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omments2.xml" ContentType="application/vnd.openxmlformats-officedocument.spreadsheetml.comment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omments3.xml" ContentType="application/vnd.openxmlformats-officedocument.spreadsheetml.comment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8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bbb5569ce6c140d1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2bf9342b281690a5/YBA ADVISORY/B-Clients and Services/C024-KOK SNUOL/ks_system/database/"/>
    </mc:Choice>
  </mc:AlternateContent>
  <xr:revisionPtr revIDLastSave="55" documentId="13_ncr:1_{609EF36E-CC15-426E-BA76-46BD5CB1DB89}" xr6:coauthVersionLast="47" xr6:coauthVersionMax="47" xr10:uidLastSave="{52E6F34A-AFFC-4EAE-A6A5-2827EF185254}"/>
  <bookViews>
    <workbookView xWindow="-120" yWindow="-120" windowWidth="29040" windowHeight="15720" tabRatio="915" firstSheet="1" activeTab="11" xr2:uid="{00000000-000D-0000-FFFF-FFFF00000000}"/>
  </bookViews>
  <sheets>
    <sheet name="List of Invoice" sheetId="3" state="hidden" r:id="rId1"/>
    <sheet name="Home" sheetId="584" r:id="rId2"/>
    <sheet name="FilesSetting" sheetId="836" r:id="rId3"/>
    <sheet name="InventoryValuation" sheetId="822" r:id="rId4"/>
    <sheet name="PaidToVendor" sheetId="829" r:id="rId5"/>
    <sheet name="SalesInvoiceReceipt" sheetId="820" r:id="rId6"/>
    <sheet name="ReceivePayment" sheetId="818" r:id="rId7"/>
    <sheet name="ReceivePaymentDetail" sheetId="819" r:id="rId8"/>
    <sheet name="GeneralLedger" sheetId="815" r:id="rId9"/>
    <sheet name="GeneralLedgerDetail" sheetId="816" r:id="rId10"/>
    <sheet name="SaleInvoiceData" sheetId="509" r:id="rId11"/>
    <sheet name="SalesByItemData" sheetId="233" r:id="rId12"/>
    <sheet name="InvAdjData" sheetId="720" r:id="rId13"/>
    <sheet name="InvAdjDetailData" sheetId="216" r:id="rId14"/>
    <sheet name="1_group_totals" sheetId="807" r:id="rId15"/>
    <sheet name="1_group_total_details" sheetId="808" r:id="rId16"/>
    <sheet name="inventories" sheetId="721" r:id="rId17"/>
    <sheet name="1_inventory_totals" sheetId="722" r:id="rId18"/>
    <sheet name="1_inventory_total_details" sheetId="776" r:id="rId19"/>
    <sheet name="2_inventory_totals" sheetId="835" r:id="rId20"/>
    <sheet name="2_inventory_total_details" sheetId="832" r:id="rId21"/>
    <sheet name="QuoteData" sheetId="789" r:id="rId22"/>
    <sheet name="QuoteDetailData" sheetId="790" r:id="rId23"/>
    <sheet name="QuoteServiceData" sheetId="791" r:id="rId24"/>
    <sheet name="PurchaseBill" sheetId="792" r:id="rId25"/>
    <sheet name="PurchaseBillDetail" sheetId="793" r:id="rId26"/>
    <sheet name="(1 )" sheetId="24" state="hidden" r:id="rId27"/>
    <sheet name="( 3)" sheetId="26" state="hidden" r:id="rId28"/>
  </sheets>
  <functionGroups builtInGroupCount="19"/>
  <definedNames>
    <definedName name="_xlnm._FilterDatabase" localSheetId="15" hidden="1">'1_group_total_details'!$C$7:$L$16</definedName>
    <definedName name="_xlnm._FilterDatabase" localSheetId="14" hidden="1">'1_group_totals'!$C$7:$N$124</definedName>
    <definedName name="_xlnm._FilterDatabase" localSheetId="18" hidden="1">'1_inventory_total_details'!$C$7:$K$7</definedName>
    <definedName name="_xlnm._FilterDatabase" localSheetId="17" hidden="1">'1_inventory_totals'!$C$7:$N$116</definedName>
    <definedName name="_xlnm._FilterDatabase" localSheetId="20" hidden="1">'2_inventory_total_details'!$C$7:$K$7</definedName>
    <definedName name="_xlnm._FilterDatabase" localSheetId="9" hidden="1">GeneralLedgerDetail!$C$7:$AD$34</definedName>
    <definedName name="_xlnm._FilterDatabase" localSheetId="12" hidden="1">InvAdjData!$C$7:$L$13</definedName>
    <definedName name="_xlnm._FilterDatabase" localSheetId="13" hidden="1">InvAdjDetailData!$C$7:$AB$630</definedName>
    <definedName name="_xlnm._FilterDatabase" localSheetId="16" hidden="1">inventories!$C$7:$AD$495</definedName>
    <definedName name="_xlnm._FilterDatabase" localSheetId="3" hidden="1">InventoryValuation!$C$7:$AI$34</definedName>
    <definedName name="_xlnm._FilterDatabase" localSheetId="24" hidden="1">PurchaseBill!$C$7:$AP$16</definedName>
    <definedName name="_xlnm._FilterDatabase" localSheetId="25" hidden="1">PurchaseBillDetail!$C$7:$AH$132</definedName>
    <definedName name="_xlnm._FilterDatabase" localSheetId="22" hidden="1">QuoteDetailData!$C$7:$Z$10</definedName>
    <definedName name="_xlnm._FilterDatabase" localSheetId="10" hidden="1">SaleInvoiceData!$C$7:$AL$1828</definedName>
    <definedName name="_xlnm._FilterDatabase" localSheetId="11" hidden="1">SalesByItemData!$C$7:$AB$7</definedName>
    <definedName name="_xleta.AND" hidden="1" xlm="1">#NAME?</definedName>
    <definedName name="_xleta.COUNTA" hidden="1" xlm="1">#NAME?</definedName>
    <definedName name="_xleta.COUNTIFS" hidden="1" xlm="1">#NAME?</definedName>
    <definedName name="_xleta.DATE" hidden="1" xlm="1">#NAME?</definedName>
    <definedName name="_xleta.NOT" hidden="1" xlm="1">#NAME?</definedName>
    <definedName name="_xleta.OR" hidden="1" xlm="1">#NAME?</definedName>
    <definedName name="_xleta.ROUNDUP" hidden="1" xlm="1">#NAME?</definedName>
    <definedName name="_xleta.T" hidden="1" xlm="1">#NAME?</definedName>
    <definedName name="_xleta.VLOOKUP" hidden="1" xlm="1">#NAME?</definedName>
    <definedName name="Customer_Detail" localSheetId="27">'( 3)'!$D$18:$H$21,'( 3)'!$D$22,'( 3)'!$F$22,'( 3)'!$D$23,'( 3)'!$F$23</definedName>
    <definedName name="Customer_TIN_Area" localSheetId="27">'( 3)'!$P$20</definedName>
    <definedName name="data_input_path">FilesSetting!$L$10</definedName>
    <definedName name="database_path">FilesSetting!$L$8</definedName>
    <definedName name="Date" localSheetId="27">'( 3)'!$N$14</definedName>
    <definedName name="Description_Area" localSheetId="27">'( 3)'!$C$28:$G$38</definedName>
    <definedName name="Exchange_Rate" localSheetId="27">'( 3)'!$N$15</definedName>
    <definedName name="inv_adj_data_list">InvAdjData!$C$8:$L$10000</definedName>
    <definedName name="inv_adj_ref_list">InvAdjData!$J$8:$L$10000</definedName>
    <definedName name="invoice_code_option">SaleInvoiceData!$E$8:$E$10000</definedName>
    <definedName name="invoice_detail_list">SalesByItemData!$D$8:$AB$10000</definedName>
    <definedName name="invoice_list">SaleInvoiceData!$C$8:$AI$10000</definedName>
    <definedName name="invoice_list2">SaleInvoiceData!$E$8:$AJ$10000</definedName>
    <definedName name="_xlnm.Print_Area" localSheetId="27">'( 3)'!$B$2:$I$48</definedName>
    <definedName name="_xlnm.Print_Area" localSheetId="26">'(1 )'!$B$2:$I$45</definedName>
    <definedName name="_xlnm.Print_Area" localSheetId="1">Home!$C$1:$F$5</definedName>
    <definedName name="_xlnm.Print_Area" localSheetId="12">InvAdjData!$C$3:$L$108</definedName>
    <definedName name="_xlnm.Print_Area" localSheetId="13">InvAdjDetailData!$C$4:$Q$233</definedName>
    <definedName name="_xlnm.Print_Area" localSheetId="16">inventories!$A$1:$X$1745</definedName>
    <definedName name="_xlnm.Print_Area" localSheetId="10">SaleInvoiceData!$AK$7:$AL$894</definedName>
    <definedName name="_xlnm.Print_Titles" localSheetId="12">InvAdjData!$6:$7</definedName>
    <definedName name="_xlnm.Print_Titles" localSheetId="13">InvAdjDetailData!$6:$7</definedName>
    <definedName name="_xlnm.Print_Titles" localSheetId="10">SaleInvoiceData!$3:$7</definedName>
    <definedName name="quote_list">QuoteData!$C$8:$AJ$10000</definedName>
    <definedName name="Reference_Area" localSheetId="27">'( 3)'!$B$15</definedName>
    <definedName name="sale_invoice_data_list">SaleInvoiceData!$E$8:$AH$10000</definedName>
    <definedName name="sales_by_item_data_list">SalesByItemData!$H$8:$AA$536</definedName>
    <definedName name="VATRATE" localSheetId="27">'( 3)'!$F$49</definedName>
    <definedName name="VATRATE" localSheetId="26">'(1 )'!$F$46</definedName>
  </definedNames>
  <calcPr calcId="191029"/>
  <extLst>
    <ext xmlns:x14="http://schemas.microsoft.com/office/spreadsheetml/2009/9/main" uri="{8193D73E-4604-4355-AFF4-8A2333D13BE4}">
      <x14:definedNames>
        <x14:definedName name="Aztec">
          <x14:argumentDescriptions count="3">
            <x14:argumentDescription index="0">text to encode</x14:argumentDescription>
            <x14:argumentDescription index="1">percentage of checkwords (1..90)_x000D_
number, optional, default 23%</x14:argumentDescription>
            <x14:argumentDescription index="2">minimum number of layers (0-32)_x000D_
number, optional, default 1_x000D_
set to 0 for Aztec rune</x14:argumentDescription>
          </x14:argumentDescriptions>
        </x14:definedName>
        <x14:definedName name="Code128">
          <x14:argumentDescriptions count="1">
            <x14:argumentDescription index="0">text to encode</x14:argumentDescription>
          </x14:argumentDescriptions>
        </x14:definedName>
        <x14:definedName name="DataMatrix">
          <x14:argumentDescriptions count="1">
            <x14:argumentDescription index="0">text to encode</x14:argumentDescription>
          </x14:argumentDescriptions>
        </x14:definedName>
        <x14:definedName name="Qrcode">
          <x14:argumentDescriptions count="3">
            <x14:argumentDescription index="0">text to encode</x14:argumentDescription>
            <x14:argumentDescription index="1">security level "LMQH"_x000D_
low, medium, quartile, high_x000D_
letter, optional, default L</x14:argumentDescription>
            <x14:argumentDescription index="2">minimum version size(-3..40)_x000D_
number, optional, default 1_x000D_
MircoQR M1:-3, M2:-2, M3:-1, M4:0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l_person_f5e3f3bc-cf35-4122-b028-a1064be3b03c" name="tbl_person" connection="Query - tbl_person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" i="836" l="1"/>
  <c r="AL40" i="509"/>
  <c r="AL41" i="509"/>
  <c r="AL42" i="509"/>
  <c r="AL43" i="509"/>
  <c r="AL44" i="509"/>
  <c r="AL45" i="509"/>
  <c r="AL46" i="509"/>
  <c r="AL47" i="509"/>
  <c r="AL48" i="509"/>
  <c r="AL49" i="509"/>
  <c r="AL50" i="509"/>
  <c r="AL51" i="509"/>
  <c r="AL52" i="509"/>
  <c r="AL53" i="509"/>
  <c r="AL54" i="509"/>
  <c r="AL55" i="509"/>
  <c r="AL56" i="509"/>
  <c r="AL57" i="509"/>
  <c r="AL58" i="509"/>
  <c r="AL59" i="509"/>
  <c r="AL60" i="509"/>
  <c r="AL61" i="509"/>
  <c r="AL62" i="509"/>
  <c r="AL63" i="509"/>
  <c r="AL64" i="509"/>
  <c r="AL65" i="509"/>
  <c r="AL66" i="509"/>
  <c r="AL67" i="509"/>
  <c r="AL68" i="509"/>
  <c r="AL69" i="509"/>
  <c r="AL70" i="509"/>
  <c r="AL71" i="509"/>
  <c r="AL72" i="509"/>
  <c r="AL73" i="509"/>
  <c r="AL74" i="509"/>
  <c r="AL75" i="509"/>
  <c r="AL76" i="509"/>
  <c r="AL77" i="509"/>
  <c r="AL78" i="509"/>
  <c r="AL79" i="509"/>
  <c r="AL80" i="509"/>
  <c r="AL81" i="509"/>
  <c r="AL82" i="509"/>
  <c r="AL83" i="509"/>
  <c r="AL84" i="509"/>
  <c r="AL85" i="509"/>
  <c r="AL86" i="509"/>
  <c r="AL87" i="509"/>
  <c r="AL88" i="509"/>
  <c r="AL89" i="509"/>
  <c r="AL90" i="509"/>
  <c r="AL91" i="509"/>
  <c r="AL92" i="509"/>
  <c r="AL93" i="509"/>
  <c r="AL94" i="509"/>
  <c r="AL95" i="509"/>
  <c r="AL96" i="509"/>
  <c r="AL97" i="509"/>
  <c r="AL98" i="509"/>
  <c r="AL99" i="509"/>
  <c r="AL100" i="509"/>
  <c r="AL101" i="509"/>
  <c r="AL102" i="509"/>
  <c r="AL103" i="509"/>
  <c r="AL104" i="509"/>
  <c r="AL105" i="509"/>
  <c r="AL106" i="509"/>
  <c r="AL107" i="509"/>
  <c r="AL108" i="509"/>
  <c r="AL109" i="509"/>
  <c r="AL110" i="509"/>
  <c r="AL111" i="509"/>
  <c r="AL112" i="509"/>
  <c r="AL113" i="509"/>
  <c r="AL114" i="509"/>
  <c r="AL115" i="509"/>
  <c r="AL116" i="509"/>
  <c r="AL117" i="509"/>
  <c r="AL118" i="509"/>
  <c r="AL119" i="509"/>
  <c r="AL120" i="509"/>
  <c r="AL121" i="509"/>
  <c r="AL122" i="509"/>
  <c r="AL123" i="509"/>
  <c r="AL124" i="509"/>
  <c r="AL125" i="509"/>
  <c r="AL126" i="509"/>
  <c r="AL127" i="509"/>
  <c r="AL128" i="509"/>
  <c r="AL129" i="509"/>
  <c r="AL130" i="509"/>
  <c r="AL131" i="509"/>
  <c r="AL132" i="509"/>
  <c r="AL133" i="509"/>
  <c r="AL134" i="509"/>
  <c r="AL135" i="509"/>
  <c r="AL136" i="509"/>
  <c r="AL137" i="509"/>
  <c r="AL138" i="509"/>
  <c r="AL139" i="509"/>
  <c r="AL140" i="509"/>
  <c r="AL141" i="509"/>
  <c r="AL142" i="509"/>
  <c r="AL143" i="509"/>
  <c r="AL144" i="509"/>
  <c r="AL145" i="509"/>
  <c r="AL146" i="509"/>
  <c r="AL147" i="509"/>
  <c r="AL148" i="509"/>
  <c r="AL149" i="509"/>
  <c r="AL150" i="509"/>
  <c r="AL151" i="509"/>
  <c r="AL152" i="509"/>
  <c r="AL153" i="509"/>
  <c r="AL154" i="509"/>
  <c r="AL155" i="509"/>
  <c r="AL156" i="509"/>
  <c r="AL157" i="509"/>
  <c r="AL158" i="509"/>
  <c r="AL159" i="509"/>
  <c r="AL160" i="509"/>
  <c r="AL161" i="509"/>
  <c r="AL162" i="509"/>
  <c r="AL163" i="509"/>
  <c r="AL164" i="509"/>
  <c r="AL165" i="509"/>
  <c r="AL166" i="509"/>
  <c r="AL167" i="509"/>
  <c r="AL168" i="509"/>
  <c r="AL169" i="509"/>
  <c r="AL170" i="509"/>
  <c r="AL171" i="509"/>
  <c r="AL172" i="509"/>
  <c r="AL173" i="509"/>
  <c r="AL174" i="509"/>
  <c r="AL175" i="509"/>
  <c r="AL176" i="509"/>
  <c r="AL177" i="509"/>
  <c r="AL178" i="509"/>
  <c r="AL179" i="509"/>
  <c r="AL180" i="509"/>
  <c r="AL181" i="509"/>
  <c r="AL182" i="509"/>
  <c r="AL183" i="509"/>
  <c r="AL184" i="509"/>
  <c r="AL185" i="509"/>
  <c r="AL186" i="509"/>
  <c r="AL187" i="509"/>
  <c r="AL188" i="509"/>
  <c r="AL189" i="509"/>
  <c r="AL190" i="509"/>
  <c r="AL191" i="509"/>
  <c r="AL192" i="509"/>
  <c r="AL193" i="509"/>
  <c r="AL194" i="509"/>
  <c r="AL195" i="509"/>
  <c r="AL196" i="509"/>
  <c r="AL197" i="509"/>
  <c r="AL198" i="509"/>
  <c r="AL199" i="509"/>
  <c r="AL200" i="509"/>
  <c r="AL201" i="509"/>
  <c r="AL202" i="509"/>
  <c r="AL203" i="509"/>
  <c r="AL204" i="509"/>
  <c r="AL205" i="509"/>
  <c r="AL206" i="509"/>
  <c r="AL207" i="509"/>
  <c r="AK8" i="509" a="1"/>
  <c r="L48" i="836"/>
  <c r="M48" i="836" s="1"/>
  <c r="AT6" i="792"/>
  <c r="AU6" i="792" s="1"/>
  <c r="AJ9" i="509"/>
  <c r="AJ10" i="509"/>
  <c r="AJ11" i="509"/>
  <c r="AJ12" i="509"/>
  <c r="AJ13" i="509"/>
  <c r="AJ14" i="509"/>
  <c r="AJ15" i="509"/>
  <c r="AJ16" i="509"/>
  <c r="AJ17" i="509"/>
  <c r="AJ18" i="509"/>
  <c r="AJ19" i="509"/>
  <c r="AJ20" i="509"/>
  <c r="AJ21" i="509"/>
  <c r="AJ22" i="509"/>
  <c r="AJ23" i="509"/>
  <c r="AJ24" i="509"/>
  <c r="AJ25" i="509"/>
  <c r="AJ26" i="509"/>
  <c r="AJ27" i="509"/>
  <c r="AJ28" i="509"/>
  <c r="AJ29" i="509"/>
  <c r="AJ30" i="509"/>
  <c r="AJ31" i="509"/>
  <c r="AJ32" i="509"/>
  <c r="AJ33" i="509"/>
  <c r="AJ34" i="509"/>
  <c r="AJ35" i="509"/>
  <c r="AJ36" i="509"/>
  <c r="AJ37" i="509"/>
  <c r="AJ38" i="509"/>
  <c r="AJ39" i="509"/>
  <c r="AJ40" i="509"/>
  <c r="AJ41" i="509"/>
  <c r="AJ42" i="509"/>
  <c r="AJ43" i="509"/>
  <c r="AJ44" i="509"/>
  <c r="AJ45" i="509"/>
  <c r="AJ46" i="509"/>
  <c r="AJ47" i="509"/>
  <c r="AJ48" i="509"/>
  <c r="AJ49" i="509"/>
  <c r="AJ50" i="509"/>
  <c r="AJ51" i="509"/>
  <c r="AJ52" i="509"/>
  <c r="AJ53" i="509"/>
  <c r="AJ54" i="509"/>
  <c r="AJ55" i="509"/>
  <c r="AJ56" i="509"/>
  <c r="AJ57" i="509"/>
  <c r="AJ58" i="509"/>
  <c r="AJ59" i="509"/>
  <c r="AJ60" i="509"/>
  <c r="AJ61" i="509"/>
  <c r="AJ62" i="509"/>
  <c r="AJ63" i="509"/>
  <c r="AJ64" i="509"/>
  <c r="AJ65" i="509"/>
  <c r="AJ66" i="509"/>
  <c r="AJ67" i="509"/>
  <c r="AJ68" i="509"/>
  <c r="AJ69" i="509"/>
  <c r="AJ70" i="509"/>
  <c r="AJ71" i="509"/>
  <c r="AJ72" i="509"/>
  <c r="AJ73" i="509"/>
  <c r="AJ74" i="509"/>
  <c r="AJ75" i="509"/>
  <c r="AJ76" i="509"/>
  <c r="AJ77" i="509"/>
  <c r="AJ78" i="509"/>
  <c r="AJ79" i="509"/>
  <c r="AJ80" i="509"/>
  <c r="AJ81" i="509"/>
  <c r="AJ82" i="509"/>
  <c r="AJ83" i="509"/>
  <c r="AJ84" i="509"/>
  <c r="AJ85" i="509"/>
  <c r="AJ86" i="509"/>
  <c r="AJ87" i="509"/>
  <c r="AJ88" i="509"/>
  <c r="AJ89" i="509"/>
  <c r="AJ90" i="509"/>
  <c r="AJ91" i="509"/>
  <c r="AJ92" i="509"/>
  <c r="AJ93" i="509"/>
  <c r="AJ94" i="509"/>
  <c r="AJ95" i="509"/>
  <c r="AJ96" i="509"/>
  <c r="AJ97" i="509"/>
  <c r="AJ98" i="509"/>
  <c r="AJ99" i="509"/>
  <c r="AJ100" i="509"/>
  <c r="AJ101" i="509"/>
  <c r="AJ102" i="509"/>
  <c r="AJ103" i="509"/>
  <c r="AJ104" i="509"/>
  <c r="AJ105" i="509"/>
  <c r="AJ106" i="509"/>
  <c r="AJ107" i="509"/>
  <c r="AJ108" i="509"/>
  <c r="AJ109" i="509"/>
  <c r="AJ110" i="509"/>
  <c r="AJ111" i="509"/>
  <c r="AJ112" i="509"/>
  <c r="AJ113" i="509"/>
  <c r="AJ114" i="509"/>
  <c r="AJ115" i="509"/>
  <c r="AJ116" i="509"/>
  <c r="AJ117" i="509"/>
  <c r="AJ118" i="509"/>
  <c r="AJ119" i="509"/>
  <c r="AJ120" i="509"/>
  <c r="AJ121" i="509"/>
  <c r="AJ122" i="509"/>
  <c r="AJ123" i="509"/>
  <c r="AJ124" i="509"/>
  <c r="AJ125" i="509"/>
  <c r="AJ126" i="509"/>
  <c r="AJ127" i="509"/>
  <c r="AJ128" i="509"/>
  <c r="AJ129" i="509"/>
  <c r="AJ130" i="509"/>
  <c r="AJ131" i="509"/>
  <c r="AJ132" i="509"/>
  <c r="AJ133" i="509"/>
  <c r="AJ134" i="509"/>
  <c r="AJ135" i="509"/>
  <c r="AJ136" i="509"/>
  <c r="AJ137" i="509"/>
  <c r="AJ138" i="509"/>
  <c r="AJ139" i="509"/>
  <c r="AJ140" i="509"/>
  <c r="AJ141" i="509"/>
  <c r="AJ142" i="509"/>
  <c r="AJ143" i="509"/>
  <c r="AJ144" i="509"/>
  <c r="AJ145" i="509"/>
  <c r="AJ146" i="509"/>
  <c r="AJ147" i="509"/>
  <c r="AJ148" i="509"/>
  <c r="AJ149" i="509"/>
  <c r="AJ150" i="509"/>
  <c r="AJ151" i="509"/>
  <c r="AJ152" i="509"/>
  <c r="AJ153" i="509"/>
  <c r="AJ154" i="509"/>
  <c r="AJ155" i="509"/>
  <c r="AJ156" i="509"/>
  <c r="AJ157" i="509"/>
  <c r="AJ158" i="509"/>
  <c r="AJ159" i="509"/>
  <c r="AJ160" i="509"/>
  <c r="AJ161" i="509"/>
  <c r="AJ162" i="509"/>
  <c r="AJ163" i="509"/>
  <c r="AJ164" i="509"/>
  <c r="AJ165" i="509"/>
  <c r="AJ166" i="509"/>
  <c r="AJ167" i="509"/>
  <c r="AJ168" i="509"/>
  <c r="AJ169" i="509"/>
  <c r="AJ170" i="509"/>
  <c r="AJ171" i="509"/>
  <c r="AJ172" i="509"/>
  <c r="AJ173" i="509"/>
  <c r="AJ174" i="509"/>
  <c r="AJ175" i="509"/>
  <c r="AJ176" i="509"/>
  <c r="AJ177" i="509"/>
  <c r="AJ178" i="509"/>
  <c r="AJ179" i="509"/>
  <c r="AJ180" i="509"/>
  <c r="AJ181" i="509"/>
  <c r="AJ182" i="509"/>
  <c r="AJ183" i="509"/>
  <c r="AJ184" i="509"/>
  <c r="AJ185" i="509"/>
  <c r="AJ186" i="509"/>
  <c r="AJ187" i="509"/>
  <c r="AJ188" i="509"/>
  <c r="AJ189" i="509"/>
  <c r="AJ190" i="509"/>
  <c r="AJ191" i="509"/>
  <c r="AJ192" i="509"/>
  <c r="AJ193" i="509"/>
  <c r="AJ194" i="509"/>
  <c r="AJ195" i="509"/>
  <c r="AJ196" i="509"/>
  <c r="AJ197" i="509"/>
  <c r="AJ198" i="509"/>
  <c r="AJ199" i="509"/>
  <c r="AJ200" i="509"/>
  <c r="AJ201" i="509"/>
  <c r="AJ202" i="509"/>
  <c r="AJ203" i="509"/>
  <c r="AJ204" i="509"/>
  <c r="AJ205" i="509"/>
  <c r="AJ206" i="509"/>
  <c r="AJ207" i="509"/>
  <c r="AJ208" i="509"/>
  <c r="AJ209" i="509"/>
  <c r="AJ210" i="509"/>
  <c r="AJ211" i="509"/>
  <c r="AJ212" i="509"/>
  <c r="AJ213" i="509"/>
  <c r="AJ214" i="509"/>
  <c r="AJ215" i="509"/>
  <c r="AJ216" i="509"/>
  <c r="AJ217" i="509"/>
  <c r="AJ218" i="509"/>
  <c r="AJ219" i="509"/>
  <c r="AJ220" i="509"/>
  <c r="AJ221" i="509"/>
  <c r="AJ222" i="509"/>
  <c r="AJ223" i="509"/>
  <c r="AJ224" i="509"/>
  <c r="AJ225" i="509"/>
  <c r="AJ226" i="509"/>
  <c r="AJ227" i="509"/>
  <c r="AJ228" i="509"/>
  <c r="AJ229" i="509"/>
  <c r="AJ230" i="509"/>
  <c r="AJ231" i="509"/>
  <c r="AJ232" i="509"/>
  <c r="AJ233" i="509"/>
  <c r="AJ234" i="509"/>
  <c r="AJ235" i="509"/>
  <c r="AJ236" i="509"/>
  <c r="AJ237" i="509"/>
  <c r="AJ238" i="509"/>
  <c r="AJ239" i="509"/>
  <c r="AJ240" i="509"/>
  <c r="AJ241" i="509"/>
  <c r="AJ242" i="509"/>
  <c r="AJ243" i="509"/>
  <c r="AJ244" i="509"/>
  <c r="AJ245" i="509"/>
  <c r="AJ246" i="509"/>
  <c r="AJ247" i="509"/>
  <c r="AJ248" i="509"/>
  <c r="AJ249" i="509"/>
  <c r="AJ250" i="509"/>
  <c r="AJ251" i="509"/>
  <c r="AJ252" i="509"/>
  <c r="AJ253" i="509"/>
  <c r="AJ254" i="509"/>
  <c r="AJ255" i="509"/>
  <c r="AJ256" i="509"/>
  <c r="AJ257" i="509"/>
  <c r="AJ258" i="509"/>
  <c r="AJ259" i="509"/>
  <c r="AJ260" i="509"/>
  <c r="AJ261" i="509"/>
  <c r="AJ262" i="509"/>
  <c r="AJ263" i="509"/>
  <c r="AJ264" i="509"/>
  <c r="AJ265" i="509"/>
  <c r="AJ266" i="509"/>
  <c r="AJ267" i="509"/>
  <c r="AJ268" i="509"/>
  <c r="AJ269" i="509"/>
  <c r="AJ270" i="509"/>
  <c r="AJ271" i="509"/>
  <c r="AJ272" i="509"/>
  <c r="AJ273" i="509"/>
  <c r="AJ274" i="509"/>
  <c r="AJ275" i="509"/>
  <c r="AJ276" i="509"/>
  <c r="AJ277" i="509"/>
  <c r="AJ278" i="509"/>
  <c r="AJ279" i="509"/>
  <c r="AJ280" i="509"/>
  <c r="AJ281" i="509"/>
  <c r="AJ282" i="509"/>
  <c r="AJ283" i="509"/>
  <c r="AJ284" i="509"/>
  <c r="AJ285" i="509"/>
  <c r="AJ286" i="509"/>
  <c r="AJ287" i="509"/>
  <c r="AJ288" i="509"/>
  <c r="AJ289" i="509"/>
  <c r="AJ290" i="509"/>
  <c r="AJ291" i="509"/>
  <c r="AJ292" i="509"/>
  <c r="AJ293" i="509"/>
  <c r="AJ294" i="509"/>
  <c r="AJ295" i="509"/>
  <c r="AJ296" i="509"/>
  <c r="AJ297" i="509"/>
  <c r="AJ298" i="509"/>
  <c r="AJ299" i="509"/>
  <c r="AJ300" i="509"/>
  <c r="AJ301" i="509"/>
  <c r="AJ302" i="509"/>
  <c r="AJ303" i="509"/>
  <c r="AJ304" i="509"/>
  <c r="AJ305" i="509"/>
  <c r="AJ306" i="509"/>
  <c r="AJ307" i="509"/>
  <c r="AJ308" i="509"/>
  <c r="AJ309" i="509"/>
  <c r="AJ310" i="509"/>
  <c r="AJ311" i="509"/>
  <c r="AJ312" i="509"/>
  <c r="AJ313" i="509"/>
  <c r="AJ314" i="509"/>
  <c r="AJ315" i="509"/>
  <c r="AJ316" i="509"/>
  <c r="AJ317" i="509"/>
  <c r="AJ318" i="509"/>
  <c r="AJ319" i="509"/>
  <c r="AJ320" i="509"/>
  <c r="AJ321" i="509"/>
  <c r="AJ322" i="509"/>
  <c r="AJ323" i="509"/>
  <c r="AJ324" i="509"/>
  <c r="AJ325" i="509"/>
  <c r="AJ326" i="509"/>
  <c r="AJ327" i="509"/>
  <c r="AJ328" i="509"/>
  <c r="AJ329" i="509"/>
  <c r="AJ330" i="509"/>
  <c r="AJ331" i="509"/>
  <c r="AJ332" i="509"/>
  <c r="AJ333" i="509"/>
  <c r="AJ334" i="509"/>
  <c r="AJ335" i="509"/>
  <c r="AJ336" i="509"/>
  <c r="AJ337" i="509"/>
  <c r="AJ338" i="509"/>
  <c r="AJ339" i="509"/>
  <c r="AJ340" i="509"/>
  <c r="AJ341" i="509"/>
  <c r="AJ342" i="509"/>
  <c r="AJ343" i="509"/>
  <c r="AJ344" i="509"/>
  <c r="AJ345" i="509"/>
  <c r="AJ346" i="509"/>
  <c r="AJ347" i="509"/>
  <c r="AJ348" i="509"/>
  <c r="AJ349" i="509"/>
  <c r="AJ350" i="509"/>
  <c r="AJ351" i="509"/>
  <c r="AJ352" i="509"/>
  <c r="AJ353" i="509"/>
  <c r="AJ354" i="509"/>
  <c r="AJ355" i="509"/>
  <c r="AJ356" i="509"/>
  <c r="AJ357" i="509"/>
  <c r="AJ358" i="509"/>
  <c r="AJ359" i="509"/>
  <c r="AJ360" i="509"/>
  <c r="AJ361" i="509"/>
  <c r="AJ362" i="509"/>
  <c r="AJ363" i="509"/>
  <c r="AJ364" i="509"/>
  <c r="AJ365" i="509"/>
  <c r="AJ366" i="509"/>
  <c r="AJ367" i="509"/>
  <c r="AJ368" i="509"/>
  <c r="AJ369" i="509"/>
  <c r="AJ370" i="509"/>
  <c r="AJ371" i="509"/>
  <c r="AJ372" i="509"/>
  <c r="AJ373" i="509"/>
  <c r="AJ374" i="509"/>
  <c r="AJ375" i="509"/>
  <c r="AJ376" i="509"/>
  <c r="AJ377" i="509"/>
  <c r="AJ378" i="509"/>
  <c r="AJ379" i="509"/>
  <c r="AJ380" i="509"/>
  <c r="AJ381" i="509"/>
  <c r="AJ382" i="509"/>
  <c r="AJ383" i="509"/>
  <c r="AJ384" i="509"/>
  <c r="AJ385" i="509"/>
  <c r="AJ386" i="509"/>
  <c r="AJ387" i="509"/>
  <c r="AJ388" i="509"/>
  <c r="AJ389" i="509"/>
  <c r="AJ390" i="509"/>
  <c r="AJ391" i="509"/>
  <c r="AJ392" i="509"/>
  <c r="AJ393" i="509"/>
  <c r="AJ394" i="509"/>
  <c r="AJ395" i="509"/>
  <c r="AJ396" i="509"/>
  <c r="AJ397" i="509"/>
  <c r="AJ398" i="509"/>
  <c r="AJ399" i="509"/>
  <c r="AJ400" i="509"/>
  <c r="AJ401" i="509"/>
  <c r="AJ402" i="509"/>
  <c r="AJ403" i="509"/>
  <c r="AJ404" i="509"/>
  <c r="AJ405" i="509"/>
  <c r="AJ406" i="509"/>
  <c r="AJ407" i="509"/>
  <c r="AJ408" i="509"/>
  <c r="AJ409" i="509"/>
  <c r="AJ410" i="509"/>
  <c r="AJ411" i="509"/>
  <c r="AJ412" i="509"/>
  <c r="AJ413" i="509"/>
  <c r="AJ414" i="509"/>
  <c r="AJ415" i="509"/>
  <c r="AJ416" i="509"/>
  <c r="AJ417" i="509"/>
  <c r="AJ418" i="509"/>
  <c r="AJ419" i="509"/>
  <c r="AJ420" i="509"/>
  <c r="AJ421" i="509"/>
  <c r="AJ422" i="509"/>
  <c r="AJ423" i="509"/>
  <c r="AJ424" i="509"/>
  <c r="AJ425" i="509"/>
  <c r="AJ426" i="509"/>
  <c r="AJ427" i="509"/>
  <c r="AJ428" i="509"/>
  <c r="AJ429" i="509"/>
  <c r="AJ430" i="509"/>
  <c r="AJ431" i="509"/>
  <c r="AJ432" i="509"/>
  <c r="AJ433" i="509"/>
  <c r="AJ434" i="509"/>
  <c r="AJ435" i="509"/>
  <c r="AJ436" i="509"/>
  <c r="AJ437" i="509"/>
  <c r="AJ438" i="509"/>
  <c r="AJ439" i="509"/>
  <c r="AJ440" i="509"/>
  <c r="AJ441" i="509"/>
  <c r="AJ442" i="509"/>
  <c r="AJ443" i="509"/>
  <c r="AJ444" i="509"/>
  <c r="AJ445" i="509"/>
  <c r="AJ446" i="509"/>
  <c r="AJ447" i="509"/>
  <c r="AJ448" i="509"/>
  <c r="AJ449" i="509"/>
  <c r="AJ450" i="509"/>
  <c r="AJ451" i="509"/>
  <c r="AJ452" i="509"/>
  <c r="AJ453" i="509"/>
  <c r="AJ454" i="509"/>
  <c r="AJ455" i="509"/>
  <c r="AJ456" i="509"/>
  <c r="AJ457" i="509"/>
  <c r="AJ458" i="509"/>
  <c r="AJ459" i="509"/>
  <c r="AJ460" i="509"/>
  <c r="AJ461" i="509"/>
  <c r="AJ462" i="509"/>
  <c r="AJ463" i="509"/>
  <c r="AJ464" i="509"/>
  <c r="AJ465" i="509"/>
  <c r="AJ466" i="509"/>
  <c r="AJ467" i="509"/>
  <c r="AJ468" i="509"/>
  <c r="AJ469" i="509"/>
  <c r="AJ470" i="509"/>
  <c r="AJ471" i="509"/>
  <c r="AJ472" i="509"/>
  <c r="AJ473" i="509"/>
  <c r="AJ474" i="509"/>
  <c r="AJ475" i="509"/>
  <c r="AJ476" i="509"/>
  <c r="AJ477" i="509"/>
  <c r="AJ478" i="509"/>
  <c r="AJ479" i="509"/>
  <c r="AJ480" i="509"/>
  <c r="AJ481" i="509"/>
  <c r="AJ482" i="509"/>
  <c r="AJ483" i="509"/>
  <c r="AJ484" i="509"/>
  <c r="AJ485" i="509"/>
  <c r="AJ486" i="509"/>
  <c r="AJ487" i="509"/>
  <c r="AJ488" i="509"/>
  <c r="AJ489" i="509"/>
  <c r="AJ490" i="509"/>
  <c r="AJ491" i="509"/>
  <c r="AJ492" i="509"/>
  <c r="AJ493" i="509"/>
  <c r="AJ494" i="509"/>
  <c r="AJ495" i="509"/>
  <c r="AJ496" i="509"/>
  <c r="AJ497" i="509"/>
  <c r="AJ498" i="509"/>
  <c r="AJ499" i="509"/>
  <c r="AJ500" i="509"/>
  <c r="AJ501" i="509"/>
  <c r="AJ502" i="509"/>
  <c r="AJ503" i="509"/>
  <c r="AJ504" i="509"/>
  <c r="AJ505" i="509"/>
  <c r="AJ506" i="509"/>
  <c r="AJ507" i="509"/>
  <c r="AJ508" i="509"/>
  <c r="AJ509" i="509"/>
  <c r="AJ510" i="509"/>
  <c r="AJ511" i="509"/>
  <c r="AJ512" i="509"/>
  <c r="AJ513" i="509"/>
  <c r="AJ514" i="509"/>
  <c r="AJ515" i="509"/>
  <c r="AJ516" i="509"/>
  <c r="AJ517" i="509"/>
  <c r="AJ518" i="509"/>
  <c r="AJ519" i="509"/>
  <c r="AJ520" i="509"/>
  <c r="AJ521" i="509"/>
  <c r="AJ522" i="509"/>
  <c r="AJ523" i="509"/>
  <c r="AJ524" i="509"/>
  <c r="AJ525" i="509"/>
  <c r="AJ526" i="509"/>
  <c r="AJ527" i="509"/>
  <c r="AJ528" i="509"/>
  <c r="AJ529" i="509"/>
  <c r="AJ530" i="509"/>
  <c r="AJ531" i="509"/>
  <c r="AJ532" i="509"/>
  <c r="AJ533" i="509"/>
  <c r="AJ534" i="509"/>
  <c r="AJ535" i="509"/>
  <c r="AJ536" i="509"/>
  <c r="AJ537" i="509"/>
  <c r="AJ538" i="509"/>
  <c r="AJ539" i="509"/>
  <c r="AJ540" i="509"/>
  <c r="AJ541" i="509"/>
  <c r="AJ542" i="509"/>
  <c r="AJ543" i="509"/>
  <c r="AJ544" i="509"/>
  <c r="AJ545" i="509"/>
  <c r="AJ546" i="509"/>
  <c r="AJ547" i="509"/>
  <c r="AJ548" i="509"/>
  <c r="AJ549" i="509"/>
  <c r="AJ550" i="509"/>
  <c r="AJ551" i="509"/>
  <c r="AJ552" i="509"/>
  <c r="AJ553" i="509"/>
  <c r="AJ554" i="509"/>
  <c r="AJ555" i="509"/>
  <c r="AJ556" i="509"/>
  <c r="AJ557" i="509"/>
  <c r="AJ558" i="509"/>
  <c r="AJ559" i="509"/>
  <c r="AJ560" i="509"/>
  <c r="AJ561" i="509"/>
  <c r="AJ562" i="509"/>
  <c r="AJ563" i="509"/>
  <c r="AJ564" i="509"/>
  <c r="AJ565" i="509"/>
  <c r="AJ566" i="509"/>
  <c r="AJ567" i="509"/>
  <c r="AJ568" i="509"/>
  <c r="AJ569" i="509"/>
  <c r="AJ570" i="509"/>
  <c r="AJ571" i="509"/>
  <c r="AJ572" i="509"/>
  <c r="AJ573" i="509"/>
  <c r="AJ574" i="509"/>
  <c r="AJ575" i="509"/>
  <c r="AJ576" i="509"/>
  <c r="AJ577" i="509"/>
  <c r="AJ578" i="509"/>
  <c r="AJ579" i="509"/>
  <c r="AJ580" i="509"/>
  <c r="AJ581" i="509"/>
  <c r="AJ582" i="509"/>
  <c r="AJ583" i="509"/>
  <c r="AJ584" i="509"/>
  <c r="AJ585" i="509"/>
  <c r="AJ586" i="509"/>
  <c r="AJ587" i="509"/>
  <c r="AJ588" i="509"/>
  <c r="AJ589" i="509"/>
  <c r="AJ590" i="509"/>
  <c r="AJ591" i="509"/>
  <c r="AJ592" i="509"/>
  <c r="AJ593" i="509"/>
  <c r="AJ594" i="509"/>
  <c r="AJ595" i="509"/>
  <c r="AJ596" i="509"/>
  <c r="AJ597" i="509"/>
  <c r="AJ598" i="509"/>
  <c r="AJ599" i="509"/>
  <c r="AJ600" i="509"/>
  <c r="AJ601" i="509"/>
  <c r="AJ602" i="509"/>
  <c r="AJ603" i="509"/>
  <c r="AJ604" i="509"/>
  <c r="AJ605" i="509"/>
  <c r="AJ606" i="509"/>
  <c r="AJ607" i="509"/>
  <c r="AJ608" i="509"/>
  <c r="AJ609" i="509"/>
  <c r="AJ610" i="509"/>
  <c r="AJ611" i="509"/>
  <c r="AJ612" i="509"/>
  <c r="AJ613" i="509"/>
  <c r="AJ614" i="509"/>
  <c r="AJ615" i="509"/>
  <c r="AJ616" i="509"/>
  <c r="AJ617" i="509"/>
  <c r="AJ618" i="509"/>
  <c r="AJ619" i="509"/>
  <c r="AJ620" i="509"/>
  <c r="AJ621" i="509"/>
  <c r="AJ622" i="509"/>
  <c r="AJ623" i="509"/>
  <c r="AJ624" i="509"/>
  <c r="AJ625" i="509"/>
  <c r="AJ626" i="509"/>
  <c r="AJ627" i="509"/>
  <c r="AJ628" i="509"/>
  <c r="AJ629" i="509"/>
  <c r="AJ630" i="509"/>
  <c r="AJ631" i="509"/>
  <c r="AJ632" i="509"/>
  <c r="AJ633" i="509"/>
  <c r="AJ634" i="509"/>
  <c r="AJ635" i="509"/>
  <c r="AJ636" i="509"/>
  <c r="AJ637" i="509"/>
  <c r="AJ638" i="509"/>
  <c r="AJ639" i="509"/>
  <c r="AJ640" i="509"/>
  <c r="AJ641" i="509"/>
  <c r="AJ642" i="509"/>
  <c r="AJ643" i="509"/>
  <c r="AJ644" i="509"/>
  <c r="AJ645" i="509"/>
  <c r="AJ646" i="509"/>
  <c r="AJ647" i="509"/>
  <c r="AJ648" i="509"/>
  <c r="AJ649" i="509"/>
  <c r="AJ650" i="509"/>
  <c r="AJ651" i="509"/>
  <c r="AJ652" i="509"/>
  <c r="AJ653" i="509"/>
  <c r="AJ654" i="509"/>
  <c r="AJ655" i="509"/>
  <c r="AJ656" i="509"/>
  <c r="AJ657" i="509"/>
  <c r="AJ658" i="509"/>
  <c r="AJ659" i="509"/>
  <c r="AJ660" i="509"/>
  <c r="AJ661" i="509"/>
  <c r="AJ662" i="509"/>
  <c r="AJ663" i="509"/>
  <c r="AJ664" i="509"/>
  <c r="AJ665" i="509"/>
  <c r="AJ666" i="509"/>
  <c r="AJ667" i="509"/>
  <c r="AJ668" i="509"/>
  <c r="AJ669" i="509"/>
  <c r="AJ670" i="509"/>
  <c r="AJ671" i="509"/>
  <c r="AJ672" i="509"/>
  <c r="AJ673" i="509"/>
  <c r="AJ674" i="509"/>
  <c r="AJ675" i="509"/>
  <c r="AJ676" i="509"/>
  <c r="AJ677" i="509"/>
  <c r="AJ678" i="509"/>
  <c r="AJ679" i="509"/>
  <c r="AJ680" i="509"/>
  <c r="AJ681" i="509"/>
  <c r="AJ682" i="509"/>
  <c r="AJ683" i="509"/>
  <c r="AJ684" i="509"/>
  <c r="AJ685" i="509"/>
  <c r="AJ686" i="509"/>
  <c r="AJ687" i="509"/>
  <c r="AJ688" i="509"/>
  <c r="AJ689" i="509"/>
  <c r="AJ690" i="509"/>
  <c r="AJ691" i="509"/>
  <c r="AJ692" i="509"/>
  <c r="AJ693" i="509"/>
  <c r="AJ694" i="509"/>
  <c r="AJ695" i="509"/>
  <c r="AJ696" i="509"/>
  <c r="AJ697" i="509"/>
  <c r="AJ698" i="509"/>
  <c r="AJ699" i="509"/>
  <c r="AJ700" i="509"/>
  <c r="AJ701" i="509"/>
  <c r="AJ702" i="509"/>
  <c r="AJ703" i="509"/>
  <c r="AJ704" i="509"/>
  <c r="AJ705" i="509"/>
  <c r="AJ706" i="509"/>
  <c r="AJ707" i="509"/>
  <c r="AJ708" i="509"/>
  <c r="AJ709" i="509"/>
  <c r="AJ710" i="509"/>
  <c r="AJ711" i="509"/>
  <c r="AJ712" i="509"/>
  <c r="AJ713" i="509"/>
  <c r="AJ714" i="509"/>
  <c r="AJ715" i="509"/>
  <c r="AJ716" i="509"/>
  <c r="AJ717" i="509"/>
  <c r="AJ718" i="509"/>
  <c r="AJ719" i="509"/>
  <c r="AJ720" i="509"/>
  <c r="AJ721" i="509"/>
  <c r="AJ722" i="509"/>
  <c r="AJ723" i="509"/>
  <c r="AJ724" i="509"/>
  <c r="AJ725" i="509"/>
  <c r="AJ726" i="509"/>
  <c r="AJ727" i="509"/>
  <c r="AJ728" i="509"/>
  <c r="AJ729" i="509"/>
  <c r="AJ730" i="509"/>
  <c r="AJ731" i="509"/>
  <c r="AJ732" i="509"/>
  <c r="AJ733" i="509"/>
  <c r="AJ734" i="509"/>
  <c r="AJ735" i="509"/>
  <c r="AJ736" i="509"/>
  <c r="AJ737" i="509"/>
  <c r="AJ738" i="509"/>
  <c r="AJ739" i="509"/>
  <c r="AJ740" i="509"/>
  <c r="AJ741" i="509"/>
  <c r="AJ742" i="509"/>
  <c r="AJ743" i="509"/>
  <c r="AJ744" i="509"/>
  <c r="AJ745" i="509"/>
  <c r="AJ746" i="509"/>
  <c r="AJ747" i="509"/>
  <c r="AJ748" i="509"/>
  <c r="AJ749" i="509"/>
  <c r="AJ750" i="509"/>
  <c r="AJ751" i="509"/>
  <c r="AJ752" i="509"/>
  <c r="AJ753" i="509"/>
  <c r="AJ754" i="509"/>
  <c r="AJ755" i="509"/>
  <c r="AJ756" i="509"/>
  <c r="AJ757" i="509"/>
  <c r="AJ758" i="509"/>
  <c r="AJ759" i="509"/>
  <c r="AJ760" i="509"/>
  <c r="AJ761" i="509"/>
  <c r="AJ762" i="509"/>
  <c r="AJ763" i="509"/>
  <c r="AJ764" i="509"/>
  <c r="AJ765" i="509"/>
  <c r="AJ766" i="509"/>
  <c r="AJ767" i="509"/>
  <c r="AJ768" i="509"/>
  <c r="AJ769" i="509"/>
  <c r="AJ770" i="509"/>
  <c r="AJ771" i="509"/>
  <c r="AJ772" i="509"/>
  <c r="AJ773" i="509"/>
  <c r="AJ774" i="509"/>
  <c r="AJ775" i="509"/>
  <c r="AJ776" i="509"/>
  <c r="AJ777" i="509"/>
  <c r="AJ778" i="509"/>
  <c r="AJ779" i="509"/>
  <c r="AJ780" i="509"/>
  <c r="AJ781" i="509"/>
  <c r="AJ782" i="509"/>
  <c r="AJ783" i="509"/>
  <c r="AJ784" i="509"/>
  <c r="AJ785" i="509"/>
  <c r="AJ786" i="509"/>
  <c r="AJ787" i="509"/>
  <c r="AJ788" i="509"/>
  <c r="AJ789" i="509"/>
  <c r="AJ790" i="509"/>
  <c r="AJ791" i="509"/>
  <c r="AJ792" i="509"/>
  <c r="AJ793" i="509"/>
  <c r="AJ794" i="509"/>
  <c r="AJ795" i="509"/>
  <c r="AJ796" i="509"/>
  <c r="AJ797" i="509"/>
  <c r="AJ798" i="509"/>
  <c r="AJ799" i="509"/>
  <c r="AJ800" i="509"/>
  <c r="AJ801" i="509"/>
  <c r="AJ802" i="509"/>
  <c r="AJ803" i="509"/>
  <c r="AJ804" i="509"/>
  <c r="AJ805" i="509"/>
  <c r="AJ806" i="509"/>
  <c r="AJ807" i="509"/>
  <c r="AJ808" i="509"/>
  <c r="AJ809" i="509"/>
  <c r="AJ810" i="509"/>
  <c r="AJ811" i="509"/>
  <c r="AJ812" i="509"/>
  <c r="AJ813" i="509"/>
  <c r="AJ814" i="509"/>
  <c r="AJ815" i="509"/>
  <c r="AJ816" i="509"/>
  <c r="AJ817" i="509"/>
  <c r="AJ818" i="509"/>
  <c r="AJ819" i="509"/>
  <c r="AJ820" i="509"/>
  <c r="AJ821" i="509"/>
  <c r="AJ822" i="509"/>
  <c r="AJ823" i="509"/>
  <c r="AJ824" i="509"/>
  <c r="AJ825" i="509"/>
  <c r="AJ826" i="509"/>
  <c r="AJ827" i="509"/>
  <c r="AJ828" i="509"/>
  <c r="AJ829" i="509"/>
  <c r="AJ830" i="509"/>
  <c r="AJ831" i="509"/>
  <c r="AJ832" i="509"/>
  <c r="AJ833" i="509"/>
  <c r="AJ834" i="509"/>
  <c r="AJ835" i="509"/>
  <c r="AJ836" i="509"/>
  <c r="AJ837" i="509"/>
  <c r="AJ838" i="509"/>
  <c r="AJ839" i="509"/>
  <c r="AJ840" i="509"/>
  <c r="AJ841" i="509"/>
  <c r="AJ842" i="509"/>
  <c r="AJ843" i="509"/>
  <c r="AJ844" i="509"/>
  <c r="AJ845" i="509"/>
  <c r="AJ846" i="509"/>
  <c r="AJ847" i="509"/>
  <c r="AJ848" i="509"/>
  <c r="AJ849" i="509"/>
  <c r="AJ850" i="509"/>
  <c r="AJ851" i="509"/>
  <c r="AJ852" i="509"/>
  <c r="AJ853" i="509"/>
  <c r="AJ854" i="509"/>
  <c r="AJ855" i="509"/>
  <c r="AJ856" i="509"/>
  <c r="AJ857" i="509"/>
  <c r="AJ858" i="509"/>
  <c r="AJ859" i="509"/>
  <c r="AJ860" i="509"/>
  <c r="AJ861" i="509"/>
  <c r="AJ862" i="509"/>
  <c r="AJ863" i="509"/>
  <c r="AJ864" i="509"/>
  <c r="AJ865" i="509"/>
  <c r="AJ866" i="509"/>
  <c r="AJ867" i="509"/>
  <c r="AJ868" i="509"/>
  <c r="AJ869" i="509"/>
  <c r="AJ870" i="509"/>
  <c r="AJ871" i="509"/>
  <c r="AJ872" i="509"/>
  <c r="AJ873" i="509"/>
  <c r="AJ874" i="509"/>
  <c r="AJ875" i="509"/>
  <c r="AJ876" i="509"/>
  <c r="AJ877" i="509"/>
  <c r="AJ878" i="509"/>
  <c r="AJ879" i="509"/>
  <c r="AJ880" i="509"/>
  <c r="AJ881" i="509"/>
  <c r="AJ882" i="509"/>
  <c r="AJ883" i="509"/>
  <c r="AJ884" i="509"/>
  <c r="AJ885" i="509"/>
  <c r="AJ886" i="509"/>
  <c r="AJ887" i="509"/>
  <c r="AJ888" i="509"/>
  <c r="AJ889" i="509"/>
  <c r="AJ890" i="509"/>
  <c r="AJ891" i="509"/>
  <c r="AJ892" i="509"/>
  <c r="AJ893" i="509"/>
  <c r="AJ894" i="509"/>
  <c r="AJ895" i="509"/>
  <c r="AJ896" i="509"/>
  <c r="AJ897" i="509"/>
  <c r="AJ898" i="509"/>
  <c r="AJ899" i="509"/>
  <c r="AJ900" i="509"/>
  <c r="AJ901" i="509"/>
  <c r="AJ902" i="509"/>
  <c r="AJ903" i="509"/>
  <c r="AJ904" i="509"/>
  <c r="AJ905" i="509"/>
  <c r="AJ906" i="509"/>
  <c r="AJ907" i="509"/>
  <c r="AJ908" i="509"/>
  <c r="AJ909" i="509"/>
  <c r="AJ910" i="509"/>
  <c r="AJ911" i="509"/>
  <c r="AJ912" i="509"/>
  <c r="AJ913" i="509"/>
  <c r="AJ914" i="509"/>
  <c r="AJ915" i="509"/>
  <c r="AJ916" i="509"/>
  <c r="AJ917" i="509"/>
  <c r="AJ918" i="509"/>
  <c r="AJ919" i="509"/>
  <c r="AJ920" i="509"/>
  <c r="AJ921" i="509"/>
  <c r="AJ922" i="509"/>
  <c r="AJ923" i="509"/>
  <c r="AJ924" i="509"/>
  <c r="AJ925" i="509"/>
  <c r="AJ926" i="509"/>
  <c r="AJ927" i="509"/>
  <c r="AJ928" i="509"/>
  <c r="AJ929" i="509"/>
  <c r="AJ930" i="509"/>
  <c r="AJ931" i="509"/>
  <c r="AJ932" i="509"/>
  <c r="AJ933" i="509"/>
  <c r="AJ934" i="509"/>
  <c r="AJ935" i="509"/>
  <c r="AJ936" i="509"/>
  <c r="AJ937" i="509"/>
  <c r="AJ938" i="509"/>
  <c r="AJ939" i="509"/>
  <c r="AJ940" i="509"/>
  <c r="AJ941" i="509"/>
  <c r="AJ942" i="509"/>
  <c r="AJ943" i="509"/>
  <c r="AJ944" i="509"/>
  <c r="AJ945" i="509"/>
  <c r="AJ946" i="509"/>
  <c r="AJ947" i="509"/>
  <c r="AJ948" i="509"/>
  <c r="AJ949" i="509"/>
  <c r="AJ950" i="509"/>
  <c r="AJ951" i="509"/>
  <c r="AJ952" i="509"/>
  <c r="AJ953" i="509"/>
  <c r="AJ954" i="509"/>
  <c r="AJ955" i="509"/>
  <c r="AJ956" i="509"/>
  <c r="AJ957" i="509"/>
  <c r="AJ958" i="509"/>
  <c r="AJ959" i="509"/>
  <c r="AJ960" i="509"/>
  <c r="AJ961" i="509"/>
  <c r="AJ962" i="509"/>
  <c r="AJ963" i="509"/>
  <c r="AJ964" i="509"/>
  <c r="AJ965" i="509"/>
  <c r="AJ966" i="509"/>
  <c r="AJ967" i="509"/>
  <c r="AJ968" i="509"/>
  <c r="AJ969" i="509"/>
  <c r="AJ970" i="509"/>
  <c r="AJ971" i="509"/>
  <c r="AJ972" i="509"/>
  <c r="AJ973" i="509"/>
  <c r="AJ974" i="509"/>
  <c r="AJ975" i="509"/>
  <c r="AJ976" i="509"/>
  <c r="AJ977" i="509"/>
  <c r="AJ978" i="509"/>
  <c r="AJ979" i="509"/>
  <c r="AJ980" i="509"/>
  <c r="AJ981" i="509"/>
  <c r="AJ982" i="509"/>
  <c r="AJ983" i="509"/>
  <c r="AJ984" i="509"/>
  <c r="AJ985" i="509"/>
  <c r="AJ986" i="509"/>
  <c r="AJ987" i="509"/>
  <c r="AJ988" i="509"/>
  <c r="AJ989" i="509"/>
  <c r="AJ990" i="509"/>
  <c r="AJ991" i="509"/>
  <c r="AJ992" i="509"/>
  <c r="AJ993" i="509"/>
  <c r="AJ994" i="509"/>
  <c r="AJ995" i="509"/>
  <c r="AJ996" i="509"/>
  <c r="AJ997" i="509"/>
  <c r="AJ998" i="509"/>
  <c r="AJ999" i="509"/>
  <c r="AJ1000" i="509"/>
  <c r="AJ1001" i="509"/>
  <c r="AJ1002" i="509"/>
  <c r="AJ1003" i="509"/>
  <c r="AJ1004" i="509"/>
  <c r="AJ1005" i="509"/>
  <c r="AJ1006" i="509"/>
  <c r="AJ1007" i="509"/>
  <c r="AJ1008" i="509"/>
  <c r="AJ1009" i="509"/>
  <c r="AJ1010" i="509"/>
  <c r="AJ1011" i="509"/>
  <c r="AJ1012" i="509"/>
  <c r="AJ1013" i="509"/>
  <c r="AJ1014" i="509"/>
  <c r="AJ1015" i="509"/>
  <c r="AJ1016" i="509"/>
  <c r="AJ1017" i="509"/>
  <c r="AJ1018" i="509"/>
  <c r="AJ1019" i="509"/>
  <c r="AJ1020" i="509"/>
  <c r="AJ1021" i="509"/>
  <c r="AJ1022" i="509"/>
  <c r="AJ1023" i="509"/>
  <c r="AJ1024" i="509"/>
  <c r="AJ1025" i="509"/>
  <c r="AJ1026" i="509"/>
  <c r="AJ1027" i="509"/>
  <c r="AJ1028" i="509"/>
  <c r="AJ1029" i="509"/>
  <c r="AJ1030" i="509"/>
  <c r="AJ1031" i="509"/>
  <c r="AJ1032" i="509"/>
  <c r="AJ1033" i="509"/>
  <c r="AJ1034" i="509"/>
  <c r="AJ1035" i="509"/>
  <c r="AJ1036" i="509"/>
  <c r="AJ1037" i="509"/>
  <c r="AJ1038" i="509"/>
  <c r="AJ1039" i="509"/>
  <c r="AJ1040" i="509"/>
  <c r="AJ1041" i="509"/>
  <c r="AJ1042" i="509"/>
  <c r="AJ1043" i="509"/>
  <c r="AJ1044" i="509"/>
  <c r="AJ1045" i="509"/>
  <c r="AJ1046" i="509"/>
  <c r="AJ1047" i="509"/>
  <c r="AJ1048" i="509"/>
  <c r="AJ1049" i="509"/>
  <c r="AJ1050" i="509"/>
  <c r="AJ1051" i="509"/>
  <c r="AJ1052" i="509"/>
  <c r="AJ1053" i="509"/>
  <c r="AJ1054" i="509"/>
  <c r="AJ1055" i="509"/>
  <c r="AJ1056" i="509"/>
  <c r="AJ1057" i="509"/>
  <c r="AJ1058" i="509"/>
  <c r="AJ1059" i="509"/>
  <c r="AJ1060" i="509"/>
  <c r="AJ1061" i="509"/>
  <c r="AJ1062" i="509"/>
  <c r="AJ1063" i="509"/>
  <c r="AJ1064" i="509"/>
  <c r="AJ1065" i="509"/>
  <c r="AJ1066" i="509"/>
  <c r="AJ1067" i="509"/>
  <c r="AJ1068" i="509"/>
  <c r="AJ1069" i="509"/>
  <c r="AJ1070" i="509"/>
  <c r="AJ1071" i="509"/>
  <c r="AJ1072" i="509"/>
  <c r="AJ1073" i="509"/>
  <c r="AJ1074" i="509"/>
  <c r="AJ1075" i="509"/>
  <c r="AJ1076" i="509"/>
  <c r="AJ1077" i="509"/>
  <c r="AJ1078" i="509"/>
  <c r="AJ1079" i="509"/>
  <c r="AJ1080" i="509"/>
  <c r="AJ1081" i="509"/>
  <c r="AJ1082" i="509"/>
  <c r="AJ1083" i="509"/>
  <c r="AJ1084" i="509"/>
  <c r="AJ1085" i="509"/>
  <c r="AJ1086" i="509"/>
  <c r="AJ1087" i="509"/>
  <c r="AJ1088" i="509"/>
  <c r="AJ1089" i="509"/>
  <c r="AJ1090" i="509"/>
  <c r="AJ1091" i="509"/>
  <c r="AJ1092" i="509"/>
  <c r="AJ1093" i="509"/>
  <c r="AJ1094" i="509"/>
  <c r="AJ1095" i="509"/>
  <c r="AJ1096" i="509"/>
  <c r="AJ1097" i="509"/>
  <c r="AJ1098" i="509"/>
  <c r="AJ1099" i="509"/>
  <c r="AJ1100" i="509"/>
  <c r="AJ1101" i="509"/>
  <c r="AJ1102" i="509"/>
  <c r="AJ1103" i="509"/>
  <c r="AJ1104" i="509"/>
  <c r="AJ1105" i="509"/>
  <c r="AJ1106" i="509"/>
  <c r="AJ1107" i="509"/>
  <c r="AJ1108" i="509"/>
  <c r="AJ1109" i="509"/>
  <c r="AJ1110" i="509"/>
  <c r="AJ1111" i="509"/>
  <c r="AJ1112" i="509"/>
  <c r="AJ1113" i="509"/>
  <c r="AJ1114" i="509"/>
  <c r="AJ1115" i="509"/>
  <c r="AJ1116" i="509"/>
  <c r="AJ1117" i="509"/>
  <c r="AJ1118" i="509"/>
  <c r="AJ1119" i="509"/>
  <c r="AJ1120" i="509"/>
  <c r="AJ1121" i="509"/>
  <c r="AJ1122" i="509"/>
  <c r="AJ1123" i="509"/>
  <c r="AJ1124" i="509"/>
  <c r="AJ1125" i="509"/>
  <c r="AJ1126" i="509"/>
  <c r="AJ1127" i="509"/>
  <c r="AJ1128" i="509"/>
  <c r="AJ1129" i="509"/>
  <c r="AJ1130" i="509"/>
  <c r="AJ1131" i="509"/>
  <c r="AJ1132" i="509"/>
  <c r="AJ1133" i="509"/>
  <c r="AJ1134" i="509"/>
  <c r="AJ1135" i="509"/>
  <c r="AJ1136" i="509"/>
  <c r="AJ1137" i="509"/>
  <c r="AJ1138" i="509"/>
  <c r="AJ1139" i="509"/>
  <c r="AJ1140" i="509"/>
  <c r="AJ1141" i="509"/>
  <c r="AJ1142" i="509"/>
  <c r="AJ1143" i="509"/>
  <c r="AJ1144" i="509"/>
  <c r="AJ1145" i="509"/>
  <c r="AJ1146" i="509"/>
  <c r="AJ1147" i="509"/>
  <c r="AJ1148" i="509"/>
  <c r="AJ1149" i="509"/>
  <c r="AJ1150" i="509"/>
  <c r="AJ1151" i="509"/>
  <c r="AJ1152" i="509"/>
  <c r="AJ1153" i="509"/>
  <c r="AJ1154" i="509"/>
  <c r="AJ1155" i="509"/>
  <c r="AJ1156" i="509"/>
  <c r="AJ1157" i="509"/>
  <c r="AJ1158" i="509"/>
  <c r="AJ1159" i="509"/>
  <c r="AJ1160" i="509"/>
  <c r="AJ1161" i="509"/>
  <c r="AJ1162" i="509"/>
  <c r="AJ1163" i="509"/>
  <c r="AJ1164" i="509"/>
  <c r="AJ1165" i="509"/>
  <c r="AJ1166" i="509"/>
  <c r="AJ1167" i="509"/>
  <c r="AJ1168" i="509"/>
  <c r="AJ1169" i="509"/>
  <c r="AJ1170" i="509"/>
  <c r="AJ1171" i="509"/>
  <c r="AJ1172" i="509"/>
  <c r="AJ1173" i="509"/>
  <c r="AJ1174" i="509"/>
  <c r="AJ1175" i="509"/>
  <c r="AJ1176" i="509"/>
  <c r="AJ1177" i="509"/>
  <c r="AJ1178" i="509"/>
  <c r="AJ1179" i="509"/>
  <c r="AJ1180" i="509"/>
  <c r="AJ1181" i="509"/>
  <c r="AJ1182" i="509"/>
  <c r="AJ1183" i="509"/>
  <c r="AJ1184" i="509"/>
  <c r="AJ1185" i="509"/>
  <c r="AJ1186" i="509"/>
  <c r="AJ1187" i="509"/>
  <c r="AJ1188" i="509"/>
  <c r="AJ1189" i="509"/>
  <c r="AJ1190" i="509"/>
  <c r="AJ1191" i="509"/>
  <c r="AJ1192" i="509"/>
  <c r="AJ1193" i="509"/>
  <c r="AJ1194" i="509"/>
  <c r="AJ1195" i="509"/>
  <c r="AJ1196" i="509"/>
  <c r="AJ1197" i="509"/>
  <c r="AJ1198" i="509"/>
  <c r="AJ1199" i="509"/>
  <c r="AJ1200" i="509"/>
  <c r="AJ1201" i="509"/>
  <c r="AJ1202" i="509"/>
  <c r="AJ1203" i="509"/>
  <c r="AJ1204" i="509"/>
  <c r="AJ1205" i="509"/>
  <c r="AJ1206" i="509"/>
  <c r="AJ1207" i="509"/>
  <c r="AJ1208" i="509"/>
  <c r="AJ1209" i="509"/>
  <c r="AJ1210" i="509"/>
  <c r="AJ1211" i="509"/>
  <c r="AJ1212" i="509"/>
  <c r="AJ1213" i="509"/>
  <c r="AJ1214" i="509"/>
  <c r="AJ1215" i="509"/>
  <c r="AJ1216" i="509"/>
  <c r="AJ1217" i="509"/>
  <c r="AJ1218" i="509"/>
  <c r="AJ1219" i="509"/>
  <c r="AJ1220" i="509"/>
  <c r="AJ1221" i="509"/>
  <c r="AJ1222" i="509"/>
  <c r="AJ1223" i="509"/>
  <c r="AJ1224" i="509"/>
  <c r="AJ1225" i="509"/>
  <c r="AJ1226" i="509"/>
  <c r="AJ1227" i="509"/>
  <c r="AJ1228" i="509"/>
  <c r="AJ1229" i="509"/>
  <c r="AJ1230" i="509"/>
  <c r="AJ1231" i="509"/>
  <c r="AJ1232" i="509"/>
  <c r="AJ1233" i="509"/>
  <c r="AJ1234" i="509"/>
  <c r="AJ1235" i="509"/>
  <c r="AJ1236" i="509"/>
  <c r="AJ1237" i="509"/>
  <c r="AJ1238" i="509"/>
  <c r="AJ1239" i="509"/>
  <c r="AJ1240" i="509"/>
  <c r="AJ1241" i="509"/>
  <c r="AJ1242" i="509"/>
  <c r="AJ1243" i="509"/>
  <c r="AJ1244" i="509"/>
  <c r="AJ1245" i="509"/>
  <c r="AJ1246" i="509"/>
  <c r="AJ1247" i="509"/>
  <c r="AJ1248" i="509"/>
  <c r="AJ1249" i="509"/>
  <c r="AJ1250" i="509"/>
  <c r="AJ1251" i="509"/>
  <c r="AJ1252" i="509"/>
  <c r="AJ1253" i="509"/>
  <c r="AJ1254" i="509"/>
  <c r="AJ1255" i="509"/>
  <c r="AJ1256" i="509"/>
  <c r="AJ1257" i="509"/>
  <c r="AJ1258" i="509"/>
  <c r="AJ1259" i="509"/>
  <c r="AJ1260" i="509"/>
  <c r="AJ1261" i="509"/>
  <c r="AJ1262" i="509"/>
  <c r="AJ1263" i="509"/>
  <c r="AJ1264" i="509"/>
  <c r="AJ1265" i="509"/>
  <c r="AJ1266" i="509"/>
  <c r="AJ1267" i="509"/>
  <c r="AJ1268" i="509"/>
  <c r="AJ1269" i="509"/>
  <c r="AJ1270" i="509"/>
  <c r="AJ1271" i="509"/>
  <c r="AJ1272" i="509"/>
  <c r="AJ1273" i="509"/>
  <c r="AJ1274" i="509"/>
  <c r="AJ1275" i="509"/>
  <c r="AJ1276" i="509"/>
  <c r="AJ1277" i="509"/>
  <c r="AJ1278" i="509"/>
  <c r="AJ1279" i="509"/>
  <c r="AJ1280" i="509"/>
  <c r="AJ1281" i="509"/>
  <c r="AJ1282" i="509"/>
  <c r="AJ1283" i="509"/>
  <c r="AJ1284" i="509"/>
  <c r="AJ1285" i="509"/>
  <c r="AJ1286" i="509"/>
  <c r="AJ1287" i="509"/>
  <c r="AJ1288" i="509"/>
  <c r="AJ1289" i="509"/>
  <c r="AJ1290" i="509"/>
  <c r="AJ1291" i="509"/>
  <c r="AJ1292" i="509"/>
  <c r="AJ1293" i="509"/>
  <c r="AJ1294" i="509"/>
  <c r="AJ1295" i="509"/>
  <c r="AJ1296" i="509"/>
  <c r="AJ1297" i="509"/>
  <c r="AJ1298" i="509"/>
  <c r="AJ1299" i="509"/>
  <c r="AJ1300" i="509"/>
  <c r="AJ1301" i="509"/>
  <c r="AJ1302" i="509"/>
  <c r="AJ1303" i="509"/>
  <c r="AJ1304" i="509"/>
  <c r="AJ1305" i="509"/>
  <c r="AJ1306" i="509"/>
  <c r="AJ1307" i="509"/>
  <c r="AJ1308" i="509"/>
  <c r="AJ1309" i="509"/>
  <c r="AJ1310" i="509"/>
  <c r="AJ1311" i="509"/>
  <c r="AJ1312" i="509"/>
  <c r="AJ1313" i="509"/>
  <c r="AJ1314" i="509"/>
  <c r="AJ1315" i="509"/>
  <c r="AJ1316" i="509"/>
  <c r="AJ1317" i="509"/>
  <c r="AJ1318" i="509"/>
  <c r="AJ1319" i="509"/>
  <c r="AJ1320" i="509"/>
  <c r="AJ1321" i="509"/>
  <c r="AJ1322" i="509"/>
  <c r="AJ1323" i="509"/>
  <c r="AJ1324" i="509"/>
  <c r="AJ1325" i="509"/>
  <c r="AJ1326" i="509"/>
  <c r="AJ1327" i="509"/>
  <c r="AJ1328" i="509"/>
  <c r="AJ1329" i="509"/>
  <c r="AJ1330" i="509"/>
  <c r="AJ1331" i="509"/>
  <c r="AJ1332" i="509"/>
  <c r="AJ1333" i="509"/>
  <c r="AJ1334" i="509"/>
  <c r="AJ1335" i="509"/>
  <c r="AJ1336" i="509"/>
  <c r="AJ1337" i="509"/>
  <c r="AJ1338" i="509"/>
  <c r="AJ1339" i="509"/>
  <c r="AJ1340" i="509"/>
  <c r="AJ1341" i="509"/>
  <c r="AJ1342" i="509"/>
  <c r="AJ1343" i="509"/>
  <c r="AJ1344" i="509"/>
  <c r="AJ1345" i="509"/>
  <c r="AJ1346" i="509"/>
  <c r="AJ1347" i="509"/>
  <c r="AJ1348" i="509"/>
  <c r="AJ1349" i="509"/>
  <c r="AJ1350" i="509"/>
  <c r="AJ1351" i="509"/>
  <c r="AJ1352" i="509"/>
  <c r="AJ1353" i="509"/>
  <c r="AJ1354" i="509"/>
  <c r="AJ1355" i="509"/>
  <c r="AJ1356" i="509"/>
  <c r="AJ1357" i="509"/>
  <c r="AJ1358" i="509"/>
  <c r="AJ1359" i="509"/>
  <c r="AJ1360" i="509"/>
  <c r="AJ1361" i="509"/>
  <c r="AJ1362" i="509"/>
  <c r="AJ1363" i="509"/>
  <c r="AJ1364" i="509"/>
  <c r="AJ1365" i="509"/>
  <c r="AJ1366" i="509"/>
  <c r="AJ1367" i="509"/>
  <c r="AJ1368" i="509"/>
  <c r="AJ1369" i="509"/>
  <c r="AJ1370" i="509"/>
  <c r="AJ1371" i="509"/>
  <c r="AJ1372" i="509"/>
  <c r="AJ1373" i="509"/>
  <c r="AJ1374" i="509"/>
  <c r="AJ1375" i="509"/>
  <c r="AJ1376" i="509"/>
  <c r="AJ1377" i="509"/>
  <c r="AJ1378" i="509"/>
  <c r="AJ1379" i="509"/>
  <c r="AJ1380" i="509"/>
  <c r="AJ1381" i="509"/>
  <c r="AJ1382" i="509"/>
  <c r="AJ1383" i="509"/>
  <c r="AJ1384" i="509"/>
  <c r="AJ1385" i="509"/>
  <c r="AJ1386" i="509"/>
  <c r="AJ1387" i="509"/>
  <c r="AJ1388" i="509"/>
  <c r="AJ1389" i="509"/>
  <c r="AJ1390" i="509"/>
  <c r="AJ1391" i="509"/>
  <c r="AJ1392" i="509"/>
  <c r="AJ1393" i="509"/>
  <c r="AJ1394" i="509"/>
  <c r="AJ1395" i="509"/>
  <c r="AJ1396" i="509"/>
  <c r="AJ1397" i="509"/>
  <c r="AJ1398" i="509"/>
  <c r="AJ1399" i="509"/>
  <c r="AJ1400" i="509"/>
  <c r="AJ1401" i="509"/>
  <c r="AJ1402" i="509"/>
  <c r="AJ1403" i="509"/>
  <c r="AJ1404" i="509"/>
  <c r="AJ1405" i="509"/>
  <c r="AJ1406" i="509"/>
  <c r="AJ1407" i="509"/>
  <c r="AJ1408" i="509"/>
  <c r="AJ1409" i="509"/>
  <c r="AJ1410" i="509"/>
  <c r="AJ1411" i="509"/>
  <c r="AJ1412" i="509"/>
  <c r="AJ1413" i="509"/>
  <c r="AJ1414" i="509"/>
  <c r="AJ1415" i="509"/>
  <c r="AJ1416" i="509"/>
  <c r="AJ1417" i="509"/>
  <c r="AJ1418" i="509"/>
  <c r="AJ1419" i="509"/>
  <c r="AJ1420" i="509"/>
  <c r="AJ1421" i="509"/>
  <c r="AJ1422" i="509"/>
  <c r="AJ1423" i="509"/>
  <c r="AJ1424" i="509"/>
  <c r="AJ1425" i="509"/>
  <c r="AJ1426" i="509"/>
  <c r="AJ1427" i="509"/>
  <c r="AJ1428" i="509"/>
  <c r="AJ1429" i="509"/>
  <c r="AJ1430" i="509"/>
  <c r="AJ1431" i="509"/>
  <c r="AJ1432" i="509"/>
  <c r="AJ1433" i="509"/>
  <c r="AJ1434" i="509"/>
  <c r="AJ1435" i="509"/>
  <c r="AJ1436" i="509"/>
  <c r="AJ1437" i="509"/>
  <c r="AJ1438" i="509"/>
  <c r="AJ1439" i="509"/>
  <c r="AJ1440" i="509"/>
  <c r="AJ1441" i="509"/>
  <c r="AJ1442" i="509"/>
  <c r="AJ1443" i="509"/>
  <c r="AJ1444" i="509"/>
  <c r="AJ1445" i="509"/>
  <c r="AJ1446" i="509"/>
  <c r="AJ1447" i="509"/>
  <c r="AJ1448" i="509"/>
  <c r="AJ1449" i="509"/>
  <c r="AJ1450" i="509"/>
  <c r="AJ1451" i="509"/>
  <c r="AJ1452" i="509"/>
  <c r="AJ1453" i="509"/>
  <c r="AJ1454" i="509"/>
  <c r="AJ1455" i="509"/>
  <c r="AJ1456" i="509"/>
  <c r="AJ1457" i="509"/>
  <c r="AJ1458" i="509"/>
  <c r="AJ1459" i="509"/>
  <c r="AJ1460" i="509"/>
  <c r="AJ1461" i="509"/>
  <c r="AJ1462" i="509"/>
  <c r="AJ1463" i="509"/>
  <c r="AJ1464" i="509"/>
  <c r="AJ1465" i="509"/>
  <c r="AJ1466" i="509"/>
  <c r="AJ1467" i="509"/>
  <c r="AJ1468" i="509"/>
  <c r="AJ1469" i="509"/>
  <c r="AJ1470" i="509"/>
  <c r="AJ1471" i="509"/>
  <c r="AJ1472" i="509"/>
  <c r="AJ1473" i="509"/>
  <c r="AJ1474" i="509"/>
  <c r="AJ1475" i="509"/>
  <c r="AJ1476" i="509"/>
  <c r="AJ1477" i="509"/>
  <c r="AJ1478" i="509"/>
  <c r="AJ1479" i="509"/>
  <c r="AJ1480" i="509"/>
  <c r="AJ1481" i="509"/>
  <c r="AJ1482" i="509"/>
  <c r="AJ1483" i="509"/>
  <c r="AJ1484" i="509"/>
  <c r="AJ1485" i="509"/>
  <c r="AJ1486" i="509"/>
  <c r="AJ1487" i="509"/>
  <c r="AJ1488" i="509"/>
  <c r="AJ1489" i="509"/>
  <c r="AJ1490" i="509"/>
  <c r="AJ1491" i="509"/>
  <c r="AJ1492" i="509"/>
  <c r="AJ1493" i="509"/>
  <c r="AJ1494" i="509"/>
  <c r="AJ1495" i="509"/>
  <c r="AJ1496" i="509"/>
  <c r="AJ1497" i="509"/>
  <c r="AJ1498" i="509"/>
  <c r="AJ1499" i="509"/>
  <c r="AJ1500" i="509"/>
  <c r="AJ1501" i="509"/>
  <c r="AJ1502" i="509"/>
  <c r="AJ1503" i="509"/>
  <c r="AJ1504" i="509"/>
  <c r="AJ1505" i="509"/>
  <c r="AJ1506" i="509"/>
  <c r="AJ1507" i="509"/>
  <c r="AJ1508" i="509"/>
  <c r="AJ1509" i="509"/>
  <c r="AJ1510" i="509"/>
  <c r="AJ1511" i="509"/>
  <c r="AJ1512" i="509"/>
  <c r="AJ1513" i="509"/>
  <c r="AJ1514" i="509"/>
  <c r="AJ1515" i="509"/>
  <c r="AJ1516" i="509"/>
  <c r="AJ1517" i="509"/>
  <c r="AJ1518" i="509"/>
  <c r="AJ1519" i="509"/>
  <c r="AJ1520" i="509"/>
  <c r="AJ1521" i="509"/>
  <c r="AJ1522" i="509"/>
  <c r="AJ1523" i="509"/>
  <c r="AJ1524" i="509"/>
  <c r="AJ1525" i="509"/>
  <c r="AJ1526" i="509"/>
  <c r="AJ1527" i="509"/>
  <c r="AJ1528" i="509"/>
  <c r="AJ1529" i="509"/>
  <c r="AJ1530" i="509"/>
  <c r="AJ1531" i="509"/>
  <c r="AJ1532" i="509"/>
  <c r="AJ1533" i="509"/>
  <c r="AJ1534" i="509"/>
  <c r="AJ1535" i="509"/>
  <c r="AJ1536" i="509"/>
  <c r="AJ1537" i="509"/>
  <c r="AJ1538" i="509"/>
  <c r="AJ1539" i="509"/>
  <c r="AJ1540" i="509"/>
  <c r="AJ1541" i="509"/>
  <c r="AJ1542" i="509"/>
  <c r="AJ1543" i="509"/>
  <c r="AJ1544" i="509"/>
  <c r="AJ1545" i="509"/>
  <c r="AJ1546" i="509"/>
  <c r="AJ1547" i="509"/>
  <c r="AJ1548" i="509"/>
  <c r="AJ1549" i="509"/>
  <c r="AJ1550" i="509"/>
  <c r="AJ1551" i="509"/>
  <c r="AJ1552" i="509"/>
  <c r="AJ1553" i="509"/>
  <c r="AJ1554" i="509"/>
  <c r="AJ1555" i="509"/>
  <c r="AJ1556" i="509"/>
  <c r="AJ1557" i="509"/>
  <c r="AJ1558" i="509"/>
  <c r="AJ1559" i="509"/>
  <c r="AJ1560" i="509"/>
  <c r="AJ1561" i="509"/>
  <c r="AJ1562" i="509"/>
  <c r="AJ1563" i="509"/>
  <c r="AJ1564" i="509"/>
  <c r="AJ1565" i="509"/>
  <c r="AJ1566" i="509"/>
  <c r="AJ1567" i="509"/>
  <c r="AJ1568" i="509"/>
  <c r="AJ1569" i="509"/>
  <c r="AJ1570" i="509"/>
  <c r="AJ1571" i="509"/>
  <c r="AJ1572" i="509"/>
  <c r="AJ1573" i="509"/>
  <c r="AJ1574" i="509"/>
  <c r="AJ1575" i="509"/>
  <c r="AJ1576" i="509"/>
  <c r="AJ1577" i="509"/>
  <c r="AJ1578" i="509"/>
  <c r="AJ1579" i="509"/>
  <c r="AJ1580" i="509"/>
  <c r="AJ1581" i="509"/>
  <c r="AJ1582" i="509"/>
  <c r="AJ1583" i="509"/>
  <c r="AJ1584" i="509"/>
  <c r="AJ1585" i="509"/>
  <c r="AJ1586" i="509"/>
  <c r="AJ1587" i="509"/>
  <c r="AJ1588" i="509"/>
  <c r="AJ1589" i="509"/>
  <c r="AJ1590" i="509"/>
  <c r="AJ1591" i="509"/>
  <c r="AJ1592" i="509"/>
  <c r="AJ1593" i="509"/>
  <c r="AJ1594" i="509"/>
  <c r="AJ1595" i="509"/>
  <c r="AJ1596" i="509"/>
  <c r="AJ1597" i="509"/>
  <c r="AJ1598" i="509"/>
  <c r="AJ1599" i="509"/>
  <c r="AJ1600" i="509"/>
  <c r="AJ1601" i="509"/>
  <c r="AJ1602" i="509"/>
  <c r="AJ1603" i="509"/>
  <c r="AJ1604" i="509"/>
  <c r="AJ1605" i="509"/>
  <c r="AJ1606" i="509"/>
  <c r="AJ1607" i="509"/>
  <c r="AJ1608" i="509"/>
  <c r="AJ1609" i="509"/>
  <c r="AJ1610" i="509"/>
  <c r="AJ1611" i="509"/>
  <c r="AJ1612" i="509"/>
  <c r="AJ1613" i="509"/>
  <c r="AJ1614" i="509"/>
  <c r="AJ1615" i="509"/>
  <c r="AJ1616" i="509"/>
  <c r="AJ1617" i="509"/>
  <c r="AJ1618" i="509"/>
  <c r="AJ1619" i="509"/>
  <c r="AJ1620" i="509"/>
  <c r="AJ1621" i="509"/>
  <c r="AJ1622" i="509"/>
  <c r="AJ1623" i="509"/>
  <c r="AJ1624" i="509"/>
  <c r="AJ1625" i="509"/>
  <c r="AJ1626" i="509"/>
  <c r="AJ1627" i="509"/>
  <c r="AJ1628" i="509"/>
  <c r="AJ1629" i="509"/>
  <c r="AJ1630" i="509"/>
  <c r="AJ1631" i="509"/>
  <c r="AJ1632" i="509"/>
  <c r="AJ1633" i="509"/>
  <c r="AJ1634" i="509"/>
  <c r="AJ1635" i="509"/>
  <c r="AJ1636" i="509"/>
  <c r="AJ1637" i="509"/>
  <c r="AJ1638" i="509"/>
  <c r="AJ1639" i="509"/>
  <c r="AJ1640" i="509"/>
  <c r="AJ1641" i="509"/>
  <c r="AJ1642" i="509"/>
  <c r="AJ1643" i="509"/>
  <c r="AJ1644" i="509"/>
  <c r="AJ1645" i="509"/>
  <c r="AJ1646" i="509"/>
  <c r="AJ1647" i="509"/>
  <c r="AJ1648" i="509"/>
  <c r="AJ1649" i="509"/>
  <c r="AJ1650" i="509"/>
  <c r="AJ1651" i="509"/>
  <c r="AJ1652" i="509"/>
  <c r="AJ1653" i="509"/>
  <c r="AJ1654" i="509"/>
  <c r="AJ1655" i="509"/>
  <c r="AJ1656" i="509"/>
  <c r="AJ1657" i="509"/>
  <c r="AJ1658" i="509"/>
  <c r="AJ1659" i="509"/>
  <c r="AJ1660" i="509"/>
  <c r="AJ1661" i="509"/>
  <c r="AJ1662" i="509"/>
  <c r="AJ1663" i="509"/>
  <c r="AJ1664" i="509"/>
  <c r="AJ1665" i="509"/>
  <c r="AJ1666" i="509"/>
  <c r="AJ1667" i="509"/>
  <c r="AJ1668" i="509"/>
  <c r="AJ1669" i="509"/>
  <c r="AJ1670" i="509"/>
  <c r="AJ1671" i="509"/>
  <c r="AJ1672" i="509"/>
  <c r="AJ1673" i="509"/>
  <c r="AJ1674" i="509"/>
  <c r="AJ1675" i="509"/>
  <c r="AJ1676" i="509"/>
  <c r="AJ1677" i="509"/>
  <c r="AJ1678" i="509"/>
  <c r="AJ1679" i="509"/>
  <c r="AJ1680" i="509"/>
  <c r="AJ1681" i="509"/>
  <c r="AJ1682" i="509"/>
  <c r="AJ1683" i="509"/>
  <c r="AJ1684" i="509"/>
  <c r="AJ1685" i="509"/>
  <c r="AJ1686" i="509"/>
  <c r="AJ1687" i="509"/>
  <c r="AJ1688" i="509"/>
  <c r="AJ1689" i="509"/>
  <c r="AJ1690" i="509"/>
  <c r="AJ1691" i="509"/>
  <c r="AJ1692" i="509"/>
  <c r="AJ1693" i="509"/>
  <c r="AJ1694" i="509"/>
  <c r="AJ1695" i="509"/>
  <c r="AJ1696" i="509"/>
  <c r="AJ1697" i="509"/>
  <c r="AJ1698" i="509"/>
  <c r="AJ1699" i="509"/>
  <c r="AJ1700" i="509"/>
  <c r="AJ1701" i="509"/>
  <c r="AJ1702" i="509"/>
  <c r="AJ1703" i="509"/>
  <c r="AJ1704" i="509"/>
  <c r="AJ1705" i="509"/>
  <c r="AJ1706" i="509"/>
  <c r="AJ1707" i="509"/>
  <c r="AJ1708" i="509"/>
  <c r="AJ1709" i="509"/>
  <c r="AJ1710" i="509"/>
  <c r="AJ1711" i="509"/>
  <c r="AJ1712" i="509"/>
  <c r="AJ1713" i="509"/>
  <c r="AJ1714" i="509"/>
  <c r="AJ1715" i="509"/>
  <c r="AJ1716" i="509"/>
  <c r="AJ1717" i="509"/>
  <c r="AJ1718" i="509"/>
  <c r="AJ1719" i="509"/>
  <c r="AJ1720" i="509"/>
  <c r="AJ1721" i="509"/>
  <c r="AJ1722" i="509"/>
  <c r="AJ1723" i="509"/>
  <c r="AJ1724" i="509"/>
  <c r="AJ1725" i="509"/>
  <c r="AJ1726" i="509"/>
  <c r="AJ1727" i="509"/>
  <c r="AJ1728" i="509"/>
  <c r="AJ1729" i="509"/>
  <c r="AJ1730" i="509"/>
  <c r="AJ1731" i="509"/>
  <c r="AJ1732" i="509"/>
  <c r="AJ1733" i="509"/>
  <c r="AJ1734" i="509"/>
  <c r="AJ1735" i="509"/>
  <c r="AJ1736" i="509"/>
  <c r="AJ1737" i="509"/>
  <c r="AJ1738" i="509"/>
  <c r="AJ1739" i="509"/>
  <c r="AJ1740" i="509"/>
  <c r="AJ1741" i="509"/>
  <c r="AJ1742" i="509"/>
  <c r="AJ1743" i="509"/>
  <c r="AJ1744" i="509"/>
  <c r="AJ1745" i="509"/>
  <c r="AJ1746" i="509"/>
  <c r="AJ1747" i="509"/>
  <c r="AJ1748" i="509"/>
  <c r="AJ1749" i="509"/>
  <c r="AJ1750" i="509"/>
  <c r="AJ1751" i="509"/>
  <c r="AJ1752" i="509"/>
  <c r="AJ1753" i="509"/>
  <c r="AJ1754" i="509"/>
  <c r="AJ1755" i="509"/>
  <c r="AJ1756" i="509"/>
  <c r="AJ1757" i="509"/>
  <c r="AJ1758" i="509"/>
  <c r="AJ1759" i="509"/>
  <c r="AJ1760" i="509"/>
  <c r="AJ1761" i="509"/>
  <c r="AJ1762" i="509"/>
  <c r="AJ1763" i="509"/>
  <c r="AJ1764" i="509"/>
  <c r="AJ1765" i="509"/>
  <c r="AJ1766" i="509"/>
  <c r="AJ1767" i="509"/>
  <c r="AJ1768" i="509"/>
  <c r="AJ1769" i="509"/>
  <c r="AJ1770" i="509"/>
  <c r="AJ1771" i="509"/>
  <c r="AJ1772" i="509"/>
  <c r="AJ1773" i="509"/>
  <c r="AJ1774" i="509"/>
  <c r="AJ1775" i="509"/>
  <c r="AJ1776" i="509"/>
  <c r="AJ1777" i="509"/>
  <c r="AJ1778" i="509"/>
  <c r="AJ1779" i="509"/>
  <c r="AJ1780" i="509"/>
  <c r="AJ1781" i="509"/>
  <c r="AJ1782" i="509"/>
  <c r="AJ1783" i="509"/>
  <c r="AJ1784" i="509"/>
  <c r="AJ1785" i="509"/>
  <c r="AJ1786" i="509"/>
  <c r="AJ1787" i="509"/>
  <c r="AJ1788" i="509"/>
  <c r="AJ1789" i="509"/>
  <c r="AJ1790" i="509"/>
  <c r="AJ1791" i="509"/>
  <c r="AJ1792" i="509"/>
  <c r="AJ1793" i="509"/>
  <c r="AJ1794" i="509"/>
  <c r="AJ1795" i="509"/>
  <c r="AJ1796" i="509"/>
  <c r="AJ1797" i="509"/>
  <c r="AJ1798" i="509"/>
  <c r="AJ1799" i="509"/>
  <c r="AJ1800" i="509"/>
  <c r="AJ1801" i="509"/>
  <c r="AJ1802" i="509"/>
  <c r="AJ1803" i="509"/>
  <c r="AJ1804" i="509"/>
  <c r="AJ1805" i="509"/>
  <c r="AJ1806" i="509"/>
  <c r="AJ1807" i="509"/>
  <c r="AJ1808" i="509"/>
  <c r="AJ1809" i="509"/>
  <c r="AJ1810" i="509"/>
  <c r="AJ1811" i="509"/>
  <c r="AJ1812" i="509"/>
  <c r="AJ1813" i="509"/>
  <c r="AJ1814" i="509"/>
  <c r="AJ1815" i="509"/>
  <c r="AJ1816" i="509"/>
  <c r="AJ1817" i="509"/>
  <c r="AJ1818" i="509"/>
  <c r="AJ1819" i="509"/>
  <c r="AJ1820" i="509"/>
  <c r="AJ1821" i="509"/>
  <c r="AJ1822" i="509"/>
  <c r="AJ1823" i="509"/>
  <c r="AJ1824" i="509"/>
  <c r="AJ1825" i="509"/>
  <c r="AJ1826" i="509"/>
  <c r="AJ1827" i="509"/>
  <c r="AJ1828" i="509"/>
  <c r="AJ8" i="509"/>
  <c r="L47" i="836"/>
  <c r="M47" i="836" s="1"/>
  <c r="AP27" i="789"/>
  <c r="AP9" i="789"/>
  <c r="AP10" i="789"/>
  <c r="AP11" i="789"/>
  <c r="AP12" i="789"/>
  <c r="AP13" i="789"/>
  <c r="AP14" i="789"/>
  <c r="AP15" i="789"/>
  <c r="AP16" i="789"/>
  <c r="AP17" i="789"/>
  <c r="AP18" i="789"/>
  <c r="AP19" i="789"/>
  <c r="AP20" i="789"/>
  <c r="AP21" i="789"/>
  <c r="AP22" i="789"/>
  <c r="AP23" i="789"/>
  <c r="AP24" i="789"/>
  <c r="AP25" i="789"/>
  <c r="AP26" i="789"/>
  <c r="AP28" i="789"/>
  <c r="AP29" i="789"/>
  <c r="AP30" i="789"/>
  <c r="AP31" i="789"/>
  <c r="AP32" i="789"/>
  <c r="AP33" i="789"/>
  <c r="AP34" i="789"/>
  <c r="AP35" i="789"/>
  <c r="AP36" i="789"/>
  <c r="AP37" i="789"/>
  <c r="AP38" i="789"/>
  <c r="AP39" i="789"/>
  <c r="AP40" i="789"/>
  <c r="AP41" i="789"/>
  <c r="AP8" i="789"/>
  <c r="AG9" i="793"/>
  <c r="AG10" i="793"/>
  <c r="AG11" i="793"/>
  <c r="AG12" i="793"/>
  <c r="AG13" i="793"/>
  <c r="AG14" i="793"/>
  <c r="AG15" i="793"/>
  <c r="AG16" i="793"/>
  <c r="AG17" i="793"/>
  <c r="AG18" i="793"/>
  <c r="AG19" i="793"/>
  <c r="AG20" i="793"/>
  <c r="AG21" i="793"/>
  <c r="AG22" i="793"/>
  <c r="AG23" i="793"/>
  <c r="AG24" i="793"/>
  <c r="AG25" i="793"/>
  <c r="AG26" i="793"/>
  <c r="AG27" i="793"/>
  <c r="AG28" i="793"/>
  <c r="AG29" i="793"/>
  <c r="AG30" i="793"/>
  <c r="AG31" i="793"/>
  <c r="AG32" i="793"/>
  <c r="AG33" i="793"/>
  <c r="AG34" i="793"/>
  <c r="AG35" i="793"/>
  <c r="AG36" i="793"/>
  <c r="AG37" i="793"/>
  <c r="AG38" i="793"/>
  <c r="AG39" i="793"/>
  <c r="AG40" i="793"/>
  <c r="AG41" i="793"/>
  <c r="AG42" i="793"/>
  <c r="AG43" i="793"/>
  <c r="AG44" i="793"/>
  <c r="AG45" i="793"/>
  <c r="AG46" i="793"/>
  <c r="AG47" i="793"/>
  <c r="AG8" i="793"/>
  <c r="S4" i="776"/>
  <c r="U3" i="216"/>
  <c r="L9" i="836"/>
  <c r="M9" i="836" s="1"/>
  <c r="L10" i="836"/>
  <c r="M10" i="836" s="1"/>
  <c r="L11" i="836"/>
  <c r="M11" i="836" s="1"/>
  <c r="L12" i="836"/>
  <c r="M12" i="836" s="1"/>
  <c r="L13" i="836"/>
  <c r="M13" i="836" s="1"/>
  <c r="L14" i="836"/>
  <c r="M14" i="836" s="1"/>
  <c r="L15" i="836"/>
  <c r="M15" i="836" s="1"/>
  <c r="L16" i="836"/>
  <c r="M16" i="836" s="1"/>
  <c r="L17" i="836"/>
  <c r="M17" i="836" s="1"/>
  <c r="L18" i="836"/>
  <c r="M18" i="836" s="1"/>
  <c r="L19" i="836"/>
  <c r="M19" i="836" s="1"/>
  <c r="L20" i="836"/>
  <c r="M20" i="836" s="1"/>
  <c r="L21" i="836"/>
  <c r="M21" i="836" s="1"/>
  <c r="L22" i="836"/>
  <c r="M22" i="836" s="1"/>
  <c r="L23" i="836"/>
  <c r="M23" i="836" s="1"/>
  <c r="L24" i="836"/>
  <c r="M24" i="836" s="1"/>
  <c r="L25" i="836"/>
  <c r="M25" i="836" s="1"/>
  <c r="L26" i="836"/>
  <c r="M26" i="836" s="1"/>
  <c r="L27" i="836"/>
  <c r="M27" i="836" s="1"/>
  <c r="L28" i="836"/>
  <c r="M28" i="836" s="1"/>
  <c r="L29" i="836"/>
  <c r="M29" i="836" s="1"/>
  <c r="L30" i="836"/>
  <c r="M30" i="836" s="1"/>
  <c r="L31" i="836"/>
  <c r="M31" i="836" s="1"/>
  <c r="L32" i="836"/>
  <c r="M32" i="836" s="1"/>
  <c r="L33" i="836"/>
  <c r="M33" i="836" s="1"/>
  <c r="L34" i="836"/>
  <c r="M34" i="836" s="1"/>
  <c r="L35" i="836"/>
  <c r="M35" i="836" s="1"/>
  <c r="L36" i="836"/>
  <c r="M36" i="836" s="1"/>
  <c r="L37" i="836"/>
  <c r="M37" i="836" s="1"/>
  <c r="L38" i="836"/>
  <c r="M38" i="836" s="1"/>
  <c r="L39" i="836"/>
  <c r="M39" i="836" s="1"/>
  <c r="L40" i="836"/>
  <c r="M40" i="836" s="1"/>
  <c r="L41" i="836"/>
  <c r="M41" i="836" s="1"/>
  <c r="L42" i="836"/>
  <c r="M42" i="836" s="1"/>
  <c r="L43" i="836"/>
  <c r="M43" i="836" s="1"/>
  <c r="L44" i="836"/>
  <c r="M44" i="836" s="1"/>
  <c r="L45" i="836"/>
  <c r="M45" i="836" s="1"/>
  <c r="L46" i="836"/>
  <c r="M46" i="836" s="1"/>
  <c r="L8" i="836"/>
  <c r="AL39" i="509" l="1"/>
  <c r="AL9" i="509"/>
  <c r="AL10" i="509"/>
  <c r="AL11" i="509"/>
  <c r="AL12" i="509"/>
  <c r="AL13" i="509"/>
  <c r="AL14" i="509"/>
  <c r="AL15" i="509"/>
  <c r="AL16" i="509"/>
  <c r="AL17" i="509"/>
  <c r="AL18" i="509"/>
  <c r="AL19" i="509"/>
  <c r="AL20" i="509"/>
  <c r="AL21" i="509"/>
  <c r="AL22" i="509"/>
  <c r="AL23" i="509"/>
  <c r="AL24" i="509"/>
  <c r="AL25" i="509"/>
  <c r="AL26" i="509"/>
  <c r="AL27" i="509"/>
  <c r="AL28" i="509"/>
  <c r="AL29" i="509"/>
  <c r="AL30" i="509"/>
  <c r="AL31" i="509"/>
  <c r="AL32" i="509"/>
  <c r="AL33" i="509"/>
  <c r="AL34" i="509"/>
  <c r="AL35" i="509"/>
  <c r="AL36" i="509"/>
  <c r="AL37" i="509"/>
  <c r="AL38" i="509"/>
  <c r="AL8" i="509"/>
  <c r="D41" i="26"/>
  <c r="H39" i="26"/>
  <c r="I39" i="26" s="1"/>
  <c r="B39" i="26"/>
  <c r="H38" i="26"/>
  <c r="B38" i="26"/>
  <c r="H37" i="26"/>
  <c r="B37" i="26"/>
  <c r="H36" i="26"/>
  <c r="B36" i="26"/>
  <c r="H35" i="26"/>
  <c r="B35" i="26"/>
  <c r="H34" i="26"/>
  <c r="B34" i="26"/>
  <c r="H33" i="26"/>
  <c r="B33" i="26"/>
  <c r="H32" i="26"/>
  <c r="B32" i="26"/>
  <c r="H31" i="26"/>
  <c r="B31" i="26"/>
  <c r="H30" i="26"/>
  <c r="B30" i="26"/>
  <c r="H29" i="26"/>
  <c r="B29" i="26"/>
  <c r="H28" i="26"/>
  <c r="B28" i="26"/>
  <c r="L18" i="26"/>
  <c r="D24" i="26" s="1"/>
  <c r="I14" i="26"/>
  <c r="K12" i="26"/>
  <c r="AB9" i="26"/>
  <c r="AB8" i="26"/>
  <c r="AB7" i="26"/>
  <c r="B6" i="26"/>
  <c r="B5" i="26"/>
  <c r="AB4" i="26"/>
  <c r="B3" i="26"/>
  <c r="D38" i="24"/>
  <c r="H36" i="24"/>
  <c r="I36" i="24" s="1"/>
  <c r="B36" i="24"/>
  <c r="H35" i="24"/>
  <c r="B35" i="24"/>
  <c r="H34" i="24"/>
  <c r="B34" i="24"/>
  <c r="H33" i="24"/>
  <c r="B33" i="24"/>
  <c r="H32" i="24"/>
  <c r="B32" i="24"/>
  <c r="H31" i="24"/>
  <c r="B31" i="24"/>
  <c r="H30" i="24"/>
  <c r="B30" i="24"/>
  <c r="H29" i="24"/>
  <c r="B29" i="24"/>
  <c r="H28" i="24"/>
  <c r="B28" i="24"/>
  <c r="H27" i="24"/>
  <c r="B27" i="24"/>
  <c r="H26" i="24"/>
  <c r="H25" i="24"/>
  <c r="B25" i="24"/>
  <c r="B26" i="24" s="1"/>
  <c r="L15" i="24"/>
  <c r="D21" i="24" s="1"/>
  <c r="I11" i="24"/>
  <c r="K9" i="24"/>
  <c r="AB2" i="24" s="1"/>
  <c r="AB6" i="24"/>
  <c r="AB5" i="24"/>
  <c r="AB4" i="24"/>
  <c r="AB3" i="24"/>
  <c r="AK4" i="509"/>
  <c r="AL4" i="509" s="1"/>
  <c r="AJ5" i="509" s="1"/>
  <c r="AJ4" i="509"/>
  <c r="AK3" i="509"/>
  <c r="I32" i="26" l="1"/>
  <c r="I33" i="26"/>
  <c r="I28" i="26"/>
  <c r="I34" i="26"/>
  <c r="I29" i="26"/>
  <c r="I30" i="26"/>
  <c r="I36" i="26"/>
  <c r="I35" i="26"/>
  <c r="I31" i="26"/>
  <c r="I37" i="26"/>
  <c r="I38" i="26"/>
  <c r="I34" i="24"/>
  <c r="I32" i="24"/>
  <c r="I25" i="24"/>
  <c r="I33" i="24"/>
  <c r="I28" i="24"/>
  <c r="I29" i="24"/>
  <c r="I27" i="24"/>
  <c r="I35" i="24"/>
  <c r="I31" i="24"/>
  <c r="H37" i="24"/>
  <c r="I12" i="26"/>
  <c r="H9" i="26" s="1"/>
  <c r="H40" i="26"/>
  <c r="I26" i="24"/>
  <c r="I30" i="24"/>
  <c r="I9" i="24"/>
  <c r="H6" i="24" s="1"/>
  <c r="AB2" i="26"/>
  <c r="AB1" i="24"/>
  <c r="AB1" i="26"/>
  <c r="D40" i="26"/>
  <c r="D37" i="24"/>
  <c r="I40" i="26" l="1"/>
  <c r="I37" i="2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U7" authorId="0" shapeId="0" xr:uid="{2A7C0095-B415-45B9-88B7-59622E6C666D}">
      <text>
        <r>
          <rPr>
            <b/>
            <sz val="9"/>
            <color indexed="81"/>
            <rFont val="Tahoma"/>
            <family val="2"/>
          </rPr>
          <t>1=Void
0=Issued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AE7" authorId="0" shapeId="0" xr:uid="{180F0735-83A2-4C89-AADE-5CDB9843FDB0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" authorId="0" shapeId="0" xr:uid="{8F0A9840-1957-4E3A-ADF3-26A9257420E6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7" authorId="0" shapeId="0" xr:uid="{E43F0FB5-B1B7-4409-A5BB-D0650D8ED933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  <comment ref="AO36" authorId="0" shapeId="0" xr:uid="{FAFC73E0-6B4A-4F77-A07E-A290E37BBABE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37" authorId="0" shapeId="0" xr:uid="{A991BFDF-971A-4B01-9D03-E1DA917CB8A4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38" authorId="0" shapeId="0" xr:uid="{50206D4C-849B-4519-A10A-5FB63288E3C4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AK7" authorId="0" shapeId="0" xr:uid="{CD5BD06F-4F1B-4ACD-8B90-E6DF665D65EF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L7" authorId="0" shapeId="0" xr:uid="{5CD70EDF-830F-4752-B329-381AF744B3CB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M7" authorId="0" shapeId="0" xr:uid="{0D19405C-84C6-4A4C-9DE2-559A89E3D363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  <comment ref="AT42" authorId="0" shapeId="0" xr:uid="{DADFFDA6-2B73-4A1A-8E18-F480C9E4F8DF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43" authorId="0" shapeId="0" xr:uid="{CD1667DF-0A38-406E-AD4B-AA0A6D833F1D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44" authorId="0" shapeId="0" xr:uid="{6EC67037-ED8F-4027-9E62-68A4BF9DA428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5C5CCB3-B8BB-4584-A8DB-CA5F0CA5F0AC}" keepAlive="1" name="Query - NBC_Exchange_Rate" description="Connection to the 'NBC_Exchange_Rate' query in the workbook." type="5" refreshedVersion="8" background="1" saveData="1">
    <dbPr connection="Provider=Microsoft.Mashup.OleDb.1;Data Source=$Workbook$;Location=NBC_Exchange_Rate;Extended Properties=&quot;&quot;" command="SELECT * FROM [NBC_Exchange_Rate]"/>
  </connection>
  <connection id="2" xr16:uid="{FA321BB5-0288-4B3F-95C9-4FFC40B293F5}" name="Query - tbl_person" description="Connection to the 'tbl_person' query in the workbook." type="100" refreshedVersion="8" minRefreshableVersion="5">
    <extLst>
      <ext xmlns:x15="http://schemas.microsoft.com/office/spreadsheetml/2010/11/main" uri="{DE250136-89BD-433C-8126-D09CA5730AF9}">
        <x15:connection id="7100451b-3435-4847-a8ff-e4860462bcf9"/>
      </ext>
    </extLst>
  </connection>
  <connection id="3" xr16:uid="{CD8795DB-F2AC-430F-9D4D-7E632F181C4A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<sst xmlns="http://schemas.openxmlformats.org/spreadsheetml/2006/main" count="12070" uniqueCount="2364">
  <si>
    <t>រូបិយប័ណ្ណ</t>
  </si>
  <si>
    <t>No.</t>
  </si>
  <si>
    <t>Month</t>
  </si>
  <si>
    <t>Exchange Rate</t>
  </si>
  <si>
    <t>UoM</t>
  </si>
  <si>
    <t>Unit</t>
  </si>
  <si>
    <t>03.មីនា</t>
  </si>
  <si>
    <t>Address</t>
  </si>
  <si>
    <t>Unit Price</t>
  </si>
  <si>
    <t>បញ្ចុះតម្លៃ</t>
  </si>
  <si>
    <t>ល.រ</t>
  </si>
  <si>
    <t>Location</t>
  </si>
  <si>
    <t>ឈ្មោះផលិតផល</t>
  </si>
  <si>
    <t>ខ្នាត</t>
  </si>
  <si>
    <t>ថ្លៃដើម</t>
  </si>
  <si>
    <t>សំគាល់</t>
  </si>
  <si>
    <t>ចំនួន</t>
  </si>
  <si>
    <t>Product Name</t>
  </si>
  <si>
    <t>Qty</t>
  </si>
  <si>
    <t>Unit Cost</t>
  </si>
  <si>
    <t>Line</t>
  </si>
  <si>
    <t>Date</t>
  </si>
  <si>
    <t>PR No</t>
  </si>
  <si>
    <t>សប្តាហ៍</t>
  </si>
  <si>
    <t>កាលបរិច្ឆេទ</t>
  </si>
  <si>
    <t>សម្គាល់</t>
  </si>
  <si>
    <t>Week</t>
  </si>
  <si>
    <t>Description</t>
  </si>
  <si>
    <t>Note</t>
  </si>
  <si>
    <t>Invoice No</t>
  </si>
  <si>
    <t>Total Amount</t>
  </si>
  <si>
    <t>Discount</t>
  </si>
  <si>
    <t>Balance</t>
  </si>
  <si>
    <t>តម្លៃសរុប</t>
  </si>
  <si>
    <t>លេខកូដស្តុក</t>
  </si>
  <si>
    <t>Item code</t>
  </si>
  <si>
    <t>Item Description/Service</t>
  </si>
  <si>
    <t>លេខកូដផលិតផល</t>
  </si>
  <si>
    <t>បរិយាយផលិតផល</t>
  </si>
  <si>
    <t>តម្លៃឯកតា</t>
  </si>
  <si>
    <t>Invoice Date</t>
  </si>
  <si>
    <t>ទីតាំងឃ្លាំង</t>
  </si>
  <si>
    <t>EWA TIN:</t>
  </si>
  <si>
    <t>E</t>
  </si>
  <si>
    <t>-</t>
  </si>
  <si>
    <t>Annex: FA-3.2 Commercial Invoice (Form version 1.0)</t>
  </si>
  <si>
    <t>លេខវិក្កយបត្រ៖</t>
  </si>
  <si>
    <t>Invoice No:</t>
  </si>
  <si>
    <t>Reference (Attachement):</t>
  </si>
  <si>
    <t>កាលបរិច្ឆេទ៖</t>
  </si>
  <si>
    <t>Date:</t>
  </si>
  <si>
    <t>NBC Ex.Rate</t>
  </si>
  <si>
    <t>Get exchange NBC</t>
  </si>
  <si>
    <t>ពត័ត៌មានអតិថិជន/Customer Details</t>
  </si>
  <si>
    <t>លេខអត្តសញ្ញាណសម្គាល់ (MOI ID/TID…ect.)</t>
  </si>
  <si>
    <t>ឈ្មោះអតិថិជន៖</t>
  </si>
  <si>
    <t>Customer name:</t>
  </si>
  <si>
    <t>Ex:</t>
  </si>
  <si>
    <t>K</t>
  </si>
  <si>
    <t>X</t>
  </si>
  <si>
    <t>អាសយដ្ឋាន៖</t>
  </si>
  <si>
    <t>Please key in TIN here:</t>
  </si>
  <si>
    <t>Address:</t>
  </si>
  <si>
    <t>លេខទូរស័ព្ទ៖</t>
  </si>
  <si>
    <t>អ៊ីម៉ែល៖</t>
  </si>
  <si>
    <t>Telelphone:​</t>
  </si>
  <si>
    <t>Email:</t>
  </si>
  <si>
    <t>លេខអត្តសញ្ញាណសម្គាល់៖ 
(MOI ID/TID):</t>
  </si>
  <si>
    <t>បរិយាយមុខសេវា/ទំនិញ</t>
  </si>
  <si>
    <t>ឯកតា</t>
  </si>
  <si>
    <t>បរិមាណ</t>
  </si>
  <si>
    <t>តម្លៃសរុបរួបអាករ</t>
  </si>
  <si>
    <t>Unit Rate (USD)</t>
  </si>
  <si>
    <t>Amount with tax (USD)</t>
  </si>
  <si>
    <t>Amount with tax (KHR)</t>
  </si>
  <si>
    <t>Translation from Khmer to English</t>
  </si>
  <si>
    <t>Pages 1-3 and 7 (4 pages in total)</t>
  </si>
  <si>
    <t>page</t>
  </si>
  <si>
    <t xml:space="preserve">Grand total in word: </t>
  </si>
  <si>
    <t>សរុបរួមទាំងអាករលើតម្លៃបន្ថែម</t>
  </si>
  <si>
    <t>អត្រាប្តូរប្រាក់ ១ ដុល្លារ  =</t>
  </si>
  <si>
    <t>Total amount with 10% VAT:</t>
  </si>
  <si>
    <t>NBC Exchange Rate</t>
  </si>
  <si>
    <t>សម្គាល់៖ ច្បាប់ដើមសម្រាប់អ្នកទិញ និងច្បាប់ថតចម្លងដើមអ្នក​ផ្តល់សេវា</t>
  </si>
  <si>
    <t>Note: Orginal invoice is issued for customer while the copied one is kept by service provider.</t>
  </si>
  <si>
    <t>TIN:</t>
  </si>
  <si>
    <t>លេខអត្តសញ្ញាណកម្មសារពើពន្អ (TIN):</t>
  </si>
  <si>
    <t>ពត័ត៌មានអតិថិជន / Customer Detail</t>
  </si>
  <si>
    <t>Customer name</t>
  </si>
  <si>
    <t>Tel / Mobile​</t>
  </si>
  <si>
    <t>លេខអត្តសញ្ញាណសម្គាល់ 
(MOI ID/TID)</t>
  </si>
  <si>
    <t>Grand total included VAT 10%</t>
  </si>
  <si>
    <t>សម្គាល់៖ ច្បាប់ដើមសម្រាប់អ្នកទិញ និងច្បាប់ថតចម្លងដើម</t>
  </si>
  <si>
    <t>Note: Orginal Invoice for customer, Copied invoice for seller.</t>
  </si>
  <si>
    <t>លេខកូដ</t>
  </si>
  <si>
    <t>ខែ</t>
  </si>
  <si>
    <t>Ref.Inv.Stock</t>
  </si>
  <si>
    <t>Customer Name</t>
  </si>
  <si>
    <t>Status</t>
  </si>
  <si>
    <t>ឈ្មោះអ្នកផ្គត់ផ្គង់</t>
  </si>
  <si>
    <t>Customer ID</t>
  </si>
  <si>
    <t>លេខអតិថិជន</t>
  </si>
  <si>
    <t>Branch ID</t>
  </si>
  <si>
    <t>Price Type ID</t>
  </si>
  <si>
    <t>Sale ID</t>
  </si>
  <si>
    <t>Sale Name</t>
  </si>
  <si>
    <t>Discount Type ID</t>
  </si>
  <si>
    <t>លេខសាខា</t>
  </si>
  <si>
    <t>ប្រាក់សរុប</t>
  </si>
  <si>
    <t>ស្ថានភាព</t>
  </si>
  <si>
    <t>Location ID</t>
  </si>
  <si>
    <t>Inventory</t>
  </si>
  <si>
    <t>Sales</t>
  </si>
  <si>
    <t>Accounting</t>
  </si>
  <si>
    <t>គណនេយ្យ</t>
  </si>
  <si>
    <t>គ្រប់គ្រងបញ្ជាទិញ</t>
  </si>
  <si>
    <t>គ្រប់គ្រងបញ្ជាលក់</t>
  </si>
  <si>
    <t>Purchasing</t>
  </si>
  <si>
    <t>ស្តុកផលិត</t>
  </si>
  <si>
    <t>ស្តុកលក់</t>
  </si>
  <si>
    <t>ឆ្នាំ</t>
  </si>
  <si>
    <t>Year</t>
  </si>
  <si>
    <t>ស្តុករាប់ជាក់ស្តែង</t>
  </si>
  <si>
    <t>លេខវិក្ក.</t>
  </si>
  <si>
    <t>Branch Id</t>
  </si>
  <si>
    <t>វិក្ក.យោង</t>
  </si>
  <si>
    <t>គ្រប់គ្រងសន្តិធិ</t>
  </si>
  <si>
    <t>មិនទាន់ទូទាត់</t>
  </si>
  <si>
    <t>ទូទាត់រួច</t>
  </si>
  <si>
    <t>បានទូទាត់ខ្លះៗ</t>
  </si>
  <si>
    <t>Item Id</t>
  </si>
  <si>
    <t>លេខផលិ.</t>
  </si>
  <si>
    <t>Inv Adj Id</t>
  </si>
  <si>
    <t>ស្តុកចុងក្រោយ</t>
  </si>
  <si>
    <t>ស្តុកត្រូវបញ្ចូល (+/-)</t>
  </si>
  <si>
    <t>Avg Cost</t>
  </si>
  <si>
    <t>Asset Value</t>
  </si>
  <si>
    <t>តម្លៃទ្រព្យ</t>
  </si>
  <si>
    <t>មធ្យមភាគថ្លៃដើម</t>
  </si>
  <si>
    <t>Id</t>
  </si>
  <si>
    <t>Location Group Id</t>
  </si>
  <si>
    <t>Chart Account ID</t>
  </si>
  <si>
    <t>លេខឃ្លាំង</t>
  </si>
  <si>
    <t>លេខគណនេយ្យ</t>
  </si>
  <si>
    <t>កូដស្តុក</t>
  </si>
  <si>
    <t>Ending Qty</t>
  </si>
  <si>
    <t>Count Qty</t>
  </si>
  <si>
    <t>Adjust Qty (+/-)</t>
  </si>
  <si>
    <t>Reference No.</t>
  </si>
  <si>
    <t>លេខស្តុកយោង</t>
  </si>
  <si>
    <t>កាលបរិឆ្ឆេទ</t>
  </si>
  <si>
    <t>Adjust Date</t>
  </si>
  <si>
    <t>Adj Id</t>
  </si>
  <si>
    <t>Sale Invoice Id</t>
  </si>
  <si>
    <t>POS Id</t>
  </si>
  <si>
    <t>Sales Return Id</t>
  </si>
  <si>
    <t>Purchase Bill Id</t>
  </si>
  <si>
    <t>Purchase Return Id</t>
  </si>
  <si>
    <t>Transfer Order Id</t>
  </si>
  <si>
    <t>type</t>
  </si>
  <si>
    <t>Customer Id</t>
  </si>
  <si>
    <t>Vendor Id</t>
  </si>
  <si>
    <t>Product Id</t>
  </si>
  <si>
    <t>Location Id</t>
  </si>
  <si>
    <t>Total Qty</t>
  </si>
  <si>
    <t>Total Adj</t>
  </si>
  <si>
    <t>Total Pos</t>
  </si>
  <si>
    <t>Total PB</t>
  </si>
  <si>
    <t>Total PR</t>
  </si>
  <si>
    <t>Total SR</t>
  </si>
  <si>
    <t>Total TO In</t>
  </si>
  <si>
    <t>Total TO Out</t>
  </si>
  <si>
    <t>Total SI</t>
  </si>
  <si>
    <t>លេខផលិត.</t>
  </si>
  <si>
    <t>ស្តុកសរុប</t>
  </si>
  <si>
    <t>សន្និធិ</t>
  </si>
  <si>
    <t>ស្តុក POS</t>
  </si>
  <si>
    <t>ស្តុកបញ្ជាទិញ</t>
  </si>
  <si>
    <t>ស្តុកត្រលប់បញ្ជាទិញ</t>
  </si>
  <si>
    <t>ស្តុកលក់ត្រលប់</t>
  </si>
  <si>
    <t>ស្តុកផ្ទេរចូល</t>
  </si>
  <si>
    <t>ស្តុកផ្ទេរចេញ</t>
  </si>
  <si>
    <t>ស្តុកកម្មង់</t>
  </si>
  <si>
    <t>Total Order</t>
  </si>
  <si>
    <t>លរ</t>
  </si>
  <si>
    <t>ប្រភេទ</t>
  </si>
  <si>
    <t>លេខទីតាំង</t>
  </si>
  <si>
    <t>ថ្លៃលក់</t>
  </si>
  <si>
    <t>លេខថ្លៃដើម</t>
  </si>
  <si>
    <t>កូដផលិតផល</t>
  </si>
  <si>
    <t>Item Description</t>
  </si>
  <si>
    <t>Created By</t>
  </si>
  <si>
    <t>អ្នកបញ្ចូល</t>
  </si>
  <si>
    <t>ប្រភេទស្តុក</t>
  </si>
  <si>
    <t>Stock Type</t>
  </si>
  <si>
    <t xml:space="preserve">Stock Type </t>
  </si>
  <si>
    <t>Qty Free</t>
  </si>
  <si>
    <t>Conversion</t>
  </si>
  <si>
    <t>បំបែកខ្នាត</t>
  </si>
  <si>
    <t>Uom Id</t>
  </si>
  <si>
    <t>Invoice ID</t>
  </si>
  <si>
    <t>Total Price</t>
  </si>
  <si>
    <t>Expired Date</t>
  </si>
  <si>
    <t>Created</t>
  </si>
  <si>
    <t>Approved</t>
  </si>
  <si>
    <t>Sub Total</t>
  </si>
  <si>
    <t>Total Deposit</t>
  </si>
  <si>
    <t>Product Code</t>
  </si>
  <si>
    <t>លរ.ផលិត</t>
  </si>
  <si>
    <t>ថ្ងៃបង្កើត</t>
  </si>
  <si>
    <t>Lots Number</t>
  </si>
  <si>
    <t>ថ្ងៃផុតកំណត់</t>
  </si>
  <si>
    <t>លេខឡូ៍</t>
  </si>
  <si>
    <t>កូដផលិត.</t>
  </si>
  <si>
    <t>លេខឡូតិ៍</t>
  </si>
  <si>
    <t xml:space="preserve">Created </t>
  </si>
  <si>
    <t xml:space="preserve">Inv Date </t>
  </si>
  <si>
    <t>2.បញ្ជីវិក្កយប័ត្រ</t>
  </si>
  <si>
    <t>1.បញ្ជីវិក្កយប័ត្រមិនទាន់ទូទាត់រួច</t>
  </si>
  <si>
    <t>Currency Id</t>
  </si>
  <si>
    <t>លេខរូបិយប័ណ្ណ</t>
  </si>
  <si>
    <t>Company Id</t>
  </si>
  <si>
    <t>លេខក្រុមហ៊ុន</t>
  </si>
  <si>
    <t>ប្រភេទតម្លៃ</t>
  </si>
  <si>
    <t>ឃ្លាំង</t>
  </si>
  <si>
    <t>អត្រាប្តូរប្រាក់</t>
  </si>
  <si>
    <t>បង្កើតដោយ</t>
  </si>
  <si>
    <t>Quote Code</t>
  </si>
  <si>
    <t>Quote Date</t>
  </si>
  <si>
    <t>Currency ID</t>
  </si>
  <si>
    <t>Price Type Id</t>
  </si>
  <si>
    <t>Total VAT</t>
  </si>
  <si>
    <t>Vat Percent</t>
  </si>
  <si>
    <t>Vat Setting ID</t>
  </si>
  <si>
    <t>Vat Cal</t>
  </si>
  <si>
    <t>Discount Percent</t>
  </si>
  <si>
    <t>Ship To</t>
  </si>
  <si>
    <t>Approved By</t>
  </si>
  <si>
    <t>Is Close</t>
  </si>
  <si>
    <t>Is Approve</t>
  </si>
  <si>
    <t>Ship Telephone</t>
  </si>
  <si>
    <t>លេខអតិថិ.</t>
  </si>
  <si>
    <t>ឈ្មោះអតិថិ.</t>
  </si>
  <si>
    <t>លេខឃ្វូត</t>
  </si>
  <si>
    <t>ថ្ងៃចេញឃ្វូត</t>
  </si>
  <si>
    <t>អាករសរុប</t>
  </si>
  <si>
    <t>ភាគរយអាករ</t>
  </si>
  <si>
    <t>លេខអាករ</t>
  </si>
  <si>
    <t>អាករគណនា</t>
  </si>
  <si>
    <t>ប្រាក់កក់</t>
  </si>
  <si>
    <t>ដឹកទៅកាន់</t>
  </si>
  <si>
    <t>លេខទីតាំងត្រូវដឹក</t>
  </si>
  <si>
    <t>អនុញ្ញាតដោយ</t>
  </si>
  <si>
    <t>ថ្ងៃអនុញ្ញាត</t>
  </si>
  <si>
    <t>បិទឃ្វូត</t>
  </si>
  <si>
    <t>បានអនុញ្ញាត</t>
  </si>
  <si>
    <t>Quote ID</t>
  </si>
  <si>
    <t>Qty Uom Id</t>
  </si>
  <si>
    <t>Discount Id</t>
  </si>
  <si>
    <t>Discount Amount</t>
  </si>
  <si>
    <t>លេខកូដផលិត.</t>
  </si>
  <si>
    <t>ឈ្មោះផលិត.</t>
  </si>
  <si>
    <t>ឈ្មោះខ្នាត</t>
  </si>
  <si>
    <t>លេខខ្នាត</t>
  </si>
  <si>
    <t>ខ្នាតបំបែក</t>
  </si>
  <si>
    <t>លេខបញ្ចុះតម្លៃ</t>
  </si>
  <si>
    <t>បញ្ចុះតម្លៃ %</t>
  </si>
  <si>
    <t>បញ្ចុះតម្លៃជាប្រាក់</t>
  </si>
  <si>
    <t>ថ្លៃលក់សរុប</t>
  </si>
  <si>
    <t>Quote No.</t>
  </si>
  <si>
    <t>លេខកូដឃ្វូត</t>
  </si>
  <si>
    <t>Total Discount</t>
  </si>
  <si>
    <t>Service Type</t>
  </si>
  <si>
    <t>ប្រភេទសេវា</t>
  </si>
  <si>
    <t>បញ្ចុះតម្លៃសរុប</t>
  </si>
  <si>
    <t>ប្រាក់សរុបរួម</t>
  </si>
  <si>
    <t>បញ្ចុះតម្លៃ%</t>
  </si>
  <si>
    <t>Dis​​ Percent</t>
  </si>
  <si>
    <t>Dis Amount</t>
  </si>
  <si>
    <t>Dis Total Price</t>
  </si>
  <si>
    <t>ប្រាក់បញ្ចុះតម្លៃសរុប</t>
  </si>
  <si>
    <t>2026</t>
  </si>
  <si>
    <t>Total Balance</t>
  </si>
  <si>
    <t>Vat Setting Id</t>
  </si>
  <si>
    <t>Total Vat</t>
  </si>
  <si>
    <t>Created Date</t>
  </si>
  <si>
    <t>Dis Percent</t>
  </si>
  <si>
    <t>Dis ID</t>
  </si>
  <si>
    <t>Invoice Service ID</t>
  </si>
  <si>
    <t>វិក្ក.សេវា</t>
  </si>
  <si>
    <t>Invoice Type</t>
  </si>
  <si>
    <t>Location Group ID</t>
  </si>
  <si>
    <t>លេខក្រុមទីតាំង</t>
  </si>
  <si>
    <t>Location​ Group Id</t>
  </si>
  <si>
    <t>ទីតាំង</t>
  </si>
  <si>
    <t>id</t>
  </si>
  <si>
    <t>Chart Account Id</t>
  </si>
  <si>
    <t>លេខគណនី</t>
  </si>
  <si>
    <t>sales_invoice_id</t>
  </si>
  <si>
    <t>sales_invoice_receipt_id</t>
  </si>
  <si>
    <t>sale_return_id</t>
  </si>
  <si>
    <t>sale_return_receipt_id</t>
  </si>
  <si>
    <t>purchase_order_id</t>
  </si>
  <si>
    <t>purchase_return_id</t>
  </si>
  <si>
    <t>purchase_return_receipt_id</t>
  </si>
  <si>
    <t>inv_adj_id</t>
  </si>
  <si>
    <t>receive_payment_id</t>
  </si>
  <si>
    <t>pay_bill_id</t>
  </si>
  <si>
    <t>ar_aging_id</t>
  </si>
  <si>
    <t>ap_aging_id</t>
  </si>
  <si>
    <t>apply_to_id</t>
  </si>
  <si>
    <t>landing_cost_id</t>
  </si>
  <si>
    <t>landing_cost_receipt_id</t>
  </si>
  <si>
    <t>other_income_id</t>
  </si>
  <si>
    <t>purchase_receive_result_id</t>
  </si>
  <si>
    <t>receive_from_id</t>
  </si>
  <si>
    <t>receive_from_name</t>
  </si>
  <si>
    <t>date</t>
  </si>
  <si>
    <t>reference</t>
  </si>
  <si>
    <t>total_deposit</t>
  </si>
  <si>
    <t>remark</t>
  </si>
  <si>
    <t>created</t>
  </si>
  <si>
    <t>created_by</t>
  </si>
  <si>
    <t>is_approve</t>
  </si>
  <si>
    <t>is_depreciated</t>
  </si>
  <si>
    <t>is_retained_earnings</t>
  </si>
  <si>
    <t>deposit_type</t>
  </si>
  <si>
    <t>is_active</t>
  </si>
  <si>
    <t>chart_account_id</t>
  </si>
  <si>
    <t>company_id</t>
  </si>
  <si>
    <t>branch_id</t>
  </si>
  <si>
    <t>product_id</t>
  </si>
  <si>
    <t>service_id</t>
  </si>
  <si>
    <t>is_free</t>
  </si>
  <si>
    <t>inventory_valuation_id</t>
  </si>
  <si>
    <t>inventory_valuation_is_debit</t>
  </si>
  <si>
    <t>purchase_receive_id</t>
  </si>
  <si>
    <t>sales_invoice_detail_id</t>
  </si>
  <si>
    <t>sale_return_detail_id</t>
  </si>
  <si>
    <t>customer_id</t>
  </si>
  <si>
    <t>vendor_id</t>
  </si>
  <si>
    <t>employee_id</t>
  </si>
  <si>
    <t>other_id</t>
  </si>
  <si>
    <t>paid_to_vendor_id</t>
  </si>
  <si>
    <t>other_expense_id</t>
  </si>
  <si>
    <t>exchange_rate_id</t>
  </si>
  <si>
    <t>currency_center_id</t>
  </si>
  <si>
    <t>receipt_code</t>
  </si>
  <si>
    <t>discount_us</t>
  </si>
  <si>
    <t>discount_percent</t>
  </si>
  <si>
    <t>discount_other</t>
  </si>
  <si>
    <t>balance</t>
  </si>
  <si>
    <t>balance_other</t>
  </si>
  <si>
    <t>change</t>
  </si>
  <si>
    <t>change_other</t>
  </si>
  <si>
    <t>pay_date</t>
  </si>
  <si>
    <t>due_date</t>
  </si>
  <si>
    <t>is_void</t>
  </si>
  <si>
    <t>cgroup_id</t>
  </si>
  <si>
    <t>general_ledger_detail_id</t>
  </si>
  <si>
    <t>amount_due</t>
  </si>
  <si>
    <t>paid</t>
  </si>
  <si>
    <t>paid_other</t>
  </si>
  <si>
    <t>discount</t>
  </si>
  <si>
    <t>week</t>
  </si>
  <si>
    <t>month</t>
  </si>
  <si>
    <t>year</t>
  </si>
  <si>
    <t>Total SI Free</t>
  </si>
  <si>
    <t>Total Pos Free</t>
  </si>
  <si>
    <t>Total SR Free</t>
  </si>
  <si>
    <t>Vat Chart Account Id</t>
  </si>
  <si>
    <t>purchase_order_detail_id</t>
  </si>
  <si>
    <t>point_of_sales_id</t>
  </si>
  <si>
    <t>small_qty</t>
  </si>
  <si>
    <t>qty</t>
  </si>
  <si>
    <t>cost</t>
  </si>
  <si>
    <t>price</t>
  </si>
  <si>
    <t>on_hand</t>
  </si>
  <si>
    <t>on_hand_small</t>
  </si>
  <si>
    <t>avg_cost</t>
  </si>
  <si>
    <t>asset_value</t>
  </si>
  <si>
    <t>date_edited</t>
  </si>
  <si>
    <t>is_refer_gm_id</t>
  </si>
  <si>
    <t>avg_refer</t>
  </si>
  <si>
    <t>is_var_cost</t>
  </si>
  <si>
    <t>is_adjust_value</t>
  </si>
  <si>
    <t>Adjust Code</t>
  </si>
  <si>
    <t>is_sys</t>
  </si>
  <si>
    <t>is_adj</t>
  </si>
  <si>
    <t>Default Cost</t>
  </si>
  <si>
    <t>Payment Term Id</t>
  </si>
  <si>
    <t>លេខលក្ខ័ណទូទាត់</t>
  </si>
  <si>
    <t>Chart Account AR</t>
  </si>
  <si>
    <t>Total Cost</t>
  </si>
  <si>
    <t>Due Date</t>
  </si>
  <si>
    <t>ថ្ងៃបង់ប្រាក់</t>
  </si>
  <si>
    <t>លេខអ្នកផ្គត់ផ្គង់</t>
  </si>
  <si>
    <t>Vendor Name</t>
  </si>
  <si>
    <t>អាត្រាប្តូរប្រាក់</t>
  </si>
  <si>
    <t>PB Code</t>
  </si>
  <si>
    <t>PB  Date</t>
  </si>
  <si>
    <t xml:space="preserve">Chart Account AP </t>
  </si>
  <si>
    <t>យោងបញ្ជាទិញ</t>
  </si>
  <si>
    <t>យោងវិក្កយបត្រ</t>
  </si>
  <si>
    <t>ថ្ងៃយោងវិក្កយបត្រ</t>
  </si>
  <si>
    <t>PR No.</t>
  </si>
  <si>
    <t>Ref# Invoice</t>
  </si>
  <si>
    <t>Ref. Invoice Date</t>
  </si>
  <si>
    <t>Vat Chart Account ID</t>
  </si>
  <si>
    <t>លេខគណនីអតប</t>
  </si>
  <si>
    <t>Is Depsit Reference</t>
  </si>
  <si>
    <t>Is Update Cost</t>
  </si>
  <si>
    <t>សមតុល្យប្រាក់</t>
  </si>
  <si>
    <t>PB ID</t>
  </si>
  <si>
    <t>PB Date</t>
  </si>
  <si>
    <t>New Unit Cost</t>
  </si>
  <si>
    <t>Total Dis Item</t>
  </si>
  <si>
    <t>Lote Number</t>
  </si>
  <si>
    <t>Expired date</t>
  </si>
  <si>
    <t>លេខផុតកំណត់</t>
  </si>
  <si>
    <t>Purchase Receive Id</t>
  </si>
  <si>
    <t>Ref. Goods Receive Note</t>
  </si>
  <si>
    <t>Purchase Receive Result Id</t>
  </si>
  <si>
    <t>លេខ PPR</t>
  </si>
  <si>
    <t>Principal</t>
  </si>
  <si>
    <t>គោលការណ៍</t>
  </si>
  <si>
    <t>លេខទិញ</t>
  </si>
  <si>
    <t>Purhcase Bill Id</t>
  </si>
  <si>
    <t>Exchange Rate Id</t>
  </si>
  <si>
    <t>PV Code</t>
  </si>
  <si>
    <t>Pay Date</t>
  </si>
  <si>
    <t>Is Void</t>
  </si>
  <si>
    <t>លេខអត្រាប្តូរប្រាក់</t>
  </si>
  <si>
    <t>ប្រាក់ទូទាត់ដុល្លា</t>
  </si>
  <si>
    <t>ប្រាក់ទូទាត់រៀល</t>
  </si>
  <si>
    <t>Amount​ Due</t>
  </si>
  <si>
    <t>ប្រាក់ត្រូវបង់</t>
  </si>
  <si>
    <t>Amount Paid ($)</t>
  </si>
  <si>
    <t>Amount Other ( R )</t>
  </si>
  <si>
    <t>បញ្ចុះតម្លៃរៀល</t>
  </si>
  <si>
    <t>Discount (​R)</t>
  </si>
  <si>
    <t>សមតុល្យរៀល</t>
  </si>
  <si>
    <t>Balance (​R)</t>
  </si>
  <si>
    <t>Balance ($)</t>
  </si>
  <si>
    <t>សមតុល្យដុល្លា</t>
  </si>
  <si>
    <t>បញ្ចុះតម្លៃដុល្លា</t>
  </si>
  <si>
    <t>Discount ($)</t>
  </si>
  <si>
    <t>បង់ដោយ</t>
  </si>
  <si>
    <t>Paid To Vendor</t>
  </si>
  <si>
    <t>purchase_receive_detail_id</t>
  </si>
  <si>
    <t>purchase bill detail id</t>
  </si>
  <si>
    <t>ថ្លៃដើមថ្មី</t>
  </si>
  <si>
    <t>លេខឡតិ៍</t>
  </si>
  <si>
    <t xml:space="preserve"> ផ្ទះលេខ ២៧E0 (បុរីពិភពថ្មី) ផ្លូវលេខ ០៩ ភូមិក្រុងថ្មី សង្កាត់គោកឃ្លាង ខណ្ឌសែនសុខ រាជធានីភ្នំពេញ</t>
  </si>
  <si>
    <t>អាយមេកស៍ (ខេមបូឌា) ឯ.ក</t>
  </si>
  <si>
    <t>General Ledger Detail</t>
  </si>
  <si>
    <t>General Ledger</t>
  </si>
  <si>
    <t>Inventory Valuation</t>
  </si>
  <si>
    <t>Sales Invoice Receipt</t>
  </si>
  <si>
    <t>Receive Payment</t>
  </si>
  <si>
    <t>Receive Payment Detail</t>
  </si>
  <si>
    <t>Inventory Adjustment</t>
  </si>
  <si>
    <t>Inventory Adjustment Detail</t>
  </si>
  <si>
    <t>Sales Invoice List</t>
  </si>
  <si>
    <t>ឆែកយោងប្រាក់កក់</t>
  </si>
  <si>
    <t>ឆែកកែថ្លៃដើម</t>
  </si>
  <si>
    <t>Remark</t>
  </si>
  <si>
    <t>សំគាល</t>
  </si>
  <si>
    <t>general_ledger_id</t>
  </si>
  <si>
    <t>location_group_id</t>
  </si>
  <si>
    <t>location_id</t>
  </si>
  <si>
    <t>debit</t>
  </si>
  <si>
    <t>credit</t>
  </si>
  <si>
    <t>memo</t>
  </si>
  <si>
    <t>class_id</t>
  </si>
  <si>
    <t xml:space="preserve">week </t>
  </si>
  <si>
    <t>D:\1_Documents\1_Companies\</t>
  </si>
  <si>
    <t>ចុចប៊ូតុងខាងក្រោម ដើម្បីចូលទៅតារាងទិន្នន័យនីមួយៗ</t>
  </si>
  <si>
    <t>Tax Inv Code</t>
  </si>
  <si>
    <t>Tax Inv No</t>
  </si>
  <si>
    <t>Main Module</t>
  </si>
  <si>
    <t>Sub Module</t>
  </si>
  <si>
    <t>Main Folder Path</t>
  </si>
  <si>
    <t>Sub Folder 1</t>
  </si>
  <si>
    <t>Sub Folder 2</t>
  </si>
  <si>
    <t>Sub Folder 3</t>
  </si>
  <si>
    <t>Folder Path</t>
  </si>
  <si>
    <t>Open Folder</t>
  </si>
  <si>
    <t>database</t>
  </si>
  <si>
    <t>system</t>
  </si>
  <si>
    <t>inventory</t>
  </si>
  <si>
    <t>inventory_adjustment</t>
  </si>
  <si>
    <t>report</t>
  </si>
  <si>
    <t>product</t>
  </si>
  <si>
    <t>transfer_order</t>
  </si>
  <si>
    <t>purchase</t>
  </si>
  <si>
    <t>purchase_bill</t>
  </si>
  <si>
    <t>purchase_request</t>
  </si>
  <si>
    <t>other_expense</t>
  </si>
  <si>
    <t>vendor</t>
  </si>
  <si>
    <t>sales</t>
  </si>
  <si>
    <t>customer</t>
  </si>
  <si>
    <t>quotation</t>
  </si>
  <si>
    <t>sales_order</t>
  </si>
  <si>
    <t>sales_invoice</t>
  </si>
  <si>
    <t>pos</t>
  </si>
  <si>
    <t>other_income</t>
  </si>
  <si>
    <t>setting</t>
  </si>
  <si>
    <t>employee_and_salary</t>
  </si>
  <si>
    <t>chart_account</t>
  </si>
  <si>
    <t>report_customer_balance</t>
  </si>
  <si>
    <t>customer_balance</t>
  </si>
  <si>
    <t>open_invoice</t>
  </si>
  <si>
    <t>customer_statement</t>
  </si>
  <si>
    <t>report_vendor_balance</t>
  </si>
  <si>
    <t>vendor_balance</t>
  </si>
  <si>
    <t>open_bill</t>
  </si>
  <si>
    <t>vendor_statement</t>
  </si>
  <si>
    <t>report_purchase</t>
  </si>
  <si>
    <t>purchase_by_invoice</t>
  </si>
  <si>
    <t>purchase_by_item</t>
  </si>
  <si>
    <t xml:space="preserve">pay_bills </t>
  </si>
  <si>
    <t>cash_expenses</t>
  </si>
  <si>
    <t>report_sales</t>
  </si>
  <si>
    <t>sales_by_item</t>
  </si>
  <si>
    <t>sales_by_item_customer</t>
  </si>
  <si>
    <t>total_sale</t>
  </si>
  <si>
    <t>report_inventory</t>
  </si>
  <si>
    <t>gloable_inventory</t>
  </si>
  <si>
    <t>inventory_activity</t>
  </si>
  <si>
    <t>inventory_valuation</t>
  </si>
  <si>
    <t>report_accounting</t>
  </si>
  <si>
    <t>journal_entry</t>
  </si>
  <si>
    <t>general_ledger</t>
  </si>
  <si>
    <t>balance_sheet</t>
  </si>
  <si>
    <t>profit_loss</t>
  </si>
  <si>
    <t>database_backup</t>
  </si>
  <si>
    <t>database file</t>
  </si>
  <si>
    <t>database backup</t>
  </si>
  <si>
    <t>system file</t>
  </si>
  <si>
    <t>system backup</t>
  </si>
  <si>
    <t>system_backup</t>
  </si>
  <si>
    <t>D:\OneDrive\YBA ADVISORY\B-Clients and Services\C024-KOK SNUOL\</t>
  </si>
  <si>
    <t>កំណត់កន្លែងដាក់ឯកសារ សន្និធិ ទិញ​ លក់ គណនេយ្យ និងរបាយការណ៍</t>
  </si>
  <si>
    <t>VLOOKUP("KSINV26-0002",D8:AI10000,17,FALSE)</t>
  </si>
  <si>
    <t>002.pcs</t>
  </si>
  <si>
    <t>CI2026-0001</t>
  </si>
  <si>
    <t>ហឿត ចន្ត្រា (HOEURT CHANTRA)</t>
  </si>
  <si>
    <t>អតិថិជនទូទៅ (General Customer)</t>
  </si>
  <si>
    <t>Invoice</t>
  </si>
  <si>
    <t>ICS: INV # CI2026-0001</t>
  </si>
  <si>
    <t>Sale</t>
  </si>
  <si>
    <t>CI2026-0002</t>
  </si>
  <si>
    <t>ICS: INV # CI2026-0002</t>
  </si>
  <si>
    <t>DKS0153</t>
  </si>
  <si>
    <t xml:space="preserve">ថ្នាំលាបគ្បឿង 0.9l U-91 </t>
  </si>
  <si>
    <t xml:space="preserve">ICS: Inventory for INV # CI2026-0001 Product # DKS0153 ថ្នាំលាបគ្បឿង 0.9l U-91 </t>
  </si>
  <si>
    <t xml:space="preserve">ICS: COGS for INV # CI2026-0001 Product # DKS0153 ថ្នាំលាបគ្បឿង 0.9l U-91 </t>
  </si>
  <si>
    <t xml:space="preserve">ICS: INV # CI2026-0001 Product # DKS0153 ថ្នាំលាបគ្បឿង 0.9l U-91 </t>
  </si>
  <si>
    <t>DKS0006</t>
  </si>
  <si>
    <t xml:space="preserve">ទីប42(8.5) CHIP MONG </t>
  </si>
  <si>
    <t xml:space="preserve">ICS: Inventory for INV # CI2026-0001 Product # DKS0006 ទីប42(8.5) CHIP MONG </t>
  </si>
  <si>
    <t xml:space="preserve">ICS: COGS for INV # CI2026-0001 Product # DKS0006 ទីប42(8.5) CHIP MONG </t>
  </si>
  <si>
    <t xml:space="preserve">ICS: INV # CI2026-0001 Product # DKS0006 ទីប42(8.5) CHIP MONG </t>
  </si>
  <si>
    <t>DKS0179</t>
  </si>
  <si>
    <t xml:space="preserve">ស៊ីម៉ង K CHIP MONG </t>
  </si>
  <si>
    <t>012.kg</t>
  </si>
  <si>
    <t xml:space="preserve">ICS: Inventory for INV # CI2026-0002 Product # DKS0179 ស៊ីម៉ង K CHIP MONG </t>
  </si>
  <si>
    <t xml:space="preserve">ICS: COGS for INV # CI2026-0002 Product # DKS0179 ស៊ីម៉ង K CHIP MONG </t>
  </si>
  <si>
    <t xml:space="preserve">ICS: INV # CI2026-0002 Product # DKS0179 ស៊ីម៉ង K CHIP MONG </t>
  </si>
  <si>
    <t>DKS0192</t>
  </si>
  <si>
    <t xml:space="preserve">ដែកជ្រុង 40*40(1.5) CHIP MONG </t>
  </si>
  <si>
    <t>053.Unit/4m</t>
  </si>
  <si>
    <t xml:space="preserve">ICS: Inventory for INV # CI2026-0002 Product # DKS0192 ដែកជ្រុង 40*40(1.5) CHIP MONG </t>
  </si>
  <si>
    <t xml:space="preserve">ICS: COGS for INV # CI2026-0002 Product # DKS0192 ដែកជ្រុង 40*40(1.5) CHIP MONG </t>
  </si>
  <si>
    <t xml:space="preserve">ICS: INV # CI2026-0002 Product # DKS0192 ដែកជ្រុង 40*40(1.5) CHIP MONG </t>
  </si>
  <si>
    <t>DKS0187</t>
  </si>
  <si>
    <t xml:space="preserve">ដែកជ្រុង 25*25(1.2) CHIP MONG </t>
  </si>
  <si>
    <t xml:space="preserve">ICS: Inventory for INV # CI2026-0002 Product # DKS0187 ដែកជ្រុង 25*25(1.2) CHIP MONG </t>
  </si>
  <si>
    <t xml:space="preserve">ICS: COGS for INV # CI2026-0002 Product # DKS0187 ដែកជ្រុង 25*25(1.2) CHIP MONG </t>
  </si>
  <si>
    <t xml:space="preserve">ICS: INV # CI2026-0002 Product # DKS0187 ដែកជ្រុង 25*25(1.2) CHIP MONG </t>
  </si>
  <si>
    <t>DKS0004</t>
  </si>
  <si>
    <t xml:space="preserve">ទីប60(8.5) CHIP MONG </t>
  </si>
  <si>
    <t xml:space="preserve">ICS: Inventory for INV # CI2026-0002 Product # DKS0004 ទីប60(8.5) CHIP MONG </t>
  </si>
  <si>
    <t xml:space="preserve">ICS: COGS for INV # CI2026-0002 Product # DKS0004 ទីប60(8.5) CHIP MONG </t>
  </si>
  <si>
    <t xml:space="preserve">ICS: INV # CI2026-0002 Product # DKS0004 ទីប60(8.5) CHIP MONG </t>
  </si>
  <si>
    <t>DKS0010</t>
  </si>
  <si>
    <t xml:space="preserve">ទីប​100(8.5) ECO PIPE </t>
  </si>
  <si>
    <t xml:space="preserve">ICS: Inventory for INV # CI2026-0002 Product # DKS0010 ទីប​100(8.5) ECO PIPE </t>
  </si>
  <si>
    <t xml:space="preserve">ICS: COGS for INV # CI2026-0002 Product # DKS0010 ទីប​100(8.5) ECO PIPE </t>
  </si>
  <si>
    <t xml:space="preserve">ICS: INV # CI2026-0002 Product # DKS0010 ទីប​100(8.5) ECO PIPE </t>
  </si>
  <si>
    <t>DKS0105</t>
  </si>
  <si>
    <t xml:space="preserve">ផ្លែស្វានបេតុង 10l PL </t>
  </si>
  <si>
    <t xml:space="preserve">ICS: Inventory for INV # CI2026-0002 Product # DKS0105 ផ្លែស្វានបេតុង 10l PL </t>
  </si>
  <si>
    <t xml:space="preserve">ICS: COGS for INV # CI2026-0002 Product # DKS0105 ផ្លែស្វានបេតុង 10l PL </t>
  </si>
  <si>
    <t xml:space="preserve">ICS: INV # CI2026-0002 Product # DKS0105 ផ្លែស្វានបេតុង 10l PL </t>
  </si>
  <si>
    <t>DKS0048</t>
  </si>
  <si>
    <t xml:space="preserve">សុង27 CHIP MONG </t>
  </si>
  <si>
    <t xml:space="preserve">ICS: Inventory for INV # CI2026-0002 Product # DKS0048 សុង27 CHIP MONG </t>
  </si>
  <si>
    <t xml:space="preserve">ICS: COGS for INV # CI2026-0002 Product # DKS0048 សុង27 CHIP MONG </t>
  </si>
  <si>
    <t xml:space="preserve">ICS: INV # CI2026-0002 Product # DKS0048 សុង27 CHIP MONG </t>
  </si>
  <si>
    <t>DKS0169</t>
  </si>
  <si>
    <t xml:space="preserve">រឡូរុញថ្នាំ​ 10cm PL </t>
  </si>
  <si>
    <t xml:space="preserve">ICS: Inventory for INV # CI2026-0002 Product # DKS0169 រឡូរុញថ្នាំ​ 10cm PL </t>
  </si>
  <si>
    <t xml:space="preserve">ICS: COGS for INV # CI2026-0002 Product # DKS0169 រឡូរុញថ្នាំ​ 10cm PL </t>
  </si>
  <si>
    <t xml:space="preserve">ICS: INV # CI2026-0002 Product # DKS0169 រឡូរុញថ្នាំ​ 10cm PL </t>
  </si>
  <si>
    <t>CI2026-0003</t>
  </si>
  <si>
    <t>ICS: INV # CI2026-0003</t>
  </si>
  <si>
    <t>DKS0195</t>
  </si>
  <si>
    <t xml:space="preserve">ដែកជ្រុង 30*60(1.2) CHIP MONG </t>
  </si>
  <si>
    <t xml:space="preserve">ICS: Inventory for INV # CI2026-0003 Product # DKS0195 ដែកជ្រុង 30*60(1.2) CHIP MONG </t>
  </si>
  <si>
    <t xml:space="preserve">ICS: COGS for INV # CI2026-0003 Product # DKS0195 ដែកជ្រុង 30*60(1.2) CHIP MONG </t>
  </si>
  <si>
    <t xml:space="preserve">ICS: INV # CI2026-0003 Product # DKS0195 ដែកជ្រុង 30*60(1.2) CHIP MONG </t>
  </si>
  <si>
    <t xml:space="preserve">ICS: Inventory for INV # CI2026-0003 Product # DKS0187 ដែកជ្រុង 25*25(1.2) CHIP MONG </t>
  </si>
  <si>
    <t xml:space="preserve">ICS: COGS for INV # CI2026-0003 Product # DKS0187 ដែកជ្រុង 25*25(1.2) CHIP MONG </t>
  </si>
  <si>
    <t xml:space="preserve">ICS: INV # CI2026-0003 Product # DKS0187 ដែកជ្រុង 25*25(1.2) CHIP MONG </t>
  </si>
  <si>
    <t>DKS0186</t>
  </si>
  <si>
    <t xml:space="preserve">ដែកសរសៃ​ 16L CHIP MONG </t>
  </si>
  <si>
    <t>054.Unit/12m</t>
  </si>
  <si>
    <t xml:space="preserve">ICS: Inventory for INV # CI2026-0003 Product # DKS0186 ដែកសរសៃ​ 16L CHIP MONG </t>
  </si>
  <si>
    <t xml:space="preserve">ICS: COGS for INV # CI2026-0003 Product # DKS0186 ដែកសរសៃ​ 16L CHIP MONG </t>
  </si>
  <si>
    <t xml:space="preserve">ICS: INV # CI2026-0003 Product # DKS0186 ដែកសរសៃ​ 16L CHIP MONG </t>
  </si>
  <si>
    <t>CI2026-0004</t>
  </si>
  <si>
    <t>ICS: INV # CI2026-0004</t>
  </si>
  <si>
    <t xml:space="preserve">ICS: Inventory for INV # CI2026-0004 Product # DKS0187 ដែកជ្រុង 25*25(1.2) CHIP MONG </t>
  </si>
  <si>
    <t xml:space="preserve">ICS: COGS for INV # CI2026-0004 Product # DKS0187 ដែកជ្រុង 25*25(1.2) CHIP MONG </t>
  </si>
  <si>
    <t xml:space="preserve">ICS: INV # CI2026-0004 Product # DKS0187 ដែកជ្រុង 25*25(1.2) CHIP MONG </t>
  </si>
  <si>
    <t>DKS0182</t>
  </si>
  <si>
    <t xml:space="preserve">ដែកសរសៃ​ 8L CHIP MONG </t>
  </si>
  <si>
    <t xml:space="preserve">ICS: Inventory for INV # CI2026-0004 Product # DKS0182 ដែកសរសៃ​ 8L CHIP MONG </t>
  </si>
  <si>
    <t xml:space="preserve">ICS: COGS for INV # CI2026-0004 Product # DKS0182 ដែកសរសៃ​ 8L CHIP MONG </t>
  </si>
  <si>
    <t xml:space="preserve">ICS: INV # CI2026-0004 Product # DKS0182 ដែកសរសៃ​ 8L CHIP MONG </t>
  </si>
  <si>
    <t>DKS0096</t>
  </si>
  <si>
    <t xml:space="preserve">ជើងអំពូល ជាប់ជញ្ជាំង China </t>
  </si>
  <si>
    <t xml:space="preserve">ICS: Inventory for INV # CI2026-0004 Product # DKS0096 ជើងអំពូល ជាប់ជញ្ជាំង China </t>
  </si>
  <si>
    <t xml:space="preserve">ICS: COGS for INV # CI2026-0004 Product # DKS0096 ជើងអំពូល ជាប់ជញ្ជាំង China </t>
  </si>
  <si>
    <t xml:space="preserve">ICS: INV # CI2026-0004 Product # DKS0096 ជើងអំពូល ជាប់ជញ្ជាំង China </t>
  </si>
  <si>
    <t>DKS0097</t>
  </si>
  <si>
    <t xml:space="preserve">កុងតាក់ជាប់ជញ្ជាំង China </t>
  </si>
  <si>
    <t xml:space="preserve">ICS: Inventory for INV # CI2026-0004 Product # DKS0097 កុងតាក់ជាប់ជញ្ជាំង China </t>
  </si>
  <si>
    <t xml:space="preserve">ICS: COGS for INV # CI2026-0004 Product # DKS0097 កុងតាក់ជាប់ជញ្ជាំង China </t>
  </si>
  <si>
    <t xml:space="preserve">ICS: INV # CI2026-0004 Product # DKS0097 កុងតាក់ជាប់ជញ្ជាំង China </t>
  </si>
  <si>
    <t>DKS0022</t>
  </si>
  <si>
    <t xml:space="preserve">ទីប60(5.0) ECO PIPE </t>
  </si>
  <si>
    <t xml:space="preserve">ICS: Inventory for INV # CI2026-0004 Product # DKS0022 ទីប60(5.0) ECO PIPE </t>
  </si>
  <si>
    <t xml:space="preserve">ICS: COGS for INV # CI2026-0004 Product # DKS0022 ទីប60(5.0) ECO PIPE </t>
  </si>
  <si>
    <t xml:space="preserve">ICS: INV # CI2026-0004 Product # DKS0022 ទីប60(5.0) ECO PIPE </t>
  </si>
  <si>
    <t>DKS0046</t>
  </si>
  <si>
    <t xml:space="preserve">កែង27 CHIP MONG </t>
  </si>
  <si>
    <t xml:space="preserve">ICS: Inventory for INV # CI2026-0004 Product # DKS0046 កែង27 CHIP MONG </t>
  </si>
  <si>
    <t xml:space="preserve">ICS: COGS for INV # CI2026-0004 Product # DKS0046 កែង27 CHIP MONG </t>
  </si>
  <si>
    <t xml:space="preserve">ICS: INV # CI2026-0004 Product # DKS0046 កែង27 CHIP MONG </t>
  </si>
  <si>
    <t>DKS0197</t>
  </si>
  <si>
    <t xml:space="preserve">ដែកជ្រុង 40*80(1.2) CHIP MONG </t>
  </si>
  <si>
    <t xml:space="preserve">ICS: Inventory for INV # CI2026-0004 Product # DKS0197 ដែកជ្រុង 40*80(1.2) CHIP MONG </t>
  </si>
  <si>
    <t xml:space="preserve">ICS: COGS for INV # CI2026-0004 Product # DKS0197 ដែកជ្រុង 40*80(1.2) CHIP MONG </t>
  </si>
  <si>
    <t xml:space="preserve">ICS: INV # CI2026-0004 Product # DKS0197 ដែកជ្រុង 40*80(1.2) CHIP MONG </t>
  </si>
  <si>
    <t>CI2026-0005</t>
  </si>
  <si>
    <t>ICS: INV # CI2026-0005</t>
  </si>
  <si>
    <t xml:space="preserve">ICS: Inventory for INV # CI2026-0005 Product # DKS0187 ដែកជ្រុង 25*25(1.2) CHIP MONG </t>
  </si>
  <si>
    <t xml:space="preserve">ICS: COGS for INV # CI2026-0005 Product # DKS0187 ដែកជ្រុង 25*25(1.2) CHIP MONG </t>
  </si>
  <si>
    <t xml:space="preserve">ICS: INV # CI2026-0005 Product # DKS0187 ដែកជ្រុង 25*25(1.2) CHIP MONG </t>
  </si>
  <si>
    <t>DKS0017</t>
  </si>
  <si>
    <t xml:space="preserve">ទីប27(8.5) ECO PIPE </t>
  </si>
  <si>
    <t xml:space="preserve">ICS: Inventory for INV # CI2026-0005 Product # DKS0017 ទីប27(8.5) ECO PIPE </t>
  </si>
  <si>
    <t xml:space="preserve">ICS: COGS for INV # CI2026-0005 Product # DKS0017 ទីប27(8.5) ECO PIPE </t>
  </si>
  <si>
    <t xml:space="preserve">ICS: INV # CI2026-0005 Product # DKS0017 ទីប27(8.5) ECO PIPE </t>
  </si>
  <si>
    <t>DKS0155</t>
  </si>
  <si>
    <t xml:space="preserve">ថ្នាំប្រេងលាបដែក 3.5l U-91 </t>
  </si>
  <si>
    <t>009.Can</t>
  </si>
  <si>
    <t xml:space="preserve">ICS: Inventory for INV # CI2026-0005 Product # DKS0155 ថ្នាំប្រេងលាបដែក 3.5l U-91 </t>
  </si>
  <si>
    <t xml:space="preserve">ICS: COGS for INV # CI2026-0005 Product # DKS0155 ថ្នាំប្រេងលាបដែក 3.5l U-91 </t>
  </si>
  <si>
    <t xml:space="preserve">ICS: INV # CI2026-0005 Product # DKS0155 ថ្នាំប្រេងលាបដែក 3.5l U-91 </t>
  </si>
  <si>
    <t>KSPB26-0001</t>
  </si>
  <si>
    <t>ដេប៉ូលក់គ្រឿងសំណង់យក្សធំ (YAK THOM)</t>
  </si>
  <si>
    <t>Bill</t>
  </si>
  <si>
    <t>ICS: PB # KSPB26-0001</t>
  </si>
  <si>
    <t>DKS0001</t>
  </si>
  <si>
    <t xml:space="preserve">ទីប​100(8.5) CHIP MONG </t>
  </si>
  <si>
    <t>pcs</t>
  </si>
  <si>
    <t xml:space="preserve">ICS: PB # KSPB26-0001 Product # DKS0001 ទីប​100(8.5) CHIP MONG </t>
  </si>
  <si>
    <t>Purchase</t>
  </si>
  <si>
    <t>DKS0002</t>
  </si>
  <si>
    <t xml:space="preserve">ទប80(8.5) CHIP MONG </t>
  </si>
  <si>
    <t xml:space="preserve">ICS: PB # KSPB26-0001 Product # DKS0002 ទប80(8.5) CHIP MONG </t>
  </si>
  <si>
    <t xml:space="preserve">ICS: PB # KSPB26-0001 Product # DKS0004 ទីប60(8.5) CHIP MONG </t>
  </si>
  <si>
    <t>DKS0005</t>
  </si>
  <si>
    <t xml:space="preserve">ទីប49(8.5) CHIP MONG </t>
  </si>
  <si>
    <t xml:space="preserve">ICS: PB # KSPB26-0001 Product # DKS0005 ទីប49(8.5) CHIP MONG </t>
  </si>
  <si>
    <t xml:space="preserve">ICS: PB # KSPB26-0001 Product # DKS0010 ទីប​100(8.5) ECO PIPE </t>
  </si>
  <si>
    <t>DKS0011</t>
  </si>
  <si>
    <t xml:space="preserve">ទីប80(8.5) ECO PIPE </t>
  </si>
  <si>
    <t xml:space="preserve">ICS: PB # KSPB26-0001 Product # DKS0011 ទីប80(8.5) ECO PIPE </t>
  </si>
  <si>
    <t>DKS0013</t>
  </si>
  <si>
    <t xml:space="preserve">ទីប60(8.5) ECO PIPE </t>
  </si>
  <si>
    <t xml:space="preserve">ICS: PB # KSPB26-0001 Product # DKS0013 ទីប60(8.5) ECO PIPE </t>
  </si>
  <si>
    <t>DKS0014</t>
  </si>
  <si>
    <t xml:space="preserve">ទីប49(8.5) ECO PIPE </t>
  </si>
  <si>
    <t xml:space="preserve">ICS: PB # KSPB26-0001 Product # DKS0014 ទីប49(8.5) ECO PIPE </t>
  </si>
  <si>
    <t>DKS0016</t>
  </si>
  <si>
    <t xml:space="preserve">ទីប34(8.5) ECO PIPE </t>
  </si>
  <si>
    <t xml:space="preserve">ICS: PB # KSPB26-0001 Product # DKS0016 ទីប34(8.5) ECO PIPE </t>
  </si>
  <si>
    <t xml:space="preserve">ICS: PB # KSPB26-0001 Product # DKS0017 ទីប27(8.5) ECO PIPE </t>
  </si>
  <si>
    <t>DKS0018</t>
  </si>
  <si>
    <t xml:space="preserve">ទីប21(8.5) ECO PIPE </t>
  </si>
  <si>
    <t xml:space="preserve">ICS: PB # KSPB26-0001 Product # DKS0018 ទីប21(8.5) ECO PIPE </t>
  </si>
  <si>
    <t>DKS0019</t>
  </si>
  <si>
    <t xml:space="preserve">ទីប100(5.0) ECO PIPE </t>
  </si>
  <si>
    <t xml:space="preserve">ICS: PB # KSPB26-0001 Product # DKS0019 ទីប100(5.0) ECO PIPE </t>
  </si>
  <si>
    <t>DKS0020</t>
  </si>
  <si>
    <t xml:space="preserve">ទីប80(5.0) ECO PIPE </t>
  </si>
  <si>
    <t xml:space="preserve">ICS: PB # KSPB26-0001 Product # DKS0020 ទីប80(5.0) ECO PIPE </t>
  </si>
  <si>
    <t xml:space="preserve">ICS: PB # KSPB26-0001 Product # DKS0022 ទីប60(5.0) ECO PIPE </t>
  </si>
  <si>
    <t>KSPB26-0002</t>
  </si>
  <si>
    <t>ICS: PB # KSPB26-0002</t>
  </si>
  <si>
    <t>DKS0026</t>
  </si>
  <si>
    <t xml:space="preserve">កែង100 CHIP MONG </t>
  </si>
  <si>
    <t xml:space="preserve">ICS: PB # KSPB26-0002 Product # DKS0026 កែង100 CHIP MONG </t>
  </si>
  <si>
    <t>DKS0101</t>
  </si>
  <si>
    <t xml:space="preserve">ដែកគោល 3H 4H 5H 6H… Kbal Kla </t>
  </si>
  <si>
    <t>Ctn/4.5Kg</t>
  </si>
  <si>
    <t xml:space="preserve">ICS: PB # KSPB26-0002 Product # DKS0101 ដែកគោល 3H 4H 5H 6H… Kbal Kla </t>
  </si>
  <si>
    <t>DKS0102</t>
  </si>
  <si>
    <t xml:space="preserve">វិសខ្មៅ China </t>
  </si>
  <si>
    <t>Pack</t>
  </si>
  <si>
    <t xml:space="preserve">ICS: PB # KSPB26-0002 Product # DKS0102 វិសខ្មៅ China </t>
  </si>
  <si>
    <t>DKS0125</t>
  </si>
  <si>
    <t xml:space="preserve">កាវទៀន PL </t>
  </si>
  <si>
    <t>Case/100pcs</t>
  </si>
  <si>
    <t xml:space="preserve">ICS: PB # KSPB26-0002 Product # DKS0125 កាវទៀន PL </t>
  </si>
  <si>
    <t>DKS0152</t>
  </si>
  <si>
    <t xml:space="preserve">ថ្នាំលាបគ្បឿង 3.5l U-91 </t>
  </si>
  <si>
    <t xml:space="preserve">ICS: PB # KSPB26-0002 Product # DKS0152 ថ្នាំលាបគ្បឿង 3.5l U-91 </t>
  </si>
  <si>
    <t>Can</t>
  </si>
  <si>
    <t xml:space="preserve">ICS: PB # KSPB26-0002 Product # DKS0155 ថ្នាំប្រេងលាបដែក 3.5l U-91 </t>
  </si>
  <si>
    <t>DKS0156</t>
  </si>
  <si>
    <t xml:space="preserve">ថ្នាំប្រេងលាបដែក 250ml U-91 </t>
  </si>
  <si>
    <t xml:space="preserve">ICS: PB # KSPB26-0002 Product # DKS0156 ថ្នាំប្រេងលាបដែក 250ml U-91 </t>
  </si>
  <si>
    <t>DKS0160</t>
  </si>
  <si>
    <t xml:space="preserve">ថ្នាំលាបច្រេះក្រហម 3.5l U-91 </t>
  </si>
  <si>
    <t xml:space="preserve">ICS: PB # KSPB26-0002 Product # DKS0160 ថ្នាំលាបច្រេះក្រហម 3.5l U-91 </t>
  </si>
  <si>
    <t>DKS0162</t>
  </si>
  <si>
    <t xml:space="preserve">ថ្នាំលាបច្រេះប្រផះ 17l U-91 </t>
  </si>
  <si>
    <t>Can/17l</t>
  </si>
  <si>
    <t xml:space="preserve">ICS: PB # KSPB26-0002 Product # DKS0162 ថ្នាំលាបច្រេះប្រផះ 17l U-91 </t>
  </si>
  <si>
    <t>DKS0163</t>
  </si>
  <si>
    <t xml:space="preserve">ថ្នាំលាបច្រេះប្រផះ 3.5l U-91 </t>
  </si>
  <si>
    <t xml:space="preserve">ICS: PB # KSPB26-0002 Product # DKS0163 ថ្នាំលាបច្រេះប្រផះ 3.5l U-91 </t>
  </si>
  <si>
    <t>DKS0176</t>
  </si>
  <si>
    <t xml:space="preserve">ស៊ីម៉ង​ V CHIP MONG </t>
  </si>
  <si>
    <t>Ton/20Be</t>
  </si>
  <si>
    <t xml:space="preserve">ICS: PB # KSPB26-0002 Product # DKS0176 ស៊ីម៉ង​ V CHIP MONG </t>
  </si>
  <si>
    <t>DKS0177</t>
  </si>
  <si>
    <t xml:space="preserve">ស៊ីម៉ង ខន CHIP MONG </t>
  </si>
  <si>
    <t xml:space="preserve">ICS: PB # KSPB26-0002 Product # DKS0177 ស៊ីម៉ង ខន CHIP MONG </t>
  </si>
  <si>
    <t>DKS0178</t>
  </si>
  <si>
    <t xml:space="preserve">ស៊ីម៉ង អូដ្ធ CHIP MONG </t>
  </si>
  <si>
    <t xml:space="preserve">ICS: PB # KSPB26-0002 Product # DKS0178 ស៊ីម៉ង អូដ្ធ CHIP MONG </t>
  </si>
  <si>
    <t xml:space="preserve">ICS: PB # KSPB26-0002 Product # DKS0179 ស៊ីម៉ង K CHIP MONG </t>
  </si>
  <si>
    <t>KSPB26-0003</t>
  </si>
  <si>
    <t>ICS: PB # KSPB26-0003</t>
  </si>
  <si>
    <t>DKS0181</t>
  </si>
  <si>
    <t xml:space="preserve">ដែកសរសៃ​ 6L CHIP MONG </t>
  </si>
  <si>
    <t>Unit/12m</t>
  </si>
  <si>
    <t xml:space="preserve">ICS: PB # KSPB26-0003 Product # DKS0181 ដែកសរសៃ​ 6L CHIP MONG </t>
  </si>
  <si>
    <t xml:space="preserve">ICS: PB # KSPB26-0003 Product # DKS0182 ដែកសរសៃ​ 8L CHIP MONG </t>
  </si>
  <si>
    <t>DKS0183</t>
  </si>
  <si>
    <t xml:space="preserve">ដែកសរសៃ​ 10L CHIP MONG </t>
  </si>
  <si>
    <t xml:space="preserve">ICS: PB # KSPB26-0003 Product # DKS0183 ដែកសរសៃ​ 10L CHIP MONG </t>
  </si>
  <si>
    <t>DKS0184</t>
  </si>
  <si>
    <t xml:space="preserve">ដែកសរសៃ​ 12L CHIP MONG </t>
  </si>
  <si>
    <t xml:space="preserve">ICS: PB # KSPB26-0003 Product # DKS0184 ដែកសរសៃ​ 12L CHIP MONG </t>
  </si>
  <si>
    <t>DKS0185</t>
  </si>
  <si>
    <t xml:space="preserve">ដែកសរសៃ​ 14L CHIP MONG </t>
  </si>
  <si>
    <t xml:space="preserve">ICS: PB # KSPB26-0003 Product # DKS0185 ដែកសរសៃ​ 14L CHIP MONG </t>
  </si>
  <si>
    <t xml:space="preserve">ICS: PB # KSPB26-0003 Product # DKS0186 ដែកសរសៃ​ 16L CHIP MONG </t>
  </si>
  <si>
    <t>Unit/4m</t>
  </si>
  <si>
    <t xml:space="preserve">ICS: PB # KSPB26-0003 Product # DKS0187 ដែកជ្រុង 25*25(1.2) CHIP MONG </t>
  </si>
  <si>
    <t>DKS0189</t>
  </si>
  <si>
    <t xml:space="preserve">ដែកជ្រុង 30*30(1.2) CHIP MONG </t>
  </si>
  <si>
    <t xml:space="preserve">ICS: PB # KSPB26-0003 Product # DKS0189 ដែកជ្រុង 30*30(1.2) CHIP MONG </t>
  </si>
  <si>
    <t>DKS0191</t>
  </si>
  <si>
    <t xml:space="preserve">ដែកជ្រុង 40*40(1.2) CHIP MONG </t>
  </si>
  <si>
    <t xml:space="preserve">ICS: PB # KSPB26-0003 Product # DKS0191 ដែកជ្រុង 40*40(1.2) CHIP MONG </t>
  </si>
  <si>
    <t>DKS0193</t>
  </si>
  <si>
    <t xml:space="preserve">ដែកជ្រុង 20*40(1.2) CHIP MONG </t>
  </si>
  <si>
    <t xml:space="preserve">ICS: PB # KSPB26-0003 Product # DKS0193 ដែកជ្រុង 20*40(1.2) CHIP MONG </t>
  </si>
  <si>
    <t xml:space="preserve">ICS: PB # KSPB26-0003 Product # DKS0195 ដែកជ្រុង 30*60(1.2) CHIP MONG </t>
  </si>
  <si>
    <t xml:space="preserve">ICS: PB # KSPB26-0003 Product # DKS0197 ដែកជ្រុង 40*80(1.2) CHIP MONG </t>
  </si>
  <si>
    <t>KSINV26-0055</t>
  </si>
  <si>
    <t>KSINV26-0056</t>
  </si>
  <si>
    <t>KSINV26-0057</t>
  </si>
  <si>
    <t>CI2026-0006</t>
  </si>
  <si>
    <t>ICS: INV # CI2026-0006</t>
  </si>
  <si>
    <t>022.Be</t>
  </si>
  <si>
    <t xml:space="preserve">ICS: Inventory for INV # CI2026-0006 Product # DKS0176 ស៊ីម៉ង​ V CHIP MONG </t>
  </si>
  <si>
    <t xml:space="preserve">ICS: COGS for INV # CI2026-0006 Product # DKS0176 ស៊ីម៉ង​ V CHIP MONG </t>
  </si>
  <si>
    <t xml:space="preserve">ICS: INV # CI2026-0006 Product # DKS0176 ស៊ីម៉ង​ V CHIP MONG </t>
  </si>
  <si>
    <t>DKS0142</t>
  </si>
  <si>
    <t xml:space="preserve">ថ្មរឆាប តឹក PL </t>
  </si>
  <si>
    <t xml:space="preserve">ICS: Inventory for INV # CI2026-0006 Product # DKS0142 ថ្មរឆាប តឹក PL </t>
  </si>
  <si>
    <t xml:space="preserve">ICS: COGS for INV # CI2026-0006 Product # DKS0142 ថ្មរឆាប តឹក PL </t>
  </si>
  <si>
    <t xml:space="preserve">ICS: INV # CI2026-0006 Product # DKS0142 ថ្មរឆាប តឹក PL </t>
  </si>
  <si>
    <t>DKS0050</t>
  </si>
  <si>
    <t xml:space="preserve">កែង21 CHIP MONG </t>
  </si>
  <si>
    <t xml:space="preserve">ICS: Inventory for INV # CI2026-0006 Product # DKS0050 កែង21 CHIP MONG </t>
  </si>
  <si>
    <t xml:space="preserve">ICS: COGS for INV # CI2026-0006 Product # DKS0050 កែង21 CHIP MONG </t>
  </si>
  <si>
    <t xml:space="preserve">ICS: INV # CI2026-0006 Product # DKS0050 កែង21 CHIP MONG </t>
  </si>
  <si>
    <t>DKS0041</t>
  </si>
  <si>
    <t xml:space="preserve">តេ49 CHIP MONG </t>
  </si>
  <si>
    <t xml:space="preserve">ICS: Inventory for INV # CI2026-0006 Product # DKS0041 តេ49 CHIP MONG </t>
  </si>
  <si>
    <t xml:space="preserve">ICS: COGS for INV # CI2026-0006 Product # DKS0041 តេ49 CHIP MONG </t>
  </si>
  <si>
    <t xml:space="preserve">ICS: INV # CI2026-0006 Product # DKS0041 តេ49 CHIP MONG </t>
  </si>
  <si>
    <t>DKS0049</t>
  </si>
  <si>
    <t xml:space="preserve">តេ27 CHIP MONG </t>
  </si>
  <si>
    <t xml:space="preserve">ICS: Inventory for INV # CI2026-0006 Product # DKS0049 តេ27 CHIP MONG </t>
  </si>
  <si>
    <t xml:space="preserve">ICS: COGS for INV # CI2026-0006 Product # DKS0049 តេ27 CHIP MONG </t>
  </si>
  <si>
    <t xml:space="preserve">ICS: INV # CI2026-0006 Product # DKS0049 តេ27 CHIP MONG </t>
  </si>
  <si>
    <t>DKS0007</t>
  </si>
  <si>
    <t xml:space="preserve">ទីប34(8.5) CHIP MONG </t>
  </si>
  <si>
    <t xml:space="preserve">ICS: Inventory for INV # CI2026-0006 Product # DKS0007 ទីប34(8.5) CHIP MONG </t>
  </si>
  <si>
    <t xml:space="preserve">ICS: COGS for INV # CI2026-0006 Product # DKS0007 ទីប34(8.5) CHIP MONG </t>
  </si>
  <si>
    <t xml:space="preserve">ICS: INV # CI2026-0006 Product # DKS0007 ទីប34(8.5) CHIP MONG </t>
  </si>
  <si>
    <t>DKS0145</t>
  </si>
  <si>
    <t xml:space="preserve">ផ្លែខាត់ល្អ PL </t>
  </si>
  <si>
    <t xml:space="preserve">ICS: Inventory for INV # CI2026-0006 Product # DKS0145 ផ្លែខាត់ល្អ PL </t>
  </si>
  <si>
    <t xml:space="preserve">ICS: COGS for INV # CI2026-0006 Product # DKS0145 ផ្លែខាត់ល្អ PL </t>
  </si>
  <si>
    <t xml:space="preserve">ICS: INV # CI2026-0006 Product # DKS0145 ផ្លែខាត់ល្អ PL </t>
  </si>
  <si>
    <t>CI2026-0007</t>
  </si>
  <si>
    <t>ICS: INV # CI2026-0007</t>
  </si>
  <si>
    <t xml:space="preserve">ICS: Inventory for INV # CI2026-0007 Product # DKS0163 ថ្នាំលាបច្រេះប្រផះ 3.5l U-91 </t>
  </si>
  <si>
    <t xml:space="preserve">ICS: COGS for INV # CI2026-0007 Product # DKS0163 ថ្នាំលាបច្រេះប្រផះ 3.5l U-91 </t>
  </si>
  <si>
    <t xml:space="preserve">ICS: INV # CI2026-0007 Product # DKS0163 ថ្នាំលាបច្រេះប្រផះ 3.5l U-91 </t>
  </si>
  <si>
    <t>KSINV26-0058</t>
  </si>
  <si>
    <t>CI2026-0008</t>
  </si>
  <si>
    <t>ICS: INV # CI2026-0008</t>
  </si>
  <si>
    <t xml:space="preserve">ICS: Inventory for INV # CI2026-0008 Product # DKS0177 ស៊ីម៉ង ខន CHIP MONG </t>
  </si>
  <si>
    <t xml:space="preserve">ICS: COGS for INV # CI2026-0008 Product # DKS0177 ស៊ីម៉ង ខន CHIP MONG </t>
  </si>
  <si>
    <t xml:space="preserve">ICS: INV # CI2026-0008 Product # DKS0177 ស៊ីម៉ង ខន CHIP MONG </t>
  </si>
  <si>
    <t xml:space="preserve">ICS: Inventory for INV # CI2026-0008 Product # DKS0179 ស៊ីម៉ង K CHIP MONG </t>
  </si>
  <si>
    <t xml:space="preserve">ICS: COGS for INV # CI2026-0008 Product # DKS0179 ស៊ីម៉ង K CHIP MONG </t>
  </si>
  <si>
    <t xml:space="preserve">ICS: INV # CI2026-0008 Product # DKS0179 ស៊ីម៉ង K CHIP MONG </t>
  </si>
  <si>
    <t xml:space="preserve">ICS: Inventory for INV # CI2026-0008 Product # DKS0011 ទីប80(8.5) ECO PIPE </t>
  </si>
  <si>
    <t xml:space="preserve">ICS: COGS for INV # CI2026-0008 Product # DKS0011 ទីប80(8.5) ECO PIPE </t>
  </si>
  <si>
    <t xml:space="preserve">ICS: INV # CI2026-0008 Product # DKS0011 ទីប80(8.5) ECO PIPE </t>
  </si>
  <si>
    <t xml:space="preserve">ICS: Inventory for INV # CI2026-0008 Product # DKS0018 ទីប21(8.5) ECO PIPE </t>
  </si>
  <si>
    <t xml:space="preserve">ICS: COGS for INV # CI2026-0008 Product # DKS0018 ទីប21(8.5) ECO PIPE </t>
  </si>
  <si>
    <t xml:space="preserve">ICS: INV # CI2026-0008 Product # DKS0018 ទីប21(8.5) ECO PIPE </t>
  </si>
  <si>
    <t>KSINV26-0059</t>
  </si>
  <si>
    <t>CI2026-0009</t>
  </si>
  <si>
    <t>ICS: INV # CI2026-0009</t>
  </si>
  <si>
    <t xml:space="preserve">ICS: Inventory for INV # CI2026-0009 Product # DKS0195 ដែកជ្រុង 30*60(1.2) CHIP MONG </t>
  </si>
  <si>
    <t xml:space="preserve">ICS: COGS for INV # CI2026-0009 Product # DKS0195 ដែកជ្រុង 30*60(1.2) CHIP MONG </t>
  </si>
  <si>
    <t xml:space="preserve">ICS: INV # CI2026-0009 Product # DKS0195 ដែកជ្រុង 30*60(1.2) CHIP MONG </t>
  </si>
  <si>
    <t xml:space="preserve">ICS: Inventory for INV # CI2026-0009 Product # DKS0011 ទីប80(8.5) ECO PIPE </t>
  </si>
  <si>
    <t xml:space="preserve">ICS: COGS for INV # CI2026-0009 Product # DKS0011 ទីប80(8.5) ECO PIPE </t>
  </si>
  <si>
    <t xml:space="preserve">ICS: INV # CI2026-0009 Product # DKS0011 ទីប80(8.5) ECO PIPE </t>
  </si>
  <si>
    <t>CI2026-0193</t>
  </si>
  <si>
    <t>CI2026-0194</t>
  </si>
  <si>
    <t>CI2026-0195</t>
  </si>
  <si>
    <t>CI2026-0196</t>
  </si>
  <si>
    <t>CI2026-0197</t>
  </si>
  <si>
    <t>CI2026-0198</t>
  </si>
  <si>
    <t>CI2026-0199</t>
  </si>
  <si>
    <t>CI2026-0200</t>
  </si>
  <si>
    <t>CI2026-0201</t>
  </si>
  <si>
    <t>CI2026-0202</t>
  </si>
  <si>
    <t>ICS: INV # CI2026-0202</t>
  </si>
  <si>
    <t>003.Pack</t>
  </si>
  <si>
    <t xml:space="preserve">ICS: Inventory for INV # CI2026-0202 Product # DKS0102 វិសខ្មៅ China </t>
  </si>
  <si>
    <t xml:space="preserve">ICS: COGS for INV # CI2026-0202 Product # DKS0102 វិសខ្មៅ China </t>
  </si>
  <si>
    <t xml:space="preserve">ICS: INV # CI2026-0202 Product # DKS0102 វិសខ្មៅ China </t>
  </si>
  <si>
    <t xml:space="preserve">ICS: Inventory for INV # CI2026-0202 Product # DKS0185 ដែកសរសៃ​ 14L CHIP MONG </t>
  </si>
  <si>
    <t xml:space="preserve">ICS: COGS for INV # CI2026-0202 Product # DKS0185 ដែកសរសៃ​ 14L CHIP MONG </t>
  </si>
  <si>
    <t xml:space="preserve">ICS: INV # CI2026-0202 Product # DKS0185 ដែកសរសៃ​ 14L CHIP MONG </t>
  </si>
  <si>
    <t>CI2026-0203</t>
  </si>
  <si>
    <t>ICS: INV # CI2026-0203</t>
  </si>
  <si>
    <t xml:space="preserve">ICS: Inventory for INV # CI2026-0203 Product # DKS0176 ស៊ីម៉ង​ V CHIP MONG </t>
  </si>
  <si>
    <t xml:space="preserve">ICS: COGS for INV # CI2026-0203 Product # DKS0176 ស៊ីម៉ង​ V CHIP MONG </t>
  </si>
  <si>
    <t xml:space="preserve">ICS: INV # CI2026-0203 Product # DKS0176 ស៊ីម៉ង​ V CHIP MONG </t>
  </si>
  <si>
    <t>ចំនួនអត់គិតថ្លៃ</t>
  </si>
  <si>
    <t>CI2026-0204</t>
  </si>
  <si>
    <t>ICS: INV # CI2026-0204</t>
  </si>
  <si>
    <t>DKS0099</t>
  </si>
  <si>
    <t xml:space="preserve">ជើងអំពូល ព្យូរខ្មៅ China </t>
  </si>
  <si>
    <t xml:space="preserve">ICS: Inventory for INV # CI2026-0204 Product # DKS0099 ជើងអំពូល ព្យូរខ្មៅ China </t>
  </si>
  <si>
    <t xml:space="preserve">ICS: COGS for INV # CI2026-0204 Product # DKS0099 ជើងអំពូល ព្យូរខ្មៅ China </t>
  </si>
  <si>
    <t xml:space="preserve">ICS: INV # CI2026-0204 Product # DKS0099 ជើងអំពូល ព្យូរខ្មៅ China </t>
  </si>
  <si>
    <t xml:space="preserve">ICS: Inventory for INV # CI2026-0204 Product # DKS0014 ទីប49(8.5) ECO PIPE </t>
  </si>
  <si>
    <t xml:space="preserve">ICS: COGS for INV # CI2026-0204 Product # DKS0014 ទីប49(8.5) ECO PIPE </t>
  </si>
  <si>
    <t xml:space="preserve">ICS: INV # CI2026-0204 Product # DKS0014 ទីប49(8.5) ECO PIPE </t>
  </si>
  <si>
    <t xml:space="preserve">ICS: Inventory for INV # CI2026-0204 Product # DKS0182 ដែកសរសៃ​ 8L CHIP MONG </t>
  </si>
  <si>
    <t xml:space="preserve">ICS: COGS for INV # CI2026-0204 Product # DKS0182 ដែកសរសៃ​ 8L CHIP MONG </t>
  </si>
  <si>
    <t xml:space="preserve">ICS: INV # CI2026-0204 Product # DKS0182 ដែកសរសៃ​ 8L CHIP MONG </t>
  </si>
  <si>
    <t xml:space="preserve">ICS: Inventory for INV # CI2026-0204 Product # DKS0160 ថ្នាំលាបច្រេះក្រហម 3.5l U-91 </t>
  </si>
  <si>
    <t xml:space="preserve">ICS: COGS for INV # CI2026-0204 Product # DKS0160 ថ្នាំលាបច្រេះក្រហម 3.5l U-91 </t>
  </si>
  <si>
    <t xml:space="preserve">ICS: INV # CI2026-0204 Product # DKS0160 ថ្នាំលាបច្រេះក្រហម 3.5l U-91 </t>
  </si>
  <si>
    <t xml:space="preserve">ICS: Inventory for INV # CI2026-0204 Product # DKS0046 កែង27 CHIP MONG </t>
  </si>
  <si>
    <t xml:space="preserve">ICS: COGS for INV # CI2026-0204 Product # DKS0046 កែង27 CHIP MONG </t>
  </si>
  <si>
    <t xml:space="preserve">ICS: INV # CI2026-0204 Product # DKS0046 កែង27 CHIP MONG </t>
  </si>
  <si>
    <t xml:space="preserve">ICS: Inventory for INV # CI2026-0204 Product # DKS0097 កុងតាក់ជាប់ជញ្ជាំង China </t>
  </si>
  <si>
    <t xml:space="preserve">ICS: COGS for INV # CI2026-0204 Product # DKS0097 កុងតាក់ជាប់ជញ្ជាំង China </t>
  </si>
  <si>
    <t xml:space="preserve">ICS: INV # CI2026-0204 Product # DKS0097 កុងតាក់ជាប់ជញ្ជាំង China </t>
  </si>
  <si>
    <t xml:space="preserve">ICS: Inventory for INV # CI2026-0204 Product # DKS0096 ជើងអំពូល ជាប់ជញ្ជាំង China </t>
  </si>
  <si>
    <t xml:space="preserve">ICS: COGS for INV # CI2026-0204 Product # DKS0096 ជើងអំពូល ជាប់ជញ្ជាំង China </t>
  </si>
  <si>
    <t xml:space="preserve">ICS: INV # CI2026-0204 Product # DKS0096 ជើងអំពូល ជាប់ជញ្ជាំង China </t>
  </si>
  <si>
    <t>DKS0070</t>
  </si>
  <si>
    <t xml:space="preserve">សុងធ្មេញក្រៅ27 CHIP MONG </t>
  </si>
  <si>
    <t xml:space="preserve">ICS: Inventory for INV # CI2026-0204 Product # DKS0070 សុងធ្មេញក្រៅ27 CHIP MONG </t>
  </si>
  <si>
    <t xml:space="preserve">ICS: COGS for INV # CI2026-0204 Product # DKS0070 សុងធ្មេញក្រៅ27 CHIP MONG </t>
  </si>
  <si>
    <t xml:space="preserve">ICS: INV # CI2026-0204 Product # DKS0070 សុងធ្មេញក្រៅ27 CHIP MONG </t>
  </si>
  <si>
    <t>CI2026-0205</t>
  </si>
  <si>
    <t>ICS: INV # CI2026-0205</t>
  </si>
  <si>
    <t xml:space="preserve">ICS: Inventory for INV # CI2026-0205 Product # DKS0178 ស៊ីម៉ង អូដ្ធ CHIP MONG </t>
  </si>
  <si>
    <t xml:space="preserve">ICS: COGS for INV # CI2026-0205 Product # DKS0178 ស៊ីម៉ង អូដ្ធ CHIP MONG </t>
  </si>
  <si>
    <t xml:space="preserve">ICS: INV # CI2026-0205 Product # DKS0178 ស៊ីម៉ង អូដ្ធ CHIP MONG </t>
  </si>
  <si>
    <t>CI2026-0206</t>
  </si>
  <si>
    <t>ICS: INV # CI2026-0206</t>
  </si>
  <si>
    <t xml:space="preserve">ICS: Inventory for INV # CI2026-0206 Product # DKS0177 ស៊ីម៉ង ខន CHIP MONG </t>
  </si>
  <si>
    <t xml:space="preserve">ICS: COGS for INV # CI2026-0206 Product # DKS0177 ស៊ីម៉ង ខន CHIP MONG </t>
  </si>
  <si>
    <t xml:space="preserve">ICS: INV # CI2026-0206 Product # DKS0177 ស៊ីម៉ង ខន CHIP MONG </t>
  </si>
  <si>
    <t xml:space="preserve">ICS: Inventory for INV # CI2026-0206 Product # DKS0179 ស៊ីម៉ង K CHIP MONG </t>
  </si>
  <si>
    <t xml:space="preserve">ICS: COGS for INV # CI2026-0206 Product # DKS0179 ស៊ីម៉ង K CHIP MONG </t>
  </si>
  <si>
    <t xml:space="preserve">ICS: INV # CI2026-0206 Product # DKS0179 ស៊ីម៉ង K CHIP MONG </t>
  </si>
  <si>
    <t>KSINV26-0060</t>
  </si>
  <si>
    <t>CI2026-0207</t>
  </si>
  <si>
    <t>ICS: INV # CI2026-0207</t>
  </si>
  <si>
    <t xml:space="preserve">ICS: Inventory for INV # CI2026-0207 Product # DKS0178 ស៊ីម៉ង អូដ្ធ CHIP MONG </t>
  </si>
  <si>
    <t xml:space="preserve">ICS: COGS for INV # CI2026-0207 Product # DKS0178 ស៊ីម៉ង អូដ្ធ CHIP MONG </t>
  </si>
  <si>
    <t xml:space="preserve">ICS: INV # CI2026-0207 Product # DKS0178 ស៊ីម៉ង អូដ្ធ CHIP MONG </t>
  </si>
  <si>
    <t xml:space="preserve">ICS: Inventory for INV # CI2026-0207 Product # DKS0197 ដែកជ្រុង 40*80(1.2) CHIP MONG </t>
  </si>
  <si>
    <t xml:space="preserve">ICS: COGS for INV # CI2026-0207 Product # DKS0197 ដែកជ្រុង 40*80(1.2) CHIP MONG </t>
  </si>
  <si>
    <t xml:space="preserve">ICS: INV # CI2026-0207 Product # DKS0197 ដែកជ្រុង 40*80(1.2) CHIP MONG </t>
  </si>
  <si>
    <t>DKS0052</t>
  </si>
  <si>
    <t xml:space="preserve">តេ80*60 CHIP MONG </t>
  </si>
  <si>
    <t xml:space="preserve">ICS: Inventory for INV # CI2026-0207 Product # DKS0052 តេ80*60 CHIP MONG </t>
  </si>
  <si>
    <t xml:space="preserve">ICS: COGS for INV # CI2026-0207 Product # DKS0052 តេ80*60 CHIP MONG </t>
  </si>
  <si>
    <t xml:space="preserve">ICS: INV # CI2026-0207 Product # DKS0052 តេ80*60 CHIP MONG </t>
  </si>
  <si>
    <t>CI2026-0208</t>
  </si>
  <si>
    <t>ICS: INV # CI2026-0208</t>
  </si>
  <si>
    <t>051.Ton/20Be</t>
  </si>
  <si>
    <t xml:space="preserve">ICS: Inventory for INV # CI2026-0208 Product # DKS0177 ស៊ីម៉ង ខន CHIP MONG </t>
  </si>
  <si>
    <t xml:space="preserve">ICS: COGS for INV # CI2026-0208 Product # DKS0177 ស៊ីម៉ង ខន CHIP MONG </t>
  </si>
  <si>
    <t xml:space="preserve">ICS: INV # CI2026-0208 Product # DKS0177 ស៊ីម៉ង ខន CHIP MONG </t>
  </si>
  <si>
    <t>KSINV26-0061</t>
  </si>
  <si>
    <t>CI2026-0209</t>
  </si>
  <si>
    <t>ICS: INV # CI2026-0209</t>
  </si>
  <si>
    <t xml:space="preserve">ICS: Inventory for INV # CI2026-0209 Product # DKS0177 ស៊ីម៉ង ខន CHIP MONG </t>
  </si>
  <si>
    <t xml:space="preserve">ICS: COGS for INV # CI2026-0209 Product # DKS0177 ស៊ីម៉ង ខន CHIP MONG </t>
  </si>
  <si>
    <t xml:space="preserve">ICS: INV # CI2026-0209 Product # DKS0177 ស៊ីម៉ង ខន CHIP MONG </t>
  </si>
  <si>
    <t xml:space="preserve">ICS: Inventory for INV # CI2026-0209 Product # DKS0183 ដែកសរសៃ​ 10L CHIP MONG </t>
  </si>
  <si>
    <t xml:space="preserve">ICS: COGS for INV # CI2026-0209 Product # DKS0183 ដែកសរសៃ​ 10L CHIP MONG </t>
  </si>
  <si>
    <t xml:space="preserve">ICS: INV # CI2026-0209 Product # DKS0183 ដែកសរសៃ​ 10L CHIP MONG </t>
  </si>
  <si>
    <t>CI2026-0210</t>
  </si>
  <si>
    <t>ICS: INV # CI2026-0210</t>
  </si>
  <si>
    <t xml:space="preserve">ICS: Inventory for INV # CI2026-0210 Product # DKS0177 ស៊ីម៉ង ខន CHIP MONG </t>
  </si>
  <si>
    <t xml:space="preserve">ICS: COGS for INV # CI2026-0210 Product # DKS0177 ស៊ីម៉ង ខន CHIP MONG </t>
  </si>
  <si>
    <t xml:space="preserve">ICS: INV # CI2026-0210 Product # DKS0177 ស៊ីម៉ង ខន CHIP MONG </t>
  </si>
  <si>
    <t>CI2026-0211</t>
  </si>
  <si>
    <t>ICS: INV # CI2026-0211</t>
  </si>
  <si>
    <t xml:space="preserve">ICS: Inventory for INV # CI2026-0211 Product # DKS0177 ស៊ីម៉ង ខន CHIP MONG </t>
  </si>
  <si>
    <t xml:space="preserve">ICS: COGS for INV # CI2026-0211 Product # DKS0177 ស៊ីម៉ង ខន CHIP MONG </t>
  </si>
  <si>
    <t xml:space="preserve">ICS: INV # CI2026-0211 Product # DKS0177 ស៊ីម៉ង ខន CHIP MONG </t>
  </si>
  <si>
    <t xml:space="preserve">ICS: Inventory for INV # CI2026-0211 Product # DKS0010 ទីប​100(8.5) ECO PIPE </t>
  </si>
  <si>
    <t xml:space="preserve">ICS: COGS for INV # CI2026-0211 Product # DKS0010 ទីប​100(8.5) ECO PIPE </t>
  </si>
  <si>
    <t xml:space="preserve">ICS: INV # CI2026-0211 Product # DKS0010 ទីប​100(8.5) ECO PIPE </t>
  </si>
  <si>
    <t xml:space="preserve">ICS: Inventory for INV # CI2026-0211 Product # DKS0011 ទីប80(8.5) ECO PIPE </t>
  </si>
  <si>
    <t xml:space="preserve">ICS: COGS for INV # CI2026-0211 Product # DKS0011 ទីប80(8.5) ECO PIPE </t>
  </si>
  <si>
    <t xml:space="preserve">ICS: INV # CI2026-0211 Product # DKS0011 ទីប80(8.5) ECO PIPE </t>
  </si>
  <si>
    <t>KSINV26-0062</t>
  </si>
  <si>
    <t>CI2026-0212</t>
  </si>
  <si>
    <t>ICS: INV # CI2026-0212</t>
  </si>
  <si>
    <t xml:space="preserve">ICS: Inventory for INV # CI2026-0212 Product # DKS0019 ទីប100(5.0) ECO PIPE </t>
  </si>
  <si>
    <t xml:space="preserve">ICS: COGS for INV # CI2026-0212 Product # DKS0019 ទីប100(5.0) ECO PIPE </t>
  </si>
  <si>
    <t xml:space="preserve">ICS: INV # CI2026-0212 Product # DKS0019 ទីប100(5.0) ECO PIPE </t>
  </si>
  <si>
    <t>DKS0042</t>
  </si>
  <si>
    <t xml:space="preserve">កែង34 CHIP MONG </t>
  </si>
  <si>
    <t xml:space="preserve">ICS: Inventory for INV # CI2026-0212 Product # DKS0042 កែង34 CHIP MONG </t>
  </si>
  <si>
    <t xml:space="preserve">ICS: COGS for INV # CI2026-0212 Product # DKS0042 កែង34 CHIP MONG </t>
  </si>
  <si>
    <t xml:space="preserve">ICS: INV # CI2026-0212 Product # DKS0042 កែង34 CHIP MONG </t>
  </si>
  <si>
    <t>DKS0045</t>
  </si>
  <si>
    <t xml:space="preserve">តេ34 CHIP MONG </t>
  </si>
  <si>
    <t xml:space="preserve">ICS: Inventory for INV # CI2026-0212 Product # DKS0045 តេ34 CHIP MONG </t>
  </si>
  <si>
    <t xml:space="preserve">ICS: COGS for INV # CI2026-0212 Product # DKS0045 តេ34 CHIP MONG </t>
  </si>
  <si>
    <t xml:space="preserve">ICS: INV # CI2026-0212 Product # DKS0045 តេ34 CHIP MONG </t>
  </si>
  <si>
    <t xml:space="preserve">ICS: Inventory for INV # CI2026-0212 Product # DKS0183 ដែកសរសៃ​ 10L CHIP MONG </t>
  </si>
  <si>
    <t xml:space="preserve">ICS: COGS for INV # CI2026-0212 Product # DKS0183 ដែកសរសៃ​ 10L CHIP MONG </t>
  </si>
  <si>
    <t xml:space="preserve">ICS: INV # CI2026-0212 Product # DKS0183 ដែកសរសៃ​ 10L CHIP MONG </t>
  </si>
  <si>
    <t>CI2026-0213</t>
  </si>
  <si>
    <t>ICS: INV # CI2026-0213</t>
  </si>
  <si>
    <t xml:space="preserve">ICS: Inventory for INV # CI2026-0213 Product # DKS0016 ទីប34(8.5) ECO PIPE </t>
  </si>
  <si>
    <t xml:space="preserve">ICS: COGS for INV # CI2026-0213 Product # DKS0016 ទីប34(8.5) ECO PIPE </t>
  </si>
  <si>
    <t xml:space="preserve">ICS: INV # CI2026-0213 Product # DKS0016 ទីប34(8.5) ECO PIPE </t>
  </si>
  <si>
    <t xml:space="preserve">ICS: Inventory for INV # CI2026-0213 Product # DKS0041 តេ49 CHIP MONG </t>
  </si>
  <si>
    <t xml:space="preserve">ICS: COGS for INV # CI2026-0213 Product # DKS0041 តេ49 CHIP MONG </t>
  </si>
  <si>
    <t xml:space="preserve">ICS: INV # CI2026-0213 Product # DKS0041 តេ49 CHIP MONG </t>
  </si>
  <si>
    <t>DKS0144</t>
  </si>
  <si>
    <t xml:space="preserve">ប៉ុងខាត់ PL </t>
  </si>
  <si>
    <t xml:space="preserve">ICS: Inventory for INV # CI2026-0213 Product # DKS0144 ប៉ុងខាត់ PL </t>
  </si>
  <si>
    <t xml:space="preserve">ICS: COGS for INV # CI2026-0213 Product # DKS0144 ប៉ុងខាត់ PL </t>
  </si>
  <si>
    <t xml:space="preserve">ICS: INV # CI2026-0213 Product # DKS0144 ប៉ុងខាត់ PL </t>
  </si>
  <si>
    <t xml:space="preserve">ICS: Inventory for INV # CI2026-0213 Product # DKS0155 ថ្នាំប្រេងលាបដែក 3.5l U-91 </t>
  </si>
  <si>
    <t xml:space="preserve">ICS: COGS for INV # CI2026-0213 Product # DKS0155 ថ្នាំប្រេងលាបដែក 3.5l U-91 </t>
  </si>
  <si>
    <t xml:space="preserve">ICS: INV # CI2026-0213 Product # DKS0155 ថ្នាំប្រេងលាបដែក 3.5l U-91 </t>
  </si>
  <si>
    <t>CI2026-0214</t>
  </si>
  <si>
    <t>ICS: INV # CI2026-0214</t>
  </si>
  <si>
    <t xml:space="preserve">ICS: Inventory for INV # CI2026-0214 Product # DKS0189 ដែកជ្រុង 30*30(1.2) CHIP MONG </t>
  </si>
  <si>
    <t xml:space="preserve">ICS: COGS for INV # CI2026-0214 Product # DKS0189 ដែកជ្រុង 30*30(1.2) CHIP MONG </t>
  </si>
  <si>
    <t xml:space="preserve">ICS: INV # CI2026-0214 Product # DKS0189 ដែកជ្រុង 30*30(1.2) CHIP MONG </t>
  </si>
  <si>
    <t>DKS0108</t>
  </si>
  <si>
    <t xml:space="preserve">ក្បាលស្វាន 13l PL </t>
  </si>
  <si>
    <t xml:space="preserve">ICS: Inventory for INV # CI2026-0214 Product # DKS0108 ក្បាលស្វាន 13l PL </t>
  </si>
  <si>
    <t xml:space="preserve">ICS: COGS for INV # CI2026-0214 Product # DKS0108 ក្បាលស្វាន 13l PL </t>
  </si>
  <si>
    <t xml:space="preserve">ICS: INV # CI2026-0214 Product # DKS0108 ក្បាលស្វាន 13l PL </t>
  </si>
  <si>
    <t>Stock Avariable</t>
  </si>
  <si>
    <t>small val uom</t>
  </si>
  <si>
    <t>CI2026-0192</t>
  </si>
  <si>
    <t>KSINV26-0063</t>
  </si>
  <si>
    <t xml:space="preserve">ICS: Inventory for INV # CI2026-0214 Product # DKS0177 ស៊ីម៉ង ខន CHIP MONG </t>
  </si>
  <si>
    <t xml:space="preserve">ICS: COGS for INV # CI2026-0214 Product # DKS0177 ស៊ីម៉ង ខន CHIP MONG </t>
  </si>
  <si>
    <t xml:space="preserve">ICS: INV # CI2026-0214 Product # DKS0177 ស៊ីម៉ង ខន CHIP MONG </t>
  </si>
  <si>
    <t xml:space="preserve">ICS: Inventory for INV # CI2026-0214 Product # DKS0193 ដែកជ្រុង 20*40(1.2) CHIP MONG </t>
  </si>
  <si>
    <t xml:space="preserve">ICS: COGS for INV # CI2026-0214 Product # DKS0193 ដែកជ្រុង 20*40(1.2) CHIP MONG </t>
  </si>
  <si>
    <t xml:space="preserve">ICS: INV # CI2026-0214 Product # DKS0193 ដែកជ្រុង 20*40(1.2) CHIP MONG </t>
  </si>
  <si>
    <t>DKS0103</t>
  </si>
  <si>
    <t xml:space="preserve">ផ្លែស្វានបេតុង 6l PL </t>
  </si>
  <si>
    <t xml:space="preserve">ICS: Inventory for INV # CI2026-0214 Product # DKS0103 ផ្លែស្វានបេតុង 6l PL </t>
  </si>
  <si>
    <t xml:space="preserve">ICS: COGS for INV # CI2026-0214 Product # DKS0103 ផ្លែស្វានបេតុង 6l PL </t>
  </si>
  <si>
    <t xml:space="preserve">ICS: INV # CI2026-0214 Product # DKS0103 ផ្លែស្វានបេតុង 6l PL </t>
  </si>
  <si>
    <t>DKS0167</t>
  </si>
  <si>
    <t xml:space="preserve">រឡូរុញថ្នាំ​ 15cm PL </t>
  </si>
  <si>
    <t xml:space="preserve">ICS: Inventory for INV # CI2026-0214 Product # DKS0167 រឡូរុញថ្នាំ​ 15cm PL </t>
  </si>
  <si>
    <t xml:space="preserve">ICS: COGS for INV # CI2026-0214 Product # DKS0167 រឡូរុញថ្នាំ​ 15cm PL </t>
  </si>
  <si>
    <t xml:space="preserve">ICS: INV # CI2026-0214 Product # DKS0167 រឡូរុញថ្នាំ​ 15cm PL </t>
  </si>
  <si>
    <t xml:space="preserve">ICS: Inventory for INV # CI2026-0214 Product # DKS0184 ដែកសរសៃ​ 12L CHIP MONG </t>
  </si>
  <si>
    <t xml:space="preserve">ICS: COGS for INV # CI2026-0214 Product # DKS0184 ដែកសរសៃ​ 12L CHIP MONG </t>
  </si>
  <si>
    <t xml:space="preserve">ICS: INV # CI2026-0214 Product # DKS0184 ដែកសរសៃ​ 12L CHIP MONG </t>
  </si>
  <si>
    <t>DKS0063</t>
  </si>
  <si>
    <t xml:space="preserve">តេអ៊ីការិច80*49 CHIP MONG </t>
  </si>
  <si>
    <t xml:space="preserve">ICS: Inventory for INV # CI2026-0214 Product # DKS0063 តេអ៊ីការិច80*49 CHIP MONG </t>
  </si>
  <si>
    <t xml:space="preserve">ICS: COGS for INV # CI2026-0214 Product # DKS0063 តេអ៊ីការិច80*49 CHIP MONG </t>
  </si>
  <si>
    <t xml:space="preserve">ICS: INV # CI2026-0214 Product # DKS0063 តេអ៊ីការិច80*49 CHIP MONG </t>
  </si>
  <si>
    <t xml:space="preserve">ICS: Inventory for INV # CI2026-0214 Product # DKS0182 ដែកសរសៃ​ 8L CHIP MONG </t>
  </si>
  <si>
    <t xml:space="preserve">ICS: COGS for INV # CI2026-0214 Product # DKS0182 ដែកសរសៃ​ 8L CHIP MONG </t>
  </si>
  <si>
    <t xml:space="preserve">ICS: INV # CI2026-0214 Product # DKS0182 ដែកសរសៃ​ 8L CHIP MONG </t>
  </si>
  <si>
    <t>CI2026-0215</t>
  </si>
  <si>
    <t>ICS: INV # CI2026-0215</t>
  </si>
  <si>
    <t xml:space="preserve">ICS: Inventory for INV # CI2026-0215 Product # DKS0187 ដែកជ្រុង 25*25(1.2) CHIP MONG </t>
  </si>
  <si>
    <t xml:space="preserve">ICS: COGS for INV # CI2026-0215 Product # DKS0187 ដែកជ្រុង 25*25(1.2) CHIP MONG </t>
  </si>
  <si>
    <t xml:space="preserve">ICS: INV # CI2026-0215 Product # DKS0187 ដែកជ្រុង 25*25(1.2) CHIP MONG </t>
  </si>
  <si>
    <t xml:space="preserve">ICS: Inventory for INV # CI2026-0215 Product # DKS0193 ដែកជ្រុង 20*40(1.2) CHIP MONG </t>
  </si>
  <si>
    <t xml:space="preserve">ICS: COGS for INV # CI2026-0215 Product # DKS0193 ដែកជ្រុង 20*40(1.2) CHIP MONG </t>
  </si>
  <si>
    <t xml:space="preserve">ICS: INV # CI2026-0215 Product # DKS0193 ដែកជ្រុង 20*40(1.2) CHIP MONG </t>
  </si>
  <si>
    <t xml:space="preserve">ICS: Inventory for INV # CI2026-0215 Product # DKS0195 ដែកជ្រុង 30*60(1.2) CHIP MONG </t>
  </si>
  <si>
    <t xml:space="preserve">ICS: COGS for INV # CI2026-0215 Product # DKS0195 ដែកជ្រុង 30*60(1.2) CHIP MONG </t>
  </si>
  <si>
    <t xml:space="preserve">ICS: INV # CI2026-0215 Product # DKS0195 ដែកជ្រុង 30*60(1.2) CHIP MONG </t>
  </si>
  <si>
    <t xml:space="preserve">ICS: Inventory for INV # CI2026-0215 Product # DKS0177 ស៊ីម៉ង ខន CHIP MONG </t>
  </si>
  <si>
    <t xml:space="preserve">ICS: COGS for INV # CI2026-0215 Product # DKS0177 ស៊ីម៉ង ខន CHIP MONG </t>
  </si>
  <si>
    <t xml:space="preserve">ICS: INV # CI2026-0215 Product # DKS0177 ស៊ីម៉ង ខន CHIP MONG </t>
  </si>
  <si>
    <t xml:space="preserve">ICS: Inventory for INV # CI2026-0215 Product # DKS0022 ទីប60(5.0) ECO PIPE </t>
  </si>
  <si>
    <t xml:space="preserve">ICS: COGS for INV # CI2026-0215 Product # DKS0022 ទីប60(5.0) ECO PIPE </t>
  </si>
  <si>
    <t xml:space="preserve">ICS: INV # CI2026-0215 Product # DKS0022 ទីប60(5.0) ECO PIPE </t>
  </si>
  <si>
    <t>KSINV26-0064</t>
  </si>
  <si>
    <t>CI2026-0216</t>
  </si>
  <si>
    <t>ICS: INV # CI2026-0216</t>
  </si>
  <si>
    <t xml:space="preserve">ICS: Inventory for INV # CI2026-0216 Product # DKS0177 ស៊ីម៉ង ខន CHIP MONG </t>
  </si>
  <si>
    <t xml:space="preserve">ICS: COGS for INV # CI2026-0216 Product # DKS0177 ស៊ីម៉ង ខន CHIP MONG </t>
  </si>
  <si>
    <t xml:space="preserve">ICS: INV # CI2026-0216 Product # DKS0177 ស៊ីម៉ង ខន CHIP MONG </t>
  </si>
  <si>
    <t xml:space="preserve">ICS: Inventory for INV # CI2026-0216 Product # DKS0178 ស៊ីម៉ង អូដ្ធ CHIP MONG </t>
  </si>
  <si>
    <t xml:space="preserve">ICS: COGS for INV # CI2026-0216 Product # DKS0178 ស៊ីម៉ង អូដ្ធ CHIP MONG </t>
  </si>
  <si>
    <t xml:space="preserve">ICS: INV # CI2026-0216 Product # DKS0178 ស៊ីម៉ង អូដ្ធ CHIP MONG </t>
  </si>
  <si>
    <t>CI2026-0217</t>
  </si>
  <si>
    <t>ICS: INV # CI2026-0217</t>
  </si>
  <si>
    <t xml:space="preserve">ICS: Inventory for INV # CI2026-0217 Product # DKS0183 ដែកសរសៃ​ 10L CHIP MONG </t>
  </si>
  <si>
    <t xml:space="preserve">ICS: COGS for INV # CI2026-0217 Product # DKS0183 ដែកសរសៃ​ 10L CHIP MONG </t>
  </si>
  <si>
    <t xml:space="preserve">ICS: INV # CI2026-0217 Product # DKS0183 ដែកសរសៃ​ 10L CHIP MONG </t>
  </si>
  <si>
    <t xml:space="preserve">ICS: Inventory for INV # CI2026-0217 Product # DKS0184 ដែកសរសៃ​ 12L CHIP MONG </t>
  </si>
  <si>
    <t xml:space="preserve">ICS: COGS for INV # CI2026-0217 Product # DKS0184 ដែកសរសៃ​ 12L CHIP MONG </t>
  </si>
  <si>
    <t xml:space="preserve">ICS: INV # CI2026-0217 Product # DKS0184 ដែកសរសៃ​ 12L CHIP MONG </t>
  </si>
  <si>
    <t>CI2026-0218</t>
  </si>
  <si>
    <t>ICS: INV # CI2026-0218</t>
  </si>
  <si>
    <t xml:space="preserve">ICS: Inventory for INV # CI2026-0218 Product # DKS0019 ទីប100(5.0) ECO PIPE </t>
  </si>
  <si>
    <t xml:space="preserve">ICS: COGS for INV # CI2026-0218 Product # DKS0019 ទីប100(5.0) ECO PIPE </t>
  </si>
  <si>
    <t xml:space="preserve">ICS: INV # CI2026-0218 Product # DKS0019 ទីប100(5.0) ECO PIPE </t>
  </si>
  <si>
    <t xml:space="preserve">ICS: Inventory for INV # CI2026-0218 Product # DKS0014 ទីប49(8.5) ECO PIPE </t>
  </si>
  <si>
    <t xml:space="preserve">ICS: COGS for INV # CI2026-0218 Product # DKS0014 ទីប49(8.5) ECO PIPE </t>
  </si>
  <si>
    <t xml:space="preserve">ICS: INV # CI2026-0218 Product # DKS0014 ទីប49(8.5) ECO PIPE </t>
  </si>
  <si>
    <t xml:space="preserve">ICS: Inventory for INV # CI2026-0218 Product # DKS0184 ដែកសរសៃ​ 12L CHIP MONG </t>
  </si>
  <si>
    <t xml:space="preserve">ICS: COGS for INV # CI2026-0218 Product # DKS0184 ដែកសរសៃ​ 12L CHIP MONG </t>
  </si>
  <si>
    <t xml:space="preserve">ICS: INV # CI2026-0218 Product # DKS0184 ដែកសរសៃ​ 12L CHIP MONG </t>
  </si>
  <si>
    <t>DKS0181,DKS0017,</t>
  </si>
  <si>
    <t>KSINV26-0065</t>
  </si>
  <si>
    <t>CI2026-0219</t>
  </si>
  <si>
    <t>ICS: INV # CI2026-0219</t>
  </si>
  <si>
    <t xml:space="preserve">ICS: Inventory for INV # CI2026-0219 Product # DKS0178 ស៊ីម៉ង អូដ្ធ CHIP MONG </t>
  </si>
  <si>
    <t xml:space="preserve">ICS: COGS for INV # CI2026-0219 Product # DKS0178 ស៊ីម៉ង អូដ្ធ CHIP MONG </t>
  </si>
  <si>
    <t xml:space="preserve">ICS: INV # CI2026-0219 Product # DKS0178 ស៊ីម៉ង អូដ្ធ CHIP MONG </t>
  </si>
  <si>
    <t xml:space="preserve">ICS: Inventory for INV # CI2026-0219 Product # DKS0017 ទីប27(8.5) ECO PIPE </t>
  </si>
  <si>
    <t xml:space="preserve">ICS: COGS for INV # CI2026-0219 Product # DKS0017 ទីប27(8.5) ECO PIPE </t>
  </si>
  <si>
    <t xml:space="preserve">ICS: INV # CI2026-0219 Product # DKS0017 ទីប27(8.5) ECO PIPE </t>
  </si>
  <si>
    <t xml:space="preserve">ICS: Inventory for INV # CI2026-0219 Product # DKS0070 សុងធ្មេញក្រៅ27 CHIP MONG </t>
  </si>
  <si>
    <t xml:space="preserve">ICS: COGS for INV # CI2026-0219 Product # DKS0070 សុងធ្មេញក្រៅ27 CHIP MONG </t>
  </si>
  <si>
    <t xml:space="preserve">ICS: INV # CI2026-0219 Product # DKS0070 សុងធ្មេញក្រៅ27 CHIP MONG </t>
  </si>
  <si>
    <t xml:space="preserve">ICS: Inventory for INV # CI2026-0219 Product # DKS0181 ដែកសរសៃ​ 6L CHIP MONG </t>
  </si>
  <si>
    <t xml:space="preserve">ICS: COGS for INV # CI2026-0219 Product # DKS0181 ដែកសរសៃ​ 6L CHIP MONG </t>
  </si>
  <si>
    <t xml:space="preserve">ICS: INV # CI2026-0219 Product # DKS0181 ដែកសរសៃ​ 6L CHIP MONG </t>
  </si>
  <si>
    <t>CI2026-0220</t>
  </si>
  <si>
    <t>ICS: INV # CI2026-0220</t>
  </si>
  <si>
    <t>DKS0040</t>
  </si>
  <si>
    <t xml:space="preserve">សុង49 CHIP MONG </t>
  </si>
  <si>
    <t xml:space="preserve">ICS: Inventory for INV # CI2026-0220 Product # DKS0040 សុង49 CHIP MONG </t>
  </si>
  <si>
    <t xml:space="preserve">ICS: COGS for INV # CI2026-0220 Product # DKS0040 សុង49 CHIP MONG </t>
  </si>
  <si>
    <t xml:space="preserve">ICS: INV # CI2026-0220 Product # DKS0040 សុង49 CHIP MONG </t>
  </si>
  <si>
    <t>DKS0038</t>
  </si>
  <si>
    <t xml:space="preserve">កែង49 CHIP MONG </t>
  </si>
  <si>
    <t xml:space="preserve">ICS: Inventory for INV # CI2026-0220 Product # DKS0038 កែង49 CHIP MONG </t>
  </si>
  <si>
    <t xml:space="preserve">ICS: COGS for INV # CI2026-0220 Product # DKS0038 កែង49 CHIP MONG </t>
  </si>
  <si>
    <t xml:space="preserve">ICS: INV # CI2026-0220 Product # DKS0038 កែង49 CHIP MONG </t>
  </si>
  <si>
    <t>1m</t>
  </si>
  <si>
    <t xml:space="preserve">ICS: Inventory for INV # CI2026-0220 Product # DKS0005 ទីប49(8.5) CHIP MONG </t>
  </si>
  <si>
    <t xml:space="preserve">ICS: COGS for INV # CI2026-0220 Product # DKS0005 ទីប49(8.5) CHIP MONG </t>
  </si>
  <si>
    <t xml:space="preserve">ICS: INV # CI2026-0220 Product # DKS0005 ទីប49(8.5) CHIP MONG </t>
  </si>
  <si>
    <t xml:space="preserve">ICS: Inventory for INV # CI2026-0220 Product # DKS0182 ដែកសរសៃ​ 8L CHIP MONG </t>
  </si>
  <si>
    <t xml:space="preserve">ICS: COGS for INV # CI2026-0220 Product # DKS0182 ដែកសរសៃ​ 8L CHIP MONG </t>
  </si>
  <si>
    <t xml:space="preserve">ICS: INV # CI2026-0220 Product # DKS0182 ដែកសរសៃ​ 8L CHIP MONG </t>
  </si>
  <si>
    <t>DKS0008</t>
  </si>
  <si>
    <t xml:space="preserve">ទីប27(8.5) CHIP MONG </t>
  </si>
  <si>
    <t xml:space="preserve">ICS: Inventory for INV # CI2026-0220 Product # DKS0008 ទីប27(8.5) CHIP MONG </t>
  </si>
  <si>
    <t xml:space="preserve">ICS: COGS for INV # CI2026-0220 Product # DKS0008 ទីប27(8.5) CHIP MONG </t>
  </si>
  <si>
    <t xml:space="preserve">ICS: INV # CI2026-0220 Product # DKS0008 ទីប27(8.5) CHIP MONG </t>
  </si>
  <si>
    <t xml:space="preserve">ICS: Inventory for INV # CI2026-0220 Product # DKS0026 កែង100 CHIP MONG </t>
  </si>
  <si>
    <t xml:space="preserve">ICS: COGS for INV # CI2026-0220 Product # DKS0026 កែង100 CHIP MONG </t>
  </si>
  <si>
    <t xml:space="preserve">ICS: INV # CI2026-0220 Product # DKS0026 កែង100 CHIP MONG </t>
  </si>
  <si>
    <t>DKS0076</t>
  </si>
  <si>
    <t xml:space="preserve">ទុយោសកខ្សែភ្លើង 34 CHIP MONG </t>
  </si>
  <si>
    <t>052.Unit/2.9m</t>
  </si>
  <si>
    <t xml:space="preserve">ICS: Inventory for INV # CI2026-0220 Product # DKS0076 ទុយោសកខ្សែភ្លើង 34 CHIP MONG </t>
  </si>
  <si>
    <t xml:space="preserve">ICS: COGS for INV # CI2026-0220 Product # DKS0076 ទុយោសកខ្សែភ្លើង 34 CHIP MONG </t>
  </si>
  <si>
    <t xml:space="preserve">ICS: INV # CI2026-0220 Product # DKS0076 ទុយោសកខ្សែភ្លើង 34 CHIP MONG </t>
  </si>
  <si>
    <t>DKS0090</t>
  </si>
  <si>
    <t xml:space="preserve">ជើងអំពូល ព្យូរស China </t>
  </si>
  <si>
    <t xml:space="preserve">ICS: Inventory for INV # CI2026-0220 Product # DKS0090 ជើងអំពូល ព្យូរស China </t>
  </si>
  <si>
    <t xml:space="preserve">ICS: COGS for INV # CI2026-0220 Product # DKS0090 ជើងអំពូល ព្យូរស China </t>
  </si>
  <si>
    <t xml:space="preserve">ICS: INV # CI2026-0220 Product # DKS0090 ជើងអំពូល ព្យូរស China </t>
  </si>
  <si>
    <t>DKS0039</t>
  </si>
  <si>
    <t xml:space="preserve">ដឺមី49 CHIP MONG </t>
  </si>
  <si>
    <t xml:space="preserve">ICS: Inventory for INV # CI2026-0220 Product # DKS0039 ដឺមី49 CHIP MONG </t>
  </si>
  <si>
    <t xml:space="preserve">ICS: COGS for INV # CI2026-0220 Product # DKS0039 ដឺមី49 CHIP MONG </t>
  </si>
  <si>
    <t xml:space="preserve">ICS: INV # CI2026-0220 Product # DKS0039 ដឺមី49 CHIP MONG </t>
  </si>
  <si>
    <t xml:space="preserve">ICS: Inventory for INV # CI2026-0220 Product # DKS0042 កែង34 CHIP MONG </t>
  </si>
  <si>
    <t xml:space="preserve">ICS: COGS for INV # CI2026-0220 Product # DKS0042 កែង34 CHIP MONG </t>
  </si>
  <si>
    <t xml:space="preserve">ICS: INV # CI2026-0220 Product # DKS0042 កែង34 CHIP MONG </t>
  </si>
  <si>
    <t xml:space="preserve">ICS: Inventory for INV # CI2026-0220 Product # DKS0169 រឡូរុញថ្នាំ​ 10cm PL </t>
  </si>
  <si>
    <t xml:space="preserve">ICS: COGS for INV # CI2026-0220 Product # DKS0169 រឡូរុញថ្នាំ​ 10cm PL </t>
  </si>
  <si>
    <t xml:space="preserve">ICS: INV # CI2026-0220 Product # DKS0169 រឡូរុញថ្នាំ​ 10cm PL </t>
  </si>
  <si>
    <t>DKS0131</t>
  </si>
  <si>
    <t xml:space="preserve">ច្រាស់ជ័រស្ពាន់ PL </t>
  </si>
  <si>
    <t xml:space="preserve">ICS: Inventory for INV # CI2026-0220 Product # DKS0131 ច្រាស់ជ័រស្ពាន់ PL </t>
  </si>
  <si>
    <t xml:space="preserve">ICS: COGS for INV # CI2026-0220 Product # DKS0131 ច្រាស់ជ័រស្ពាន់ PL </t>
  </si>
  <si>
    <t xml:space="preserve">ICS: INV # CI2026-0220 Product # DKS0131 ច្រាស់ជ័រស្ពាន់ PL </t>
  </si>
  <si>
    <t>CI2026-0221</t>
  </si>
  <si>
    <t>ICS: INV # CI2026-0221</t>
  </si>
  <si>
    <t xml:space="preserve">ICS: Inventory for INV # CI2026-0221 Product # DKS0177 ស៊ីម៉ង ខន CHIP MONG </t>
  </si>
  <si>
    <t xml:space="preserve">ICS: COGS for INV # CI2026-0221 Product # DKS0177 ស៊ីម៉ង ខន CHIP MONG </t>
  </si>
  <si>
    <t xml:space="preserve">ICS: INV # CI2026-0221 Product # DKS0177 ស៊ីម៉ង ខន CHIP MONG </t>
  </si>
  <si>
    <t>CI2026-0222</t>
  </si>
  <si>
    <t>ICS: INV # CI2026-0222</t>
  </si>
  <si>
    <t xml:space="preserve">ICS: Inventory for INV # CI2026-0222 Product # DKS0197 ដែកជ្រុង 40*80(1.2) CHIP MONG </t>
  </si>
  <si>
    <t xml:space="preserve">ICS: COGS for INV # CI2026-0222 Product # DKS0197 ដែកជ្រុង 40*80(1.2) CHIP MONG </t>
  </si>
  <si>
    <t xml:space="preserve">ICS: INV # CI2026-0222 Product # DKS0197 ដែកជ្រុង 40*80(1.2) CHIP MONG </t>
  </si>
  <si>
    <t>DKS0198</t>
  </si>
  <si>
    <t xml:space="preserve">ដែកជ្រុង 50*100(1.1) CHIP MONG </t>
  </si>
  <si>
    <t xml:space="preserve">ICS: Inventory for INV # CI2026-0222 Product # DKS0198 ដែកជ្រុង 50*100(1.1) CHIP MONG </t>
  </si>
  <si>
    <t xml:space="preserve">ICS: COGS for INV # CI2026-0222 Product # DKS0198 ដែកជ្រុង 50*100(1.1) CHIP MONG </t>
  </si>
  <si>
    <t xml:space="preserve">ICS: INV # CI2026-0222 Product # DKS0198 ដែកជ្រុង 50*100(1.1) CHIP MONG </t>
  </si>
  <si>
    <t xml:space="preserve">ICS: Inventory for INV # CI2026-0222 Product # DKS0178 ស៊ីម៉ង អូដ្ធ CHIP MONG </t>
  </si>
  <si>
    <t xml:space="preserve">ICS: COGS for INV # CI2026-0222 Product # DKS0178 ស៊ីម៉ង អូដ្ធ CHIP MONG </t>
  </si>
  <si>
    <t xml:space="preserve">ICS: INV # CI2026-0222 Product # DKS0178 ស៊ីម៉ង អូដ្ធ CHIP MONG </t>
  </si>
  <si>
    <t>KSINV26-0066</t>
  </si>
  <si>
    <t>CI2026-0223</t>
  </si>
  <si>
    <t>ICS: INV # CI2026-0223</t>
  </si>
  <si>
    <t xml:space="preserve">ICS: Inventory for INV # CI2026-0223 Product # DKS0002 ទប80(8.5) CHIP MONG </t>
  </si>
  <si>
    <t xml:space="preserve">ICS: COGS for INV # CI2026-0223 Product # DKS0002 ទប80(8.5) CHIP MONG </t>
  </si>
  <si>
    <t xml:space="preserve">ICS: INV # CI2026-0223 Product # DKS0002 ទប80(8.5) CHIP MONG </t>
  </si>
  <si>
    <t xml:space="preserve">ICS: Inventory for INV # CI2026-0223 Product # DKS0007 ទីប34(8.5) CHIP MONG </t>
  </si>
  <si>
    <t xml:space="preserve">ICS: COGS for INV # CI2026-0223 Product # DKS0007 ទីប34(8.5) CHIP MONG </t>
  </si>
  <si>
    <t xml:space="preserve">ICS: INV # CI2026-0223 Product # DKS0007 ទីប34(8.5) CHIP MONG </t>
  </si>
  <si>
    <t>DKS0030</t>
  </si>
  <si>
    <t xml:space="preserve">កែង80 CHIP MONG </t>
  </si>
  <si>
    <t>ក្រាស់</t>
  </si>
  <si>
    <t xml:space="preserve">ICS: Inventory for INV # CI2026-0223 Product # DKS0030 កែង80 CHIP MONG </t>
  </si>
  <si>
    <t xml:space="preserve">ICS: COGS for INV # CI2026-0223 Product # DKS0030 កែង80 CHIP MONG </t>
  </si>
  <si>
    <t xml:space="preserve">ICS: INV # CI2026-0223 Product # DKS0030 កែង80 CHIP MONG </t>
  </si>
  <si>
    <t>DKS0034</t>
  </si>
  <si>
    <t xml:space="preserve">កែង60 CHIP MONG </t>
  </si>
  <si>
    <t xml:space="preserve">ICS: Inventory for INV # CI2026-0223 Product # DKS0034 កែង60 CHIP MONG </t>
  </si>
  <si>
    <t xml:space="preserve">ICS: COGS for INV # CI2026-0223 Product # DKS0034 កែង60 CHIP MONG </t>
  </si>
  <si>
    <t xml:space="preserve">ICS: INV # CI2026-0223 Product # DKS0034 កែង60 CHIP MONG </t>
  </si>
  <si>
    <t>DKS0033</t>
  </si>
  <si>
    <t xml:space="preserve">តេ80 CHIP MONG </t>
  </si>
  <si>
    <t xml:space="preserve">ICS: Inventory for INV # CI2026-0223 Product # DKS0033 តេ80 CHIP MONG </t>
  </si>
  <si>
    <t xml:space="preserve">ICS: COGS for INV # CI2026-0223 Product # DKS0033 តេ80 CHIP MONG </t>
  </si>
  <si>
    <t xml:space="preserve">ICS: INV # CI2026-0223 Product # DKS0033 តេ80 CHIP MONG </t>
  </si>
  <si>
    <t>DKS0056</t>
  </si>
  <si>
    <t xml:space="preserve">ដំណរ60*49 CHIP MONG </t>
  </si>
  <si>
    <t xml:space="preserve">ICS: Inventory for INV # CI2026-0223 Product # DKS0056 ដំណរ60*49 CHIP MONG </t>
  </si>
  <si>
    <t xml:space="preserve">ICS: COGS for INV # CI2026-0223 Product # DKS0056 ដំណរ60*49 CHIP MONG </t>
  </si>
  <si>
    <t xml:space="preserve">ICS: INV # CI2026-0223 Product # DKS0056 ដំណរ60*49 CHIP MONG </t>
  </si>
  <si>
    <t xml:space="preserve">ICS: Inventory for INV # CI2026-0223 Product # DKS0108 ក្បាលស្វាន 13l PL </t>
  </si>
  <si>
    <t xml:space="preserve">ICS: COGS for INV # CI2026-0223 Product # DKS0108 ក្បាលស្វាន 13l PL </t>
  </si>
  <si>
    <t xml:space="preserve">ICS: INV # CI2026-0223 Product # DKS0108 ក្បាលស្វាន 13l PL </t>
  </si>
  <si>
    <t>DKS0053</t>
  </si>
  <si>
    <t xml:space="preserve">តេ60*49 CHIP MONG </t>
  </si>
  <si>
    <t xml:space="preserve">ICS: Inventory for INV # CI2026-0223 Product # DKS0053 តេ60*49 CHIP MONG </t>
  </si>
  <si>
    <t xml:space="preserve">ICS: COGS for INV # CI2026-0223 Product # DKS0053 តេ60*49 CHIP MONG </t>
  </si>
  <si>
    <t xml:space="preserve">ICS: INV # CI2026-0223 Product # DKS0053 តេ60*49 CHIP MONG </t>
  </si>
  <si>
    <t>DKS0066</t>
  </si>
  <si>
    <t xml:space="preserve">គំរប49 CHIP MONG </t>
  </si>
  <si>
    <t xml:space="preserve">ICS: Inventory for INV # CI2026-0223 Product # DKS0066 គំរប49 CHIP MONG </t>
  </si>
  <si>
    <t xml:space="preserve">ICS: COGS for INV # CI2026-0223 Product # DKS0066 គំរប49 CHIP MONG </t>
  </si>
  <si>
    <t xml:space="preserve">ICS: INV # CI2026-0223 Product # DKS0066 គំរប49 CHIP MONG </t>
  </si>
  <si>
    <t>DKS0064</t>
  </si>
  <si>
    <t xml:space="preserve">គំរប100 CHIP MONG </t>
  </si>
  <si>
    <t xml:space="preserve">ICS: Inventory for INV # CI2026-0223 Product # DKS0064 គំរប100 CHIP MONG </t>
  </si>
  <si>
    <t xml:space="preserve">ICS: COGS for INV # CI2026-0223 Product # DKS0064 គំរប100 CHIP MONG </t>
  </si>
  <si>
    <t xml:space="preserve">ICS: INV # CI2026-0223 Product # DKS0064 គំរប100 CHIP MONG </t>
  </si>
  <si>
    <t xml:space="preserve">ICS: Inventory for INV # CI2026-0223 Product # DKS0046 កែង27 CHIP MONG </t>
  </si>
  <si>
    <t xml:space="preserve">ICS: COGS for INV # CI2026-0223 Product # DKS0046 កែង27 CHIP MONG </t>
  </si>
  <si>
    <t xml:space="preserve">ICS: INV # CI2026-0223 Product # DKS0046 កែង27 CHIP MONG </t>
  </si>
  <si>
    <t>DKS0044</t>
  </si>
  <si>
    <t xml:space="preserve">សុង34 CHIP MONG </t>
  </si>
  <si>
    <t xml:space="preserve">ICS: Inventory for INV # CI2026-0223 Product # DKS0044 សុង34 CHIP MONG </t>
  </si>
  <si>
    <t xml:space="preserve">ICS: COGS for INV # CI2026-0223 Product # DKS0044 សុង34 CHIP MONG </t>
  </si>
  <si>
    <t xml:space="preserve">ICS: INV # CI2026-0223 Product # DKS0044 សុង34 CHIP MONG </t>
  </si>
  <si>
    <t>DKS0069</t>
  </si>
  <si>
    <t xml:space="preserve">សុងធ្មេញក្រៅ34 CHIP MONG </t>
  </si>
  <si>
    <t xml:space="preserve">ICS: Inventory for INV # CI2026-0223 Product # DKS0069 សុងធ្មេញក្រៅ34 CHIP MONG </t>
  </si>
  <si>
    <t xml:space="preserve">ICS: COGS for INV # CI2026-0223 Product # DKS0069 សុងធ្មេញក្រៅ34 CHIP MONG </t>
  </si>
  <si>
    <t xml:space="preserve">ICS: INV # CI2026-0223 Product # DKS0069 សុងធ្មេញក្រៅ34 CHIP MONG </t>
  </si>
  <si>
    <t xml:space="preserve">ICS: Inventory for INV # CI2026-0223 Product # DKS0070 សុងធ្មេញក្រៅ27 CHIP MONG </t>
  </si>
  <si>
    <t xml:space="preserve">ICS: COGS for INV # CI2026-0223 Product # DKS0070 សុងធ្មេញក្រៅ27 CHIP MONG </t>
  </si>
  <si>
    <t xml:space="preserve">ICS: INV # CI2026-0223 Product # DKS0070 សុងធ្មេញក្រៅ27 CHIP MONG </t>
  </si>
  <si>
    <t>DKS0068</t>
  </si>
  <si>
    <t xml:space="preserve">សុងធ្មេញក្រៅ49 CHIP MONG </t>
  </si>
  <si>
    <t xml:space="preserve">ICS: Inventory for INV # CI2026-0223 Product # DKS0068 សុងធ្មេញក្រៅ49 CHIP MONG </t>
  </si>
  <si>
    <t xml:space="preserve">ICS: COGS for INV # CI2026-0223 Product # DKS0068 សុងធ្មេញក្រៅ49 CHIP MONG </t>
  </si>
  <si>
    <t xml:space="preserve">ICS: INV # CI2026-0223 Product # DKS0068 សុងធ្មេញក្រៅ49 CHIP MONG </t>
  </si>
  <si>
    <t xml:space="preserve">ICS: Inventory for INV # CI2026-0223 Product # DKS0156 ថ្នាំប្រេងលាបដែក 250ml U-91 </t>
  </si>
  <si>
    <t xml:space="preserve">ICS: COGS for INV # CI2026-0223 Product # DKS0156 ថ្នាំប្រេងលាបដែក 250ml U-91 </t>
  </si>
  <si>
    <t xml:space="preserve">ICS: INV # CI2026-0223 Product # DKS0156 ថ្នាំប្រេងលាបដែក 250ml U-91 </t>
  </si>
  <si>
    <t>CI2026-0224</t>
  </si>
  <si>
    <t>ICS: INV # CI2026-0224</t>
  </si>
  <si>
    <t xml:space="preserve">ICS: Inventory for INV # CI2026-0224 Product # DKS0177 ស៊ីម៉ង ខន CHIP MONG </t>
  </si>
  <si>
    <t xml:space="preserve">ICS: COGS for INV # CI2026-0224 Product # DKS0177 ស៊ីម៉ង ខន CHIP MONG </t>
  </si>
  <si>
    <t xml:space="preserve">ICS: INV # CI2026-0224 Product # DKS0177 ស៊ីម៉ង ខន CHIP MONG </t>
  </si>
  <si>
    <t>CI2026-0225</t>
  </si>
  <si>
    <t>ICS: INV # CI2026-0225</t>
  </si>
  <si>
    <t xml:space="preserve">ICS: Inventory for INV # CI2026-0225 Product # DKS0179 ស៊ីម៉ង K CHIP MONG </t>
  </si>
  <si>
    <t xml:space="preserve">ICS: COGS for INV # CI2026-0225 Product # DKS0179 ស៊ីម៉ង K CHIP MONG </t>
  </si>
  <si>
    <t xml:space="preserve">ICS: INV # CI2026-0225 Product # DKS0179 ស៊ីម៉ង K CHIP MONG </t>
  </si>
  <si>
    <t>KSINV26-0067</t>
  </si>
  <si>
    <t>CI2026-0226</t>
  </si>
  <si>
    <t>ICS: INV # CI2026-0226</t>
  </si>
  <si>
    <t xml:space="preserve">ICS: Inventory for INV # CI2026-0226 Product # DKS0177 ស៊ីម៉ង ខន CHIP MONG </t>
  </si>
  <si>
    <t xml:space="preserve">ICS: COGS for INV # CI2026-0226 Product # DKS0177 ស៊ីម៉ង ខន CHIP MONG </t>
  </si>
  <si>
    <t xml:space="preserve">ICS: INV # CI2026-0226 Product # DKS0177 ស៊ីម៉ង ខន CHIP MONG </t>
  </si>
  <si>
    <t xml:space="preserve">ICS: Inventory for INV # CI2026-0226 Product # DKS0191 ដែកជ្រុង 40*40(1.2) CHIP MONG </t>
  </si>
  <si>
    <t xml:space="preserve">ICS: COGS for INV # CI2026-0226 Product # DKS0191 ដែកជ្រុង 40*40(1.2) CHIP MONG </t>
  </si>
  <si>
    <t xml:space="preserve">ICS: INV # CI2026-0226 Product # DKS0191 ដែកជ្រុង 40*40(1.2) CHIP MONG </t>
  </si>
  <si>
    <t>CI2026-0227</t>
  </si>
  <si>
    <t>ICS: INV # CI2026-0227</t>
  </si>
  <si>
    <t xml:space="preserve">ICS: Inventory for INV # CI2026-0227 Product # DKS0041 តេ49 CHIP MONG </t>
  </si>
  <si>
    <t xml:space="preserve">ICS: COGS for INV # CI2026-0227 Product # DKS0041 តេ49 CHIP MONG </t>
  </si>
  <si>
    <t xml:space="preserve">ICS: INV # CI2026-0227 Product # DKS0041 តេ49 CHIP MONG </t>
  </si>
  <si>
    <t xml:space="preserve">ICS: Inventory for INV # CI2026-0227 Product # DKS0008 ទីប27(8.5) CHIP MONG </t>
  </si>
  <si>
    <t xml:space="preserve">ICS: COGS for INV # CI2026-0227 Product # DKS0008 ទីប27(8.5) CHIP MONG </t>
  </si>
  <si>
    <t xml:space="preserve">ICS: INV # CI2026-0227 Product # DKS0008 ទីប27(8.5) CHIP MONG </t>
  </si>
  <si>
    <t xml:space="preserve">ICS: Inventory for INV # CI2026-0227 Product # DKS0045 តេ34 CHIP MONG </t>
  </si>
  <si>
    <t xml:space="preserve">ICS: COGS for INV # CI2026-0227 Product # DKS0045 តេ34 CHIP MONG </t>
  </si>
  <si>
    <t xml:space="preserve">ICS: INV # CI2026-0227 Product # DKS0045 តេ34 CHIP MONG </t>
  </si>
  <si>
    <t xml:space="preserve">ICS: Inventory for INV # CI2026-0227 Product # DKS0042 កែង34 CHIP MONG </t>
  </si>
  <si>
    <t xml:space="preserve">ICS: COGS for INV # CI2026-0227 Product # DKS0042 កែង34 CHIP MONG </t>
  </si>
  <si>
    <t xml:space="preserve">ICS: INV # CI2026-0227 Product # DKS0042 កែង34 CHIP MONG </t>
  </si>
  <si>
    <t xml:space="preserve">ICS: Inventory for INV # CI2026-0227 Product # DKS0056 ដំណរ60*49 CHIP MONG </t>
  </si>
  <si>
    <t xml:space="preserve">ICS: COGS for INV # CI2026-0227 Product # DKS0056 ដំណរ60*49 CHIP MONG </t>
  </si>
  <si>
    <t xml:space="preserve">ICS: INV # CI2026-0227 Product # DKS0056 ដំណរ60*49 CHIP MONG </t>
  </si>
  <si>
    <t xml:space="preserve">ICS: Inventory for INV # CI2026-0227 Product # DKS0068 សុងធ្មេញក្រៅ49 CHIP MONG </t>
  </si>
  <si>
    <t xml:space="preserve">ICS: COGS for INV # CI2026-0227 Product # DKS0068 សុងធ្មេញក្រៅ49 CHIP MONG </t>
  </si>
  <si>
    <t xml:space="preserve">ICS: INV # CI2026-0227 Product # DKS0068 សុងធ្មេញក្រៅ49 CHIP MONG </t>
  </si>
  <si>
    <t xml:space="preserve">ICS: Inventory for INV # CI2026-0227 Product # DKS0049 តេ27 CHIP MONG </t>
  </si>
  <si>
    <t xml:space="preserve">ICS: COGS for INV # CI2026-0227 Product # DKS0049 តេ27 CHIP MONG </t>
  </si>
  <si>
    <t xml:space="preserve">ICS: INV # CI2026-0227 Product # DKS0049 តេ27 CHIP MONG </t>
  </si>
  <si>
    <t xml:space="preserve">ICS: Inventory for INV # CI2026-0227 Product # DKS0069 សុងធ្មេញក្រៅ34 CHIP MONG </t>
  </si>
  <si>
    <t xml:space="preserve">ICS: COGS for INV # CI2026-0227 Product # DKS0069 សុងធ្មេញក្រៅ34 CHIP MONG </t>
  </si>
  <si>
    <t xml:space="preserve">ICS: INV # CI2026-0227 Product # DKS0069 សុងធ្មេញក្រៅ34 CHIP MONG </t>
  </si>
  <si>
    <t>DKS0025</t>
  </si>
  <si>
    <t xml:space="preserve">ទីប34(5.0) ECO PIPE </t>
  </si>
  <si>
    <t xml:space="preserve">ICS: Inventory for INV # CI2026-0227 Product # DKS0025 ទីប34(5.0) ECO PIPE </t>
  </si>
  <si>
    <t xml:space="preserve">ICS: COGS for INV # CI2026-0227 Product # DKS0025 ទីប34(5.0) ECO PIPE </t>
  </si>
  <si>
    <t xml:space="preserve">ICS: INV # CI2026-0227 Product # DKS0025 ទីប34(5.0) ECO PIPE </t>
  </si>
  <si>
    <t xml:space="preserve">ICS: Inventory for INV # CI2026-0227 Product # DKS0007 ទីប34(8.5) CHIP MONG </t>
  </si>
  <si>
    <t xml:space="preserve">ICS: COGS for INV # CI2026-0227 Product # DKS0007 ទីប34(8.5) CHIP MONG </t>
  </si>
  <si>
    <t xml:space="preserve">ICS: INV # CI2026-0227 Product # DKS0007 ទីប34(8.5) CHIP MONG </t>
  </si>
  <si>
    <t>DKS0073</t>
  </si>
  <si>
    <t xml:space="preserve">សុងធ្មេញក្នុង34 CHIP MONG </t>
  </si>
  <si>
    <t xml:space="preserve">ICS: Inventory for INV # CI2026-0227 Product # DKS0073 សុងធ្មេញក្នុង34 CHIP MONG </t>
  </si>
  <si>
    <t xml:space="preserve">ICS: COGS for INV # CI2026-0227 Product # DKS0073 សុងធ្មេញក្នុង34 CHIP MONG </t>
  </si>
  <si>
    <t xml:space="preserve">ICS: INV # CI2026-0227 Product # DKS0073 សុងធ្មេញក្នុង34 CHIP MONG </t>
  </si>
  <si>
    <t xml:space="preserve">ICS: Inventory for INV # CI2026-0227 Product # DKS0108 ក្បាលស្វាន 13l PL </t>
  </si>
  <si>
    <t xml:space="preserve">ICS: COGS for INV # CI2026-0227 Product # DKS0108 ក្បាលស្វាន 13l PL </t>
  </si>
  <si>
    <t xml:space="preserve">ICS: INV # CI2026-0227 Product # DKS0108 ក្បាលស្វាន 13l PL </t>
  </si>
  <si>
    <t>CI2026-0228</t>
  </si>
  <si>
    <t>ICS: INV # CI2026-0228</t>
  </si>
  <si>
    <t>DKS0092</t>
  </si>
  <si>
    <t xml:space="preserve">ទុយោសកខ្សែភ្លើង 21 CHIP MONG </t>
  </si>
  <si>
    <t xml:space="preserve">ICS: Inventory for INV # CI2026-0228 Product # DKS0092 ទុយោសកខ្សែភ្លើង 21 CHIP MONG </t>
  </si>
  <si>
    <t xml:space="preserve">ICS: COGS for INV # CI2026-0228 Product # DKS0092 ទុយោសកខ្សែភ្លើង 21 CHIP MONG </t>
  </si>
  <si>
    <t xml:space="preserve">ICS: INV # CI2026-0228 Product # DKS0092 ទុយោសកខ្សែភ្លើង 21 CHIP MONG </t>
  </si>
  <si>
    <t xml:space="preserve">ICS: Inventory for INV # CI2026-0228 Product # DKS0050 កែង21 CHIP MONG </t>
  </si>
  <si>
    <t xml:space="preserve">ICS: COGS for INV # CI2026-0228 Product # DKS0050 កែង21 CHIP MONG </t>
  </si>
  <si>
    <t xml:space="preserve">ICS: INV # CI2026-0228 Product # DKS0050 កែង21 CHIP MONG </t>
  </si>
  <si>
    <t>011.g</t>
  </si>
  <si>
    <t xml:space="preserve">ICS: INV # CI2026-0228 Product # DKS0101 ដែកគោល 3H 4H 5H 6H… Kbal Kla </t>
  </si>
  <si>
    <t>DKS0094</t>
  </si>
  <si>
    <t xml:space="preserve">ក្រចាប់លេខ 20 CHIP MONG </t>
  </si>
  <si>
    <t xml:space="preserve">ICS: Inventory for INV # CI2026-0228 Product # DKS0094 ក្រចាប់លេខ 20 CHIP MONG </t>
  </si>
  <si>
    <t xml:space="preserve">ICS: COGS for INV # CI2026-0228 Product # DKS0094 ក្រចាប់លេខ 20 CHIP MONG </t>
  </si>
  <si>
    <t xml:space="preserve">ICS: INV # CI2026-0228 Product # DKS0094 ក្រចាប់លេខ 20 CHIP MONG </t>
  </si>
  <si>
    <t>KSINV26-0068</t>
  </si>
  <si>
    <t>CI2026-0229</t>
  </si>
  <si>
    <t>ICS: INV # CI2026-0229</t>
  </si>
  <si>
    <t xml:space="preserve">ICS: Inventory for INV # CI2026-0229 Product # DKS0177 ស៊ីម៉ង ខន CHIP MONG </t>
  </si>
  <si>
    <t xml:space="preserve">ICS: COGS for INV # CI2026-0229 Product # DKS0177 ស៊ីម៉ង ខន CHIP MONG </t>
  </si>
  <si>
    <t xml:space="preserve">ICS: INV # CI2026-0229 Product # DKS0177 ស៊ីម៉ង ខន CHIP MONG </t>
  </si>
  <si>
    <t>CI2026-0230</t>
  </si>
  <si>
    <t>ICS: INV # CI2026-0230</t>
  </si>
  <si>
    <t xml:space="preserve">ICS: Inventory for INV # CI2026-0230 Product # DKS0177 ស៊ីម៉ង ខន CHIP MONG </t>
  </si>
  <si>
    <t xml:space="preserve">ICS: COGS for INV # CI2026-0230 Product # DKS0177 ស៊ីម៉ង ខន CHIP MONG </t>
  </si>
  <si>
    <t xml:space="preserve">ICS: INV # CI2026-0230 Product # DKS0177 ស៊ីម៉ង ខន CHIP MONG </t>
  </si>
  <si>
    <t>DKS0051</t>
  </si>
  <si>
    <t xml:space="preserve">តេ100*80 CHIP MONG </t>
  </si>
  <si>
    <t xml:space="preserve">ICS: Inventory for INV # CI2026-0230 Product # DKS0051 តេ100*80 CHIP MONG </t>
  </si>
  <si>
    <t xml:space="preserve">ICS: COGS for INV # CI2026-0230 Product # DKS0051 តេ100*80 CHIP MONG </t>
  </si>
  <si>
    <t xml:space="preserve">ICS: INV # CI2026-0230 Product # DKS0051 តេ100*80 CHIP MONG </t>
  </si>
  <si>
    <t xml:space="preserve">ICS: Inventory for INV # CI2026-0230 Product # DKS0184 ដែកសរសៃ​ 12L CHIP MONG </t>
  </si>
  <si>
    <t xml:space="preserve">ICS: COGS for INV # CI2026-0230 Product # DKS0184 ដែកសរសៃ​ 12L CHIP MONG </t>
  </si>
  <si>
    <t xml:space="preserve">ICS: INV # CI2026-0230 Product # DKS0184 ដែកសរសៃ​ 12L CHIP MONG </t>
  </si>
  <si>
    <t>KSINV26-0069</t>
  </si>
  <si>
    <t>CI2026-0231</t>
  </si>
  <si>
    <t>ICS: INV # CI2026-0231</t>
  </si>
  <si>
    <t xml:space="preserve">ICS: Inventory for INV # CI2026-0231 Product # DKS0177 ស៊ីម៉ង ខន CHIP MONG </t>
  </si>
  <si>
    <t xml:space="preserve">ICS: COGS for INV # CI2026-0231 Product # DKS0177 ស៊ីម៉ង ខន CHIP MONG </t>
  </si>
  <si>
    <t xml:space="preserve">ICS: INV # CI2026-0231 Product # DKS0177 ស៊ីម៉ង ខន CHIP MONG </t>
  </si>
  <si>
    <t xml:space="preserve">ICS: Inventory for INV # CI2026-0231 Product # DKS0179 ស៊ីម៉ង K CHIP MONG </t>
  </si>
  <si>
    <t xml:space="preserve">ICS: COGS for INV # CI2026-0231 Product # DKS0179 ស៊ីម៉ង K CHIP MONG </t>
  </si>
  <si>
    <t xml:space="preserve">ICS: INV # CI2026-0231 Product # DKS0179 ស៊ីម៉ង K CHIP MONG </t>
  </si>
  <si>
    <t>CI2026-0232</t>
  </si>
  <si>
    <t>ICS: INV # CI2026-0232</t>
  </si>
  <si>
    <t xml:space="preserve">ICS: Inventory for INV # CI2026-0232 Product # DKS0069 សុងធ្មេញក្រៅ34 CHIP MONG </t>
  </si>
  <si>
    <t xml:space="preserve">ICS: COGS for INV # CI2026-0232 Product # DKS0069 សុងធ្មេញក្រៅ34 CHIP MONG </t>
  </si>
  <si>
    <t xml:space="preserve">ICS: INV # CI2026-0232 Product # DKS0069 សុងធ្មេញក្រៅ34 CHIP MONG </t>
  </si>
  <si>
    <t xml:space="preserve">ICS: Inventory for INV # CI2026-0232 Product # DKS0181 ដែកសរសៃ​ 6L CHIP MONG </t>
  </si>
  <si>
    <t xml:space="preserve">ICS: COGS for INV # CI2026-0232 Product # DKS0181 ដែកសរសៃ​ 6L CHIP MONG </t>
  </si>
  <si>
    <t xml:space="preserve">ICS: INV # CI2026-0232 Product # DKS0181 ដែកសរសៃ​ 6L CHIP MONG </t>
  </si>
  <si>
    <t xml:space="preserve">ICS: Inventory for INV # CI2026-0232 Product # DKS0042 កែង34 CHIP MONG </t>
  </si>
  <si>
    <t xml:space="preserve">ICS: COGS for INV # CI2026-0232 Product # DKS0042 កែង34 CHIP MONG </t>
  </si>
  <si>
    <t xml:space="preserve">ICS: INV # CI2026-0232 Product # DKS0042 កែង34 CHIP MONG </t>
  </si>
  <si>
    <t>DKS0074</t>
  </si>
  <si>
    <t xml:space="preserve">សុងធ្មេញក្នុង27 CHIP MONG </t>
  </si>
  <si>
    <t xml:space="preserve">ICS: Inventory for INV # CI2026-0232 Product # DKS0074 សុងធ្មេញក្នុង27 CHIP MONG </t>
  </si>
  <si>
    <t xml:space="preserve">ICS: COGS for INV # CI2026-0232 Product # DKS0074 សុងធ្មេញក្នុង27 CHIP MONG </t>
  </si>
  <si>
    <t xml:space="preserve">ICS: INV # CI2026-0232 Product # DKS0074 សុងធ្មេញក្នុង27 CHIP MONG </t>
  </si>
  <si>
    <t xml:space="preserve">ICS: Inventory for INV # CI2026-0232 Product # DKS0044 សុង34 CHIP MONG </t>
  </si>
  <si>
    <t xml:space="preserve">ICS: COGS for INV # CI2026-0232 Product # DKS0044 សុង34 CHIP MONG </t>
  </si>
  <si>
    <t xml:space="preserve">ICS: INV # CI2026-0232 Product # DKS0044 សុង34 CHIP MONG </t>
  </si>
  <si>
    <t xml:space="preserve">ICS: Inventory for INV # CI2026-0232 Product # DKS0046 កែង27 CHIP MONG </t>
  </si>
  <si>
    <t xml:space="preserve">ICS: COGS for INV # CI2026-0232 Product # DKS0046 កែង27 CHIP MONG </t>
  </si>
  <si>
    <t xml:space="preserve">ICS: INV # CI2026-0232 Product # DKS0046 កែង27 CHIP MONG </t>
  </si>
  <si>
    <t xml:space="preserve">ICS: Inventory for INV # CI2026-0232 Product # DKS0103 ផ្លែស្វានបេតុង 6l PL </t>
  </si>
  <si>
    <t xml:space="preserve">ICS: COGS for INV # CI2026-0232 Product # DKS0103 ផ្លែស្វានបេតុង 6l PL </t>
  </si>
  <si>
    <t xml:space="preserve">ICS: INV # CI2026-0232 Product # DKS0103 ផ្លែស្វានបេតុង 6l PL </t>
  </si>
  <si>
    <t>DKS0075</t>
  </si>
  <si>
    <t xml:space="preserve">សុងធ្មេញក្នុង21 CHIP MONG </t>
  </si>
  <si>
    <t xml:space="preserve">ICS: Inventory for INV # CI2026-0232 Product # DKS0075 សុងធ្មេញក្នុង21 CHIP MONG </t>
  </si>
  <si>
    <t xml:space="preserve">ICS: COGS for INV # CI2026-0232 Product # DKS0075 សុងធ្មេញក្នុង21 CHIP MONG </t>
  </si>
  <si>
    <t xml:space="preserve">ICS: INV # CI2026-0232 Product # DKS0075 សុងធ្មេញក្នុង21 CHIP MONG </t>
  </si>
  <si>
    <t xml:space="preserve">ICS: Inventory for INV # CI2026-0232 Product # DKS0068 សុងធ្មេញក្រៅ49 CHIP MONG </t>
  </si>
  <si>
    <t xml:space="preserve">ICS: COGS for INV # CI2026-0232 Product # DKS0068 សុងធ្មេញក្រៅ49 CHIP MONG </t>
  </si>
  <si>
    <t xml:space="preserve">ICS: INV # CI2026-0232 Product # DKS0068 សុងធ្មេញក្រៅ49 CHIP MONG </t>
  </si>
  <si>
    <t>CI2026-0233</t>
  </si>
  <si>
    <t>ICS: INV # CI2026-0233</t>
  </si>
  <si>
    <t xml:space="preserve">ICS: Inventory for INV # CI2026-0233 Product # DKS0177 ស៊ីម៉ង ខន CHIP MONG </t>
  </si>
  <si>
    <t xml:space="preserve">ICS: COGS for INV # CI2026-0233 Product # DKS0177 ស៊ីម៉ង ខន CHIP MONG </t>
  </si>
  <si>
    <t xml:space="preserve">ICS: INV # CI2026-0233 Product # DKS0177 ស៊ីម៉ង ខន CHIP MONG </t>
  </si>
  <si>
    <t xml:space="preserve">ICS: Inventory for INV # CI2026-0233 Product # DKS0179 ស៊ីម៉ង K CHIP MONG </t>
  </si>
  <si>
    <t xml:space="preserve">ICS: COGS for INV # CI2026-0233 Product # DKS0179 ស៊ីម៉ង K CHIP MONG </t>
  </si>
  <si>
    <t xml:space="preserve">ICS: INV # CI2026-0233 Product # DKS0179 ស៊ីម៉ង K CHIP MONG </t>
  </si>
  <si>
    <t>CI2026-0234</t>
  </si>
  <si>
    <t>ICS: INV # CI2026-0234</t>
  </si>
  <si>
    <t xml:space="preserve">ICS: Inventory for INV # CI2026-0234 Product # DKS0179 ស៊ីម៉ង K CHIP MONG </t>
  </si>
  <si>
    <t xml:space="preserve">ICS: COGS for INV # CI2026-0234 Product # DKS0179 ស៊ីម៉ង K CHIP MONG </t>
  </si>
  <si>
    <t xml:space="preserve">ICS: INV # CI2026-0234 Product # DKS0179 ស៊ីម៉ង K CHIP MONG </t>
  </si>
  <si>
    <t xml:space="preserve">ICS: Inventory for INV # CI2026-0234 Product # DKS0177 ស៊ីម៉ង ខន CHIP MONG </t>
  </si>
  <si>
    <t xml:space="preserve">ICS: COGS for INV # CI2026-0234 Product # DKS0177 ស៊ីម៉ង ខន CHIP MONG </t>
  </si>
  <si>
    <t xml:space="preserve">ICS: INV # CI2026-0234 Product # DKS0177 ស៊ីម៉ង ខន CHIP MONG </t>
  </si>
  <si>
    <t>DKS0150</t>
  </si>
  <si>
    <t xml:space="preserve">ស្រោមដៃអំបោះ PL </t>
  </si>
  <si>
    <t>048.Lots/12pair</t>
  </si>
  <si>
    <t xml:space="preserve">ICS: Inventory for INV # CI2026-0234 Product # DKS0150 ស្រោមដៃអំបោះ PL </t>
  </si>
  <si>
    <t xml:space="preserve">ICS: COGS for INV # CI2026-0234 Product # DKS0150 ស្រោមដៃអំបោះ PL </t>
  </si>
  <si>
    <t xml:space="preserve">ICS: INV # CI2026-0234 Product # DKS0150 ស្រោមដៃអំបោះ PL </t>
  </si>
  <si>
    <t xml:space="preserve">ICS: Inventory for INV # CI2026-0234 Product # DKS0018 ទីប21(8.5) ECO PIPE </t>
  </si>
  <si>
    <t xml:space="preserve">ICS: COGS for INV # CI2026-0234 Product # DKS0018 ទីប21(8.5) ECO PIPE </t>
  </si>
  <si>
    <t xml:space="preserve">ICS: INV # CI2026-0234 Product # DKS0018 ទីប21(8.5) ECO PIPE </t>
  </si>
  <si>
    <t xml:space="preserve">ICS: Inventory for INV # CI2026-0234 Product # DKS0108 ក្បាលស្វាន 13l PL </t>
  </si>
  <si>
    <t xml:space="preserve">ICS: COGS for INV # CI2026-0234 Product # DKS0108 ក្បាលស្វាន 13l PL </t>
  </si>
  <si>
    <t xml:space="preserve">ICS: INV # CI2026-0234 Product # DKS0108 ក្បាលស្វាន 13l PL </t>
  </si>
  <si>
    <t xml:space="preserve">ICS: Inventory for INV # CI2026-0234 Product # DKS0022 ទីប60(5.0) ECO PIPE </t>
  </si>
  <si>
    <t xml:space="preserve">ICS: COGS for INV # CI2026-0234 Product # DKS0022 ទីប60(5.0) ECO PIPE </t>
  </si>
  <si>
    <t xml:space="preserve">ICS: INV # CI2026-0234 Product # DKS0022 ទីប60(5.0) ECO PIPE </t>
  </si>
  <si>
    <t xml:space="preserve">ICS: Inventory for INV # CI2026-0234 Product # DKS0014 ទីប49(8.5) ECO PIPE </t>
  </si>
  <si>
    <t xml:space="preserve">ICS: COGS for INV # CI2026-0234 Product # DKS0014 ទីប49(8.5) ECO PIPE </t>
  </si>
  <si>
    <t xml:space="preserve">ICS: INV # CI2026-0234 Product # DKS0014 ទីប49(8.5) ECO PIPE </t>
  </si>
  <si>
    <t xml:space="preserve">ICS: Inventory for INV # CI2026-0234 Product # DKS0016 ទីប34(8.5) ECO PIPE </t>
  </si>
  <si>
    <t xml:space="preserve">ICS: COGS for INV # CI2026-0234 Product # DKS0016 ទីប34(8.5) ECO PIPE </t>
  </si>
  <si>
    <t xml:space="preserve">ICS: INV # CI2026-0234 Product # DKS0016 ទីប34(8.5) ECO PIPE </t>
  </si>
  <si>
    <t xml:space="preserve">ICS: Inventory for INV # CI2026-0234 Product # DKS0050 កែង21 CHIP MONG </t>
  </si>
  <si>
    <t xml:space="preserve">ICS: COGS for INV # CI2026-0234 Product # DKS0050 កែង21 CHIP MONG </t>
  </si>
  <si>
    <t xml:space="preserve">ICS: INV # CI2026-0234 Product # DKS0050 កែង21 CHIP MONG </t>
  </si>
  <si>
    <t>KSINV26-0070</t>
  </si>
  <si>
    <t>CI2026-0235</t>
  </si>
  <si>
    <t>ICS: INV # CI2026-0235</t>
  </si>
  <si>
    <t xml:space="preserve">ICS: Inventory for INV # CI2026-0235 Product # DKS0177 ស៊ីម៉ង ខន CHIP MONG </t>
  </si>
  <si>
    <t xml:space="preserve">ICS: COGS for INV # CI2026-0235 Product # DKS0177 ស៊ីម៉ង ខន CHIP MONG </t>
  </si>
  <si>
    <t xml:space="preserve">ICS: INV # CI2026-0235 Product # DKS0177 ស៊ីម៉ង ខន CHIP MONG </t>
  </si>
  <si>
    <t>CI2026-0236</t>
  </si>
  <si>
    <t>ICS: INV # CI2026-0236</t>
  </si>
  <si>
    <t xml:space="preserve">ICS: Inventory for INV # CI2026-0236 Product # DKS0177 ស៊ីម៉ង ខន CHIP MONG </t>
  </si>
  <si>
    <t xml:space="preserve">ICS: COGS for INV # CI2026-0236 Product # DKS0177 ស៊ីម៉ង ខន CHIP MONG </t>
  </si>
  <si>
    <t xml:space="preserve">ICS: INV # CI2026-0236 Product # DKS0177 ស៊ីម៉ង ខន CHIP MONG </t>
  </si>
  <si>
    <t xml:space="preserve">ICS: Inventory for INV # CI2026-0236 Product # DKS0179 ស៊ីម៉ង K CHIP MONG </t>
  </si>
  <si>
    <t xml:space="preserve">ICS: COGS for INV # CI2026-0236 Product # DKS0179 ស៊ីម៉ង K CHIP MONG </t>
  </si>
  <si>
    <t xml:space="preserve">ICS: INV # CI2026-0236 Product # DKS0179 ស៊ីម៉ង K CHIP MONG </t>
  </si>
  <si>
    <t>CI2026-0237</t>
  </si>
  <si>
    <t>ICS: INV # CI2026-0237</t>
  </si>
  <si>
    <t xml:space="preserve">ICS: Inventory for INV # CI2026-0237 Product # DKS0187 ដែកជ្រុង 25*25(1.2) CHIP MONG </t>
  </si>
  <si>
    <t xml:space="preserve">ICS: COGS for INV # CI2026-0237 Product # DKS0187 ដែកជ្រុង 25*25(1.2) CHIP MONG </t>
  </si>
  <si>
    <t xml:space="preserve">ICS: INV # CI2026-0237 Product # DKS0187 ដែកជ្រុង 25*25(1.2) CHIP MONG </t>
  </si>
  <si>
    <t xml:space="preserve">ICS: Inventory for INV # CI2026-0237 Product # DKS0195 ដែកជ្រុង 30*60(1.2) CHIP MONG </t>
  </si>
  <si>
    <t xml:space="preserve">ICS: COGS for INV # CI2026-0237 Product # DKS0195 ដែកជ្រុង 30*60(1.2) CHIP MONG </t>
  </si>
  <si>
    <t xml:space="preserve">ICS: INV # CI2026-0237 Product # DKS0195 ដែកជ្រុង 30*60(1.2) CHIP MONG </t>
  </si>
  <si>
    <t xml:space="preserve">ICS: Inventory for INV # CI2026-0237 Product # DKS0016 ទីប34(8.5) ECO PIPE </t>
  </si>
  <si>
    <t xml:space="preserve">ICS: COGS for INV # CI2026-0237 Product # DKS0016 ទីប34(8.5) ECO PIPE </t>
  </si>
  <si>
    <t xml:space="preserve">ICS: INV # CI2026-0237 Product # DKS0016 ទីប34(8.5) ECO PIPE </t>
  </si>
  <si>
    <t xml:space="preserve">ICS: Inventory for INV # CI2026-0237 Product # DKS0010 ទីប​100(8.5) ECO PIPE </t>
  </si>
  <si>
    <t xml:space="preserve">ICS: COGS for INV # CI2026-0237 Product # DKS0010 ទីប​100(8.5) ECO PIPE </t>
  </si>
  <si>
    <t xml:space="preserve">ICS: INV # CI2026-0237 Product # DKS0010 ទីប​100(8.5) ECO PIPE </t>
  </si>
  <si>
    <t xml:space="preserve">ICS: Inventory for INV # CI2026-0237 Product # DKS0178 ស៊ីម៉ង អូដ្ធ CHIP MONG </t>
  </si>
  <si>
    <t xml:space="preserve">ICS: COGS for INV # CI2026-0237 Product # DKS0178 ស៊ីម៉ង អូដ្ធ CHIP MONG </t>
  </si>
  <si>
    <t xml:space="preserve">ICS: INV # CI2026-0237 Product # DKS0178 ស៊ីម៉ង អូដ្ធ CHIP MONG </t>
  </si>
  <si>
    <t>KSINV26-0071</t>
  </si>
  <si>
    <t>CI2026-0238</t>
  </si>
  <si>
    <t>ICS: INV # CI2026-0238</t>
  </si>
  <si>
    <t xml:space="preserve">ICS: Inventory for INV # CI2026-0238 Product # DKS0197 ដែកជ្រុង 40*80(1.2) CHIP MONG </t>
  </si>
  <si>
    <t xml:space="preserve">ICS: COGS for INV # CI2026-0238 Product # DKS0197 ដែកជ្រុង 40*80(1.2) CHIP MONG </t>
  </si>
  <si>
    <t xml:space="preserve">ICS: INV # CI2026-0238 Product # DKS0197 ដែកជ្រុង 40*80(1.2) CHIP MONG </t>
  </si>
  <si>
    <t xml:space="preserve">ICS: Inventory for INV # CI2026-0238 Product # DKS0181 ដែកសរសៃ​ 6L CHIP MONG </t>
  </si>
  <si>
    <t xml:space="preserve">ICS: COGS for INV # CI2026-0238 Product # DKS0181 ដែកសរសៃ​ 6L CHIP MONG </t>
  </si>
  <si>
    <t xml:space="preserve">ICS: INV # CI2026-0238 Product # DKS0181 ដែកសរសៃ​ 6L CHIP MONG </t>
  </si>
  <si>
    <t xml:space="preserve">ICS: Inventory for INV # CI2026-0238 Product # DKS0178 ស៊ីម៉ង អូដ្ធ CHIP MONG </t>
  </si>
  <si>
    <t xml:space="preserve">ICS: COGS for INV # CI2026-0238 Product # DKS0178 ស៊ីម៉ង អូដ្ធ CHIP MONG </t>
  </si>
  <si>
    <t xml:space="preserve">ICS: INV # CI2026-0238 Product # DKS0178 ស៊ីម៉ង អូដ្ធ CHIP MONG </t>
  </si>
  <si>
    <t>CI2026-0239</t>
  </si>
  <si>
    <t>ICS: INV # CI2026-0239</t>
  </si>
  <si>
    <t xml:space="preserve">ICS: Inventory for INV # CI2026-0239 Product # DKS0177 ស៊ីម៉ង ខន CHIP MONG </t>
  </si>
  <si>
    <t xml:space="preserve">ICS: COGS for INV # CI2026-0239 Product # DKS0177 ស៊ីម៉ង ខន CHIP MONG </t>
  </si>
  <si>
    <t xml:space="preserve">ICS: INV # CI2026-0239 Product # DKS0177 ស៊ីម៉ង ខន CHIP MONG </t>
  </si>
  <si>
    <t xml:space="preserve">ICS: Inventory for INV # CI2026-0239 Product # DKS0178 ស៊ីម៉ង អូដ្ធ CHIP MONG </t>
  </si>
  <si>
    <t xml:space="preserve">ICS: COGS for INV # CI2026-0239 Product # DKS0178 ស៊ីម៉ង អូដ្ធ CHIP MONG </t>
  </si>
  <si>
    <t xml:space="preserve">ICS: INV # CI2026-0239 Product # DKS0178 ស៊ីម៉ង អូដ្ធ CHIP MONG </t>
  </si>
  <si>
    <t xml:space="preserve">ICS: Inventory for INV # CI2026-0239 Product # DKS0183 ដែកសរសៃ​ 10L CHIP MONG </t>
  </si>
  <si>
    <t xml:space="preserve">ICS: COGS for INV # CI2026-0239 Product # DKS0183 ដែកសរសៃ​ 10L CHIP MONG </t>
  </si>
  <si>
    <t xml:space="preserve">ICS: INV # CI2026-0239 Product # DKS0183 ដែកសរសៃ​ 10L CHIP MONG </t>
  </si>
  <si>
    <t>CI2026-0240</t>
  </si>
  <si>
    <t>ICS: INV # CI2026-0240</t>
  </si>
  <si>
    <t xml:space="preserve">ICS: Inventory for INV # CI2026-0240 Product # DKS0167 រឡូរុញថ្នាំ​ 15cm PL </t>
  </si>
  <si>
    <t xml:space="preserve">ICS: COGS for INV # CI2026-0240 Product # DKS0167 រឡូរុញថ្នាំ​ 15cm PL </t>
  </si>
  <si>
    <t xml:space="preserve">ICS: INV # CI2026-0240 Product # DKS0167 រឡូរុញថ្នាំ​ 15cm PL </t>
  </si>
  <si>
    <t xml:space="preserve">ICS: Inventory for INV # CI2026-0240 Product # DKS0144 ប៉ុងខាត់ PL </t>
  </si>
  <si>
    <t xml:space="preserve">ICS: COGS for INV # CI2026-0240 Product # DKS0144 ប៉ុងខាត់ PL </t>
  </si>
  <si>
    <t xml:space="preserve">ICS: INV # CI2026-0240 Product # DKS0144 ប៉ុងខាត់ PL </t>
  </si>
  <si>
    <t xml:space="preserve">ICS: Inventory for INV # CI2026-0240 Product # DKS0074 សុងធ្មេញក្នុង27 CHIP MONG </t>
  </si>
  <si>
    <t xml:space="preserve">ICS: COGS for INV # CI2026-0240 Product # DKS0074 សុងធ្មេញក្នុង27 CHIP MONG </t>
  </si>
  <si>
    <t xml:space="preserve">ICS: INV # CI2026-0240 Product # DKS0074 សុងធ្មេញក្នុង27 CHIP MONG </t>
  </si>
  <si>
    <t xml:space="preserve">ICS: Inventory for INV # CI2026-0240 Product # DKS0090 ជើងអំពូល ព្យូរស China </t>
  </si>
  <si>
    <t xml:space="preserve">ICS: COGS for INV # CI2026-0240 Product # DKS0090 ជើងអំពូល ព្យូរស China </t>
  </si>
  <si>
    <t xml:space="preserve">ICS: INV # CI2026-0240 Product # DKS0090 ជើងអំពូល ព្យូរស China </t>
  </si>
  <si>
    <t xml:space="preserve">ICS: Inventory for INV # CI2026-0240 Product # DKS0049 តេ27 CHIP MONG </t>
  </si>
  <si>
    <t xml:space="preserve">ICS: COGS for INV # CI2026-0240 Product # DKS0049 តេ27 CHIP MONG </t>
  </si>
  <si>
    <t xml:space="preserve">ICS: INV # CI2026-0240 Product # DKS0049 តេ27 CHIP MONG </t>
  </si>
  <si>
    <t xml:space="preserve">ICS: Inventory for INV # CI2026-0240 Product # DKS0094 ក្រចាប់លេខ 20 CHIP MONG </t>
  </si>
  <si>
    <t xml:space="preserve">ICS: COGS for INV # CI2026-0240 Product # DKS0094 ក្រចាប់លេខ 20 CHIP MONG </t>
  </si>
  <si>
    <t xml:space="preserve">ICS: INV # CI2026-0240 Product # DKS0094 ក្រចាប់លេខ 20 CHIP MONG </t>
  </si>
  <si>
    <t>KSINV26-0072</t>
  </si>
  <si>
    <t>CI2026-0241</t>
  </si>
  <si>
    <t>ICS: INV # CI2026-0241</t>
  </si>
  <si>
    <t xml:space="preserve">ICS: Inventory for INV # CI2026-0241 Product # DKS0019 ទីប100(5.0) ECO PIPE </t>
  </si>
  <si>
    <t xml:space="preserve">ICS: COGS for INV # CI2026-0241 Product # DKS0019 ទីប100(5.0) ECO PIPE </t>
  </si>
  <si>
    <t xml:space="preserve">ICS: INV # CI2026-0241 Product # DKS0019 ទីប100(5.0) ECO PIPE </t>
  </si>
  <si>
    <t xml:space="preserve">ICS: Inventory for INV # CI2026-0241 Product # DKS0022 ទីប60(5.0) ECO PIPE </t>
  </si>
  <si>
    <t xml:space="preserve">ICS: COGS for INV # CI2026-0241 Product # DKS0022 ទីប60(5.0) ECO PIPE </t>
  </si>
  <si>
    <t xml:space="preserve">ICS: INV # CI2026-0241 Product # DKS0022 ទីប60(5.0) ECO PIPE </t>
  </si>
  <si>
    <t xml:space="preserve">ICS: Inventory for INV # CI2026-0241 Product # DKS0034 កែង60 CHIP MONG </t>
  </si>
  <si>
    <t xml:space="preserve">ICS: COGS for INV # CI2026-0241 Product # DKS0034 កែង60 CHIP MONG </t>
  </si>
  <si>
    <t xml:space="preserve">ICS: INV # CI2026-0241 Product # DKS0034 កែង60 CHIP MONG </t>
  </si>
  <si>
    <t>DKS0037</t>
  </si>
  <si>
    <t xml:space="preserve">តេ60 CHIP MONG </t>
  </si>
  <si>
    <t xml:space="preserve">ICS: Inventory for INV # CI2026-0241 Product # DKS0037 តេ60 CHIP MONG </t>
  </si>
  <si>
    <t xml:space="preserve">ICS: COGS for INV # CI2026-0241 Product # DKS0037 តេ60 CHIP MONG </t>
  </si>
  <si>
    <t xml:space="preserve">ICS: INV # CI2026-0241 Product # DKS0037 តេ60 CHIP MONG </t>
  </si>
  <si>
    <t xml:space="preserve">ICS: Inventory for INV # CI2026-0241 Product # DKS0026 កែង100 CHIP MONG </t>
  </si>
  <si>
    <t xml:space="preserve">ICS: COGS for INV # CI2026-0241 Product # DKS0026 កែង100 CHIP MONG </t>
  </si>
  <si>
    <t xml:space="preserve">ICS: INV # CI2026-0241 Product # DKS0026 កែង100 CHIP MONG </t>
  </si>
  <si>
    <t>DKS0029</t>
  </si>
  <si>
    <t xml:space="preserve">តេ100 CHIP MONG </t>
  </si>
  <si>
    <t xml:space="preserve">ICS: Inventory for INV # CI2026-0241 Product # DKS0029 តេ100 CHIP MONG </t>
  </si>
  <si>
    <t xml:space="preserve">ICS: COGS for INV # CI2026-0241 Product # DKS0029 តេ100 CHIP MONG </t>
  </si>
  <si>
    <t xml:space="preserve">ICS: INV # CI2026-0241 Product # DKS0029 តេ100 CHIP MONG </t>
  </si>
  <si>
    <t xml:space="preserve">ICS: Inventory for INV # CI2026-0241 Product # DKS0183 ដែកសរសៃ​ 10L CHIP MONG </t>
  </si>
  <si>
    <t xml:space="preserve">ICS: COGS for INV # CI2026-0241 Product # DKS0183 ដែកសរសៃ​ 10L CHIP MONG </t>
  </si>
  <si>
    <t xml:space="preserve">ICS: INV # CI2026-0241 Product # DKS0183 ដែកសរសៃ​ 10L CHIP MONG </t>
  </si>
  <si>
    <t xml:space="preserve">ICS: Inventory for INV # CI2026-0241 Product # DKS0181 ដែកសរសៃ​ 6L CHIP MONG </t>
  </si>
  <si>
    <t xml:space="preserve">ICS: COGS for INV # CI2026-0241 Product # DKS0181 ដែកសរសៃ​ 6L CHIP MONG </t>
  </si>
  <si>
    <t xml:space="preserve">ICS: INV # CI2026-0241 Product # DKS0181 ដែកសរសៃ​ 6L CHIP MONG </t>
  </si>
  <si>
    <t xml:space="preserve">ICS: Inventory for INV # CI2026-0241 Product # DKS0102 វិសខ្មៅ China </t>
  </si>
  <si>
    <t xml:space="preserve">ICS: COGS for INV # CI2026-0241 Product # DKS0102 វិសខ្មៅ China </t>
  </si>
  <si>
    <t xml:space="preserve">ICS: INV # CI2026-0241 Product # DKS0102 វិសខ្មៅ China </t>
  </si>
  <si>
    <t>CI2026-0242</t>
  </si>
  <si>
    <t>ICS: INV # CI2026-0242</t>
  </si>
  <si>
    <t xml:space="preserve">ICS: Inventory for INV # CI2026-0242 Product # DKS0177 ស៊ីម៉ង ខន CHIP MONG </t>
  </si>
  <si>
    <t xml:space="preserve">ICS: COGS for INV # CI2026-0242 Product # DKS0177 ស៊ីម៉ង ខន CHIP MONG </t>
  </si>
  <si>
    <t xml:space="preserve">ICS: INV # CI2026-0242 Product # DKS0177 ស៊ីម៉ង ខន CHIP MONG </t>
  </si>
  <si>
    <t>CI2026-0243</t>
  </si>
  <si>
    <t>ICS: INV # CI2026-0243</t>
  </si>
  <si>
    <t xml:space="preserve">ICS: Inventory for INV # CI2026-0243 Product # DKS0179 ស៊ីម៉ង K CHIP MONG </t>
  </si>
  <si>
    <t xml:space="preserve">ICS: COGS for INV # CI2026-0243 Product # DKS0179 ស៊ីម៉ង K CHIP MONG </t>
  </si>
  <si>
    <t xml:space="preserve">ICS: INV # CI2026-0243 Product # DKS0179 ស៊ីម៉ង K CHIP MONG </t>
  </si>
  <si>
    <t xml:space="preserve">ICS: Inventory for INV # CI2026-0243 Product # DKS0195 ដែកជ្រុង 30*60(1.2) CHIP MONG </t>
  </si>
  <si>
    <t xml:space="preserve">ICS: COGS for INV # CI2026-0243 Product # DKS0195 ដែកជ្រុង 30*60(1.2) CHIP MONG </t>
  </si>
  <si>
    <t xml:space="preserve">ICS: INV # CI2026-0243 Product # DKS0195 ដែកជ្រុង 30*60(1.2) CHIP MONG </t>
  </si>
  <si>
    <t xml:space="preserve">ICS: Inventory for INV # CI2026-0243 Product # DKS0187 ដែកជ្រុង 25*25(1.2) CHIP MONG </t>
  </si>
  <si>
    <t xml:space="preserve">ICS: COGS for INV # CI2026-0243 Product # DKS0187 ដែកជ្រុង 25*25(1.2) CHIP MONG </t>
  </si>
  <si>
    <t xml:space="preserve">ICS: INV # CI2026-0243 Product # DKS0187 ដែកជ្រុង 25*25(1.2) CHIP MONG </t>
  </si>
  <si>
    <t xml:space="preserve">ICS: Inventory for INV # CI2026-0243 Product # DKS0177 ស៊ីម៉ង ខន CHIP MONG </t>
  </si>
  <si>
    <t xml:space="preserve">ICS: COGS for INV # CI2026-0243 Product # DKS0177 ស៊ីម៉ង ខន CHIP MONG </t>
  </si>
  <si>
    <t xml:space="preserve">ICS: INV # CI2026-0243 Product # DKS0177 ស៊ីម៉ង ខន CHIP MONG </t>
  </si>
  <si>
    <t xml:space="preserve">ICS: Inventory for INV # CI2026-0243 Product # DKS0189 ដែកជ្រុង 30*30(1.2) CHIP MONG </t>
  </si>
  <si>
    <t xml:space="preserve">ICS: COGS for INV # CI2026-0243 Product # DKS0189 ដែកជ្រុង 30*30(1.2) CHIP MONG </t>
  </si>
  <si>
    <t xml:space="preserve">ICS: INV # CI2026-0243 Product # DKS0189 ដែកជ្រុង 30*30(1.2) CHIP MONG </t>
  </si>
  <si>
    <t xml:space="preserve">ICS: Inventory for INV # CI2026-0243 Product # DKS0014 ទីប49(8.5) ECO PIPE </t>
  </si>
  <si>
    <t xml:space="preserve">ICS: COGS for INV # CI2026-0243 Product # DKS0014 ទីប49(8.5) ECO PIPE </t>
  </si>
  <si>
    <t xml:space="preserve">ICS: INV # CI2026-0243 Product # DKS0014 ទីប49(8.5) ECO PIPE </t>
  </si>
  <si>
    <t>KSINV26-0073</t>
  </si>
  <si>
    <t>CI2026-0244</t>
  </si>
  <si>
    <t>ICS: INV # CI2026-0244</t>
  </si>
  <si>
    <t xml:space="preserve">ICS: Inventory for INV # CI2026-0244 Product # DKS0183 ដែកសរសៃ​ 10L CHIP MONG </t>
  </si>
  <si>
    <t xml:space="preserve">ICS: COGS for INV # CI2026-0244 Product # DKS0183 ដែកសរសៃ​ 10L CHIP MONG </t>
  </si>
  <si>
    <t xml:space="preserve">ICS: INV # CI2026-0244 Product # DKS0183 ដែកសរសៃ​ 10L CHIP MONG </t>
  </si>
  <si>
    <t xml:space="preserve">ICS: Inventory for INV # CI2026-0244 Product # DKS0195 ដែកជ្រុង 30*60(1.2) CHIP MONG </t>
  </si>
  <si>
    <t xml:space="preserve">ICS: COGS for INV # CI2026-0244 Product # DKS0195 ដែកជ្រុង 30*60(1.2) CHIP MONG </t>
  </si>
  <si>
    <t xml:space="preserve">ICS: INV # CI2026-0244 Product # DKS0195 ដែកជ្រុង 30*60(1.2) CHIP MONG </t>
  </si>
  <si>
    <t xml:space="preserve">ICS: Inventory for INV # CI2026-0244 Product # DKS0066 គំរប49 CHIP MONG </t>
  </si>
  <si>
    <t xml:space="preserve">ICS: COGS for INV # CI2026-0244 Product # DKS0066 គំរប49 CHIP MONG </t>
  </si>
  <si>
    <t xml:space="preserve">ICS: INV # CI2026-0244 Product # DKS0066 គំរប49 CHIP MONG </t>
  </si>
  <si>
    <t>CI2026-0245</t>
  </si>
  <si>
    <t>ICS: INV # CI2026-0245</t>
  </si>
  <si>
    <t xml:space="preserve">ICS: Inventory for INV # CI2026-0245 Product # DKS0178 ស៊ីម៉ង អូដ្ធ CHIP MONG </t>
  </si>
  <si>
    <t xml:space="preserve">ICS: COGS for INV # CI2026-0245 Product # DKS0178 ស៊ីម៉ង អូដ្ធ CHIP MONG </t>
  </si>
  <si>
    <t xml:space="preserve">ICS: INV # CI2026-0245 Product # DKS0178 ស៊ីម៉ង អូដ្ធ CHIP MONG </t>
  </si>
  <si>
    <t xml:space="preserve">ICS: Inventory for INV # CI2026-0245 Product # DKS0181 ដែកសរសៃ​ 6L CHIP MONG </t>
  </si>
  <si>
    <t xml:space="preserve">ICS: COGS for INV # CI2026-0245 Product # DKS0181 ដែកសរសៃ​ 6L CHIP MONG </t>
  </si>
  <si>
    <t xml:space="preserve">ICS: INV # CI2026-0245 Product # DKS0181 ដែកសរសៃ​ 6L CHIP MONG </t>
  </si>
  <si>
    <t>CI2026-0246</t>
  </si>
  <si>
    <t>ICS: INV # CI2026-0246</t>
  </si>
  <si>
    <t xml:space="preserve">ICS: Inventory for INV # CI2026-0246 Product # DKS0176 ស៊ីម៉ង​ V CHIP MONG </t>
  </si>
  <si>
    <t xml:space="preserve">ICS: COGS for INV # CI2026-0246 Product # DKS0176 ស៊ីម៉ង​ V CHIP MONG </t>
  </si>
  <si>
    <t xml:space="preserve">ICS: INV # CI2026-0246 Product # DKS0176 ស៊ីម៉ង​ V CHIP MONG </t>
  </si>
  <si>
    <t xml:space="preserve">ICS: Inventory for INV # CI2026-0246 Product # DKS0004 ទីប60(8.5) CHIP MONG </t>
  </si>
  <si>
    <t xml:space="preserve">ICS: COGS for INV # CI2026-0246 Product # DKS0004 ទីប60(8.5) CHIP MONG </t>
  </si>
  <si>
    <t xml:space="preserve">ICS: INV # CI2026-0246 Product # DKS0004 ទីប60(8.5) CHIP MONG </t>
  </si>
  <si>
    <t xml:space="preserve">ICS: Inventory for INV # CI2026-0246 Product # DKS0034 កែង60 CHIP MONG </t>
  </si>
  <si>
    <t xml:space="preserve">ICS: COGS for INV # CI2026-0246 Product # DKS0034 កែង60 CHIP MONG </t>
  </si>
  <si>
    <t xml:space="preserve">ICS: INV # CI2026-0246 Product # DKS0034 កែង60 CHIP MONG </t>
  </si>
  <si>
    <t>KSINV26-0074</t>
  </si>
  <si>
    <t>CI2026-0247</t>
  </si>
  <si>
    <t>ICS: INV # CI2026-0247</t>
  </si>
  <si>
    <t xml:space="preserve">ICS: Inventory for INV # CI2026-0247 Product # DKS0178 ស៊ីម៉ង អូដ្ធ CHIP MONG </t>
  </si>
  <si>
    <t xml:space="preserve">ICS: COGS for INV # CI2026-0247 Product # DKS0178 ស៊ីម៉ង អូដ្ធ CHIP MONG </t>
  </si>
  <si>
    <t xml:space="preserve">ICS: INV # CI2026-0247 Product # DKS0178 ស៊ីម៉ង អូដ្ធ CHIP MONG </t>
  </si>
  <si>
    <t>CI2026-0248</t>
  </si>
  <si>
    <t>ICS: INV # CI2026-0248</t>
  </si>
  <si>
    <t xml:space="preserve">ICS: Inventory for INV # CI2026-0248 Product # DKS0197 ដែកជ្រុង 40*80(1.2) CHIP MONG </t>
  </si>
  <si>
    <t xml:space="preserve">ICS: COGS for INV # CI2026-0248 Product # DKS0197 ដែកជ្រុង 40*80(1.2) CHIP MONG </t>
  </si>
  <si>
    <t xml:space="preserve">ICS: INV # CI2026-0248 Product # DKS0197 ដែកជ្រុង 40*80(1.2) CHIP MONG </t>
  </si>
  <si>
    <t xml:space="preserve">ICS: Inventory for INV # CI2026-0248 Product # DKS0189 ដែកជ្រុង 30*30(1.2) CHIP MONG </t>
  </si>
  <si>
    <t xml:space="preserve">ICS: COGS for INV # CI2026-0248 Product # DKS0189 ដែកជ្រុង 30*30(1.2) CHIP MONG </t>
  </si>
  <si>
    <t xml:space="preserve">ICS: INV # CI2026-0248 Product # DKS0189 ដែកជ្រុង 30*30(1.2) CHIP MONG </t>
  </si>
  <si>
    <t xml:space="preserve">ICS: Inventory for INV # CI2026-0248 Product # DKS0016 ទីប34(8.5) ECO PIPE </t>
  </si>
  <si>
    <t xml:space="preserve">ICS: COGS for INV # CI2026-0248 Product # DKS0016 ទីប34(8.5) ECO PIPE </t>
  </si>
  <si>
    <t xml:space="preserve">ICS: INV # CI2026-0248 Product # DKS0016 ទីប34(8.5) ECO PIPE </t>
  </si>
  <si>
    <t xml:space="preserve">ICS: Inventory for INV # CI2026-0248 Product # DKS0099 ជើងអំពូល ព្យូរខ្មៅ China </t>
  </si>
  <si>
    <t xml:space="preserve">ICS: COGS for INV # CI2026-0248 Product # DKS0099 ជើងអំពូល ព្យូរខ្មៅ China </t>
  </si>
  <si>
    <t xml:space="preserve">ICS: INV # CI2026-0248 Product # DKS0099 ជើងអំពូល ព្យូរខ្មៅ China </t>
  </si>
  <si>
    <t xml:space="preserve">ICS: Inventory for INV # CI2026-0248 Product # DKS0008 ទីប27(8.5) CHIP MONG </t>
  </si>
  <si>
    <t xml:space="preserve">ICS: COGS for INV # CI2026-0248 Product # DKS0008 ទីប27(8.5) CHIP MONG </t>
  </si>
  <si>
    <t xml:space="preserve">ICS: INV # CI2026-0248 Product # DKS0008 ទីប27(8.5) CHIP MONG </t>
  </si>
  <si>
    <t xml:space="preserve">ICS: Inventory for INV # CI2026-0248 Product # DKS0142 ថ្មរឆាប តឹក PL </t>
  </si>
  <si>
    <t xml:space="preserve">ICS: COGS for INV # CI2026-0248 Product # DKS0142 ថ្មរឆាប តឹក PL </t>
  </si>
  <si>
    <t xml:space="preserve">ICS: INV # CI2026-0248 Product # DKS0142 ថ្មរឆាប តឹក PL </t>
  </si>
  <si>
    <t>CI2026-0249</t>
  </si>
  <si>
    <t>ICS: INV # CI2026-0249</t>
  </si>
  <si>
    <t xml:space="preserve">ICS: Inventory for INV # CI2026-0249 Product # DKS0177 ស៊ីម៉ង ខន CHIP MONG </t>
  </si>
  <si>
    <t xml:space="preserve">ICS: COGS for INV # CI2026-0249 Product # DKS0177 ស៊ីម៉ង ខន CHIP MONG </t>
  </si>
  <si>
    <t xml:space="preserve">ICS: INV # CI2026-0249 Product # DKS0177 ស៊ីម៉ង ខន CHIP MONG </t>
  </si>
  <si>
    <t>KSINV26-0075</t>
  </si>
  <si>
    <t>CI2026-0250</t>
  </si>
  <si>
    <t>ICS: INV # CI2026-0250</t>
  </si>
  <si>
    <t xml:space="preserve">ICS: Inventory for INV # CI2026-0250 Product # DKS0187 ដែកជ្រុង 25*25(1.2) CHIP MONG </t>
  </si>
  <si>
    <t xml:space="preserve">ICS: COGS for INV # CI2026-0250 Product # DKS0187 ដែកជ្រុង 25*25(1.2) CHIP MONG </t>
  </si>
  <si>
    <t xml:space="preserve">ICS: INV # CI2026-0250 Product # DKS0187 ដែកជ្រុង 25*25(1.2) CHIP MONG </t>
  </si>
  <si>
    <t xml:space="preserve">ICS: Inventory for INV # CI2026-0250 Product # DKS0191 ដែកជ្រុង 40*40(1.2) CHIP MONG </t>
  </si>
  <si>
    <t xml:space="preserve">ICS: COGS for INV # CI2026-0250 Product # DKS0191 ដែកជ្រុង 40*40(1.2) CHIP MONG </t>
  </si>
  <si>
    <t xml:space="preserve">ICS: INV # CI2026-0250 Product # DKS0191 ដែកជ្រុង 40*40(1.2) CHIP MONG </t>
  </si>
  <si>
    <t>CI2026-0251</t>
  </si>
  <si>
    <t>ICS: INV # CI2026-0251</t>
  </si>
  <si>
    <t xml:space="preserve">ICS: Inventory for INV # CI2026-0251 Product # DKS0189 ដែកជ្រុង 30*30(1.2) CHIP MONG </t>
  </si>
  <si>
    <t xml:space="preserve">ICS: COGS for INV # CI2026-0251 Product # DKS0189 ដែកជ្រុង 30*30(1.2) CHIP MONG </t>
  </si>
  <si>
    <t xml:space="preserve">ICS: INV # CI2026-0251 Product # DKS0189 ដែកជ្រុង 30*30(1.2) CHIP MONG </t>
  </si>
  <si>
    <t xml:space="preserve">ICS: Inventory for INV # CI2026-0251 Product # DKS0197 ដែកជ្រុង 40*80(1.2) CHIP MONG </t>
  </si>
  <si>
    <t xml:space="preserve">ICS: COGS for INV # CI2026-0251 Product # DKS0197 ដែកជ្រុង 40*80(1.2) CHIP MONG </t>
  </si>
  <si>
    <t xml:space="preserve">ICS: INV # CI2026-0251 Product # DKS0197 ដែកជ្រុង 40*80(1.2) CHIP MONG </t>
  </si>
  <si>
    <t>CI2026-0252</t>
  </si>
  <si>
    <t>ICS: INV # CI2026-0252</t>
  </si>
  <si>
    <t>042.Case/4can</t>
  </si>
  <si>
    <t xml:space="preserve">ICS: Inventory for INV # CI2026-0252 Product # DKS0160 ថ្នាំលាបច្រេះក្រហម 3.5l U-91 </t>
  </si>
  <si>
    <t xml:space="preserve">ICS: COGS for INV # CI2026-0252 Product # DKS0160 ថ្នាំលាបច្រេះក្រហម 3.5l U-91 </t>
  </si>
  <si>
    <t xml:space="preserve">ICS: INV # CI2026-0252 Product # DKS0160 ថ្នាំលាបច្រេះក្រហម 3.5l U-91 </t>
  </si>
  <si>
    <t>DKS0170</t>
  </si>
  <si>
    <t xml:space="preserve">រឡូរុញថ្នាំ​ 6cm PL </t>
  </si>
  <si>
    <t xml:space="preserve">ICS: Inventory for INV # CI2026-0252 Product # DKS0170 រឡូរុញថ្នាំ​ 6cm PL </t>
  </si>
  <si>
    <t xml:space="preserve">ICS: COGS for INV # CI2026-0252 Product # DKS0170 រឡូរុញថ្នាំ​ 6cm PL </t>
  </si>
  <si>
    <t xml:space="preserve">ICS: INV # CI2026-0252 Product # DKS0170 រឡូរុញថ្នាំ​ 6cm PL </t>
  </si>
  <si>
    <t>KSINV26-0076</t>
  </si>
  <si>
    <t>CI2026-0253</t>
  </si>
  <si>
    <t>ICS: INV # CI2026-0253</t>
  </si>
  <si>
    <t xml:space="preserve">ICS: Inventory for INV # CI2026-0253 Product # DKS0176 ស៊ីម៉ង​ V CHIP MONG </t>
  </si>
  <si>
    <t xml:space="preserve">ICS: COGS for INV # CI2026-0253 Product # DKS0176 ស៊ីម៉ង​ V CHIP MONG </t>
  </si>
  <si>
    <t xml:space="preserve">ICS: INV # CI2026-0253 Product # DKS0176 ស៊ីម៉ង​ V CHIP MONG </t>
  </si>
  <si>
    <t xml:space="preserve">ICS: Inventory for INV # CI2026-0253 Product # DKS0177 ស៊ីម៉ង ខន CHIP MONG </t>
  </si>
  <si>
    <t xml:space="preserve">ICS: COGS for INV # CI2026-0253 Product # DKS0177 ស៊ីម៉ង ខន CHIP MONG </t>
  </si>
  <si>
    <t xml:space="preserve">ICS: INV # CI2026-0253 Product # DKS0177 ស៊ីម៉ង ខន CHIP MONG </t>
  </si>
  <si>
    <t>CI2026-0254</t>
  </si>
  <si>
    <t>ICS: INV # CI2026-0254</t>
  </si>
  <si>
    <t xml:space="preserve">ICS: Inventory for INV # CI2026-0254 Product # DKS0195 ដែកជ្រុង 30*60(1.2) CHIP MONG </t>
  </si>
  <si>
    <t xml:space="preserve">ICS: COGS for INV # CI2026-0254 Product # DKS0195 ដែកជ្រុង 30*60(1.2) CHIP MONG </t>
  </si>
  <si>
    <t xml:space="preserve">ICS: INV # CI2026-0254 Product # DKS0195 ដែកជ្រុង 30*60(1.2) CHIP MONG </t>
  </si>
  <si>
    <t xml:space="preserve">ICS: Inventory for INV # CI2026-0254 Product # DKS0177 ស៊ីម៉ង ខន CHIP MONG </t>
  </si>
  <si>
    <t xml:space="preserve">ICS: COGS for INV # CI2026-0254 Product # DKS0177 ស៊ីម៉ង ខន CHIP MONG </t>
  </si>
  <si>
    <t xml:space="preserve">ICS: INV # CI2026-0254 Product # DKS0177 ស៊ីម៉ង ខន CHIP MONG </t>
  </si>
  <si>
    <t>CI2026-0255</t>
  </si>
  <si>
    <t>ICS: INV # CI2026-0255</t>
  </si>
  <si>
    <t xml:space="preserve">ICS: Inventory for INV # CI2026-0255 Product # DKS0177 ស៊ីម៉ង ខន CHIP MONG </t>
  </si>
  <si>
    <t xml:space="preserve">ICS: COGS for INV # CI2026-0255 Product # DKS0177 ស៊ីម៉ង ខន CHIP MONG </t>
  </si>
  <si>
    <t xml:space="preserve">ICS: INV # CI2026-0255 Product # DKS0177 ស៊ីម៉ង ខន CHIP MONG </t>
  </si>
  <si>
    <t xml:space="preserve">ICS: Inventory for INV # CI2026-0255 Product # DKS0014 ទីប49(8.5) ECO PIPE </t>
  </si>
  <si>
    <t xml:space="preserve">ICS: COGS for INV # CI2026-0255 Product # DKS0014 ទីប49(8.5) ECO PIPE </t>
  </si>
  <si>
    <t xml:space="preserve">ICS: INV # CI2026-0255 Product # DKS0014 ទីប49(8.5) ECO PIPE </t>
  </si>
  <si>
    <t xml:space="preserve">ICS: Inventory for INV # CI2026-0255 Product # DKS0102 វិសខ្មៅ China </t>
  </si>
  <si>
    <t xml:space="preserve">ICS: COGS for INV # CI2026-0255 Product # DKS0102 វិសខ្មៅ China </t>
  </si>
  <si>
    <t xml:space="preserve">ICS: INV # CI2026-0255 Product # DKS0102 វិសខ្មៅ China </t>
  </si>
  <si>
    <t xml:space="preserve">ICS: Inventory for INV # CI2026-0255 Product # DKS0018 ទីប21(8.5) ECO PIPE </t>
  </si>
  <si>
    <t xml:space="preserve">ICS: COGS for INV # CI2026-0255 Product # DKS0018 ទីប21(8.5) ECO PIPE </t>
  </si>
  <si>
    <t xml:space="preserve">ICS: INV # CI2026-0255 Product # DKS0018 ទីប21(8.5) ECO PIPE </t>
  </si>
  <si>
    <t>CI2026-0256</t>
  </si>
  <si>
    <t>ICS: INV # CI2026-0256</t>
  </si>
  <si>
    <t xml:space="preserve">ICS: Inventory for INV # CI2026-0256 Product # DKS0176 ស៊ីម៉ង​ V CHIP MONG </t>
  </si>
  <si>
    <t xml:space="preserve">ICS: COGS for INV # CI2026-0256 Product # DKS0176 ស៊ីម៉ង​ V CHIP MONG </t>
  </si>
  <si>
    <t xml:space="preserve">ICS: INV # CI2026-0256 Product # DKS0176 ស៊ីម៉ង​ V CHIP MONG </t>
  </si>
  <si>
    <t>CI2026-0257</t>
  </si>
  <si>
    <t>ICS: INV # CI2026-0257</t>
  </si>
  <si>
    <t xml:space="preserve">ICS: Inventory for INV # CI2026-0257 Product # DKS0029 តេ100 CHIP MONG </t>
  </si>
  <si>
    <t xml:space="preserve">ICS: COGS for INV # CI2026-0257 Product # DKS0029 តេ100 CHIP MONG </t>
  </si>
  <si>
    <t xml:space="preserve">ICS: INV # CI2026-0257 Product # DKS0029 តេ100 CHIP MONG </t>
  </si>
  <si>
    <t xml:space="preserve">ICS: Inventory for INV # CI2026-0257 Product # DKS0063 តេអ៊ីការិច80*49 CHIP MONG </t>
  </si>
  <si>
    <t xml:space="preserve">ICS: COGS for INV # CI2026-0257 Product # DKS0063 តេអ៊ីការិច80*49 CHIP MONG </t>
  </si>
  <si>
    <t xml:space="preserve">ICS: INV # CI2026-0257 Product # DKS0063 តេអ៊ីការិច80*49 CHIP MONG </t>
  </si>
  <si>
    <t xml:space="preserve">ICS: Inventory for INV # CI2026-0257 Product # DKS0177 ស៊ីម៉ង ខន CHIP MONG </t>
  </si>
  <si>
    <t xml:space="preserve">ICS: COGS for INV # CI2026-0257 Product # DKS0177 ស៊ីម៉ង ខន CHIP MONG </t>
  </si>
  <si>
    <t xml:space="preserve">ICS: INV # CI2026-0257 Product # DKS0177 ស៊ីម៉ង ខន CHIP MONG </t>
  </si>
  <si>
    <t>KSINV26-0077</t>
  </si>
  <si>
    <t>CI2026-0258</t>
  </si>
  <si>
    <t>ICS: INV # CI2026-0258</t>
  </si>
  <si>
    <t>DKS0158</t>
  </si>
  <si>
    <t xml:space="preserve">ថ្នាំទ្រនាប់លាបឈើ 17l U-91 </t>
  </si>
  <si>
    <t>027.Can/17l</t>
  </si>
  <si>
    <t xml:space="preserve">ICS: Inventory for INV # CI2026-0258 Product # DKS0158 ថ្នាំទ្រនាប់លាបឈើ 17l U-91 </t>
  </si>
  <si>
    <t xml:space="preserve">ICS: COGS for INV # CI2026-0258 Product # DKS0158 ថ្នាំទ្រនាប់លាបឈើ 17l U-91 </t>
  </si>
  <si>
    <t xml:space="preserve">ICS: INV # CI2026-0258 Product # DKS0158 ថ្នាំទ្រនាប់លាបឈើ 17l U-91 </t>
  </si>
  <si>
    <t>DKS0165</t>
  </si>
  <si>
    <t xml:space="preserve">ថ្នាំទឹកមាសលាយទឹក 3.5l U-91 </t>
  </si>
  <si>
    <t xml:space="preserve">ICS: Inventory for INV # CI2026-0258 Product # DKS0165 ថ្នាំទឹកមាសលាយទឹក 3.5l U-91 </t>
  </si>
  <si>
    <t xml:space="preserve">ICS: COGS for INV # CI2026-0258 Product # DKS0165 ថ្នាំទឹកមាសលាយទឹក 3.5l U-91 </t>
  </si>
  <si>
    <t xml:space="preserve">ICS: INV # CI2026-0258 Product # DKS0165 ថ្នាំទឹកមាសលាយទឹក 3.5l U-91 </t>
  </si>
  <si>
    <t xml:space="preserve">ICS: Inventory for INV # CI2026-0258 Product # DKS0191 ដែកជ្រុង 40*40(1.2) CHIP MONG </t>
  </si>
  <si>
    <t xml:space="preserve">ICS: COGS for INV # CI2026-0258 Product # DKS0191 ដែកជ្រុង 40*40(1.2) CHIP MONG </t>
  </si>
  <si>
    <t xml:space="preserve">ICS: INV # CI2026-0258 Product # DKS0191 ដែកជ្រុង 40*40(1.2) CHIP MONG </t>
  </si>
  <si>
    <t>CI2026-0259</t>
  </si>
  <si>
    <t>ICS: INV # CI2026-0259</t>
  </si>
  <si>
    <t xml:space="preserve">ICS: Inventory for INV # CI2026-0259 Product # DKS0178 ស៊ីម៉ង អូដ្ធ CHIP MONG </t>
  </si>
  <si>
    <t xml:space="preserve">ICS: COGS for INV # CI2026-0259 Product # DKS0178 ស៊ីម៉ង អូដ្ធ CHIP MONG </t>
  </si>
  <si>
    <t xml:space="preserve">ICS: INV # CI2026-0259 Product # DKS0178 ស៊ីម៉ង អូដ្ធ CHIP MONG </t>
  </si>
  <si>
    <t>KSINV26-0078</t>
  </si>
  <si>
    <t>CI2026-0260</t>
  </si>
  <si>
    <t>ICS: INV # CI2026-0260</t>
  </si>
  <si>
    <t xml:space="preserve">ICS: Inventory for INV # CI2026-0260 Product # DKS0178 ស៊ីម៉ង អូដ្ធ CHIP MONG </t>
  </si>
  <si>
    <t xml:space="preserve">ICS: COGS for INV # CI2026-0260 Product # DKS0178 ស៊ីម៉ង អូដ្ធ CHIP MONG </t>
  </si>
  <si>
    <t xml:space="preserve">ICS: INV # CI2026-0260 Product # DKS0178 ស៊ីម៉ង អូដ្ធ CHIP MONG </t>
  </si>
  <si>
    <t xml:space="preserve">ICS: Inventory for INV # CI2026-0260 Product # DKS0181 ដែកសរសៃ​ 6L CHIP MONG </t>
  </si>
  <si>
    <t xml:space="preserve">ICS: COGS for INV # CI2026-0260 Product # DKS0181 ដែកសរសៃ​ 6L CHIP MONG </t>
  </si>
  <si>
    <t xml:space="preserve">ICS: INV # CI2026-0260 Product # DKS0181 ដែកសរសៃ​ 6L CHIP MONG </t>
  </si>
  <si>
    <t>CI2026-0261</t>
  </si>
  <si>
    <t>ICS: INV # CI2026-0261</t>
  </si>
  <si>
    <t xml:space="preserve">ICS: Inventory for INV # CI2026-0261 Product # DKS0195 ដែកជ្រុង 30*60(1.2) CHIP MONG </t>
  </si>
  <si>
    <t xml:space="preserve">ICS: COGS for INV # CI2026-0261 Product # DKS0195 ដែកជ្រុង 30*60(1.2) CHIP MONG </t>
  </si>
  <si>
    <t xml:space="preserve">ICS: INV # CI2026-0261 Product # DKS0195 ដែកជ្រុង 30*60(1.2) CHIP MONG </t>
  </si>
  <si>
    <t xml:space="preserve">ICS: Inventory for INV # CI2026-0261 Product # DKS0197 ដែកជ្រុង 40*80(1.2) CHIP MONG </t>
  </si>
  <si>
    <t xml:space="preserve">ICS: COGS for INV # CI2026-0261 Product # DKS0197 ដែកជ្រុង 40*80(1.2) CHIP MONG </t>
  </si>
  <si>
    <t xml:space="preserve">ICS: INV # CI2026-0261 Product # DKS0197 ដែកជ្រុង 40*80(1.2) CHIP MONG </t>
  </si>
  <si>
    <t>CI2026-0262</t>
  </si>
  <si>
    <t>ICS: INV # CI2026-0262</t>
  </si>
  <si>
    <t xml:space="preserve">ICS: Inventory for INV # CI2026-0262 Product # DKS0177 ស៊ីម៉ង ខន CHIP MONG </t>
  </si>
  <si>
    <t xml:space="preserve">ICS: COGS for INV # CI2026-0262 Product # DKS0177 ស៊ីម៉ង ខន CHIP MONG </t>
  </si>
  <si>
    <t xml:space="preserve">ICS: INV # CI2026-0262 Product # DKS0177 ស៊ីម៉ង ខន CHIP MONG </t>
  </si>
  <si>
    <t>DKS0054</t>
  </si>
  <si>
    <t xml:space="preserve">ដំណរ100*80 CHIP MONG </t>
  </si>
  <si>
    <t xml:space="preserve">ICS: Inventory for INV # CI2026-0262 Product # DKS0054 ដំណរ100*80 CHIP MONG </t>
  </si>
  <si>
    <t xml:space="preserve">ICS: COGS for INV # CI2026-0262 Product # DKS0054 ដំណរ100*80 CHIP MONG </t>
  </si>
  <si>
    <t xml:space="preserve">ICS: INV # CI2026-0262 Product # DKS0054 ដំណរ100*80 CHIP MONG </t>
  </si>
  <si>
    <t>DKS0032</t>
  </si>
  <si>
    <t xml:space="preserve">សុង80 CHIP MONG </t>
  </si>
  <si>
    <t xml:space="preserve">ICS: Inventory for INV # CI2026-0262 Product # DKS0032 សុង80 CHIP MONG </t>
  </si>
  <si>
    <t xml:space="preserve">ICS: COGS for INV # CI2026-0262 Product # DKS0032 សុង80 CHIP MONG </t>
  </si>
  <si>
    <t xml:space="preserve">ICS: INV # CI2026-0262 Product # DKS0032 សុង80 CHIP MONG </t>
  </si>
  <si>
    <t xml:space="preserve">ICS: Inventory for INV # CI2026-0262 Product # DKS0162 ថ្នាំលាបច្រេះប្រផះ 17l U-91 </t>
  </si>
  <si>
    <t xml:space="preserve">ICS: COGS for INV # CI2026-0262 Product # DKS0162 ថ្នាំលាបច្រេះប្រផះ 17l U-91 </t>
  </si>
  <si>
    <t xml:space="preserve">ICS: INV # CI2026-0262 Product # DKS0162 ថ្នាំលាបច្រេះប្រផះ 17l U-91 </t>
  </si>
  <si>
    <t>CI2026-0263</t>
  </si>
  <si>
    <t>ICS: INV # CI2026-0263</t>
  </si>
  <si>
    <t xml:space="preserve">ICS: Inventory for INV # CI2026-0263 Product # DKS0179 ស៊ីម៉ង K CHIP MONG </t>
  </si>
  <si>
    <t xml:space="preserve">ICS: COGS for INV # CI2026-0263 Product # DKS0179 ស៊ីម៉ង K CHIP MONG </t>
  </si>
  <si>
    <t xml:space="preserve">ICS: INV # CI2026-0263 Product # DKS0179 ស៊ីម៉ង K CHIP MONG </t>
  </si>
  <si>
    <t xml:space="preserve">ICS: Inventory for INV # CI2026-0263 Product # DKS0054 ដំណរ100*80 CHIP MONG </t>
  </si>
  <si>
    <t xml:space="preserve">ICS: COGS for INV # CI2026-0263 Product # DKS0054 ដំណរ100*80 CHIP MONG </t>
  </si>
  <si>
    <t xml:space="preserve">ICS: INV # CI2026-0263 Product # DKS0054 ដំណរ100*80 CHIP MONG </t>
  </si>
  <si>
    <t xml:space="preserve">ICS: Inventory for INV # CI2026-0263 Product # DKS0016 ទីប34(8.5) ECO PIPE </t>
  </si>
  <si>
    <t xml:space="preserve">ICS: COGS for INV # CI2026-0263 Product # DKS0016 ទីប34(8.5) ECO PIPE </t>
  </si>
  <si>
    <t xml:space="preserve">ICS: INV # CI2026-0263 Product # DKS0016 ទីប34(8.5) ECO PIPE </t>
  </si>
  <si>
    <t xml:space="preserve">ICS: Inventory for INV # CI2026-0263 Product # DKS0182 ដែកសរសៃ​ 8L CHIP MONG </t>
  </si>
  <si>
    <t xml:space="preserve">ICS: COGS for INV # CI2026-0263 Product # DKS0182 ដែកសរសៃ​ 8L CHIP MONG </t>
  </si>
  <si>
    <t xml:space="preserve">ICS: INV # CI2026-0263 Product # DKS0182 ដែកសរសៃ​ 8L CHIP MONG </t>
  </si>
  <si>
    <t>KSINV26-0079</t>
  </si>
  <si>
    <t>CI2026-0264</t>
  </si>
  <si>
    <t>ICS: INV # CI2026-0264</t>
  </si>
  <si>
    <t xml:space="preserve">ICS: Inventory for INV # CI2026-0264 Product # DKS0177 ស៊ីម៉ង ខន CHIP MONG </t>
  </si>
  <si>
    <t xml:space="preserve">ICS: COGS for INV # CI2026-0264 Product # DKS0177 ស៊ីម៉ង ខន CHIP MONG </t>
  </si>
  <si>
    <t xml:space="preserve">ICS: INV # CI2026-0264 Product # DKS0177 ស៊ីម៉ង ខន CHIP MONG </t>
  </si>
  <si>
    <t xml:space="preserve">ICS: Inventory for INV # CI2026-0264 Product # DKS0189 ដែកជ្រុង 30*30(1.2) CHIP MONG </t>
  </si>
  <si>
    <t xml:space="preserve">ICS: COGS for INV # CI2026-0264 Product # DKS0189 ដែកជ្រុង 30*30(1.2) CHIP MONG </t>
  </si>
  <si>
    <t xml:space="preserve">ICS: INV # CI2026-0264 Product # DKS0189 ដែកជ្រុង 30*30(1.2) CHIP MONG </t>
  </si>
  <si>
    <t xml:space="preserve">ICS: Inventory for INV # CI2026-0264 Product # DKS0051 តេ100*80 CHIP MONG </t>
  </si>
  <si>
    <t xml:space="preserve">ICS: COGS for INV # CI2026-0264 Product # DKS0051 តេ100*80 CHIP MONG </t>
  </si>
  <si>
    <t xml:space="preserve">ICS: INV # CI2026-0264 Product # DKS0051 តេ100*80 CHIP MONG </t>
  </si>
  <si>
    <t>CI2026-0265</t>
  </si>
  <si>
    <t>ICS: INV # CI2026-0265</t>
  </si>
  <si>
    <t xml:space="preserve">ICS: Inventory for INV # CI2026-0265 Product # DKS0195 ដែកជ្រុង 30*60(1.2) CHIP MONG </t>
  </si>
  <si>
    <t xml:space="preserve">ICS: COGS for INV # CI2026-0265 Product # DKS0195 ដែកជ្រុង 30*60(1.2) CHIP MONG </t>
  </si>
  <si>
    <t xml:space="preserve">ICS: INV # CI2026-0265 Product # DKS0195 ដែកជ្រុង 30*60(1.2) CHIP MONG </t>
  </si>
  <si>
    <t xml:space="preserve">ICS: Inventory for INV # CI2026-0265 Product # DKS0187 ដែកជ្រុង 25*25(1.2) CHIP MONG </t>
  </si>
  <si>
    <t xml:space="preserve">ICS: COGS for INV # CI2026-0265 Product # DKS0187 ដែកជ្រុង 25*25(1.2) CHIP MONG </t>
  </si>
  <si>
    <t xml:space="preserve">ICS: INV # CI2026-0265 Product # DKS0187 ដែកជ្រុង 25*25(1.2) CHIP MONG </t>
  </si>
  <si>
    <t xml:space="preserve">ICS: Inventory for INV # CI2026-0265 Product # DKS0153 ថ្នាំលាបគ្បឿង 0.9l U-91 </t>
  </si>
  <si>
    <t xml:space="preserve">ICS: COGS for INV # CI2026-0265 Product # DKS0153 ថ្នាំលាបគ្បឿង 0.9l U-91 </t>
  </si>
  <si>
    <t xml:space="preserve">ICS: INV # CI2026-0265 Product # DKS0153 ថ្នាំលាបគ្បឿង 0.9l U-91 </t>
  </si>
  <si>
    <t xml:space="preserve">ICS: Inventory for INV # CI2026-0265 Product # DKS0182 ដែកសរសៃ​ 8L CHIP MONG </t>
  </si>
  <si>
    <t xml:space="preserve">ICS: COGS for INV # CI2026-0265 Product # DKS0182 ដែកសរសៃ​ 8L CHIP MONG </t>
  </si>
  <si>
    <t xml:space="preserve">ICS: INV # CI2026-0265 Product # DKS0182 ដែកសរសៃ​ 8L CHIP MONG </t>
  </si>
  <si>
    <t xml:space="preserve">ICS: Inventory for INV # CI2026-0265 Product # DKS0049 តេ27 CHIP MONG </t>
  </si>
  <si>
    <t xml:space="preserve">ICS: COGS for INV # CI2026-0265 Product # DKS0049 តេ27 CHIP MONG </t>
  </si>
  <si>
    <t xml:space="preserve">ICS: INV # CI2026-0265 Product # DKS0049 តេ27 CHIP MONG </t>
  </si>
  <si>
    <t>CI2026-0266</t>
  </si>
  <si>
    <t>ICS: INV # CI2026-0266</t>
  </si>
  <si>
    <t xml:space="preserve">ICS: Inventory for INV # CI2026-0266 Product # DKS0048 សុង27 CHIP MONG </t>
  </si>
  <si>
    <t xml:space="preserve">ICS: COGS for INV # CI2026-0266 Product # DKS0048 សុង27 CHIP MONG </t>
  </si>
  <si>
    <t xml:space="preserve">ICS: INV # CI2026-0266 Product # DKS0048 សុង27 CHIP MONG </t>
  </si>
  <si>
    <t xml:space="preserve">ICS: Inventory for INV # CI2026-0266 Product # DKS0046 កែង27 CHIP MONG </t>
  </si>
  <si>
    <t xml:space="preserve">ICS: COGS for INV # CI2026-0266 Product # DKS0046 កែង27 CHIP MONG </t>
  </si>
  <si>
    <t xml:space="preserve">ICS: INV # CI2026-0266 Product # DKS0046 កែង27 CHIP MONG </t>
  </si>
  <si>
    <t xml:space="preserve">ICS: Inventory for INV # CI2026-0266 Product # DKS0042 កែង34 CHIP MONG </t>
  </si>
  <si>
    <t xml:space="preserve">ICS: COGS for INV # CI2026-0266 Product # DKS0042 កែង34 CHIP MONG </t>
  </si>
  <si>
    <t xml:space="preserve">ICS: INV # CI2026-0266 Product # DKS0042 កែង34 CHIP MONG </t>
  </si>
  <si>
    <t xml:space="preserve">ICS: Inventory for INV # CI2026-0266 Product # DKS0050 កែង21 CHIP MONG </t>
  </si>
  <si>
    <t xml:space="preserve">ICS: COGS for INV # CI2026-0266 Product # DKS0050 កែង21 CHIP MONG </t>
  </si>
  <si>
    <t xml:space="preserve">ICS: INV # CI2026-0266 Product # DKS0050 កែង21 CHIP MONG </t>
  </si>
  <si>
    <t>DKS0009</t>
  </si>
  <si>
    <t xml:space="preserve">ទីប21(8.5) CHIP MONG </t>
  </si>
  <si>
    <t xml:space="preserve">ICS: Inventory for INV # CI2026-0266 Product # DKS0009 ទីប21(8.5) CHIP MONG </t>
  </si>
  <si>
    <t xml:space="preserve">ICS: COGS for INV # CI2026-0266 Product # DKS0009 ទីប21(8.5) CHIP MONG </t>
  </si>
  <si>
    <t xml:space="preserve">ICS: INV # CI2026-0266 Product # DKS0009 ទីប21(8.5) CHIP MONG </t>
  </si>
  <si>
    <t xml:space="preserve">ICS: Inventory for INV # CI2026-0266 Product # DKS0008 ទីប27(8.5) CHIP MONG </t>
  </si>
  <si>
    <t xml:space="preserve">ICS: COGS for INV # CI2026-0266 Product # DKS0008 ទីប27(8.5) CHIP MONG </t>
  </si>
  <si>
    <t xml:space="preserve">ICS: INV # CI2026-0266 Product # DKS0008 ទីប27(8.5) CHIP MONG </t>
  </si>
  <si>
    <t xml:space="preserve">ICS: Inventory for INV # CI2026-0266 Product # DKS0075 សុងធ្មេញក្នុង21 CHIP MONG </t>
  </si>
  <si>
    <t xml:space="preserve">ICS: COGS for INV # CI2026-0266 Product # DKS0075 សុងធ្មេញក្នុង21 CHIP MONG </t>
  </si>
  <si>
    <t xml:space="preserve">ICS: INV # CI2026-0266 Product # DKS0075 សុងធ្មេញក្នុង21 CHIP MONG </t>
  </si>
  <si>
    <t xml:space="preserve">ICS: Inventory for INV # CI2026-0266 Product # DKS0056 ដំណរ60*49 CHIP MONG </t>
  </si>
  <si>
    <t xml:space="preserve">ICS: COGS for INV # CI2026-0266 Product # DKS0056 ដំណរ60*49 CHIP MONG </t>
  </si>
  <si>
    <t xml:space="preserve">ICS: INV # CI2026-0266 Product # DKS0056 ដំណរ60*49 CHIP MONG </t>
  </si>
  <si>
    <t>CI2026-0267</t>
  </si>
  <si>
    <t>ICS: INV # CI2026-0267</t>
  </si>
  <si>
    <t xml:space="preserve">ICS: Inventory for INV # CI2026-0267 Product # DKS0046 កែង27 CHIP MONG </t>
  </si>
  <si>
    <t xml:space="preserve">ICS: COGS for INV # CI2026-0267 Product # DKS0046 កែង27 CHIP MONG </t>
  </si>
  <si>
    <t xml:space="preserve">ICS: INV # CI2026-0267 Product # DKS0046 កែង27 CHIP MONG </t>
  </si>
  <si>
    <t xml:space="preserve">ICS: Inventory for INV # CI2026-0267 Product # DKS0041 តេ49 CHIP MONG </t>
  </si>
  <si>
    <t xml:space="preserve">ICS: COGS for INV # CI2026-0267 Product # DKS0041 តេ49 CHIP MONG </t>
  </si>
  <si>
    <t xml:space="preserve">ICS: INV # CI2026-0267 Product # DKS0041 តេ49 CHIP MONG </t>
  </si>
  <si>
    <t xml:space="preserve">ICS: Inventory for INV # CI2026-0267 Product # DKS0068 សុងធ្មេញក្រៅ49 CHIP MONG </t>
  </si>
  <si>
    <t xml:space="preserve">ICS: COGS for INV # CI2026-0267 Product # DKS0068 សុងធ្មេញក្រៅ49 CHIP MONG </t>
  </si>
  <si>
    <t xml:space="preserve">ICS: INV # CI2026-0267 Product # DKS0068 សុងធ្មេញក្រៅ49 CHIP MONG </t>
  </si>
  <si>
    <t xml:space="preserve">ICS: Inventory for INV # CI2026-0267 Product # DKS0177 ស៊ីម៉ង ខន CHIP MONG </t>
  </si>
  <si>
    <t xml:space="preserve">ICS: COGS for INV # CI2026-0267 Product # DKS0177 ស៊ីម៉ង ខន CHIP MONG </t>
  </si>
  <si>
    <t xml:space="preserve">ICS: INV # CI2026-0267 Product # DKS0177 ស៊ីម៉ង ខន CHIP MONG </t>
  </si>
  <si>
    <t xml:space="preserve">ICS: Inventory for INV # CI2026-0267 Product # DKS0108 ក្បាលស្វាន 13l PL </t>
  </si>
  <si>
    <t xml:space="preserve">ICS: COGS for INV # CI2026-0267 Product # DKS0108 ក្បាលស្វាន 13l PL </t>
  </si>
  <si>
    <t xml:space="preserve">ICS: INV # CI2026-0267 Product # DKS0108 ក្បាលស្វាន 13l PL </t>
  </si>
  <si>
    <t xml:space="preserve">ICS: Inventory for INV # CI2026-0267 Product # DKS0014 ទីប49(8.5) ECO PIPE </t>
  </si>
  <si>
    <t xml:space="preserve">ICS: COGS for INV # CI2026-0267 Product # DKS0014 ទីប49(8.5) ECO PIPE </t>
  </si>
  <si>
    <t xml:space="preserve">ICS: INV # CI2026-0267 Product # DKS0014 ទីប49(8.5) ECO PIPE </t>
  </si>
  <si>
    <t xml:space="preserve">ICS: Inventory for INV # CI2026-0267 Product # DKS0056 ដំណរ60*49 CHIP MONG </t>
  </si>
  <si>
    <t xml:space="preserve">ICS: COGS for INV # CI2026-0267 Product # DKS0056 ដំណរ60*49 CHIP MONG </t>
  </si>
  <si>
    <t xml:space="preserve">ICS: INV # CI2026-0267 Product # DKS0056 ដំណរ60*49 CHIP MONG </t>
  </si>
  <si>
    <t xml:space="preserve">ICS: Inventory for INV # CI2026-0267 Product # DKS0018 ទីប21(8.5) ECO PIPE </t>
  </si>
  <si>
    <t xml:space="preserve">ICS: COGS for INV # CI2026-0267 Product # DKS0018 ទីប21(8.5) ECO PIPE </t>
  </si>
  <si>
    <t xml:space="preserve">ICS: INV # CI2026-0267 Product # DKS0018 ទីប21(8.5) ECO PIPE </t>
  </si>
  <si>
    <t xml:space="preserve">ICS: Inventory for INV # CI2026-0267 Product # DKS0029 តេ100 CHIP MONG </t>
  </si>
  <si>
    <t xml:space="preserve">ICS: COGS for INV # CI2026-0267 Product # DKS0029 តេ100 CHIP MONG </t>
  </si>
  <si>
    <t xml:space="preserve">ICS: INV # CI2026-0267 Product # DKS0029 តេ100 CHIP MONG </t>
  </si>
  <si>
    <t>KSINV26-0080</t>
  </si>
  <si>
    <t>CI2026-0268</t>
  </si>
  <si>
    <t>ICS: INV # CI2026-0268</t>
  </si>
  <si>
    <t xml:space="preserve">ICS: Inventory for INV # CI2026-0268 Product # DKS0011 ទីប80(8.5) ECO PIPE </t>
  </si>
  <si>
    <t xml:space="preserve">ICS: COGS for INV # CI2026-0268 Product # DKS0011 ទីប80(8.5) ECO PIPE </t>
  </si>
  <si>
    <t xml:space="preserve">ICS: INV # CI2026-0268 Product # DKS0011 ទីប80(8.5) ECO PIPE </t>
  </si>
  <si>
    <t xml:space="preserve">ICS: Inventory for INV # CI2026-0268 Product # DKS0009 ទីប21(8.5) CHIP MONG </t>
  </si>
  <si>
    <t xml:space="preserve">ICS: COGS for INV # CI2026-0268 Product # DKS0009 ទីប21(8.5) CHIP MONG </t>
  </si>
  <si>
    <t xml:space="preserve">ICS: INV # CI2026-0268 Product # DKS0009 ទីប21(8.5) CHIP MONG </t>
  </si>
  <si>
    <t xml:space="preserve">ICS: Inventory for INV # CI2026-0268 Product # DKS0050 កែង21 CHIP MONG </t>
  </si>
  <si>
    <t xml:space="preserve">ICS: COGS for INV # CI2026-0268 Product # DKS0050 កែង21 CHIP MONG </t>
  </si>
  <si>
    <t xml:space="preserve">ICS: INV # CI2026-0268 Product # DKS0050 កែង21 CHIP MONG </t>
  </si>
  <si>
    <t xml:space="preserve">ICS: Inventory for INV # CI2026-0268 Product # DKS0049 តេ27 CHIP MONG </t>
  </si>
  <si>
    <t xml:space="preserve">ICS: COGS for INV # CI2026-0268 Product # DKS0049 តេ27 CHIP MONG </t>
  </si>
  <si>
    <t xml:space="preserve">ICS: INV # CI2026-0268 Product # DKS0049 តេ27 CHIP MONG </t>
  </si>
  <si>
    <t xml:space="preserve">ICS: Inventory for INV # CI2026-0268 Product # DKS0066 គំរប49 CHIP MONG </t>
  </si>
  <si>
    <t xml:space="preserve">ICS: COGS for INV # CI2026-0268 Product # DKS0066 គំរប49 CHIP MONG </t>
  </si>
  <si>
    <t xml:space="preserve">ICS: INV # CI2026-0268 Product # DKS0066 គំរប49 CHIP MONG </t>
  </si>
  <si>
    <t>CI2026-0269</t>
  </si>
  <si>
    <t>ICS: INV # CI2026-0269</t>
  </si>
  <si>
    <t xml:space="preserve">ICS: Inventory for INV # CI2026-0269 Product # DKS0177 ស៊ីម៉ង ខន CHIP MONG </t>
  </si>
  <si>
    <t xml:space="preserve">ICS: COGS for INV # CI2026-0269 Product # DKS0177 ស៊ីម៉ង ខន CHIP MONG </t>
  </si>
  <si>
    <t xml:space="preserve">ICS: INV # CI2026-0269 Product # DKS0177 ស៊ីម៉ង ខន CHIP MONG </t>
  </si>
  <si>
    <t>CI2026-0270</t>
  </si>
  <si>
    <t>ICS: INV # CI2026-0270</t>
  </si>
  <si>
    <t xml:space="preserve">ICS: Inventory for INV # CI2026-0270 Product # DKS0177 ស៊ីម៉ង ខន CHIP MONG </t>
  </si>
  <si>
    <t xml:space="preserve">ICS: COGS for INV # CI2026-0270 Product # DKS0177 ស៊ីម៉ង ខន CHIP MONG </t>
  </si>
  <si>
    <t xml:space="preserve">ICS: INV # CI2026-0270 Product # DKS0177 ស៊ីម៉ង ខន CHIP MONG </t>
  </si>
  <si>
    <t xml:space="preserve">ICS: Inventory for INV # CI2026-0270 Product # DKS0108 ក្បាលស្វាន 13l PL </t>
  </si>
  <si>
    <t xml:space="preserve">ICS: COGS for INV # CI2026-0270 Product # DKS0108 ក្បាលស្វាន 13l PL </t>
  </si>
  <si>
    <t xml:space="preserve">ICS: INV # CI2026-0270 Product # DKS0108 ក្បាលស្វាន 13l PL </t>
  </si>
  <si>
    <t xml:space="preserve">ICS: Inventory for INV # CI2026-0270 Product # DKS0029 តេ100 CHIP MONG </t>
  </si>
  <si>
    <t xml:space="preserve">ICS: COGS for INV # CI2026-0270 Product # DKS0029 តេ100 CHIP MONG </t>
  </si>
  <si>
    <t xml:space="preserve">ICS: INV # CI2026-0270 Product # DKS0029 តេ100 CHIP MONG </t>
  </si>
  <si>
    <t>KSINV26-0081</t>
  </si>
  <si>
    <t>CI2026-0271</t>
  </si>
  <si>
    <t>ICS: INV # CI2026-0271</t>
  </si>
  <si>
    <t xml:space="preserve">ICS: Inventory for INV # CI2026-0271 Product # DKS0051 តេ100*80 CHIP MONG </t>
  </si>
  <si>
    <t xml:space="preserve">ICS: COGS for INV # CI2026-0271 Product # DKS0051 តេ100*80 CHIP MONG </t>
  </si>
  <si>
    <t xml:space="preserve">ICS: INV # CI2026-0271 Product # DKS0051 តេ100*80 CHIP MONG </t>
  </si>
  <si>
    <t>CI2026-0272</t>
  </si>
  <si>
    <t>ICS: INV # CI2026-0272</t>
  </si>
  <si>
    <t xml:space="preserve">ICS: Inventory for INV # CI2026-0272 Product # DKS0183 ដែកសរសៃ​ 10L CHIP MONG </t>
  </si>
  <si>
    <t xml:space="preserve">ICS: COGS for INV # CI2026-0272 Product # DKS0183 ដែកសរសៃ​ 10L CHIP MONG </t>
  </si>
  <si>
    <t xml:space="preserve">ICS: INV # CI2026-0272 Product # DKS0183 ដែកសរសៃ​ 10L CHIP MONG </t>
  </si>
  <si>
    <t xml:space="preserve">ICS: Inventory for INV # CI2026-0272 Product # DKS0181 ដែកសរសៃ​ 6L CHIP MONG </t>
  </si>
  <si>
    <t xml:space="preserve">ICS: COGS for INV # CI2026-0272 Product # DKS0181 ដែកសរសៃ​ 6L CHIP MONG </t>
  </si>
  <si>
    <t xml:space="preserve">ICS: INV # CI2026-0272 Product # DKS0181 ដែកសរសៃ​ 6L CHIP MONG </t>
  </si>
  <si>
    <t xml:space="preserve">ICS: Inventory for INV # CI2026-0272 Product # DKS0195 ដែកជ្រុង 30*60(1.2) CHIP MONG </t>
  </si>
  <si>
    <t xml:space="preserve">ICS: COGS for INV # CI2026-0272 Product # DKS0195 ដែកជ្រុង 30*60(1.2) CHIP MONG </t>
  </si>
  <si>
    <t xml:space="preserve">ICS: INV # CI2026-0272 Product # DKS0195 ដែកជ្រុង 30*60(1.2) CHIP MONG </t>
  </si>
  <si>
    <t xml:space="preserve">ICS: Inventory for INV # CI2026-0272 Product # DKS0016 ទីប34(8.5) ECO PIPE </t>
  </si>
  <si>
    <t xml:space="preserve">ICS: COGS for INV # CI2026-0272 Product # DKS0016 ទីប34(8.5) ECO PIPE </t>
  </si>
  <si>
    <t xml:space="preserve">ICS: INV # CI2026-0272 Product # DKS0016 ទីប34(8.5) ECO PIPE </t>
  </si>
  <si>
    <t>CI2026-0273</t>
  </si>
  <si>
    <t>ICS: INV # CI2026-0273</t>
  </si>
  <si>
    <t xml:space="preserve">ICS: Inventory for INV # CI2026-0273 Product # DKS0177 ស៊ីម៉ង ខន CHIP MONG </t>
  </si>
  <si>
    <t xml:space="preserve">ICS: COGS for INV # CI2026-0273 Product # DKS0177 ស៊ីម៉ង ខន CHIP MONG </t>
  </si>
  <si>
    <t xml:space="preserve">ICS: INV # CI2026-0273 Product # DKS0177 ស៊ីម៉ង ខន CHIP MONG </t>
  </si>
  <si>
    <t xml:space="preserve">ICS: Inventory for INV # CI2026-0273 Product # DKS0004 ទីប60(8.5) CHIP MONG </t>
  </si>
  <si>
    <t xml:space="preserve">ICS: COGS for INV # CI2026-0273 Product # DKS0004 ទីប60(8.5) CHIP MONG </t>
  </si>
  <si>
    <t xml:space="preserve">ICS: INV # CI2026-0273 Product # DKS0004 ទីប60(8.5) CHIP MONG </t>
  </si>
  <si>
    <t>KSINV26-0082</t>
  </si>
  <si>
    <t>CI2026-0274</t>
  </si>
  <si>
    <t>ICS: INV # CI2026-0274</t>
  </si>
  <si>
    <t xml:space="preserve">ICS: Inventory for INV # CI2026-0274 Product # DKS0177 ស៊ីម៉ង ខន CHIP MONG </t>
  </si>
  <si>
    <t xml:space="preserve">ICS: COGS for INV # CI2026-0274 Product # DKS0177 ស៊ីម៉ង ខន CHIP MONG </t>
  </si>
  <si>
    <t xml:space="preserve">ICS: INV # CI2026-0274 Product # DKS0177 ស៊ីម៉ង ខន CHIP MONG </t>
  </si>
  <si>
    <t>DKS0061</t>
  </si>
  <si>
    <t xml:space="preserve">តេអ៊ីការិច100*60 CHIP MONG </t>
  </si>
  <si>
    <t xml:space="preserve">ICS: Inventory for INV # CI2026-0274 Product # DKS0061 តេអ៊ីការិច100*60 CHIP MONG </t>
  </si>
  <si>
    <t xml:space="preserve">ICS: COGS for INV # CI2026-0274 Product # DKS0061 តេអ៊ីការិច100*60 CHIP MONG </t>
  </si>
  <si>
    <t xml:space="preserve">ICS: INV # CI2026-0274 Product # DKS0061 តេអ៊ីការិច100*60 CHIP MONG </t>
  </si>
  <si>
    <t>DKS0146</t>
  </si>
  <si>
    <t xml:space="preserve">ក្រដាស់ខាត់ p40,p60.. PL </t>
  </si>
  <si>
    <t xml:space="preserve">ICS: Inventory for INV # CI2026-0274 Product # DKS0146 ក្រដាស់ខាត់ p40,p60.. PL </t>
  </si>
  <si>
    <t xml:space="preserve">ICS: COGS for INV # CI2026-0274 Product # DKS0146 ក្រដាស់ខាត់ p40,p60.. PL </t>
  </si>
  <si>
    <t xml:space="preserve">ICS: INV # CI2026-0274 Product # DKS0146 ក្រដាស់ខាត់ p40,p60.. PL </t>
  </si>
  <si>
    <t>CI2026-0275</t>
  </si>
  <si>
    <t>ICS: INV # CI2026-0275</t>
  </si>
  <si>
    <t xml:space="preserve">ICS: Inventory for INV # CI2026-0275 Product # DKS0176 ស៊ីម៉ង​ V CHIP MONG </t>
  </si>
  <si>
    <t xml:space="preserve">ICS: COGS for INV # CI2026-0275 Product # DKS0176 ស៊ីម៉ង​ V CHIP MONG </t>
  </si>
  <si>
    <t xml:space="preserve">ICS: INV # CI2026-0275 Product # DKS0176 ស៊ីម៉ង​ V CHIP MONG </t>
  </si>
  <si>
    <t xml:space="preserve">ICS: Inventory for INV # CI2026-0275 Product # DKS0066 គំរប49 CHIP MONG </t>
  </si>
  <si>
    <t xml:space="preserve">ICS: COGS for INV # CI2026-0275 Product # DKS0066 គំរប49 CHIP MONG </t>
  </si>
  <si>
    <t xml:space="preserve">ICS: INV # CI2026-0275 Product # DKS0066 គំរប49 CHIP MONG </t>
  </si>
  <si>
    <t xml:space="preserve">ICS: Inventory for INV # CI2026-0275 Product # DKS0075 សុងធ្មេញក្នុង21 CHIP MONG </t>
  </si>
  <si>
    <t xml:space="preserve">ICS: COGS for INV # CI2026-0275 Product # DKS0075 សុងធ្មេញក្នុង21 CHIP MONG </t>
  </si>
  <si>
    <t xml:space="preserve">ICS: INV # CI2026-0275 Product # DKS0075 សុងធ្មេញក្នុង21 CHIP MONG </t>
  </si>
  <si>
    <t xml:space="preserve">ICS: Inventory for INV # CI2026-0275 Product # DKS0182 ដែកសរសៃ​ 8L CHIP MONG </t>
  </si>
  <si>
    <t xml:space="preserve">ICS: COGS for INV # CI2026-0275 Product # DKS0182 ដែកសរសៃ​ 8L CHIP MONG </t>
  </si>
  <si>
    <t xml:space="preserve">ICS: INV # CI2026-0275 Product # DKS0182 ដែកសរសៃ​ 8L CHIP MONG </t>
  </si>
  <si>
    <t xml:space="preserve">ICS: Inventory for INV # CI2026-0275 Product # DKS0105 ផ្លែស្វានបេតុង 10l PL </t>
  </si>
  <si>
    <t xml:space="preserve">ICS: COGS for INV # CI2026-0275 Product # DKS0105 ផ្លែស្វានបេតុង 10l PL </t>
  </si>
  <si>
    <t xml:space="preserve">ICS: INV # CI2026-0275 Product # DKS0105 ផ្លែស្វានបេតុង 10l PL </t>
  </si>
  <si>
    <t xml:space="preserve">ICS: Inventory for INV # CI2026-0275 Product # DKS0034 កែង60 CHIP MONG </t>
  </si>
  <si>
    <t xml:space="preserve">ICS: COGS for INV # CI2026-0275 Product # DKS0034 កែង60 CHIP MONG </t>
  </si>
  <si>
    <t xml:space="preserve">ICS: INV # CI2026-0275 Product # DKS0034 កែង60 CHIP MONG </t>
  </si>
  <si>
    <t xml:space="preserve">ICS: Inventory for INV # CI2026-0275 Product # DKS0050 កែង21 CHIP MONG </t>
  </si>
  <si>
    <t xml:space="preserve">ICS: COGS for INV # CI2026-0275 Product # DKS0050 កែង21 CHIP MONG </t>
  </si>
  <si>
    <t xml:space="preserve">ICS: INV # CI2026-0275 Product # DKS0050 កែង21 CHIP MONG </t>
  </si>
  <si>
    <t xml:space="preserve">ICS: Inventory for INV # CI2026-0275 Product # DKS0142 ថ្មរឆាប តឹក PL </t>
  </si>
  <si>
    <t xml:space="preserve">ICS: COGS for INV # CI2026-0275 Product # DKS0142 ថ្មរឆាប តឹក PL </t>
  </si>
  <si>
    <t xml:space="preserve">ICS: INV # CI2026-0275 Product # DKS0142 ថ្មរឆាប តឹក PL </t>
  </si>
  <si>
    <t xml:space="preserve">ICS: Inventory for INV # CI2026-0275 Product # DKS0144 ប៉ុងខាត់ PL </t>
  </si>
  <si>
    <t xml:space="preserve">ICS: COGS for INV # CI2026-0275 Product # DKS0144 ប៉ុងខាត់ PL </t>
  </si>
  <si>
    <t xml:space="preserve">ICS: INV # CI2026-0275 Product # DKS0144 ប៉ុងខាត់ PL </t>
  </si>
  <si>
    <t xml:space="preserve">ICS: Inventory for INV # CI2026-0275 Product # DKS0029 តេ100 CHIP MONG </t>
  </si>
  <si>
    <t xml:space="preserve">ICS: COGS for INV # CI2026-0275 Product # DKS0029 តេ100 CHIP MONG </t>
  </si>
  <si>
    <t xml:space="preserve">ICS: INV # CI2026-0275 Product # DKS0029 តេ100 CHIP MONG </t>
  </si>
  <si>
    <t xml:space="preserve">ICS: Inventory for INV # CI2026-0275 Product # DKS0037 តេ60 CHIP MONG </t>
  </si>
  <si>
    <t xml:space="preserve">ICS: COGS for INV # CI2026-0275 Product # DKS0037 តេ60 CHIP MONG </t>
  </si>
  <si>
    <t xml:space="preserve">ICS: INV # CI2026-0275 Product # DKS0037 តេ60 CHIP MONG </t>
  </si>
  <si>
    <t xml:space="preserve">ICS: Inventory for INV # CI2026-0275 Product # DKS0049 តេ27 CHIP MONG </t>
  </si>
  <si>
    <t xml:space="preserve">ICS: COGS for INV # CI2026-0275 Product # DKS0049 តេ27 CHIP MONG </t>
  </si>
  <si>
    <t xml:space="preserve">ICS: INV # CI2026-0275 Product # DKS0049 តេ27 CHIP MONG </t>
  </si>
  <si>
    <t xml:space="preserve">ICS: Inventory for INV # CI2026-0275 Product # DKS0108 ក្បាលស្វាន 13l PL </t>
  </si>
  <si>
    <t xml:space="preserve">ICS: COGS for INV # CI2026-0275 Product # DKS0108 ក្បាលស្វាន 13l PL </t>
  </si>
  <si>
    <t xml:space="preserve">ICS: INV # CI2026-0275 Product # DKS0108 ក្បាលស្វាន 13l PL </t>
  </si>
  <si>
    <t xml:space="preserve">ICS: Inventory for INV # CI2026-0275 Product # DKS0153 ថ្នាំលាបគ្បឿង 0.9l U-91 </t>
  </si>
  <si>
    <t xml:space="preserve">ICS: COGS for INV # CI2026-0275 Product # DKS0153 ថ្នាំលាបគ្បឿង 0.9l U-91 </t>
  </si>
  <si>
    <t xml:space="preserve">ICS: INV # CI2026-0275 Product # DKS0153 ថ្នាំលាបគ្បឿង 0.9l U-91 </t>
  </si>
  <si>
    <t xml:space="preserve">ICS: Inventory for INV # CI2026-0275 Product # DKS0181 ដែកសរសៃ​ 6L CHIP MONG </t>
  </si>
  <si>
    <t xml:space="preserve">ICS: COGS for INV # CI2026-0275 Product # DKS0181 ដែកសរសៃ​ 6L CHIP MONG </t>
  </si>
  <si>
    <t xml:space="preserve">ICS: INV # CI2026-0275 Product # DKS0181 ដែកសរសៃ​ 6L CHIP MONG </t>
  </si>
  <si>
    <t xml:space="preserve">ICS: Inventory for INV # CI2026-0275 Product # DKS0007 ទីប34(8.5) CHIP MONG </t>
  </si>
  <si>
    <t xml:space="preserve">ICS: COGS for INV # CI2026-0275 Product # DKS0007 ទីប34(8.5) CHIP MONG </t>
  </si>
  <si>
    <t xml:space="preserve">ICS: INV # CI2026-0275 Product # DKS0007 ទីប34(8.5) CHIP MONG </t>
  </si>
  <si>
    <t xml:space="preserve">ICS: Inventory for INV # CI2026-0275 Product # DKS0013 ទីប60(8.5) ECO PIPE </t>
  </si>
  <si>
    <t xml:space="preserve">ICS: COGS for INV # CI2026-0275 Product # DKS0013 ទីប60(8.5) ECO PIPE </t>
  </si>
  <si>
    <t xml:space="preserve">ICS: INV # CI2026-0275 Product # DKS0013 ទីប60(8.5) ECO PIPE </t>
  </si>
  <si>
    <t>CI2026-0276</t>
  </si>
  <si>
    <t>ICS: INV # CI2026-0276</t>
  </si>
  <si>
    <t xml:space="preserve">ICS: Inventory for INV # CI2026-0276 Product # DKS0001 ទីប​100(8.5) CHIP MONG </t>
  </si>
  <si>
    <t xml:space="preserve">ICS: COGS for INV # CI2026-0276 Product # DKS0001 ទីប​100(8.5) CHIP MONG </t>
  </si>
  <si>
    <t xml:space="preserve">ICS: INV # CI2026-0276 Product # DKS0001 ទីប​100(8.5) CHIP MONG </t>
  </si>
  <si>
    <t xml:space="preserve">ICS: Inventory for INV # CI2026-0276 Product # DKS0026 កែង100 CHIP MONG </t>
  </si>
  <si>
    <t xml:space="preserve">ICS: COGS for INV # CI2026-0276 Product # DKS0026 កែង100 CHIP MONG </t>
  </si>
  <si>
    <t xml:space="preserve">ICS: INV # CI2026-0276 Product # DKS0026 កែង100 CHIP MONG </t>
  </si>
  <si>
    <t xml:space="preserve">ICS: Inventory for INV # CI2026-0276 Product # DKS0004 ទីប60(8.5) CHIP MONG </t>
  </si>
  <si>
    <t xml:space="preserve">ICS: COGS for INV # CI2026-0276 Product # DKS0004 ទីប60(8.5) CHIP MONG </t>
  </si>
  <si>
    <t xml:space="preserve">ICS: INV # CI2026-0276 Product # DKS0004 ទីប60(8.5) CHIP MONG </t>
  </si>
  <si>
    <t xml:space="preserve">ICS: Inventory for INV # CI2026-0276 Product # DKS0034 កែង60 CHIP MONG </t>
  </si>
  <si>
    <t xml:space="preserve">ICS: COGS for INV # CI2026-0276 Product # DKS0034 កែង60 CHIP MONG </t>
  </si>
  <si>
    <t xml:space="preserve">ICS: INV # CI2026-0276 Product # DKS0034 កែង60 CHIP MONG </t>
  </si>
  <si>
    <t xml:space="preserve">ICS: Inventory for INV # CI2026-0276 Product # DKS0020 ទីប80(5.0) ECO PIPE </t>
  </si>
  <si>
    <t xml:space="preserve">ICS: COGS for INV # CI2026-0276 Product # DKS0020 ទីប80(5.0) ECO PIPE </t>
  </si>
  <si>
    <t xml:space="preserve">ICS: INV # CI2026-0276 Product # DKS0020 ទីប80(5.0) ECO PIPE </t>
  </si>
  <si>
    <t xml:space="preserve">ICS: Inventory for INV # CI2026-0276 Product # DKS0049 តេ27 CHIP MONG </t>
  </si>
  <si>
    <t xml:space="preserve">ICS: COGS for INV # CI2026-0276 Product # DKS0049 តេ27 CHIP MONG </t>
  </si>
  <si>
    <t xml:space="preserve">ICS: INV # CI2026-0276 Product # DKS0049 តេ27 CHIP MONG </t>
  </si>
  <si>
    <t xml:space="preserve">ICS: Inventory for INV # CI2026-0276 Product # DKS0050 កែង21 CHIP MONG </t>
  </si>
  <si>
    <t xml:space="preserve">ICS: COGS for INV # CI2026-0276 Product # DKS0050 កែង21 CHIP MONG </t>
  </si>
  <si>
    <t xml:space="preserve">ICS: INV # CI2026-0276 Product # DKS0050 កែង21 CHIP MONG </t>
  </si>
  <si>
    <t>DKS0071</t>
  </si>
  <si>
    <t xml:space="preserve">សុងធ្មេញក្រៅ21 CHIP MONG </t>
  </si>
  <si>
    <t xml:space="preserve">ICS: Inventory for INV # CI2026-0276 Product # DKS0071 សុងធ្មេញក្រៅ21 CHIP MONG </t>
  </si>
  <si>
    <t xml:space="preserve">ICS: COGS for INV # CI2026-0276 Product # DKS0071 សុងធ្មេញក្រៅ21 CHIP MONG </t>
  </si>
  <si>
    <t xml:space="preserve">ICS: INV # CI2026-0276 Product # DKS0071 សុងធ្មេញក្រៅ21 CHIP MONG </t>
  </si>
  <si>
    <t xml:space="preserve">ICS: Inventory for INV # CI2026-0276 Product # DKS0009 ទីប21(8.5) CHIP MONG </t>
  </si>
  <si>
    <t xml:space="preserve">ICS: COGS for INV # CI2026-0276 Product # DKS0009 ទីប21(8.5) CHIP MONG </t>
  </si>
  <si>
    <t xml:space="preserve">ICS: INV # CI2026-0276 Product # DKS0009 ទីប21(8.5) CHIP MONG </t>
  </si>
  <si>
    <t xml:space="preserve">ICS: Inventory for INV # CI2026-0276 Product # DKS0070 សុងធ្មេញក្រៅ27 CHIP MONG </t>
  </si>
  <si>
    <t xml:space="preserve">ICS: COGS for INV # CI2026-0276 Product # DKS0070 សុងធ្មេញក្រៅ27 CHIP MONG </t>
  </si>
  <si>
    <t xml:space="preserve">ICS: INV # CI2026-0276 Product # DKS0070 សុងធ្មេញក្រៅ27 CHIP MONG </t>
  </si>
  <si>
    <t xml:space="preserve">ICS: Inventory for INV # CI2026-0276 Product # DKS0108 ក្បាលស្វាន 13l PL </t>
  </si>
  <si>
    <t xml:space="preserve">ICS: COGS for INV # CI2026-0276 Product # DKS0108 ក្បាលស្វាន 13l PL </t>
  </si>
  <si>
    <t xml:space="preserve">ICS: INV # CI2026-0276 Product # DKS0108 ក្បាលស្វាន 13l PL </t>
  </si>
  <si>
    <t xml:space="preserve">ICS: Inventory for INV # CI2026-0276 Product # DKS0017 ទីប27(8.5) ECO PIPE </t>
  </si>
  <si>
    <t xml:space="preserve">ICS: COGS for INV # CI2026-0276 Product # DKS0017 ទីប27(8.5) ECO PIPE </t>
  </si>
  <si>
    <t xml:space="preserve">ICS: INV # CI2026-0276 Product # DKS0017 ទីប27(8.5) ECO PIPE </t>
  </si>
  <si>
    <t>DKS0079</t>
  </si>
  <si>
    <t xml:space="preserve">ហ្គេនខ្សែភ្លើង​ 21 CHIP MONG </t>
  </si>
  <si>
    <t>045.Coil/50m</t>
  </si>
  <si>
    <t xml:space="preserve">ICS: Inventory for INV # CI2026-0276 Product # DKS0079 ហ្គេនខ្សែភ្លើង​ 21 CHIP MONG </t>
  </si>
  <si>
    <t xml:space="preserve">ICS: COGS for INV # CI2026-0276 Product # DKS0079 ហ្គេនខ្សែភ្លើង​ 21 CHIP MONG </t>
  </si>
  <si>
    <t xml:space="preserve">ICS: INV # CI2026-0276 Product # DKS0079 ហ្គេនខ្សែភ្លើង​ 21 CHIP MONG </t>
  </si>
  <si>
    <t>DKS0077</t>
  </si>
  <si>
    <t xml:space="preserve">ហ្គេនខ្សែភ្លើង​ 34 CHIP MONG </t>
  </si>
  <si>
    <t xml:space="preserve">ICS: Inventory for INV # CI2026-0276 Product # DKS0077 ហ្គេនខ្សែភ្លើង​ 34 CHIP MONG </t>
  </si>
  <si>
    <t xml:space="preserve">ICS: COGS for INV # CI2026-0276 Product # DKS0077 ហ្គេនខ្សែភ្លើង​ 34 CHIP MONG </t>
  </si>
  <si>
    <t xml:space="preserve">ICS: INV # CI2026-0276 Product # DKS0077 ហ្គេនខ្សែភ្លើង​ 34 CHIP MONG </t>
  </si>
  <si>
    <t xml:space="preserve">ICS: Inventory for INV # CI2026-0276 Product # DKS0032 សុង80 CHIP MONG </t>
  </si>
  <si>
    <t xml:space="preserve">ICS: COGS for INV # CI2026-0276 Product # DKS0032 សុង80 CHIP MONG </t>
  </si>
  <si>
    <t xml:space="preserve">ICS: INV # CI2026-0276 Product # DKS0032 សុង80 CHIP MONG </t>
  </si>
  <si>
    <t>KSINV26-0083</t>
  </si>
  <si>
    <t>CI2026-0277</t>
  </si>
  <si>
    <t>ICS: INV # CI2026-0277</t>
  </si>
  <si>
    <t xml:space="preserve">ICS: Inventory for INV # CI2026-0277 Product # DKS0176 ស៊ីម៉ង​ V CHIP MONG </t>
  </si>
  <si>
    <t xml:space="preserve">ICS: COGS for INV # CI2026-0277 Product # DKS0176 ស៊ីម៉ង​ V CHIP MONG </t>
  </si>
  <si>
    <t xml:space="preserve">ICS: INV # CI2026-0277 Product # DKS0176 ស៊ីម៉ង​ V CHIP MONG </t>
  </si>
  <si>
    <t>CI2026-0278</t>
  </si>
  <si>
    <t>ICS: INV # CI2026-0278</t>
  </si>
  <si>
    <t xml:space="preserve">ICS: Inventory for INV # CI2026-0278 Product # DKS0176 ស៊ីម៉ង​ V CHIP MONG </t>
  </si>
  <si>
    <t xml:space="preserve">ICS: COGS for INV # CI2026-0278 Product # DKS0176 ស៊ីម៉ង​ V CHIP MONG </t>
  </si>
  <si>
    <t xml:space="preserve">ICS: INV # CI2026-0278 Product # DKS0176 ស៊ីម៉ង​ V CHIP MONG </t>
  </si>
  <si>
    <t xml:space="preserve">ICS: Inventory for INV # CI2026-0278 Product # DKS0156 ថ្នាំប្រេងលាបដែក 250ml U-91 </t>
  </si>
  <si>
    <t xml:space="preserve">ICS: COGS for INV # CI2026-0278 Product # DKS0156 ថ្នាំប្រេងលាបដែក 250ml U-91 </t>
  </si>
  <si>
    <t xml:space="preserve">ICS: INV # CI2026-0278 Product # DKS0156 ថ្នាំប្រេងលាបដែក 250ml U-91 </t>
  </si>
  <si>
    <t xml:space="preserve">ICS: Inventory for INV # CI2026-0278 Product # DKS0162 ថ្នាំលាបច្រេះប្រផះ 17l U-91 </t>
  </si>
  <si>
    <t xml:space="preserve">ICS: COGS for INV # CI2026-0278 Product # DKS0162 ថ្នាំលាបច្រេះប្រផះ 17l U-91 </t>
  </si>
  <si>
    <t xml:space="preserve">ICS: INV # CI2026-0278 Product # DKS0162 ថ្នាំលាបច្រេះប្រផះ 17l U-91 </t>
  </si>
  <si>
    <t>CI2026-0279</t>
  </si>
  <si>
    <t>ICS: INV # CI2026-0279</t>
  </si>
  <si>
    <t xml:space="preserve">ICS: Inventory for INV # CI2026-0279 Product # DKS0108 ក្បាលស្វាន 13l PL </t>
  </si>
  <si>
    <t xml:space="preserve">ICS: COGS for INV # CI2026-0279 Product # DKS0108 ក្បាលស្វាន 13l PL </t>
  </si>
  <si>
    <t xml:space="preserve">ICS: INV # CI2026-0279 Product # DKS0108 ក្បាលស្វាន 13l PL </t>
  </si>
  <si>
    <t>008.Pair</t>
  </si>
  <si>
    <t xml:space="preserve">ICS: Inventory for INV # CI2026-0279 Product # DKS0150 ស្រោមដៃអំបោះ PL </t>
  </si>
  <si>
    <t xml:space="preserve">ICS: COGS for INV # CI2026-0279 Product # DKS0150 ស្រោមដៃអំបោះ PL </t>
  </si>
  <si>
    <t xml:space="preserve">ICS: INV # CI2026-0279 Product # DKS0150 ស្រោមដៃអំបោះ PL </t>
  </si>
  <si>
    <t>DKS0112</t>
  </si>
  <si>
    <t xml:space="preserve">ញញូលមុខក្រឡា 0.5kg PL </t>
  </si>
  <si>
    <t xml:space="preserve">ICS: Inventory for INV # CI2026-0279 Product # DKS0112 ញញូលមុខក្រឡា 0.5kg PL </t>
  </si>
  <si>
    <t xml:space="preserve">ICS: COGS for INV # CI2026-0279 Product # DKS0112 ញញូលមុខក្រឡា 0.5kg PL </t>
  </si>
  <si>
    <t xml:space="preserve">ICS: INV # CI2026-0279 Product # DKS0112 ញញូលមុខក្រឡា 0.5kg PL </t>
  </si>
  <si>
    <t xml:space="preserve">ICS: Inventory for INV # CI2026-0279 Product # DKS0076 ទុយោសកខ្សែភ្លើង 34 CHIP MONG </t>
  </si>
  <si>
    <t xml:space="preserve">ICS: COGS for INV # CI2026-0279 Product # DKS0076 ទុយោសកខ្សែភ្លើង 34 CHIP MONG </t>
  </si>
  <si>
    <t xml:space="preserve">ICS: INV # CI2026-0279 Product # DKS0076 ទុយោសកខ្សែភ្លើង 34 CHIP MONG </t>
  </si>
  <si>
    <t xml:space="preserve">ICS: Inventory for INV # CI2026-0279 Product # DKS0142 ថ្មរឆាប តឹក PL </t>
  </si>
  <si>
    <t xml:space="preserve">ICS: COGS for INV # CI2026-0279 Product # DKS0142 ថ្មរឆាប តឹក PL </t>
  </si>
  <si>
    <t xml:space="preserve">ICS: INV # CI2026-0279 Product # DKS0142 ថ្មរឆាប តឹក PL </t>
  </si>
  <si>
    <t xml:space="preserve">ICS: Inventory for INV # CI2026-0279 Product # DKS0187 ដែកជ្រុង 25*25(1.2) CHIP MONG </t>
  </si>
  <si>
    <t xml:space="preserve">ICS: COGS for INV # CI2026-0279 Product # DKS0187 ដែកជ្រុង 25*25(1.2) CHIP MONG </t>
  </si>
  <si>
    <t xml:space="preserve">ICS: INV # CI2026-0279 Product # DKS0187 ដែកជ្រុង 25*25(1.2) CHIP MONG </t>
  </si>
  <si>
    <t xml:space="preserve">ICS: Inventory for INV # CI2026-0279 Product # DKS0145 ផ្លែខាត់ល្អ PL </t>
  </si>
  <si>
    <t xml:space="preserve">ICS: COGS for INV # CI2026-0279 Product # DKS0145 ផ្លែខាត់ល្អ PL </t>
  </si>
  <si>
    <t xml:space="preserve">ICS: INV # CI2026-0279 Product # DKS0145 ផ្លែខាត់ល្អ PL </t>
  </si>
  <si>
    <t xml:space="preserve">ICS: Inventory for INV # CI2026-0279 Product # DKS0144 ប៉ុងខាត់ PL </t>
  </si>
  <si>
    <t xml:space="preserve">ICS: COGS for INV # CI2026-0279 Product # DKS0144 ប៉ុងខាត់ PL </t>
  </si>
  <si>
    <t xml:space="preserve">ICS: INV # CI2026-0279 Product # DKS0144 ប៉ុងខាត់ PL </t>
  </si>
  <si>
    <t xml:space="preserve">ICS: Inventory for INV # CI2026-0279 Product # DKS0008 ទីប27(8.5) CHIP MONG </t>
  </si>
  <si>
    <t xml:space="preserve">ICS: COGS for INV # CI2026-0279 Product # DKS0008 ទីប27(8.5) CHIP MONG </t>
  </si>
  <si>
    <t xml:space="preserve">ICS: INV # CI2026-0279 Product # DKS0008 ទីប27(8.5) CHIP MONG </t>
  </si>
  <si>
    <t>KSINV26-0084</t>
  </si>
  <si>
    <t>CI2026-0280</t>
  </si>
  <si>
    <t>ICS: INV # CI2026-0280</t>
  </si>
  <si>
    <t xml:space="preserve">ICS: Inventory for INV # CI2026-0280 Product # DKS0001 ទីប​100(8.5) CHIP MONG </t>
  </si>
  <si>
    <t xml:space="preserve">ICS: COGS for INV # CI2026-0280 Product # DKS0001 ទីប​100(8.5) CHIP MONG </t>
  </si>
  <si>
    <t xml:space="preserve">ICS: INV # CI2026-0280 Product # DKS0001 ទីប​100(8.5) CHIP MONG </t>
  </si>
  <si>
    <t>DKS0174</t>
  </si>
  <si>
    <t xml:space="preserve">ជក់លាបថ្នាំ 3'' PL </t>
  </si>
  <si>
    <t xml:space="preserve">ICS: Inventory for INV # CI2026-0280 Product # DKS0174 ជក់លាបថ្នាំ 3'' PL </t>
  </si>
  <si>
    <t xml:space="preserve">ICS: COGS for INV # CI2026-0280 Product # DKS0174 ជក់លាបថ្នាំ 3'' PL </t>
  </si>
  <si>
    <t xml:space="preserve">ICS: INV # CI2026-0280 Product # DKS0174 ជក់លាបថ្នាំ 3'' PL </t>
  </si>
  <si>
    <t>DKS0168</t>
  </si>
  <si>
    <t xml:space="preserve">រឡូរុញថ្នាំ​ 23cm PL </t>
  </si>
  <si>
    <t xml:space="preserve">ICS: Inventory for INV # CI2026-0280 Product # DKS0168 រឡូរុញថ្នាំ​ 23cm PL </t>
  </si>
  <si>
    <t xml:space="preserve">ICS: COGS for INV # CI2026-0280 Product # DKS0168 រឡូរុញថ្នាំ​ 23cm PL </t>
  </si>
  <si>
    <t xml:space="preserve">ICS: INV # CI2026-0280 Product # DKS0168 រឡូរុញថ្នាំ​ 23cm PL </t>
  </si>
  <si>
    <t>DKS0172</t>
  </si>
  <si>
    <t xml:space="preserve">ជក់លាបថ្នាំ 1" PL </t>
  </si>
  <si>
    <t xml:space="preserve">ICS: Inventory for INV # CI2026-0280 Product # DKS0172 ជក់លាបថ្នាំ 1" PL </t>
  </si>
  <si>
    <t xml:space="preserve">ICS: COGS for INV # CI2026-0280 Product # DKS0172 ជក់លាបថ្នាំ 1" PL </t>
  </si>
  <si>
    <t xml:space="preserve">ICS: INV # CI2026-0280 Product # DKS0172 ជក់លាបថ្នាំ 1" PL </t>
  </si>
  <si>
    <t xml:space="preserve">ICS: Inventory for INV # CI2026-0280 Product # DKS0010 ទីប​100(8.5) ECO PIPE </t>
  </si>
  <si>
    <t xml:space="preserve">ICS: COGS for INV # CI2026-0280 Product # DKS0010 ទីប​100(8.5) ECO PIPE </t>
  </si>
  <si>
    <t xml:space="preserve">ICS: INV # CI2026-0280 Product # DKS0010 ទីប​100(8.5) ECO PIPE </t>
  </si>
  <si>
    <t>CI2026-0281</t>
  </si>
  <si>
    <t>ICS: INV # CI2026-0281</t>
  </si>
  <si>
    <t xml:space="preserve">ICS: Inventory for INV # CI2026-0281 Product # DKS0189 ដែកជ្រុង 30*30(1.2) CHIP MONG </t>
  </si>
  <si>
    <t xml:space="preserve">ICS: COGS for INV # CI2026-0281 Product # DKS0189 ដែកជ្រុង 30*30(1.2) CHIP MONG </t>
  </si>
  <si>
    <t xml:space="preserve">ICS: INV # CI2026-0281 Product # DKS0189 ដែកជ្រុង 30*30(1.2) CHIP MONG </t>
  </si>
  <si>
    <t xml:space="preserve">ICS: Inventory for INV # CI2026-0281 Product # DKS0183 ដែកសរសៃ​ 10L CHIP MONG </t>
  </si>
  <si>
    <t xml:space="preserve">ICS: COGS for INV # CI2026-0281 Product # DKS0183 ដែកសរសៃ​ 10L CHIP MONG </t>
  </si>
  <si>
    <t xml:space="preserve">ICS: INV # CI2026-0281 Product # DKS0183 ដែកសរសៃ​ 10L CHIP MONG </t>
  </si>
  <si>
    <t>DKS0136</t>
  </si>
  <si>
    <t xml:space="preserve">ផ្លែកាំបិត PL </t>
  </si>
  <si>
    <t xml:space="preserve">ICS: Inventory for INV # CI2026-0281 Product # DKS0136 ផ្លែកាំបិត PL </t>
  </si>
  <si>
    <t xml:space="preserve">ICS: COGS for INV # CI2026-0281 Product # DKS0136 ផ្លែកាំបិត PL </t>
  </si>
  <si>
    <t xml:space="preserve">ICS: INV # CI2026-0281 Product # DKS0136 ផ្លែកាំបិត PL </t>
  </si>
  <si>
    <t xml:space="preserve">ICS: Inventory for INV # CI2026-0281 Product # DKS0142 ថ្មរឆាប តឹក PL </t>
  </si>
  <si>
    <t xml:space="preserve">ICS: COGS for INV # CI2026-0281 Product # DKS0142 ថ្មរឆាប តឹក PL </t>
  </si>
  <si>
    <t xml:space="preserve">ICS: INV # CI2026-0281 Product # DKS0142 ថ្មរឆាប តឹក PL </t>
  </si>
  <si>
    <t xml:space="preserve">ICS: Inventory for INV # CI2026-0281 Product # DKS0053 តេ60*49 CHIP MONG </t>
  </si>
  <si>
    <t xml:space="preserve">ICS: COGS for INV # CI2026-0281 Product # DKS0053 តេ60*49 CHIP MONG </t>
  </si>
  <si>
    <t xml:space="preserve">ICS: INV # CI2026-0281 Product # DKS0053 តេ60*49 CHIP MONG </t>
  </si>
  <si>
    <t xml:space="preserve">ICS: Inventory for INV # CI2026-0281 Product # DKS0050 កែង21 CHIP MONG </t>
  </si>
  <si>
    <t xml:space="preserve">ICS: COGS for INV # CI2026-0281 Product # DKS0050 កែង21 CHIP MONG </t>
  </si>
  <si>
    <t xml:space="preserve">ICS: INV # CI2026-0281 Product # DKS0050 កែង21 CHIP MONG </t>
  </si>
  <si>
    <t xml:space="preserve">ICS: Inventory for INV # CI2026-0281 Product # DKS0056 ដំណរ60*49 CHIP MONG </t>
  </si>
  <si>
    <t xml:space="preserve">ICS: COGS for INV # CI2026-0281 Product # DKS0056 ដំណរ60*49 CHIP MONG </t>
  </si>
  <si>
    <t xml:space="preserve">ICS: INV # CI2026-0281 Product # DKS0056 ដំណរ60*49 CHIP MONG </t>
  </si>
  <si>
    <t xml:space="preserve">ICS: Inventory for INV # CI2026-0281 Product # DKS0034 កែង60 CHIP MONG </t>
  </si>
  <si>
    <t xml:space="preserve">ICS: COGS for INV # CI2026-0281 Product # DKS0034 កែង60 CHIP MONG </t>
  </si>
  <si>
    <t xml:space="preserve">ICS: INV # CI2026-0281 Product # DKS0034 កែង60 CHIP MONG </t>
  </si>
  <si>
    <t>KSPB26-0004</t>
  </si>
  <si>
    <t>ICS: PB # KSPB26-0004</t>
  </si>
  <si>
    <t xml:space="preserve">ICS: PB # KSPB26-0004 Product # DKS0004 ទីប60(8.5) CHIP MONG </t>
  </si>
  <si>
    <t xml:space="preserve">ICS: PB # KSPB26-0004 Product # DKS0006 ទីប42(8.5) CHIP MONG </t>
  </si>
  <si>
    <t xml:space="preserve">ICS: PB # KSPB26-0004 Product # DKS0007 ទីប34(8.5) CHIP MONG </t>
  </si>
  <si>
    <t xml:space="preserve">ICS: PB # KSPB26-0004 Product # DKS0008 ទីប27(8.5) CHIP MONG </t>
  </si>
  <si>
    <t xml:space="preserve">ICS: PB # KSPB26-0004 Product # DKS0009 ទីប21(8.5) CHIP MONG </t>
  </si>
  <si>
    <t xml:space="preserve">ICS: PB # KSPB26-0004 Product # DKS0011 ទីប80(8.5) ECO PIPE </t>
  </si>
  <si>
    <t xml:space="preserve">ICS: PB # KSPB26-0004 Product # DKS0016 ទីប34(8.5) ECO PIPE </t>
  </si>
  <si>
    <t xml:space="preserve">ICS: PB # KSPB26-0004 Product # DKS0018 ទីប21(8.5) ECO PIPE </t>
  </si>
  <si>
    <t xml:space="preserve">ICS: PB # KSPB26-0004 Product # DKS0020 ទីប80(5.0) ECO PIPE </t>
  </si>
  <si>
    <t xml:space="preserve">ICS: PB # KSPB26-0004 Product # DKS0025 ទីប34(5.0) ECO PIPE </t>
  </si>
  <si>
    <t xml:space="preserve">ICS: PB # KSPB26-0004 Product # DKS0029 តេ100 CHIP MONG </t>
  </si>
  <si>
    <t xml:space="preserve">ICS: PB # KSPB26-0004 Product # DKS0030 កែង80 CHIP MONG </t>
  </si>
  <si>
    <t xml:space="preserve">ICS: PB # KSPB26-0004 Product # DKS0032 សុង80 CHIP MONG </t>
  </si>
  <si>
    <t xml:space="preserve">ICS: PB # KSPB26-0004 Product # DKS0033 តេ80 CHIP MONG </t>
  </si>
  <si>
    <t>KSPB26-0005</t>
  </si>
  <si>
    <t>ICS: PB # KSPB26-0005</t>
  </si>
  <si>
    <t xml:space="preserve">ICS: PB # KSPB26-0005 Product # DKS0034 កែង60 CHIP MONG </t>
  </si>
  <si>
    <t xml:space="preserve">ICS: PB # KSPB26-0005 Product # DKS0037 តេ60 CHIP MONG </t>
  </si>
  <si>
    <t xml:space="preserve">ICS: PB # KSPB26-0005 Product # DKS0038 កែង49 CHIP MONG </t>
  </si>
  <si>
    <t xml:space="preserve">ICS: PB # KSPB26-0005 Product # DKS0039 ដឺមី49 CHIP MONG </t>
  </si>
  <si>
    <t xml:space="preserve">ICS: PB # KSPB26-0005 Product # DKS0040 សុង49 CHIP MONG </t>
  </si>
  <si>
    <t xml:space="preserve">ICS: PB # KSPB26-0005 Product # DKS0041 តេ49 CHIP MONG </t>
  </si>
  <si>
    <t xml:space="preserve">ICS: PB # KSPB26-0005 Product # DKS0042 កែង34 CHIP MONG </t>
  </si>
  <si>
    <t xml:space="preserve">ICS: PB # KSPB26-0005 Product # DKS0044 សុង34 CHIP MONG </t>
  </si>
  <si>
    <t xml:space="preserve">ICS: PB # KSPB26-0005 Product # DKS0045 តេ34 CHIP MONG </t>
  </si>
  <si>
    <t xml:space="preserve">ICS: PB # KSPB26-0005 Product # DKS0046 កែង27 CHIP MONG </t>
  </si>
  <si>
    <t xml:space="preserve">ICS: PB # KSPB26-0005 Product # DKS0048 សុង27 CHIP MONG </t>
  </si>
  <si>
    <t xml:space="preserve">ICS: PB # KSPB26-0005 Product # DKS0049 តេ27 CHIP MONG </t>
  </si>
  <si>
    <t xml:space="preserve">ICS: PB # KSPB26-0005 Product # DKS0050 កែង21 CHIP MONG </t>
  </si>
  <si>
    <t xml:space="preserve">ICS: PB # KSPB26-0005 Product # DKS0051 តេ100*80 CHIP MONG </t>
  </si>
  <si>
    <t>KSPB26-0006</t>
  </si>
  <si>
    <t>ICS: PB # KSPB26-0006</t>
  </si>
  <si>
    <t xml:space="preserve">ICS: PB # KSPB26-0006 Product # DKS0052 តេ80*60 CHIP MONG </t>
  </si>
  <si>
    <t xml:space="preserve">ICS: PB # KSPB26-0006 Product # DKS0053 តេ60*49 CHIP MONG </t>
  </si>
  <si>
    <t xml:space="preserve">ICS: PB # KSPB26-0006 Product # DKS0054 ដំណរ100*80 CHIP MONG </t>
  </si>
  <si>
    <t xml:space="preserve">ICS: PB # KSPB26-0006 Product # DKS0056 ដំណរ60*49 CHIP MONG </t>
  </si>
  <si>
    <t xml:space="preserve">ICS: PB # KSPB26-0006 Product # DKS0061 តេអ៊ីការិច100*60 CHIP MONG </t>
  </si>
  <si>
    <t xml:space="preserve">ICS: PB # KSPB26-0006 Product # DKS0063 តេអ៊ីការិច80*49 CHIP MONG </t>
  </si>
  <si>
    <t xml:space="preserve">ICS: PB # KSPB26-0006 Product # DKS0064 គំរប100 CHIP MONG </t>
  </si>
  <si>
    <t xml:space="preserve">ICS: PB # KSPB26-0006 Product # DKS0066 គំរប49 CHIP MONG </t>
  </si>
  <si>
    <t xml:space="preserve">ICS: PB # KSPB26-0006 Product # DKS0068 សុងធ្មេញក្រៅ49 CHIP MONG </t>
  </si>
  <si>
    <t xml:space="preserve">ICS: PB # KSPB26-0006 Product # DKS0069 សុងធ្មេញក្រៅ34 CHIP MONG </t>
  </si>
  <si>
    <t xml:space="preserve">ICS: PB # KSPB26-0006 Product # DKS0070 សុងធ្មេញក្រៅ27 CHIP MONG </t>
  </si>
  <si>
    <t xml:space="preserve">ICS: PB # KSPB26-0006 Product # DKS0071 សុងធ្មេញក្រៅ21 CHIP MONG </t>
  </si>
  <si>
    <t xml:space="preserve">ICS: PB # KSPB26-0006 Product # DKS0073 សុងធ្មេញក្នុង34 CHIP MONG </t>
  </si>
  <si>
    <t xml:space="preserve">ICS: PB # KSPB26-0006 Product # DKS0074 សុងធ្មេញក្នុង27 CHIP MONG </t>
  </si>
  <si>
    <t>KSPB26-0007</t>
  </si>
  <si>
    <t>ICS: PB # KSPB26-0007</t>
  </si>
  <si>
    <t xml:space="preserve">ICS: PB # KSPB26-0007 Product # DKS0075 សុងធ្មេញក្នុង21 CHIP MONG </t>
  </si>
  <si>
    <t>Unit/2.9m</t>
  </si>
  <si>
    <t xml:space="preserve">ICS: PB # KSPB26-0007 Product # DKS0076 ទុយោសកខ្សែភ្លើង 34 CHIP MONG </t>
  </si>
  <si>
    <t>Coil/50m</t>
  </si>
  <si>
    <t xml:space="preserve">ICS: PB # KSPB26-0007 Product # DKS0077 ហ្គេនខ្សែភ្លើង​ 34 CHIP MONG </t>
  </si>
  <si>
    <t xml:space="preserve">ICS: PB # KSPB26-0007 Product # DKS0079 ហ្គេនខ្សែភ្លើង​ 21 CHIP MONG </t>
  </si>
  <si>
    <t xml:space="preserve">ICS: PB # KSPB26-0007 Product # DKS0090 ជើងអំពូល ព្យូរស China </t>
  </si>
  <si>
    <t xml:space="preserve">ICS: PB # KSPB26-0007 Product # DKS0092 ទុយោសកខ្សែភ្លើង 21 CHIP MONG </t>
  </si>
  <si>
    <t xml:space="preserve">ICS: PB # KSPB26-0007 Product # DKS0094 ក្រចាប់លេខ 20 CHIP MONG </t>
  </si>
  <si>
    <t xml:space="preserve">ICS: PB # KSPB26-0007 Product # DKS0096 ជើងអំពូល ជាប់ជញ្ជាំង China </t>
  </si>
  <si>
    <t xml:space="preserve">ICS: PB # KSPB26-0007 Product # DKS0097 កុងតាក់ជាប់ជញ្ជាំង China </t>
  </si>
  <si>
    <t xml:space="preserve">ICS: PB # KSPB26-0007 Product # DKS0099 ជើងអំពូល ព្យូរខ្មៅ China </t>
  </si>
  <si>
    <t xml:space="preserve">ICS: PB # KSPB26-0007 Product # DKS0103 ផ្លែស្វានបេតុង 6l PL </t>
  </si>
  <si>
    <t xml:space="preserve">ICS: PB # KSPB26-0007 Product # DKS0105 ផ្លែស្វានបេតុង 10l PL </t>
  </si>
  <si>
    <t xml:space="preserve">ICS: PB # KSPB26-0007 Product # DKS0108 ក្បាលស្វាន 13l PL </t>
  </si>
  <si>
    <t xml:space="preserve">ICS: PB # KSPB26-0007 Product # DKS0112 ញញូលមុខក្រឡា 0.5kg PL </t>
  </si>
  <si>
    <t>KSPB26-0008</t>
  </si>
  <si>
    <t>ICS: PB # KSPB26-0008</t>
  </si>
  <si>
    <t xml:space="preserve">ICS: PB # KSPB26-0008 Product # DKS0131 ច្រាស់ជ័រស្ពាន់ PL </t>
  </si>
  <si>
    <t xml:space="preserve">ICS: PB # KSPB26-0008 Product # DKS0136 ផ្លែកាំបិត PL </t>
  </si>
  <si>
    <t xml:space="preserve">ICS: PB # KSPB26-0008 Product # DKS0142 ថ្មរឆាប តឹក PL </t>
  </si>
  <si>
    <t xml:space="preserve">ICS: PB # KSPB26-0008 Product # DKS0144 ប៉ុងខាត់ PL </t>
  </si>
  <si>
    <t xml:space="preserve">ICS: PB # KSPB26-0008 Product # DKS0145 ផ្លែខាត់ល្អ PL </t>
  </si>
  <si>
    <t xml:space="preserve">ICS: PB # KSPB26-0008 Product # DKS0146 ក្រដាស់ខាត់ p40,p60.. PL </t>
  </si>
  <si>
    <t>Pair</t>
  </si>
  <si>
    <t xml:space="preserve">ICS: PB # KSPB26-0008 Product # DKS0150 ស្រោមដៃអំបោះ PL </t>
  </si>
  <si>
    <t xml:space="preserve">ថ្នាំលាបគ្បឿង 0.9l U-9០ </t>
  </si>
  <si>
    <t xml:space="preserve">ICS: PB # KSPB26-0008 Product # DKS0153 ថ្នាំលាបគ្បឿង 0.9l U-9០ </t>
  </si>
  <si>
    <t xml:space="preserve">ថ្នាំប្រេងលាបដែក 250ml U-9០ </t>
  </si>
  <si>
    <t xml:space="preserve">ICS: PB # KSPB26-0008 Product # DKS0156 ថ្នាំប្រេងលាបដែក 250ml U-9០ </t>
  </si>
  <si>
    <t xml:space="preserve">ថ្នាំទ្រនាប់លាបឈើ 17l U-9០ </t>
  </si>
  <si>
    <t xml:space="preserve">ICS: PB # KSPB26-0008 Product # DKS0158 ថ្នាំទ្រនាប់លាបឈើ 17l U-9០ </t>
  </si>
  <si>
    <t xml:space="preserve">ថ្នាំលាបច្រេះក្រហម 3.5l U-9០ </t>
  </si>
  <si>
    <t>Case/4can</t>
  </si>
  <si>
    <t xml:space="preserve">ICS: PB # KSPB26-0008 Product # DKS0160 ថ្នាំលាបច្រេះក្រហម 3.5l U-9០ </t>
  </si>
  <si>
    <t xml:space="preserve">ថ្នាំលាបច្រេះប្រផះ 3.5l U-9០ </t>
  </si>
  <si>
    <t xml:space="preserve">ICS: PB # KSPB26-0008 Product # DKS0163 ថ្នាំលាបច្រេះប្រផះ 3.5l U-9០ </t>
  </si>
  <si>
    <t xml:space="preserve">ថ្នាំទឹកមាសលាយទឹក 3.5l U-9០ </t>
  </si>
  <si>
    <t xml:space="preserve">ICS: PB # KSPB26-0008 Product # DKS0165 ថ្នាំទឹកមាសលាយទឹក 3.5l U-9០ </t>
  </si>
  <si>
    <t xml:space="preserve">ICS: PB # KSPB26-0008 Product # DKS0167 រឡូរុញថ្នាំ​ 15cm PL </t>
  </si>
  <si>
    <t>KSPB26-0009</t>
  </si>
  <si>
    <t>ICS: PB # KSPB26-0009</t>
  </si>
  <si>
    <t xml:space="preserve">ICS: PB # KSPB26-0009 Product # DKS0168 រឡូរុញថ្នាំ​ 23cm PL </t>
  </si>
  <si>
    <t xml:space="preserve">ICS: PB # KSPB26-0009 Product # DKS0169 រឡូរុញថ្នាំ​ 10cm PL </t>
  </si>
  <si>
    <t xml:space="preserve">ICS: PB # KSPB26-0009 Product # DKS0170 រឡូរុញថ្នាំ​ 6cm PL </t>
  </si>
  <si>
    <t xml:space="preserve">ICS: PB # KSPB26-0009 Product # DKS0172 ជក់លាបថ្នាំ 1" PL </t>
  </si>
  <si>
    <t xml:space="preserve">ICS: PB # KSPB26-0009 Product # DKS0174 ជក់លាបថ្នាំ 3'' PL </t>
  </si>
  <si>
    <t xml:space="preserve">ICS: PB # KSPB26-0009 Product # DKS0181 ដែកសរសៃ​ 6L CHIP MONG </t>
  </si>
  <si>
    <t xml:space="preserve">ICS: PB # KSPB26-0009 Product # DKS0182 ដែកសរសៃ​ 8L CHIP MONG </t>
  </si>
  <si>
    <t xml:space="preserve">ICS: PB # KSPB26-0009 Product # DKS0183 ដែកសរសៃ​ 10L CHIP MONG </t>
  </si>
  <si>
    <t xml:space="preserve">ICS: PB # KSPB26-0009 Product # DKS0184 ដែកសរសៃ​ 12L CHIP MONG </t>
  </si>
  <si>
    <t xml:space="preserve">ICS: PB # KSPB26-0009 Product # DKS0185 ដែកសរសៃ​ 14L CHIP MONG </t>
  </si>
  <si>
    <t xml:space="preserve">ICS: PB # KSPB26-0009 Product # DKS0187 ដែកជ្រុង 25*25(1.2) CHIP MONG </t>
  </si>
  <si>
    <t xml:space="preserve">ICS: PB # KSPB26-0009 Product # DKS0189 ដែកជ្រុង 30*30(1.2) CHIP MONG </t>
  </si>
  <si>
    <t xml:space="preserve">ICS: PB # KSPB26-0009 Product # DKS0192 ដែកជ្រុង 40*40(1.5) CHIP MONG </t>
  </si>
  <si>
    <t xml:space="preserve">ICS: PB # KSPB26-0009 Product # DKS0195 ដែកជ្រុង 30*60(1.2) CHIP MONG </t>
  </si>
  <si>
    <t xml:space="preserve">ICS: PB # KSPB26-0009 Product # DKS0198 ដែកជ្រុង 50*100(1.1) CHIP MONG </t>
  </si>
  <si>
    <t>Tax INV Code</t>
  </si>
  <si>
    <t>Amount</t>
  </si>
  <si>
    <t>SFQ26-000001</t>
  </si>
  <si>
    <t>ST00001.ភូមិដំរីឆ្លង ឃុំសង្វើយ ស្រុកជីក្រែង ខេត្តសៀមរាប</t>
  </si>
  <si>
    <t>0887766554</t>
  </si>
  <si>
    <t/>
  </si>
  <si>
    <t>001.ហឿត ចន្ត្រា (HOEURT CHANTRA)</t>
  </si>
  <si>
    <t>SFQ26-000002</t>
  </si>
  <si>
    <t>ព្រុំ សុភា (Prom Sophea)</t>
  </si>
  <si>
    <t>004.ចាន់ត្រា</t>
  </si>
  <si>
    <t>DKS0003</t>
  </si>
  <si>
    <t xml:space="preserve">ទីប75(8.5) CHIP MONG </t>
  </si>
  <si>
    <t>product_photo</t>
  </si>
  <si>
    <t>src</t>
  </si>
  <si>
    <t>public</t>
  </si>
  <si>
    <t>SFQ26-000003</t>
  </si>
  <si>
    <t>យ៉ែម មុនីរ័ត្ន (YEM Monyrath)</t>
  </si>
  <si>
    <t>013.Other Income</t>
  </si>
  <si>
    <t>ST00009.Vengsreng Street, Phnom Penh</t>
  </si>
  <si>
    <t>016778899</t>
  </si>
  <si>
    <t>010.សុខ សម្បត្តិ</t>
  </si>
  <si>
    <t>SFQ26-000004</t>
  </si>
  <si>
    <t>សុខ សុភ័គ្រ (SOK Sopheak)</t>
  </si>
  <si>
    <t>011.ធី ណារិទ្ធ</t>
  </si>
  <si>
    <t>invoice_code</t>
  </si>
  <si>
    <t>Exchange Rate ID</t>
  </si>
  <si>
    <t>26OR-000001</t>
  </si>
  <si>
    <t>receive_payment</t>
  </si>
  <si>
    <t>amount_due_other</t>
  </si>
  <si>
    <t>amount_paid_us</t>
  </si>
  <si>
    <t>amount_paid_other</t>
  </si>
  <si>
    <t>កែប្រែ</t>
  </si>
  <si>
    <t>ks_system</t>
  </si>
  <si>
    <t>Project Folder</t>
  </si>
  <si>
    <t>KSINV26-0085</t>
  </si>
  <si>
    <t>CI2026-0282</t>
  </si>
  <si>
    <t>ICS: INV # CI2026-0282</t>
  </si>
  <si>
    <t xml:space="preserve">ICS: Inventory for INV # CI2026-0282 Product # DKS0187 ដែកជ្រុង 25*25(1.2) CHIP MONG </t>
  </si>
  <si>
    <t xml:space="preserve">ICS: COGS for INV # CI2026-0282 Product # DKS0187 ដែកជ្រុង 25*25(1.2) CHIP MONG </t>
  </si>
  <si>
    <t xml:space="preserve">ICS: INV # CI2026-0282 Product # DKS0187 ដែកជ្រុង 25*25(1.2) CHIP MONG </t>
  </si>
  <si>
    <t xml:space="preserve">ICS: Inventory for INV # CI2026-0282 Product # DKS0193 ដែកជ្រុង 20*40(1.2) CHIP MONG </t>
  </si>
  <si>
    <t xml:space="preserve">ICS: COGS for INV # CI2026-0282 Product # DKS0193 ដែកជ្រុង 20*40(1.2) CHIP MONG </t>
  </si>
  <si>
    <t xml:space="preserve">ICS: INV # CI2026-0282 Product # DKS0193 ដែកជ្រុង 20*40(1.2) CHIP MONG </t>
  </si>
  <si>
    <t>DKS0235</t>
  </si>
  <si>
    <t xml:space="preserve">ដែកជ្រុង 75*75 1.2L CHIP MONG </t>
  </si>
  <si>
    <t>070.Unit/6m</t>
  </si>
  <si>
    <t xml:space="preserve">ICS: Inventory for INV # CI2026-0282 Product # DKS0235 ដែកជ្រុង 75*75 1.2L CHIP MONG </t>
  </si>
  <si>
    <t xml:space="preserve">ICS: COGS for INV # CI2026-0282 Product # DKS0235 ដែកជ្រុង 75*75 1.2L CHIP MONG </t>
  </si>
  <si>
    <t xml:space="preserve">ICS: INV # CI2026-0282 Product # DKS0235 ដែកជ្រុង 75*75 1.2L CHIP MONG </t>
  </si>
  <si>
    <t xml:space="preserve">ICS: Inventory for INV # CI2026-0282 Product # DKS0178 ស៊ីម៉ង អូដ្ធ CHIP MONG </t>
  </si>
  <si>
    <t xml:space="preserve">ICS: COGS for INV # CI2026-0282 Product # DKS0178 ស៊ីម៉ង អូដ្ធ CHIP MONG </t>
  </si>
  <si>
    <t xml:space="preserve">ICS: INV # CI2026-0282 Product # DKS0178 ស៊ីម៉ង អូដ្ធ CHIP MONG </t>
  </si>
  <si>
    <t>DKS0241</t>
  </si>
  <si>
    <t xml:space="preserve">លួសចំណង CHIP MONG </t>
  </si>
  <si>
    <t xml:space="preserve">ICS: Inventory for INV # CI2026-0282 Product # DKS0241 លួសចំណង CHIP MONG </t>
  </si>
  <si>
    <t xml:space="preserve">ICS: COGS for INV # CI2026-0282 Product # DKS0241 លួសចំណង CHIP MONG </t>
  </si>
  <si>
    <t xml:space="preserve">ICS: INV # CI2026-0282 Product # DKS0241 លួសចំណង CHIP MONG </t>
  </si>
  <si>
    <t>DKS0287</t>
  </si>
  <si>
    <t xml:space="preserve">កាយ៉េ 12x12 General  </t>
  </si>
  <si>
    <t>055.kham</t>
  </si>
  <si>
    <t xml:space="preserve">ICS: Inventory for INV # CI2026-0282 Product # DKS0287 កាយ៉េ 12x12 General  </t>
  </si>
  <si>
    <t xml:space="preserve">ICS: COGS for INV # CI2026-0282 Product # DKS0287 កាយ៉េ 12x12 General  </t>
  </si>
  <si>
    <t xml:space="preserve">ICS: INV # CI2026-0282 Product # DKS0287 កាយ៉េ 12x12 General  </t>
  </si>
  <si>
    <t>4027</t>
  </si>
  <si>
    <t>CI2026-0283</t>
  </si>
  <si>
    <t>ICS: INV # CI2026-0283</t>
  </si>
  <si>
    <t xml:space="preserve">ICS: Inventory for INV # CI2026-0283 Product # DKS0177 ស៊ីម៉ង ខន CHIP MONG </t>
  </si>
  <si>
    <t xml:space="preserve">ICS: COGS for INV # CI2026-0283 Product # DKS0177 ស៊ីម៉ង ខន CHIP MONG </t>
  </si>
  <si>
    <t xml:space="preserve">ICS: INV # CI2026-0283 Product # DKS0177 ស៊ីម៉ង ខន CHIP MONG </t>
  </si>
  <si>
    <t>DKS0298</t>
  </si>
  <si>
    <t xml:space="preserve">ស៊ីម៉ង់កាវ General  </t>
  </si>
  <si>
    <t>056.Be/20kg</t>
  </si>
  <si>
    <t xml:space="preserve">ICS: Inventory for INV # CI2026-0283 Product # DKS0298 ស៊ីម៉ង់កាវ General  </t>
  </si>
  <si>
    <t xml:space="preserve">ICS: COGS for INV # CI2026-0283 Product # DKS0298 ស៊ីម៉ង់កាវ General  </t>
  </si>
  <si>
    <t xml:space="preserve">ICS: INV # CI2026-0283 Product # DKS0298 ស៊ីម៉ង់កាវ General  </t>
  </si>
  <si>
    <t>CI2026-0284</t>
  </si>
  <si>
    <t>ICS: INV # CI2026-0284</t>
  </si>
  <si>
    <t>DKS0295</t>
  </si>
  <si>
    <t xml:space="preserve">ថ្មធំ General  </t>
  </si>
  <si>
    <t>020.m3</t>
  </si>
  <si>
    <t xml:space="preserve">ICS: Inventory for INV # CI2026-0284 Product # DKS0295 ថ្មធំ General  </t>
  </si>
  <si>
    <t xml:space="preserve">ICS: COGS for INV # CI2026-0284 Product # DKS0295 ថ្មធំ General  </t>
  </si>
  <si>
    <t xml:space="preserve">ICS: INV # CI2026-0284 Product # DKS0295 ថ្មធំ General  </t>
  </si>
  <si>
    <t xml:space="preserve">ICS: Inventory for INV # CI2026-0284 Product # DKS0177 ស៊ីម៉ង ខន CHIP MONG </t>
  </si>
  <si>
    <t xml:space="preserve">ICS: COGS for INV # CI2026-0284 Product # DKS0177 ស៊ីម៉ង ខន CHIP MONG </t>
  </si>
  <si>
    <t xml:space="preserve">ICS: INV # CI2026-0284 Product # DKS0177 ស៊ីម៉ង ខន CHIP MONG </t>
  </si>
  <si>
    <t>CI2026-0285</t>
  </si>
  <si>
    <t>ICS: INV # CI2026-0285</t>
  </si>
  <si>
    <t>DKS0327</t>
  </si>
  <si>
    <t xml:space="preserve">ទ្វាបន្ទប់ទឹក​ ល្អ General  </t>
  </si>
  <si>
    <t xml:space="preserve">ICS: Inventory for INV # CI2026-0285 Product # DKS0327 ទ្វាបន្ទប់ទឹក​ ល្អ General  </t>
  </si>
  <si>
    <t xml:space="preserve">ICS: COGS for INV # CI2026-0285 Product # DKS0327 ទ្វាបន្ទប់ទឹក​ ល្អ General  </t>
  </si>
  <si>
    <t xml:space="preserve">ICS: INV # CI2026-0285 Product # DKS0327 ទ្វាបន្ទប់ទឹក​ ល្អ General  </t>
  </si>
  <si>
    <t>DKS0213</t>
  </si>
  <si>
    <t xml:space="preserve">ត្រចៀកទ្វារ លេខ1 L P </t>
  </si>
  <si>
    <t xml:space="preserve">ICS: Inventory for INV # CI2026-0285 Product # DKS0213 ត្រចៀកទ្វារ លេខ1 L P </t>
  </si>
  <si>
    <t xml:space="preserve">ICS: COGS for INV # CI2026-0285 Product # DKS0213 ត្រចៀកទ្វារ លេខ1 L P </t>
  </si>
  <si>
    <t xml:space="preserve">ICS: INV # CI2026-0285 Product # DKS0213 ត្រចៀកទ្វារ លេខ1 L P </t>
  </si>
  <si>
    <t>DKS0228</t>
  </si>
  <si>
    <t xml:space="preserve">វីសបាញ់ដែក 5H China </t>
  </si>
  <si>
    <t xml:space="preserve">ICS: Inventory for INV # CI2026-0285 Product # DKS0228 វីសបាញ់ដែក 5H China </t>
  </si>
  <si>
    <t xml:space="preserve">ICS: COGS for INV # CI2026-0285 Product # DKS0228 វីសបាញ់ដែក 5H China </t>
  </si>
  <si>
    <t xml:space="preserve">ICS: INV # CI2026-0285 Product # DKS0228 វីសបាញ់ដែក 5H China </t>
  </si>
  <si>
    <t>KSINV26-0086</t>
  </si>
  <si>
    <t>CI2026-0286</t>
  </si>
  <si>
    <t>ICS: INV # CI2026-0286</t>
  </si>
  <si>
    <t xml:space="preserve">ICS: Inventory for INV # CI2026-0286 Product # DKS0195 ដែកជ្រុង 30*60(1.2) CHIP MONG </t>
  </si>
  <si>
    <t xml:space="preserve">ICS: COGS for INV # CI2026-0286 Product # DKS0195 ដែកជ្រុង 30*60(1.2) CHIP MONG </t>
  </si>
  <si>
    <t xml:space="preserve">ICS: INV # CI2026-0286 Product # DKS0195 ដែកជ្រុង 30*60(1.2) CHIP MONG </t>
  </si>
  <si>
    <t xml:space="preserve">ICS: Inventory for INV # CI2026-0286 Product # DKS0187 ដែកជ្រុង 25*25(1.2) CHIP MONG </t>
  </si>
  <si>
    <t xml:space="preserve">ICS: COGS for INV # CI2026-0286 Product # DKS0187 ដែកជ្រុង 25*25(1.2) CHIP MONG </t>
  </si>
  <si>
    <t xml:space="preserve">ICS: INV # CI2026-0286 Product # DKS0187 ដែកជ្រុង 25*25(1.2) CHIP MONG </t>
  </si>
  <si>
    <t xml:space="preserve">ICS: Inventory for INV # CI2026-0286 Product # DKS0197 ដែកជ្រុង 40*80(1.2) CHIP MONG </t>
  </si>
  <si>
    <t xml:space="preserve">ICS: COGS for INV # CI2026-0286 Product # DKS0197 ដែកជ្រុង 40*80(1.2) CHIP MONG </t>
  </si>
  <si>
    <t xml:space="preserve">ICS: INV # CI2026-0286 Product # DKS0197 ដែកជ្រុង 40*80(1.2) CHIP MONG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</si>
</sst>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£&quot;#,##0.00"/>
    <numFmt numFmtId="165" formatCode="_(* #,##0_);_(* \(#,##0\);_(* &quot;-&quot;??_);_(@_)"/>
    <numFmt numFmtId="166" formatCode="00000"/>
    <numFmt numFmtId="167" formatCode="[$-12000425]0"/>
    <numFmt numFmtId="168" formatCode="_-[$R-46C]\ * #,##0_-;\-[$R-46C]\ * #,##0_-;_-[$R-46C]\ * &quot;-&quot;??_-;_-@_-"/>
    <numFmt numFmtId="169" formatCode="dd/mm/yyyy\ hh:mm:ss"/>
    <numFmt numFmtId="170" formatCode="0.000000000"/>
    <numFmt numFmtId="171" formatCode="dd/mm/yyyy\ h:mm:ss"/>
    <numFmt numFmtId="172" formatCode="#,##0.000000000"/>
  </numFmts>
  <fonts count="8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Khmer OS Muol Light"/>
    </font>
    <font>
      <sz val="10"/>
      <color theme="1"/>
      <name val="Calibri"/>
      <family val="2"/>
      <scheme val="minor"/>
    </font>
    <font>
      <sz val="10"/>
      <color theme="1"/>
      <name val="Khmer OS Battambang"/>
    </font>
    <font>
      <b/>
      <sz val="11"/>
      <color theme="1"/>
      <name val="Khmer OS Battambang"/>
    </font>
    <font>
      <sz val="11"/>
      <color theme="1"/>
      <name val="Khmer OS Battambang"/>
    </font>
    <font>
      <sz val="11"/>
      <color theme="1"/>
      <name val="Khmer OS Siemreap"/>
    </font>
    <font>
      <sz val="10"/>
      <color theme="1"/>
      <name val="Khmer OS Siemreap"/>
    </font>
    <font>
      <b/>
      <sz val="11"/>
      <color theme="1"/>
      <name val="Khmer OS Siemreap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Khmer OS Siemreap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Khmer OS Siemreap"/>
    </font>
    <font>
      <sz val="11"/>
      <name val="Calibri"/>
      <family val="2"/>
      <scheme val="minor"/>
    </font>
    <font>
      <sz val="10"/>
      <name val="Khmer OS Battambang"/>
    </font>
    <font>
      <b/>
      <sz val="12"/>
      <color theme="1"/>
      <name val="Khmer OS Siemreap"/>
    </font>
    <font>
      <sz val="14"/>
      <color theme="1"/>
      <name val="IDAHC39M Code 39 Barcode"/>
      <family val="1"/>
      <charset val="2"/>
    </font>
    <font>
      <b/>
      <sz val="14"/>
      <color theme="1"/>
      <name val="Calibri"/>
      <family val="2"/>
      <scheme val="minor"/>
    </font>
    <font>
      <sz val="10"/>
      <name val="Khmer OS Siemreap"/>
    </font>
    <font>
      <b/>
      <sz val="12"/>
      <color theme="1"/>
      <name val="Calibri"/>
      <family val="2"/>
      <scheme val="minor"/>
    </font>
    <font>
      <sz val="9"/>
      <color theme="1"/>
      <name val="Khmer OS Battambang"/>
    </font>
    <font>
      <sz val="22"/>
      <color rgb="FF0070C0"/>
      <name val="Calibri"/>
      <family val="2"/>
      <scheme val="minor"/>
    </font>
    <font>
      <sz val="12"/>
      <color theme="1"/>
      <name val="!Khmer OS System"/>
    </font>
    <font>
      <sz val="11"/>
      <name val="!Khmer OS System"/>
    </font>
    <font>
      <sz val="12"/>
      <name val="!Khmer OS System"/>
    </font>
    <font>
      <sz val="26"/>
      <color rgb="FF0070C0"/>
      <name val="Khmer OS Muol Light"/>
    </font>
    <font>
      <i/>
      <sz val="10"/>
      <color theme="1"/>
      <name val="Khmer OS Battambang"/>
    </font>
    <font>
      <i/>
      <sz val="11"/>
      <color theme="1"/>
      <name val="Khmer OS Siemreap"/>
    </font>
    <font>
      <sz val="8"/>
      <name val="Calibri"/>
      <family val="2"/>
      <scheme val="minor"/>
    </font>
    <font>
      <sz val="11"/>
      <color theme="1"/>
      <name val="Khmer OS Content"/>
    </font>
    <font>
      <sz val="11"/>
      <color theme="1"/>
      <name val="Roboto"/>
    </font>
    <font>
      <sz val="9"/>
      <color theme="1"/>
      <name val="Calibri"/>
      <family val="2"/>
      <scheme val="minor"/>
    </font>
    <font>
      <sz val="11"/>
      <color theme="1"/>
      <name val="Content"/>
    </font>
    <font>
      <sz val="10"/>
      <color theme="1"/>
      <name val="Content"/>
    </font>
    <font>
      <sz val="10"/>
      <color theme="1"/>
      <name val="Roboto"/>
    </font>
    <font>
      <sz val="12"/>
      <color theme="1"/>
      <name val="Content"/>
    </font>
    <font>
      <sz val="12"/>
      <color theme="1"/>
      <name val="Roboto"/>
    </font>
    <font>
      <sz val="11"/>
      <color theme="0"/>
      <name val="Roboto"/>
    </font>
    <font>
      <sz val="11"/>
      <color rgb="FFFF0000"/>
      <name val="Roboto"/>
    </font>
    <font>
      <sz val="11"/>
      <color theme="1"/>
      <name val="Roboto Medium"/>
    </font>
    <font>
      <sz val="11"/>
      <color rgb="FF003399"/>
      <name val="Roboto"/>
    </font>
    <font>
      <sz val="12"/>
      <color theme="1"/>
      <name val="Khmer OS Battambang"/>
    </font>
    <font>
      <sz val="24"/>
      <color rgb="FF0066CC"/>
      <name val="Moul"/>
    </font>
    <font>
      <sz val="18"/>
      <color rgb="FF0066CC"/>
      <name val="Roboto"/>
    </font>
    <font>
      <sz val="20"/>
      <color rgb="FF0066CC"/>
      <name val="Khmer OS Moul Light"/>
    </font>
    <font>
      <sz val="14"/>
      <color theme="1"/>
      <name val="Roboto"/>
    </font>
    <font>
      <sz val="10"/>
      <color rgb="FF0070C0"/>
      <name val="Roboto"/>
    </font>
    <font>
      <sz val="18"/>
      <color theme="1"/>
      <name val="Moul"/>
    </font>
    <font>
      <sz val="12"/>
      <color rgb="FF0070C0"/>
      <name val="Content"/>
    </font>
    <font>
      <sz val="18"/>
      <color theme="1"/>
      <name val="Khmer OS Battambang"/>
    </font>
    <font>
      <sz val="16"/>
      <color theme="1"/>
      <name val="Roboto Medium"/>
    </font>
    <font>
      <sz val="10"/>
      <color rgb="FF0070C0"/>
      <name val="Content"/>
    </font>
    <font>
      <sz val="14"/>
      <color rgb="FF0070C0"/>
      <name val="Content"/>
    </font>
    <font>
      <sz val="22"/>
      <color rgb="FF0070C0"/>
      <name val="Khmer Muol"/>
    </font>
    <font>
      <sz val="12"/>
      <color indexed="8"/>
      <name val="Khmer OS Battambang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14"/>
      <color theme="1"/>
      <name val="Khmer OS Battambang"/>
    </font>
    <font>
      <sz val="11"/>
      <color rgb="FF0066CC"/>
      <name val="Calibri"/>
      <family val="2"/>
      <scheme val="minor"/>
    </font>
    <font>
      <sz val="28"/>
      <color rgb="FF0070C0"/>
      <name val="Roboto Medium"/>
    </font>
    <font>
      <sz val="22"/>
      <color rgb="FF0066CC"/>
      <name val="Kh Muol"/>
    </font>
    <font>
      <sz val="24"/>
      <color rgb="FF0066CC"/>
      <name val="Roboto Medium"/>
    </font>
    <font>
      <sz val="26"/>
      <color rgb="FF0070C0"/>
      <name val="Roboto Medium"/>
    </font>
    <font>
      <sz val="24"/>
      <color rgb="FF0070C0"/>
      <name val="Roboto Medium"/>
    </font>
    <font>
      <sz val="14"/>
      <color rgb="FF0066CC"/>
      <name val="Kh Muol"/>
    </font>
    <font>
      <sz val="14"/>
      <color rgb="FF0066CC"/>
      <name val="Roboto Medium"/>
    </font>
    <font>
      <sz val="20"/>
      <color rgb="FF0066CC"/>
      <name val="Kh Muol"/>
    </font>
    <font>
      <sz val="12"/>
      <color rgb="FF0066CC"/>
      <name val="Content"/>
    </font>
    <font>
      <sz val="10"/>
      <color rgb="FF0066CC"/>
      <name val="Roboto"/>
    </font>
    <font>
      <sz val="11"/>
      <color rgb="FF0066CC"/>
      <name val="Content"/>
    </font>
    <font>
      <sz val="11"/>
      <color rgb="FF0066CC"/>
      <name val="Roboto"/>
    </font>
    <font>
      <sz val="28"/>
      <color rgb="FF0066CC"/>
      <name val="Roboto Medium"/>
    </font>
    <font>
      <sz val="12"/>
      <color rgb="FF0066CC"/>
      <name val="Roboto"/>
    </font>
    <font>
      <sz val="14"/>
      <color rgb="FF0066CC"/>
      <name val="Roboto"/>
    </font>
    <font>
      <sz val="12"/>
      <color rgb="FF0066CC"/>
      <name val="Khmer OS Battambang"/>
    </font>
    <font>
      <sz val="12"/>
      <color rgb="FF0066CC"/>
      <name val="Roboto Medium"/>
    </font>
    <font>
      <sz val="12"/>
      <color rgb="FF0066CC"/>
      <name val="Roboto "/>
    </font>
    <font>
      <sz val="26"/>
      <color rgb="FF0066CC"/>
      <name val="Roboto Medium"/>
    </font>
    <font>
      <u/>
      <sz val="14"/>
      <color rgb="FF0066CC"/>
      <name val="Roboto"/>
    </font>
    <font>
      <u/>
      <sz val="14"/>
      <color rgb="FF0066CC"/>
      <name val="Roboto Medium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F6FB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/>
      <bottom style="thin">
        <color theme="4" tint="0.59999389629810485"/>
      </bottom>
      <diagonal/>
    </border>
    <border>
      <left/>
      <right/>
      <top/>
      <bottom style="medium">
        <color theme="4" tint="0.7999816888943144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4" tint="0.59999389629810485"/>
      </left>
      <right style="thin">
        <color theme="4" tint="0.59999389629810485"/>
      </right>
      <top style="medium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 style="medium">
        <color theme="4" tint="0.59999389629810485"/>
      </top>
      <bottom/>
      <diagonal/>
    </border>
    <border>
      <left style="medium">
        <color theme="4" tint="0.59999389629810485"/>
      </left>
      <right style="thin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37" fillId="0" borderId="0"/>
    <xf numFmtId="43" fontId="37" fillId="0" borderId="0" applyFont="0" applyFill="0" applyBorder="0" applyAlignment="0" applyProtection="0"/>
  </cellStyleXfs>
  <cellXfs count="516">
    <xf numFmtId="0" fontId="0" fillId="0" borderId="0" xfId="0"/>
    <xf numFmtId="1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5" fillId="0" borderId="0" xfId="0" applyFont="1"/>
    <xf numFmtId="0" fontId="8" fillId="0" borderId="0" xfId="0" applyFont="1"/>
    <xf numFmtId="1" fontId="8" fillId="0" borderId="0" xfId="0" applyNumberFormat="1" applyFont="1"/>
    <xf numFmtId="0" fontId="8" fillId="0" borderId="5" xfId="0" applyFont="1" applyBorder="1" applyAlignment="1">
      <alignment horizontal="right"/>
    </xf>
    <xf numFmtId="0" fontId="8" fillId="0" borderId="0" xfId="0" applyFont="1" applyAlignment="1">
      <alignment horizontal="center"/>
    </xf>
    <xf numFmtId="0" fontId="4" fillId="0" borderId="0" xfId="0" applyFont="1"/>
    <xf numFmtId="9" fontId="4" fillId="0" borderId="0" xfId="2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2" fillId="0" borderId="0" xfId="1" applyFill="1"/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8" fillId="0" borderId="6" xfId="0" applyFont="1" applyBorder="1"/>
    <xf numFmtId="0" fontId="8" fillId="0" borderId="13" xfId="0" applyFont="1" applyBorder="1"/>
    <xf numFmtId="0" fontId="8" fillId="0" borderId="5" xfId="0" applyFont="1" applyBorder="1"/>
    <xf numFmtId="0" fontId="8" fillId="0" borderId="3" xfId="0" applyFont="1" applyBorder="1"/>
    <xf numFmtId="0" fontId="0" fillId="0" borderId="2" xfId="0" applyBorder="1"/>
    <xf numFmtId="0" fontId="0" fillId="0" borderId="12" xfId="0" applyBorder="1"/>
    <xf numFmtId="0" fontId="0" fillId="0" borderId="13" xfId="0" applyBorder="1"/>
    <xf numFmtId="0" fontId="4" fillId="0" borderId="2" xfId="0" applyFont="1" applyBorder="1" applyAlignment="1">
      <alignment horizontal="center"/>
    </xf>
    <xf numFmtId="0" fontId="8" fillId="0" borderId="2" xfId="0" applyFont="1" applyBorder="1" applyAlignment="1">
      <alignment horizontal="right"/>
    </xf>
    <xf numFmtId="0" fontId="4" fillId="0" borderId="5" xfId="0" applyFont="1" applyBorder="1" applyAlignment="1">
      <alignment horizontal="center"/>
    </xf>
    <xf numFmtId="0" fontId="9" fillId="0" borderId="3" xfId="0" applyFont="1" applyBorder="1"/>
    <xf numFmtId="0" fontId="8" fillId="0" borderId="15" xfId="0" applyFont="1" applyBorder="1"/>
    <xf numFmtId="14" fontId="1" fillId="3" borderId="3" xfId="0" applyNumberFormat="1" applyFont="1" applyFill="1" applyBorder="1" applyAlignment="1" applyProtection="1">
      <alignment vertical="center"/>
      <protection locked="0"/>
    </xf>
    <xf numFmtId="14" fontId="1" fillId="3" borderId="3" xfId="0" applyNumberFormat="1" applyFont="1" applyFill="1" applyBorder="1" applyAlignment="1" applyProtection="1">
      <alignment horizontal="center" vertical="center"/>
      <protection locked="0"/>
    </xf>
    <xf numFmtId="1" fontId="1" fillId="3" borderId="10" xfId="0" applyNumberFormat="1" applyFont="1" applyFill="1" applyBorder="1" applyAlignment="1" applyProtection="1">
      <alignment horizontal="center" vertical="center"/>
      <protection locked="0"/>
    </xf>
    <xf numFmtId="0" fontId="1" fillId="3" borderId="10" xfId="0" applyFont="1" applyFill="1" applyBorder="1" applyAlignment="1" applyProtection="1">
      <alignment horizontal="center" vertical="center"/>
      <protection locked="0"/>
    </xf>
    <xf numFmtId="164" fontId="1" fillId="3" borderId="10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8" xfId="0" applyFont="1" applyBorder="1" applyAlignment="1">
      <alignment horizontal="center"/>
    </xf>
    <xf numFmtId="0" fontId="8" fillId="0" borderId="8" xfId="0" applyFont="1" applyBorder="1"/>
    <xf numFmtId="0" fontId="0" fillId="0" borderId="0" xfId="0" applyAlignment="1">
      <alignment wrapText="1"/>
    </xf>
    <xf numFmtId="0" fontId="8" fillId="0" borderId="15" xfId="0" applyFont="1" applyBorder="1" applyAlignment="1">
      <alignment vertical="center"/>
    </xf>
    <xf numFmtId="0" fontId="2" fillId="0" borderId="0" xfId="1" applyFill="1" applyBorder="1"/>
    <xf numFmtId="0" fontId="19" fillId="0" borderId="0" xfId="0" applyFont="1"/>
    <xf numFmtId="0" fontId="19" fillId="0" borderId="0" xfId="0" applyFont="1" applyAlignment="1">
      <alignment horizontal="right"/>
    </xf>
    <xf numFmtId="166" fontId="19" fillId="0" borderId="0" xfId="0" applyNumberFormat="1" applyFont="1" applyAlignment="1">
      <alignment horizontal="center" vertical="center"/>
    </xf>
    <xf numFmtId="0" fontId="20" fillId="0" borderId="0" xfId="0" applyFont="1"/>
    <xf numFmtId="0" fontId="19" fillId="0" borderId="0" xfId="0" applyFont="1" applyAlignment="1">
      <alignment vertical="center"/>
    </xf>
    <xf numFmtId="0" fontId="19" fillId="0" borderId="0" xfId="0" applyFont="1" applyAlignment="1">
      <alignment wrapText="1"/>
    </xf>
    <xf numFmtId="1" fontId="4" fillId="0" borderId="0" xfId="3" applyNumberFormat="1" applyFont="1" applyFill="1" applyBorder="1" applyAlignment="1">
      <alignment horizontal="left"/>
    </xf>
    <xf numFmtId="0" fontId="8" fillId="0" borderId="15" xfId="0" quotePrefix="1" applyFont="1" applyBorder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17" fillId="0" borderId="0" xfId="0" applyFont="1"/>
    <xf numFmtId="0" fontId="0" fillId="0" borderId="5" xfId="0" applyBorder="1"/>
    <xf numFmtId="0" fontId="3" fillId="0" borderId="5" xfId="0" applyFont="1" applyBorder="1" applyAlignment="1">
      <alignment horizontal="center" vertical="center"/>
    </xf>
    <xf numFmtId="1" fontId="0" fillId="0" borderId="5" xfId="0" applyNumberFormat="1" applyBorder="1"/>
    <xf numFmtId="0" fontId="16" fillId="0" borderId="5" xfId="0" applyFont="1" applyBorder="1" applyAlignment="1">
      <alignment horizontal="right" vertical="center"/>
    </xf>
    <xf numFmtId="0" fontId="11" fillId="0" borderId="0" xfId="0" applyFont="1"/>
    <xf numFmtId="0" fontId="14" fillId="0" borderId="0" xfId="0" applyFont="1" applyAlignment="1">
      <alignment horizontal="center" vertical="center"/>
    </xf>
    <xf numFmtId="1" fontId="11" fillId="0" borderId="0" xfId="0" applyNumberFormat="1" applyFont="1"/>
    <xf numFmtId="0" fontId="11" fillId="0" borderId="3" xfId="0" applyFont="1" applyBorder="1" applyAlignment="1">
      <alignment horizontal="right" vertical="top" indent="1"/>
    </xf>
    <xf numFmtId="0" fontId="11" fillId="0" borderId="4" xfId="0" applyFont="1" applyBorder="1" applyAlignment="1">
      <alignment horizontal="right" vertical="top" indent="1"/>
    </xf>
    <xf numFmtId="14" fontId="11" fillId="0" borderId="6" xfId="0" applyNumberFormat="1" applyFont="1" applyBorder="1" applyAlignment="1">
      <alignment horizontal="center" vertical="center"/>
    </xf>
    <xf numFmtId="0" fontId="13" fillId="0" borderId="0" xfId="0" applyFont="1" applyAlignment="1">
      <alignment horizontal="right"/>
    </xf>
    <xf numFmtId="0" fontId="10" fillId="0" borderId="1" xfId="0" applyFont="1" applyBorder="1" applyAlignment="1">
      <alignment horizontal="left"/>
    </xf>
    <xf numFmtId="0" fontId="13" fillId="0" borderId="2" xfId="0" applyFont="1" applyBorder="1" applyAlignment="1">
      <alignment horizontal="right"/>
    </xf>
    <xf numFmtId="0" fontId="8" fillId="0" borderId="0" xfId="0" applyFont="1" applyAlignment="1">
      <alignment horizontal="right"/>
    </xf>
    <xf numFmtId="0" fontId="18" fillId="0" borderId="0" xfId="0" applyFont="1" applyAlignment="1">
      <alignment horizontal="right"/>
    </xf>
    <xf numFmtId="0" fontId="18" fillId="0" borderId="0" xfId="0" applyFont="1" applyAlignment="1">
      <alignment horizontal="center"/>
    </xf>
    <xf numFmtId="0" fontId="9" fillId="0" borderId="0" xfId="0" applyFont="1"/>
    <xf numFmtId="0" fontId="10" fillId="0" borderId="0" xfId="0" applyFont="1"/>
    <xf numFmtId="0" fontId="5" fillId="0" borderId="0" xfId="0" applyFon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0" fontId="7" fillId="0" borderId="0" xfId="0" applyFont="1"/>
    <xf numFmtId="0" fontId="6" fillId="0" borderId="0" xfId="0" applyFont="1"/>
    <xf numFmtId="0" fontId="1" fillId="3" borderId="10" xfId="0" applyFont="1" applyFill="1" applyBorder="1" applyAlignment="1">
      <alignment horizontal="center" vertical="center"/>
    </xf>
    <xf numFmtId="0" fontId="4" fillId="0" borderId="2" xfId="0" applyFont="1" applyBorder="1"/>
    <xf numFmtId="0" fontId="4" fillId="0" borderId="0" xfId="0" applyFont="1" applyAlignment="1">
      <alignment horizontal="center"/>
    </xf>
    <xf numFmtId="0" fontId="4" fillId="0" borderId="5" xfId="0" applyFont="1" applyBorder="1"/>
    <xf numFmtId="0" fontId="4" fillId="0" borderId="7" xfId="0" applyFont="1" applyBorder="1"/>
    <xf numFmtId="0" fontId="4" fillId="0" borderId="8" xfId="0" applyFont="1" applyBorder="1"/>
    <xf numFmtId="0" fontId="0" fillId="0" borderId="8" xfId="0" applyBorder="1"/>
    <xf numFmtId="0" fontId="0" fillId="0" borderId="9" xfId="0" applyBorder="1"/>
    <xf numFmtId="0" fontId="4" fillId="0" borderId="1" xfId="0" applyFont="1" applyBorder="1"/>
    <xf numFmtId="0" fontId="4" fillId="0" borderId="4" xfId="0" applyFont="1" applyBorder="1"/>
    <xf numFmtId="14" fontId="11" fillId="0" borderId="13" xfId="0" applyNumberFormat="1" applyFont="1" applyBorder="1" applyAlignment="1">
      <alignment horizontal="center" vertical="center"/>
    </xf>
    <xf numFmtId="0" fontId="16" fillId="0" borderId="0" xfId="0" applyFont="1"/>
    <xf numFmtId="0" fontId="11" fillId="0" borderId="0" xfId="0" applyFont="1" applyAlignment="1">
      <alignment vertical="center"/>
    </xf>
    <xf numFmtId="0" fontId="2" fillId="0" borderId="0" xfId="1" applyAlignment="1" applyProtection="1">
      <alignment vertical="top"/>
      <protection locked="0"/>
    </xf>
    <xf numFmtId="0" fontId="2" fillId="0" borderId="0" xfId="1" applyAlignment="1" applyProtection="1">
      <alignment vertical="center"/>
      <protection locked="0"/>
    </xf>
    <xf numFmtId="14" fontId="8" fillId="0" borderId="17" xfId="0" applyNumberFormat="1" applyFont="1" applyBorder="1" applyAlignment="1" applyProtection="1">
      <alignment horizontal="center" vertical="center" wrapText="1"/>
      <protection locked="0"/>
    </xf>
    <xf numFmtId="1" fontId="8" fillId="0" borderId="17" xfId="0" applyNumberFormat="1" applyFont="1" applyBorder="1" applyAlignment="1" applyProtection="1">
      <alignment horizontal="center" vertical="center" wrapText="1"/>
      <protection locked="0"/>
    </xf>
    <xf numFmtId="2" fontId="8" fillId="0" borderId="17" xfId="0" applyNumberFormat="1" applyFont="1" applyBorder="1" applyAlignment="1" applyProtection="1">
      <alignment horizontal="center" vertical="center" wrapText="1"/>
      <protection locked="0"/>
    </xf>
    <xf numFmtId="43" fontId="8" fillId="0" borderId="17" xfId="3" applyFont="1" applyBorder="1" applyAlignment="1" applyProtection="1">
      <alignment horizontal="center" vertical="center"/>
      <protection locked="0"/>
    </xf>
    <xf numFmtId="2" fontId="8" fillId="0" borderId="17" xfId="0" applyNumberFormat="1" applyFont="1" applyBorder="1" applyAlignment="1" applyProtection="1">
      <alignment horizontal="right" vertical="center" wrapText="1"/>
      <protection locked="0"/>
    </xf>
    <xf numFmtId="9" fontId="8" fillId="0" borderId="17" xfId="0" applyNumberFormat="1" applyFont="1" applyBorder="1" applyAlignment="1" applyProtection="1">
      <alignment horizontal="center" wrapText="1"/>
      <protection locked="0"/>
    </xf>
    <xf numFmtId="1" fontId="8" fillId="0" borderId="17" xfId="0" applyNumberFormat="1" applyFont="1" applyBorder="1" applyAlignment="1" applyProtection="1">
      <alignment wrapText="1"/>
      <protection locked="0"/>
    </xf>
    <xf numFmtId="2" fontId="8" fillId="0" borderId="17" xfId="0" applyNumberFormat="1" applyFont="1" applyBorder="1" applyAlignment="1" applyProtection="1">
      <alignment horizontal="right" wrapText="1"/>
      <protection locked="0"/>
    </xf>
    <xf numFmtId="14" fontId="8" fillId="0" borderId="17" xfId="0" applyNumberFormat="1" applyFont="1" applyBorder="1" applyAlignment="1" applyProtection="1">
      <alignment horizontal="center" wrapText="1"/>
      <protection locked="0"/>
    </xf>
    <xf numFmtId="14" fontId="1" fillId="3" borderId="0" xfId="0" applyNumberFormat="1" applyFont="1" applyFill="1" applyAlignment="1" applyProtection="1">
      <alignment vertical="center"/>
      <protection locked="0"/>
    </xf>
    <xf numFmtId="0" fontId="8" fillId="0" borderId="18" xfId="0" applyFont="1" applyBorder="1" applyAlignment="1">
      <alignment horizontal="center" vertical="center" wrapText="1"/>
    </xf>
    <xf numFmtId="165" fontId="8" fillId="0" borderId="19" xfId="3" applyNumberFormat="1" applyFont="1" applyBorder="1" applyAlignment="1" applyProtection="1">
      <alignment horizontal="center" vertical="center" wrapText="1"/>
    </xf>
    <xf numFmtId="165" fontId="8" fillId="0" borderId="19" xfId="3" applyNumberFormat="1" applyFont="1" applyBorder="1" applyAlignment="1" applyProtection="1">
      <alignment horizontal="center" wrapText="1"/>
    </xf>
    <xf numFmtId="0" fontId="8" fillId="0" borderId="20" xfId="0" applyFont="1" applyBorder="1" applyAlignment="1">
      <alignment horizontal="center" wrapText="1"/>
    </xf>
    <xf numFmtId="14" fontId="8" fillId="0" borderId="21" xfId="0" applyNumberFormat="1" applyFont="1" applyBorder="1" applyAlignment="1" applyProtection="1">
      <alignment horizontal="center" wrapText="1"/>
      <protection locked="0"/>
    </xf>
    <xf numFmtId="1" fontId="8" fillId="0" borderId="21" xfId="0" applyNumberFormat="1" applyFont="1" applyBorder="1" applyAlignment="1" applyProtection="1">
      <alignment wrapText="1"/>
      <protection locked="0"/>
    </xf>
    <xf numFmtId="2" fontId="8" fillId="0" borderId="21" xfId="0" applyNumberFormat="1" applyFont="1" applyBorder="1" applyAlignment="1" applyProtection="1">
      <alignment horizontal="right" wrapText="1"/>
      <protection locked="0"/>
    </xf>
    <xf numFmtId="2" fontId="8" fillId="0" borderId="21" xfId="0" applyNumberFormat="1" applyFont="1" applyBorder="1" applyAlignment="1" applyProtection="1">
      <alignment horizontal="center" wrapText="1"/>
      <protection locked="0"/>
    </xf>
    <xf numFmtId="165" fontId="8" fillId="0" borderId="22" xfId="3" applyNumberFormat="1" applyFont="1" applyBorder="1" applyAlignment="1" applyProtection="1">
      <alignment horizontal="center" wrapText="1"/>
    </xf>
    <xf numFmtId="0" fontId="7" fillId="0" borderId="1" xfId="0" applyFont="1" applyBorder="1" applyAlignment="1">
      <alignment horizontal="right" vertical="center"/>
    </xf>
    <xf numFmtId="0" fontId="7" fillId="0" borderId="3" xfId="0" applyFont="1" applyBorder="1" applyAlignment="1">
      <alignment horizontal="right" vertic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7" fillId="0" borderId="15" xfId="0" applyFont="1" applyBorder="1" applyAlignment="1">
      <alignment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vertical="center"/>
    </xf>
    <xf numFmtId="0" fontId="6" fillId="3" borderId="2" xfId="0" applyFont="1" applyFill="1" applyBorder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 wrapText="1"/>
    </xf>
    <xf numFmtId="0" fontId="7" fillId="0" borderId="2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5" xfId="0" applyFont="1" applyBorder="1" applyAlignment="1">
      <alignment horizontal="right"/>
    </xf>
    <xf numFmtId="0" fontId="5" fillId="0" borderId="3" xfId="0" applyFont="1" applyBorder="1"/>
    <xf numFmtId="0" fontId="18" fillId="0" borderId="0" xfId="0" applyFont="1"/>
    <xf numFmtId="165" fontId="8" fillId="0" borderId="19" xfId="3" applyNumberFormat="1" applyFont="1" applyBorder="1" applyAlignment="1" applyProtection="1">
      <alignment horizontal="center" vertical="center"/>
    </xf>
    <xf numFmtId="0" fontId="10" fillId="0" borderId="18" xfId="0" applyFont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29" fillId="0" borderId="5" xfId="0" applyFont="1" applyBorder="1" applyAlignment="1">
      <alignment vertical="center"/>
    </xf>
    <xf numFmtId="0" fontId="0" fillId="0" borderId="3" xfId="0" applyBorder="1" applyAlignment="1">
      <alignment horizontal="right" vertical="top" indent="1"/>
    </xf>
    <xf numFmtId="0" fontId="0" fillId="0" borderId="4" xfId="0" applyBorder="1" applyAlignment="1">
      <alignment horizontal="right" vertical="top" indent="1"/>
    </xf>
    <xf numFmtId="0" fontId="36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6" fillId="0" borderId="0" xfId="0" applyFont="1" applyAlignment="1">
      <alignment horizontal="left" vertical="center"/>
    </xf>
    <xf numFmtId="0" fontId="38" fillId="0" borderId="0" xfId="0" applyFont="1"/>
    <xf numFmtId="0" fontId="36" fillId="0" borderId="0" xfId="0" applyFont="1"/>
    <xf numFmtId="0" fontId="38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16" fillId="0" borderId="0" xfId="0" applyFont="1" applyAlignment="1">
      <alignment horizontal="center" vertical="center"/>
    </xf>
    <xf numFmtId="49" fontId="35" fillId="0" borderId="0" xfId="0" applyNumberFormat="1" applyFont="1" applyAlignment="1">
      <alignment horizontal="left" vertical="center"/>
    </xf>
    <xf numFmtId="49" fontId="0" fillId="0" borderId="0" xfId="0" applyNumberFormat="1"/>
    <xf numFmtId="0" fontId="7" fillId="0" borderId="0" xfId="0" applyFont="1" applyAlignment="1">
      <alignment horizontal="left"/>
    </xf>
    <xf numFmtId="0" fontId="44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36" fillId="0" borderId="0" xfId="0" applyNumberFormat="1" applyFont="1" applyAlignment="1">
      <alignment horizontal="center" vertical="center"/>
    </xf>
    <xf numFmtId="49" fontId="38" fillId="0" borderId="0" xfId="0" applyNumberFormat="1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9" fillId="0" borderId="0" xfId="0" applyFont="1" applyAlignment="1">
      <alignment vertical="center"/>
    </xf>
    <xf numFmtId="0" fontId="50" fillId="0" borderId="0" xfId="0" applyFont="1"/>
    <xf numFmtId="0" fontId="45" fillId="0" borderId="0" xfId="0" applyFont="1" applyAlignment="1">
      <alignment horizontal="center" vertical="center"/>
    </xf>
    <xf numFmtId="14" fontId="0" fillId="0" borderId="0" xfId="0" applyNumberFormat="1"/>
    <xf numFmtId="0" fontId="52" fillId="5" borderId="3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54" fillId="5" borderId="30" xfId="0" applyFont="1" applyFill="1" applyBorder="1" applyAlignment="1">
      <alignment horizontal="center" vertical="center"/>
    </xf>
    <xf numFmtId="49" fontId="7" fillId="0" borderId="0" xfId="0" applyNumberFormat="1" applyFont="1" applyAlignment="1">
      <alignment horizontal="left" vertical="center" wrapText="1"/>
    </xf>
    <xf numFmtId="0" fontId="42" fillId="0" borderId="28" xfId="0" applyFont="1" applyBorder="1" applyAlignment="1">
      <alignment horizontal="center" vertical="center"/>
    </xf>
    <xf numFmtId="49" fontId="42" fillId="0" borderId="28" xfId="0" applyNumberFormat="1" applyFont="1" applyBorder="1" applyAlignment="1">
      <alignment horizontal="center" vertical="center"/>
    </xf>
    <xf numFmtId="14" fontId="42" fillId="0" borderId="28" xfId="0" applyNumberFormat="1" applyFont="1" applyBorder="1" applyAlignment="1">
      <alignment horizontal="center" vertical="center"/>
    </xf>
    <xf numFmtId="49" fontId="47" fillId="0" borderId="28" xfId="0" applyNumberFormat="1" applyFont="1" applyBorder="1" applyAlignment="1">
      <alignment horizontal="left" vertical="center" wrapText="1"/>
    </xf>
    <xf numFmtId="49" fontId="47" fillId="0" borderId="28" xfId="0" applyNumberFormat="1" applyFont="1" applyBorder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47" fillId="0" borderId="0" xfId="0" applyFont="1" applyAlignment="1">
      <alignment horizontal="right" vertical="center"/>
    </xf>
    <xf numFmtId="14" fontId="0" fillId="0" borderId="0" xfId="0" applyNumberFormat="1" applyAlignment="1">
      <alignment horizontal="center" vertical="center"/>
    </xf>
    <xf numFmtId="14" fontId="36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0" fillId="0" borderId="0" xfId="0" applyNumberFormat="1"/>
    <xf numFmtId="169" fontId="36" fillId="0" borderId="0" xfId="0" applyNumberFormat="1" applyFont="1" applyAlignment="1">
      <alignment horizontal="center" vertical="center"/>
    </xf>
    <xf numFmtId="49" fontId="56" fillId="0" borderId="0" xfId="0" applyNumberFormat="1" applyFont="1" applyAlignment="1">
      <alignment vertical="center"/>
    </xf>
    <xf numFmtId="14" fontId="42" fillId="0" borderId="0" xfId="0" applyNumberFormat="1" applyFont="1" applyAlignment="1">
      <alignment horizontal="center" vertical="center"/>
    </xf>
    <xf numFmtId="0" fontId="60" fillId="0" borderId="0" xfId="0" applyFont="1" applyAlignment="1">
      <alignment horizontal="center" vertical="center"/>
    </xf>
    <xf numFmtId="49" fontId="38" fillId="0" borderId="0" xfId="0" applyNumberFormat="1" applyFont="1" applyAlignment="1">
      <alignment horizontal="left" vertical="center"/>
    </xf>
    <xf numFmtId="0" fontId="36" fillId="0" borderId="0" xfId="0" applyFont="1" applyAlignment="1">
      <alignment horizontal="left"/>
    </xf>
    <xf numFmtId="0" fontId="36" fillId="2" borderId="0" xfId="0" applyFont="1" applyFill="1" applyAlignment="1">
      <alignment horizontal="center" vertical="center"/>
    </xf>
    <xf numFmtId="0" fontId="38" fillId="2" borderId="0" xfId="0" applyFont="1" applyFill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0" fontId="42" fillId="0" borderId="33" xfId="0" applyFont="1" applyBorder="1" applyAlignment="1">
      <alignment horizontal="center" vertical="center"/>
    </xf>
    <xf numFmtId="14" fontId="36" fillId="0" borderId="33" xfId="0" applyNumberFormat="1" applyFont="1" applyBorder="1" applyAlignment="1">
      <alignment horizontal="center" vertical="center"/>
    </xf>
    <xf numFmtId="0" fontId="51" fillId="0" borderId="33" xfId="0" applyFont="1" applyBorder="1" applyAlignment="1">
      <alignment horizontal="center" vertical="center"/>
    </xf>
    <xf numFmtId="49" fontId="36" fillId="0" borderId="33" xfId="0" applyNumberFormat="1" applyFont="1" applyBorder="1" applyAlignment="1">
      <alignment horizontal="center" vertical="center"/>
    </xf>
    <xf numFmtId="0" fontId="58" fillId="0" borderId="0" xfId="0" applyFont="1" applyAlignment="1">
      <alignment vertical="center"/>
    </xf>
    <xf numFmtId="49" fontId="38" fillId="0" borderId="33" xfId="0" applyNumberFormat="1" applyFont="1" applyBorder="1" applyAlignment="1">
      <alignment horizontal="center" vertical="center"/>
    </xf>
    <xf numFmtId="0" fontId="59" fillId="0" borderId="0" xfId="0" applyFont="1" applyAlignment="1">
      <alignment vertical="top"/>
    </xf>
    <xf numFmtId="0" fontId="42" fillId="2" borderId="28" xfId="0" applyFont="1" applyFill="1" applyBorder="1" applyAlignment="1">
      <alignment horizontal="center" vertical="center"/>
    </xf>
    <xf numFmtId="49" fontId="47" fillId="2" borderId="28" xfId="0" applyNumberFormat="1" applyFont="1" applyFill="1" applyBorder="1" applyAlignment="1">
      <alignment horizontal="center" vertical="center"/>
    </xf>
    <xf numFmtId="49" fontId="42" fillId="2" borderId="28" xfId="0" applyNumberFormat="1" applyFont="1" applyFill="1" applyBorder="1" applyAlignment="1">
      <alignment horizontal="center" vertical="center"/>
    </xf>
    <xf numFmtId="14" fontId="42" fillId="2" borderId="28" xfId="0" applyNumberFormat="1" applyFont="1" applyFill="1" applyBorder="1" applyAlignment="1">
      <alignment horizontal="center" vertical="center"/>
    </xf>
    <xf numFmtId="49" fontId="47" fillId="2" borderId="28" xfId="0" applyNumberFormat="1" applyFont="1" applyFill="1" applyBorder="1" applyAlignment="1">
      <alignment horizontal="left" vertical="center" wrapText="1"/>
    </xf>
    <xf numFmtId="0" fontId="0" fillId="2" borderId="0" xfId="0" applyFill="1" applyAlignment="1">
      <alignment horizontal="center" vertical="center"/>
    </xf>
    <xf numFmtId="169" fontId="0" fillId="0" borderId="0" xfId="0" applyNumberFormat="1" applyAlignment="1">
      <alignment horizontal="left" vertical="center"/>
    </xf>
    <xf numFmtId="0" fontId="51" fillId="0" borderId="0" xfId="0" applyFont="1" applyAlignment="1">
      <alignment horizontal="center" vertical="center"/>
    </xf>
    <xf numFmtId="0" fontId="56" fillId="0" borderId="0" xfId="0" applyFont="1" applyAlignment="1">
      <alignment vertical="center"/>
    </xf>
    <xf numFmtId="0" fontId="56" fillId="0" borderId="0" xfId="0" applyFont="1" applyAlignment="1">
      <alignment horizontal="center" vertical="center"/>
    </xf>
    <xf numFmtId="0" fontId="36" fillId="4" borderId="33" xfId="0" applyFont="1" applyFill="1" applyBorder="1" applyAlignment="1">
      <alignment horizontal="center" vertical="center"/>
    </xf>
    <xf numFmtId="0" fontId="48" fillId="0" borderId="0" xfId="0" applyFont="1"/>
    <xf numFmtId="22" fontId="0" fillId="0" borderId="0" xfId="0" applyNumberFormat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65" fillId="0" borderId="0" xfId="0" applyFont="1" applyAlignment="1">
      <alignment horizontal="center" vertical="center"/>
    </xf>
    <xf numFmtId="22" fontId="36" fillId="0" borderId="0" xfId="0" applyNumberFormat="1" applyFont="1"/>
    <xf numFmtId="170" fontId="65" fillId="0" borderId="0" xfId="0" applyNumberFormat="1" applyFon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2" fontId="47" fillId="0" borderId="0" xfId="0" applyNumberFormat="1" applyFont="1" applyAlignment="1">
      <alignment horizontal="right" vertical="center" wrapText="1"/>
    </xf>
    <xf numFmtId="2" fontId="58" fillId="0" borderId="0" xfId="0" applyNumberFormat="1" applyFont="1" applyAlignment="1">
      <alignment horizontal="right" vertical="center"/>
    </xf>
    <xf numFmtId="0" fontId="38" fillId="0" borderId="33" xfId="0" applyFont="1" applyBorder="1" applyAlignment="1">
      <alignment horizontal="center" vertical="center"/>
    </xf>
    <xf numFmtId="170" fontId="0" fillId="0" borderId="0" xfId="0" applyNumberFormat="1"/>
    <xf numFmtId="2" fontId="36" fillId="0" borderId="0" xfId="0" applyNumberFormat="1" applyFont="1" applyAlignment="1">
      <alignment horizontal="center" vertical="center"/>
    </xf>
    <xf numFmtId="0" fontId="51" fillId="0" borderId="29" xfId="0" applyFont="1" applyBorder="1" applyAlignment="1">
      <alignment horizontal="center" vertical="center"/>
    </xf>
    <xf numFmtId="170" fontId="36" fillId="0" borderId="0" xfId="0" applyNumberFormat="1" applyFont="1" applyAlignment="1">
      <alignment horizontal="center" vertical="center"/>
    </xf>
    <xf numFmtId="170" fontId="36" fillId="2" borderId="0" xfId="0" applyNumberFormat="1" applyFont="1" applyFill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7" fillId="0" borderId="0" xfId="0" applyNumberFormat="1" applyFont="1"/>
    <xf numFmtId="22" fontId="7" fillId="0" borderId="0" xfId="0" applyNumberFormat="1" applyFont="1"/>
    <xf numFmtId="14" fontId="7" fillId="0" borderId="0" xfId="0" applyNumberFormat="1" applyFont="1" applyAlignment="1">
      <alignment horizontal="left"/>
    </xf>
    <xf numFmtId="14" fontId="7" fillId="0" borderId="0" xfId="0" applyNumberFormat="1" applyFont="1"/>
    <xf numFmtId="14" fontId="0" fillId="0" borderId="0" xfId="0" applyNumberFormat="1" applyAlignment="1">
      <alignment horizontal="left" vertical="center"/>
    </xf>
    <xf numFmtId="0" fontId="7" fillId="0" borderId="0" xfId="0" applyFont="1" applyAlignment="1">
      <alignment horizontal="center"/>
    </xf>
    <xf numFmtId="14" fontId="7" fillId="0" borderId="0" xfId="0" applyNumberFormat="1" applyFont="1" applyAlignment="1">
      <alignment horizontal="center"/>
    </xf>
    <xf numFmtId="4" fontId="7" fillId="0" borderId="0" xfId="0" applyNumberFormat="1" applyFont="1" applyAlignment="1">
      <alignment horizontal="center"/>
    </xf>
    <xf numFmtId="0" fontId="66" fillId="0" borderId="0" xfId="0" applyFont="1" applyAlignment="1">
      <alignment horizontal="centerContinuous" vertical="center"/>
    </xf>
    <xf numFmtId="4" fontId="36" fillId="0" borderId="0" xfId="0" applyNumberFormat="1" applyFont="1" applyAlignment="1">
      <alignment horizontal="center" vertical="center"/>
    </xf>
    <xf numFmtId="0" fontId="64" fillId="0" borderId="0" xfId="0" applyFont="1" applyAlignment="1">
      <alignment horizontal="centerContinuous" vertical="center"/>
    </xf>
    <xf numFmtId="0" fontId="58" fillId="0" borderId="0" xfId="0" applyFont="1" applyAlignment="1">
      <alignment horizontal="centerContinuous" vertical="center"/>
    </xf>
    <xf numFmtId="2" fontId="58" fillId="0" borderId="0" xfId="0" applyNumberFormat="1" applyFont="1" applyAlignment="1">
      <alignment horizontal="centerContinuous" vertical="center"/>
    </xf>
    <xf numFmtId="0" fontId="59" fillId="0" borderId="0" xfId="0" applyFont="1" applyAlignment="1">
      <alignment horizontal="centerContinuous" vertical="center"/>
    </xf>
    <xf numFmtId="2" fontId="59" fillId="0" borderId="0" xfId="0" applyNumberFormat="1" applyFont="1" applyAlignment="1">
      <alignment horizontal="centerContinuous" vertical="center"/>
    </xf>
    <xf numFmtId="0" fontId="59" fillId="0" borderId="0" xfId="0" applyFont="1" applyAlignment="1">
      <alignment horizontal="centerContinuous" vertical="center" wrapText="1"/>
    </xf>
    <xf numFmtId="2" fontId="51" fillId="0" borderId="29" xfId="0" applyNumberFormat="1" applyFont="1" applyBorder="1" applyAlignment="1">
      <alignment horizontal="center" vertical="center"/>
    </xf>
    <xf numFmtId="14" fontId="7" fillId="0" borderId="0" xfId="0" applyNumberFormat="1" applyFont="1" applyAlignment="1">
      <alignment horizontal="left" vertical="center"/>
    </xf>
    <xf numFmtId="14" fontId="56" fillId="0" borderId="0" xfId="0" applyNumberFormat="1" applyFont="1" applyAlignment="1">
      <alignment vertical="center"/>
    </xf>
    <xf numFmtId="19" fontId="36" fillId="0" borderId="0" xfId="0" applyNumberFormat="1" applyFont="1" applyAlignment="1">
      <alignment horizontal="center" vertical="center"/>
    </xf>
    <xf numFmtId="14" fontId="44" fillId="0" borderId="0" xfId="0" applyNumberFormat="1" applyFont="1" applyAlignment="1">
      <alignment horizontal="center" vertical="center"/>
    </xf>
    <xf numFmtId="0" fontId="67" fillId="0" borderId="0" xfId="0" applyFont="1" applyAlignment="1">
      <alignment horizontal="centerContinuous"/>
    </xf>
    <xf numFmtId="0" fontId="68" fillId="0" borderId="0" xfId="0" applyFont="1" applyAlignment="1">
      <alignment horizontal="centerContinuous" vertical="center"/>
    </xf>
    <xf numFmtId="0" fontId="0" fillId="0" borderId="0" xfId="0" applyAlignment="1">
      <alignment horizontal="centerContinuous" vertical="center"/>
    </xf>
    <xf numFmtId="0" fontId="0" fillId="0" borderId="0" xfId="0" applyAlignment="1">
      <alignment horizontal="centerContinuous"/>
    </xf>
    <xf numFmtId="170" fontId="0" fillId="0" borderId="0" xfId="0" applyNumberFormat="1" applyAlignment="1">
      <alignment horizontal="centerContinuous"/>
    </xf>
    <xf numFmtId="22" fontId="36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Continuous" vertical="center"/>
    </xf>
    <xf numFmtId="170" fontId="0" fillId="0" borderId="0" xfId="0" applyNumberFormat="1" applyAlignment="1">
      <alignment horizontal="centerContinuous" vertical="center"/>
    </xf>
    <xf numFmtId="0" fontId="70" fillId="0" borderId="0" xfId="0" applyFont="1" applyAlignment="1">
      <alignment horizontal="centerContinuous" vertical="center"/>
    </xf>
    <xf numFmtId="0" fontId="36" fillId="0" borderId="0" xfId="0" applyFont="1" applyAlignment="1">
      <alignment horizontal="centerContinuous" vertical="center"/>
    </xf>
    <xf numFmtId="14" fontId="36" fillId="0" borderId="0" xfId="0" applyNumberFormat="1" applyFont="1" applyAlignment="1">
      <alignment horizontal="centerContinuous" vertical="center"/>
    </xf>
    <xf numFmtId="49" fontId="36" fillId="0" borderId="0" xfId="0" applyNumberFormat="1" applyFont="1" applyAlignment="1">
      <alignment horizontal="centerContinuous" vertical="center"/>
    </xf>
    <xf numFmtId="0" fontId="7" fillId="0" borderId="0" xfId="0" applyFont="1" applyAlignment="1">
      <alignment horizontal="centerContinuous" vertical="center"/>
    </xf>
    <xf numFmtId="2" fontId="36" fillId="0" borderId="0" xfId="0" applyNumberFormat="1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3" fillId="0" borderId="0" xfId="0" applyFont="1" applyAlignment="1">
      <alignment horizontal="centerContinuous" vertical="center"/>
    </xf>
    <xf numFmtId="14" fontId="42" fillId="0" borderId="0" xfId="0" applyNumberFormat="1" applyFont="1" applyAlignment="1">
      <alignment horizontal="centerContinuous" vertical="center"/>
    </xf>
    <xf numFmtId="14" fontId="0" fillId="0" borderId="0" xfId="0" applyNumberFormat="1" applyAlignment="1">
      <alignment horizontal="centerContinuous"/>
    </xf>
    <xf numFmtId="0" fontId="38" fillId="0" borderId="0" xfId="0" applyFont="1" applyAlignment="1">
      <alignment horizontal="centerContinuous"/>
    </xf>
    <xf numFmtId="49" fontId="0" fillId="0" borderId="0" xfId="0" applyNumberFormat="1" applyAlignment="1">
      <alignment horizontal="centerContinuous"/>
    </xf>
    <xf numFmtId="0" fontId="7" fillId="0" borderId="0" xfId="0" applyFont="1" applyAlignment="1">
      <alignment horizontal="centerContinuous"/>
    </xf>
    <xf numFmtId="169" fontId="0" fillId="0" borderId="0" xfId="0" applyNumberFormat="1" applyAlignment="1">
      <alignment horizontal="centerContinuous"/>
    </xf>
    <xf numFmtId="49" fontId="38" fillId="0" borderId="0" xfId="0" applyNumberFormat="1" applyFont="1" applyAlignment="1">
      <alignment horizontal="left"/>
    </xf>
    <xf numFmtId="2" fontId="38" fillId="0" borderId="0" xfId="0" applyNumberFormat="1" applyFont="1" applyAlignment="1">
      <alignment horizontal="right" vertical="center"/>
    </xf>
    <xf numFmtId="168" fontId="36" fillId="0" borderId="0" xfId="0" applyNumberFormat="1" applyFont="1" applyAlignment="1">
      <alignment horizontal="right" vertical="center"/>
    </xf>
    <xf numFmtId="2" fontId="36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center" vertical="center" wrapText="1"/>
    </xf>
    <xf numFmtId="172" fontId="0" fillId="0" borderId="0" xfId="0" applyNumberFormat="1"/>
    <xf numFmtId="172" fontId="0" fillId="0" borderId="0" xfId="0" applyNumberFormat="1" applyAlignment="1">
      <alignment horizontal="centerContinuous"/>
    </xf>
    <xf numFmtId="172" fontId="36" fillId="0" borderId="0" xfId="0" applyNumberFormat="1" applyFont="1"/>
    <xf numFmtId="0" fontId="38" fillId="0" borderId="0" xfId="0" applyFont="1" applyAlignment="1">
      <alignment horizontal="left"/>
    </xf>
    <xf numFmtId="4" fontId="0" fillId="0" borderId="0" xfId="0" applyNumberFormat="1"/>
    <xf numFmtId="172" fontId="7" fillId="0" borderId="0" xfId="0" applyNumberFormat="1" applyFont="1" applyAlignment="1">
      <alignment horizontal="left"/>
    </xf>
    <xf numFmtId="0" fontId="73" fillId="0" borderId="0" xfId="0" applyFont="1" applyAlignment="1">
      <alignment horizontal="centerContinuous" vertical="top"/>
    </xf>
    <xf numFmtId="0" fontId="74" fillId="4" borderId="30" xfId="0" applyFont="1" applyFill="1" applyBorder="1" applyAlignment="1">
      <alignment horizontal="center" vertical="center"/>
    </xf>
    <xf numFmtId="49" fontId="74" fillId="4" borderId="30" xfId="0" applyNumberFormat="1" applyFont="1" applyFill="1" applyBorder="1" applyAlignment="1">
      <alignment horizontal="center" vertical="center"/>
    </xf>
    <xf numFmtId="14" fontId="74" fillId="4" borderId="30" xfId="0" applyNumberFormat="1" applyFont="1" applyFill="1" applyBorder="1" applyAlignment="1">
      <alignment horizontal="center" vertical="center"/>
    </xf>
    <xf numFmtId="0" fontId="75" fillId="4" borderId="31" xfId="0" applyFont="1" applyFill="1" applyBorder="1" applyAlignment="1">
      <alignment horizontal="center" vertical="center"/>
    </xf>
    <xf numFmtId="49" fontId="75" fillId="4" borderId="31" xfId="0" applyNumberFormat="1" applyFont="1" applyFill="1" applyBorder="1" applyAlignment="1">
      <alignment horizontal="center" vertical="center"/>
    </xf>
    <xf numFmtId="14" fontId="75" fillId="4" borderId="31" xfId="0" applyNumberFormat="1" applyFont="1" applyFill="1" applyBorder="1" applyAlignment="1">
      <alignment horizontal="center" vertical="center"/>
    </xf>
    <xf numFmtId="0" fontId="76" fillId="4" borderId="30" xfId="0" applyFont="1" applyFill="1" applyBorder="1" applyAlignment="1">
      <alignment horizontal="center" vertical="center"/>
    </xf>
    <xf numFmtId="49" fontId="76" fillId="4" borderId="30" xfId="0" applyNumberFormat="1" applyFont="1" applyFill="1" applyBorder="1" applyAlignment="1">
      <alignment horizontal="center" vertical="center"/>
    </xf>
    <xf numFmtId="14" fontId="76" fillId="4" borderId="30" xfId="0" applyNumberFormat="1" applyFont="1" applyFill="1" applyBorder="1" applyAlignment="1">
      <alignment horizontal="center" vertical="center"/>
    </xf>
    <xf numFmtId="49" fontId="76" fillId="4" borderId="30" xfId="0" applyNumberFormat="1" applyFont="1" applyFill="1" applyBorder="1" applyAlignment="1">
      <alignment horizontal="left" vertical="center"/>
    </xf>
    <xf numFmtId="169" fontId="76" fillId="4" borderId="30" xfId="0" applyNumberFormat="1" applyFont="1" applyFill="1" applyBorder="1" applyAlignment="1">
      <alignment horizontal="center" vertical="center"/>
    </xf>
    <xf numFmtId="49" fontId="75" fillId="4" borderId="31" xfId="0" applyNumberFormat="1" applyFont="1" applyFill="1" applyBorder="1" applyAlignment="1">
      <alignment horizontal="left" vertical="center"/>
    </xf>
    <xf numFmtId="169" fontId="75" fillId="4" borderId="31" xfId="0" applyNumberFormat="1" applyFont="1" applyFill="1" applyBorder="1" applyAlignment="1">
      <alignment horizontal="center" vertical="center"/>
    </xf>
    <xf numFmtId="0" fontId="77" fillId="4" borderId="31" xfId="0" applyFont="1" applyFill="1" applyBorder="1" applyAlignment="1">
      <alignment horizontal="center" vertical="center"/>
    </xf>
    <xf numFmtId="49" fontId="77" fillId="4" borderId="31" xfId="0" applyNumberFormat="1" applyFont="1" applyFill="1" applyBorder="1" applyAlignment="1">
      <alignment horizontal="center" vertical="center"/>
    </xf>
    <xf numFmtId="4" fontId="76" fillId="4" borderId="30" xfId="0" applyNumberFormat="1" applyFont="1" applyFill="1" applyBorder="1" applyAlignment="1">
      <alignment horizontal="center" vertical="center"/>
    </xf>
    <xf numFmtId="0" fontId="75" fillId="4" borderId="30" xfId="0" applyFont="1" applyFill="1" applyBorder="1" applyAlignment="1">
      <alignment horizontal="center" vertical="center"/>
    </xf>
    <xf numFmtId="14" fontId="77" fillId="4" borderId="31" xfId="0" applyNumberFormat="1" applyFont="1" applyFill="1" applyBorder="1" applyAlignment="1">
      <alignment horizontal="center" vertical="center"/>
    </xf>
    <xf numFmtId="4" fontId="77" fillId="4" borderId="31" xfId="0" applyNumberFormat="1" applyFont="1" applyFill="1" applyBorder="1" applyAlignment="1">
      <alignment horizontal="center" vertical="center"/>
    </xf>
    <xf numFmtId="0" fontId="78" fillId="0" borderId="0" xfId="0" applyFont="1" applyAlignment="1">
      <alignment horizontal="centerContinuous" vertical="center"/>
    </xf>
    <xf numFmtId="0" fontId="65" fillId="4" borderId="34" xfId="0" applyFont="1" applyFill="1" applyBorder="1" applyAlignment="1">
      <alignment horizontal="center"/>
    </xf>
    <xf numFmtId="0" fontId="65" fillId="4" borderId="34" xfId="0" applyFont="1" applyFill="1" applyBorder="1" applyAlignment="1">
      <alignment horizontal="center" textRotation="45"/>
    </xf>
    <xf numFmtId="170" fontId="65" fillId="4" borderId="34" xfId="0" applyNumberFormat="1" applyFont="1" applyFill="1" applyBorder="1" applyAlignment="1">
      <alignment horizontal="center"/>
    </xf>
    <xf numFmtId="0" fontId="74" fillId="4" borderId="40" xfId="0" applyFont="1" applyFill="1" applyBorder="1" applyAlignment="1">
      <alignment horizontal="center" vertical="center"/>
    </xf>
    <xf numFmtId="0" fontId="77" fillId="4" borderId="41" xfId="0" applyFont="1" applyFill="1" applyBorder="1" applyAlignment="1">
      <alignment horizontal="center" vertical="top"/>
    </xf>
    <xf numFmtId="0" fontId="77" fillId="4" borderId="39" xfId="0" applyFont="1" applyFill="1" applyBorder="1" applyAlignment="1">
      <alignment horizontal="center"/>
    </xf>
    <xf numFmtId="0" fontId="77" fillId="4" borderId="39" xfId="0" applyFont="1" applyFill="1" applyBorder="1" applyAlignment="1">
      <alignment horizontal="center" textRotation="45"/>
    </xf>
    <xf numFmtId="0" fontId="68" fillId="0" borderId="0" xfId="0" applyFont="1" applyAlignment="1">
      <alignment horizontal="centerContinuous"/>
    </xf>
    <xf numFmtId="0" fontId="77" fillId="4" borderId="43" xfId="0" applyFont="1" applyFill="1" applyBorder="1" applyAlignment="1">
      <alignment horizontal="center" textRotation="45"/>
    </xf>
    <xf numFmtId="14" fontId="77" fillId="4" borderId="39" xfId="0" applyNumberFormat="1" applyFont="1" applyFill="1" applyBorder="1" applyAlignment="1">
      <alignment horizontal="center"/>
    </xf>
    <xf numFmtId="14" fontId="77" fillId="4" borderId="43" xfId="0" applyNumberFormat="1" applyFont="1" applyFill="1" applyBorder="1" applyAlignment="1">
      <alignment horizontal="center"/>
    </xf>
    <xf numFmtId="0" fontId="79" fillId="4" borderId="39" xfId="0" applyFont="1" applyFill="1" applyBorder="1" applyAlignment="1">
      <alignment horizontal="center" textRotation="45"/>
    </xf>
    <xf numFmtId="0" fontId="80" fillId="4" borderId="39" xfId="0" applyFont="1" applyFill="1" applyBorder="1" applyAlignment="1">
      <alignment horizontal="center"/>
    </xf>
    <xf numFmtId="172" fontId="80" fillId="4" borderId="39" xfId="0" applyNumberFormat="1" applyFont="1" applyFill="1" applyBorder="1" applyAlignment="1">
      <alignment horizontal="center"/>
    </xf>
    <xf numFmtId="0" fontId="81" fillId="4" borderId="40" xfId="0" applyFont="1" applyFill="1" applyBorder="1" applyAlignment="1">
      <alignment horizontal="center"/>
    </xf>
    <xf numFmtId="0" fontId="82" fillId="4" borderId="41" xfId="0" applyFont="1" applyFill="1" applyBorder="1" applyAlignment="1">
      <alignment horizontal="center"/>
    </xf>
    <xf numFmtId="0" fontId="81" fillId="4" borderId="40" xfId="0" applyFont="1" applyFill="1" applyBorder="1" applyAlignment="1">
      <alignment horizontal="center" textRotation="45"/>
    </xf>
    <xf numFmtId="0" fontId="83" fillId="4" borderId="41" xfId="0" applyFont="1" applyFill="1" applyBorder="1" applyAlignment="1">
      <alignment horizontal="center" textRotation="45"/>
    </xf>
    <xf numFmtId="0" fontId="79" fillId="4" borderId="41" xfId="0" applyFont="1" applyFill="1" applyBorder="1" applyAlignment="1">
      <alignment horizontal="center" textRotation="45"/>
    </xf>
    <xf numFmtId="2" fontId="81" fillId="4" borderId="40" xfId="0" applyNumberFormat="1" applyFont="1" applyFill="1" applyBorder="1" applyAlignment="1">
      <alignment horizontal="center"/>
    </xf>
    <xf numFmtId="2" fontId="82" fillId="4" borderId="41" xfId="0" applyNumberFormat="1" applyFont="1" applyFill="1" applyBorder="1" applyAlignment="1">
      <alignment horizontal="center"/>
    </xf>
    <xf numFmtId="0" fontId="74" fillId="4" borderId="40" xfId="0" applyFont="1" applyFill="1" applyBorder="1" applyAlignment="1">
      <alignment horizontal="center"/>
    </xf>
    <xf numFmtId="0" fontId="75" fillId="4" borderId="41" xfId="0" applyFont="1" applyFill="1" applyBorder="1" applyAlignment="1">
      <alignment horizontal="center" vertical="top"/>
    </xf>
    <xf numFmtId="0" fontId="77" fillId="4" borderId="31" xfId="0" applyFont="1" applyFill="1" applyBorder="1" applyAlignment="1">
      <alignment horizontal="center" vertical="top"/>
    </xf>
    <xf numFmtId="0" fontId="76" fillId="4" borderId="30" xfId="0" applyFont="1" applyFill="1" applyBorder="1" applyAlignment="1">
      <alignment horizontal="center"/>
    </xf>
    <xf numFmtId="14" fontId="76" fillId="4" borderId="30" xfId="0" applyNumberFormat="1" applyFont="1" applyFill="1" applyBorder="1" applyAlignment="1">
      <alignment horizontal="center"/>
    </xf>
    <xf numFmtId="170" fontId="76" fillId="4" borderId="30" xfId="0" applyNumberFormat="1" applyFont="1" applyFill="1" applyBorder="1" applyAlignment="1">
      <alignment horizontal="center"/>
    </xf>
    <xf numFmtId="169" fontId="76" fillId="4" borderId="30" xfId="0" applyNumberFormat="1" applyFont="1" applyFill="1" applyBorder="1" applyAlignment="1">
      <alignment horizontal="center"/>
    </xf>
    <xf numFmtId="14" fontId="77" fillId="4" borderId="31" xfId="0" applyNumberFormat="1" applyFont="1" applyFill="1" applyBorder="1" applyAlignment="1">
      <alignment horizontal="center" vertical="top"/>
    </xf>
    <xf numFmtId="170" fontId="77" fillId="4" borderId="31" xfId="0" applyNumberFormat="1" applyFont="1" applyFill="1" applyBorder="1" applyAlignment="1">
      <alignment horizontal="center" vertical="top"/>
    </xf>
    <xf numFmtId="169" fontId="77" fillId="4" borderId="31" xfId="0" applyNumberFormat="1" applyFont="1" applyFill="1" applyBorder="1" applyAlignment="1">
      <alignment horizontal="center" vertical="top"/>
    </xf>
    <xf numFmtId="4" fontId="74" fillId="4" borderId="30" xfId="0" applyNumberFormat="1" applyFont="1" applyFill="1" applyBorder="1" applyAlignment="1">
      <alignment horizontal="center" vertical="center"/>
    </xf>
    <xf numFmtId="49" fontId="77" fillId="4" borderId="31" xfId="0" applyNumberFormat="1" applyFont="1" applyFill="1" applyBorder="1" applyAlignment="1">
      <alignment horizontal="center" vertical="top"/>
    </xf>
    <xf numFmtId="49" fontId="77" fillId="4" borderId="31" xfId="0" applyNumberFormat="1" applyFont="1" applyFill="1" applyBorder="1" applyAlignment="1">
      <alignment horizontal="center" textRotation="45"/>
    </xf>
    <xf numFmtId="0" fontId="77" fillId="4" borderId="31" xfId="0" applyFont="1" applyFill="1" applyBorder="1" applyAlignment="1">
      <alignment horizontal="center"/>
    </xf>
    <xf numFmtId="4" fontId="77" fillId="4" borderId="31" xfId="0" applyNumberFormat="1" applyFont="1" applyFill="1" applyBorder="1" applyAlignment="1">
      <alignment horizontal="center" vertical="top"/>
    </xf>
    <xf numFmtId="0" fontId="71" fillId="6" borderId="35" xfId="0" applyFont="1" applyFill="1" applyBorder="1" applyAlignment="1">
      <alignment horizontal="center"/>
    </xf>
    <xf numFmtId="0" fontId="71" fillId="6" borderId="36" xfId="0" applyFont="1" applyFill="1" applyBorder="1" applyAlignment="1">
      <alignment horizontal="center"/>
    </xf>
    <xf numFmtId="0" fontId="72" fillId="6" borderId="37" xfId="0" applyFont="1" applyFill="1" applyBorder="1" applyAlignment="1">
      <alignment horizontal="center" vertical="top"/>
    </xf>
    <xf numFmtId="0" fontId="72" fillId="6" borderId="38" xfId="0" applyFont="1" applyFill="1" applyBorder="1" applyAlignment="1">
      <alignment horizontal="center" vertical="top"/>
    </xf>
    <xf numFmtId="14" fontId="40" fillId="0" borderId="0" xfId="0" applyNumberFormat="1" applyFont="1" applyAlignment="1">
      <alignment horizontal="left" vertical="center"/>
    </xf>
    <xf numFmtId="0" fontId="40" fillId="0" borderId="0" xfId="0" applyFont="1" applyAlignment="1">
      <alignment horizontal="left" vertical="center"/>
    </xf>
    <xf numFmtId="4" fontId="40" fillId="0" borderId="0" xfId="0" applyNumberFormat="1" applyFont="1" applyAlignment="1">
      <alignment horizontal="left" vertical="center"/>
    </xf>
    <xf numFmtId="171" fontId="40" fillId="0" borderId="0" xfId="0" applyNumberFormat="1" applyFont="1" applyAlignment="1">
      <alignment horizontal="left" vertical="center"/>
    </xf>
    <xf numFmtId="49" fontId="7" fillId="0" borderId="33" xfId="0" applyNumberFormat="1" applyFont="1" applyBorder="1" applyAlignment="1">
      <alignment horizontal="center" vertical="center"/>
    </xf>
    <xf numFmtId="49" fontId="7" fillId="0" borderId="33" xfId="0" applyNumberFormat="1" applyFont="1" applyBorder="1" applyAlignment="1">
      <alignment horizontal="left"/>
    </xf>
    <xf numFmtId="49" fontId="7" fillId="0" borderId="33" xfId="0" applyNumberFormat="1" applyFont="1" applyBorder="1" applyAlignment="1">
      <alignment horizontal="left" vertical="center"/>
    </xf>
    <xf numFmtId="2" fontId="58" fillId="0" borderId="0" xfId="0" applyNumberFormat="1" applyFont="1" applyAlignment="1">
      <alignment vertical="center"/>
    </xf>
    <xf numFmtId="0" fontId="77" fillId="0" borderId="0" xfId="0" applyFont="1" applyAlignment="1">
      <alignment horizontal="center" vertical="center"/>
    </xf>
    <xf numFmtId="0" fontId="44" fillId="0" borderId="0" xfId="0" applyFont="1" applyAlignment="1">
      <alignment horizontal="centerContinuous" vertical="center"/>
    </xf>
    <xf numFmtId="0" fontId="36" fillId="0" borderId="0" xfId="0" applyFont="1" applyAlignment="1">
      <alignment horizontal="center"/>
    </xf>
    <xf numFmtId="0" fontId="42" fillId="0" borderId="0" xfId="0" applyFont="1" applyAlignment="1">
      <alignment horizontal="left" vertical="center"/>
    </xf>
    <xf numFmtId="0" fontId="42" fillId="0" borderId="33" xfId="0" applyFont="1" applyBorder="1" applyAlignment="1">
      <alignment horizontal="left" vertical="center"/>
    </xf>
    <xf numFmtId="0" fontId="42" fillId="0" borderId="25" xfId="0" applyFont="1" applyBorder="1" applyAlignment="1">
      <alignment horizontal="center" vertical="center"/>
    </xf>
    <xf numFmtId="0" fontId="82" fillId="5" borderId="33" xfId="0" applyFont="1" applyFill="1" applyBorder="1" applyAlignment="1">
      <alignment horizontal="center" vertical="center"/>
    </xf>
    <xf numFmtId="0" fontId="42" fillId="0" borderId="33" xfId="0" applyFont="1" applyBorder="1" applyAlignment="1">
      <alignment horizontal="left"/>
    </xf>
    <xf numFmtId="0" fontId="42" fillId="0" borderId="33" xfId="0" applyFont="1" applyBorder="1" applyAlignment="1">
      <alignment vertical="center"/>
    </xf>
    <xf numFmtId="0" fontId="48" fillId="0" borderId="0" xfId="0" applyFont="1" applyAlignment="1">
      <alignment horizontal="centerContinuous" vertical="center"/>
    </xf>
    <xf numFmtId="49" fontId="36" fillId="0" borderId="0" xfId="0" applyNumberFormat="1" applyFont="1" applyAlignment="1">
      <alignment horizontal="center"/>
    </xf>
    <xf numFmtId="0" fontId="52" fillId="0" borderId="0" xfId="0" applyFont="1" applyAlignment="1">
      <alignment horizontal="center" vertical="top"/>
    </xf>
    <xf numFmtId="0" fontId="76" fillId="0" borderId="0" xfId="0" applyFont="1" applyAlignment="1">
      <alignment horizontal="center"/>
    </xf>
    <xf numFmtId="0" fontId="77" fillId="0" borderId="0" xfId="0" applyFont="1" applyAlignment="1">
      <alignment horizontal="center" vertical="top"/>
    </xf>
    <xf numFmtId="14" fontId="76" fillId="0" borderId="0" xfId="0" applyNumberFormat="1" applyFont="1" applyAlignment="1">
      <alignment horizontal="center"/>
    </xf>
    <xf numFmtId="14" fontId="77" fillId="0" borderId="0" xfId="0" applyNumberFormat="1" applyFont="1" applyAlignment="1">
      <alignment horizontal="center" vertical="top"/>
    </xf>
    <xf numFmtId="170" fontId="76" fillId="0" borderId="0" xfId="0" applyNumberFormat="1" applyFont="1" applyAlignment="1">
      <alignment horizontal="center"/>
    </xf>
    <xf numFmtId="170" fontId="77" fillId="0" borderId="0" xfId="0" applyNumberFormat="1" applyFont="1" applyAlignment="1">
      <alignment horizontal="center" vertical="top"/>
    </xf>
    <xf numFmtId="169" fontId="76" fillId="0" borderId="0" xfId="0" applyNumberFormat="1" applyFont="1" applyAlignment="1">
      <alignment horizontal="center"/>
    </xf>
    <xf numFmtId="169" fontId="77" fillId="0" borderId="0" xfId="0" applyNumberFormat="1" applyFont="1" applyAlignment="1">
      <alignment horizontal="center" vertical="top"/>
    </xf>
    <xf numFmtId="0" fontId="74" fillId="0" borderId="0" xfId="0" applyFont="1" applyAlignment="1">
      <alignment horizontal="center" vertical="center"/>
    </xf>
    <xf numFmtId="0" fontId="75" fillId="0" borderId="0" xfId="0" applyFont="1" applyAlignment="1">
      <alignment horizontal="center" vertical="center"/>
    </xf>
    <xf numFmtId="49" fontId="36" fillId="0" borderId="0" xfId="0" applyNumberFormat="1" applyFont="1" applyAlignment="1">
      <alignment horizontal="left"/>
    </xf>
    <xf numFmtId="0" fontId="57" fillId="0" borderId="0" xfId="0" applyFont="1" applyAlignment="1">
      <alignment horizontal="center" vertical="center"/>
    </xf>
    <xf numFmtId="49" fontId="52" fillId="0" borderId="0" xfId="0" applyNumberFormat="1" applyFont="1" applyAlignment="1">
      <alignment horizontal="center" vertical="top"/>
    </xf>
    <xf numFmtId="0" fontId="36" fillId="5" borderId="0" xfId="0" applyFont="1" applyFill="1" applyAlignment="1">
      <alignment horizontal="center" vertical="center"/>
    </xf>
    <xf numFmtId="14" fontId="42" fillId="5" borderId="0" xfId="0" applyNumberFormat="1" applyFont="1" applyFill="1" applyAlignment="1">
      <alignment horizontal="center" vertical="center"/>
    </xf>
    <xf numFmtId="14" fontId="36" fillId="5" borderId="0" xfId="0" applyNumberFormat="1" applyFont="1" applyFill="1" applyAlignment="1">
      <alignment horizontal="center" vertical="center"/>
    </xf>
    <xf numFmtId="49" fontId="36" fillId="5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horizontal="left" vertical="center"/>
    </xf>
    <xf numFmtId="2" fontId="36" fillId="5" borderId="0" xfId="0" applyNumberFormat="1" applyFont="1" applyFill="1" applyAlignment="1">
      <alignment horizontal="center" vertical="center"/>
    </xf>
    <xf numFmtId="0" fontId="36" fillId="5" borderId="0" xfId="0" applyFont="1" applyFill="1" applyAlignment="1">
      <alignment horizontal="center"/>
    </xf>
    <xf numFmtId="0" fontId="36" fillId="5" borderId="0" xfId="0" applyFont="1" applyFill="1"/>
    <xf numFmtId="0" fontId="68" fillId="0" borderId="0" xfId="0" applyFont="1" applyAlignment="1">
      <alignment horizontal="left" vertical="center" indent="20"/>
    </xf>
    <xf numFmtId="0" fontId="76" fillId="4" borderId="30" xfId="0" applyFont="1" applyFill="1" applyBorder="1" applyAlignment="1">
      <alignment horizontal="left" vertical="center"/>
    </xf>
    <xf numFmtId="0" fontId="75" fillId="4" borderId="31" xfId="0" applyFont="1" applyFill="1" applyBorder="1" applyAlignment="1">
      <alignment horizontal="left" vertical="center"/>
    </xf>
    <xf numFmtId="0" fontId="69" fillId="0" borderId="0" xfId="0" applyFont="1" applyAlignment="1">
      <alignment horizontal="left" vertical="center" indent="20"/>
    </xf>
    <xf numFmtId="3" fontId="0" fillId="0" borderId="0" xfId="0" applyNumberFormat="1" applyAlignment="1">
      <alignment horizontal="center" vertical="center"/>
    </xf>
    <xf numFmtId="0" fontId="79" fillId="4" borderId="39" xfId="0" applyFont="1" applyFill="1" applyBorder="1" applyAlignment="1">
      <alignment horizontal="center"/>
    </xf>
    <xf numFmtId="0" fontId="79" fillId="4" borderId="43" xfId="0" applyFont="1" applyFill="1" applyBorder="1" applyAlignment="1">
      <alignment horizontal="center"/>
    </xf>
    <xf numFmtId="0" fontId="79" fillId="4" borderId="44" xfId="0" applyFont="1" applyFill="1" applyBorder="1" applyAlignment="1">
      <alignment horizontal="center" textRotation="45"/>
    </xf>
    <xf numFmtId="0" fontId="79" fillId="4" borderId="42" xfId="0" applyFont="1" applyFill="1" applyBorder="1" applyAlignment="1">
      <alignment horizontal="center"/>
    </xf>
    <xf numFmtId="3" fontId="79" fillId="4" borderId="39" xfId="0" applyNumberFormat="1" applyFont="1" applyFill="1" applyBorder="1" applyAlignment="1">
      <alignment horizontal="center"/>
    </xf>
    <xf numFmtId="4" fontId="79" fillId="4" borderId="39" xfId="0" applyNumberFormat="1" applyFont="1" applyFill="1" applyBorder="1" applyAlignment="1">
      <alignment horizontal="center"/>
    </xf>
    <xf numFmtId="0" fontId="42" fillId="0" borderId="0" xfId="0" applyFont="1"/>
    <xf numFmtId="0" fontId="36" fillId="0" borderId="0" xfId="0" applyFont="1" applyAlignment="1">
      <alignment vertical="center"/>
    </xf>
    <xf numFmtId="0" fontId="41" fillId="0" borderId="32" xfId="0" applyFont="1" applyBorder="1" applyAlignment="1">
      <alignment vertical="center"/>
    </xf>
    <xf numFmtId="0" fontId="39" fillId="0" borderId="0" xfId="0" applyFont="1" applyAlignment="1">
      <alignment horizontal="left" vertical="center"/>
    </xf>
    <xf numFmtId="0" fontId="40" fillId="0" borderId="0" xfId="0" applyFont="1" applyAlignment="1">
      <alignment horizontal="center" vertical="center"/>
    </xf>
    <xf numFmtId="14" fontId="40" fillId="0" borderId="0" xfId="0" applyNumberFormat="1" applyFont="1" applyAlignment="1">
      <alignment horizontal="center" vertical="center"/>
    </xf>
    <xf numFmtId="0" fontId="39" fillId="0" borderId="0" xfId="0" applyFont="1" applyAlignment="1">
      <alignment vertical="top"/>
    </xf>
    <xf numFmtId="44" fontId="15" fillId="0" borderId="0" xfId="0" applyNumberFormat="1" applyFont="1"/>
    <xf numFmtId="167" fontId="41" fillId="0" borderId="32" xfId="0" applyNumberFormat="1" applyFont="1" applyBorder="1" applyAlignment="1">
      <alignment horizontal="center" vertical="center"/>
    </xf>
    <xf numFmtId="1" fontId="42" fillId="0" borderId="0" xfId="0" applyNumberFormat="1" applyFont="1" applyAlignment="1">
      <alignment horizontal="center" vertical="center"/>
    </xf>
    <xf numFmtId="49" fontId="42" fillId="0" borderId="0" xfId="0" applyNumberFormat="1" applyFont="1" applyAlignment="1">
      <alignment horizontal="center" vertical="center"/>
    </xf>
    <xf numFmtId="0" fontId="0" fillId="0" borderId="0" xfId="0" applyAlignment="1">
      <alignment vertical="top"/>
    </xf>
    <xf numFmtId="168" fontId="0" fillId="0" borderId="0" xfId="0" applyNumberFormat="1"/>
    <xf numFmtId="0" fontId="42" fillId="0" borderId="0" xfId="0" applyFont="1" applyAlignment="1">
      <alignment horizontal="left"/>
    </xf>
    <xf numFmtId="0" fontId="42" fillId="0" borderId="0" xfId="0" applyFont="1" applyAlignment="1">
      <alignment horizontal="center"/>
    </xf>
    <xf numFmtId="4" fontId="36" fillId="0" borderId="33" xfId="0" applyNumberFormat="1" applyFont="1" applyBorder="1" applyAlignment="1">
      <alignment horizontal="right" vertical="center"/>
    </xf>
    <xf numFmtId="4" fontId="38" fillId="0" borderId="33" xfId="0" applyNumberFormat="1" applyFont="1" applyBorder="1" applyAlignment="1">
      <alignment horizontal="right" vertical="center"/>
    </xf>
    <xf numFmtId="3" fontId="42" fillId="0" borderId="0" xfId="0" applyNumberFormat="1" applyFont="1" applyAlignment="1">
      <alignment horizontal="center" vertical="center"/>
    </xf>
    <xf numFmtId="4" fontId="42" fillId="0" borderId="0" xfId="0" applyNumberFormat="1" applyFont="1" applyAlignment="1">
      <alignment horizontal="center" vertical="center"/>
    </xf>
    <xf numFmtId="22" fontId="42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left" vertical="center"/>
    </xf>
    <xf numFmtId="0" fontId="36" fillId="0" borderId="0" xfId="0" applyFont="1" applyAlignment="1">
      <alignment horizontal="center" vertical="center" wrapText="1"/>
    </xf>
    <xf numFmtId="0" fontId="7" fillId="0" borderId="0" xfId="0" applyFont="1" applyAlignment="1">
      <alignment horizontal="left" vertical="center" wrapText="1"/>
    </xf>
    <xf numFmtId="0" fontId="84" fillId="0" borderId="0" xfId="0" applyFont="1" applyAlignment="1">
      <alignment horizontal="left" indent="20"/>
    </xf>
    <xf numFmtId="14" fontId="36" fillId="0" borderId="0" xfId="0" applyNumberFormat="1" applyFont="1" applyAlignment="1">
      <alignment horizontal="center"/>
    </xf>
    <xf numFmtId="14" fontId="36" fillId="0" borderId="33" xfId="0" applyNumberFormat="1" applyFont="1" applyBorder="1" applyAlignment="1">
      <alignment horizontal="center"/>
    </xf>
    <xf numFmtId="14" fontId="59" fillId="0" borderId="0" xfId="0" applyNumberFormat="1" applyFont="1" applyAlignment="1">
      <alignment horizontal="center"/>
    </xf>
    <xf numFmtId="14" fontId="58" fillId="0" borderId="0" xfId="0" applyNumberFormat="1" applyFont="1" applyAlignment="1">
      <alignment horizontal="center"/>
    </xf>
    <xf numFmtId="0" fontId="85" fillId="0" borderId="33" xfId="0" applyFont="1" applyBorder="1" applyAlignment="1">
      <alignment horizontal="left" vertic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14" fontId="7" fillId="2" borderId="0" xfId="0" applyNumberFormat="1" applyFont="1" applyFill="1"/>
    <xf numFmtId="14" fontId="7" fillId="2" borderId="0" xfId="0" applyNumberFormat="1" applyFont="1" applyFill="1" applyAlignment="1">
      <alignment horizontal="left"/>
    </xf>
    <xf numFmtId="14" fontId="0" fillId="2" borderId="0" xfId="0" applyNumberFormat="1" applyFill="1" applyAlignment="1">
      <alignment horizontal="center" vertical="center"/>
    </xf>
    <xf numFmtId="4" fontId="7" fillId="2" borderId="0" xfId="0" applyNumberFormat="1" applyFont="1" applyFill="1"/>
    <xf numFmtId="22" fontId="7" fillId="2" borderId="0" xfId="0" applyNumberFormat="1" applyFont="1" applyFill="1"/>
    <xf numFmtId="0" fontId="0" fillId="2" borderId="0" xfId="0" applyFill="1" applyAlignment="1">
      <alignment horizontal="left" vertical="center"/>
    </xf>
    <xf numFmtId="14" fontId="40" fillId="2" borderId="0" xfId="0" applyNumberFormat="1" applyFont="1" applyFill="1" applyAlignment="1">
      <alignment horizontal="left" vertical="center"/>
    </xf>
    <xf numFmtId="0" fontId="40" fillId="2" borderId="0" xfId="0" applyFont="1" applyFill="1" applyAlignment="1">
      <alignment horizontal="left" vertical="center"/>
    </xf>
    <xf numFmtId="49" fontId="77" fillId="0" borderId="0" xfId="0" applyNumberFormat="1" applyFont="1" applyAlignment="1">
      <alignment horizontal="center" vertical="center"/>
    </xf>
    <xf numFmtId="4" fontId="36" fillId="0" borderId="45" xfId="0" applyNumberFormat="1" applyFont="1" applyBorder="1" applyAlignment="1">
      <alignment horizontal="right" vertical="center"/>
    </xf>
    <xf numFmtId="0" fontId="51" fillId="0" borderId="46" xfId="0" applyFont="1" applyBorder="1" applyAlignment="1">
      <alignment horizontal="center" vertical="center"/>
    </xf>
    <xf numFmtId="2" fontId="82" fillId="4" borderId="47" xfId="0" applyNumberFormat="1" applyFont="1" applyFill="1" applyBorder="1" applyAlignment="1">
      <alignment horizontal="center"/>
    </xf>
    <xf numFmtId="0" fontId="0" fillId="0" borderId="33" xfId="0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36" fillId="2" borderId="0" xfId="0" applyFont="1" applyFill="1"/>
    <xf numFmtId="172" fontId="36" fillId="2" borderId="0" xfId="0" applyNumberFormat="1" applyFont="1" applyFill="1"/>
    <xf numFmtId="0" fontId="0" fillId="2" borderId="0" xfId="0" applyFill="1"/>
    <xf numFmtId="0" fontId="79" fillId="4" borderId="39" xfId="0" applyFont="1" applyFill="1" applyBorder="1" applyAlignment="1">
      <alignment horizontal="center" vertical="center"/>
    </xf>
    <xf numFmtId="3" fontId="79" fillId="4" borderId="39" xfId="0" applyNumberFormat="1" applyFont="1" applyFill="1" applyBorder="1" applyAlignment="1">
      <alignment horizontal="center" vertical="center"/>
    </xf>
    <xf numFmtId="4" fontId="79" fillId="4" borderId="39" xfId="0" applyNumberFormat="1" applyFont="1" applyFill="1" applyBorder="1" applyAlignment="1">
      <alignment horizontal="center" vertical="center"/>
    </xf>
    <xf numFmtId="0" fontId="79" fillId="4" borderId="39" xfId="0" applyFont="1" applyFill="1" applyBorder="1" applyAlignment="1">
      <alignment horizontal="center" vertical="center" wrapText="1"/>
    </xf>
    <xf numFmtId="0" fontId="81" fillId="4" borderId="39" xfId="0" applyFont="1" applyFill="1" applyBorder="1" applyAlignment="1">
      <alignment horizontal="center" vertical="center"/>
    </xf>
    <xf numFmtId="3" fontId="36" fillId="0" borderId="0" xfId="0" applyNumberFormat="1" applyFont="1" applyAlignment="1">
      <alignment horizontal="center" vertical="center"/>
    </xf>
    <xf numFmtId="0" fontId="36" fillId="0" borderId="25" xfId="0" applyFont="1" applyBorder="1" applyAlignment="1">
      <alignment horizontal="center" vertical="center"/>
    </xf>
    <xf numFmtId="49" fontId="38" fillId="0" borderId="25" xfId="0" applyNumberFormat="1" applyFont="1" applyBorder="1" applyAlignment="1">
      <alignment horizontal="center" vertical="center"/>
    </xf>
    <xf numFmtId="4" fontId="38" fillId="0" borderId="25" xfId="0" applyNumberFormat="1" applyFont="1" applyBorder="1" applyAlignment="1">
      <alignment horizontal="right" vertical="center"/>
    </xf>
    <xf numFmtId="4" fontId="36" fillId="0" borderId="25" xfId="0" applyNumberFormat="1" applyFont="1" applyBorder="1" applyAlignment="1">
      <alignment horizontal="right" vertical="center"/>
    </xf>
    <xf numFmtId="4" fontId="36" fillId="0" borderId="26" xfId="0" applyNumberFormat="1" applyFont="1" applyBorder="1" applyAlignment="1">
      <alignment horizontal="right" vertical="center"/>
    </xf>
    <xf numFmtId="0" fontId="15" fillId="0" borderId="0" xfId="0" applyFont="1"/>
    <xf numFmtId="0" fontId="40" fillId="0" borderId="25" xfId="0" applyFont="1" applyBorder="1" applyAlignment="1">
      <alignment horizontal="center" vertical="center"/>
    </xf>
    <xf numFmtId="14" fontId="36" fillId="0" borderId="25" xfId="0" applyNumberFormat="1" applyFont="1" applyBorder="1" applyAlignment="1">
      <alignment horizontal="center"/>
    </xf>
    <xf numFmtId="168" fontId="15" fillId="0" borderId="0" xfId="0" applyNumberFormat="1" applyFont="1"/>
    <xf numFmtId="0" fontId="40" fillId="0" borderId="26" xfId="0" applyFont="1" applyBorder="1" applyAlignment="1">
      <alignment horizontal="center" vertical="center"/>
    </xf>
    <xf numFmtId="0" fontId="36" fillId="0" borderId="26" xfId="0" applyFont="1" applyBorder="1" applyAlignment="1">
      <alignment horizontal="center" vertical="center"/>
    </xf>
    <xf numFmtId="2" fontId="42" fillId="0" borderId="0" xfId="0" applyNumberFormat="1" applyFont="1"/>
    <xf numFmtId="0" fontId="40" fillId="0" borderId="27" xfId="0" applyFont="1" applyBorder="1" applyAlignment="1">
      <alignment horizontal="center" vertical="center" wrapText="1"/>
    </xf>
    <xf numFmtId="0" fontId="36" fillId="0" borderId="27" xfId="0" applyFont="1" applyBorder="1" applyAlignment="1">
      <alignment horizontal="center" vertical="center" wrapText="1"/>
    </xf>
    <xf numFmtId="0" fontId="36" fillId="2" borderId="33" xfId="0" applyFont="1" applyFill="1" applyBorder="1" applyAlignment="1">
      <alignment horizontal="center" vertical="center"/>
    </xf>
    <xf numFmtId="0" fontId="42" fillId="2" borderId="33" xfId="0" applyFont="1" applyFill="1" applyBorder="1" applyAlignment="1">
      <alignment horizontal="center" vertical="center"/>
    </xf>
    <xf numFmtId="14" fontId="36" fillId="2" borderId="33" xfId="0" applyNumberFormat="1" applyFont="1" applyFill="1" applyBorder="1" applyAlignment="1">
      <alignment horizontal="center"/>
    </xf>
    <xf numFmtId="14" fontId="36" fillId="2" borderId="33" xfId="0" applyNumberFormat="1" applyFont="1" applyFill="1" applyBorder="1" applyAlignment="1">
      <alignment horizontal="center" vertical="center"/>
    </xf>
    <xf numFmtId="49" fontId="7" fillId="2" borderId="33" xfId="0" applyNumberFormat="1" applyFont="1" applyFill="1" applyBorder="1" applyAlignment="1">
      <alignment horizontal="center" vertical="center"/>
    </xf>
    <xf numFmtId="49" fontId="7" fillId="2" borderId="33" xfId="0" applyNumberFormat="1" applyFont="1" applyFill="1" applyBorder="1" applyAlignment="1">
      <alignment horizontal="left"/>
    </xf>
    <xf numFmtId="49" fontId="38" fillId="2" borderId="33" xfId="0" applyNumberFormat="1" applyFont="1" applyFill="1" applyBorder="1" applyAlignment="1">
      <alignment horizontal="center" vertical="center"/>
    </xf>
    <xf numFmtId="0" fontId="38" fillId="2" borderId="33" xfId="0" applyFont="1" applyFill="1" applyBorder="1" applyAlignment="1">
      <alignment horizontal="center" vertical="center"/>
    </xf>
    <xf numFmtId="4" fontId="38" fillId="2" borderId="33" xfId="0" applyNumberFormat="1" applyFont="1" applyFill="1" applyBorder="1" applyAlignment="1">
      <alignment horizontal="right" vertical="center"/>
    </xf>
    <xf numFmtId="4" fontId="36" fillId="2" borderId="33" xfId="0" applyNumberFormat="1" applyFont="1" applyFill="1" applyBorder="1" applyAlignment="1">
      <alignment horizontal="right" vertical="center"/>
    </xf>
    <xf numFmtId="4" fontId="0" fillId="2" borderId="0" xfId="0" applyNumberFormat="1" applyFill="1"/>
    <xf numFmtId="0" fontId="0" fillId="2" borderId="33" xfId="0" applyFill="1" applyBorder="1" applyAlignment="1">
      <alignment horizontal="center" vertical="center"/>
    </xf>
    <xf numFmtId="0" fontId="51" fillId="2" borderId="46" xfId="0" applyFont="1" applyFill="1" applyBorder="1" applyAlignment="1">
      <alignment horizontal="center" vertical="center"/>
    </xf>
    <xf numFmtId="0" fontId="51" fillId="2" borderId="33" xfId="0" applyFont="1" applyFill="1" applyBorder="1" applyAlignment="1">
      <alignment horizontal="center" vertical="center"/>
    </xf>
    <xf numFmtId="49" fontId="36" fillId="2" borderId="33" xfId="0" applyNumberFormat="1" applyFont="1" applyFill="1" applyBorder="1" applyAlignment="1">
      <alignment horizontal="center" vertical="center"/>
    </xf>
    <xf numFmtId="0" fontId="42" fillId="2" borderId="0" xfId="0" applyFont="1" applyFill="1" applyAlignment="1">
      <alignment horizontal="center" vertical="center"/>
    </xf>
    <xf numFmtId="168" fontId="0" fillId="2" borderId="0" xfId="0" applyNumberFormat="1" applyFill="1"/>
    <xf numFmtId="44" fontId="15" fillId="2" borderId="0" xfId="0" applyNumberFormat="1" applyFont="1" applyFill="1"/>
    <xf numFmtId="0" fontId="68" fillId="0" borderId="0" xfId="0" applyFont="1" applyAlignment="1">
      <alignment horizontal="left" vertic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2" fillId="0" borderId="0" xfId="0" applyFont="1" applyAlignment="1">
      <alignment horizontal="center" vertical="top"/>
    </xf>
    <xf numFmtId="14" fontId="11" fillId="2" borderId="0" xfId="0" applyNumberFormat="1" applyFont="1" applyFill="1" applyAlignment="1">
      <alignment horizontal="right" vertical="center"/>
    </xf>
    <xf numFmtId="165" fontId="11" fillId="2" borderId="0" xfId="3" applyNumberFormat="1" applyFont="1" applyFill="1" applyAlignment="1">
      <alignment horizontal="right"/>
    </xf>
    <xf numFmtId="0" fontId="10" fillId="0" borderId="17" xfId="0" applyFont="1" applyBorder="1" applyAlignment="1" applyProtection="1">
      <alignment horizontal="left" vertical="center" wrapText="1"/>
      <protection locked="0"/>
    </xf>
    <xf numFmtId="0" fontId="4" fillId="0" borderId="0" xfId="0" applyFont="1" applyAlignment="1">
      <alignment vertical="center"/>
    </xf>
    <xf numFmtId="0" fontId="23" fillId="0" borderId="12" xfId="0" applyFont="1" applyBorder="1" applyAlignment="1">
      <alignment horizontal="center" vertical="top"/>
    </xf>
    <xf numFmtId="0" fontId="23" fillId="0" borderId="13" xfId="0" applyFont="1" applyBorder="1" applyAlignment="1">
      <alignment horizontal="center" vertical="top"/>
    </xf>
    <xf numFmtId="0" fontId="0" fillId="0" borderId="0" xfId="0" applyAlignment="1">
      <alignment vertical="center"/>
    </xf>
    <xf numFmtId="0" fontId="21" fillId="0" borderId="16" xfId="0" applyFont="1" applyBorder="1" applyAlignment="1">
      <alignment horizontal="left"/>
    </xf>
    <xf numFmtId="0" fontId="1" fillId="0" borderId="15" xfId="0" applyFont="1" applyBorder="1" applyAlignment="1">
      <alignment horizontal="left"/>
    </xf>
    <xf numFmtId="0" fontId="8" fillId="0" borderId="15" xfId="0" applyFont="1" applyBorder="1" applyAlignment="1">
      <alignment horizontal="left" wrapText="1"/>
    </xf>
    <xf numFmtId="0" fontId="8" fillId="0" borderId="15" xfId="0" applyFont="1" applyBorder="1" applyAlignment="1">
      <alignment horizontal="left"/>
    </xf>
    <xf numFmtId="0" fontId="9" fillId="0" borderId="15" xfId="0" applyFont="1" applyBorder="1" applyAlignment="1">
      <alignment horizontal="left"/>
    </xf>
    <xf numFmtId="0" fontId="2" fillId="0" borderId="15" xfId="1" applyBorder="1" applyAlignment="1">
      <alignment horizontal="left"/>
    </xf>
    <xf numFmtId="0" fontId="8" fillId="0" borderId="24" xfId="0" applyFont="1" applyBorder="1" applyAlignment="1">
      <alignment horizontal="center"/>
    </xf>
    <xf numFmtId="0" fontId="15" fillId="0" borderId="7" xfId="0" applyFont="1" applyBorder="1" applyAlignment="1">
      <alignment horizontal="left" vertical="center"/>
    </xf>
    <xf numFmtId="0" fontId="15" fillId="0" borderId="8" xfId="0" applyFont="1" applyBorder="1" applyAlignment="1">
      <alignment horizontal="left" vertical="center"/>
    </xf>
    <xf numFmtId="0" fontId="15" fillId="0" borderId="9" xfId="0" applyFont="1" applyBorder="1" applyAlignment="1">
      <alignment horizontal="left" vertical="center"/>
    </xf>
    <xf numFmtId="0" fontId="24" fillId="2" borderId="0" xfId="0" applyFont="1" applyFill="1" applyAlignment="1">
      <alignment horizontal="left"/>
    </xf>
    <xf numFmtId="0" fontId="32" fillId="0" borderId="3" xfId="0" applyFont="1" applyBorder="1" applyAlignment="1">
      <alignment horizontal="center"/>
    </xf>
    <xf numFmtId="0" fontId="32" fillId="0" borderId="0" xfId="0" applyFont="1" applyAlignment="1">
      <alignment horizontal="center"/>
    </xf>
    <xf numFmtId="0" fontId="32" fillId="0" borderId="13" xfId="0" applyFont="1" applyBorder="1" applyAlignment="1">
      <alignment horizontal="center"/>
    </xf>
    <xf numFmtId="0" fontId="33" fillId="0" borderId="4" xfId="0" applyFont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6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8" fillId="0" borderId="17" xfId="0" applyFont="1" applyBorder="1" applyAlignment="1" applyProtection="1">
      <alignment horizontal="center" wrapText="1"/>
      <protection locked="0"/>
    </xf>
    <xf numFmtId="43" fontId="25" fillId="0" borderId="14" xfId="3" applyFont="1" applyBorder="1" applyAlignment="1">
      <alignment horizontal="center" vertical="center"/>
    </xf>
    <xf numFmtId="43" fontId="25" fillId="0" borderId="23" xfId="3" applyFont="1" applyBorder="1" applyAlignment="1">
      <alignment horizontal="center" vertical="center"/>
    </xf>
    <xf numFmtId="165" fontId="25" fillId="0" borderId="14" xfId="0" applyNumberFormat="1" applyFont="1" applyBorder="1" applyAlignment="1">
      <alignment horizontal="center" vertical="center"/>
    </xf>
    <xf numFmtId="165" fontId="25" fillId="0" borderId="23" xfId="0" applyNumberFormat="1" applyFont="1" applyBorder="1" applyAlignment="1">
      <alignment horizontal="center" vertical="center"/>
    </xf>
    <xf numFmtId="0" fontId="8" fillId="0" borderId="21" xfId="0" applyFont="1" applyBorder="1" applyAlignment="1" applyProtection="1">
      <alignment horizontal="center" wrapText="1"/>
      <protection locked="0"/>
    </xf>
    <xf numFmtId="0" fontId="4" fillId="0" borderId="1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26" fillId="0" borderId="4" xfId="0" applyFont="1" applyBorder="1" applyAlignment="1">
      <alignment horizontal="left" vertical="center" wrapText="1"/>
    </xf>
    <xf numFmtId="0" fontId="26" fillId="0" borderId="5" xfId="0" applyFont="1" applyBorder="1" applyAlignment="1">
      <alignment horizontal="left" vertical="center" wrapText="1"/>
    </xf>
    <xf numFmtId="0" fontId="8" fillId="0" borderId="17" xfId="0" applyFont="1" applyBorder="1" applyAlignment="1" applyProtection="1">
      <alignment horizontal="left" vertical="center" wrapText="1" indent="1"/>
      <protection locked="0"/>
    </xf>
    <xf numFmtId="0" fontId="8" fillId="0" borderId="17" xfId="0" applyFont="1" applyBorder="1" applyAlignment="1" applyProtection="1">
      <alignment vertical="center" wrapText="1"/>
      <protection locked="0"/>
    </xf>
    <xf numFmtId="0" fontId="31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0" fillId="0" borderId="5" xfId="0" applyFont="1" applyBorder="1" applyAlignment="1">
      <alignment horizontal="right" vertical="center"/>
    </xf>
    <xf numFmtId="0" fontId="5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1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10" fillId="0" borderId="17" xfId="0" applyFont="1" applyBorder="1" applyAlignment="1" applyProtection="1">
      <alignment vertical="center" wrapText="1"/>
      <protection locked="0"/>
    </xf>
  </cellXfs>
  <cellStyles count="6">
    <cellStyle name="Comma" xfId="3" builtinId="3"/>
    <cellStyle name="Comma 2 2" xfId="5" xr:uid="{00000000-0005-0000-0000-000001000000}"/>
    <cellStyle name="Hyperlink" xfId="1" builtinId="8"/>
    <cellStyle name="Normal" xfId="0" builtinId="0"/>
    <cellStyle name="Normal 3" xfId="4" xr:uid="{00000000-0005-0000-0000-000005000000}"/>
    <cellStyle name="Percent" xfId="2" builtinId="5"/>
  </cellStyles>
  <dxfs count="0"/>
  <tableStyles count="1" defaultTableStyle="TableStyleMedium2" defaultPivotStyle="PivotStyleLight16">
    <tableStyle name="Invisible" pivot="0" table="0" count="0" xr9:uid="{4F93897E-7DF7-4413-9216-EDCF6627E986}"/>
  </tableStyles>
  <colors>
    <mruColors>
      <color rgb="FF0066CC"/>
      <color rgb="FFEFF6FB"/>
      <color rgb="FFEAF3FA"/>
      <color rgb="FF000099"/>
      <color rgb="FFF3FAFF"/>
      <color rgb="FFFF6600"/>
      <color rgb="FFCBECFD"/>
      <color rgb="FF003399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4.xml"/><Relationship Id="rId21" Type="http://schemas.openxmlformats.org/officeDocument/2006/relationships/worksheet" Target="worksheets/sheet21.xml"/><Relationship Id="rId34" Type="http://schemas.openxmlformats.org/officeDocument/2006/relationships/powerPivotData" Target="model/item.data"/><Relationship Id="rId42" Type="http://schemas.openxmlformats.org/officeDocument/2006/relationships/customXml" Target="../customXml/item7.xml"/><Relationship Id="rId47" Type="http://schemas.openxmlformats.org/officeDocument/2006/relationships/customXml" Target="../customXml/item12.xml"/><Relationship Id="rId50" Type="http://schemas.openxmlformats.org/officeDocument/2006/relationships/customXml" Target="../customXml/item15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openxmlformats.org/officeDocument/2006/relationships/customXml" Target="../customXml/item2.xml"/><Relationship Id="rId40" Type="http://schemas.openxmlformats.org/officeDocument/2006/relationships/customXml" Target="../customXml/item5.xml"/><Relationship Id="rId45" Type="http://schemas.openxmlformats.org/officeDocument/2006/relationships/customXml" Target="../customXml/item10.xml"/><Relationship Id="rId53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9.xml"/><Relationship Id="rId52" Type="http://schemas.openxmlformats.org/officeDocument/2006/relationships/customXml" Target="../customXml/item1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openxmlformats.org/officeDocument/2006/relationships/calcChain" Target="calcChain.xml"/><Relationship Id="rId43" Type="http://schemas.openxmlformats.org/officeDocument/2006/relationships/customXml" Target="../customXml/item8.xml"/><Relationship Id="rId48" Type="http://schemas.openxmlformats.org/officeDocument/2006/relationships/customXml" Target="../customXml/item13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6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openxmlformats.org/officeDocument/2006/relationships/customXml" Target="../customXml/item3.xml"/><Relationship Id="rId46" Type="http://schemas.openxmlformats.org/officeDocument/2006/relationships/customXml" Target="../customXml/item11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6.xml"/><Relationship Id="rId54" Type="http://schemas.microsoft.com/office/2023/09/relationships/Python" Target="pyth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49" Type="http://schemas.openxmlformats.org/officeDocument/2006/relationships/customXml" Target="../customXml/item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</xdr:colOff>
      <xdr:row>31</xdr:row>
      <xdr:rowOff>92075</xdr:rowOff>
    </xdr:from>
    <xdr:to>
      <xdr:col>3</xdr:col>
      <xdr:colOff>601980</xdr:colOff>
      <xdr:row>31</xdr:row>
      <xdr:rowOff>92075</xdr:rowOff>
    </xdr:to>
    <xdr:cxnSp macro="">
      <xdr:nvCxnSpPr>
        <xdr:cNvPr id="75" name="Straight Arrow Connector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CxnSpPr>
          <a:cxnSpLocks noChangeShapeType="1"/>
        </xdr:cNvCxnSpPr>
      </xdr:nvCxnSpPr>
      <xdr:spPr bwMode="auto">
        <a:xfrm>
          <a:off x="659130" y="3254375"/>
          <a:ext cx="175641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32385</xdr:colOff>
      <xdr:row>31</xdr:row>
      <xdr:rowOff>91440</xdr:rowOff>
    </xdr:from>
    <xdr:to>
      <xdr:col>7</xdr:col>
      <xdr:colOff>465455</xdr:colOff>
      <xdr:row>31</xdr:row>
      <xdr:rowOff>91440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>
          <a:cxnSpLocks noChangeShapeType="1"/>
        </xdr:cNvCxnSpPr>
      </xdr:nvCxnSpPr>
      <xdr:spPr bwMode="auto">
        <a:xfrm>
          <a:off x="3080385" y="3253740"/>
          <a:ext cx="165227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217805</xdr:colOff>
      <xdr:row>31</xdr:row>
      <xdr:rowOff>92075</xdr:rowOff>
    </xdr:from>
    <xdr:to>
      <xdr:col>11</xdr:col>
      <xdr:colOff>145415</xdr:colOff>
      <xdr:row>31</xdr:row>
      <xdr:rowOff>92075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>
          <a:cxnSpLocks noChangeShapeType="1"/>
        </xdr:cNvCxnSpPr>
      </xdr:nvCxnSpPr>
      <xdr:spPr bwMode="auto">
        <a:xfrm>
          <a:off x="5094605" y="3254375"/>
          <a:ext cx="175641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79375</xdr:colOff>
      <xdr:row>5</xdr:row>
      <xdr:rowOff>71438</xdr:rowOff>
    </xdr:from>
    <xdr:to>
      <xdr:col>2</xdr:col>
      <xdr:colOff>3305174</xdr:colOff>
      <xdr:row>6</xdr:row>
      <xdr:rowOff>191793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CDDE6409-8364-4252-81F3-14B9E556AB19}"/>
            </a:ext>
          </a:extLst>
        </xdr:cNvPr>
        <xdr:cNvGrpSpPr/>
      </xdr:nvGrpSpPr>
      <xdr:grpSpPr>
        <a:xfrm>
          <a:off x="484188" y="1381126"/>
          <a:ext cx="3225799" cy="501355"/>
          <a:chOff x="19188906" y="645582"/>
          <a:chExt cx="1163973" cy="499371"/>
        </a:xfrm>
      </xdr:grpSpPr>
      <xdr:sp macro="[0]!goToInvAdjData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F349350F-86C2-F3A8-CFE2-98707CA0F93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បញ្ជីសន្និធិ(ស្តុក)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InvAdjData" textlink="">
        <xdr:nvSpPr>
          <xdr:cNvPr id="5" name="Rectangle 4">
            <a:extLst>
              <a:ext uri="{FF2B5EF4-FFF2-40B4-BE49-F238E27FC236}">
                <a16:creationId xmlns:a16="http://schemas.microsoft.com/office/drawing/2014/main" id="{464B677F-0D56-29CF-9512-057F397726B9}"/>
              </a:ext>
            </a:extLst>
          </xdr:cNvPr>
          <xdr:cNvSpPr/>
        </xdr:nvSpPr>
        <xdr:spPr>
          <a:xfrm>
            <a:off x="19462726" y="717728"/>
            <a:ext cx="113407" cy="36901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W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6</xdr:row>
      <xdr:rowOff>266700</xdr:rowOff>
    </xdr:from>
    <xdr:to>
      <xdr:col>2</xdr:col>
      <xdr:colOff>3305174</xdr:colOff>
      <xdr:row>8</xdr:row>
      <xdr:rowOff>6055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1A415161-925A-FCAE-CF84-3CAA35AD45F4}"/>
            </a:ext>
          </a:extLst>
        </xdr:cNvPr>
        <xdr:cNvGrpSpPr/>
      </xdr:nvGrpSpPr>
      <xdr:grpSpPr>
        <a:xfrm>
          <a:off x="484188" y="1957388"/>
          <a:ext cx="3225799" cy="501355"/>
          <a:chOff x="19188906" y="645582"/>
          <a:chExt cx="1163973" cy="499371"/>
        </a:xfrm>
      </xdr:grpSpPr>
      <xdr:sp macro="[0]!goToInvAdjDetailData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B44746D3-45A0-4C99-C844-8DF2EFD44458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សន្និធិ(ស្តុក)លំអិត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InvAdjDetailData" textlink="">
        <xdr:nvSpPr>
          <xdr:cNvPr id="8" name="Rectangle 7">
            <a:extLst>
              <a:ext uri="{FF2B5EF4-FFF2-40B4-BE49-F238E27FC236}">
                <a16:creationId xmlns:a16="http://schemas.microsoft.com/office/drawing/2014/main" id="{EF1074EF-84C5-216F-664F-06F6A72CF2BD}"/>
              </a:ext>
            </a:extLst>
          </xdr:cNvPr>
          <xdr:cNvSpPr/>
        </xdr:nvSpPr>
        <xdr:spPr>
          <a:xfrm>
            <a:off x="19438667" y="765165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V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8</xdr:row>
      <xdr:rowOff>95250</xdr:rowOff>
    </xdr:from>
    <xdr:to>
      <xdr:col>2</xdr:col>
      <xdr:colOff>3305174</xdr:colOff>
      <xdr:row>9</xdr:row>
      <xdr:rowOff>215605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8534B52-1E1B-2915-F426-1DF5500E8756}"/>
            </a:ext>
          </a:extLst>
        </xdr:cNvPr>
        <xdr:cNvGrpSpPr/>
      </xdr:nvGrpSpPr>
      <xdr:grpSpPr>
        <a:xfrm>
          <a:off x="484188" y="2547938"/>
          <a:ext cx="3225799" cy="501355"/>
          <a:chOff x="19188906" y="645582"/>
          <a:chExt cx="1163973" cy="499371"/>
        </a:xfrm>
      </xdr:grpSpPr>
      <xdr:sp macro="[0]!goInventory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8484B6A4-1EC2-B86F-C550-FD7507504AE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លក់លំអិត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" textlink="">
        <xdr:nvSpPr>
          <xdr:cNvPr id="11" name="Rectangle 10">
            <a:extLst>
              <a:ext uri="{FF2B5EF4-FFF2-40B4-BE49-F238E27FC236}">
                <a16:creationId xmlns:a16="http://schemas.microsoft.com/office/drawing/2014/main" id="{831A858B-9D9E-6320-144D-E16E41053B98}"/>
              </a:ext>
            </a:extLst>
          </xdr:cNvPr>
          <xdr:cNvSpPr/>
        </xdr:nvSpPr>
        <xdr:spPr>
          <a:xfrm>
            <a:off x="19328685" y="784140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9</xdr:row>
      <xdr:rowOff>314325</xdr:rowOff>
    </xdr:from>
    <xdr:to>
      <xdr:col>2</xdr:col>
      <xdr:colOff>3305174</xdr:colOff>
      <xdr:row>11</xdr:row>
      <xdr:rowOff>53680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20ACD636-5416-830B-F579-2043515A0EEC}"/>
            </a:ext>
          </a:extLst>
        </xdr:cNvPr>
        <xdr:cNvGrpSpPr/>
      </xdr:nvGrpSpPr>
      <xdr:grpSpPr>
        <a:xfrm>
          <a:off x="484188" y="3148013"/>
          <a:ext cx="3225799" cy="501355"/>
          <a:chOff x="19188906" y="645582"/>
          <a:chExt cx="1163973" cy="499371"/>
        </a:xfrm>
      </xdr:grpSpPr>
      <xdr:sp macro="[0]!goInventoryTotal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7E12C92B-3E2D-C417-DA5A-435EA715F265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លក់សរុបតាមទីតាំង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Total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2A9FD49-14F7-5E73-A0E8-97F4D1D1CDD0}"/>
              </a:ext>
            </a:extLst>
          </xdr:cNvPr>
          <xdr:cNvSpPr/>
        </xdr:nvSpPr>
        <xdr:spPr>
          <a:xfrm>
            <a:off x="19239325" y="755678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L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11</xdr:row>
      <xdr:rowOff>152400</xdr:rowOff>
    </xdr:from>
    <xdr:to>
      <xdr:col>2</xdr:col>
      <xdr:colOff>3305174</xdr:colOff>
      <xdr:row>12</xdr:row>
      <xdr:rowOff>272755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68E4D15-FEAD-A315-7EAA-5A3A213A935D}"/>
            </a:ext>
          </a:extLst>
        </xdr:cNvPr>
        <xdr:cNvGrpSpPr/>
      </xdr:nvGrpSpPr>
      <xdr:grpSpPr>
        <a:xfrm>
          <a:off x="484188" y="3748088"/>
          <a:ext cx="3225799" cy="501355"/>
          <a:chOff x="19188906" y="645582"/>
          <a:chExt cx="1163973" cy="499371"/>
        </a:xfrm>
      </xdr:grpSpPr>
      <xdr:sp macro="[0]!goInventoryTotalDetai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0FED3FE3-819A-49D1-B8E9-4DDBE0C918B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លក់លំអិតតាមទីតាំង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TotalDetail" textlink="">
        <xdr:nvSpPr>
          <xdr:cNvPr id="17" name="Rectangle 16">
            <a:extLst>
              <a:ext uri="{FF2B5EF4-FFF2-40B4-BE49-F238E27FC236}">
                <a16:creationId xmlns:a16="http://schemas.microsoft.com/office/drawing/2014/main" id="{D9D90328-4962-1DE1-CE2A-F806C8913DB9}"/>
              </a:ext>
            </a:extLst>
          </xdr:cNvPr>
          <xdr:cNvSpPr/>
        </xdr:nvSpPr>
        <xdr:spPr>
          <a:xfrm>
            <a:off x="19211829" y="793627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12</xdr:row>
      <xdr:rowOff>371475</xdr:rowOff>
    </xdr:from>
    <xdr:to>
      <xdr:col>2</xdr:col>
      <xdr:colOff>3305174</xdr:colOff>
      <xdr:row>14</xdr:row>
      <xdr:rowOff>110830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DA25545D-B5BE-20C1-E1F7-701E41F5B134}"/>
            </a:ext>
          </a:extLst>
        </xdr:cNvPr>
        <xdr:cNvGrpSpPr/>
      </xdr:nvGrpSpPr>
      <xdr:grpSpPr>
        <a:xfrm>
          <a:off x="484188" y="4348163"/>
          <a:ext cx="3225799" cy="501355"/>
          <a:chOff x="19188906" y="645582"/>
          <a:chExt cx="1163973" cy="499371"/>
        </a:xfrm>
      </xdr:grpSpPr>
      <xdr:sp macro="[0]!goGroupTotal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1BB1F51D-B413-4563-9F13-1A120BD19B0D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លក់សរុបតាមឃ្លាំង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GroupTotal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AE9E33A-336B-53B1-8B8E-FFF5C730467D}"/>
              </a:ext>
            </a:extLst>
          </xdr:cNvPr>
          <xdr:cNvSpPr/>
        </xdr:nvSpPr>
        <xdr:spPr>
          <a:xfrm>
            <a:off x="19239325" y="755678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L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14</xdr:row>
      <xdr:rowOff>203495</xdr:rowOff>
    </xdr:from>
    <xdr:to>
      <xdr:col>2</xdr:col>
      <xdr:colOff>3305174</xdr:colOff>
      <xdr:row>15</xdr:row>
      <xdr:rowOff>323850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CE698650-0F7E-45FC-1F28-D2D080EF4BFA}"/>
            </a:ext>
          </a:extLst>
        </xdr:cNvPr>
        <xdr:cNvGrpSpPr/>
      </xdr:nvGrpSpPr>
      <xdr:grpSpPr>
        <a:xfrm>
          <a:off x="484188" y="4942183"/>
          <a:ext cx="3225799" cy="501355"/>
          <a:chOff x="19188906" y="645582"/>
          <a:chExt cx="1163973" cy="499371"/>
        </a:xfrm>
      </xdr:grpSpPr>
      <xdr:sp macro="[0]!goGroupTotalDetail" textlink="">
        <xdr:nvSpPr>
          <xdr:cNvPr id="22" name="Rectangle: Rounded Corners 21">
            <a:extLst>
              <a:ext uri="{FF2B5EF4-FFF2-40B4-BE49-F238E27FC236}">
                <a16:creationId xmlns:a16="http://schemas.microsoft.com/office/drawing/2014/main" id="{8B37F417-4A08-F431-66D6-2883235DE79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លក់លំអិតតាមឃ្លាំង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GroupTotalDetail" textlink="">
        <xdr:nvSpPr>
          <xdr:cNvPr id="23" name="Rectangle 22">
            <a:extLst>
              <a:ext uri="{FF2B5EF4-FFF2-40B4-BE49-F238E27FC236}">
                <a16:creationId xmlns:a16="http://schemas.microsoft.com/office/drawing/2014/main" id="{7582449C-A91A-DDB8-75A6-F79620722527}"/>
              </a:ext>
            </a:extLst>
          </xdr:cNvPr>
          <xdr:cNvSpPr/>
        </xdr:nvSpPr>
        <xdr:spPr>
          <a:xfrm>
            <a:off x="19229014" y="737000"/>
            <a:ext cx="129680" cy="34237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16</xdr:row>
      <xdr:rowOff>51095</xdr:rowOff>
    </xdr:from>
    <xdr:to>
      <xdr:col>2</xdr:col>
      <xdr:colOff>3305174</xdr:colOff>
      <xdr:row>17</xdr:row>
      <xdr:rowOff>171450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C850F1C-231B-A568-C183-B2707A44B7D6}"/>
            </a:ext>
          </a:extLst>
        </xdr:cNvPr>
        <xdr:cNvGrpSpPr/>
      </xdr:nvGrpSpPr>
      <xdr:grpSpPr>
        <a:xfrm>
          <a:off x="484188" y="5551783"/>
          <a:ext cx="3225799" cy="501355"/>
          <a:chOff x="19188906" y="645582"/>
          <a:chExt cx="1163973" cy="499371"/>
        </a:xfrm>
      </xdr:grpSpPr>
      <xdr:sp macro="[0]!goInventoryValuation" textlink="">
        <xdr:nvSpPr>
          <xdr:cNvPr id="25" name="Rectangle: Rounded Corners 24">
            <a:extLst>
              <a:ext uri="{FF2B5EF4-FFF2-40B4-BE49-F238E27FC236}">
                <a16:creationId xmlns:a16="http://schemas.microsoft.com/office/drawing/2014/main" id="{A6AEECAC-FA63-287E-86AF-4D8A52C6A5BA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បញ្ជីរង្វាយតម្លៃសន្និ(ស្តុក)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Valuation" textlink="">
        <xdr:nvSpPr>
          <xdr:cNvPr id="26" name="Rectangle 25">
            <a:extLst>
              <a:ext uri="{FF2B5EF4-FFF2-40B4-BE49-F238E27FC236}">
                <a16:creationId xmlns:a16="http://schemas.microsoft.com/office/drawing/2014/main" id="{4FF13239-B017-598D-72B5-522290BD4F23}"/>
              </a:ext>
            </a:extLst>
          </xdr:cNvPr>
          <xdr:cNvSpPr/>
        </xdr:nvSpPr>
        <xdr:spPr>
          <a:xfrm>
            <a:off x="19338996" y="746190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j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98427</xdr:colOff>
      <xdr:row>5</xdr:row>
      <xdr:rowOff>71438</xdr:rowOff>
    </xdr:from>
    <xdr:to>
      <xdr:col>3</xdr:col>
      <xdr:colOff>2952751</xdr:colOff>
      <xdr:row>6</xdr:row>
      <xdr:rowOff>191793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AE5010C3-8144-D9DF-6E49-1750B428160B}"/>
            </a:ext>
          </a:extLst>
        </xdr:cNvPr>
        <xdr:cNvGrpSpPr/>
      </xdr:nvGrpSpPr>
      <xdr:grpSpPr>
        <a:xfrm>
          <a:off x="3908427" y="1381126"/>
          <a:ext cx="2854324" cy="501355"/>
          <a:chOff x="19188906" y="645582"/>
          <a:chExt cx="1163973" cy="499371"/>
        </a:xfrm>
      </xdr:grpSpPr>
      <xdr:sp macro="[0]!goPurchaseBill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5E5AED64-64D9-D08C-0276-BE7421B53C7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បញ្ជីទិញទំនិញ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urchaseBill" textlink="">
        <xdr:nvSpPr>
          <xdr:cNvPr id="29" name="Rectangle 28">
            <a:extLst>
              <a:ext uri="{FF2B5EF4-FFF2-40B4-BE49-F238E27FC236}">
                <a16:creationId xmlns:a16="http://schemas.microsoft.com/office/drawing/2014/main" id="{3862A342-0060-DD63-A4FB-2AF5D2CAA629}"/>
              </a:ext>
            </a:extLst>
          </xdr:cNvPr>
          <xdr:cNvSpPr/>
        </xdr:nvSpPr>
        <xdr:spPr>
          <a:xfrm>
            <a:off x="19451073" y="765165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)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98427</xdr:colOff>
      <xdr:row>6</xdr:row>
      <xdr:rowOff>260645</xdr:rowOff>
    </xdr:from>
    <xdr:to>
      <xdr:col>3</xdr:col>
      <xdr:colOff>2952751</xdr:colOff>
      <xdr:row>8</xdr:row>
      <xdr:rowOff>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7EF80D1-4345-FCF6-00FF-E1CE2CF3AC4F}"/>
            </a:ext>
          </a:extLst>
        </xdr:cNvPr>
        <xdr:cNvGrpSpPr/>
      </xdr:nvGrpSpPr>
      <xdr:grpSpPr>
        <a:xfrm>
          <a:off x="3908427" y="1951333"/>
          <a:ext cx="2854324" cy="501355"/>
          <a:chOff x="19188906" y="645582"/>
          <a:chExt cx="1163973" cy="499371"/>
        </a:xfrm>
      </xdr:grpSpPr>
      <xdr:sp macro="[0]!goPurchaseBillDetail" textlink="">
        <xdr:nvSpPr>
          <xdr:cNvPr id="31" name="Rectangle: Rounded Corners 30">
            <a:extLst>
              <a:ext uri="{FF2B5EF4-FFF2-40B4-BE49-F238E27FC236}">
                <a16:creationId xmlns:a16="http://schemas.microsoft.com/office/drawing/2014/main" id="{24365E72-74B1-0DF7-0967-F3460B112802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បញ្ជីទិញទំនិញលំអិត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urchaseBillDetail" textlink="">
        <xdr:nvSpPr>
          <xdr:cNvPr id="32" name="Rectangle 31">
            <a:extLst>
              <a:ext uri="{FF2B5EF4-FFF2-40B4-BE49-F238E27FC236}">
                <a16:creationId xmlns:a16="http://schemas.microsoft.com/office/drawing/2014/main" id="{2837C5F6-7665-16D0-42E6-1E4B4F18AAFC}"/>
              </a:ext>
            </a:extLst>
          </xdr:cNvPr>
          <xdr:cNvSpPr/>
        </xdr:nvSpPr>
        <xdr:spPr>
          <a:xfrm>
            <a:off x="19377273" y="746190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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127002</xdr:colOff>
      <xdr:row>5</xdr:row>
      <xdr:rowOff>71438</xdr:rowOff>
    </xdr:from>
    <xdr:to>
      <xdr:col>4</xdr:col>
      <xdr:colOff>2505076</xdr:colOff>
      <xdr:row>15</xdr:row>
      <xdr:rowOff>323850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B26150D-538E-34C6-11C3-99C177F65698}"/>
            </a:ext>
          </a:extLst>
        </xdr:cNvPr>
        <xdr:cNvGrpSpPr/>
      </xdr:nvGrpSpPr>
      <xdr:grpSpPr>
        <a:xfrm>
          <a:off x="6973096" y="1381126"/>
          <a:ext cx="2378074" cy="4062412"/>
          <a:chOff x="7185027" y="1385888"/>
          <a:chExt cx="2378074" cy="4062412"/>
        </a:xfrm>
      </xdr:grpSpPr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F302175A-53FC-0CEC-C934-85E5200F6300}"/>
              </a:ext>
            </a:extLst>
          </xdr:cNvPr>
          <xdr:cNvGrpSpPr/>
        </xdr:nvGrpSpPr>
        <xdr:grpSpPr>
          <a:xfrm>
            <a:off x="7185027" y="1385888"/>
            <a:ext cx="2378074" cy="501355"/>
            <a:chOff x="19188906" y="645582"/>
            <a:chExt cx="1163973" cy="499371"/>
          </a:xfrm>
        </xdr:grpSpPr>
        <xdr:sp macro="[0]!goReceivePayment" textlink="">
          <xdr:nvSpPr>
            <xdr:cNvPr id="37" name="Rectangle: Rounded Corners 36">
              <a:extLst>
                <a:ext uri="{FF2B5EF4-FFF2-40B4-BE49-F238E27FC236}">
                  <a16:creationId xmlns:a16="http://schemas.microsoft.com/office/drawing/2014/main" id="{CAE6F6B3-E4FA-52AC-5EDB-5096BCDB6C3C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បញ្ជីទទួលលុយ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ReceivePayment" textlink="">
          <xdr:nvSpPr>
            <xdr:cNvPr id="38" name="Rectangle 37">
              <a:extLst>
                <a:ext uri="{FF2B5EF4-FFF2-40B4-BE49-F238E27FC236}">
                  <a16:creationId xmlns:a16="http://schemas.microsoft.com/office/drawing/2014/main" id="{FD729466-CCF0-B172-DA7E-499969206A3D}"/>
                </a:ext>
              </a:extLst>
            </xdr:cNvPr>
            <xdr:cNvSpPr/>
          </xdr:nvSpPr>
          <xdr:spPr>
            <a:xfrm>
              <a:off x="19372169" y="765165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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1E5C809E-98D0-5B04-F97F-0AE3F1BA3DB3}"/>
              </a:ext>
            </a:extLst>
          </xdr:cNvPr>
          <xdr:cNvGrpSpPr/>
        </xdr:nvGrpSpPr>
        <xdr:grpSpPr>
          <a:xfrm>
            <a:off x="7185027" y="1962150"/>
            <a:ext cx="2378074" cy="501355"/>
            <a:chOff x="19188906" y="645582"/>
            <a:chExt cx="1163973" cy="499371"/>
          </a:xfrm>
        </xdr:grpSpPr>
        <xdr:sp macro="[0]!goReceivePaymentDetail" textlink="">
          <xdr:nvSpPr>
            <xdr:cNvPr id="40" name="Rectangle: Rounded Corners 39">
              <a:extLst>
                <a:ext uri="{FF2B5EF4-FFF2-40B4-BE49-F238E27FC236}">
                  <a16:creationId xmlns:a16="http://schemas.microsoft.com/office/drawing/2014/main" id="{55CD0D3E-188D-6F65-B16A-24E5DEE22B98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បញ្ជីទទួលលុយលំអិត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ReceivePaymentDetail" textlink="">
          <xdr:nvSpPr>
            <xdr:cNvPr id="41" name="Rectangle 40">
              <a:extLst>
                <a:ext uri="{FF2B5EF4-FFF2-40B4-BE49-F238E27FC236}">
                  <a16:creationId xmlns:a16="http://schemas.microsoft.com/office/drawing/2014/main" id="{C93E902D-D26D-FC2D-E667-23BC10639FC2}"/>
                </a:ext>
              </a:extLst>
            </xdr:cNvPr>
            <xdr:cNvSpPr/>
          </xdr:nvSpPr>
          <xdr:spPr>
            <a:xfrm>
              <a:off x="19274974" y="774652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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42" name="Group 41">
            <a:extLst>
              <a:ext uri="{FF2B5EF4-FFF2-40B4-BE49-F238E27FC236}">
                <a16:creationId xmlns:a16="http://schemas.microsoft.com/office/drawing/2014/main" id="{D9CC046D-C844-F81F-3134-A2D8C8E4EBF6}"/>
              </a:ext>
            </a:extLst>
          </xdr:cNvPr>
          <xdr:cNvGrpSpPr/>
        </xdr:nvGrpSpPr>
        <xdr:grpSpPr>
          <a:xfrm>
            <a:off x="7185027" y="2552700"/>
            <a:ext cx="2378074" cy="501355"/>
            <a:chOff x="19188906" y="645582"/>
            <a:chExt cx="1163973" cy="499371"/>
          </a:xfrm>
        </xdr:grpSpPr>
        <xdr:sp macro="[0]!goSalesInvoiceReceipt" textlink="">
          <xdr:nvSpPr>
            <xdr:cNvPr id="43" name="Rectangle: Rounded Corners 42">
              <a:extLst>
                <a:ext uri="{FF2B5EF4-FFF2-40B4-BE49-F238E27FC236}">
                  <a16:creationId xmlns:a16="http://schemas.microsoft.com/office/drawing/2014/main" id="{C6CA5371-A292-A2D3-817D-C8A4DD1D4E42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បញ្ជីទូទាត់វិក្កយបត្រ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SalesInvoiceReceipt" textlink="">
          <xdr:nvSpPr>
            <xdr:cNvPr id="44" name="Rectangle 43">
              <a:extLst>
                <a:ext uri="{FF2B5EF4-FFF2-40B4-BE49-F238E27FC236}">
                  <a16:creationId xmlns:a16="http://schemas.microsoft.com/office/drawing/2014/main" id="{CEDE16D7-3AC2-C2C5-8B23-BFC99F7BA765}"/>
                </a:ext>
              </a:extLst>
            </xdr:cNvPr>
            <xdr:cNvSpPr/>
          </xdr:nvSpPr>
          <xdr:spPr>
            <a:xfrm>
              <a:off x="19271269" y="730968"/>
              <a:ext cx="221092" cy="37000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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45BA15E2-D556-F353-F8FA-F497771BFB82}"/>
              </a:ext>
            </a:extLst>
          </xdr:cNvPr>
          <xdr:cNvGrpSpPr/>
        </xdr:nvGrpSpPr>
        <xdr:grpSpPr>
          <a:xfrm>
            <a:off x="7185027" y="3152775"/>
            <a:ext cx="2378074" cy="501355"/>
            <a:chOff x="19188906" y="645582"/>
            <a:chExt cx="1163973" cy="499371"/>
          </a:xfrm>
        </xdr:grpSpPr>
        <xdr:sp macro="[0]!goQuotationData" textlink="">
          <xdr:nvSpPr>
            <xdr:cNvPr id="46" name="Rectangle: Rounded Corners 45">
              <a:extLst>
                <a:ext uri="{FF2B5EF4-FFF2-40B4-BE49-F238E27FC236}">
                  <a16:creationId xmlns:a16="http://schemas.microsoft.com/office/drawing/2014/main" id="{7E02770A-9D6E-5CFC-0647-4F15A2B114C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បញ្ជីប៉ាន់ស្មានតម្លៃ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QuotationData" textlink="">
          <xdr:nvSpPr>
            <xdr:cNvPr id="47" name="Rectangle 46">
              <a:extLst>
                <a:ext uri="{FF2B5EF4-FFF2-40B4-BE49-F238E27FC236}">
                  <a16:creationId xmlns:a16="http://schemas.microsoft.com/office/drawing/2014/main" id="{CAB51B71-2DA6-212C-8373-5137C54BCA0E}"/>
                </a:ext>
              </a:extLst>
            </xdr:cNvPr>
            <xdr:cNvSpPr/>
          </xdr:nvSpPr>
          <xdr:spPr>
            <a:xfrm>
              <a:off x="19344084" y="746190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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48" name="Group 47">
            <a:extLst>
              <a:ext uri="{FF2B5EF4-FFF2-40B4-BE49-F238E27FC236}">
                <a16:creationId xmlns:a16="http://schemas.microsoft.com/office/drawing/2014/main" id="{D3DB1EB5-FA6C-213F-4971-E0EF29899AC9}"/>
              </a:ext>
            </a:extLst>
          </xdr:cNvPr>
          <xdr:cNvGrpSpPr/>
        </xdr:nvGrpSpPr>
        <xdr:grpSpPr>
          <a:xfrm>
            <a:off x="7185027" y="3752850"/>
            <a:ext cx="2378074" cy="501355"/>
            <a:chOff x="19188906" y="645582"/>
            <a:chExt cx="1163973" cy="499371"/>
          </a:xfrm>
        </xdr:grpSpPr>
        <xdr:sp macro="[0]!goQuoteDetailData" textlink="">
          <xdr:nvSpPr>
            <xdr:cNvPr id="49" name="Rectangle: Rounded Corners 48">
              <a:extLst>
                <a:ext uri="{FF2B5EF4-FFF2-40B4-BE49-F238E27FC236}">
                  <a16:creationId xmlns:a16="http://schemas.microsoft.com/office/drawing/2014/main" id="{D1A7FA07-0670-9F4B-39F7-719BE45C0015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បញ្ជីប៉ាន់ស្មានតម្លៃលំអិត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QuoteDetailData" textlink="">
          <xdr:nvSpPr>
            <xdr:cNvPr id="50" name="Rectangle 49">
              <a:extLst>
                <a:ext uri="{FF2B5EF4-FFF2-40B4-BE49-F238E27FC236}">
                  <a16:creationId xmlns:a16="http://schemas.microsoft.com/office/drawing/2014/main" id="{0102C6F3-F4E4-C5E3-6A2E-2951B5C80FEB}"/>
                </a:ext>
              </a:extLst>
            </xdr:cNvPr>
            <xdr:cNvSpPr/>
          </xdr:nvSpPr>
          <xdr:spPr>
            <a:xfrm>
              <a:off x="19262508" y="755678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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51" name="Group 50">
            <a:extLst>
              <a:ext uri="{FF2B5EF4-FFF2-40B4-BE49-F238E27FC236}">
                <a16:creationId xmlns:a16="http://schemas.microsoft.com/office/drawing/2014/main" id="{58527CB9-5FA3-4F2A-FF1F-1F989AFBA993}"/>
              </a:ext>
            </a:extLst>
          </xdr:cNvPr>
          <xdr:cNvGrpSpPr/>
        </xdr:nvGrpSpPr>
        <xdr:grpSpPr>
          <a:xfrm>
            <a:off x="7185027" y="4352925"/>
            <a:ext cx="2378074" cy="501355"/>
            <a:chOff x="19188906" y="645582"/>
            <a:chExt cx="1163973" cy="499371"/>
          </a:xfrm>
        </xdr:grpSpPr>
        <xdr:sp macro="[0]!goToSaleInvoiceData" textlink="">
          <xdr:nvSpPr>
            <xdr:cNvPr id="52" name="Rectangle: Rounded Corners 51">
              <a:extLst>
                <a:ext uri="{FF2B5EF4-FFF2-40B4-BE49-F238E27FC236}">
                  <a16:creationId xmlns:a16="http://schemas.microsoft.com/office/drawing/2014/main" id="{F0CBAAFC-6776-6B34-305D-E0D5B5477F3B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ToSaleInvoiceData" textlink="">
          <xdr:nvSpPr>
            <xdr:cNvPr id="53" name="Rectangle 52">
              <a:extLst>
                <a:ext uri="{FF2B5EF4-FFF2-40B4-BE49-F238E27FC236}">
                  <a16:creationId xmlns:a16="http://schemas.microsoft.com/office/drawing/2014/main" id="{3736225F-FF5B-134E-98BD-281C3B8C7B65}"/>
                </a:ext>
              </a:extLst>
            </xdr:cNvPr>
            <xdr:cNvSpPr/>
          </xdr:nvSpPr>
          <xdr:spPr>
            <a:xfrm>
              <a:off x="19418786" y="784140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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54" name="Group 53">
            <a:extLst>
              <a:ext uri="{FF2B5EF4-FFF2-40B4-BE49-F238E27FC236}">
                <a16:creationId xmlns:a16="http://schemas.microsoft.com/office/drawing/2014/main" id="{EB98666D-649A-612A-1E80-4E760B5B8EEA}"/>
              </a:ext>
            </a:extLst>
          </xdr:cNvPr>
          <xdr:cNvGrpSpPr/>
        </xdr:nvGrpSpPr>
        <xdr:grpSpPr>
          <a:xfrm>
            <a:off x="7185027" y="4946945"/>
            <a:ext cx="2378074" cy="501355"/>
            <a:chOff x="19188906" y="645582"/>
            <a:chExt cx="1163973" cy="499371"/>
          </a:xfrm>
        </xdr:grpSpPr>
        <xdr:sp macro="[0]!goToSaleInvoiceDetialData" textlink="">
          <xdr:nvSpPr>
            <xdr:cNvPr id="55" name="Rectangle: Rounded Corners 54">
              <a:extLst>
                <a:ext uri="{FF2B5EF4-FFF2-40B4-BE49-F238E27FC236}">
                  <a16:creationId xmlns:a16="http://schemas.microsoft.com/office/drawing/2014/main" id="{238F3EB4-2D3F-8BFB-7082-56476F7DBF09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បញ្ជីវិក្កយបត្រលំអិត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ToSaleInvoiceDetialData" textlink="">
          <xdr:nvSpPr>
            <xdr:cNvPr id="56" name="Rectangle 55">
              <a:extLst>
                <a:ext uri="{FF2B5EF4-FFF2-40B4-BE49-F238E27FC236}">
                  <a16:creationId xmlns:a16="http://schemas.microsoft.com/office/drawing/2014/main" id="{6712DD2F-91E2-8DBA-0387-F7C4189F5385}"/>
                </a:ext>
              </a:extLst>
            </xdr:cNvPr>
            <xdr:cNvSpPr/>
          </xdr:nvSpPr>
          <xdr:spPr>
            <a:xfrm>
              <a:off x="19321826" y="746190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L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  <xdr:twoCellAnchor>
    <xdr:from>
      <xdr:col>5</xdr:col>
      <xdr:colOff>171450</xdr:colOff>
      <xdr:row>5</xdr:row>
      <xdr:rowOff>71438</xdr:rowOff>
    </xdr:from>
    <xdr:to>
      <xdr:col>5</xdr:col>
      <xdr:colOff>2876550</xdr:colOff>
      <xdr:row>8</xdr:row>
      <xdr:rowOff>6055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E79A4553-17EB-8B55-C600-9FB7BDB85703}"/>
            </a:ext>
          </a:extLst>
        </xdr:cNvPr>
        <xdr:cNvGrpSpPr/>
      </xdr:nvGrpSpPr>
      <xdr:grpSpPr>
        <a:xfrm>
          <a:off x="9672638" y="1381126"/>
          <a:ext cx="2705100" cy="1077617"/>
          <a:chOff x="9629775" y="1385888"/>
          <a:chExt cx="2705100" cy="1077617"/>
        </a:xfrm>
      </xdr:grpSpPr>
      <xdr:grpSp>
        <xdr:nvGrpSpPr>
          <xdr:cNvPr id="57" name="Group 56">
            <a:extLst>
              <a:ext uri="{FF2B5EF4-FFF2-40B4-BE49-F238E27FC236}">
                <a16:creationId xmlns:a16="http://schemas.microsoft.com/office/drawing/2014/main" id="{C3EDCF08-3412-E3DC-F3C9-D90B111A4E74}"/>
              </a:ext>
            </a:extLst>
          </xdr:cNvPr>
          <xdr:cNvGrpSpPr/>
        </xdr:nvGrpSpPr>
        <xdr:grpSpPr>
          <a:xfrm>
            <a:off x="9629775" y="1385888"/>
            <a:ext cx="2705100" cy="501355"/>
            <a:chOff x="19188906" y="645582"/>
            <a:chExt cx="1163973" cy="499371"/>
          </a:xfrm>
        </xdr:grpSpPr>
        <xdr:sp macro="[0]!goGeneralLedger" textlink="">
          <xdr:nvSpPr>
            <xdr:cNvPr id="58" name="Rectangle: Rounded Corners 57">
              <a:extLst>
                <a:ext uri="{FF2B5EF4-FFF2-40B4-BE49-F238E27FC236}">
                  <a16:creationId xmlns:a16="http://schemas.microsoft.com/office/drawing/2014/main" id="{1624057B-9265-9085-83C9-3BB052290B2F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បញ្ជីសៀវភៅធំ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GeneralLedger" textlink="">
          <xdr:nvSpPr>
            <xdr:cNvPr id="59" name="Rectangle 58">
              <a:extLst>
                <a:ext uri="{FF2B5EF4-FFF2-40B4-BE49-F238E27FC236}">
                  <a16:creationId xmlns:a16="http://schemas.microsoft.com/office/drawing/2014/main" id="{245A896F-D6CC-2E0D-272E-8C64F3090928}"/>
                </a:ext>
              </a:extLst>
            </xdr:cNvPr>
            <xdr:cNvSpPr/>
          </xdr:nvSpPr>
          <xdr:spPr>
            <a:xfrm>
              <a:off x="19432437" y="755678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>
                  <a:solidFill>
                    <a:srgbClr val="0066CC"/>
                  </a:solidFill>
                  <a:latin typeface="myicons" panose="02000509000000000000" pitchFamily="49" charset="0"/>
                </a:rPr>
                <a:t></a:t>
              </a:r>
              <a:endParaRPr lang="en-US" sz="18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60" name="Group 59">
            <a:extLst>
              <a:ext uri="{FF2B5EF4-FFF2-40B4-BE49-F238E27FC236}">
                <a16:creationId xmlns:a16="http://schemas.microsoft.com/office/drawing/2014/main" id="{FC948452-59EC-E2A6-E39F-C234F6A6B457}"/>
              </a:ext>
            </a:extLst>
          </xdr:cNvPr>
          <xdr:cNvGrpSpPr/>
        </xdr:nvGrpSpPr>
        <xdr:grpSpPr>
          <a:xfrm>
            <a:off x="9629775" y="1962150"/>
            <a:ext cx="2705100" cy="501355"/>
            <a:chOff x="19188906" y="645582"/>
            <a:chExt cx="1163973" cy="499371"/>
          </a:xfrm>
        </xdr:grpSpPr>
        <xdr:sp macro="[0]!goGeneralLedgerDetail" textlink="">
          <xdr:nvSpPr>
            <xdr:cNvPr id="61" name="Rectangle: Rounded Corners 60">
              <a:extLst>
                <a:ext uri="{FF2B5EF4-FFF2-40B4-BE49-F238E27FC236}">
                  <a16:creationId xmlns:a16="http://schemas.microsoft.com/office/drawing/2014/main" id="{859630FC-887C-1445-D8D6-85A485C75433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បញ្ជីសៀវភៅធំលំអិត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GeneralLedgerDetail" textlink="">
          <xdr:nvSpPr>
            <xdr:cNvPr id="62" name="Rectangle 61">
              <a:extLst>
                <a:ext uri="{FF2B5EF4-FFF2-40B4-BE49-F238E27FC236}">
                  <a16:creationId xmlns:a16="http://schemas.microsoft.com/office/drawing/2014/main" id="{244B51C6-84E9-DCB3-65CB-0BA305D8654B}"/>
                </a:ext>
              </a:extLst>
            </xdr:cNvPr>
            <xdr:cNvSpPr/>
          </xdr:nvSpPr>
          <xdr:spPr>
            <a:xfrm>
              <a:off x="19344598" y="793627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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  <xdr:twoCellAnchor>
    <xdr:from>
      <xdr:col>5</xdr:col>
      <xdr:colOff>171450</xdr:colOff>
      <xdr:row>8</xdr:row>
      <xdr:rowOff>133351</xdr:rowOff>
    </xdr:from>
    <xdr:to>
      <xdr:col>5</xdr:col>
      <xdr:colOff>2933700</xdr:colOff>
      <xdr:row>14</xdr:row>
      <xdr:rowOff>247649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9211CEFE-F106-4D0C-BA6C-27C3890833F3}"/>
            </a:ext>
          </a:extLst>
        </xdr:cNvPr>
        <xdr:cNvGrpSpPr/>
      </xdr:nvGrpSpPr>
      <xdr:grpSpPr>
        <a:xfrm>
          <a:off x="9672638" y="2586039"/>
          <a:ext cx="2762250" cy="2400298"/>
          <a:chOff x="19188906" y="643593"/>
          <a:chExt cx="1163973" cy="501360"/>
        </a:xfrm>
      </xdr:grpSpPr>
      <xdr:sp macro="[0]!goInvSalePbWorkbook" textlink="">
        <xdr:nvSpPr>
          <xdr:cNvPr id="34" name="Rectangle: Rounded Corners 33">
            <a:extLst>
              <a:ext uri="{FF2B5EF4-FFF2-40B4-BE49-F238E27FC236}">
                <a16:creationId xmlns:a16="http://schemas.microsoft.com/office/drawing/2014/main" id="{7B69A96E-E93C-FB8A-D319-4E0DA6E6CD4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ទម្រង់បញ្ចូលសន្និធិ ទិញ </a:t>
            </a:r>
          </a:p>
          <a:p>
            <a:pPr algn="ctr"/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លក់ និងរបាយការណ៍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SalePbWorkbook" textlink="">
        <xdr:nvSpPr>
          <xdr:cNvPr id="35" name="Rectangle 34">
            <a:extLst>
              <a:ext uri="{FF2B5EF4-FFF2-40B4-BE49-F238E27FC236}">
                <a16:creationId xmlns:a16="http://schemas.microsoft.com/office/drawing/2014/main" id="{42186F97-DF77-AF00-E0C6-0ACEEEACBCAD}"/>
              </a:ext>
            </a:extLst>
          </xdr:cNvPr>
          <xdr:cNvSpPr/>
        </xdr:nvSpPr>
        <xdr:spPr>
          <a:xfrm>
            <a:off x="19381103" y="760974"/>
            <a:ext cx="336495" cy="1631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4800">
                <a:solidFill>
                  <a:srgbClr val="0066CC"/>
                </a:solidFill>
                <a:latin typeface="myicons" panose="02000509000000000000" pitchFamily="49" charset="0"/>
              </a:rPr>
              <a:t>$</a:t>
            </a:r>
            <a:endParaRPr lang="en-US" sz="4800">
              <a:solidFill>
                <a:srgbClr val="0066CC"/>
              </a:solidFill>
            </a:endParaRPr>
          </a:p>
        </xdr:txBody>
      </xdr:sp>
      <xdr:sp macro="[0]!goInvSalePbWorkbook" textlink="">
        <xdr:nvSpPr>
          <xdr:cNvPr id="67" name="Rectangle 66">
            <a:extLst>
              <a:ext uri="{FF2B5EF4-FFF2-40B4-BE49-F238E27FC236}">
                <a16:creationId xmlns:a16="http://schemas.microsoft.com/office/drawing/2014/main" id="{9FA9DB3C-8D13-6BDB-067A-5387D14FC498}"/>
              </a:ext>
            </a:extLst>
          </xdr:cNvPr>
          <xdr:cNvSpPr/>
        </xdr:nvSpPr>
        <xdr:spPr>
          <a:xfrm>
            <a:off x="19636558" y="643593"/>
            <a:ext cx="555773" cy="350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0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10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0</xdr:colOff>
      <xdr:row>1</xdr:row>
      <xdr:rowOff>0</xdr:rowOff>
    </xdr:from>
    <xdr:to>
      <xdr:col>2</xdr:col>
      <xdr:colOff>1924051</xdr:colOff>
      <xdr:row>2</xdr:row>
      <xdr:rowOff>63205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C5B6110D-EF28-4B87-9A4A-F3E042DAA347}"/>
            </a:ext>
          </a:extLst>
        </xdr:cNvPr>
        <xdr:cNvGrpSpPr/>
      </xdr:nvGrpSpPr>
      <xdr:grpSpPr>
        <a:xfrm>
          <a:off x="404813" y="130969"/>
          <a:ext cx="1924051" cy="503736"/>
          <a:chOff x="19188906" y="645582"/>
          <a:chExt cx="1163973" cy="499371"/>
        </a:xfrm>
      </xdr:grpSpPr>
      <xdr:sp macro="[0]!resetAllFilter" textlink="">
        <xdr:nvSpPr>
          <xdr:cNvPr id="64" name="Rectangle: Rounded Corners 63">
            <a:extLst>
              <a:ext uri="{FF2B5EF4-FFF2-40B4-BE49-F238E27FC236}">
                <a16:creationId xmlns:a16="http://schemas.microsoft.com/office/drawing/2014/main" id="{26EBA97C-3D01-D2B5-B95B-BB4F678E6D0C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លុបតម្រងទិន្នន័យ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65" name="Rectangle 64">
            <a:extLst>
              <a:ext uri="{FF2B5EF4-FFF2-40B4-BE49-F238E27FC236}">
                <a16:creationId xmlns:a16="http://schemas.microsoft.com/office/drawing/2014/main" id="{A0FCD5B5-7103-4351-6B82-CB2F8DAA6455}"/>
              </a:ext>
            </a:extLst>
          </xdr:cNvPr>
          <xdr:cNvSpPr/>
        </xdr:nvSpPr>
        <xdr:spPr>
          <a:xfrm>
            <a:off x="1919986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9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142875</xdr:colOff>
      <xdr:row>3</xdr:row>
      <xdr:rowOff>11906</xdr:rowOff>
    </xdr:from>
    <xdr:to>
      <xdr:col>10</xdr:col>
      <xdr:colOff>342900</xdr:colOff>
      <xdr:row>4</xdr:row>
      <xdr:rowOff>141522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25AFA76C-6C1D-40BC-BDB0-0540DCCD1A78}"/>
            </a:ext>
          </a:extLst>
        </xdr:cNvPr>
        <xdr:cNvGrpSpPr/>
      </xdr:nvGrpSpPr>
      <xdr:grpSpPr>
        <a:xfrm>
          <a:off x="12668250" y="702469"/>
          <a:ext cx="2628900" cy="498709"/>
          <a:chOff x="19188906" y="645582"/>
          <a:chExt cx="1163973" cy="499371"/>
        </a:xfrm>
      </xdr:grpSpPr>
      <xdr:sp macro="[0]!goFilesSetting" textlink="">
        <xdr:nvSpPr>
          <xdr:cNvPr id="69" name="Rectangle: Rounded Corners 68">
            <a:extLst>
              <a:ext uri="{FF2B5EF4-FFF2-40B4-BE49-F238E27FC236}">
                <a16:creationId xmlns:a16="http://schemas.microsoft.com/office/drawing/2014/main" id="{8708E97B-8C84-2614-8E4D-AC6A752C97A2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កំណត់កន្លែងដាក់ឯកសារ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EF5AB780-C488-2329-9E48-BBAC363F0A66}"/>
              </a:ext>
            </a:extLst>
          </xdr:cNvPr>
          <xdr:cNvSpPr/>
        </xdr:nvSpPr>
        <xdr:spPr>
          <a:xfrm>
            <a:off x="19231858" y="761024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O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3176</xdr:colOff>
      <xdr:row>3</xdr:row>
      <xdr:rowOff>140758</xdr:rowOff>
    </xdr:from>
    <xdr:to>
      <xdr:col>3</xdr:col>
      <xdr:colOff>885896</xdr:colOff>
      <xdr:row>4</xdr:row>
      <xdr:rowOff>486833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951E72E-8149-418B-AE69-E2C57CA37B75}"/>
            </a:ext>
          </a:extLst>
        </xdr:cNvPr>
        <xdr:cNvGrpSpPr/>
      </xdr:nvGrpSpPr>
      <xdr:grpSpPr>
        <a:xfrm>
          <a:off x="491332" y="140758"/>
          <a:ext cx="1370877" cy="53657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1A581A2D-D062-2F1D-C743-9C816D022EAF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F014497A-CFAB-2BA0-A040-167CA3BF442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23811</xdr:colOff>
      <xdr:row>2</xdr:row>
      <xdr:rowOff>23813</xdr:rowOff>
    </xdr:from>
    <xdr:to>
      <xdr:col>3</xdr:col>
      <xdr:colOff>761999</xdr:colOff>
      <xdr:row>3</xdr:row>
      <xdr:rowOff>72730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AE40C28-0150-4FA1-80AE-FA4C2A7D53BC}"/>
            </a:ext>
          </a:extLst>
        </xdr:cNvPr>
        <xdr:cNvGrpSpPr/>
      </xdr:nvGrpSpPr>
      <xdr:grpSpPr>
        <a:xfrm>
          <a:off x="235478" y="214313"/>
          <a:ext cx="1288521" cy="493417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2D67C185-A19C-D60F-5342-A8FAF700D5AC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438F3EFC-0B1D-3704-0DDD-E9095ADA7BC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11907</xdr:colOff>
      <xdr:row>3</xdr:row>
      <xdr:rowOff>190500</xdr:rowOff>
    </xdr:from>
    <xdr:to>
      <xdr:col>3</xdr:col>
      <xdr:colOff>659942</xdr:colOff>
      <xdr:row>4</xdr:row>
      <xdr:rowOff>13199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CEA1674-030B-4858-9051-25D0031C3B91}"/>
            </a:ext>
          </a:extLst>
        </xdr:cNvPr>
        <xdr:cNvGrpSpPr/>
      </xdr:nvGrpSpPr>
      <xdr:grpSpPr>
        <a:xfrm>
          <a:off x="428626" y="190500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2689E962-E59A-F568-6000-6C50904928A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C2A7F293-C487-59D5-476D-0A04E6A0351A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63500</xdr:colOff>
      <xdr:row>4</xdr:row>
      <xdr:rowOff>116417</xdr:rowOff>
    </xdr:from>
    <xdr:to>
      <xdr:col>3</xdr:col>
      <xdr:colOff>757838</xdr:colOff>
      <xdr:row>4</xdr:row>
      <xdr:rowOff>617772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70F5744-9007-4168-86A1-3149BACCFF7C}"/>
            </a:ext>
          </a:extLst>
        </xdr:cNvPr>
        <xdr:cNvGrpSpPr/>
      </xdr:nvGrpSpPr>
      <xdr:grpSpPr>
        <a:xfrm>
          <a:off x="396875" y="116417"/>
          <a:ext cx="115868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62BEAD8-17FE-8A16-9F1A-BA7E3CAC7DB1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A0407EDB-295E-06C9-F46D-A37AEDCD788A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66676</xdr:rowOff>
    </xdr:from>
    <xdr:to>
      <xdr:col>3</xdr:col>
      <xdr:colOff>550404</xdr:colOff>
      <xdr:row>5</xdr:row>
      <xdr:rowOff>57151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92A628-6AEA-45ED-8B5C-BDFCD2B5CF13}"/>
            </a:ext>
          </a:extLst>
        </xdr:cNvPr>
        <xdr:cNvGrpSpPr/>
      </xdr:nvGrpSpPr>
      <xdr:grpSpPr>
        <a:xfrm>
          <a:off x="392906" y="66676"/>
          <a:ext cx="1157623" cy="419100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6DDF87-33D5-3A59-5DE6-9B03938E8F4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782314B5-4F8B-343E-6998-B443F72C8437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247649</xdr:colOff>
      <xdr:row>3</xdr:row>
      <xdr:rowOff>114300</xdr:rowOff>
    </xdr:from>
    <xdr:to>
      <xdr:col>3</xdr:col>
      <xdr:colOff>836082</xdr:colOff>
      <xdr:row>5</xdr:row>
      <xdr:rowOff>34630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80A0107-6B5E-4400-BCD5-BCE05CF7977A}"/>
            </a:ext>
          </a:extLst>
        </xdr:cNvPr>
        <xdr:cNvGrpSpPr/>
      </xdr:nvGrpSpPr>
      <xdr:grpSpPr>
        <a:xfrm>
          <a:off x="491066" y="114300"/>
          <a:ext cx="1350433" cy="502413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8D615113-6535-496C-7987-093EEC76073A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96A39BE3-0C7A-C928-6177-A2B28FC2988E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4</xdr:row>
      <xdr:rowOff>148167</xdr:rowOff>
    </xdr:from>
    <xdr:to>
      <xdr:col>9</xdr:col>
      <xdr:colOff>144004</xdr:colOff>
      <xdr:row>4</xdr:row>
      <xdr:rowOff>649522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03D51F3-2B5E-46C1-BC98-43C01A1D9364}"/>
            </a:ext>
          </a:extLst>
        </xdr:cNvPr>
        <xdr:cNvGrpSpPr/>
      </xdr:nvGrpSpPr>
      <xdr:grpSpPr>
        <a:xfrm>
          <a:off x="1778000" y="148167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B40C0FE2-0FB2-1131-DFCE-729C91074B55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1144855C-D05C-3BF2-E1A3-595A15317FF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166687</xdr:colOff>
      <xdr:row>4</xdr:row>
      <xdr:rowOff>226219</xdr:rowOff>
    </xdr:from>
    <xdr:to>
      <xdr:col>10</xdr:col>
      <xdr:colOff>28910</xdr:colOff>
      <xdr:row>4</xdr:row>
      <xdr:rowOff>727574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CC0B9DE-3159-4A93-8D12-F55D70E72583}"/>
            </a:ext>
          </a:extLst>
        </xdr:cNvPr>
        <xdr:cNvGrpSpPr/>
      </xdr:nvGrpSpPr>
      <xdr:grpSpPr>
        <a:xfrm>
          <a:off x="2226468" y="226219"/>
          <a:ext cx="1160005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A3BFABB9-A840-5CAB-89DB-933C83F2981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21CC21F3-1B38-0838-5DE7-4B789044652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238126</xdr:colOff>
      <xdr:row>2</xdr:row>
      <xdr:rowOff>464344</xdr:rowOff>
    </xdr:from>
    <xdr:to>
      <xdr:col>3</xdr:col>
      <xdr:colOff>797719</xdr:colOff>
      <xdr:row>4</xdr:row>
      <xdr:rowOff>84636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98E7CA9-51AF-4DC2-9B83-7D7B311B707C}"/>
            </a:ext>
          </a:extLst>
        </xdr:cNvPr>
        <xdr:cNvGrpSpPr/>
      </xdr:nvGrpSpPr>
      <xdr:grpSpPr>
        <a:xfrm>
          <a:off x="428626" y="464344"/>
          <a:ext cx="135731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38C6B4F8-56D6-CBE7-3893-D94E7E06A4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B2848401-A774-4BAF-5F42-FBA9B30B524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881063</xdr:colOff>
      <xdr:row>2</xdr:row>
      <xdr:rowOff>476250</xdr:rowOff>
    </xdr:from>
    <xdr:to>
      <xdr:col>16</xdr:col>
      <xdr:colOff>1047750</xdr:colOff>
      <xdr:row>4</xdr:row>
      <xdr:rowOff>107360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8FB0E4BC-9C78-8E98-3F39-A6E0451FB047}"/>
            </a:ext>
          </a:extLst>
        </xdr:cNvPr>
        <xdr:cNvGrpSpPr/>
      </xdr:nvGrpSpPr>
      <xdr:grpSpPr>
        <a:xfrm>
          <a:off x="1869282" y="476250"/>
          <a:ext cx="6500812" cy="512173"/>
          <a:chOff x="1869282" y="476250"/>
          <a:chExt cx="6988968" cy="512173"/>
        </a:xfrm>
      </xdr:grpSpPr>
      <xdr:grpSp>
        <xdr:nvGrpSpPr>
          <xdr:cNvPr id="16" name="Group 15">
            <a:extLst>
              <a:ext uri="{FF2B5EF4-FFF2-40B4-BE49-F238E27FC236}">
                <a16:creationId xmlns:a16="http://schemas.microsoft.com/office/drawing/2014/main" id="{99092DFB-C157-EC77-4936-A361B851ED2E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23" name="Rectangle: Rounded Corners 22">
              <a:extLst>
                <a:ext uri="{FF2B5EF4-FFF2-40B4-BE49-F238E27FC236}">
                  <a16:creationId xmlns:a16="http://schemas.microsoft.com/office/drawing/2014/main" id="{4F92E93F-5DE7-6EBB-E094-40C016F28FF7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4" name="Rectangle 23">
              <a:extLst>
                <a:ext uri="{FF2B5EF4-FFF2-40B4-BE49-F238E27FC236}">
                  <a16:creationId xmlns:a16="http://schemas.microsoft.com/office/drawing/2014/main" id="{6F4E7AD0-EE6D-2F34-5EAC-F86FA04C4314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17" name="Group 16">
            <a:extLst>
              <a:ext uri="{FF2B5EF4-FFF2-40B4-BE49-F238E27FC236}">
                <a16:creationId xmlns:a16="http://schemas.microsoft.com/office/drawing/2014/main" id="{957D1487-7277-AB31-4DBC-7006F9BB275D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21" name="Rectangle: Rounded Corners 20">
              <a:extLst>
                <a:ext uri="{FF2B5EF4-FFF2-40B4-BE49-F238E27FC236}">
                  <a16:creationId xmlns:a16="http://schemas.microsoft.com/office/drawing/2014/main" id="{6C28E845-E419-11FF-1F04-F4E90884629D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7D235C72-465A-696E-A6B7-9D4671F9DD74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C2B9EAA6-2081-7F1F-7477-4577FBCB01B9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19" name="Rectangle: Rounded Corners 18">
              <a:extLst>
                <a:ext uri="{FF2B5EF4-FFF2-40B4-BE49-F238E27FC236}">
                  <a16:creationId xmlns:a16="http://schemas.microsoft.com/office/drawing/2014/main" id="{E8E8AD2B-60D1-B471-28A3-A4BA88CA6033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0" name="Rectangle 19">
              <a:extLst>
                <a:ext uri="{FF2B5EF4-FFF2-40B4-BE49-F238E27FC236}">
                  <a16:creationId xmlns:a16="http://schemas.microsoft.com/office/drawing/2014/main" id="{30D43DD4-EBA1-4358-E899-E63573C12BD7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142875</xdr:colOff>
          <xdr:row>2</xdr:row>
          <xdr:rowOff>533400</xdr:rowOff>
        </xdr:from>
        <xdr:to>
          <xdr:col>31</xdr:col>
          <xdr:colOff>771525</xdr:colOff>
          <xdr:row>4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sng" strike="noStrike" baseline="0">
                  <a:solidFill>
                    <a:srgbClr val="0066CC"/>
                  </a:solidFill>
                  <a:latin typeface="Roboto Medium"/>
                  <a:ea typeface="Roboto Medium"/>
                  <a:cs typeface="Roboto Medium"/>
                </a:rPr>
                <a:t>Set Status Icon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</xdr:colOff>
      <xdr:row>2</xdr:row>
      <xdr:rowOff>166688</xdr:rowOff>
    </xdr:from>
    <xdr:to>
      <xdr:col>3</xdr:col>
      <xdr:colOff>743285</xdr:colOff>
      <xdr:row>4</xdr:row>
      <xdr:rowOff>120355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369A530-957D-433E-8E93-EDA3185D25F9}"/>
            </a:ext>
          </a:extLst>
        </xdr:cNvPr>
        <xdr:cNvGrpSpPr/>
      </xdr:nvGrpSpPr>
      <xdr:grpSpPr>
        <a:xfrm>
          <a:off x="547687" y="166688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EDEAD0F6-FBC2-9771-728A-80F488818B59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52422E9B-AD6D-E95B-B81D-D1040EA82BC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845345</xdr:colOff>
      <xdr:row>2</xdr:row>
      <xdr:rowOff>154781</xdr:rowOff>
    </xdr:from>
    <xdr:to>
      <xdr:col>9</xdr:col>
      <xdr:colOff>559594</xdr:colOff>
      <xdr:row>4</xdr:row>
      <xdr:rowOff>119266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3804BC3B-D086-4880-898E-C7735E3638C1}"/>
            </a:ext>
          </a:extLst>
        </xdr:cNvPr>
        <xdr:cNvGrpSpPr/>
      </xdr:nvGrpSpPr>
      <xdr:grpSpPr>
        <a:xfrm>
          <a:off x="1809751" y="154781"/>
          <a:ext cx="6988968" cy="512173"/>
          <a:chOff x="1869282" y="476250"/>
          <a:chExt cx="6988968" cy="512173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EE49857B-D270-29B9-B3A8-0A604620FD05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3" name="Rectangle: Rounded Corners 12">
              <a:extLst>
                <a:ext uri="{FF2B5EF4-FFF2-40B4-BE49-F238E27FC236}">
                  <a16:creationId xmlns:a16="http://schemas.microsoft.com/office/drawing/2014/main" id="{949C237F-10D6-1589-E549-0BC20F1D2676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BBC01727-B390-71D3-E292-D9D1806DF34A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A5202DA-3816-CE9F-DCC7-A89B6F19F0BF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1" name="Rectangle: Rounded Corners 10">
              <a:extLst>
                <a:ext uri="{FF2B5EF4-FFF2-40B4-BE49-F238E27FC236}">
                  <a16:creationId xmlns:a16="http://schemas.microsoft.com/office/drawing/2014/main" id="{BBAB5C4A-CBC1-6917-D67A-1A3D1BF851E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2" name="Rectangle 11">
              <a:extLst>
                <a:ext uri="{FF2B5EF4-FFF2-40B4-BE49-F238E27FC236}">
                  <a16:creationId xmlns:a16="http://schemas.microsoft.com/office/drawing/2014/main" id="{075108A8-213D-4371-ECE3-0968606FDBDA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C1B44FB0-B54B-7983-EE13-7254ACF5CA4B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9" name="Rectangle: Rounded Corners 8">
              <a:extLst>
                <a:ext uri="{FF2B5EF4-FFF2-40B4-BE49-F238E27FC236}">
                  <a16:creationId xmlns:a16="http://schemas.microsoft.com/office/drawing/2014/main" id="{98944BFE-3639-8434-0A42-D6A184C0B470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B04F2978-9F15-581C-925D-260C085B00AE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214313</xdr:colOff>
      <xdr:row>2</xdr:row>
      <xdr:rowOff>178594</xdr:rowOff>
    </xdr:from>
    <xdr:to>
      <xdr:col>3</xdr:col>
      <xdr:colOff>671848</xdr:colOff>
      <xdr:row>3</xdr:row>
      <xdr:rowOff>418011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313BD86-BDD6-4548-B866-D0EB30D51328}"/>
            </a:ext>
          </a:extLst>
        </xdr:cNvPr>
        <xdr:cNvGrpSpPr/>
      </xdr:nvGrpSpPr>
      <xdr:grpSpPr>
        <a:xfrm>
          <a:off x="345282" y="178594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62AFF3CC-91D0-B2C3-AEEB-B065879CE8F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9EF43986-59DC-96A3-B677-55FFAB773953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12</xdr:col>
      <xdr:colOff>190500</xdr:colOff>
      <xdr:row>4</xdr:row>
      <xdr:rowOff>297657</xdr:rowOff>
    </xdr:from>
    <xdr:to>
      <xdr:col>20</xdr:col>
      <xdr:colOff>452437</xdr:colOff>
      <xdr:row>6</xdr:row>
      <xdr:rowOff>143080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881E5BF0-A913-410D-9467-4BE641905BAF}"/>
            </a:ext>
          </a:extLst>
        </xdr:cNvPr>
        <xdr:cNvGrpSpPr/>
      </xdr:nvGrpSpPr>
      <xdr:grpSpPr>
        <a:xfrm>
          <a:off x="13620750" y="1023938"/>
          <a:ext cx="6988968" cy="512173"/>
          <a:chOff x="1869282" y="476250"/>
          <a:chExt cx="6988968" cy="512173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B4F7F22B-2931-55B6-A430-36375428FA95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3" name="Rectangle: Rounded Corners 12">
              <a:extLst>
                <a:ext uri="{FF2B5EF4-FFF2-40B4-BE49-F238E27FC236}">
                  <a16:creationId xmlns:a16="http://schemas.microsoft.com/office/drawing/2014/main" id="{A9B022E6-6ACA-F550-93D3-4870E1442251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6F721312-2FBE-1D0E-5AAD-BB60D99732C7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E61BEE39-8F53-CEC1-4546-A40F18F7C649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1" name="Rectangle: Rounded Corners 10">
              <a:extLst>
                <a:ext uri="{FF2B5EF4-FFF2-40B4-BE49-F238E27FC236}">
                  <a16:creationId xmlns:a16="http://schemas.microsoft.com/office/drawing/2014/main" id="{7355A2A9-4472-6583-A2D6-E43764A871C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2" name="Rectangle 11">
              <a:extLst>
                <a:ext uri="{FF2B5EF4-FFF2-40B4-BE49-F238E27FC236}">
                  <a16:creationId xmlns:a16="http://schemas.microsoft.com/office/drawing/2014/main" id="{408641CF-B905-298F-2D91-830116EB0089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253D484B-D9EA-C36E-7046-33FD6E0A5EA1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9" name="Rectangle: Rounded Corners 8">
              <a:extLst>
                <a:ext uri="{FF2B5EF4-FFF2-40B4-BE49-F238E27FC236}">
                  <a16:creationId xmlns:a16="http://schemas.microsoft.com/office/drawing/2014/main" id="{83220AF5-2C93-0DA1-8A4F-8BA3CAD33F05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4D6B7E94-125E-C6CC-EA03-F0A99D2ACE4E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11905</xdr:colOff>
      <xdr:row>1</xdr:row>
      <xdr:rowOff>238124</xdr:rowOff>
    </xdr:from>
    <xdr:to>
      <xdr:col>3</xdr:col>
      <xdr:colOff>869155</xdr:colOff>
      <xdr:row>3</xdr:row>
      <xdr:rowOff>1292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31AD931-6009-498E-B35C-B9A86526D3D5}"/>
            </a:ext>
          </a:extLst>
        </xdr:cNvPr>
        <xdr:cNvGrpSpPr/>
      </xdr:nvGrpSpPr>
      <xdr:grpSpPr>
        <a:xfrm>
          <a:off x="321468" y="238124"/>
          <a:ext cx="1404937" cy="501356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6B667E9-182A-37D9-7D70-E036A992A739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D5D55863-CED5-3247-EE46-5A9CB018BDF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13</xdr:col>
      <xdr:colOff>142874</xdr:colOff>
      <xdr:row>2</xdr:row>
      <xdr:rowOff>0</xdr:rowOff>
    </xdr:from>
    <xdr:to>
      <xdr:col>18</xdr:col>
      <xdr:colOff>1047748</xdr:colOff>
      <xdr:row>3</xdr:row>
      <xdr:rowOff>83548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CF286CAC-678A-417B-842A-C521FDA140C6}"/>
            </a:ext>
          </a:extLst>
        </xdr:cNvPr>
        <xdr:cNvGrpSpPr/>
      </xdr:nvGrpSpPr>
      <xdr:grpSpPr>
        <a:xfrm>
          <a:off x="12477749" y="309563"/>
          <a:ext cx="6988968" cy="512173"/>
          <a:chOff x="1869282" y="476250"/>
          <a:chExt cx="6988968" cy="512173"/>
        </a:xfrm>
      </xdr:grpSpPr>
      <xdr:grpSp>
        <xdr:nvGrpSpPr>
          <xdr:cNvPr id="16" name="Group 15">
            <a:extLst>
              <a:ext uri="{FF2B5EF4-FFF2-40B4-BE49-F238E27FC236}">
                <a16:creationId xmlns:a16="http://schemas.microsoft.com/office/drawing/2014/main" id="{642F8085-178C-0136-892C-DB73D7E1B1A7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23" name="Rectangle: Rounded Corners 22">
              <a:extLst>
                <a:ext uri="{FF2B5EF4-FFF2-40B4-BE49-F238E27FC236}">
                  <a16:creationId xmlns:a16="http://schemas.microsoft.com/office/drawing/2014/main" id="{1D5DEFF0-8CBA-994A-76D0-C068E2877373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4" name="Rectangle 23">
              <a:extLst>
                <a:ext uri="{FF2B5EF4-FFF2-40B4-BE49-F238E27FC236}">
                  <a16:creationId xmlns:a16="http://schemas.microsoft.com/office/drawing/2014/main" id="{0381AA5F-BA04-132F-CBCB-92DFB519B4E8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17" name="Group 16">
            <a:extLst>
              <a:ext uri="{FF2B5EF4-FFF2-40B4-BE49-F238E27FC236}">
                <a16:creationId xmlns:a16="http://schemas.microsoft.com/office/drawing/2014/main" id="{D3BB7DB1-FD5C-6A98-463A-00D3F26E56F6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21" name="Rectangle: Rounded Corners 20">
              <a:extLst>
                <a:ext uri="{FF2B5EF4-FFF2-40B4-BE49-F238E27FC236}">
                  <a16:creationId xmlns:a16="http://schemas.microsoft.com/office/drawing/2014/main" id="{1F05297C-4362-277D-E690-6273DF55B9FB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1F515B3D-5D50-BFB8-9D56-FEBE1B266725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EE233B12-2103-2DD7-CFFD-928E2711DAAA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19" name="Rectangle: Rounded Corners 18">
              <a:extLst>
                <a:ext uri="{FF2B5EF4-FFF2-40B4-BE49-F238E27FC236}">
                  <a16:creationId xmlns:a16="http://schemas.microsoft.com/office/drawing/2014/main" id="{E53862B9-DF1C-569C-D042-2C3C1A121F27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0" name="Rectangle 19">
              <a:extLst>
                <a:ext uri="{FF2B5EF4-FFF2-40B4-BE49-F238E27FC236}">
                  <a16:creationId xmlns:a16="http://schemas.microsoft.com/office/drawing/2014/main" id="{856A3022-98DE-E23E-42E9-8D182BDB7814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165363</xdr:colOff>
      <xdr:row>2</xdr:row>
      <xdr:rowOff>202404</xdr:rowOff>
    </xdr:from>
    <xdr:to>
      <xdr:col>5</xdr:col>
      <xdr:colOff>1666874</xdr:colOff>
      <xdr:row>3</xdr:row>
      <xdr:rowOff>392905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665551" y="202404"/>
          <a:ext cx="4882886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GROUP TOTAL</a:t>
          </a:r>
        </a:p>
      </xdr:txBody>
    </xdr:sp>
    <xdr:clientData/>
  </xdr:twoCellAnchor>
  <xdr:twoCellAnchor>
    <xdr:from>
      <xdr:col>2</xdr:col>
      <xdr:colOff>11907</xdr:colOff>
      <xdr:row>2</xdr:row>
      <xdr:rowOff>190500</xdr:rowOff>
    </xdr:from>
    <xdr:to>
      <xdr:col>3</xdr:col>
      <xdr:colOff>124161</xdr:colOff>
      <xdr:row>3</xdr:row>
      <xdr:rowOff>394199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7FC22AF0-65E0-42CC-A980-8D2378BB05B7}"/>
            </a:ext>
          </a:extLst>
        </xdr:cNvPr>
        <xdr:cNvGrpSpPr/>
      </xdr:nvGrpSpPr>
      <xdr:grpSpPr>
        <a:xfrm>
          <a:off x="477574" y="190500"/>
          <a:ext cx="1160004" cy="500032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CFFFAD9-CF19-67EA-5C4E-B6CACC8E8C4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7C5FB2AD-BDF0-5FC7-A1D2-ED899CE6A30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797719</xdr:colOff>
      <xdr:row>2</xdr:row>
      <xdr:rowOff>215630</xdr:rowOff>
    </xdr:from>
    <xdr:to>
      <xdr:col>5</xdr:col>
      <xdr:colOff>1143000</xdr:colOff>
      <xdr:row>3</xdr:row>
      <xdr:rowOff>407454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1210469" y="215630"/>
          <a:ext cx="5277114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INVENTROY</a:t>
          </a:r>
          <a:r>
            <a:rPr lang="en-US" sz="2000" baseline="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 </a:t>
          </a:r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GORUP TOTAL DETAIL</a:t>
          </a:r>
        </a:p>
      </xdr:txBody>
    </xdr:sp>
    <xdr:clientData/>
  </xdr:twoCellAnchor>
  <xdr:twoCellAnchor>
    <xdr:from>
      <xdr:col>2</xdr:col>
      <xdr:colOff>0</xdr:colOff>
      <xdr:row>2</xdr:row>
      <xdr:rowOff>169333</xdr:rowOff>
    </xdr:from>
    <xdr:to>
      <xdr:col>3</xdr:col>
      <xdr:colOff>207504</xdr:colOff>
      <xdr:row>3</xdr:row>
      <xdr:rowOff>374355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5F5D560A-B8E2-46E7-9240-59BF05A95DB1}"/>
            </a:ext>
          </a:extLst>
        </xdr:cNvPr>
        <xdr:cNvGrpSpPr/>
      </xdr:nvGrpSpPr>
      <xdr:grpSpPr>
        <a:xfrm>
          <a:off x="412750" y="169333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492CE6F2-92B0-E033-F8CE-F203DF00EBA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A31D8A69-7EFF-2157-27B9-7DDFE38AFF7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293686</xdr:colOff>
      <xdr:row>2</xdr:row>
      <xdr:rowOff>83343</xdr:rowOff>
    </xdr:from>
    <xdr:to>
      <xdr:col>5</xdr:col>
      <xdr:colOff>1328737</xdr:colOff>
      <xdr:row>4</xdr:row>
      <xdr:rowOff>214312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555624" y="83343"/>
          <a:ext cx="4785519" cy="72628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</a:t>
          </a:r>
        </a:p>
      </xdr:txBody>
    </xdr:sp>
    <xdr:clientData/>
  </xdr:twoCellAnchor>
  <xdr:twoCellAnchor>
    <xdr:from>
      <xdr:col>1</xdr:col>
      <xdr:colOff>154782</xdr:colOff>
      <xdr:row>2</xdr:row>
      <xdr:rowOff>178594</xdr:rowOff>
    </xdr:from>
    <xdr:to>
      <xdr:col>3</xdr:col>
      <xdr:colOff>517067</xdr:colOff>
      <xdr:row>4</xdr:row>
      <xdr:rowOff>84636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FD73C7BD-FE94-4C7F-97FC-A836927C3DB6}"/>
            </a:ext>
          </a:extLst>
        </xdr:cNvPr>
        <xdr:cNvGrpSpPr/>
      </xdr:nvGrpSpPr>
      <xdr:grpSpPr>
        <a:xfrm>
          <a:off x="250032" y="178594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EC78F5A-0E41-D777-6DD1-B725DDCDF56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10A61E7F-03B4-3A09-8453-095521FE966C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535780</xdr:colOff>
      <xdr:row>2</xdr:row>
      <xdr:rowOff>297654</xdr:rowOff>
    </xdr:from>
    <xdr:to>
      <xdr:col>6</xdr:col>
      <xdr:colOff>833437</xdr:colOff>
      <xdr:row>4</xdr:row>
      <xdr:rowOff>83342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988218" y="297654"/>
          <a:ext cx="5286375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</a:t>
          </a:r>
        </a:p>
      </xdr:txBody>
    </xdr:sp>
    <xdr:clientData/>
  </xdr:twoCellAnchor>
  <xdr:twoCellAnchor>
    <xdr:from>
      <xdr:col>2</xdr:col>
      <xdr:colOff>0</xdr:colOff>
      <xdr:row>2</xdr:row>
      <xdr:rowOff>273844</xdr:rowOff>
    </xdr:from>
    <xdr:to>
      <xdr:col>3</xdr:col>
      <xdr:colOff>112254</xdr:colOff>
      <xdr:row>4</xdr:row>
      <xdr:rowOff>72730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D255EF0-D29F-4FDC-A901-14E5005857A8}"/>
            </a:ext>
          </a:extLst>
        </xdr:cNvPr>
        <xdr:cNvGrpSpPr/>
      </xdr:nvGrpSpPr>
      <xdr:grpSpPr>
        <a:xfrm>
          <a:off x="465667" y="273844"/>
          <a:ext cx="1160004" cy="507969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C121205-75F3-DC32-6CE7-D701D40CA413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37CE023B-5F06-7C03-C10D-418815F4D8A7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310886</xdr:colOff>
      <xdr:row>2</xdr:row>
      <xdr:rowOff>194464</xdr:rowOff>
    </xdr:from>
    <xdr:to>
      <xdr:col>5</xdr:col>
      <xdr:colOff>148167</xdr:colOff>
      <xdr:row>3</xdr:row>
      <xdr:rowOff>386288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602053" y="194464"/>
          <a:ext cx="3530864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 DETAIL</a:t>
          </a:r>
        </a:p>
      </xdr:txBody>
    </xdr:sp>
    <xdr:clientData/>
  </xdr:twoCellAnchor>
  <xdr:twoCellAnchor>
    <xdr:from>
      <xdr:col>1</xdr:col>
      <xdr:colOff>232834</xdr:colOff>
      <xdr:row>2</xdr:row>
      <xdr:rowOff>158749</xdr:rowOff>
    </xdr:from>
    <xdr:to>
      <xdr:col>3</xdr:col>
      <xdr:colOff>271004</xdr:colOff>
      <xdr:row>3</xdr:row>
      <xdr:rowOff>363771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E0B704B7-3ADE-44AF-90CB-2CA4F4C055F3}"/>
            </a:ext>
          </a:extLst>
        </xdr:cNvPr>
        <xdr:cNvGrpSpPr/>
      </xdr:nvGrpSpPr>
      <xdr:grpSpPr>
        <a:xfrm>
          <a:off x="402167" y="158749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FC8E49D7-AD5F-0291-FCA5-D929054B759C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3F617FC8-C5BD-F959-1B48-2208D4D9EAC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476249</xdr:colOff>
      <xdr:row>3</xdr:row>
      <xdr:rowOff>35717</xdr:rowOff>
    </xdr:from>
    <xdr:to>
      <xdr:col>6</xdr:col>
      <xdr:colOff>773906</xdr:colOff>
      <xdr:row>4</xdr:row>
      <xdr:rowOff>119061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928687" y="333373"/>
          <a:ext cx="5286375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112254</xdr:colOff>
      <xdr:row>4</xdr:row>
      <xdr:rowOff>96542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3A4CC516-A7D3-4B4B-8154-E30442139907}"/>
            </a:ext>
          </a:extLst>
        </xdr:cNvPr>
        <xdr:cNvGrpSpPr/>
      </xdr:nvGrpSpPr>
      <xdr:grpSpPr>
        <a:xfrm>
          <a:off x="452438" y="297656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839D27B-2EE8-1137-EC35-2BBAD25118E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64110411-6890-4E00-0E23-71EA5C2B16E3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427302</xdr:colOff>
      <xdr:row>2</xdr:row>
      <xdr:rowOff>173298</xdr:rowOff>
    </xdr:from>
    <xdr:to>
      <xdr:col>8</xdr:col>
      <xdr:colOff>695855</xdr:colOff>
      <xdr:row>3</xdr:row>
      <xdr:rowOff>365122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1718469" y="173298"/>
          <a:ext cx="7115969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 DETAIL</a:t>
          </a:r>
        </a:p>
      </xdr:txBody>
    </xdr:sp>
    <xdr:clientData/>
  </xdr:twoCellAnchor>
  <xdr:twoCellAnchor>
    <xdr:from>
      <xdr:col>2</xdr:col>
      <xdr:colOff>0</xdr:colOff>
      <xdr:row>2</xdr:row>
      <xdr:rowOff>148166</xdr:rowOff>
    </xdr:from>
    <xdr:to>
      <xdr:col>3</xdr:col>
      <xdr:colOff>281587</xdr:colOff>
      <xdr:row>3</xdr:row>
      <xdr:rowOff>353188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DEFB001-FF8C-42AD-A45B-51898B4DCB28}"/>
            </a:ext>
          </a:extLst>
        </xdr:cNvPr>
        <xdr:cNvGrpSpPr/>
      </xdr:nvGrpSpPr>
      <xdr:grpSpPr>
        <a:xfrm>
          <a:off x="412750" y="148166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589616A3-7E02-8690-F101-2BC49E21E301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D47D1483-F5B4-25EF-5255-9D8FA2D5C85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469105</xdr:colOff>
      <xdr:row>0</xdr:row>
      <xdr:rowOff>45241</xdr:rowOff>
    </xdr:from>
    <xdr:to>
      <xdr:col>8</xdr:col>
      <xdr:colOff>261937</xdr:colOff>
      <xdr:row>3</xdr:row>
      <xdr:rowOff>107154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1195386" y="45241"/>
          <a:ext cx="4269582" cy="75247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តារាងប៉ានស្មានតម្លៃ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190500</xdr:colOff>
      <xdr:row>1</xdr:row>
      <xdr:rowOff>95250</xdr:rowOff>
    </xdr:from>
    <xdr:to>
      <xdr:col>3</xdr:col>
      <xdr:colOff>755192</xdr:colOff>
      <xdr:row>3</xdr:row>
      <xdr:rowOff>1292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EA294942-83D0-4D92-A528-C61895B14BD0}"/>
            </a:ext>
          </a:extLst>
        </xdr:cNvPr>
        <xdr:cNvGrpSpPr/>
      </xdr:nvGrpSpPr>
      <xdr:grpSpPr>
        <a:xfrm>
          <a:off x="321469" y="190500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AEE706A-A455-3268-1A77-2E3ECF7B6D77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71724624-5E0A-50AF-B177-0C3079CD6884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62441</xdr:colOff>
      <xdr:row>2</xdr:row>
      <xdr:rowOff>21167</xdr:rowOff>
    </xdr:from>
    <xdr:to>
      <xdr:col>11</xdr:col>
      <xdr:colOff>60325</xdr:colOff>
      <xdr:row>5</xdr:row>
      <xdr:rowOff>20109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1766358" y="21167"/>
          <a:ext cx="6929967" cy="69744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តារាងប៉ានស្មានតម្លៃលំអិត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338666</xdr:colOff>
      <xdr:row>2</xdr:row>
      <xdr:rowOff>84667</xdr:rowOff>
    </xdr:from>
    <xdr:to>
      <xdr:col>3</xdr:col>
      <xdr:colOff>588503</xdr:colOff>
      <xdr:row>3</xdr:row>
      <xdr:rowOff>289689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763F7BC-11B5-44BF-B32D-B6FF60D642C0}"/>
            </a:ext>
          </a:extLst>
        </xdr:cNvPr>
        <xdr:cNvGrpSpPr/>
      </xdr:nvGrpSpPr>
      <xdr:grpSpPr>
        <a:xfrm>
          <a:off x="507999" y="84667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81994068-81F0-13ED-DDF4-131285FDC76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C4783E8F-6EDC-E4F1-AA7B-A5DCAC474116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877358</xdr:colOff>
      <xdr:row>1</xdr:row>
      <xdr:rowOff>112184</xdr:rowOff>
    </xdr:from>
    <xdr:to>
      <xdr:col>10</xdr:col>
      <xdr:colOff>716492</xdr:colOff>
      <xdr:row>4</xdr:row>
      <xdr:rowOff>140759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SpPr/>
      </xdr:nvSpPr>
      <xdr:spPr>
        <a:xfrm>
          <a:off x="1724025" y="302684"/>
          <a:ext cx="6580717" cy="6000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តារាងប៉ានស្មានតម្លៃលំអិត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2</xdr:col>
      <xdr:colOff>0</xdr:colOff>
      <xdr:row>1</xdr:row>
      <xdr:rowOff>137584</xdr:rowOff>
    </xdr:from>
    <xdr:to>
      <xdr:col>3</xdr:col>
      <xdr:colOff>546170</xdr:colOff>
      <xdr:row>4</xdr:row>
      <xdr:rowOff>67439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300C45A7-BDBF-48C5-BAA3-5F58E0A6271F}"/>
            </a:ext>
          </a:extLst>
        </xdr:cNvPr>
        <xdr:cNvGrpSpPr/>
      </xdr:nvGrpSpPr>
      <xdr:grpSpPr>
        <a:xfrm>
          <a:off x="232833" y="328084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19629FF-EAC4-6D50-18BF-5A6C018A656F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8E6E6A3A-9733-9728-9967-61723B26FDB3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707231</xdr:colOff>
      <xdr:row>1</xdr:row>
      <xdr:rowOff>285750</xdr:rowOff>
    </xdr:from>
    <xdr:to>
      <xdr:col>6</xdr:col>
      <xdr:colOff>238126</xdr:colOff>
      <xdr:row>4</xdr:row>
      <xdr:rowOff>95248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/>
      </xdr:nvSpPr>
      <xdr:spPr>
        <a:xfrm>
          <a:off x="1433512" y="381000"/>
          <a:ext cx="3162302" cy="559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តារាងបញ្ជាទិញ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767098</xdr:colOff>
      <xdr:row>4</xdr:row>
      <xdr:rowOff>48917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F3659786-10CF-4787-83CE-7883438DE9B7}"/>
            </a:ext>
          </a:extLst>
        </xdr:cNvPr>
        <xdr:cNvGrpSpPr/>
      </xdr:nvGrpSpPr>
      <xdr:grpSpPr>
        <a:xfrm>
          <a:off x="333375" y="392906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FE1FBB85-6A05-FB02-AA18-2C70CDB34A23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E3B097D5-0160-0165-2660-2D6FC5F06BDE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26</xdr:col>
      <xdr:colOff>488156</xdr:colOff>
      <xdr:row>1</xdr:row>
      <xdr:rowOff>214313</xdr:rowOff>
    </xdr:from>
    <xdr:to>
      <xdr:col>35</xdr:col>
      <xdr:colOff>988218</xdr:colOff>
      <xdr:row>3</xdr:row>
      <xdr:rowOff>131173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465663E5-7A8B-4335-95A1-8B815D737CF1}"/>
            </a:ext>
          </a:extLst>
        </xdr:cNvPr>
        <xdr:cNvGrpSpPr/>
      </xdr:nvGrpSpPr>
      <xdr:grpSpPr>
        <a:xfrm>
          <a:off x="22657594" y="309563"/>
          <a:ext cx="6988968" cy="512173"/>
          <a:chOff x="1869282" y="476250"/>
          <a:chExt cx="6988968" cy="512173"/>
        </a:xfrm>
      </xdr:grpSpPr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200B5D92-78F8-6B7B-D79B-179CFFF1FE39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4" name="Rectangle: Rounded Corners 13">
              <a:extLst>
                <a:ext uri="{FF2B5EF4-FFF2-40B4-BE49-F238E27FC236}">
                  <a16:creationId xmlns:a16="http://schemas.microsoft.com/office/drawing/2014/main" id="{658BFA6E-9612-5032-16C7-8C851C6E7FC7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5" name="Rectangle 14">
              <a:extLst>
                <a:ext uri="{FF2B5EF4-FFF2-40B4-BE49-F238E27FC236}">
                  <a16:creationId xmlns:a16="http://schemas.microsoft.com/office/drawing/2014/main" id="{9BCC0587-F346-3742-3CBF-53B3BF88A9E8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87C87515-B49C-D3E2-1C70-AB0111A18210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2" name="Rectangle: Rounded Corners 11">
              <a:extLst>
                <a:ext uri="{FF2B5EF4-FFF2-40B4-BE49-F238E27FC236}">
                  <a16:creationId xmlns:a16="http://schemas.microsoft.com/office/drawing/2014/main" id="{332A7C30-B7EC-6BCC-72F1-D7F0C6422FE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3" name="Rectangle 12">
              <a:extLst>
                <a:ext uri="{FF2B5EF4-FFF2-40B4-BE49-F238E27FC236}">
                  <a16:creationId xmlns:a16="http://schemas.microsoft.com/office/drawing/2014/main" id="{BCD10608-2843-0D67-68F7-3CFD362D7436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9" name="Group 8">
            <a:extLst>
              <a:ext uri="{FF2B5EF4-FFF2-40B4-BE49-F238E27FC236}">
                <a16:creationId xmlns:a16="http://schemas.microsoft.com/office/drawing/2014/main" id="{28E3BEA9-8CC6-BC81-D4E8-28CCDDEA0153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10" name="Rectangle: Rounded Corners 9">
              <a:extLst>
                <a:ext uri="{FF2B5EF4-FFF2-40B4-BE49-F238E27FC236}">
                  <a16:creationId xmlns:a16="http://schemas.microsoft.com/office/drawing/2014/main" id="{387A0C23-D877-72B1-8BF1-185D276C8FF3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1" name="Rectangle 10">
              <a:extLst>
                <a:ext uri="{FF2B5EF4-FFF2-40B4-BE49-F238E27FC236}">
                  <a16:creationId xmlns:a16="http://schemas.microsoft.com/office/drawing/2014/main" id="{62F5EA19-E025-0E8D-6D6E-00D6E97106DE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116682</xdr:colOff>
      <xdr:row>2</xdr:row>
      <xdr:rowOff>261938</xdr:rowOff>
    </xdr:from>
    <xdr:to>
      <xdr:col>6</xdr:col>
      <xdr:colOff>35719</xdr:colOff>
      <xdr:row>4</xdr:row>
      <xdr:rowOff>59531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SpPr/>
      </xdr:nvSpPr>
      <xdr:spPr>
        <a:xfrm>
          <a:off x="831057" y="261938"/>
          <a:ext cx="3824287" cy="64293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តារាងទិញលំអិត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517067</xdr:colOff>
      <xdr:row>3</xdr:row>
      <xdr:rowOff>501355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2ABA139D-9874-47F1-8A54-574A75E1056E}"/>
            </a:ext>
          </a:extLst>
        </xdr:cNvPr>
        <xdr:cNvGrpSpPr/>
      </xdr:nvGrpSpPr>
      <xdr:grpSpPr>
        <a:xfrm>
          <a:off x="71438" y="297656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1D7518FA-A512-4352-F604-935CE09B00E8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FC4DA135-79D6-C24F-1710-2D2C2B9AF1D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8</xdr:col>
      <xdr:colOff>547687</xdr:colOff>
      <xdr:row>3</xdr:row>
      <xdr:rowOff>47625</xdr:rowOff>
    </xdr:from>
    <xdr:to>
      <xdr:col>13</xdr:col>
      <xdr:colOff>666748</xdr:colOff>
      <xdr:row>4</xdr:row>
      <xdr:rowOff>12110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18C97C26-5768-413D-A368-1A3CFADB9842}"/>
            </a:ext>
          </a:extLst>
        </xdr:cNvPr>
        <xdr:cNvGrpSpPr/>
      </xdr:nvGrpSpPr>
      <xdr:grpSpPr>
        <a:xfrm>
          <a:off x="7822406" y="345281"/>
          <a:ext cx="6988967" cy="512173"/>
          <a:chOff x="1869282" y="476250"/>
          <a:chExt cx="6988968" cy="512173"/>
        </a:xfrm>
      </xdr:grpSpPr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5B2F328A-21FC-ED8C-B550-342CC4858293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4" name="Rectangle: Rounded Corners 13">
              <a:extLst>
                <a:ext uri="{FF2B5EF4-FFF2-40B4-BE49-F238E27FC236}">
                  <a16:creationId xmlns:a16="http://schemas.microsoft.com/office/drawing/2014/main" id="{37A1892F-A478-6941-890B-7513FD34E1BB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5" name="Rectangle 14">
              <a:extLst>
                <a:ext uri="{FF2B5EF4-FFF2-40B4-BE49-F238E27FC236}">
                  <a16:creationId xmlns:a16="http://schemas.microsoft.com/office/drawing/2014/main" id="{D3B1D871-BF5F-BA2A-1945-EA26BC65F9D6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29C8B08B-0FDD-BAA5-4DD3-D114F0A7A4C1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2" name="Rectangle: Rounded Corners 11">
              <a:extLst>
                <a:ext uri="{FF2B5EF4-FFF2-40B4-BE49-F238E27FC236}">
                  <a16:creationId xmlns:a16="http://schemas.microsoft.com/office/drawing/2014/main" id="{B5D34CB9-6139-A66B-5DC5-7FEC1269BA2E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3" name="Rectangle 12">
              <a:extLst>
                <a:ext uri="{FF2B5EF4-FFF2-40B4-BE49-F238E27FC236}">
                  <a16:creationId xmlns:a16="http://schemas.microsoft.com/office/drawing/2014/main" id="{78A6B4B1-191D-B60F-7580-96E619F26137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9" name="Group 8">
            <a:extLst>
              <a:ext uri="{FF2B5EF4-FFF2-40B4-BE49-F238E27FC236}">
                <a16:creationId xmlns:a16="http://schemas.microsoft.com/office/drawing/2014/main" id="{A3E6F4A6-235A-189B-6FCE-D11D9E05CC0B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10" name="Rectangle: Rounded Corners 9">
              <a:extLst>
                <a:ext uri="{FF2B5EF4-FFF2-40B4-BE49-F238E27FC236}">
                  <a16:creationId xmlns:a16="http://schemas.microsoft.com/office/drawing/2014/main" id="{D22662EB-E38B-CACA-669F-854BFC71DDCC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1" name="Rectangle 10">
              <a:extLst>
                <a:ext uri="{FF2B5EF4-FFF2-40B4-BE49-F238E27FC236}">
                  <a16:creationId xmlns:a16="http://schemas.microsoft.com/office/drawing/2014/main" id="{C7B7A605-03FD-8C2C-E0E2-1E76BE62DFE2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2243486</xdr:colOff>
      <xdr:row>5</xdr:row>
      <xdr:rowOff>25613</xdr:rowOff>
    </xdr:from>
    <xdr:to>
      <xdr:col>5</xdr:col>
      <xdr:colOff>320210</xdr:colOff>
      <xdr:row>6</xdr:row>
      <xdr:rowOff>76966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3B00-000002000000}"/>
            </a:ext>
          </a:extLst>
        </xdr:cNvPr>
        <xdr:cNvGrpSpPr/>
      </xdr:nvGrpSpPr>
      <xdr:grpSpPr>
        <a:xfrm>
          <a:off x="4034186" y="2378288"/>
          <a:ext cx="1915299" cy="680003"/>
          <a:chOff x="6414749" y="300978"/>
          <a:chExt cx="1438912" cy="53329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3B00-000003000000}"/>
              </a:ext>
            </a:extLst>
          </xdr:cNvPr>
          <xdr:cNvSpPr txBox="1"/>
        </xdr:nvSpPr>
        <xdr:spPr>
          <a:xfrm>
            <a:off x="6414749" y="300978"/>
            <a:ext cx="1438912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600" b="0" i="0" u="sng" strike="noStrike">
                <a:solidFill>
                  <a:schemeClr val="accent1">
                    <a:lumMod val="50000"/>
                  </a:schemeClr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1600" b="0" i="0" u="sng" strike="noStrike">
              <a:solidFill>
                <a:schemeClr val="accent1">
                  <a:lumMod val="50000"/>
                </a:schemeClr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3B00-000004000000}"/>
              </a:ext>
            </a:extLst>
          </xdr:cNvPr>
          <xdr:cNvSpPr txBox="1"/>
        </xdr:nvSpPr>
        <xdr:spPr>
          <a:xfrm>
            <a:off x="6415553" y="625803"/>
            <a:ext cx="1437393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marL="0" indent="0" algn="ctr"/>
            <a:r>
              <a:rPr lang="en-US" sz="1400" b="1" i="0" u="sng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COMMERCIAL</a:t>
            </a:r>
            <a:r>
              <a:rPr lang="en-GB" sz="1400" b="1" i="0" u="sng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INVOICE</a:t>
            </a:r>
            <a:endParaRPr lang="ca-ES" sz="1400" b="1" i="0" u="sng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2</xdr:col>
      <xdr:colOff>579600</xdr:colOff>
      <xdr:row>3</xdr:row>
      <xdr:rowOff>140916</xdr:rowOff>
    </xdr:from>
    <xdr:to>
      <xdr:col>3</xdr:col>
      <xdr:colOff>2950094</xdr:colOff>
      <xdr:row>3</xdr:row>
      <xdr:rowOff>485309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3B00-00000A000000}"/>
            </a:ext>
          </a:extLst>
        </xdr:cNvPr>
        <xdr:cNvSpPr txBox="1"/>
      </xdr:nvSpPr>
      <xdr:spPr>
        <a:xfrm>
          <a:off x="1386050" y="1830016"/>
          <a:ext cx="3462694" cy="3482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457200" lvl="1" indent="0" algn="l"/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លេខអត្តសញ្ញាណកម្មសារពើពន្ធ</a:t>
          </a:r>
          <a:r>
            <a:rPr lang="km-KH" sz="1100" b="0" i="0" u="none" strike="noStrike" baseline="0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 (</a:t>
          </a:r>
          <a:r>
            <a:rPr lang="en-US" sz="1100" b="0" i="0" u="none" strike="noStrike" baseline="0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TIN)</a:t>
          </a:r>
          <a:endParaRPr lang="ca-ES" sz="1100" b="0" i="0" u="none" strike="noStrike">
            <a:solidFill>
              <a:sysClr val="windowText" lastClr="000000"/>
            </a:solidFill>
            <a:effectLst/>
            <a:latin typeface="Khmer OS Battambang" panose="02000500000000020004" pitchFamily="2" charset="0"/>
            <a:ea typeface="+mn-ea"/>
            <a:cs typeface="Khmer OS Battambang" panose="02000500000000020004" pitchFamily="2" charset="0"/>
          </a:endParaRPr>
        </a:p>
      </xdr:txBody>
    </xdr:sp>
    <xdr:clientData/>
  </xdr:twoCellAnchor>
  <xdr:twoCellAnchor editAs="oneCell">
    <xdr:from>
      <xdr:col>3</xdr:col>
      <xdr:colOff>1448460</xdr:colOff>
      <xdr:row>42</xdr:row>
      <xdr:rowOff>84714</xdr:rowOff>
    </xdr:from>
    <xdr:to>
      <xdr:col>6</xdr:col>
      <xdr:colOff>553995</xdr:colOff>
      <xdr:row>42</xdr:row>
      <xdr:rowOff>2053742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3B00-00000D000000}"/>
            </a:ext>
          </a:extLst>
        </xdr:cNvPr>
        <xdr:cNvSpPr txBox="1"/>
      </xdr:nvSpPr>
      <xdr:spPr>
        <a:xfrm>
          <a:off x="3391988" y="12910287"/>
          <a:ext cx="3647076" cy="196902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និងឈ្មោះអ្នកលក់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Seller's signature and name</a:t>
          </a: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2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0</xdr:col>
      <xdr:colOff>251012</xdr:colOff>
      <xdr:row>40</xdr:row>
      <xdr:rowOff>17929</xdr:rowOff>
    </xdr:from>
    <xdr:to>
      <xdr:col>9</xdr:col>
      <xdr:colOff>13119</xdr:colOff>
      <xdr:row>41</xdr:row>
      <xdr:rowOff>20110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3B00-00000E000000}"/>
            </a:ext>
          </a:extLst>
        </xdr:cNvPr>
        <xdr:cNvSpPr txBox="1"/>
      </xdr:nvSpPr>
      <xdr:spPr>
        <a:xfrm>
          <a:off x="251012" y="11680762"/>
          <a:ext cx="9866655" cy="100865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l"/>
          <a:r>
            <a:rPr lang="km-KH" sz="1100" b="0" i="0" u="sng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គណនីធនាគារ/​</a:t>
          </a:r>
          <a:r>
            <a:rPr lang="en-US" sz="1100" b="1" i="0" u="sng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Bank</a:t>
          </a:r>
          <a:r>
            <a:rPr lang="en-US" sz="1100" b="1" i="0" u="sng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Account of </a:t>
          </a:r>
          <a:r>
            <a:rPr lang="en-US" sz="1100" b="1" i="0" u="sng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SEVAK TEAM</a:t>
          </a:r>
        </a:p>
        <a:p>
          <a:pPr marL="0" indent="0" algn="l"/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Bank Name: Advanced Bank of Asia Ltd.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Name: SEVAK TEAM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No:  002859355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0</xdr:row>
          <xdr:rowOff>66675</xdr:rowOff>
        </xdr:from>
        <xdr:to>
          <xdr:col>19</xdr:col>
          <xdr:colOff>219075</xdr:colOff>
          <xdr:row>1</xdr:row>
          <xdr:rowOff>447675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A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</xdr:row>
          <xdr:rowOff>28575</xdr:rowOff>
        </xdr:from>
        <xdr:to>
          <xdr:col>22</xdr:col>
          <xdr:colOff>66675</xdr:colOff>
          <xdr:row>1</xdr:row>
          <xdr:rowOff>447675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A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16</xdr:row>
      <xdr:rowOff>128427</xdr:rowOff>
    </xdr:from>
    <xdr:to>
      <xdr:col>9</xdr:col>
      <xdr:colOff>248292</xdr:colOff>
      <xdr:row>20</xdr:row>
      <xdr:rowOff>241395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00000000-0008-0000-3B00-000013000000}"/>
            </a:ext>
          </a:extLst>
        </xdr:cNvPr>
        <xdr:cNvCxnSpPr/>
      </xdr:nvCxnSpPr>
      <xdr:spPr>
        <a:xfrm flipV="1">
          <a:off x="6498404" y="5325438"/>
          <a:ext cx="3852809" cy="1277373"/>
        </a:xfrm>
        <a:prstGeom prst="bentConnector3">
          <a:avLst>
            <a:gd name="adj1" fmla="val 7866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 fPrintsWithSheet="0"/>
  </xdr:twoCellAnchor>
  <xdr:twoCellAnchor>
    <xdr:from>
      <xdr:col>3</xdr:col>
      <xdr:colOff>362365</xdr:colOff>
      <xdr:row>1</xdr:row>
      <xdr:rowOff>1050699</xdr:rowOff>
    </xdr:from>
    <xdr:to>
      <xdr:col>7</xdr:col>
      <xdr:colOff>550629</xdr:colOff>
      <xdr:row>1</xdr:row>
      <xdr:rowOff>1309530</xdr:rowOff>
    </xdr:to>
    <xdr:sp macro="" textlink="#REF!">
      <xdr:nvSpPr>
        <xdr:cNvPr id="16" name="TextBox 15">
          <a:extLst>
            <a:ext uri="{FF2B5EF4-FFF2-40B4-BE49-F238E27FC236}">
              <a16:creationId xmlns:a16="http://schemas.microsoft.com/office/drawing/2014/main" id="{00000000-0008-0000-3B00-000010000000}"/>
            </a:ext>
          </a:extLst>
        </xdr:cNvPr>
        <xdr:cNvSpPr txBox="1"/>
      </xdr:nvSpPr>
      <xdr:spPr>
        <a:xfrm>
          <a:off x="2261015" y="1076099"/>
          <a:ext cx="5833414" cy="2588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E9DF190-B82D-4503-A9F2-011D40DFD345}" type="TxLink">
            <a:rPr lang="en-US" sz="11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pPr algn="ctr"/>
            <a:t> </a:t>
          </a:fld>
          <a:endParaRPr lang="en-US" sz="1100"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3</xdr:col>
      <xdr:colOff>365097</xdr:colOff>
      <xdr:row>1</xdr:row>
      <xdr:rowOff>1181192</xdr:rowOff>
    </xdr:from>
    <xdr:to>
      <xdr:col>7</xdr:col>
      <xdr:colOff>1206500</xdr:colOff>
      <xdr:row>3</xdr:row>
      <xdr:rowOff>16298</xdr:rowOff>
    </xdr:to>
    <xdr:sp macro="" textlink="#REF!">
      <xdr:nvSpPr>
        <xdr:cNvPr id="23" name="TextBox 22">
          <a:extLst>
            <a:ext uri="{FF2B5EF4-FFF2-40B4-BE49-F238E27FC236}">
              <a16:creationId xmlns:a16="http://schemas.microsoft.com/office/drawing/2014/main" id="{00000000-0008-0000-3B00-000017000000}"/>
            </a:ext>
          </a:extLst>
        </xdr:cNvPr>
        <xdr:cNvSpPr txBox="1"/>
      </xdr:nvSpPr>
      <xdr:spPr>
        <a:xfrm>
          <a:off x="2263747" y="1206592"/>
          <a:ext cx="6486553" cy="4988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1ADAC5B-82D2-4414-8628-B03D2C10E72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1100">
            <a:latin typeface="!Khmer OS System" panose="02000500000000020004" pitchFamily="2" charset="0"/>
            <a:cs typeface="!Khmer OS System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2161798</xdr:colOff>
          <xdr:row>3</xdr:row>
          <xdr:rowOff>138006</xdr:rowOff>
        </xdr:from>
        <xdr:to>
          <xdr:col>7</xdr:col>
          <xdr:colOff>457319</xdr:colOff>
          <xdr:row>3</xdr:row>
          <xdr:rowOff>440155</xdr:rowOff>
        </xdr:to>
        <xdr:pic>
          <xdr:nvPicPr>
            <xdr:cNvPr id="24" name="Picture 23">
              <a:extLst>
                <a:ext uri="{FF2B5EF4-FFF2-40B4-BE49-F238E27FC236}">
                  <a16:creationId xmlns:a16="http://schemas.microsoft.com/office/drawing/2014/main" id="{00000000-0008-0000-3B00-00001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4882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60448" y="1827106"/>
              <a:ext cx="3940671" cy="30786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401057</xdr:colOff>
      <xdr:row>2</xdr:row>
      <xdr:rowOff>37400</xdr:rowOff>
    </xdr:from>
    <xdr:to>
      <xdr:col>7</xdr:col>
      <xdr:colOff>593131</xdr:colOff>
      <xdr:row>3</xdr:row>
      <xdr:rowOff>240256</xdr:rowOff>
    </xdr:to>
    <xdr:sp macro="" textlink="#REF!">
      <xdr:nvSpPr>
        <xdr:cNvPr id="27" name="TextBox 26">
          <a:extLst>
            <a:ext uri="{FF2B5EF4-FFF2-40B4-BE49-F238E27FC236}">
              <a16:creationId xmlns:a16="http://schemas.microsoft.com/office/drawing/2014/main" id="{00000000-0008-0000-3B00-00001B000000}"/>
            </a:ext>
          </a:extLst>
        </xdr:cNvPr>
        <xdr:cNvSpPr txBox="1"/>
      </xdr:nvSpPr>
      <xdr:spPr>
        <a:xfrm>
          <a:off x="2299707" y="1447100"/>
          <a:ext cx="5837224" cy="4822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B44F67-F38E-420A-9AE1-994BA73898C3}" type="TxLink">
            <a:rPr lang="en-US" sz="11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pPr algn="ctr"/>
            <a:t> </a:t>
          </a:fld>
          <a:endParaRPr lang="en-US" sz="1100"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1</xdr:row>
          <xdr:rowOff>28575</xdr:rowOff>
        </xdr:from>
        <xdr:to>
          <xdr:col>15</xdr:col>
          <xdr:colOff>9525</xdr:colOff>
          <xdr:row>1</xdr:row>
          <xdr:rowOff>447675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1A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257175</xdr:rowOff>
        </xdr:from>
        <xdr:to>
          <xdr:col>19</xdr:col>
          <xdr:colOff>152400</xdr:colOff>
          <xdr:row>10</xdr:row>
          <xdr:rowOff>266700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1A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</xdr:row>
          <xdr:rowOff>485775</xdr:rowOff>
        </xdr:from>
        <xdr:to>
          <xdr:col>12</xdr:col>
          <xdr:colOff>142875</xdr:colOff>
          <xdr:row>1</xdr:row>
          <xdr:rowOff>904875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1A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219075</xdr:colOff>
          <xdr:row>1</xdr:row>
          <xdr:rowOff>28575</xdr:rowOff>
        </xdr:from>
        <xdr:to>
          <xdr:col>24</xdr:col>
          <xdr:colOff>333375</xdr:colOff>
          <xdr:row>1</xdr:row>
          <xdr:rowOff>409575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1A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286079</xdr:colOff>
      <xdr:row>1</xdr:row>
      <xdr:rowOff>153302</xdr:rowOff>
    </xdr:from>
    <xdr:to>
      <xdr:col>3</xdr:col>
      <xdr:colOff>379047</xdr:colOff>
      <xdr:row>1</xdr:row>
      <xdr:rowOff>1313023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3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529" y="178702"/>
          <a:ext cx="1185168" cy="1167341"/>
        </a:xfrm>
        <a:prstGeom prst="rect">
          <a:avLst/>
        </a:prstGeom>
      </xdr:spPr>
    </xdr:pic>
    <xdr:clientData/>
  </xdr:twoCellAnchor>
  <xdr:twoCellAnchor>
    <xdr:from>
      <xdr:col>3</xdr:col>
      <xdr:colOff>558800</xdr:colOff>
      <xdr:row>1</xdr:row>
      <xdr:rowOff>503229</xdr:rowOff>
    </xdr:from>
    <xdr:to>
      <xdr:col>7</xdr:col>
      <xdr:colOff>120650</xdr:colOff>
      <xdr:row>1</xdr:row>
      <xdr:rowOff>869950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3B00-000019000000}"/>
            </a:ext>
          </a:extLst>
        </xdr:cNvPr>
        <xdr:cNvGrpSpPr>
          <a:grpSpLocks/>
        </xdr:cNvGrpSpPr>
      </xdr:nvGrpSpPr>
      <xdr:grpSpPr bwMode="auto">
        <a:xfrm>
          <a:off x="2349500" y="531804"/>
          <a:ext cx="4943475" cy="366721"/>
          <a:chOff x="5376" y="944"/>
          <a:chExt cx="5352" cy="854"/>
        </a:xfrm>
      </xdr:grpSpPr>
      <xdr:sp macro="" textlink="">
        <xdr:nvSpPr>
          <xdr:cNvPr id="26" name="WordArt 4">
            <a:extLst>
              <a:ext uri="{FF2B5EF4-FFF2-40B4-BE49-F238E27FC236}">
                <a16:creationId xmlns:a16="http://schemas.microsoft.com/office/drawing/2014/main" id="{00000000-0008-0000-3B00-00001A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376" y="944"/>
            <a:ext cx="5352" cy="517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2400" kern="10" spc="0">
                <a:ln w="9525">
                  <a:noFill/>
                  <a:round/>
                  <a:headEnd/>
                  <a:tailEnd/>
                </a:ln>
                <a:solidFill>
                  <a:srgbClr val="FF0000"/>
                </a:solidFill>
                <a:effectLst/>
                <a:latin typeface="Limon R1"/>
              </a:rPr>
              <a:t>bkERb nig e)aHBum&lt;</a:t>
            </a:r>
          </a:p>
        </xdr:txBody>
      </xdr:sp>
      <xdr:sp macro="" textlink="">
        <xdr:nvSpPr>
          <xdr:cNvPr id="28" name="WordArt 5">
            <a:extLst>
              <a:ext uri="{FF2B5EF4-FFF2-40B4-BE49-F238E27FC236}">
                <a16:creationId xmlns:a16="http://schemas.microsoft.com/office/drawing/2014/main" id="{00000000-0008-0000-3B00-00001C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518" y="1591"/>
            <a:ext cx="4891" cy="207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10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TRANSLATION   AND</a:t>
            </a:r>
            <a:r>
              <a:rPr lang="en-US" sz="1000" kern="10" spc="0" baseline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 </a:t>
            </a:r>
            <a:r>
              <a:rPr lang="en-US" sz="10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PUBLISHING</a:t>
            </a:r>
          </a:p>
        </xdr:txBody>
      </xdr:sp>
    </xdr:grpSp>
    <xdr:clientData/>
  </xdr:twoCellAnchor>
  <xdr:twoCellAnchor>
    <xdr:from>
      <xdr:col>3</xdr:col>
      <xdr:colOff>788511</xdr:colOff>
      <xdr:row>1</xdr:row>
      <xdr:rowOff>146051</xdr:rowOff>
    </xdr:from>
    <xdr:to>
      <xdr:col>6</xdr:col>
      <xdr:colOff>660400</xdr:colOff>
      <xdr:row>1</xdr:row>
      <xdr:rowOff>463550</xdr:rowOff>
    </xdr:to>
    <xdr:sp macro="" textlink="">
      <xdr:nvSpPr>
        <xdr:cNvPr id="29" name="WordArt 3">
          <a:extLst>
            <a:ext uri="{FF2B5EF4-FFF2-40B4-BE49-F238E27FC236}">
              <a16:creationId xmlns:a16="http://schemas.microsoft.com/office/drawing/2014/main" id="{00000000-0008-0000-3B00-00001D00000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2687161" y="171451"/>
          <a:ext cx="4513739" cy="317499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111"/>
            </a:avLst>
          </a:prstTxWarp>
        </a:bodyPr>
        <a:lstStyle/>
        <a:p>
          <a:pPr algn="ctr" rtl="0"/>
          <a:r>
            <a:rPr lang="en-US" sz="4400" kern="10" spc="0" baseline="0">
              <a:ln w="9525">
                <a:noFill/>
                <a:round/>
                <a:headEnd/>
                <a:tailEnd/>
              </a:ln>
              <a:solidFill>
                <a:srgbClr val="00A2EA"/>
              </a:solidFill>
              <a:effectLst/>
              <a:latin typeface="Limon R1"/>
            </a:rPr>
            <a:t>sIv³FIm</a:t>
          </a:r>
          <a:endParaRPr lang="en-US" sz="4400" kern="10" spc="0">
            <a:ln w="9525">
              <a:noFill/>
              <a:round/>
              <a:headEnd/>
              <a:tailEnd/>
            </a:ln>
            <a:solidFill>
              <a:srgbClr val="00A2EA"/>
            </a:solidFill>
            <a:effectLst/>
            <a:latin typeface="Limon R1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2164080</xdr:colOff>
          <xdr:row>3</xdr:row>
          <xdr:rowOff>137160</xdr:rowOff>
        </xdr:from>
        <xdr:to>
          <xdr:col>7</xdr:col>
          <xdr:colOff>457200</xdr:colOff>
          <xdr:row>3</xdr:row>
          <xdr:rowOff>441960</xdr:rowOff>
        </xdr:to>
        <xdr:pic>
          <xdr:nvPicPr>
            <xdr:cNvPr id="37304" name="Picture 23">
              <a:extLst>
                <a:ext uri="{FF2B5EF4-FFF2-40B4-BE49-F238E27FC236}">
                  <a16:creationId xmlns:a16="http://schemas.microsoft.com/office/drawing/2014/main" id="{00000000-0008-0000-3B00-0000B891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4882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23360" y="1828800"/>
              <a:ext cx="384810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2243486</xdr:colOff>
      <xdr:row>8</xdr:row>
      <xdr:rowOff>25613</xdr:rowOff>
    </xdr:from>
    <xdr:to>
      <xdr:col>5</xdr:col>
      <xdr:colOff>320210</xdr:colOff>
      <xdr:row>9</xdr:row>
      <xdr:rowOff>76966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3C00-000002000000}"/>
            </a:ext>
          </a:extLst>
        </xdr:cNvPr>
        <xdr:cNvGrpSpPr/>
      </xdr:nvGrpSpPr>
      <xdr:grpSpPr>
        <a:xfrm>
          <a:off x="4034186" y="2168738"/>
          <a:ext cx="1915299" cy="680003"/>
          <a:chOff x="6414749" y="300978"/>
          <a:chExt cx="1438912" cy="53329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3C00-000003000000}"/>
              </a:ext>
            </a:extLst>
          </xdr:cNvPr>
          <xdr:cNvSpPr txBox="1"/>
        </xdr:nvSpPr>
        <xdr:spPr>
          <a:xfrm>
            <a:off x="6414749" y="300978"/>
            <a:ext cx="1438912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600" b="0" i="0" u="none" strike="noStrike">
                <a:solidFill>
                  <a:schemeClr val="accent1">
                    <a:lumMod val="50000"/>
                  </a:schemeClr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1600" b="0" i="0" u="none" strike="noStrike">
              <a:solidFill>
                <a:schemeClr val="accent1">
                  <a:lumMod val="50000"/>
                </a:schemeClr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3C00-000004000000}"/>
              </a:ext>
            </a:extLst>
          </xdr:cNvPr>
          <xdr:cNvSpPr txBox="1"/>
        </xdr:nvSpPr>
        <xdr:spPr>
          <a:xfrm>
            <a:off x="6415553" y="625803"/>
            <a:ext cx="1437393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marL="0" indent="0" algn="ctr"/>
            <a:r>
              <a:rPr lang="en-US" sz="1400" b="1" i="0" u="none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COMMERCIAL</a:t>
            </a:r>
            <a:r>
              <a:rPr lang="en-GB" sz="1400" b="1" i="0" u="none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INVOICE</a:t>
            </a:r>
            <a:endParaRPr lang="ca-ES" sz="1400" b="1" i="0" u="none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3</xdr:col>
      <xdr:colOff>1448460</xdr:colOff>
      <xdr:row>45</xdr:row>
      <xdr:rowOff>84714</xdr:rowOff>
    </xdr:from>
    <xdr:to>
      <xdr:col>6</xdr:col>
      <xdr:colOff>553995</xdr:colOff>
      <xdr:row>45</xdr:row>
      <xdr:rowOff>2053742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3C00-000009000000}"/>
            </a:ext>
          </a:extLst>
        </xdr:cNvPr>
        <xdr:cNvSpPr txBox="1"/>
      </xdr:nvSpPr>
      <xdr:spPr>
        <a:xfrm>
          <a:off x="3315360" y="13754994"/>
          <a:ext cx="3662295" cy="196902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និងឈ្មោះអ្នកលក់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Seller's signature and name</a:t>
          </a: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2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0</xdr:col>
      <xdr:colOff>251012</xdr:colOff>
      <xdr:row>43</xdr:row>
      <xdr:rowOff>17929</xdr:rowOff>
    </xdr:from>
    <xdr:to>
      <xdr:col>9</xdr:col>
      <xdr:colOff>9309</xdr:colOff>
      <xdr:row>44</xdr:row>
      <xdr:rowOff>20110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3C00-00000A000000}"/>
            </a:ext>
          </a:extLst>
        </xdr:cNvPr>
        <xdr:cNvSpPr txBox="1"/>
      </xdr:nvSpPr>
      <xdr:spPr>
        <a:xfrm>
          <a:off x="174812" y="12537589"/>
          <a:ext cx="9862417" cy="102326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l"/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គណនីធនាគារ</a:t>
          </a:r>
          <a: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</a:t>
          </a:r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/​</a:t>
          </a:r>
          <a: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SEVAK TEAM's Bank</a:t>
          </a:r>
          <a:r>
            <a:rPr lang="en-US" sz="1100" b="0" i="0" u="none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accounts</a:t>
          </a:r>
          <a:endParaRPr lang="km-KH" sz="1100" b="0" i="0" u="none" strike="noStrike" baseline="0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l"/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Bank name: Advanced Bank of Asia Ltd.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Name: SEVAK TEAM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No:  002859355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</xdr:row>
          <xdr:rowOff>66675</xdr:rowOff>
        </xdr:from>
        <xdr:to>
          <xdr:col>15</xdr:col>
          <xdr:colOff>76200</xdr:colOff>
          <xdr:row>1</xdr:row>
          <xdr:rowOff>523875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B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219075</xdr:colOff>
          <xdr:row>1</xdr:row>
          <xdr:rowOff>104775</xdr:rowOff>
        </xdr:from>
        <xdr:to>
          <xdr:col>17</xdr:col>
          <xdr:colOff>219075</xdr:colOff>
          <xdr:row>1</xdr:row>
          <xdr:rowOff>495300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B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19</xdr:row>
      <xdr:rowOff>128427</xdr:rowOff>
    </xdr:from>
    <xdr:to>
      <xdr:col>9</xdr:col>
      <xdr:colOff>248292</xdr:colOff>
      <xdr:row>23</xdr:row>
      <xdr:rowOff>241395</xdr:rowOff>
    </xdr:to>
    <xdr:cxnSp macro="">
      <xdr:nvCxnSpPr>
        <xdr:cNvPr id="13" name="Connector: Elbow 12">
          <a:extLst>
            <a:ext uri="{FF2B5EF4-FFF2-40B4-BE49-F238E27FC236}">
              <a16:creationId xmlns:a16="http://schemas.microsoft.com/office/drawing/2014/main" id="{00000000-0008-0000-3C00-00000D000000}"/>
            </a:ext>
          </a:extLst>
        </xdr:cNvPr>
        <xdr:cNvCxnSpPr/>
      </xdr:nvCxnSpPr>
      <xdr:spPr>
        <a:xfrm flipV="1">
          <a:off x="6423660" y="5508147"/>
          <a:ext cx="3852552" cy="1271208"/>
        </a:xfrm>
        <a:prstGeom prst="bentConnector3">
          <a:avLst>
            <a:gd name="adj1" fmla="val 7866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9911</xdr:colOff>
          <xdr:row>6</xdr:row>
          <xdr:rowOff>6233</xdr:rowOff>
        </xdr:from>
        <xdr:to>
          <xdr:col>7</xdr:col>
          <xdr:colOff>1273561</xdr:colOff>
          <xdr:row>6</xdr:row>
          <xdr:rowOff>323733</xdr:rowOff>
        </xdr:to>
        <xdr:pic>
          <xdr:nvPicPr>
            <xdr:cNvPr id="16" name="Picture 15">
              <a:extLst>
                <a:ext uri="{FF2B5EF4-FFF2-40B4-BE49-F238E27FC236}">
                  <a16:creationId xmlns:a16="http://schemas.microsoft.com/office/drawing/2014/main" id="{00000000-0008-0000-3C00-000010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4:$X$4" spid="_x0000_s454792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05244" y="2027650"/>
              <a:ext cx="3714750" cy="317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409575</xdr:colOff>
          <xdr:row>1</xdr:row>
          <xdr:rowOff>66675</xdr:rowOff>
        </xdr:from>
        <xdr:to>
          <xdr:col>10</xdr:col>
          <xdr:colOff>9525</xdr:colOff>
          <xdr:row>1</xdr:row>
          <xdr:rowOff>485775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B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257175</xdr:rowOff>
        </xdr:from>
        <xdr:to>
          <xdr:col>19</xdr:col>
          <xdr:colOff>180975</xdr:colOff>
          <xdr:row>13</xdr:row>
          <xdr:rowOff>266700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B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76200</xdr:colOff>
          <xdr:row>1</xdr:row>
          <xdr:rowOff>76200</xdr:rowOff>
        </xdr:from>
        <xdr:to>
          <xdr:col>20</xdr:col>
          <xdr:colOff>219075</xdr:colOff>
          <xdr:row>1</xdr:row>
          <xdr:rowOff>457200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1B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451179</xdr:colOff>
      <xdr:row>1</xdr:row>
      <xdr:rowOff>13602</xdr:rowOff>
    </xdr:from>
    <xdr:to>
      <xdr:col>2</xdr:col>
      <xdr:colOff>1007697</xdr:colOff>
      <xdr:row>3</xdr:row>
      <xdr:rowOff>140520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3C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439" y="44082"/>
          <a:ext cx="1173738" cy="11673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1</xdr:row>
          <xdr:rowOff>523875</xdr:rowOff>
        </xdr:from>
        <xdr:to>
          <xdr:col>9</xdr:col>
          <xdr:colOff>1095375</xdr:colOff>
          <xdr:row>2</xdr:row>
          <xdr:rowOff>257175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1B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</xdr:row>
          <xdr:rowOff>9525</xdr:rowOff>
        </xdr:from>
        <xdr:to>
          <xdr:col>7</xdr:col>
          <xdr:colOff>1276350</xdr:colOff>
          <xdr:row>6</xdr:row>
          <xdr:rowOff>323850</xdr:rowOff>
        </xdr:to>
        <xdr:pic>
          <xdr:nvPicPr>
            <xdr:cNvPr id="4541634" name="Picture 15">
              <a:extLst>
                <a:ext uri="{FF2B5EF4-FFF2-40B4-BE49-F238E27FC236}">
                  <a16:creationId xmlns:a16="http://schemas.microsoft.com/office/drawing/2014/main" id="{5FB65448-BB4D-F10C-DABD-8EEBD7073CC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4:$X$4" spid="_x0000_s454792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829175" y="1685925"/>
              <a:ext cx="3619500" cy="3143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8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6B61E3ED-4732-4035-BF2C-2208C1AAE47A}">
  <we:reference id="wa104051163" version="1.2.0.3" store="en-U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82013833-5401-4CEC-AD15-8FAA942F967C}">
  <we:reference id="wa200001841" version="1.0.0.0" store="en-US" storeType="OMEX"/>
  <we:alternateReferences>
    <we:reference id="WA200001841" version="1.0.0.0" store="WA200001841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2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drawing" Target="../drawings/drawing27.xml"/><Relationship Id="rId7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https://www.nbc.org.kh/english/economic_research/exchange_rate.php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vmlDrawing" Target="../drawings/vmlDrawing5.vml"/><Relationship Id="rId9" Type="http://schemas.openxmlformats.org/officeDocument/2006/relationships/ctrlProp" Target="../ctrlProps/ctrlProp6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drawing" Target="../drawings/drawing28.xml"/><Relationship Id="rId7" Type="http://schemas.openxmlformats.org/officeDocument/2006/relationships/ctrlProp" Target="../ctrlProps/ctrlProp10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https://www.nbc.org.kh/english/economic_research/exchange_rate.php" TargetMode="Externa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trlProp" Target="../ctrlProps/ctrlProp13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C18"/>
  <sheetViews>
    <sheetView showGridLines="0" workbookViewId="0">
      <selection activeCell="H39" sqref="H39"/>
    </sheetView>
  </sheetViews>
  <sheetFormatPr defaultColWidth="8" defaultRowHeight="15"/>
  <sheetData>
    <row r="1" spans="1:3">
      <c r="A1" t="s">
        <v>20</v>
      </c>
      <c r="B1" t="s">
        <v>21</v>
      </c>
      <c r="C1" t="s">
        <v>22</v>
      </c>
    </row>
    <row r="4" spans="1:3" ht="11.85" customHeight="1"/>
    <row r="5" spans="1:3" ht="11.85" customHeight="1"/>
    <row r="6" spans="1:3" ht="11.85" customHeight="1"/>
    <row r="7" spans="1:3" ht="11.85" customHeight="1"/>
    <row r="8" spans="1:3" ht="5.85" customHeight="1"/>
    <row r="11" spans="1:3" ht="5.85" customHeight="1"/>
    <row r="14" spans="1:3" ht="11.85" customHeight="1"/>
    <row r="15" spans="1:3" ht="11.85" customHeight="1"/>
    <row r="16" spans="1:3" ht="11.85" customHeight="1"/>
    <row r="17" ht="11.85" customHeight="1"/>
    <row r="18" ht="5.85" customHeight="1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68F13-F095-4478-A2C5-07FE4D0F5F2F}">
  <sheetPr codeName="Sheet9"/>
  <dimension ref="C1:F5"/>
  <sheetViews>
    <sheetView showGridLines="0" zoomScale="80" zoomScaleNormal="80" zoomScaleSheetLayoutView="120" workbookViewId="0">
      <pane ySplit="5" topLeftCell="A6" activePane="bottomLeft" state="frozen"/>
      <selection activeCell="L28" sqref="L28"/>
      <selection pane="bottomLeft" activeCell="G19" sqref="G19"/>
    </sheetView>
  </sheetViews>
  <sheetFormatPr defaultRowHeight="30" customHeight="1"/>
  <cols>
    <col min="1" max="1" width="5" customWidth="1"/>
    <col min="2" max="2" width="1" customWidth="1"/>
    <col min="3" max="3" width="51.140625" customWidth="1"/>
    <col min="4" max="4" width="45.5703125" customWidth="1"/>
    <col min="5" max="5" width="39.85546875" customWidth="1"/>
    <col min="6" max="6" width="45.42578125" customWidth="1"/>
  </cols>
  <sheetData>
    <row r="1" spans="3:6" ht="10.5" customHeight="1">
      <c r="C1" s="145"/>
      <c r="D1" s="145"/>
      <c r="E1" s="145"/>
      <c r="F1" s="145"/>
    </row>
    <row r="2" spans="3:6" ht="34.5" customHeight="1">
      <c r="C2" s="263" t="s">
        <v>477</v>
      </c>
      <c r="D2" s="230"/>
      <c r="E2" s="230"/>
      <c r="F2" s="230"/>
    </row>
    <row r="3" spans="3:6" ht="9.75" customHeight="1" thickBot="1">
      <c r="C3" s="144"/>
      <c r="D3" s="144"/>
      <c r="E3" s="144"/>
      <c r="F3" s="144"/>
    </row>
    <row r="4" spans="3:6" s="146" customFormat="1" ht="29.25">
      <c r="C4" s="320" t="s">
        <v>126</v>
      </c>
      <c r="D4" s="321" t="s">
        <v>115</v>
      </c>
      <c r="E4" s="321" t="s">
        <v>116</v>
      </c>
      <c r="F4" s="321" t="s">
        <v>114</v>
      </c>
    </row>
    <row r="5" spans="3:6" ht="19.5" thickBot="1">
      <c r="C5" s="322" t="s">
        <v>111</v>
      </c>
      <c r="D5" s="323" t="s">
        <v>117</v>
      </c>
      <c r="E5" s="323" t="s">
        <v>112</v>
      </c>
      <c r="F5" s="323" t="s">
        <v>113</v>
      </c>
    </row>
  </sheetData>
  <pageMargins left="3.937007874015748E-2" right="3.937007874015748E-2" top="3.937007874015748E-2" bottom="3.937007874015748E-2" header="3.937007874015748E-2" footer="3.937007874015748E-2"/>
  <pageSetup paperSize="9" scale="71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9DA61-C5AA-4723-9C8B-FFFD6AE4029A}">
  <sheetPr codeName="Sheet2"/>
  <dimension ref="C1:O48"/>
  <sheetViews>
    <sheetView showGridLines="0" topLeftCell="A4" zoomScale="80" zoomScaleNormal="80" workbookViewId="0">
      <pane ySplit="8" topLeftCell="A15" activePane="bottomLeft" state="frozen"/>
      <selection pane="bottomLeft" activeCell="I20" sqref="I20"/>
    </sheetView>
  </sheetViews>
  <sheetFormatPr defaultRowHeight="24.95" customHeight="1"/>
  <cols>
    <col min="1" max="1" width="3.140625" style="139" customWidth="1"/>
    <col min="2" max="2" width="4.140625" style="139" customWidth="1"/>
    <col min="3" max="3" width="7.28515625" style="139" customWidth="1"/>
    <col min="4" max="4" width="27.140625" style="335" bestFit="1" customWidth="1"/>
    <col min="5" max="5" width="26.42578125" style="335" bestFit="1" customWidth="1"/>
    <col min="6" max="6" width="34.85546875" style="139" customWidth="1"/>
    <col min="7" max="7" width="23.7109375" style="139" customWidth="1"/>
    <col min="8" max="8" width="17.5703125" style="139" customWidth="1"/>
    <col min="9" max="9" width="24.140625" style="335" bestFit="1" customWidth="1"/>
    <col min="10" max="10" width="27" style="139" bestFit="1" customWidth="1"/>
    <col min="11" max="11" width="18.28515625" style="139" customWidth="1"/>
    <col min="12" max="12" width="110.7109375" style="335" bestFit="1" customWidth="1"/>
    <col min="13" max="13" width="32" style="139" bestFit="1" customWidth="1"/>
    <col min="14" max="14" width="9.140625" style="139"/>
    <col min="15" max="15" width="76" style="139" bestFit="1" customWidth="1"/>
    <col min="16" max="16384" width="9.140625" style="139"/>
  </cols>
  <sheetData>
    <row r="1" spans="3:15" customFormat="1" ht="15" hidden="1">
      <c r="D1" s="132"/>
      <c r="E1" s="132"/>
      <c r="I1" s="132"/>
      <c r="L1" s="132"/>
    </row>
    <row r="2" spans="3:15" customFormat="1" ht="15" hidden="1">
      <c r="D2" s="132"/>
      <c r="E2" s="132"/>
      <c r="I2" s="132"/>
      <c r="L2" s="132"/>
    </row>
    <row r="3" spans="3:15" customFormat="1" ht="15" hidden="1">
      <c r="D3" s="132"/>
      <c r="E3" s="132"/>
      <c r="I3" s="132"/>
      <c r="L3" s="132"/>
    </row>
    <row r="4" spans="3:15" customFormat="1" ht="15">
      <c r="D4" s="132"/>
      <c r="E4" s="132"/>
      <c r="I4" s="132"/>
      <c r="L4" s="132"/>
    </row>
    <row r="5" spans="3:15" s="3" customFormat="1" ht="49.5">
      <c r="C5" s="341" t="s">
        <v>543</v>
      </c>
      <c r="D5" s="232"/>
      <c r="E5" s="232"/>
      <c r="F5" s="232"/>
      <c r="G5" s="232"/>
      <c r="H5" s="232"/>
      <c r="I5" s="232"/>
      <c r="J5" s="232"/>
      <c r="K5" s="232"/>
      <c r="L5" s="232"/>
      <c r="M5" s="232"/>
    </row>
    <row r="6" spans="3:15" customFormat="1" ht="6" customHeight="1">
      <c r="D6" s="132"/>
      <c r="E6" s="132"/>
      <c r="I6" s="132"/>
      <c r="L6" s="132"/>
    </row>
    <row r="7" spans="3:15" customFormat="1" ht="35.1" customHeight="1">
      <c r="C7" s="338" t="s">
        <v>1</v>
      </c>
      <c r="D7" s="338" t="s">
        <v>480</v>
      </c>
      <c r="E7" s="338" t="s">
        <v>481</v>
      </c>
      <c r="F7" s="338" t="s">
        <v>482</v>
      </c>
      <c r="G7" s="338" t="s">
        <v>2282</v>
      </c>
      <c r="H7" s="338" t="s">
        <v>483</v>
      </c>
      <c r="I7" s="338" t="s">
        <v>484</v>
      </c>
      <c r="J7" s="338" t="s">
        <v>484</v>
      </c>
      <c r="K7" s="338" t="s">
        <v>485</v>
      </c>
      <c r="L7" s="338" t="s">
        <v>486</v>
      </c>
      <c r="M7" s="338" t="s">
        <v>487</v>
      </c>
      <c r="O7" s="335" t="s">
        <v>542</v>
      </c>
    </row>
    <row r="8" spans="3:15" ht="24.95" customHeight="1">
      <c r="C8" s="337">
        <v>1</v>
      </c>
      <c r="D8" s="336" t="s">
        <v>488</v>
      </c>
      <c r="E8" s="336" t="s">
        <v>537</v>
      </c>
      <c r="F8" s="336" t="s">
        <v>542</v>
      </c>
      <c r="G8" s="175" t="s">
        <v>2281</v>
      </c>
      <c r="H8" s="336" t="s">
        <v>488</v>
      </c>
      <c r="I8" s="336"/>
      <c r="J8" s="336"/>
      <c r="K8" s="336"/>
      <c r="L8" s="336" t="str">
        <f>IF(F8="","",F8)&amp;IF(G8="","",G8&amp;"\")&amp;IF(H8="","",H8&amp;"\")&amp;IF(I8="","",I8&amp;"\")&amp;IF(J8="","",J8&amp;"\")&amp;IF(K8="","",K8&amp;"\")</f>
        <v>D:\OneDrive\YBA ADVISORY\B-Clients and Services\C024-KOK SNUOL\ks_system\database\</v>
      </c>
      <c r="M8" s="404" t="str">
        <f>IF(AND(E8="",J8=""),"",HYPERLINK(L8,IF(J8="",E8,J8)))</f>
        <v>database file</v>
      </c>
      <c r="O8" s="335" t="s">
        <v>476</v>
      </c>
    </row>
    <row r="9" spans="3:15" ht="24.95" customHeight="1">
      <c r="C9" s="175">
        <v>2</v>
      </c>
      <c r="D9" s="336" t="s">
        <v>488</v>
      </c>
      <c r="E9" s="336" t="s">
        <v>538</v>
      </c>
      <c r="F9" s="336" t="s">
        <v>542</v>
      </c>
      <c r="G9" s="175" t="s">
        <v>2281</v>
      </c>
      <c r="H9" s="336" t="s">
        <v>488</v>
      </c>
      <c r="I9" s="336" t="s">
        <v>536</v>
      </c>
      <c r="J9" s="336"/>
      <c r="K9" s="336"/>
      <c r="L9" s="336" t="str">
        <f t="shared" ref="L9:L46" si="0">IF(F9="","",F9)&amp;IF(G9="","",G9&amp;"\")&amp;IF(H9="","",H9&amp;"\")&amp;IF(I9="","",I9&amp;"\")&amp;IF(J9="","",J9&amp;"\")&amp;IF(K9="","",K9&amp;"\")</f>
        <v>D:\OneDrive\YBA ADVISORY\B-Clients and Services\C024-KOK SNUOL\ks_system\database\database_backup\</v>
      </c>
      <c r="M9" s="404" t="str">
        <f t="shared" ref="M9:M48" si="1">IF(AND(E9="",J9=""),"",HYPERLINK(L9,IF(J9="",E9,J9)))</f>
        <v>database backup</v>
      </c>
    </row>
    <row r="10" spans="3:15" ht="24.95" customHeight="1">
      <c r="C10" s="175">
        <v>3</v>
      </c>
      <c r="D10" s="336" t="s">
        <v>489</v>
      </c>
      <c r="E10" s="336" t="s">
        <v>539</v>
      </c>
      <c r="F10" s="336" t="s">
        <v>542</v>
      </c>
      <c r="G10" s="175" t="s">
        <v>2281</v>
      </c>
      <c r="H10" s="336"/>
      <c r="I10" s="336"/>
      <c r="J10" s="336"/>
      <c r="K10" s="336"/>
      <c r="L10" s="336" t="str">
        <f t="shared" si="0"/>
        <v>D:\OneDrive\YBA ADVISORY\B-Clients and Services\C024-KOK SNUOL\ks_system\</v>
      </c>
      <c r="M10" s="404" t="str">
        <f t="shared" si="1"/>
        <v>system file</v>
      </c>
    </row>
    <row r="11" spans="3:15" ht="24.95" customHeight="1">
      <c r="C11" s="175">
        <v>4</v>
      </c>
      <c r="D11" s="336" t="s">
        <v>489</v>
      </c>
      <c r="E11" s="336" t="s">
        <v>540</v>
      </c>
      <c r="F11" s="336" t="s">
        <v>542</v>
      </c>
      <c r="G11" s="175" t="s">
        <v>2281</v>
      </c>
      <c r="H11" s="336" t="s">
        <v>541</v>
      </c>
      <c r="I11" s="336"/>
      <c r="J11" s="336"/>
      <c r="K11" s="336"/>
      <c r="L11" s="336" t="str">
        <f t="shared" si="0"/>
        <v>D:\OneDrive\YBA ADVISORY\B-Clients and Services\C024-KOK SNUOL\ks_system\system_backup\</v>
      </c>
      <c r="M11" s="404" t="str">
        <f t="shared" si="1"/>
        <v>system backup</v>
      </c>
    </row>
    <row r="12" spans="3:15" ht="24.95" customHeight="1">
      <c r="C12" s="175">
        <v>5</v>
      </c>
      <c r="D12" s="336" t="s">
        <v>490</v>
      </c>
      <c r="E12" s="336" t="s">
        <v>491</v>
      </c>
      <c r="F12" s="336" t="s">
        <v>542</v>
      </c>
      <c r="G12" s="175" t="s">
        <v>2281</v>
      </c>
      <c r="H12" s="336" t="s">
        <v>492</v>
      </c>
      <c r="I12" s="336" t="s">
        <v>490</v>
      </c>
      <c r="J12" s="339" t="s">
        <v>491</v>
      </c>
      <c r="K12" s="339"/>
      <c r="L12" s="336" t="str">
        <f t="shared" si="0"/>
        <v>D:\OneDrive\YBA ADVISORY\B-Clients and Services\C024-KOK SNUOL\ks_system\report\inventory\inventory_adjustment\</v>
      </c>
      <c r="M12" s="404" t="str">
        <f t="shared" si="1"/>
        <v>inventory_adjustment</v>
      </c>
    </row>
    <row r="13" spans="3:15" ht="24.95" customHeight="1">
      <c r="C13" s="175">
        <v>6</v>
      </c>
      <c r="D13" s="336" t="s">
        <v>111</v>
      </c>
      <c r="E13" s="336" t="s">
        <v>493</v>
      </c>
      <c r="F13" s="336" t="s">
        <v>542</v>
      </c>
      <c r="G13" s="175" t="s">
        <v>2281</v>
      </c>
      <c r="H13" s="336" t="s">
        <v>492</v>
      </c>
      <c r="I13" s="336" t="s">
        <v>111</v>
      </c>
      <c r="J13" s="339" t="s">
        <v>493</v>
      </c>
      <c r="K13" s="339"/>
      <c r="L13" s="336" t="str">
        <f t="shared" si="0"/>
        <v>D:\OneDrive\YBA ADVISORY\B-Clients and Services\C024-KOK SNUOL\ks_system\report\Inventory\product\</v>
      </c>
      <c r="M13" s="404" t="str">
        <f t="shared" si="1"/>
        <v>product</v>
      </c>
    </row>
    <row r="14" spans="3:15" ht="24.95" customHeight="1">
      <c r="C14" s="175">
        <v>7</v>
      </c>
      <c r="D14" s="336" t="s">
        <v>111</v>
      </c>
      <c r="E14" s="336" t="s">
        <v>494</v>
      </c>
      <c r="F14" s="336" t="s">
        <v>542</v>
      </c>
      <c r="G14" s="175" t="s">
        <v>2281</v>
      </c>
      <c r="H14" s="336" t="s">
        <v>492</v>
      </c>
      <c r="I14" s="336" t="s">
        <v>111</v>
      </c>
      <c r="J14" s="339" t="s">
        <v>494</v>
      </c>
      <c r="K14" s="339"/>
      <c r="L14" s="336" t="str">
        <f t="shared" si="0"/>
        <v>D:\OneDrive\YBA ADVISORY\B-Clients and Services\C024-KOK SNUOL\ks_system\report\Inventory\transfer_order\</v>
      </c>
      <c r="M14" s="404" t="str">
        <f t="shared" si="1"/>
        <v>transfer_order</v>
      </c>
    </row>
    <row r="15" spans="3:15" ht="24.95" customHeight="1">
      <c r="C15" s="175">
        <v>8</v>
      </c>
      <c r="D15" s="336" t="s">
        <v>495</v>
      </c>
      <c r="E15" s="336" t="s">
        <v>496</v>
      </c>
      <c r="F15" s="336" t="s">
        <v>542</v>
      </c>
      <c r="G15" s="175" t="s">
        <v>2281</v>
      </c>
      <c r="H15" s="336" t="s">
        <v>492</v>
      </c>
      <c r="I15" s="336" t="s">
        <v>495</v>
      </c>
      <c r="J15" s="339" t="s">
        <v>496</v>
      </c>
      <c r="K15" s="339"/>
      <c r="L15" s="336" t="str">
        <f t="shared" si="0"/>
        <v>D:\OneDrive\YBA ADVISORY\B-Clients and Services\C024-KOK SNUOL\ks_system\report\purchase\purchase_bill\</v>
      </c>
      <c r="M15" s="404" t="str">
        <f t="shared" si="1"/>
        <v>purchase_bill</v>
      </c>
    </row>
    <row r="16" spans="3:15" ht="24.95" customHeight="1">
      <c r="C16" s="175">
        <v>9</v>
      </c>
      <c r="D16" s="336" t="s">
        <v>495</v>
      </c>
      <c r="E16" s="336" t="s">
        <v>497</v>
      </c>
      <c r="F16" s="336" t="s">
        <v>542</v>
      </c>
      <c r="G16" s="175" t="s">
        <v>2281</v>
      </c>
      <c r="H16" s="336" t="s">
        <v>492</v>
      </c>
      <c r="I16" s="336" t="s">
        <v>495</v>
      </c>
      <c r="J16" s="339" t="s">
        <v>497</v>
      </c>
      <c r="K16" s="339"/>
      <c r="L16" s="336" t="str">
        <f t="shared" si="0"/>
        <v>D:\OneDrive\YBA ADVISORY\B-Clients and Services\C024-KOK SNUOL\ks_system\report\purchase\purchase_request\</v>
      </c>
      <c r="M16" s="404" t="str">
        <f t="shared" si="1"/>
        <v>purchase_request</v>
      </c>
    </row>
    <row r="17" spans="3:13" ht="24.95" customHeight="1">
      <c r="C17" s="175">
        <v>10</v>
      </c>
      <c r="D17" s="336" t="s">
        <v>495</v>
      </c>
      <c r="E17" s="336" t="s">
        <v>498</v>
      </c>
      <c r="F17" s="336" t="s">
        <v>542</v>
      </c>
      <c r="G17" s="175" t="s">
        <v>2281</v>
      </c>
      <c r="H17" s="336" t="s">
        <v>492</v>
      </c>
      <c r="I17" s="336" t="s">
        <v>495</v>
      </c>
      <c r="J17" s="339" t="s">
        <v>498</v>
      </c>
      <c r="K17" s="339"/>
      <c r="L17" s="336" t="str">
        <f t="shared" si="0"/>
        <v>D:\OneDrive\YBA ADVISORY\B-Clients and Services\C024-KOK SNUOL\ks_system\report\purchase\other_expense\</v>
      </c>
      <c r="M17" s="404" t="str">
        <f t="shared" si="1"/>
        <v>other_expense</v>
      </c>
    </row>
    <row r="18" spans="3:13" ht="24.95" customHeight="1">
      <c r="C18" s="175">
        <v>11</v>
      </c>
      <c r="D18" s="336" t="s">
        <v>495</v>
      </c>
      <c r="E18" s="336" t="s">
        <v>499</v>
      </c>
      <c r="F18" s="336" t="s">
        <v>542</v>
      </c>
      <c r="G18" s="175" t="s">
        <v>2281</v>
      </c>
      <c r="H18" s="336" t="s">
        <v>492</v>
      </c>
      <c r="I18" s="336" t="s">
        <v>495</v>
      </c>
      <c r="J18" s="339" t="s">
        <v>499</v>
      </c>
      <c r="K18" s="339"/>
      <c r="L18" s="336" t="str">
        <f t="shared" si="0"/>
        <v>D:\OneDrive\YBA ADVISORY\B-Clients and Services\C024-KOK SNUOL\ks_system\report\purchase\vendor\</v>
      </c>
      <c r="M18" s="404" t="str">
        <f t="shared" si="1"/>
        <v>vendor</v>
      </c>
    </row>
    <row r="19" spans="3:13" ht="24.95" customHeight="1">
      <c r="C19" s="175">
        <v>12</v>
      </c>
      <c r="D19" s="336" t="s">
        <v>500</v>
      </c>
      <c r="E19" s="336" t="s">
        <v>501</v>
      </c>
      <c r="F19" s="336" t="s">
        <v>542</v>
      </c>
      <c r="G19" s="175" t="s">
        <v>2281</v>
      </c>
      <c r="H19" s="336" t="s">
        <v>492</v>
      </c>
      <c r="I19" s="336" t="s">
        <v>500</v>
      </c>
      <c r="J19" s="339" t="s">
        <v>501</v>
      </c>
      <c r="K19" s="339"/>
      <c r="L19" s="336" t="str">
        <f t="shared" si="0"/>
        <v>D:\OneDrive\YBA ADVISORY\B-Clients and Services\C024-KOK SNUOL\ks_system\report\sales\customer\</v>
      </c>
      <c r="M19" s="404" t="str">
        <f t="shared" si="1"/>
        <v>customer</v>
      </c>
    </row>
    <row r="20" spans="3:13" ht="24.95" customHeight="1">
      <c r="C20" s="175">
        <v>13</v>
      </c>
      <c r="D20" s="336" t="s">
        <v>500</v>
      </c>
      <c r="E20" s="336" t="s">
        <v>502</v>
      </c>
      <c r="F20" s="336" t="s">
        <v>542</v>
      </c>
      <c r="G20" s="175" t="s">
        <v>2281</v>
      </c>
      <c r="H20" s="336" t="s">
        <v>492</v>
      </c>
      <c r="I20" s="336" t="s">
        <v>500</v>
      </c>
      <c r="J20" s="339" t="s">
        <v>502</v>
      </c>
      <c r="K20" s="339"/>
      <c r="L20" s="336" t="str">
        <f t="shared" si="0"/>
        <v>D:\OneDrive\YBA ADVISORY\B-Clients and Services\C024-KOK SNUOL\ks_system\report\sales\quotation\</v>
      </c>
      <c r="M20" s="404" t="str">
        <f t="shared" si="1"/>
        <v>quotation</v>
      </c>
    </row>
    <row r="21" spans="3:13" ht="24.95" customHeight="1">
      <c r="C21" s="175">
        <v>14</v>
      </c>
      <c r="D21" s="336" t="s">
        <v>500</v>
      </c>
      <c r="E21" s="336" t="s">
        <v>503</v>
      </c>
      <c r="F21" s="336" t="s">
        <v>542</v>
      </c>
      <c r="G21" s="175" t="s">
        <v>2281</v>
      </c>
      <c r="H21" s="336" t="s">
        <v>492</v>
      </c>
      <c r="I21" s="336" t="s">
        <v>500</v>
      </c>
      <c r="J21" s="339" t="s">
        <v>503</v>
      </c>
      <c r="K21" s="339"/>
      <c r="L21" s="336" t="str">
        <f t="shared" si="0"/>
        <v>D:\OneDrive\YBA ADVISORY\B-Clients and Services\C024-KOK SNUOL\ks_system\report\sales\sales_order\</v>
      </c>
      <c r="M21" s="404" t="str">
        <f t="shared" si="1"/>
        <v>sales_order</v>
      </c>
    </row>
    <row r="22" spans="3:13" ht="24.95" customHeight="1">
      <c r="C22" s="175">
        <v>15</v>
      </c>
      <c r="D22" s="336" t="s">
        <v>500</v>
      </c>
      <c r="E22" s="336" t="s">
        <v>504</v>
      </c>
      <c r="F22" s="336" t="s">
        <v>542</v>
      </c>
      <c r="G22" s="175" t="s">
        <v>2281</v>
      </c>
      <c r="H22" s="336" t="s">
        <v>492</v>
      </c>
      <c r="I22" s="336" t="s">
        <v>500</v>
      </c>
      <c r="J22" s="339" t="s">
        <v>504</v>
      </c>
      <c r="K22" s="339"/>
      <c r="L22" s="336" t="str">
        <f t="shared" si="0"/>
        <v>D:\OneDrive\YBA ADVISORY\B-Clients and Services\C024-KOK SNUOL\ks_system\report\sales\sales_invoice\</v>
      </c>
      <c r="M22" s="404" t="str">
        <f t="shared" si="1"/>
        <v>sales_invoice</v>
      </c>
    </row>
    <row r="23" spans="3:13" ht="24.95" customHeight="1">
      <c r="C23" s="175">
        <v>16</v>
      </c>
      <c r="D23" s="336" t="s">
        <v>500</v>
      </c>
      <c r="E23" s="336" t="s">
        <v>505</v>
      </c>
      <c r="F23" s="336" t="s">
        <v>542</v>
      </c>
      <c r="G23" s="175" t="s">
        <v>2281</v>
      </c>
      <c r="H23" s="336" t="s">
        <v>492</v>
      </c>
      <c r="I23" s="336" t="s">
        <v>500</v>
      </c>
      <c r="J23" s="339" t="s">
        <v>505</v>
      </c>
      <c r="K23" s="339"/>
      <c r="L23" s="336" t="str">
        <f t="shared" si="0"/>
        <v>D:\OneDrive\YBA ADVISORY\B-Clients and Services\C024-KOK SNUOL\ks_system\report\sales\pos\</v>
      </c>
      <c r="M23" s="404" t="str">
        <f t="shared" si="1"/>
        <v>pos</v>
      </c>
    </row>
    <row r="24" spans="3:13" ht="24.95" customHeight="1">
      <c r="C24" s="175">
        <v>17</v>
      </c>
      <c r="D24" s="336" t="s">
        <v>500</v>
      </c>
      <c r="E24" s="340" t="s">
        <v>506</v>
      </c>
      <c r="F24" s="336" t="s">
        <v>542</v>
      </c>
      <c r="G24" s="175" t="s">
        <v>2281</v>
      </c>
      <c r="H24" s="336" t="s">
        <v>492</v>
      </c>
      <c r="I24" s="336" t="s">
        <v>500</v>
      </c>
      <c r="J24" s="339" t="s">
        <v>506</v>
      </c>
      <c r="K24" s="339"/>
      <c r="L24" s="336" t="str">
        <f t="shared" si="0"/>
        <v>D:\OneDrive\YBA ADVISORY\B-Clients and Services\C024-KOK SNUOL\ks_system\report\sales\other_income\</v>
      </c>
      <c r="M24" s="404" t="str">
        <f t="shared" si="1"/>
        <v>other_income</v>
      </c>
    </row>
    <row r="25" spans="3:13" ht="24.95" customHeight="1">
      <c r="C25" s="175">
        <v>18</v>
      </c>
      <c r="D25" s="336" t="s">
        <v>507</v>
      </c>
      <c r="E25" s="336" t="s">
        <v>508</v>
      </c>
      <c r="F25" s="336" t="s">
        <v>542</v>
      </c>
      <c r="G25" s="175" t="s">
        <v>2281</v>
      </c>
      <c r="H25" s="336" t="s">
        <v>492</v>
      </c>
      <c r="I25" s="336" t="s">
        <v>507</v>
      </c>
      <c r="J25" s="339" t="s">
        <v>508</v>
      </c>
      <c r="K25" s="339"/>
      <c r="L25" s="336" t="str">
        <f t="shared" si="0"/>
        <v>D:\OneDrive\YBA ADVISORY\B-Clients and Services\C024-KOK SNUOL\ks_system\report\setting\employee_and_salary\</v>
      </c>
      <c r="M25" s="404" t="str">
        <f t="shared" si="1"/>
        <v>employee_and_salary</v>
      </c>
    </row>
    <row r="26" spans="3:13" ht="24.95" customHeight="1">
      <c r="C26" s="175">
        <v>19</v>
      </c>
      <c r="D26" s="336" t="s">
        <v>507</v>
      </c>
      <c r="E26" s="336" t="s">
        <v>509</v>
      </c>
      <c r="F26" s="336" t="s">
        <v>542</v>
      </c>
      <c r="G26" s="175" t="s">
        <v>2281</v>
      </c>
      <c r="H26" s="336" t="s">
        <v>492</v>
      </c>
      <c r="I26" s="336" t="s">
        <v>507</v>
      </c>
      <c r="J26" s="339" t="s">
        <v>509</v>
      </c>
      <c r="K26" s="339"/>
      <c r="L26" s="336" t="str">
        <f t="shared" si="0"/>
        <v>D:\OneDrive\YBA ADVISORY\B-Clients and Services\C024-KOK SNUOL\ks_system\report\setting\chart_account\</v>
      </c>
      <c r="M26" s="404" t="str">
        <f t="shared" si="1"/>
        <v>chart_account</v>
      </c>
    </row>
    <row r="27" spans="3:13" ht="24.95" customHeight="1">
      <c r="C27" s="175">
        <v>20</v>
      </c>
      <c r="D27" s="336" t="s">
        <v>510</v>
      </c>
      <c r="E27" s="336" t="s">
        <v>511</v>
      </c>
      <c r="F27" s="336" t="s">
        <v>542</v>
      </c>
      <c r="G27" s="175" t="s">
        <v>2281</v>
      </c>
      <c r="H27" s="336" t="s">
        <v>492</v>
      </c>
      <c r="I27" s="336" t="s">
        <v>510</v>
      </c>
      <c r="J27" s="339" t="s">
        <v>511</v>
      </c>
      <c r="K27" s="339"/>
      <c r="L27" s="336" t="str">
        <f t="shared" si="0"/>
        <v>D:\OneDrive\YBA ADVISORY\B-Clients and Services\C024-KOK SNUOL\ks_system\report\report_customer_balance\customer_balance\</v>
      </c>
      <c r="M27" s="404" t="str">
        <f t="shared" si="1"/>
        <v>customer_balance</v>
      </c>
    </row>
    <row r="28" spans="3:13" ht="24.95" customHeight="1">
      <c r="C28" s="175">
        <v>21</v>
      </c>
      <c r="D28" s="336" t="s">
        <v>510</v>
      </c>
      <c r="E28" s="336" t="s">
        <v>512</v>
      </c>
      <c r="F28" s="336" t="s">
        <v>542</v>
      </c>
      <c r="G28" s="175" t="s">
        <v>2281</v>
      </c>
      <c r="H28" s="336" t="s">
        <v>492</v>
      </c>
      <c r="I28" s="336" t="s">
        <v>510</v>
      </c>
      <c r="J28" s="339" t="s">
        <v>512</v>
      </c>
      <c r="K28" s="339"/>
      <c r="L28" s="336" t="str">
        <f t="shared" si="0"/>
        <v>D:\OneDrive\YBA ADVISORY\B-Clients and Services\C024-KOK SNUOL\ks_system\report\report_customer_balance\open_invoice\</v>
      </c>
      <c r="M28" s="404" t="str">
        <f t="shared" si="1"/>
        <v>open_invoice</v>
      </c>
    </row>
    <row r="29" spans="3:13" ht="24.95" customHeight="1">
      <c r="C29" s="175">
        <v>22</v>
      </c>
      <c r="D29" s="336" t="s">
        <v>510</v>
      </c>
      <c r="E29" s="336" t="s">
        <v>513</v>
      </c>
      <c r="F29" s="336" t="s">
        <v>542</v>
      </c>
      <c r="G29" s="175" t="s">
        <v>2281</v>
      </c>
      <c r="H29" s="336" t="s">
        <v>492</v>
      </c>
      <c r="I29" s="336" t="s">
        <v>510</v>
      </c>
      <c r="J29" s="339" t="s">
        <v>513</v>
      </c>
      <c r="K29" s="339"/>
      <c r="L29" s="336" t="str">
        <f t="shared" si="0"/>
        <v>D:\OneDrive\YBA ADVISORY\B-Clients and Services\C024-KOK SNUOL\ks_system\report\report_customer_balance\customer_statement\</v>
      </c>
      <c r="M29" s="404" t="str">
        <f t="shared" si="1"/>
        <v>customer_statement</v>
      </c>
    </row>
    <row r="30" spans="3:13" ht="24.95" customHeight="1">
      <c r="C30" s="175">
        <v>23</v>
      </c>
      <c r="D30" s="336" t="s">
        <v>514</v>
      </c>
      <c r="E30" s="336" t="s">
        <v>515</v>
      </c>
      <c r="F30" s="336" t="s">
        <v>542</v>
      </c>
      <c r="G30" s="175" t="s">
        <v>2281</v>
      </c>
      <c r="H30" s="336" t="s">
        <v>492</v>
      </c>
      <c r="I30" s="336" t="s">
        <v>514</v>
      </c>
      <c r="J30" s="339" t="s">
        <v>515</v>
      </c>
      <c r="K30" s="339"/>
      <c r="L30" s="336" t="str">
        <f t="shared" si="0"/>
        <v>D:\OneDrive\YBA ADVISORY\B-Clients and Services\C024-KOK SNUOL\ks_system\report\report_vendor_balance\vendor_balance\</v>
      </c>
      <c r="M30" s="404" t="str">
        <f t="shared" si="1"/>
        <v>vendor_balance</v>
      </c>
    </row>
    <row r="31" spans="3:13" ht="24.95" customHeight="1">
      <c r="C31" s="175">
        <v>24</v>
      </c>
      <c r="D31" s="336" t="s">
        <v>514</v>
      </c>
      <c r="E31" s="336" t="s">
        <v>516</v>
      </c>
      <c r="F31" s="336" t="s">
        <v>542</v>
      </c>
      <c r="G31" s="175" t="s">
        <v>2281</v>
      </c>
      <c r="H31" s="336" t="s">
        <v>492</v>
      </c>
      <c r="I31" s="336" t="s">
        <v>514</v>
      </c>
      <c r="J31" s="339" t="s">
        <v>516</v>
      </c>
      <c r="K31" s="339"/>
      <c r="L31" s="336" t="str">
        <f t="shared" si="0"/>
        <v>D:\OneDrive\YBA ADVISORY\B-Clients and Services\C024-KOK SNUOL\ks_system\report\report_vendor_balance\open_bill\</v>
      </c>
      <c r="M31" s="404" t="str">
        <f t="shared" si="1"/>
        <v>open_bill</v>
      </c>
    </row>
    <row r="32" spans="3:13" ht="24.95" customHeight="1">
      <c r="C32" s="175">
        <v>25</v>
      </c>
      <c r="D32" s="336" t="s">
        <v>514</v>
      </c>
      <c r="E32" s="336" t="s">
        <v>517</v>
      </c>
      <c r="F32" s="336" t="s">
        <v>542</v>
      </c>
      <c r="G32" s="175" t="s">
        <v>2281</v>
      </c>
      <c r="H32" s="336" t="s">
        <v>492</v>
      </c>
      <c r="I32" s="336" t="s">
        <v>514</v>
      </c>
      <c r="J32" s="339" t="s">
        <v>517</v>
      </c>
      <c r="K32" s="339"/>
      <c r="L32" s="336" t="str">
        <f t="shared" si="0"/>
        <v>D:\OneDrive\YBA ADVISORY\B-Clients and Services\C024-KOK SNUOL\ks_system\report\report_vendor_balance\vendor_statement\</v>
      </c>
      <c r="M32" s="404" t="str">
        <f t="shared" si="1"/>
        <v>vendor_statement</v>
      </c>
    </row>
    <row r="33" spans="3:13" ht="24.95" customHeight="1">
      <c r="C33" s="175">
        <v>26</v>
      </c>
      <c r="D33" s="336" t="s">
        <v>518</v>
      </c>
      <c r="E33" s="336" t="s">
        <v>519</v>
      </c>
      <c r="F33" s="336" t="s">
        <v>542</v>
      </c>
      <c r="G33" s="175" t="s">
        <v>2281</v>
      </c>
      <c r="H33" s="336" t="s">
        <v>492</v>
      </c>
      <c r="I33" s="336" t="s">
        <v>518</v>
      </c>
      <c r="J33" s="339" t="s">
        <v>519</v>
      </c>
      <c r="K33" s="339"/>
      <c r="L33" s="336" t="str">
        <f t="shared" si="0"/>
        <v>D:\OneDrive\YBA ADVISORY\B-Clients and Services\C024-KOK SNUOL\ks_system\report\report_purchase\purchase_by_invoice\</v>
      </c>
      <c r="M33" s="404" t="str">
        <f t="shared" si="1"/>
        <v>purchase_by_invoice</v>
      </c>
    </row>
    <row r="34" spans="3:13" ht="24.95" customHeight="1">
      <c r="C34" s="175">
        <v>27</v>
      </c>
      <c r="D34" s="336" t="s">
        <v>518</v>
      </c>
      <c r="E34" s="336" t="s">
        <v>520</v>
      </c>
      <c r="F34" s="336" t="s">
        <v>542</v>
      </c>
      <c r="G34" s="175" t="s">
        <v>2281</v>
      </c>
      <c r="H34" s="336" t="s">
        <v>492</v>
      </c>
      <c r="I34" s="336" t="s">
        <v>518</v>
      </c>
      <c r="J34" s="339" t="s">
        <v>520</v>
      </c>
      <c r="K34" s="339"/>
      <c r="L34" s="336" t="str">
        <f t="shared" si="0"/>
        <v>D:\OneDrive\YBA ADVISORY\B-Clients and Services\C024-KOK SNUOL\ks_system\report\report_purchase\purchase_by_item\</v>
      </c>
      <c r="M34" s="404" t="str">
        <f t="shared" si="1"/>
        <v>purchase_by_item</v>
      </c>
    </row>
    <row r="35" spans="3:13" ht="24.95" customHeight="1">
      <c r="C35" s="175">
        <v>28</v>
      </c>
      <c r="D35" s="336" t="s">
        <v>518</v>
      </c>
      <c r="E35" s="336" t="s">
        <v>521</v>
      </c>
      <c r="F35" s="336" t="s">
        <v>542</v>
      </c>
      <c r="G35" s="175" t="s">
        <v>2281</v>
      </c>
      <c r="H35" s="336" t="s">
        <v>492</v>
      </c>
      <c r="I35" s="336" t="s">
        <v>518</v>
      </c>
      <c r="J35" s="339" t="s">
        <v>521</v>
      </c>
      <c r="K35" s="339"/>
      <c r="L35" s="336" t="str">
        <f t="shared" si="0"/>
        <v>D:\OneDrive\YBA ADVISORY\B-Clients and Services\C024-KOK SNUOL\ks_system\report\report_purchase\pay_bills \</v>
      </c>
      <c r="M35" s="404" t="str">
        <f t="shared" si="1"/>
        <v xml:space="preserve">pay_bills </v>
      </c>
    </row>
    <row r="36" spans="3:13" ht="24.95" customHeight="1">
      <c r="C36" s="175">
        <v>29</v>
      </c>
      <c r="D36" s="336" t="s">
        <v>518</v>
      </c>
      <c r="E36" s="336" t="s">
        <v>522</v>
      </c>
      <c r="F36" s="336" t="s">
        <v>542</v>
      </c>
      <c r="G36" s="175" t="s">
        <v>2281</v>
      </c>
      <c r="H36" s="336" t="s">
        <v>492</v>
      </c>
      <c r="I36" s="336" t="s">
        <v>518</v>
      </c>
      <c r="J36" s="339" t="s">
        <v>522</v>
      </c>
      <c r="K36" s="339"/>
      <c r="L36" s="336" t="str">
        <f t="shared" si="0"/>
        <v>D:\OneDrive\YBA ADVISORY\B-Clients and Services\C024-KOK SNUOL\ks_system\report\report_purchase\cash_expenses\</v>
      </c>
      <c r="M36" s="404" t="str">
        <f t="shared" si="1"/>
        <v>cash_expenses</v>
      </c>
    </row>
    <row r="37" spans="3:13" ht="24.95" customHeight="1">
      <c r="C37" s="175">
        <v>30</v>
      </c>
      <c r="D37" s="336" t="s">
        <v>523</v>
      </c>
      <c r="E37" s="336" t="s">
        <v>524</v>
      </c>
      <c r="F37" s="336" t="s">
        <v>542</v>
      </c>
      <c r="G37" s="175" t="s">
        <v>2281</v>
      </c>
      <c r="H37" s="336" t="s">
        <v>492</v>
      </c>
      <c r="I37" s="336" t="s">
        <v>523</v>
      </c>
      <c r="J37" s="339" t="s">
        <v>524</v>
      </c>
      <c r="K37" s="339"/>
      <c r="L37" s="336" t="str">
        <f t="shared" si="0"/>
        <v>D:\OneDrive\YBA ADVISORY\B-Clients and Services\C024-KOK SNUOL\ks_system\report\report_sales\sales_by_item\</v>
      </c>
      <c r="M37" s="404" t="str">
        <f t="shared" si="1"/>
        <v>sales_by_item</v>
      </c>
    </row>
    <row r="38" spans="3:13" ht="24.95" customHeight="1">
      <c r="C38" s="175">
        <v>31</v>
      </c>
      <c r="D38" s="336" t="s">
        <v>523</v>
      </c>
      <c r="E38" s="336" t="s">
        <v>525</v>
      </c>
      <c r="F38" s="336" t="s">
        <v>542</v>
      </c>
      <c r="G38" s="175" t="s">
        <v>2281</v>
      </c>
      <c r="H38" s="336" t="s">
        <v>492</v>
      </c>
      <c r="I38" s="336" t="s">
        <v>523</v>
      </c>
      <c r="J38" s="339" t="s">
        <v>525</v>
      </c>
      <c r="K38" s="339"/>
      <c r="L38" s="336" t="str">
        <f t="shared" si="0"/>
        <v>D:\OneDrive\YBA ADVISORY\B-Clients and Services\C024-KOK SNUOL\ks_system\report\report_sales\sales_by_item_customer\</v>
      </c>
      <c r="M38" s="404" t="str">
        <f t="shared" si="1"/>
        <v>sales_by_item_customer</v>
      </c>
    </row>
    <row r="39" spans="3:13" ht="24.95" customHeight="1">
      <c r="C39" s="175">
        <v>32</v>
      </c>
      <c r="D39" s="336" t="s">
        <v>523</v>
      </c>
      <c r="E39" s="336" t="s">
        <v>526</v>
      </c>
      <c r="F39" s="336" t="s">
        <v>542</v>
      </c>
      <c r="G39" s="175" t="s">
        <v>2281</v>
      </c>
      <c r="H39" s="336" t="s">
        <v>492</v>
      </c>
      <c r="I39" s="336" t="s">
        <v>523</v>
      </c>
      <c r="J39" s="339" t="s">
        <v>526</v>
      </c>
      <c r="K39" s="339"/>
      <c r="L39" s="336" t="str">
        <f t="shared" si="0"/>
        <v>D:\OneDrive\YBA ADVISORY\B-Clients and Services\C024-KOK SNUOL\ks_system\report\report_sales\total_sale\</v>
      </c>
      <c r="M39" s="404" t="str">
        <f t="shared" si="1"/>
        <v>total_sale</v>
      </c>
    </row>
    <row r="40" spans="3:13" ht="24.95" customHeight="1">
      <c r="C40" s="175">
        <v>33</v>
      </c>
      <c r="D40" s="336" t="s">
        <v>527</v>
      </c>
      <c r="E40" s="336" t="s">
        <v>528</v>
      </c>
      <c r="F40" s="336" t="s">
        <v>542</v>
      </c>
      <c r="G40" s="175" t="s">
        <v>2281</v>
      </c>
      <c r="H40" s="336" t="s">
        <v>492</v>
      </c>
      <c r="I40" s="336" t="s">
        <v>527</v>
      </c>
      <c r="J40" s="339" t="s">
        <v>528</v>
      </c>
      <c r="K40" s="339"/>
      <c r="L40" s="336" t="str">
        <f t="shared" si="0"/>
        <v>D:\OneDrive\YBA ADVISORY\B-Clients and Services\C024-KOK SNUOL\ks_system\report\report_inventory\gloable_inventory\</v>
      </c>
      <c r="M40" s="404" t="str">
        <f t="shared" si="1"/>
        <v>gloable_inventory</v>
      </c>
    </row>
    <row r="41" spans="3:13" ht="24.95" customHeight="1">
      <c r="C41" s="175">
        <v>34</v>
      </c>
      <c r="D41" s="336" t="s">
        <v>527</v>
      </c>
      <c r="E41" s="336" t="s">
        <v>529</v>
      </c>
      <c r="F41" s="336" t="s">
        <v>542</v>
      </c>
      <c r="G41" s="175" t="s">
        <v>2281</v>
      </c>
      <c r="H41" s="336" t="s">
        <v>492</v>
      </c>
      <c r="I41" s="336" t="s">
        <v>527</v>
      </c>
      <c r="J41" s="339" t="s">
        <v>529</v>
      </c>
      <c r="K41" s="339"/>
      <c r="L41" s="336" t="str">
        <f t="shared" si="0"/>
        <v>D:\OneDrive\YBA ADVISORY\B-Clients and Services\C024-KOK SNUOL\ks_system\report\report_inventory\inventory_activity\</v>
      </c>
      <c r="M41" s="404" t="str">
        <f t="shared" si="1"/>
        <v>inventory_activity</v>
      </c>
    </row>
    <row r="42" spans="3:13" ht="24.95" customHeight="1">
      <c r="C42" s="175">
        <v>35</v>
      </c>
      <c r="D42" s="336" t="s">
        <v>527</v>
      </c>
      <c r="E42" s="336" t="s">
        <v>530</v>
      </c>
      <c r="F42" s="336" t="s">
        <v>542</v>
      </c>
      <c r="G42" s="175" t="s">
        <v>2281</v>
      </c>
      <c r="H42" s="336" t="s">
        <v>492</v>
      </c>
      <c r="I42" s="336" t="s">
        <v>527</v>
      </c>
      <c r="J42" s="339" t="s">
        <v>530</v>
      </c>
      <c r="K42" s="339"/>
      <c r="L42" s="336" t="str">
        <f t="shared" si="0"/>
        <v>D:\OneDrive\YBA ADVISORY\B-Clients and Services\C024-KOK SNUOL\ks_system\report\report_inventory\inventory_valuation\</v>
      </c>
      <c r="M42" s="404" t="str">
        <f t="shared" si="1"/>
        <v>inventory_valuation</v>
      </c>
    </row>
    <row r="43" spans="3:13" ht="24.95" customHeight="1">
      <c r="C43" s="175">
        <v>36</v>
      </c>
      <c r="D43" s="336" t="s">
        <v>531</v>
      </c>
      <c r="E43" s="336" t="s">
        <v>532</v>
      </c>
      <c r="F43" s="336" t="s">
        <v>542</v>
      </c>
      <c r="G43" s="175" t="s">
        <v>2281</v>
      </c>
      <c r="H43" s="336" t="s">
        <v>492</v>
      </c>
      <c r="I43" s="336" t="s">
        <v>531</v>
      </c>
      <c r="J43" s="339" t="s">
        <v>532</v>
      </c>
      <c r="K43" s="339"/>
      <c r="L43" s="336" t="str">
        <f t="shared" si="0"/>
        <v>D:\OneDrive\YBA ADVISORY\B-Clients and Services\C024-KOK SNUOL\ks_system\report\report_accounting\journal_entry\</v>
      </c>
      <c r="M43" s="404" t="str">
        <f t="shared" si="1"/>
        <v>journal_entry</v>
      </c>
    </row>
    <row r="44" spans="3:13" ht="24.95" customHeight="1">
      <c r="C44" s="175">
        <v>37</v>
      </c>
      <c r="D44" s="336" t="s">
        <v>531</v>
      </c>
      <c r="E44" s="336" t="s">
        <v>533</v>
      </c>
      <c r="F44" s="336" t="s">
        <v>542</v>
      </c>
      <c r="G44" s="175" t="s">
        <v>2281</v>
      </c>
      <c r="H44" s="336" t="s">
        <v>492</v>
      </c>
      <c r="I44" s="336" t="s">
        <v>531</v>
      </c>
      <c r="J44" s="339" t="s">
        <v>533</v>
      </c>
      <c r="K44" s="339"/>
      <c r="L44" s="336" t="str">
        <f t="shared" si="0"/>
        <v>D:\OneDrive\YBA ADVISORY\B-Clients and Services\C024-KOK SNUOL\ks_system\report\report_accounting\general_ledger\</v>
      </c>
      <c r="M44" s="404" t="str">
        <f t="shared" si="1"/>
        <v>general_ledger</v>
      </c>
    </row>
    <row r="45" spans="3:13" ht="24.95" customHeight="1">
      <c r="C45" s="175">
        <v>38</v>
      </c>
      <c r="D45" s="336" t="s">
        <v>531</v>
      </c>
      <c r="E45" s="336" t="s">
        <v>534</v>
      </c>
      <c r="F45" s="336" t="s">
        <v>542</v>
      </c>
      <c r="G45" s="175" t="s">
        <v>2281</v>
      </c>
      <c r="H45" s="336" t="s">
        <v>492</v>
      </c>
      <c r="I45" s="336" t="s">
        <v>531</v>
      </c>
      <c r="J45" s="339" t="s">
        <v>534</v>
      </c>
      <c r="K45" s="339"/>
      <c r="L45" s="336" t="str">
        <f t="shared" si="0"/>
        <v>D:\OneDrive\YBA ADVISORY\B-Clients and Services\C024-KOK SNUOL\ks_system\report\report_accounting\balance_sheet\</v>
      </c>
      <c r="M45" s="404" t="str">
        <f t="shared" si="1"/>
        <v>balance_sheet</v>
      </c>
    </row>
    <row r="46" spans="3:13" ht="24.95" customHeight="1">
      <c r="C46" s="175">
        <v>39</v>
      </c>
      <c r="D46" s="336" t="s">
        <v>531</v>
      </c>
      <c r="E46" s="336" t="s">
        <v>535</v>
      </c>
      <c r="F46" s="336" t="s">
        <v>542</v>
      </c>
      <c r="G46" s="175" t="s">
        <v>2281</v>
      </c>
      <c r="H46" s="336" t="s">
        <v>492</v>
      </c>
      <c r="I46" s="336" t="s">
        <v>531</v>
      </c>
      <c r="J46" s="339" t="s">
        <v>535</v>
      </c>
      <c r="K46" s="339"/>
      <c r="L46" s="336" t="str">
        <f t="shared" si="0"/>
        <v>D:\OneDrive\YBA ADVISORY\B-Clients and Services\C024-KOK SNUOL\ks_system\report\report_accounting\profit_loss\</v>
      </c>
      <c r="M46" s="404" t="str">
        <f t="shared" si="1"/>
        <v>profit_loss</v>
      </c>
    </row>
    <row r="47" spans="3:13" ht="24.95" customHeight="1">
      <c r="C47" s="175">
        <v>40</v>
      </c>
      <c r="D47" s="336" t="s">
        <v>111</v>
      </c>
      <c r="E47" s="336" t="s">
        <v>2261</v>
      </c>
      <c r="F47" s="336" t="s">
        <v>542</v>
      </c>
      <c r="G47" s="175" t="s">
        <v>2281</v>
      </c>
      <c r="H47" s="336" t="s">
        <v>2262</v>
      </c>
      <c r="I47" s="336" t="s">
        <v>2263</v>
      </c>
      <c r="J47" s="336" t="s">
        <v>2261</v>
      </c>
      <c r="K47" s="336"/>
      <c r="L47" s="336" t="str">
        <f t="shared" ref="L47" si="2">IF(F47="","",F47)&amp;IF(G47="","",G47&amp;"\")&amp;IF(H47="","",H47&amp;"\")&amp;IF(I47="","",I47&amp;"\")&amp;IF(J47="","",J47&amp;"\")&amp;IF(K47="","",K47&amp;"\")</f>
        <v>D:\OneDrive\YBA ADVISORY\B-Clients and Services\C024-KOK SNUOL\ks_system\src\public\product_photo\</v>
      </c>
      <c r="M47" s="404" t="str">
        <f t="shared" si="1"/>
        <v>product_photo</v>
      </c>
    </row>
    <row r="48" spans="3:13" ht="24.95" customHeight="1">
      <c r="C48" s="175">
        <v>41</v>
      </c>
      <c r="D48" s="336" t="s">
        <v>500</v>
      </c>
      <c r="E48" s="336" t="s">
        <v>2276</v>
      </c>
      <c r="F48" s="336" t="s">
        <v>542</v>
      </c>
      <c r="G48" s="175" t="s">
        <v>2281</v>
      </c>
      <c r="H48" s="336" t="s">
        <v>492</v>
      </c>
      <c r="I48" s="336" t="s">
        <v>500</v>
      </c>
      <c r="J48" s="336" t="s">
        <v>2276</v>
      </c>
      <c r="K48" s="336"/>
      <c r="L48" s="336" t="str">
        <f t="shared" ref="L48" si="3">IF(F48="","",F48)&amp;IF(G48="","",G48&amp;"\")&amp;IF(H48="","",H48&amp;"\")&amp;IF(I48="","",I48&amp;"\")&amp;IF(J48="","",J48&amp;"\")&amp;IF(K48="","",K48&amp;"\")</f>
        <v>D:\OneDrive\YBA ADVISORY\B-Clients and Services\C024-KOK SNUOL\ks_system\report\sales\receive_payment\</v>
      </c>
      <c r="M48" s="404" t="str">
        <f t="shared" si="1"/>
        <v>receive_payment</v>
      </c>
    </row>
  </sheetData>
  <sheetProtection formatCells="0" formatColumns="0" formatRows="0" insertColumns="0" insertRows="0" deleteColumns="0" deleteRows="0"/>
  <dataValidations count="1">
    <dataValidation type="list" allowBlank="1" showInputMessage="1" showErrorMessage="1" sqref="F8:F48" xr:uid="{EF8C63D3-1217-47B4-BCCC-67F2408BD734}">
      <formula1>$O$7:$O$8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6638C-3457-47BC-A65E-6B9408C89BB1}">
  <sheetPr codeName="Sheet57"/>
  <dimension ref="C1:AJ511"/>
  <sheetViews>
    <sheetView showGridLines="0" topLeftCell="A2" zoomScale="90" zoomScaleNormal="90" workbookViewId="0">
      <pane ySplit="6" topLeftCell="A14" activePane="bottomLeft" state="frozen"/>
      <selection activeCell="L28" sqref="L28"/>
      <selection pane="bottomLeft" activeCell="T22" sqref="T22"/>
    </sheetView>
  </sheetViews>
  <sheetFormatPr defaultRowHeight="15"/>
  <cols>
    <col min="1" max="1" width="1" style="126" customWidth="1"/>
    <col min="2" max="2" width="2.28515625" style="126" customWidth="1"/>
    <col min="3" max="3" width="8.28515625" style="126" customWidth="1"/>
    <col min="4" max="4" width="13.7109375" style="126" customWidth="1"/>
    <col min="5" max="5" width="16.5703125" style="126" customWidth="1"/>
    <col min="6" max="6" width="5.140625" style="126" bestFit="1" customWidth="1"/>
    <col min="7" max="14" width="5" style="126" bestFit="1" customWidth="1"/>
    <col min="15" max="15" width="15.85546875" style="126" bestFit="1" customWidth="1"/>
    <col min="16" max="16" width="17.85546875" style="126" customWidth="1"/>
    <col min="17" max="17" width="15" style="126" customWidth="1"/>
    <col min="18" max="18" width="11.85546875" style="126" customWidth="1"/>
    <col min="19" max="19" width="14.5703125" style="126" customWidth="1"/>
    <col min="20" max="20" width="13.28515625" style="126" customWidth="1"/>
    <col min="21" max="21" width="18.7109375" style="206" customWidth="1"/>
    <col min="22" max="22" width="14.85546875" style="206" bestFit="1" customWidth="1"/>
    <col min="23" max="23" width="20.5703125" style="206" customWidth="1"/>
    <col min="24" max="24" width="15.140625" style="206" customWidth="1"/>
    <col min="25" max="25" width="14.42578125" style="206" customWidth="1"/>
    <col min="26" max="26" width="18.85546875" style="206" customWidth="1"/>
    <col min="27" max="27" width="23.5703125" style="206" customWidth="1"/>
    <col min="28" max="28" width="15" style="206" customWidth="1"/>
    <col min="29" max="29" width="22" style="126" customWidth="1"/>
    <col min="30" max="30" width="5" style="126" bestFit="1" customWidth="1"/>
    <col min="31" max="35" width="5.140625" style="126" bestFit="1" customWidth="1"/>
    <col min="36" max="16384" width="9.140625" style="126"/>
  </cols>
  <sheetData>
    <row r="1" spans="3:36" s="13" customFormat="1" ht="29.25" hidden="1" customHeight="1">
      <c r="D1" s="196"/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  <c r="R1" s="196"/>
      <c r="S1" s="196"/>
      <c r="T1" s="196"/>
      <c r="U1" s="198"/>
      <c r="V1" s="198"/>
      <c r="W1" s="198"/>
      <c r="X1" s="198"/>
      <c r="Y1" s="198"/>
      <c r="Z1" s="198"/>
      <c r="AA1" s="198"/>
      <c r="AB1" s="198"/>
      <c r="AC1" s="196"/>
      <c r="AD1" s="196"/>
      <c r="AE1" s="196"/>
      <c r="AF1" s="196"/>
      <c r="AG1" s="196"/>
      <c r="AH1" s="196"/>
      <c r="AI1" s="196"/>
    </row>
    <row r="2" spans="3:36" s="13" customFormat="1">
      <c r="U2" s="199"/>
      <c r="V2" s="199"/>
      <c r="W2" s="199"/>
      <c r="X2" s="199"/>
      <c r="Y2" s="199"/>
      <c r="Z2" s="199"/>
      <c r="AA2" s="199"/>
      <c r="AB2" s="199"/>
    </row>
    <row r="3" spans="3:36" s="13" customFormat="1" ht="35.25">
      <c r="C3" s="283" t="s">
        <v>457</v>
      </c>
      <c r="D3" s="232"/>
      <c r="E3" s="232"/>
      <c r="F3" s="232"/>
      <c r="G3" s="232"/>
      <c r="H3" s="232"/>
      <c r="I3" s="232"/>
      <c r="J3" s="232"/>
      <c r="K3" s="232"/>
      <c r="L3" s="232"/>
      <c r="M3" s="232"/>
      <c r="N3" s="232"/>
      <c r="O3" s="232"/>
      <c r="P3" s="232"/>
      <c r="Q3" s="232"/>
      <c r="R3" s="232"/>
      <c r="S3" s="232"/>
      <c r="T3" s="232"/>
      <c r="U3" s="237"/>
      <c r="V3" s="237"/>
      <c r="W3" s="237"/>
      <c r="X3" s="237"/>
      <c r="Y3" s="237"/>
      <c r="Z3" s="237"/>
      <c r="AA3" s="237"/>
      <c r="AB3" s="237"/>
      <c r="AC3" s="232"/>
      <c r="AD3" s="232"/>
      <c r="AE3" s="232"/>
      <c r="AF3" s="232"/>
      <c r="AG3" s="232"/>
      <c r="AH3" s="232"/>
      <c r="AI3" s="232"/>
    </row>
    <row r="4" spans="3:36" s="13" customFormat="1">
      <c r="U4" s="199"/>
      <c r="V4" s="199"/>
      <c r="W4" s="199"/>
      <c r="X4" s="199"/>
      <c r="Y4" s="199"/>
      <c r="Z4" s="199"/>
      <c r="AA4" s="199"/>
      <c r="AB4" s="199"/>
    </row>
    <row r="5" spans="3:36" s="13" customFormat="1" hidden="1">
      <c r="U5" s="199"/>
      <c r="V5" s="199"/>
      <c r="W5" s="199"/>
      <c r="X5" s="199"/>
      <c r="Y5" s="199"/>
      <c r="Z5" s="199"/>
      <c r="AA5" s="199"/>
      <c r="AB5" s="199"/>
    </row>
    <row r="6" spans="3:36" s="13" customFormat="1" hidden="1">
      <c r="U6" s="199"/>
      <c r="V6" s="199"/>
      <c r="W6" s="199"/>
      <c r="X6" s="199"/>
      <c r="Y6" s="199"/>
      <c r="Z6" s="199"/>
      <c r="AA6" s="199"/>
      <c r="AB6" s="199"/>
    </row>
    <row r="7" spans="3:36" s="13" customFormat="1" ht="103.5">
      <c r="C7" s="284" t="s">
        <v>295</v>
      </c>
      <c r="D7" s="284" t="s">
        <v>329</v>
      </c>
      <c r="E7" s="284" t="s">
        <v>330</v>
      </c>
      <c r="F7" s="285" t="s">
        <v>305</v>
      </c>
      <c r="G7" s="285" t="s">
        <v>298</v>
      </c>
      <c r="H7" s="285" t="s">
        <v>300</v>
      </c>
      <c r="I7" s="285" t="s">
        <v>302</v>
      </c>
      <c r="J7" s="285" t="s">
        <v>371</v>
      </c>
      <c r="K7" s="285" t="s">
        <v>303</v>
      </c>
      <c r="L7" s="285" t="s">
        <v>372</v>
      </c>
      <c r="M7" s="285" t="s">
        <v>336</v>
      </c>
      <c r="N7" s="285" t="s">
        <v>449</v>
      </c>
      <c r="O7" s="284" t="s">
        <v>159</v>
      </c>
      <c r="P7" s="284" t="s">
        <v>318</v>
      </c>
      <c r="Q7" s="284" t="s">
        <v>339</v>
      </c>
      <c r="R7" s="284" t="s">
        <v>340</v>
      </c>
      <c r="S7" s="284" t="s">
        <v>317</v>
      </c>
      <c r="T7" s="284" t="s">
        <v>331</v>
      </c>
      <c r="U7" s="286" t="s">
        <v>373</v>
      </c>
      <c r="V7" s="286" t="s">
        <v>374</v>
      </c>
      <c r="W7" s="286" t="s">
        <v>375</v>
      </c>
      <c r="X7" s="286" t="s">
        <v>376</v>
      </c>
      <c r="Y7" s="286" t="s">
        <v>377</v>
      </c>
      <c r="Z7" s="286" t="s">
        <v>378</v>
      </c>
      <c r="AA7" s="286" t="s">
        <v>379</v>
      </c>
      <c r="AB7" s="286" t="s">
        <v>380</v>
      </c>
      <c r="AC7" s="284" t="s">
        <v>321</v>
      </c>
      <c r="AD7" s="285" t="s">
        <v>381</v>
      </c>
      <c r="AE7" s="285" t="s">
        <v>382</v>
      </c>
      <c r="AF7" s="285" t="s">
        <v>383</v>
      </c>
      <c r="AG7" s="285" t="s">
        <v>384</v>
      </c>
      <c r="AH7" s="285" t="s">
        <v>385</v>
      </c>
      <c r="AI7" s="285" t="s">
        <v>327</v>
      </c>
      <c r="AJ7" s="2"/>
    </row>
    <row r="8" spans="3:36">
      <c r="C8" s="126">
        <v>1</v>
      </c>
      <c r="D8" s="126">
        <v>1</v>
      </c>
      <c r="E8" s="126">
        <v>1</v>
      </c>
      <c r="G8" s="126">
        <v>1</v>
      </c>
      <c r="O8" s="126" t="s">
        <v>549</v>
      </c>
      <c r="P8" s="126" t="s">
        <v>546</v>
      </c>
      <c r="Q8" s="126">
        <v>1</v>
      </c>
      <c r="S8" s="162">
        <v>46174</v>
      </c>
      <c r="T8" s="126">
        <v>6</v>
      </c>
      <c r="U8" s="206">
        <v>-10</v>
      </c>
      <c r="V8" s="206">
        <v>-10</v>
      </c>
      <c r="W8" s="206">
        <v>2.89</v>
      </c>
      <c r="X8" s="206">
        <v>0</v>
      </c>
      <c r="Y8" s="206">
        <v>0</v>
      </c>
      <c r="Z8" s="206">
        <v>0</v>
      </c>
      <c r="AA8" s="206">
        <v>2.89</v>
      </c>
      <c r="AB8" s="206">
        <v>0</v>
      </c>
      <c r="AC8" s="235">
        <v>46222.633958333332</v>
      </c>
      <c r="AE8" s="126">
        <v>0</v>
      </c>
      <c r="AF8" s="126">
        <v>0</v>
      </c>
      <c r="AG8" s="126">
        <v>1</v>
      </c>
      <c r="AH8" s="126">
        <v>0</v>
      </c>
      <c r="AI8" s="126">
        <v>1</v>
      </c>
    </row>
    <row r="9" spans="3:36">
      <c r="C9" s="126">
        <v>2</v>
      </c>
      <c r="D9" s="126">
        <v>1</v>
      </c>
      <c r="E9" s="126">
        <v>1</v>
      </c>
      <c r="G9" s="126">
        <v>1</v>
      </c>
      <c r="O9" s="126" t="s">
        <v>549</v>
      </c>
      <c r="P9" s="126" t="s">
        <v>546</v>
      </c>
      <c r="Q9" s="126">
        <v>1</v>
      </c>
      <c r="S9" s="162">
        <v>46174</v>
      </c>
      <c r="T9" s="126">
        <v>153</v>
      </c>
      <c r="U9" s="206">
        <v>-1</v>
      </c>
      <c r="V9" s="206">
        <v>-8.3333333333333329E-2</v>
      </c>
      <c r="W9" s="206">
        <v>3.3</v>
      </c>
      <c r="X9" s="206">
        <v>0</v>
      </c>
      <c r="Y9" s="206">
        <v>0</v>
      </c>
      <c r="Z9" s="206">
        <v>0</v>
      </c>
      <c r="AA9" s="206">
        <v>3.3</v>
      </c>
      <c r="AB9" s="206">
        <v>0</v>
      </c>
      <c r="AC9" s="235">
        <v>46222.633958333332</v>
      </c>
      <c r="AE9" s="126">
        <v>0</v>
      </c>
      <c r="AF9" s="126">
        <v>0</v>
      </c>
      <c r="AG9" s="126">
        <v>1</v>
      </c>
      <c r="AH9" s="126">
        <v>0</v>
      </c>
      <c r="AI9" s="126">
        <v>1</v>
      </c>
    </row>
    <row r="10" spans="3:36">
      <c r="C10" s="126">
        <v>3</v>
      </c>
      <c r="D10" s="126">
        <v>1</v>
      </c>
      <c r="E10" s="126">
        <v>1</v>
      </c>
      <c r="G10" s="126">
        <v>2</v>
      </c>
      <c r="O10" s="126" t="s">
        <v>549</v>
      </c>
      <c r="P10" s="126" t="s">
        <v>552</v>
      </c>
      <c r="Q10" s="126">
        <v>1</v>
      </c>
      <c r="S10" s="162">
        <v>46174</v>
      </c>
      <c r="T10" s="126">
        <v>179</v>
      </c>
      <c r="U10" s="206">
        <v>-15</v>
      </c>
      <c r="V10" s="206">
        <v>-1.4999999999999999E-2</v>
      </c>
      <c r="W10" s="206">
        <v>0.1</v>
      </c>
      <c r="X10" s="206">
        <v>0</v>
      </c>
      <c r="Y10" s="206">
        <v>0</v>
      </c>
      <c r="Z10" s="206">
        <v>0</v>
      </c>
      <c r="AA10" s="206">
        <v>0.1</v>
      </c>
      <c r="AB10" s="206">
        <v>0</v>
      </c>
      <c r="AC10" s="235">
        <v>46222.698009259257</v>
      </c>
      <c r="AE10" s="126">
        <v>0</v>
      </c>
      <c r="AF10" s="126">
        <v>0</v>
      </c>
      <c r="AG10" s="126">
        <v>1</v>
      </c>
      <c r="AH10" s="126">
        <v>0</v>
      </c>
      <c r="AI10" s="126">
        <v>1</v>
      </c>
    </row>
    <row r="11" spans="3:36">
      <c r="C11" s="126">
        <v>4</v>
      </c>
      <c r="D11" s="126">
        <v>1</v>
      </c>
      <c r="E11" s="126">
        <v>1</v>
      </c>
      <c r="G11" s="126">
        <v>2</v>
      </c>
      <c r="O11" s="126" t="s">
        <v>549</v>
      </c>
      <c r="P11" s="126" t="s">
        <v>552</v>
      </c>
      <c r="Q11" s="126">
        <v>1</v>
      </c>
      <c r="S11" s="162">
        <v>46174</v>
      </c>
      <c r="T11" s="126">
        <v>192</v>
      </c>
      <c r="U11" s="206">
        <v>-4</v>
      </c>
      <c r="V11" s="206">
        <v>-1</v>
      </c>
      <c r="W11" s="206">
        <v>6.03</v>
      </c>
      <c r="X11" s="206">
        <v>0</v>
      </c>
      <c r="Y11" s="206">
        <v>0</v>
      </c>
      <c r="Z11" s="206">
        <v>0</v>
      </c>
      <c r="AA11" s="206">
        <v>6.03</v>
      </c>
      <c r="AB11" s="206">
        <v>0</v>
      </c>
      <c r="AC11" s="235">
        <v>46222.698009259257</v>
      </c>
      <c r="AE11" s="126">
        <v>0</v>
      </c>
      <c r="AF11" s="126">
        <v>0</v>
      </c>
      <c r="AG11" s="126">
        <v>1</v>
      </c>
      <c r="AH11" s="126">
        <v>0</v>
      </c>
      <c r="AI11" s="126">
        <v>1</v>
      </c>
    </row>
    <row r="12" spans="3:36">
      <c r="C12" s="126">
        <v>5</v>
      </c>
      <c r="D12" s="126">
        <v>1</v>
      </c>
      <c r="E12" s="126">
        <v>1</v>
      </c>
      <c r="G12" s="126">
        <v>2</v>
      </c>
      <c r="O12" s="126" t="s">
        <v>549</v>
      </c>
      <c r="P12" s="126" t="s">
        <v>552</v>
      </c>
      <c r="Q12" s="126">
        <v>1</v>
      </c>
      <c r="S12" s="162">
        <v>46174</v>
      </c>
      <c r="T12" s="126">
        <v>187</v>
      </c>
      <c r="U12" s="206">
        <v>-12</v>
      </c>
      <c r="V12" s="206">
        <v>-3</v>
      </c>
      <c r="W12" s="206">
        <v>3.37</v>
      </c>
      <c r="X12" s="206">
        <v>0</v>
      </c>
      <c r="Y12" s="206">
        <v>0</v>
      </c>
      <c r="Z12" s="206">
        <v>0</v>
      </c>
      <c r="AA12" s="206">
        <v>3.37</v>
      </c>
      <c r="AB12" s="206">
        <v>0</v>
      </c>
      <c r="AC12" s="235">
        <v>46222.698009259257</v>
      </c>
      <c r="AE12" s="126">
        <v>0</v>
      </c>
      <c r="AF12" s="126">
        <v>0</v>
      </c>
      <c r="AG12" s="126">
        <v>1</v>
      </c>
      <c r="AH12" s="126">
        <v>0</v>
      </c>
      <c r="AI12" s="126">
        <v>1</v>
      </c>
    </row>
    <row r="13" spans="3:36">
      <c r="C13" s="126">
        <v>6</v>
      </c>
      <c r="D13" s="126">
        <v>1</v>
      </c>
      <c r="E13" s="126">
        <v>1</v>
      </c>
      <c r="G13" s="126">
        <v>2</v>
      </c>
      <c r="O13" s="126" t="s">
        <v>549</v>
      </c>
      <c r="P13" s="126" t="s">
        <v>552</v>
      </c>
      <c r="Q13" s="126">
        <v>1</v>
      </c>
      <c r="S13" s="162">
        <v>46174</v>
      </c>
      <c r="T13" s="126">
        <v>4</v>
      </c>
      <c r="U13" s="206">
        <v>-1</v>
      </c>
      <c r="V13" s="206">
        <v>-1</v>
      </c>
      <c r="W13" s="206">
        <v>5.8</v>
      </c>
      <c r="X13" s="206">
        <v>0</v>
      </c>
      <c r="Y13" s="206">
        <v>0</v>
      </c>
      <c r="Z13" s="206">
        <v>0</v>
      </c>
      <c r="AA13" s="206">
        <v>5.8</v>
      </c>
      <c r="AB13" s="206">
        <v>0</v>
      </c>
      <c r="AC13" s="235">
        <v>46222.698009259257</v>
      </c>
      <c r="AE13" s="126">
        <v>0</v>
      </c>
      <c r="AF13" s="126">
        <v>0</v>
      </c>
      <c r="AG13" s="126">
        <v>1</v>
      </c>
      <c r="AH13" s="126">
        <v>0</v>
      </c>
      <c r="AI13" s="126">
        <v>1</v>
      </c>
    </row>
    <row r="14" spans="3:36">
      <c r="C14" s="126">
        <v>7</v>
      </c>
      <c r="D14" s="126">
        <v>1</v>
      </c>
      <c r="E14" s="126">
        <v>1</v>
      </c>
      <c r="G14" s="126">
        <v>2</v>
      </c>
      <c r="O14" s="126" t="s">
        <v>549</v>
      </c>
      <c r="P14" s="126" t="s">
        <v>552</v>
      </c>
      <c r="Q14" s="126">
        <v>1</v>
      </c>
      <c r="S14" s="162">
        <v>46174</v>
      </c>
      <c r="T14" s="126">
        <v>10</v>
      </c>
      <c r="U14" s="206">
        <v>-1</v>
      </c>
      <c r="V14" s="206">
        <v>-1</v>
      </c>
      <c r="W14" s="206">
        <v>14.85</v>
      </c>
      <c r="X14" s="206">
        <v>0</v>
      </c>
      <c r="Y14" s="206">
        <v>0</v>
      </c>
      <c r="Z14" s="206">
        <v>0</v>
      </c>
      <c r="AA14" s="206">
        <v>14.85</v>
      </c>
      <c r="AB14" s="206">
        <v>0</v>
      </c>
      <c r="AC14" s="235">
        <v>46222.698009259257</v>
      </c>
      <c r="AE14" s="126">
        <v>0</v>
      </c>
      <c r="AF14" s="126">
        <v>0</v>
      </c>
      <c r="AG14" s="126">
        <v>1</v>
      </c>
      <c r="AH14" s="126">
        <v>0</v>
      </c>
      <c r="AI14" s="126">
        <v>1</v>
      </c>
    </row>
    <row r="15" spans="3:36">
      <c r="C15" s="126">
        <v>8</v>
      </c>
      <c r="D15" s="126">
        <v>1</v>
      </c>
      <c r="E15" s="126">
        <v>1</v>
      </c>
      <c r="G15" s="126">
        <v>2</v>
      </c>
      <c r="O15" s="126" t="s">
        <v>549</v>
      </c>
      <c r="P15" s="126" t="s">
        <v>552</v>
      </c>
      <c r="Q15" s="126">
        <v>1</v>
      </c>
      <c r="S15" s="162">
        <v>46174</v>
      </c>
      <c r="T15" s="126">
        <v>105</v>
      </c>
      <c r="U15" s="206">
        <v>-1</v>
      </c>
      <c r="V15" s="206">
        <v>-8.3333333333333329E-2</v>
      </c>
      <c r="W15" s="206">
        <v>1.1000000000000001</v>
      </c>
      <c r="X15" s="206">
        <v>0</v>
      </c>
      <c r="Y15" s="206">
        <v>0</v>
      </c>
      <c r="Z15" s="206">
        <v>0</v>
      </c>
      <c r="AA15" s="206">
        <v>1.1000000000000001</v>
      </c>
      <c r="AB15" s="206">
        <v>0</v>
      </c>
      <c r="AC15" s="235">
        <v>46222.698009259257</v>
      </c>
      <c r="AE15" s="126">
        <v>0</v>
      </c>
      <c r="AF15" s="126">
        <v>0</v>
      </c>
      <c r="AG15" s="126">
        <v>1</v>
      </c>
      <c r="AH15" s="126">
        <v>0</v>
      </c>
      <c r="AI15" s="126">
        <v>1</v>
      </c>
    </row>
    <row r="16" spans="3:36">
      <c r="C16" s="126">
        <v>9</v>
      </c>
      <c r="D16" s="126">
        <v>1</v>
      </c>
      <c r="E16" s="126">
        <v>1</v>
      </c>
      <c r="G16" s="126">
        <v>2</v>
      </c>
      <c r="O16" s="126" t="s">
        <v>549</v>
      </c>
      <c r="P16" s="126" t="s">
        <v>552</v>
      </c>
      <c r="Q16" s="126">
        <v>1</v>
      </c>
      <c r="S16" s="162">
        <v>46174</v>
      </c>
      <c r="T16" s="126">
        <v>48</v>
      </c>
      <c r="U16" s="206">
        <v>-3</v>
      </c>
      <c r="V16" s="206">
        <v>-3</v>
      </c>
      <c r="W16" s="206">
        <v>0.12</v>
      </c>
      <c r="X16" s="206">
        <v>0</v>
      </c>
      <c r="Y16" s="206">
        <v>0</v>
      </c>
      <c r="Z16" s="206">
        <v>0</v>
      </c>
      <c r="AA16" s="206">
        <v>0.12</v>
      </c>
      <c r="AB16" s="206">
        <v>0</v>
      </c>
      <c r="AC16" s="235">
        <v>46222.698009259257</v>
      </c>
      <c r="AE16" s="126">
        <v>0</v>
      </c>
      <c r="AF16" s="126">
        <v>0</v>
      </c>
      <c r="AG16" s="126">
        <v>1</v>
      </c>
      <c r="AH16" s="126">
        <v>0</v>
      </c>
      <c r="AI16" s="126">
        <v>1</v>
      </c>
    </row>
    <row r="17" spans="3:35">
      <c r="C17" s="126">
        <v>10</v>
      </c>
      <c r="D17" s="126">
        <v>1</v>
      </c>
      <c r="E17" s="126">
        <v>1</v>
      </c>
      <c r="G17" s="126">
        <v>2</v>
      </c>
      <c r="O17" s="126" t="s">
        <v>549</v>
      </c>
      <c r="P17" s="126" t="s">
        <v>552</v>
      </c>
      <c r="Q17" s="126">
        <v>1</v>
      </c>
      <c r="S17" s="162">
        <v>46174</v>
      </c>
      <c r="T17" s="126">
        <v>169</v>
      </c>
      <c r="U17" s="206">
        <v>-1</v>
      </c>
      <c r="V17" s="206">
        <v>-1</v>
      </c>
      <c r="W17" s="206">
        <v>0.5</v>
      </c>
      <c r="X17" s="206">
        <v>0</v>
      </c>
      <c r="Y17" s="206">
        <v>0</v>
      </c>
      <c r="Z17" s="206">
        <v>0</v>
      </c>
      <c r="AA17" s="206">
        <v>0.5</v>
      </c>
      <c r="AB17" s="206">
        <v>0</v>
      </c>
      <c r="AC17" s="235">
        <v>46222.698009259257</v>
      </c>
      <c r="AE17" s="126">
        <v>0</v>
      </c>
      <c r="AF17" s="126">
        <v>0</v>
      </c>
      <c r="AG17" s="126">
        <v>1</v>
      </c>
      <c r="AH17" s="126">
        <v>0</v>
      </c>
      <c r="AI17" s="126">
        <v>1</v>
      </c>
    </row>
    <row r="18" spans="3:35">
      <c r="C18" s="126">
        <v>11</v>
      </c>
      <c r="D18" s="126">
        <v>1</v>
      </c>
      <c r="E18" s="126">
        <v>1</v>
      </c>
      <c r="G18" s="126">
        <v>3</v>
      </c>
      <c r="O18" s="126" t="s">
        <v>549</v>
      </c>
      <c r="P18" s="126" t="s">
        <v>606</v>
      </c>
      <c r="Q18" s="126">
        <v>1</v>
      </c>
      <c r="S18" s="162">
        <v>46175</v>
      </c>
      <c r="T18" s="126">
        <v>195</v>
      </c>
      <c r="U18" s="206">
        <v>-12</v>
      </c>
      <c r="V18" s="206">
        <v>-3</v>
      </c>
      <c r="W18" s="206">
        <v>6.28</v>
      </c>
      <c r="X18" s="206">
        <v>0</v>
      </c>
      <c r="Y18" s="206">
        <v>0</v>
      </c>
      <c r="Z18" s="206">
        <v>0</v>
      </c>
      <c r="AA18" s="206">
        <v>6.28</v>
      </c>
      <c r="AB18" s="206">
        <v>0</v>
      </c>
      <c r="AC18" s="235">
        <v>46223.450949074075</v>
      </c>
      <c r="AE18" s="126">
        <v>0</v>
      </c>
      <c r="AF18" s="126">
        <v>0</v>
      </c>
      <c r="AG18" s="126">
        <v>1</v>
      </c>
      <c r="AH18" s="126">
        <v>0</v>
      </c>
      <c r="AI18" s="126">
        <v>1</v>
      </c>
    </row>
    <row r="19" spans="3:35">
      <c r="C19" s="126">
        <v>12</v>
      </c>
      <c r="D19" s="126">
        <v>1</v>
      </c>
      <c r="E19" s="126">
        <v>1</v>
      </c>
      <c r="G19" s="126">
        <v>3</v>
      </c>
      <c r="O19" s="126" t="s">
        <v>549</v>
      </c>
      <c r="P19" s="126" t="s">
        <v>606</v>
      </c>
      <c r="Q19" s="126">
        <v>1</v>
      </c>
      <c r="S19" s="162">
        <v>46175</v>
      </c>
      <c r="T19" s="126">
        <v>187</v>
      </c>
      <c r="U19" s="206">
        <v>-8</v>
      </c>
      <c r="V19" s="206">
        <v>-2</v>
      </c>
      <c r="W19" s="206">
        <v>3.37</v>
      </c>
      <c r="X19" s="206">
        <v>0</v>
      </c>
      <c r="Y19" s="206">
        <v>0</v>
      </c>
      <c r="Z19" s="206">
        <v>0</v>
      </c>
      <c r="AA19" s="206">
        <v>3.37</v>
      </c>
      <c r="AB19" s="206">
        <v>0</v>
      </c>
      <c r="AC19" s="235">
        <v>46223.450949074075</v>
      </c>
      <c r="AE19" s="126">
        <v>0</v>
      </c>
      <c r="AF19" s="126">
        <v>0</v>
      </c>
      <c r="AG19" s="126">
        <v>1</v>
      </c>
      <c r="AH19" s="126">
        <v>0</v>
      </c>
      <c r="AI19" s="126">
        <v>1</v>
      </c>
    </row>
    <row r="20" spans="3:35">
      <c r="C20" s="126">
        <v>13</v>
      </c>
      <c r="D20" s="126">
        <v>1</v>
      </c>
      <c r="E20" s="126">
        <v>1</v>
      </c>
      <c r="G20" s="126">
        <v>3</v>
      </c>
      <c r="O20" s="126" t="s">
        <v>549</v>
      </c>
      <c r="P20" s="126" t="s">
        <v>606</v>
      </c>
      <c r="Q20" s="126">
        <v>1</v>
      </c>
      <c r="S20" s="162">
        <v>46175</v>
      </c>
      <c r="T20" s="126">
        <v>186</v>
      </c>
      <c r="U20" s="206">
        <v>-12</v>
      </c>
      <c r="V20" s="206">
        <v>-1</v>
      </c>
      <c r="W20" s="206">
        <v>12</v>
      </c>
      <c r="X20" s="206">
        <v>0</v>
      </c>
      <c r="Y20" s="206">
        <v>0</v>
      </c>
      <c r="Z20" s="206">
        <v>0</v>
      </c>
      <c r="AA20" s="206">
        <v>12</v>
      </c>
      <c r="AB20" s="206">
        <v>0</v>
      </c>
      <c r="AC20" s="235">
        <v>46223.450949074075</v>
      </c>
      <c r="AE20" s="126">
        <v>0</v>
      </c>
      <c r="AF20" s="126">
        <v>0</v>
      </c>
      <c r="AG20" s="126">
        <v>1</v>
      </c>
      <c r="AH20" s="126">
        <v>0</v>
      </c>
      <c r="AI20" s="126">
        <v>1</v>
      </c>
    </row>
    <row r="21" spans="3:35">
      <c r="C21" s="126">
        <v>14</v>
      </c>
      <c r="D21" s="126">
        <v>1</v>
      </c>
      <c r="E21" s="126">
        <v>1</v>
      </c>
      <c r="G21" s="126">
        <v>3</v>
      </c>
      <c r="O21" s="126" t="s">
        <v>549</v>
      </c>
      <c r="P21" s="126" t="s">
        <v>606</v>
      </c>
      <c r="Q21" s="126">
        <v>1</v>
      </c>
      <c r="S21" s="162">
        <v>46175</v>
      </c>
      <c r="T21" s="126">
        <v>195</v>
      </c>
      <c r="U21" s="206">
        <v>-12</v>
      </c>
      <c r="V21" s="206">
        <v>-3</v>
      </c>
      <c r="W21" s="206">
        <v>6.28</v>
      </c>
      <c r="X21" s="206">
        <v>0</v>
      </c>
      <c r="Y21" s="206">
        <v>0</v>
      </c>
      <c r="Z21" s="206">
        <v>0</v>
      </c>
      <c r="AA21" s="206">
        <v>6.28</v>
      </c>
      <c r="AB21" s="206">
        <v>0</v>
      </c>
      <c r="AC21" s="235">
        <v>46223.450949074075</v>
      </c>
      <c r="AE21" s="126">
        <v>0</v>
      </c>
      <c r="AF21" s="126">
        <v>0</v>
      </c>
      <c r="AG21" s="126">
        <v>1</v>
      </c>
      <c r="AH21" s="126">
        <v>0</v>
      </c>
      <c r="AI21" s="126">
        <v>1</v>
      </c>
    </row>
    <row r="22" spans="3:35">
      <c r="C22" s="126">
        <v>15</v>
      </c>
      <c r="D22" s="126">
        <v>1</v>
      </c>
      <c r="E22" s="126">
        <v>1</v>
      </c>
      <c r="G22" s="126">
        <v>4</v>
      </c>
      <c r="O22" s="126" t="s">
        <v>549</v>
      </c>
      <c r="P22" s="126" t="s">
        <v>622</v>
      </c>
      <c r="Q22" s="126">
        <v>1</v>
      </c>
      <c r="S22" s="162">
        <v>46175</v>
      </c>
      <c r="T22" s="126">
        <v>187</v>
      </c>
      <c r="U22" s="206">
        <v>-24</v>
      </c>
      <c r="V22" s="206">
        <v>-6</v>
      </c>
      <c r="W22" s="206">
        <v>3.37</v>
      </c>
      <c r="X22" s="206">
        <v>0</v>
      </c>
      <c r="Y22" s="206">
        <v>0</v>
      </c>
      <c r="Z22" s="206">
        <v>0</v>
      </c>
      <c r="AA22" s="206">
        <v>3.37</v>
      </c>
      <c r="AB22" s="206">
        <v>0</v>
      </c>
      <c r="AC22" s="235">
        <v>46223.52480324074</v>
      </c>
      <c r="AE22" s="126">
        <v>0</v>
      </c>
      <c r="AF22" s="126">
        <v>0</v>
      </c>
      <c r="AG22" s="126">
        <v>1</v>
      </c>
      <c r="AH22" s="126">
        <v>0</v>
      </c>
      <c r="AI22" s="126">
        <v>1</v>
      </c>
    </row>
    <row r="23" spans="3:35">
      <c r="C23" s="126">
        <v>16</v>
      </c>
      <c r="D23" s="126">
        <v>1</v>
      </c>
      <c r="E23" s="126">
        <v>1</v>
      </c>
      <c r="G23" s="126">
        <v>4</v>
      </c>
      <c r="O23" s="126" t="s">
        <v>549</v>
      </c>
      <c r="P23" s="126" t="s">
        <v>622</v>
      </c>
      <c r="Q23" s="126">
        <v>1</v>
      </c>
      <c r="S23" s="162">
        <v>46175</v>
      </c>
      <c r="T23" s="126">
        <v>182</v>
      </c>
      <c r="U23" s="206">
        <v>-60</v>
      </c>
      <c r="V23" s="206">
        <v>-5</v>
      </c>
      <c r="W23" s="206">
        <v>2</v>
      </c>
      <c r="X23" s="206">
        <v>0</v>
      </c>
      <c r="Y23" s="206">
        <v>0</v>
      </c>
      <c r="Z23" s="206">
        <v>0</v>
      </c>
      <c r="AA23" s="206">
        <v>2</v>
      </c>
      <c r="AB23" s="206">
        <v>0</v>
      </c>
      <c r="AC23" s="235">
        <v>46223.52480324074</v>
      </c>
      <c r="AE23" s="126">
        <v>0</v>
      </c>
      <c r="AF23" s="126">
        <v>0</v>
      </c>
      <c r="AG23" s="126">
        <v>1</v>
      </c>
      <c r="AH23" s="126">
        <v>0</v>
      </c>
      <c r="AI23" s="126">
        <v>1</v>
      </c>
    </row>
    <row r="24" spans="3:35">
      <c r="C24" s="126">
        <v>17</v>
      </c>
      <c r="D24" s="126">
        <v>1</v>
      </c>
      <c r="E24" s="126">
        <v>1</v>
      </c>
      <c r="G24" s="126">
        <v>4</v>
      </c>
      <c r="O24" s="126" t="s">
        <v>549</v>
      </c>
      <c r="P24" s="126" t="s">
        <v>622</v>
      </c>
      <c r="Q24" s="126">
        <v>1</v>
      </c>
      <c r="S24" s="162">
        <v>46175</v>
      </c>
      <c r="T24" s="126">
        <v>96</v>
      </c>
      <c r="U24" s="206">
        <v>-2</v>
      </c>
      <c r="V24" s="206">
        <v>-0.16666666666666666</v>
      </c>
      <c r="W24" s="206">
        <v>0.27</v>
      </c>
      <c r="X24" s="206">
        <v>0</v>
      </c>
      <c r="Y24" s="206">
        <v>0</v>
      </c>
      <c r="Z24" s="206">
        <v>0</v>
      </c>
      <c r="AA24" s="206">
        <v>0.27</v>
      </c>
      <c r="AB24" s="206">
        <v>0</v>
      </c>
      <c r="AC24" s="235">
        <v>46223.52480324074</v>
      </c>
      <c r="AE24" s="126">
        <v>0</v>
      </c>
      <c r="AF24" s="126">
        <v>0</v>
      </c>
      <c r="AG24" s="126">
        <v>1</v>
      </c>
      <c r="AH24" s="126">
        <v>0</v>
      </c>
      <c r="AI24" s="126">
        <v>1</v>
      </c>
    </row>
    <row r="25" spans="3:35">
      <c r="C25" s="126">
        <v>18</v>
      </c>
      <c r="D25" s="126">
        <v>1</v>
      </c>
      <c r="E25" s="126">
        <v>1</v>
      </c>
      <c r="G25" s="126">
        <v>4</v>
      </c>
      <c r="O25" s="126" t="s">
        <v>549</v>
      </c>
      <c r="P25" s="126" t="s">
        <v>622</v>
      </c>
      <c r="Q25" s="126">
        <v>1</v>
      </c>
      <c r="S25" s="162">
        <v>46175</v>
      </c>
      <c r="T25" s="126">
        <v>97</v>
      </c>
      <c r="U25" s="206">
        <v>-2</v>
      </c>
      <c r="V25" s="206">
        <v>-0.16666666666666666</v>
      </c>
      <c r="W25" s="206">
        <v>0.3</v>
      </c>
      <c r="X25" s="206">
        <v>0</v>
      </c>
      <c r="Y25" s="206">
        <v>0</v>
      </c>
      <c r="Z25" s="206">
        <v>0</v>
      </c>
      <c r="AA25" s="206">
        <v>0.3</v>
      </c>
      <c r="AB25" s="206">
        <v>0</v>
      </c>
      <c r="AC25" s="235">
        <v>46223.52480324074</v>
      </c>
      <c r="AE25" s="126">
        <v>0</v>
      </c>
      <c r="AF25" s="126">
        <v>0</v>
      </c>
      <c r="AG25" s="126">
        <v>1</v>
      </c>
      <c r="AH25" s="126">
        <v>0</v>
      </c>
      <c r="AI25" s="126">
        <v>1</v>
      </c>
    </row>
    <row r="26" spans="3:35">
      <c r="C26" s="126">
        <v>19</v>
      </c>
      <c r="D26" s="126">
        <v>1</v>
      </c>
      <c r="E26" s="126">
        <v>1</v>
      </c>
      <c r="G26" s="126">
        <v>4</v>
      </c>
      <c r="O26" s="126" t="s">
        <v>549</v>
      </c>
      <c r="P26" s="126" t="s">
        <v>622</v>
      </c>
      <c r="Q26" s="126">
        <v>1</v>
      </c>
      <c r="S26" s="162">
        <v>46175</v>
      </c>
      <c r="T26" s="126">
        <v>22</v>
      </c>
      <c r="U26" s="206">
        <v>-1</v>
      </c>
      <c r="V26" s="206">
        <v>-1</v>
      </c>
      <c r="W26" s="206">
        <v>2.9</v>
      </c>
      <c r="X26" s="206">
        <v>0</v>
      </c>
      <c r="Y26" s="206">
        <v>0</v>
      </c>
      <c r="Z26" s="206">
        <v>0</v>
      </c>
      <c r="AA26" s="206">
        <v>2.9</v>
      </c>
      <c r="AB26" s="206">
        <v>0</v>
      </c>
      <c r="AC26" s="235">
        <v>46223.52480324074</v>
      </c>
      <c r="AE26" s="126">
        <v>0</v>
      </c>
      <c r="AF26" s="126">
        <v>0</v>
      </c>
      <c r="AG26" s="126">
        <v>1</v>
      </c>
      <c r="AH26" s="126">
        <v>0</v>
      </c>
      <c r="AI26" s="126">
        <v>1</v>
      </c>
    </row>
    <row r="27" spans="3:35">
      <c r="C27" s="126">
        <v>20</v>
      </c>
      <c r="D27" s="126">
        <v>1</v>
      </c>
      <c r="E27" s="126">
        <v>1</v>
      </c>
      <c r="G27" s="126">
        <v>4</v>
      </c>
      <c r="O27" s="126" t="s">
        <v>549</v>
      </c>
      <c r="P27" s="126" t="s">
        <v>622</v>
      </c>
      <c r="Q27" s="126">
        <v>1</v>
      </c>
      <c r="S27" s="162">
        <v>46175</v>
      </c>
      <c r="T27" s="126">
        <v>46</v>
      </c>
      <c r="U27" s="206">
        <v>-10</v>
      </c>
      <c r="V27" s="206">
        <v>-10</v>
      </c>
      <c r="W27" s="206">
        <v>0.15</v>
      </c>
      <c r="X27" s="206">
        <v>0</v>
      </c>
      <c r="Y27" s="206">
        <v>0</v>
      </c>
      <c r="Z27" s="206">
        <v>0</v>
      </c>
      <c r="AA27" s="206">
        <v>0.15</v>
      </c>
      <c r="AB27" s="206">
        <v>0</v>
      </c>
      <c r="AC27" s="235">
        <v>46223.52480324074</v>
      </c>
      <c r="AE27" s="126">
        <v>0</v>
      </c>
      <c r="AF27" s="126">
        <v>0</v>
      </c>
      <c r="AG27" s="126">
        <v>1</v>
      </c>
      <c r="AH27" s="126">
        <v>0</v>
      </c>
      <c r="AI27" s="126">
        <v>1</v>
      </c>
    </row>
    <row r="28" spans="3:35">
      <c r="C28" s="126">
        <v>21</v>
      </c>
      <c r="D28" s="126">
        <v>1</v>
      </c>
      <c r="E28" s="126">
        <v>1</v>
      </c>
      <c r="G28" s="126">
        <v>4</v>
      </c>
      <c r="O28" s="126" t="s">
        <v>549</v>
      </c>
      <c r="P28" s="126" t="s">
        <v>622</v>
      </c>
      <c r="Q28" s="126">
        <v>1</v>
      </c>
      <c r="S28" s="162">
        <v>46175</v>
      </c>
      <c r="T28" s="126">
        <v>197</v>
      </c>
      <c r="U28" s="206">
        <v>-4</v>
      </c>
      <c r="V28" s="206">
        <v>-1</v>
      </c>
      <c r="W28" s="206">
        <v>8.36</v>
      </c>
      <c r="X28" s="206">
        <v>0</v>
      </c>
      <c r="Y28" s="206">
        <v>0</v>
      </c>
      <c r="Z28" s="206">
        <v>0</v>
      </c>
      <c r="AA28" s="206">
        <v>8.36</v>
      </c>
      <c r="AB28" s="206">
        <v>0</v>
      </c>
      <c r="AC28" s="235">
        <v>46223.52480324074</v>
      </c>
      <c r="AE28" s="126">
        <v>0</v>
      </c>
      <c r="AF28" s="126">
        <v>0</v>
      </c>
      <c r="AG28" s="126">
        <v>1</v>
      </c>
      <c r="AH28" s="126">
        <v>0</v>
      </c>
      <c r="AI28" s="126">
        <v>1</v>
      </c>
    </row>
    <row r="29" spans="3:35">
      <c r="C29" s="126">
        <v>22</v>
      </c>
      <c r="D29" s="126">
        <v>1</v>
      </c>
      <c r="E29" s="126">
        <v>1</v>
      </c>
      <c r="G29" s="126">
        <v>5</v>
      </c>
      <c r="O29" s="126" t="s">
        <v>549</v>
      </c>
      <c r="P29" s="126" t="s">
        <v>657</v>
      </c>
      <c r="Q29" s="126">
        <v>1</v>
      </c>
      <c r="S29" s="162">
        <v>46175</v>
      </c>
      <c r="T29" s="126">
        <v>187</v>
      </c>
      <c r="U29" s="206">
        <v>-12</v>
      </c>
      <c r="V29" s="206">
        <v>-3</v>
      </c>
      <c r="W29" s="206">
        <v>3.37</v>
      </c>
      <c r="X29" s="206">
        <v>0</v>
      </c>
      <c r="Y29" s="206">
        <v>0</v>
      </c>
      <c r="Z29" s="206">
        <v>0</v>
      </c>
      <c r="AA29" s="206">
        <v>3.37</v>
      </c>
      <c r="AB29" s="206">
        <v>0</v>
      </c>
      <c r="AC29" s="235">
        <v>46223.656875000001</v>
      </c>
      <c r="AE29" s="126">
        <v>0</v>
      </c>
      <c r="AF29" s="126">
        <v>0</v>
      </c>
      <c r="AG29" s="126">
        <v>1</v>
      </c>
      <c r="AH29" s="126">
        <v>0</v>
      </c>
      <c r="AI29" s="126">
        <v>1</v>
      </c>
    </row>
    <row r="30" spans="3:35">
      <c r="C30" s="126">
        <v>23</v>
      </c>
      <c r="D30" s="126">
        <v>1</v>
      </c>
      <c r="E30" s="126">
        <v>1</v>
      </c>
      <c r="G30" s="126">
        <v>5</v>
      </c>
      <c r="O30" s="126" t="s">
        <v>549</v>
      </c>
      <c r="P30" s="126" t="s">
        <v>657</v>
      </c>
      <c r="Q30" s="126">
        <v>1</v>
      </c>
      <c r="S30" s="162">
        <v>46175</v>
      </c>
      <c r="T30" s="126">
        <v>17</v>
      </c>
      <c r="U30" s="206">
        <v>-1</v>
      </c>
      <c r="V30" s="206">
        <v>-1</v>
      </c>
      <c r="W30" s="206">
        <v>1.63</v>
      </c>
      <c r="X30" s="206">
        <v>0</v>
      </c>
      <c r="Y30" s="206">
        <v>0</v>
      </c>
      <c r="Z30" s="206">
        <v>0</v>
      </c>
      <c r="AA30" s="206">
        <v>1.63</v>
      </c>
      <c r="AB30" s="206">
        <v>0</v>
      </c>
      <c r="AC30" s="235">
        <v>46223.656875000001</v>
      </c>
      <c r="AE30" s="126">
        <v>0</v>
      </c>
      <c r="AF30" s="126">
        <v>0</v>
      </c>
      <c r="AG30" s="126">
        <v>1</v>
      </c>
      <c r="AH30" s="126">
        <v>0</v>
      </c>
      <c r="AI30" s="126">
        <v>1</v>
      </c>
    </row>
    <row r="31" spans="3:35">
      <c r="C31" s="126">
        <v>24</v>
      </c>
      <c r="D31" s="126">
        <v>1</v>
      </c>
      <c r="E31" s="126">
        <v>1</v>
      </c>
      <c r="G31" s="126">
        <v>5</v>
      </c>
      <c r="O31" s="126" t="s">
        <v>549</v>
      </c>
      <c r="P31" s="126" t="s">
        <v>657</v>
      </c>
      <c r="Q31" s="126">
        <v>1</v>
      </c>
      <c r="S31" s="162">
        <v>46175</v>
      </c>
      <c r="T31" s="126">
        <v>155</v>
      </c>
      <c r="U31" s="206">
        <v>-1</v>
      </c>
      <c r="V31" s="206">
        <v>-0.25</v>
      </c>
      <c r="W31" s="206">
        <v>14.5</v>
      </c>
      <c r="X31" s="206">
        <v>0</v>
      </c>
      <c r="Y31" s="206">
        <v>0</v>
      </c>
      <c r="Z31" s="206">
        <v>0</v>
      </c>
      <c r="AA31" s="206">
        <v>14.5</v>
      </c>
      <c r="AB31" s="206">
        <v>0</v>
      </c>
      <c r="AC31" s="235">
        <v>46223.656875000001</v>
      </c>
      <c r="AE31" s="126">
        <v>0</v>
      </c>
      <c r="AF31" s="126">
        <v>0</v>
      </c>
      <c r="AG31" s="126">
        <v>1</v>
      </c>
      <c r="AH31" s="126">
        <v>0</v>
      </c>
      <c r="AI31" s="126">
        <v>1</v>
      </c>
    </row>
    <row r="32" spans="3:35">
      <c r="C32" s="126">
        <v>25</v>
      </c>
      <c r="D32" s="126">
        <v>1</v>
      </c>
      <c r="E32" s="126">
        <v>1</v>
      </c>
      <c r="I32" s="126">
        <v>1</v>
      </c>
      <c r="J32" s="126">
        <v>1</v>
      </c>
      <c r="O32" s="126" t="s">
        <v>675</v>
      </c>
      <c r="P32" s="126" t="s">
        <v>673</v>
      </c>
      <c r="R32" s="126">
        <v>2</v>
      </c>
      <c r="S32" s="162">
        <v>46143</v>
      </c>
      <c r="T32" s="126">
        <v>1</v>
      </c>
      <c r="U32" s="206">
        <v>4</v>
      </c>
      <c r="V32" s="206">
        <v>4</v>
      </c>
      <c r="W32" s="206">
        <v>27.34</v>
      </c>
      <c r="X32" s="206">
        <v>0</v>
      </c>
      <c r="Y32" s="206">
        <v>0</v>
      </c>
      <c r="Z32" s="206">
        <v>0</v>
      </c>
      <c r="AA32" s="206">
        <v>27.34</v>
      </c>
      <c r="AB32" s="206">
        <v>0</v>
      </c>
      <c r="AC32" s="235">
        <v>46224.761064814818</v>
      </c>
      <c r="AE32" s="126">
        <v>0</v>
      </c>
      <c r="AF32" s="126">
        <v>0</v>
      </c>
      <c r="AG32" s="126">
        <v>1</v>
      </c>
      <c r="AH32" s="126">
        <v>0</v>
      </c>
    </row>
    <row r="33" spans="3:34">
      <c r="C33" s="126">
        <v>26</v>
      </c>
      <c r="D33" s="126">
        <v>1</v>
      </c>
      <c r="E33" s="126">
        <v>1</v>
      </c>
      <c r="I33" s="126">
        <v>1</v>
      </c>
      <c r="J33" s="126">
        <v>2</v>
      </c>
      <c r="O33" s="126" t="s">
        <v>675</v>
      </c>
      <c r="P33" s="126" t="s">
        <v>673</v>
      </c>
      <c r="R33" s="126">
        <v>2</v>
      </c>
      <c r="S33" s="162">
        <v>46143</v>
      </c>
      <c r="T33" s="126">
        <v>2</v>
      </c>
      <c r="U33" s="206">
        <v>5</v>
      </c>
      <c r="V33" s="206">
        <v>5</v>
      </c>
      <c r="W33" s="206">
        <v>11.32</v>
      </c>
      <c r="X33" s="206">
        <v>0</v>
      </c>
      <c r="Y33" s="206">
        <v>0</v>
      </c>
      <c r="Z33" s="206">
        <v>0</v>
      </c>
      <c r="AA33" s="206">
        <v>11.32</v>
      </c>
      <c r="AB33" s="206">
        <v>0</v>
      </c>
      <c r="AC33" s="235">
        <v>46224.761064814818</v>
      </c>
      <c r="AE33" s="126">
        <v>0</v>
      </c>
      <c r="AF33" s="126">
        <v>0</v>
      </c>
      <c r="AG33" s="126">
        <v>1</v>
      </c>
      <c r="AH33" s="126">
        <v>0</v>
      </c>
    </row>
    <row r="34" spans="3:34">
      <c r="C34" s="126">
        <v>27</v>
      </c>
      <c r="D34" s="126">
        <v>1</v>
      </c>
      <c r="E34" s="126">
        <v>1</v>
      </c>
      <c r="I34" s="126">
        <v>1</v>
      </c>
      <c r="J34" s="126">
        <v>3</v>
      </c>
      <c r="O34" s="126" t="s">
        <v>675</v>
      </c>
      <c r="P34" s="126" t="s">
        <v>673</v>
      </c>
      <c r="R34" s="126">
        <v>2</v>
      </c>
      <c r="S34" s="162">
        <v>46143</v>
      </c>
      <c r="T34" s="126">
        <v>4</v>
      </c>
      <c r="U34" s="206">
        <v>7</v>
      </c>
      <c r="V34" s="206">
        <v>7</v>
      </c>
      <c r="W34" s="206">
        <v>5.8</v>
      </c>
      <c r="X34" s="206">
        <v>0</v>
      </c>
      <c r="Y34" s="206">
        <v>0</v>
      </c>
      <c r="Z34" s="206">
        <v>0</v>
      </c>
      <c r="AA34" s="206">
        <v>5.8</v>
      </c>
      <c r="AB34" s="206">
        <v>0</v>
      </c>
      <c r="AC34" s="235">
        <v>46224.761064814818</v>
      </c>
      <c r="AE34" s="126">
        <v>0</v>
      </c>
      <c r="AF34" s="126">
        <v>0</v>
      </c>
      <c r="AG34" s="126">
        <v>1</v>
      </c>
      <c r="AH34" s="126">
        <v>0</v>
      </c>
    </row>
    <row r="35" spans="3:34">
      <c r="C35" s="126">
        <v>28</v>
      </c>
      <c r="D35" s="126">
        <v>1</v>
      </c>
      <c r="E35" s="126">
        <v>1</v>
      </c>
      <c r="I35" s="126">
        <v>1</v>
      </c>
      <c r="J35" s="126">
        <v>4</v>
      </c>
      <c r="O35" s="126" t="s">
        <v>675</v>
      </c>
      <c r="P35" s="126" t="s">
        <v>673</v>
      </c>
      <c r="R35" s="126">
        <v>2</v>
      </c>
      <c r="S35" s="162">
        <v>46143</v>
      </c>
      <c r="T35" s="126">
        <v>5</v>
      </c>
      <c r="U35" s="206">
        <v>6</v>
      </c>
      <c r="V35" s="206">
        <v>6</v>
      </c>
      <c r="W35" s="206">
        <v>3.74</v>
      </c>
      <c r="X35" s="206">
        <v>0</v>
      </c>
      <c r="Y35" s="206">
        <v>0</v>
      </c>
      <c r="Z35" s="206">
        <v>0</v>
      </c>
      <c r="AA35" s="206">
        <v>3.74</v>
      </c>
      <c r="AB35" s="206">
        <v>0</v>
      </c>
      <c r="AC35" s="235">
        <v>46224.761064814818</v>
      </c>
      <c r="AE35" s="126">
        <v>0</v>
      </c>
      <c r="AF35" s="126">
        <v>0</v>
      </c>
      <c r="AG35" s="126">
        <v>1</v>
      </c>
      <c r="AH35" s="126">
        <v>0</v>
      </c>
    </row>
    <row r="36" spans="3:34">
      <c r="C36" s="126">
        <v>29</v>
      </c>
      <c r="D36" s="126">
        <v>1</v>
      </c>
      <c r="E36" s="126">
        <v>1</v>
      </c>
      <c r="I36" s="126">
        <v>1</v>
      </c>
      <c r="J36" s="126">
        <v>5</v>
      </c>
      <c r="O36" s="126" t="s">
        <v>675</v>
      </c>
      <c r="P36" s="126" t="s">
        <v>673</v>
      </c>
      <c r="R36" s="126">
        <v>2</v>
      </c>
      <c r="S36" s="162">
        <v>46143</v>
      </c>
      <c r="T36" s="126">
        <v>10</v>
      </c>
      <c r="U36" s="206">
        <v>10</v>
      </c>
      <c r="V36" s="206">
        <v>10</v>
      </c>
      <c r="W36" s="206">
        <v>14.85</v>
      </c>
      <c r="X36" s="206">
        <v>0</v>
      </c>
      <c r="Y36" s="206">
        <v>0</v>
      </c>
      <c r="Z36" s="206">
        <v>0</v>
      </c>
      <c r="AA36" s="206">
        <v>14.85</v>
      </c>
      <c r="AB36" s="206">
        <v>0</v>
      </c>
      <c r="AC36" s="235">
        <v>46224.761064814818</v>
      </c>
      <c r="AE36" s="126">
        <v>0</v>
      </c>
      <c r="AF36" s="126">
        <v>0</v>
      </c>
      <c r="AG36" s="126">
        <v>1</v>
      </c>
      <c r="AH36" s="126">
        <v>0</v>
      </c>
    </row>
    <row r="37" spans="3:34">
      <c r="C37" s="126">
        <v>30</v>
      </c>
      <c r="D37" s="126">
        <v>1</v>
      </c>
      <c r="E37" s="126">
        <v>1</v>
      </c>
      <c r="I37" s="126">
        <v>1</v>
      </c>
      <c r="J37" s="126">
        <v>6</v>
      </c>
      <c r="O37" s="126" t="s">
        <v>675</v>
      </c>
      <c r="P37" s="126" t="s">
        <v>673</v>
      </c>
      <c r="R37" s="126">
        <v>2</v>
      </c>
      <c r="S37" s="162">
        <v>46143</v>
      </c>
      <c r="T37" s="126">
        <v>11</v>
      </c>
      <c r="U37" s="206">
        <v>10</v>
      </c>
      <c r="V37" s="206">
        <v>10</v>
      </c>
      <c r="W37" s="206">
        <v>9.52</v>
      </c>
      <c r="X37" s="206">
        <v>0</v>
      </c>
      <c r="Y37" s="206">
        <v>0</v>
      </c>
      <c r="Z37" s="206">
        <v>0</v>
      </c>
      <c r="AA37" s="206">
        <v>9.52</v>
      </c>
      <c r="AB37" s="206">
        <v>0</v>
      </c>
      <c r="AC37" s="235">
        <v>46224.761064814818</v>
      </c>
      <c r="AE37" s="126">
        <v>0</v>
      </c>
      <c r="AF37" s="126">
        <v>0</v>
      </c>
      <c r="AG37" s="126">
        <v>1</v>
      </c>
      <c r="AH37" s="126">
        <v>0</v>
      </c>
    </row>
    <row r="38" spans="3:34">
      <c r="C38" s="126">
        <v>31</v>
      </c>
      <c r="D38" s="126">
        <v>1</v>
      </c>
      <c r="E38" s="126">
        <v>1</v>
      </c>
      <c r="I38" s="126">
        <v>1</v>
      </c>
      <c r="J38" s="126">
        <v>7</v>
      </c>
      <c r="O38" s="126" t="s">
        <v>675</v>
      </c>
      <c r="P38" s="126" t="s">
        <v>673</v>
      </c>
      <c r="R38" s="126">
        <v>2</v>
      </c>
      <c r="S38" s="162">
        <v>46143</v>
      </c>
      <c r="T38" s="126">
        <v>13</v>
      </c>
      <c r="U38" s="206">
        <v>8</v>
      </c>
      <c r="V38" s="206">
        <v>8</v>
      </c>
      <c r="W38" s="206">
        <v>5.3</v>
      </c>
      <c r="X38" s="206">
        <v>0</v>
      </c>
      <c r="Y38" s="206">
        <v>0</v>
      </c>
      <c r="Z38" s="206">
        <v>0</v>
      </c>
      <c r="AA38" s="206">
        <v>5.3</v>
      </c>
      <c r="AB38" s="206">
        <v>0</v>
      </c>
      <c r="AC38" s="235">
        <v>46224.761064814818</v>
      </c>
      <c r="AE38" s="126">
        <v>0</v>
      </c>
      <c r="AF38" s="126">
        <v>0</v>
      </c>
      <c r="AG38" s="126">
        <v>1</v>
      </c>
      <c r="AH38" s="126">
        <v>0</v>
      </c>
    </row>
    <row r="39" spans="3:34">
      <c r="C39" s="126">
        <v>32</v>
      </c>
      <c r="D39" s="126">
        <v>1</v>
      </c>
      <c r="E39" s="126">
        <v>1</v>
      </c>
      <c r="I39" s="126">
        <v>1</v>
      </c>
      <c r="J39" s="126">
        <v>8</v>
      </c>
      <c r="O39" s="126" t="s">
        <v>675</v>
      </c>
      <c r="P39" s="126" t="s">
        <v>673</v>
      </c>
      <c r="R39" s="126">
        <v>2</v>
      </c>
      <c r="S39" s="162">
        <v>46143</v>
      </c>
      <c r="T39" s="126">
        <v>14</v>
      </c>
      <c r="U39" s="206">
        <v>12</v>
      </c>
      <c r="V39" s="206">
        <v>12</v>
      </c>
      <c r="W39" s="206">
        <v>3.3</v>
      </c>
      <c r="X39" s="206">
        <v>0</v>
      </c>
      <c r="Y39" s="206">
        <v>0</v>
      </c>
      <c r="Z39" s="206">
        <v>0</v>
      </c>
      <c r="AA39" s="206">
        <v>3.3</v>
      </c>
      <c r="AB39" s="206">
        <v>0</v>
      </c>
      <c r="AC39" s="235">
        <v>46224.761064814818</v>
      </c>
      <c r="AE39" s="126">
        <v>0</v>
      </c>
      <c r="AF39" s="126">
        <v>0</v>
      </c>
      <c r="AG39" s="126">
        <v>1</v>
      </c>
      <c r="AH39" s="126">
        <v>0</v>
      </c>
    </row>
    <row r="40" spans="3:34">
      <c r="C40" s="126">
        <v>33</v>
      </c>
      <c r="D40" s="126">
        <v>1</v>
      </c>
      <c r="E40" s="126">
        <v>1</v>
      </c>
      <c r="I40" s="126">
        <v>1</v>
      </c>
      <c r="J40" s="126">
        <v>9</v>
      </c>
      <c r="O40" s="126" t="s">
        <v>675</v>
      </c>
      <c r="P40" s="126" t="s">
        <v>673</v>
      </c>
      <c r="R40" s="126">
        <v>2</v>
      </c>
      <c r="S40" s="162">
        <v>46143</v>
      </c>
      <c r="T40" s="126">
        <v>16</v>
      </c>
      <c r="U40" s="206">
        <v>15</v>
      </c>
      <c r="V40" s="206">
        <v>15</v>
      </c>
      <c r="W40" s="206">
        <v>2.1</v>
      </c>
      <c r="X40" s="206">
        <v>0</v>
      </c>
      <c r="Y40" s="206">
        <v>0</v>
      </c>
      <c r="Z40" s="206">
        <v>0</v>
      </c>
      <c r="AA40" s="206">
        <v>2.1</v>
      </c>
      <c r="AB40" s="206">
        <v>0</v>
      </c>
      <c r="AC40" s="235">
        <v>46224.761064814818</v>
      </c>
      <c r="AE40" s="126">
        <v>0</v>
      </c>
      <c r="AF40" s="126">
        <v>0</v>
      </c>
      <c r="AG40" s="126">
        <v>1</v>
      </c>
      <c r="AH40" s="126">
        <v>0</v>
      </c>
    </row>
    <row r="41" spans="3:34">
      <c r="C41" s="126">
        <v>34</v>
      </c>
      <c r="D41" s="126">
        <v>1</v>
      </c>
      <c r="E41" s="126">
        <v>1</v>
      </c>
      <c r="I41" s="126">
        <v>1</v>
      </c>
      <c r="J41" s="126">
        <v>10</v>
      </c>
      <c r="O41" s="126" t="s">
        <v>675</v>
      </c>
      <c r="P41" s="126" t="s">
        <v>673</v>
      </c>
      <c r="R41" s="126">
        <v>2</v>
      </c>
      <c r="S41" s="162">
        <v>46143</v>
      </c>
      <c r="T41" s="126">
        <v>17</v>
      </c>
      <c r="U41" s="206">
        <v>20</v>
      </c>
      <c r="V41" s="206">
        <v>20</v>
      </c>
      <c r="W41" s="206">
        <v>1.63</v>
      </c>
      <c r="X41" s="206">
        <v>0</v>
      </c>
      <c r="Y41" s="206">
        <v>0</v>
      </c>
      <c r="Z41" s="206">
        <v>0</v>
      </c>
      <c r="AA41" s="206">
        <v>1.63</v>
      </c>
      <c r="AB41" s="206">
        <v>0</v>
      </c>
      <c r="AC41" s="235">
        <v>46224.761064814818</v>
      </c>
      <c r="AE41" s="126">
        <v>0</v>
      </c>
      <c r="AF41" s="126">
        <v>0</v>
      </c>
      <c r="AG41" s="126">
        <v>1</v>
      </c>
      <c r="AH41" s="126">
        <v>0</v>
      </c>
    </row>
    <row r="42" spans="3:34">
      <c r="C42" s="126">
        <v>35</v>
      </c>
      <c r="D42" s="126">
        <v>1</v>
      </c>
      <c r="E42" s="126">
        <v>1</v>
      </c>
      <c r="I42" s="126">
        <v>1</v>
      </c>
      <c r="J42" s="126">
        <v>11</v>
      </c>
      <c r="O42" s="126" t="s">
        <v>675</v>
      </c>
      <c r="P42" s="126" t="s">
        <v>673</v>
      </c>
      <c r="R42" s="126">
        <v>2</v>
      </c>
      <c r="S42" s="162">
        <v>46143</v>
      </c>
      <c r="T42" s="126">
        <v>18</v>
      </c>
      <c r="U42" s="206">
        <v>18</v>
      </c>
      <c r="V42" s="206">
        <v>18</v>
      </c>
      <c r="W42" s="206">
        <v>1.35</v>
      </c>
      <c r="X42" s="206">
        <v>0</v>
      </c>
      <c r="Y42" s="206">
        <v>0</v>
      </c>
      <c r="Z42" s="206">
        <v>0</v>
      </c>
      <c r="AA42" s="206">
        <v>1.35</v>
      </c>
      <c r="AB42" s="206">
        <v>0</v>
      </c>
      <c r="AC42" s="235">
        <v>46224.761064814818</v>
      </c>
      <c r="AE42" s="126">
        <v>0</v>
      </c>
      <c r="AF42" s="126">
        <v>0</v>
      </c>
      <c r="AG42" s="126">
        <v>1</v>
      </c>
      <c r="AH42" s="126">
        <v>0</v>
      </c>
    </row>
    <row r="43" spans="3:34">
      <c r="C43" s="126">
        <v>36</v>
      </c>
      <c r="D43" s="126">
        <v>1</v>
      </c>
      <c r="E43" s="126">
        <v>1</v>
      </c>
      <c r="I43" s="126">
        <v>1</v>
      </c>
      <c r="J43" s="126">
        <v>12</v>
      </c>
      <c r="O43" s="126" t="s">
        <v>675</v>
      </c>
      <c r="P43" s="126" t="s">
        <v>673</v>
      </c>
      <c r="R43" s="126">
        <v>2</v>
      </c>
      <c r="S43" s="162">
        <v>46143</v>
      </c>
      <c r="T43" s="126">
        <v>19</v>
      </c>
      <c r="U43" s="206">
        <v>5</v>
      </c>
      <c r="V43" s="206">
        <v>5</v>
      </c>
      <c r="W43" s="206">
        <v>7.49</v>
      </c>
      <c r="X43" s="206">
        <v>0</v>
      </c>
      <c r="Y43" s="206">
        <v>0</v>
      </c>
      <c r="Z43" s="206">
        <v>0</v>
      </c>
      <c r="AA43" s="206">
        <v>7.49</v>
      </c>
      <c r="AB43" s="206">
        <v>0</v>
      </c>
      <c r="AC43" s="235">
        <v>46224.761064814818</v>
      </c>
      <c r="AE43" s="126">
        <v>0</v>
      </c>
      <c r="AF43" s="126">
        <v>0</v>
      </c>
      <c r="AG43" s="126">
        <v>1</v>
      </c>
      <c r="AH43" s="126">
        <v>0</v>
      </c>
    </row>
    <row r="44" spans="3:34">
      <c r="C44" s="126">
        <v>37</v>
      </c>
      <c r="D44" s="126">
        <v>1</v>
      </c>
      <c r="E44" s="126">
        <v>1</v>
      </c>
      <c r="I44" s="126">
        <v>1</v>
      </c>
      <c r="J44" s="126">
        <v>13</v>
      </c>
      <c r="O44" s="126" t="s">
        <v>675</v>
      </c>
      <c r="P44" s="126" t="s">
        <v>673</v>
      </c>
      <c r="R44" s="126">
        <v>2</v>
      </c>
      <c r="S44" s="162">
        <v>46143</v>
      </c>
      <c r="T44" s="126">
        <v>20</v>
      </c>
      <c r="U44" s="206">
        <v>3</v>
      </c>
      <c r="V44" s="206">
        <v>3</v>
      </c>
      <c r="W44" s="206">
        <v>5.03</v>
      </c>
      <c r="X44" s="206">
        <v>0</v>
      </c>
      <c r="Y44" s="206">
        <v>0</v>
      </c>
      <c r="Z44" s="206">
        <v>0</v>
      </c>
      <c r="AA44" s="206">
        <v>5.03</v>
      </c>
      <c r="AB44" s="206">
        <v>0</v>
      </c>
      <c r="AC44" s="235">
        <v>46224.761064814818</v>
      </c>
      <c r="AE44" s="126">
        <v>0</v>
      </c>
      <c r="AF44" s="126">
        <v>0</v>
      </c>
      <c r="AG44" s="126">
        <v>1</v>
      </c>
      <c r="AH44" s="126">
        <v>0</v>
      </c>
    </row>
    <row r="45" spans="3:34">
      <c r="C45" s="126">
        <v>38</v>
      </c>
      <c r="D45" s="126">
        <v>1</v>
      </c>
      <c r="E45" s="126">
        <v>1</v>
      </c>
      <c r="I45" s="126">
        <v>1</v>
      </c>
      <c r="J45" s="126">
        <v>14</v>
      </c>
      <c r="O45" s="126" t="s">
        <v>675</v>
      </c>
      <c r="P45" s="126" t="s">
        <v>673</v>
      </c>
      <c r="R45" s="126">
        <v>2</v>
      </c>
      <c r="S45" s="162">
        <v>46143</v>
      </c>
      <c r="T45" s="126">
        <v>22</v>
      </c>
      <c r="U45" s="206">
        <v>7</v>
      </c>
      <c r="V45" s="206">
        <v>7</v>
      </c>
      <c r="W45" s="206">
        <v>2.9</v>
      </c>
      <c r="X45" s="206">
        <v>0</v>
      </c>
      <c r="Y45" s="206">
        <v>0</v>
      </c>
      <c r="Z45" s="206">
        <v>0</v>
      </c>
      <c r="AA45" s="206">
        <v>2.9</v>
      </c>
      <c r="AB45" s="206">
        <v>0</v>
      </c>
      <c r="AC45" s="235">
        <v>46224.761064814818</v>
      </c>
      <c r="AE45" s="126">
        <v>0</v>
      </c>
      <c r="AF45" s="126">
        <v>0</v>
      </c>
      <c r="AG45" s="126">
        <v>1</v>
      </c>
      <c r="AH45" s="126">
        <v>0</v>
      </c>
    </row>
    <row r="46" spans="3:34">
      <c r="C46" s="126">
        <v>39</v>
      </c>
      <c r="D46" s="126">
        <v>1</v>
      </c>
      <c r="E46" s="126">
        <v>1</v>
      </c>
      <c r="I46" s="126">
        <v>2</v>
      </c>
      <c r="J46" s="126">
        <v>15</v>
      </c>
      <c r="O46" s="126" t="s">
        <v>675</v>
      </c>
      <c r="P46" s="126" t="s">
        <v>713</v>
      </c>
      <c r="R46" s="126">
        <v>2</v>
      </c>
      <c r="S46" s="162">
        <v>46146</v>
      </c>
      <c r="T46" s="126">
        <v>26</v>
      </c>
      <c r="U46" s="206">
        <v>5</v>
      </c>
      <c r="V46" s="206">
        <v>5</v>
      </c>
      <c r="W46" s="206">
        <v>3.01</v>
      </c>
      <c r="X46" s="206">
        <v>0</v>
      </c>
      <c r="Y46" s="206">
        <v>0</v>
      </c>
      <c r="Z46" s="206">
        <v>0</v>
      </c>
      <c r="AA46" s="206">
        <v>3.01</v>
      </c>
      <c r="AB46" s="206">
        <v>0</v>
      </c>
      <c r="AC46" s="235">
        <v>46224.769317129627</v>
      </c>
      <c r="AE46" s="126">
        <v>0</v>
      </c>
      <c r="AF46" s="126">
        <v>0</v>
      </c>
      <c r="AG46" s="126">
        <v>1</v>
      </c>
      <c r="AH46" s="126">
        <v>0</v>
      </c>
    </row>
    <row r="47" spans="3:34">
      <c r="C47" s="126">
        <v>40</v>
      </c>
      <c r="D47" s="126">
        <v>1</v>
      </c>
      <c r="E47" s="126">
        <v>1</v>
      </c>
      <c r="I47" s="126">
        <v>2</v>
      </c>
      <c r="J47" s="126">
        <v>16</v>
      </c>
      <c r="O47" s="126" t="s">
        <v>675</v>
      </c>
      <c r="P47" s="126" t="s">
        <v>713</v>
      </c>
      <c r="R47" s="126">
        <v>2</v>
      </c>
      <c r="S47" s="162">
        <v>46146</v>
      </c>
      <c r="T47" s="126">
        <v>101</v>
      </c>
      <c r="U47" s="206">
        <v>22500</v>
      </c>
      <c r="V47" s="206">
        <v>5</v>
      </c>
      <c r="W47" s="206">
        <v>5</v>
      </c>
      <c r="X47" s="206">
        <v>0</v>
      </c>
      <c r="Y47" s="206">
        <v>0</v>
      </c>
      <c r="Z47" s="206">
        <v>0</v>
      </c>
      <c r="AA47" s="206">
        <v>5</v>
      </c>
      <c r="AB47" s="206">
        <v>0</v>
      </c>
      <c r="AC47" s="235">
        <v>46224.769317129627</v>
      </c>
      <c r="AE47" s="126">
        <v>0</v>
      </c>
      <c r="AF47" s="126">
        <v>0</v>
      </c>
      <c r="AG47" s="126">
        <v>1</v>
      </c>
      <c r="AH47" s="126">
        <v>0</v>
      </c>
    </row>
    <row r="48" spans="3:34">
      <c r="C48" s="126">
        <v>41</v>
      </c>
      <c r="D48" s="126">
        <v>1</v>
      </c>
      <c r="E48" s="126">
        <v>1</v>
      </c>
      <c r="I48" s="126">
        <v>2</v>
      </c>
      <c r="J48" s="126">
        <v>17</v>
      </c>
      <c r="O48" s="126" t="s">
        <v>675</v>
      </c>
      <c r="P48" s="126" t="s">
        <v>713</v>
      </c>
      <c r="R48" s="126">
        <v>2</v>
      </c>
      <c r="S48" s="162">
        <v>46146</v>
      </c>
      <c r="T48" s="126">
        <v>102</v>
      </c>
      <c r="U48" s="206">
        <v>4</v>
      </c>
      <c r="V48" s="206">
        <v>0.16666666666666666</v>
      </c>
      <c r="W48" s="206">
        <v>4.5</v>
      </c>
      <c r="X48" s="206">
        <v>0</v>
      </c>
      <c r="Y48" s="206">
        <v>0</v>
      </c>
      <c r="Z48" s="206">
        <v>0</v>
      </c>
      <c r="AA48" s="206">
        <v>4.5</v>
      </c>
      <c r="AB48" s="206">
        <v>0</v>
      </c>
      <c r="AC48" s="235">
        <v>46224.769317129627</v>
      </c>
      <c r="AE48" s="126">
        <v>0</v>
      </c>
      <c r="AF48" s="126">
        <v>0</v>
      </c>
      <c r="AG48" s="126">
        <v>1</v>
      </c>
      <c r="AH48" s="126">
        <v>0</v>
      </c>
    </row>
    <row r="49" spans="3:34">
      <c r="C49" s="126">
        <v>42</v>
      </c>
      <c r="D49" s="126">
        <v>1</v>
      </c>
      <c r="E49" s="126">
        <v>1</v>
      </c>
      <c r="I49" s="126">
        <v>2</v>
      </c>
      <c r="J49" s="126">
        <v>18</v>
      </c>
      <c r="O49" s="126" t="s">
        <v>675</v>
      </c>
      <c r="P49" s="126" t="s">
        <v>713</v>
      </c>
      <c r="R49" s="126">
        <v>2</v>
      </c>
      <c r="S49" s="162">
        <v>46146</v>
      </c>
      <c r="T49" s="126">
        <v>125</v>
      </c>
      <c r="U49" s="206">
        <v>700</v>
      </c>
      <c r="V49" s="206">
        <v>7</v>
      </c>
      <c r="W49" s="206">
        <v>4</v>
      </c>
      <c r="X49" s="206">
        <v>0</v>
      </c>
      <c r="Y49" s="206">
        <v>0</v>
      </c>
      <c r="Z49" s="206">
        <v>0</v>
      </c>
      <c r="AA49" s="206">
        <v>4</v>
      </c>
      <c r="AB49" s="206">
        <v>0</v>
      </c>
      <c r="AC49" s="235">
        <v>46224.769317129627</v>
      </c>
      <c r="AE49" s="126">
        <v>0</v>
      </c>
      <c r="AF49" s="126">
        <v>0</v>
      </c>
      <c r="AG49" s="126">
        <v>1</v>
      </c>
      <c r="AH49" s="126">
        <v>0</v>
      </c>
    </row>
    <row r="50" spans="3:34">
      <c r="C50" s="126">
        <v>43</v>
      </c>
      <c r="D50" s="126">
        <v>1</v>
      </c>
      <c r="E50" s="126">
        <v>1</v>
      </c>
      <c r="I50" s="126">
        <v>2</v>
      </c>
      <c r="J50" s="126">
        <v>19</v>
      </c>
      <c r="O50" s="126" t="s">
        <v>675</v>
      </c>
      <c r="P50" s="126" t="s">
        <v>713</v>
      </c>
      <c r="R50" s="126">
        <v>2</v>
      </c>
      <c r="S50" s="162">
        <v>46146</v>
      </c>
      <c r="T50" s="126">
        <v>152</v>
      </c>
      <c r="U50" s="206">
        <v>3</v>
      </c>
      <c r="V50" s="206">
        <v>0.75</v>
      </c>
      <c r="W50" s="206">
        <v>11.25</v>
      </c>
      <c r="X50" s="206">
        <v>0</v>
      </c>
      <c r="Y50" s="206">
        <v>0</v>
      </c>
      <c r="Z50" s="206">
        <v>0</v>
      </c>
      <c r="AA50" s="206">
        <v>11.25</v>
      </c>
      <c r="AB50" s="206">
        <v>0</v>
      </c>
      <c r="AC50" s="235">
        <v>46224.769317129627</v>
      </c>
      <c r="AE50" s="126">
        <v>0</v>
      </c>
      <c r="AF50" s="126">
        <v>0</v>
      </c>
      <c r="AG50" s="126">
        <v>1</v>
      </c>
      <c r="AH50" s="126">
        <v>0</v>
      </c>
    </row>
    <row r="51" spans="3:34">
      <c r="C51" s="126">
        <v>44</v>
      </c>
      <c r="D51" s="126">
        <v>1</v>
      </c>
      <c r="E51" s="126">
        <v>1</v>
      </c>
      <c r="I51" s="126">
        <v>2</v>
      </c>
      <c r="J51" s="126">
        <v>20</v>
      </c>
      <c r="O51" s="126" t="s">
        <v>675</v>
      </c>
      <c r="P51" s="126" t="s">
        <v>713</v>
      </c>
      <c r="R51" s="126">
        <v>2</v>
      </c>
      <c r="S51" s="162">
        <v>46146</v>
      </c>
      <c r="T51" s="126">
        <v>155</v>
      </c>
      <c r="U51" s="206">
        <v>3</v>
      </c>
      <c r="V51" s="206">
        <v>0.75</v>
      </c>
      <c r="W51" s="206">
        <v>14.5</v>
      </c>
      <c r="X51" s="206">
        <v>0</v>
      </c>
      <c r="Y51" s="206">
        <v>0</v>
      </c>
      <c r="Z51" s="206">
        <v>0</v>
      </c>
      <c r="AA51" s="206">
        <v>14.5</v>
      </c>
      <c r="AB51" s="206">
        <v>0</v>
      </c>
      <c r="AC51" s="235">
        <v>46224.769317129627</v>
      </c>
      <c r="AE51" s="126">
        <v>0</v>
      </c>
      <c r="AF51" s="126">
        <v>0</v>
      </c>
      <c r="AG51" s="126">
        <v>1</v>
      </c>
      <c r="AH51" s="126">
        <v>0</v>
      </c>
    </row>
    <row r="52" spans="3:34">
      <c r="C52" s="126">
        <v>45</v>
      </c>
      <c r="D52" s="126">
        <v>1</v>
      </c>
      <c r="E52" s="126">
        <v>1</v>
      </c>
      <c r="I52" s="126">
        <v>2</v>
      </c>
      <c r="J52" s="126">
        <v>21</v>
      </c>
      <c r="O52" s="126" t="s">
        <v>675</v>
      </c>
      <c r="P52" s="126" t="s">
        <v>713</v>
      </c>
      <c r="R52" s="126">
        <v>2</v>
      </c>
      <c r="S52" s="162">
        <v>46146</v>
      </c>
      <c r="T52" s="126">
        <v>156</v>
      </c>
      <c r="U52" s="206">
        <v>5</v>
      </c>
      <c r="V52" s="206">
        <v>0.41666666666666669</v>
      </c>
      <c r="W52" s="206">
        <v>4.41</v>
      </c>
      <c r="X52" s="206">
        <v>0</v>
      </c>
      <c r="Y52" s="206">
        <v>0</v>
      </c>
      <c r="Z52" s="206">
        <v>0</v>
      </c>
      <c r="AA52" s="206">
        <v>4.41</v>
      </c>
      <c r="AB52" s="206">
        <v>0</v>
      </c>
      <c r="AC52" s="235">
        <v>46224.769317129627</v>
      </c>
      <c r="AE52" s="126">
        <v>0</v>
      </c>
      <c r="AF52" s="126">
        <v>0</v>
      </c>
      <c r="AG52" s="126">
        <v>1</v>
      </c>
      <c r="AH52" s="126">
        <v>0</v>
      </c>
    </row>
    <row r="53" spans="3:34">
      <c r="C53" s="126">
        <v>46</v>
      </c>
      <c r="D53" s="126">
        <v>1</v>
      </c>
      <c r="E53" s="126">
        <v>1</v>
      </c>
      <c r="I53" s="126">
        <v>2</v>
      </c>
      <c r="J53" s="126">
        <v>22</v>
      </c>
      <c r="O53" s="126" t="s">
        <v>675</v>
      </c>
      <c r="P53" s="126" t="s">
        <v>713</v>
      </c>
      <c r="R53" s="126">
        <v>2</v>
      </c>
      <c r="S53" s="162">
        <v>46146</v>
      </c>
      <c r="T53" s="126">
        <v>160</v>
      </c>
      <c r="U53" s="206">
        <v>2</v>
      </c>
      <c r="V53" s="206">
        <v>0.5</v>
      </c>
      <c r="W53" s="206">
        <v>11.75</v>
      </c>
      <c r="X53" s="206">
        <v>0</v>
      </c>
      <c r="Y53" s="206">
        <v>0</v>
      </c>
      <c r="Z53" s="206">
        <v>0</v>
      </c>
      <c r="AA53" s="206">
        <v>11.75</v>
      </c>
      <c r="AB53" s="206">
        <v>0</v>
      </c>
      <c r="AC53" s="235">
        <v>46224.769317129627</v>
      </c>
      <c r="AE53" s="126">
        <v>0</v>
      </c>
      <c r="AF53" s="126">
        <v>0</v>
      </c>
      <c r="AG53" s="126">
        <v>1</v>
      </c>
      <c r="AH53" s="126">
        <v>0</v>
      </c>
    </row>
    <row r="54" spans="3:34">
      <c r="C54" s="126">
        <v>47</v>
      </c>
      <c r="D54" s="126">
        <v>1</v>
      </c>
      <c r="E54" s="126">
        <v>1</v>
      </c>
      <c r="I54" s="126">
        <v>2</v>
      </c>
      <c r="J54" s="126">
        <v>23</v>
      </c>
      <c r="O54" s="126" t="s">
        <v>675</v>
      </c>
      <c r="P54" s="126" t="s">
        <v>713</v>
      </c>
      <c r="R54" s="126">
        <v>2</v>
      </c>
      <c r="S54" s="162">
        <v>46146</v>
      </c>
      <c r="T54" s="126">
        <v>162</v>
      </c>
      <c r="U54" s="206">
        <v>2</v>
      </c>
      <c r="V54" s="206">
        <v>2</v>
      </c>
      <c r="W54" s="206">
        <v>53</v>
      </c>
      <c r="X54" s="206">
        <v>0</v>
      </c>
      <c r="Y54" s="206">
        <v>0</v>
      </c>
      <c r="Z54" s="206">
        <v>0</v>
      </c>
      <c r="AA54" s="206">
        <v>53</v>
      </c>
      <c r="AB54" s="206">
        <v>0</v>
      </c>
      <c r="AC54" s="235">
        <v>46224.769317129627</v>
      </c>
      <c r="AE54" s="126">
        <v>0</v>
      </c>
      <c r="AF54" s="126">
        <v>0</v>
      </c>
      <c r="AG54" s="126">
        <v>1</v>
      </c>
      <c r="AH54" s="126">
        <v>0</v>
      </c>
    </row>
    <row r="55" spans="3:34">
      <c r="C55" s="126">
        <v>48</v>
      </c>
      <c r="D55" s="126">
        <v>1</v>
      </c>
      <c r="E55" s="126">
        <v>1</v>
      </c>
      <c r="I55" s="126">
        <v>2</v>
      </c>
      <c r="J55" s="126">
        <v>24</v>
      </c>
      <c r="O55" s="126" t="s">
        <v>675</v>
      </c>
      <c r="P55" s="126" t="s">
        <v>713</v>
      </c>
      <c r="R55" s="126">
        <v>2</v>
      </c>
      <c r="S55" s="162">
        <v>46146</v>
      </c>
      <c r="T55" s="126">
        <v>163</v>
      </c>
      <c r="U55" s="206">
        <v>2</v>
      </c>
      <c r="V55" s="206">
        <v>0.5</v>
      </c>
      <c r="W55" s="206">
        <v>12.75</v>
      </c>
      <c r="X55" s="206">
        <v>0</v>
      </c>
      <c r="Y55" s="206">
        <v>0</v>
      </c>
      <c r="Z55" s="206">
        <v>0</v>
      </c>
      <c r="AA55" s="206">
        <v>12.75</v>
      </c>
      <c r="AB55" s="206">
        <v>0</v>
      </c>
      <c r="AC55" s="235">
        <v>46224.769317129627</v>
      </c>
      <c r="AE55" s="126">
        <v>0</v>
      </c>
      <c r="AF55" s="126">
        <v>0</v>
      </c>
      <c r="AG55" s="126">
        <v>1</v>
      </c>
      <c r="AH55" s="126">
        <v>0</v>
      </c>
    </row>
    <row r="56" spans="3:34">
      <c r="C56" s="126">
        <v>49</v>
      </c>
      <c r="D56" s="126">
        <v>1</v>
      </c>
      <c r="E56" s="126">
        <v>1</v>
      </c>
      <c r="I56" s="126">
        <v>2</v>
      </c>
      <c r="J56" s="126">
        <v>25</v>
      </c>
      <c r="O56" s="126" t="s">
        <v>675</v>
      </c>
      <c r="P56" s="126" t="s">
        <v>713</v>
      </c>
      <c r="R56" s="126">
        <v>2</v>
      </c>
      <c r="S56" s="162">
        <v>46146</v>
      </c>
      <c r="T56" s="126">
        <v>176</v>
      </c>
      <c r="U56" s="206">
        <v>5000</v>
      </c>
      <c r="V56" s="206">
        <v>5</v>
      </c>
      <c r="W56" s="206">
        <v>85</v>
      </c>
      <c r="X56" s="206">
        <v>0</v>
      </c>
      <c r="Y56" s="206">
        <v>0</v>
      </c>
      <c r="Z56" s="206">
        <v>0</v>
      </c>
      <c r="AA56" s="206">
        <v>85</v>
      </c>
      <c r="AB56" s="206">
        <v>0</v>
      </c>
      <c r="AC56" s="235">
        <v>46224.769317129627</v>
      </c>
      <c r="AE56" s="126">
        <v>0</v>
      </c>
      <c r="AF56" s="126">
        <v>0</v>
      </c>
      <c r="AG56" s="126">
        <v>1</v>
      </c>
      <c r="AH56" s="126">
        <v>0</v>
      </c>
    </row>
    <row r="57" spans="3:34">
      <c r="C57" s="126">
        <v>50</v>
      </c>
      <c r="D57" s="126">
        <v>1</v>
      </c>
      <c r="E57" s="126">
        <v>1</v>
      </c>
      <c r="I57" s="126">
        <v>2</v>
      </c>
      <c r="J57" s="126">
        <v>26</v>
      </c>
      <c r="O57" s="126" t="s">
        <v>675</v>
      </c>
      <c r="P57" s="126" t="s">
        <v>713</v>
      </c>
      <c r="R57" s="126">
        <v>2</v>
      </c>
      <c r="S57" s="162">
        <v>46146</v>
      </c>
      <c r="T57" s="126">
        <v>177</v>
      </c>
      <c r="U57" s="206">
        <v>12000</v>
      </c>
      <c r="V57" s="206">
        <v>12</v>
      </c>
      <c r="W57" s="206">
        <v>83</v>
      </c>
      <c r="X57" s="206">
        <v>0</v>
      </c>
      <c r="Y57" s="206">
        <v>0</v>
      </c>
      <c r="Z57" s="206">
        <v>0</v>
      </c>
      <c r="AA57" s="206">
        <v>83</v>
      </c>
      <c r="AB57" s="206">
        <v>0</v>
      </c>
      <c r="AC57" s="235">
        <v>46224.769317129627</v>
      </c>
      <c r="AE57" s="126">
        <v>0</v>
      </c>
      <c r="AF57" s="126">
        <v>0</v>
      </c>
      <c r="AG57" s="126">
        <v>1</v>
      </c>
      <c r="AH57" s="126">
        <v>0</v>
      </c>
    </row>
    <row r="58" spans="3:34">
      <c r="C58" s="126">
        <v>51</v>
      </c>
      <c r="D58" s="126">
        <v>1</v>
      </c>
      <c r="E58" s="126">
        <v>1</v>
      </c>
      <c r="I58" s="126">
        <v>2</v>
      </c>
      <c r="J58" s="126">
        <v>27</v>
      </c>
      <c r="O58" s="126" t="s">
        <v>675</v>
      </c>
      <c r="P58" s="126" t="s">
        <v>713</v>
      </c>
      <c r="R58" s="126">
        <v>2</v>
      </c>
      <c r="S58" s="162">
        <v>46146</v>
      </c>
      <c r="T58" s="126">
        <v>178</v>
      </c>
      <c r="U58" s="206">
        <v>6000</v>
      </c>
      <c r="V58" s="206">
        <v>6</v>
      </c>
      <c r="W58" s="206">
        <v>95</v>
      </c>
      <c r="X58" s="206">
        <v>0</v>
      </c>
      <c r="Y58" s="206">
        <v>0</v>
      </c>
      <c r="Z58" s="206">
        <v>0</v>
      </c>
      <c r="AA58" s="206">
        <v>95</v>
      </c>
      <c r="AB58" s="206">
        <v>0</v>
      </c>
      <c r="AC58" s="235">
        <v>46224.769317129627</v>
      </c>
      <c r="AE58" s="126">
        <v>0</v>
      </c>
      <c r="AF58" s="126">
        <v>0</v>
      </c>
      <c r="AG58" s="126">
        <v>1</v>
      </c>
      <c r="AH58" s="126">
        <v>0</v>
      </c>
    </row>
    <row r="59" spans="3:34">
      <c r="C59" s="126">
        <v>52</v>
      </c>
      <c r="D59" s="126">
        <v>1</v>
      </c>
      <c r="E59" s="126">
        <v>1</v>
      </c>
      <c r="I59" s="126">
        <v>2</v>
      </c>
      <c r="J59" s="126">
        <v>28</v>
      </c>
      <c r="O59" s="126" t="s">
        <v>675</v>
      </c>
      <c r="P59" s="126" t="s">
        <v>713</v>
      </c>
      <c r="R59" s="126">
        <v>2</v>
      </c>
      <c r="S59" s="162">
        <v>46146</v>
      </c>
      <c r="T59" s="126">
        <v>179</v>
      </c>
      <c r="U59" s="206">
        <v>4000</v>
      </c>
      <c r="V59" s="206">
        <v>4</v>
      </c>
      <c r="W59" s="206">
        <v>95</v>
      </c>
      <c r="X59" s="206">
        <v>0</v>
      </c>
      <c r="Y59" s="206">
        <v>0</v>
      </c>
      <c r="Z59" s="206">
        <v>0</v>
      </c>
      <c r="AA59" s="206">
        <v>95</v>
      </c>
      <c r="AB59" s="206">
        <v>0</v>
      </c>
      <c r="AC59" s="235">
        <v>46224.769317129627</v>
      </c>
      <c r="AE59" s="126">
        <v>0</v>
      </c>
      <c r="AF59" s="126">
        <v>0</v>
      </c>
      <c r="AG59" s="126">
        <v>1</v>
      </c>
      <c r="AH59" s="126">
        <v>0</v>
      </c>
    </row>
    <row r="60" spans="3:34">
      <c r="C60" s="126">
        <v>53</v>
      </c>
      <c r="D60" s="126">
        <v>1</v>
      </c>
      <c r="E60" s="126">
        <v>1</v>
      </c>
      <c r="I60" s="126">
        <v>3</v>
      </c>
      <c r="J60" s="126">
        <v>29</v>
      </c>
      <c r="O60" s="126" t="s">
        <v>675</v>
      </c>
      <c r="P60" s="126" t="s">
        <v>759</v>
      </c>
      <c r="R60" s="126">
        <v>2</v>
      </c>
      <c r="S60" s="162">
        <v>46148</v>
      </c>
      <c r="T60" s="126">
        <v>181</v>
      </c>
      <c r="U60" s="206">
        <v>180</v>
      </c>
      <c r="V60" s="206">
        <v>15</v>
      </c>
      <c r="W60" s="206">
        <v>1</v>
      </c>
      <c r="X60" s="206">
        <v>0</v>
      </c>
      <c r="Y60" s="206">
        <v>0</v>
      </c>
      <c r="Z60" s="206">
        <v>0</v>
      </c>
      <c r="AA60" s="206">
        <v>1</v>
      </c>
      <c r="AB60" s="206">
        <v>0</v>
      </c>
      <c r="AC60" s="235">
        <v>46224.785381944443</v>
      </c>
      <c r="AE60" s="126">
        <v>0</v>
      </c>
      <c r="AF60" s="126">
        <v>0</v>
      </c>
      <c r="AG60" s="126">
        <v>1</v>
      </c>
      <c r="AH60" s="126">
        <v>0</v>
      </c>
    </row>
    <row r="61" spans="3:34">
      <c r="C61" s="126">
        <v>54</v>
      </c>
      <c r="D61" s="126">
        <v>1</v>
      </c>
      <c r="E61" s="126">
        <v>1</v>
      </c>
      <c r="I61" s="126">
        <v>3</v>
      </c>
      <c r="J61" s="126">
        <v>30</v>
      </c>
      <c r="O61" s="126" t="s">
        <v>675</v>
      </c>
      <c r="P61" s="126" t="s">
        <v>759</v>
      </c>
      <c r="R61" s="126">
        <v>2</v>
      </c>
      <c r="S61" s="162">
        <v>46148</v>
      </c>
      <c r="T61" s="126">
        <v>182</v>
      </c>
      <c r="U61" s="206">
        <v>120</v>
      </c>
      <c r="V61" s="206">
        <v>10</v>
      </c>
      <c r="W61" s="206">
        <v>2</v>
      </c>
      <c r="X61" s="206">
        <v>0</v>
      </c>
      <c r="Y61" s="206">
        <v>0</v>
      </c>
      <c r="Z61" s="206">
        <v>0</v>
      </c>
      <c r="AA61" s="206">
        <v>2</v>
      </c>
      <c r="AB61" s="206">
        <v>0</v>
      </c>
      <c r="AC61" s="235">
        <v>46224.785381944443</v>
      </c>
      <c r="AE61" s="126">
        <v>0</v>
      </c>
      <c r="AF61" s="126">
        <v>0</v>
      </c>
      <c r="AG61" s="126">
        <v>1</v>
      </c>
      <c r="AH61" s="126">
        <v>0</v>
      </c>
    </row>
    <row r="62" spans="3:34">
      <c r="C62" s="126">
        <v>55</v>
      </c>
      <c r="D62" s="126">
        <v>1</v>
      </c>
      <c r="E62" s="126">
        <v>1</v>
      </c>
      <c r="I62" s="126">
        <v>3</v>
      </c>
      <c r="J62" s="126">
        <v>31</v>
      </c>
      <c r="O62" s="126" t="s">
        <v>675</v>
      </c>
      <c r="P62" s="126" t="s">
        <v>759</v>
      </c>
      <c r="R62" s="126">
        <v>2</v>
      </c>
      <c r="S62" s="162">
        <v>46148</v>
      </c>
      <c r="T62" s="126">
        <v>183</v>
      </c>
      <c r="U62" s="206">
        <v>240</v>
      </c>
      <c r="V62" s="206">
        <v>20</v>
      </c>
      <c r="W62" s="206">
        <v>4</v>
      </c>
      <c r="X62" s="206">
        <v>0</v>
      </c>
      <c r="Y62" s="206">
        <v>0</v>
      </c>
      <c r="Z62" s="206">
        <v>0</v>
      </c>
      <c r="AA62" s="206">
        <v>4</v>
      </c>
      <c r="AB62" s="206">
        <v>0</v>
      </c>
      <c r="AC62" s="235">
        <v>46224.785381944443</v>
      </c>
      <c r="AE62" s="126">
        <v>0</v>
      </c>
      <c r="AF62" s="126">
        <v>0</v>
      </c>
      <c r="AG62" s="126">
        <v>1</v>
      </c>
      <c r="AH62" s="126">
        <v>0</v>
      </c>
    </row>
    <row r="63" spans="3:34">
      <c r="C63" s="126">
        <v>56</v>
      </c>
      <c r="D63" s="126">
        <v>1</v>
      </c>
      <c r="E63" s="126">
        <v>1</v>
      </c>
      <c r="I63" s="126">
        <v>3</v>
      </c>
      <c r="J63" s="126">
        <v>32</v>
      </c>
      <c r="O63" s="126" t="s">
        <v>675</v>
      </c>
      <c r="P63" s="126" t="s">
        <v>759</v>
      </c>
      <c r="R63" s="126">
        <v>2</v>
      </c>
      <c r="S63" s="162">
        <v>46148</v>
      </c>
      <c r="T63" s="126">
        <v>184</v>
      </c>
      <c r="U63" s="206">
        <v>168</v>
      </c>
      <c r="V63" s="206">
        <v>14</v>
      </c>
      <c r="W63" s="206">
        <v>6</v>
      </c>
      <c r="X63" s="206">
        <v>0</v>
      </c>
      <c r="Y63" s="206">
        <v>0</v>
      </c>
      <c r="Z63" s="206">
        <v>0</v>
      </c>
      <c r="AA63" s="206">
        <v>6</v>
      </c>
      <c r="AB63" s="206">
        <v>0</v>
      </c>
      <c r="AC63" s="235">
        <v>46224.785381944443</v>
      </c>
      <c r="AE63" s="126">
        <v>0</v>
      </c>
      <c r="AF63" s="126">
        <v>0</v>
      </c>
      <c r="AG63" s="126">
        <v>1</v>
      </c>
      <c r="AH63" s="126">
        <v>0</v>
      </c>
    </row>
    <row r="64" spans="3:34">
      <c r="C64" s="126">
        <v>57</v>
      </c>
      <c r="D64" s="126">
        <v>1</v>
      </c>
      <c r="E64" s="126">
        <v>1</v>
      </c>
      <c r="I64" s="126">
        <v>3</v>
      </c>
      <c r="J64" s="126">
        <v>33</v>
      </c>
      <c r="O64" s="126" t="s">
        <v>675</v>
      </c>
      <c r="P64" s="126" t="s">
        <v>759</v>
      </c>
      <c r="R64" s="126">
        <v>2</v>
      </c>
      <c r="S64" s="162">
        <v>46148</v>
      </c>
      <c r="T64" s="126">
        <v>185</v>
      </c>
      <c r="U64" s="206">
        <v>60</v>
      </c>
      <c r="V64" s="206">
        <v>5</v>
      </c>
      <c r="W64" s="206">
        <v>8</v>
      </c>
      <c r="X64" s="206">
        <v>0</v>
      </c>
      <c r="Y64" s="206">
        <v>0</v>
      </c>
      <c r="Z64" s="206">
        <v>0</v>
      </c>
      <c r="AA64" s="206">
        <v>8</v>
      </c>
      <c r="AB64" s="206">
        <v>0</v>
      </c>
      <c r="AC64" s="235">
        <v>46224.785381944443</v>
      </c>
      <c r="AE64" s="126">
        <v>0</v>
      </c>
      <c r="AF64" s="126">
        <v>0</v>
      </c>
      <c r="AG64" s="126">
        <v>1</v>
      </c>
      <c r="AH64" s="126">
        <v>0</v>
      </c>
    </row>
    <row r="65" spans="3:35">
      <c r="C65" s="126">
        <v>58</v>
      </c>
      <c r="D65" s="126">
        <v>1</v>
      </c>
      <c r="E65" s="126">
        <v>1</v>
      </c>
      <c r="I65" s="126">
        <v>3</v>
      </c>
      <c r="J65" s="126">
        <v>34</v>
      </c>
      <c r="O65" s="126" t="s">
        <v>675</v>
      </c>
      <c r="P65" s="126" t="s">
        <v>759</v>
      </c>
      <c r="R65" s="126">
        <v>2</v>
      </c>
      <c r="S65" s="162">
        <v>46148</v>
      </c>
      <c r="T65" s="126">
        <v>186</v>
      </c>
      <c r="U65" s="206">
        <v>36</v>
      </c>
      <c r="V65" s="206">
        <v>3</v>
      </c>
      <c r="W65" s="206">
        <v>12</v>
      </c>
      <c r="X65" s="206">
        <v>0</v>
      </c>
      <c r="Y65" s="206">
        <v>0</v>
      </c>
      <c r="Z65" s="206">
        <v>0</v>
      </c>
      <c r="AA65" s="206">
        <v>12</v>
      </c>
      <c r="AB65" s="206">
        <v>0</v>
      </c>
      <c r="AC65" s="235">
        <v>46224.785381944443</v>
      </c>
      <c r="AE65" s="126">
        <v>0</v>
      </c>
      <c r="AF65" s="126">
        <v>0</v>
      </c>
      <c r="AG65" s="126">
        <v>1</v>
      </c>
      <c r="AH65" s="126">
        <v>0</v>
      </c>
    </row>
    <row r="66" spans="3:35">
      <c r="C66" s="126">
        <v>59</v>
      </c>
      <c r="D66" s="126">
        <v>1</v>
      </c>
      <c r="E66" s="126">
        <v>1</v>
      </c>
      <c r="I66" s="126">
        <v>3</v>
      </c>
      <c r="J66" s="126">
        <v>35</v>
      </c>
      <c r="O66" s="126" t="s">
        <v>675</v>
      </c>
      <c r="P66" s="126" t="s">
        <v>759</v>
      </c>
      <c r="R66" s="126">
        <v>2</v>
      </c>
      <c r="S66" s="162">
        <v>46148</v>
      </c>
      <c r="T66" s="126">
        <v>187</v>
      </c>
      <c r="U66" s="206">
        <v>128</v>
      </c>
      <c r="V66" s="206">
        <v>32</v>
      </c>
      <c r="W66" s="206">
        <v>3.37</v>
      </c>
      <c r="X66" s="206">
        <v>0</v>
      </c>
      <c r="Y66" s="206">
        <v>0</v>
      </c>
      <c r="Z66" s="206">
        <v>0</v>
      </c>
      <c r="AA66" s="206">
        <v>3.37</v>
      </c>
      <c r="AB66" s="206">
        <v>0</v>
      </c>
      <c r="AC66" s="235">
        <v>46224.785381944443</v>
      </c>
      <c r="AE66" s="126">
        <v>0</v>
      </c>
      <c r="AF66" s="126">
        <v>0</v>
      </c>
      <c r="AG66" s="126">
        <v>1</v>
      </c>
      <c r="AH66" s="126">
        <v>0</v>
      </c>
    </row>
    <row r="67" spans="3:35">
      <c r="C67" s="126">
        <v>60</v>
      </c>
      <c r="D67" s="126">
        <v>1</v>
      </c>
      <c r="E67" s="126">
        <v>1</v>
      </c>
      <c r="I67" s="126">
        <v>3</v>
      </c>
      <c r="J67" s="126">
        <v>36</v>
      </c>
      <c r="O67" s="126" t="s">
        <v>675</v>
      </c>
      <c r="P67" s="126" t="s">
        <v>759</v>
      </c>
      <c r="R67" s="126">
        <v>2</v>
      </c>
      <c r="S67" s="162">
        <v>46148</v>
      </c>
      <c r="T67" s="126">
        <v>189</v>
      </c>
      <c r="U67" s="206">
        <v>52</v>
      </c>
      <c r="V67" s="206">
        <v>13</v>
      </c>
      <c r="W67" s="206">
        <v>4.09</v>
      </c>
      <c r="X67" s="206">
        <v>0</v>
      </c>
      <c r="Y67" s="206">
        <v>0</v>
      </c>
      <c r="Z67" s="206">
        <v>0</v>
      </c>
      <c r="AA67" s="206">
        <v>4.09</v>
      </c>
      <c r="AB67" s="206">
        <v>0</v>
      </c>
      <c r="AC67" s="235">
        <v>46224.785381944443</v>
      </c>
      <c r="AE67" s="126">
        <v>0</v>
      </c>
      <c r="AF67" s="126">
        <v>0</v>
      </c>
      <c r="AG67" s="126">
        <v>1</v>
      </c>
      <c r="AH67" s="126">
        <v>0</v>
      </c>
    </row>
    <row r="68" spans="3:35">
      <c r="C68" s="126">
        <v>61</v>
      </c>
      <c r="D68" s="126">
        <v>1</v>
      </c>
      <c r="E68" s="126">
        <v>1</v>
      </c>
      <c r="I68" s="126">
        <v>3</v>
      </c>
      <c r="J68" s="126">
        <v>37</v>
      </c>
      <c r="O68" s="126" t="s">
        <v>675</v>
      </c>
      <c r="P68" s="126" t="s">
        <v>759</v>
      </c>
      <c r="R68" s="126">
        <v>2</v>
      </c>
      <c r="S68" s="162">
        <v>46148</v>
      </c>
      <c r="T68" s="126">
        <v>191</v>
      </c>
      <c r="U68" s="206">
        <v>64</v>
      </c>
      <c r="V68" s="206">
        <v>16</v>
      </c>
      <c r="W68" s="206">
        <v>4.92</v>
      </c>
      <c r="X68" s="206">
        <v>0</v>
      </c>
      <c r="Y68" s="206">
        <v>0</v>
      </c>
      <c r="Z68" s="206">
        <v>0</v>
      </c>
      <c r="AA68" s="206">
        <v>4.92</v>
      </c>
      <c r="AB68" s="206">
        <v>0</v>
      </c>
      <c r="AC68" s="235">
        <v>46224.785381944443</v>
      </c>
      <c r="AE68" s="126">
        <v>0</v>
      </c>
      <c r="AF68" s="126">
        <v>0</v>
      </c>
      <c r="AG68" s="126">
        <v>1</v>
      </c>
      <c r="AH68" s="126">
        <v>0</v>
      </c>
    </row>
    <row r="69" spans="3:35">
      <c r="C69" s="126">
        <v>62</v>
      </c>
      <c r="D69" s="126">
        <v>1</v>
      </c>
      <c r="E69" s="126">
        <v>1</v>
      </c>
      <c r="I69" s="126">
        <v>3</v>
      </c>
      <c r="J69" s="126">
        <v>38</v>
      </c>
      <c r="O69" s="126" t="s">
        <v>675</v>
      </c>
      <c r="P69" s="126" t="s">
        <v>759</v>
      </c>
      <c r="R69" s="126">
        <v>2</v>
      </c>
      <c r="S69" s="162">
        <v>46148</v>
      </c>
      <c r="T69" s="126">
        <v>193</v>
      </c>
      <c r="U69" s="206">
        <v>60</v>
      </c>
      <c r="V69" s="206">
        <v>15</v>
      </c>
      <c r="W69" s="206">
        <v>3.88</v>
      </c>
      <c r="X69" s="206">
        <v>0</v>
      </c>
      <c r="Y69" s="206">
        <v>0</v>
      </c>
      <c r="Z69" s="206">
        <v>0</v>
      </c>
      <c r="AA69" s="206">
        <v>3.88</v>
      </c>
      <c r="AB69" s="206">
        <v>0</v>
      </c>
      <c r="AC69" s="235">
        <v>46224.785381944443</v>
      </c>
      <c r="AE69" s="126">
        <v>0</v>
      </c>
      <c r="AF69" s="126">
        <v>0</v>
      </c>
      <c r="AG69" s="126">
        <v>1</v>
      </c>
      <c r="AH69" s="126">
        <v>0</v>
      </c>
    </row>
    <row r="70" spans="3:35">
      <c r="C70" s="126">
        <v>63</v>
      </c>
      <c r="D70" s="126">
        <v>1</v>
      </c>
      <c r="E70" s="126">
        <v>1</v>
      </c>
      <c r="I70" s="126">
        <v>3</v>
      </c>
      <c r="J70" s="126">
        <v>39</v>
      </c>
      <c r="O70" s="126" t="s">
        <v>675</v>
      </c>
      <c r="P70" s="126" t="s">
        <v>759</v>
      </c>
      <c r="R70" s="126">
        <v>2</v>
      </c>
      <c r="S70" s="162">
        <v>46148</v>
      </c>
      <c r="T70" s="126">
        <v>195</v>
      </c>
      <c r="U70" s="206">
        <v>100</v>
      </c>
      <c r="V70" s="206">
        <v>25</v>
      </c>
      <c r="W70" s="206">
        <v>6.28</v>
      </c>
      <c r="X70" s="206">
        <v>0</v>
      </c>
      <c r="Y70" s="206">
        <v>0</v>
      </c>
      <c r="Z70" s="206">
        <v>0</v>
      </c>
      <c r="AA70" s="206">
        <v>6.28</v>
      </c>
      <c r="AB70" s="206">
        <v>0</v>
      </c>
      <c r="AC70" s="235">
        <v>46224.785381944443</v>
      </c>
      <c r="AE70" s="126">
        <v>0</v>
      </c>
      <c r="AF70" s="126">
        <v>0</v>
      </c>
      <c r="AG70" s="126">
        <v>1</v>
      </c>
      <c r="AH70" s="126">
        <v>0</v>
      </c>
    </row>
    <row r="71" spans="3:35">
      <c r="C71" s="126">
        <v>64</v>
      </c>
      <c r="D71" s="126">
        <v>1</v>
      </c>
      <c r="E71" s="126">
        <v>1</v>
      </c>
      <c r="I71" s="126">
        <v>3</v>
      </c>
      <c r="J71" s="126">
        <v>40</v>
      </c>
      <c r="O71" s="126" t="s">
        <v>675</v>
      </c>
      <c r="P71" s="126" t="s">
        <v>759</v>
      </c>
      <c r="R71" s="126">
        <v>2</v>
      </c>
      <c r="S71" s="162">
        <v>46148</v>
      </c>
      <c r="T71" s="126">
        <v>197</v>
      </c>
      <c r="U71" s="206">
        <v>72</v>
      </c>
      <c r="V71" s="206">
        <v>18</v>
      </c>
      <c r="W71" s="206">
        <v>8.36</v>
      </c>
      <c r="X71" s="206">
        <v>0</v>
      </c>
      <c r="Y71" s="206">
        <v>0</v>
      </c>
      <c r="Z71" s="206">
        <v>0</v>
      </c>
      <c r="AA71" s="206">
        <v>8.36</v>
      </c>
      <c r="AB71" s="206">
        <v>0</v>
      </c>
      <c r="AC71" s="235">
        <v>46224.785381944443</v>
      </c>
      <c r="AE71" s="126">
        <v>0</v>
      </c>
      <c r="AF71" s="126">
        <v>0</v>
      </c>
      <c r="AG71" s="126">
        <v>1</v>
      </c>
      <c r="AH71" s="126">
        <v>0</v>
      </c>
    </row>
    <row r="72" spans="3:35">
      <c r="C72" s="126">
        <v>65</v>
      </c>
      <c r="D72" s="126">
        <v>1</v>
      </c>
      <c r="E72" s="126">
        <v>1</v>
      </c>
      <c r="G72" s="126">
        <v>6</v>
      </c>
      <c r="O72" s="126" t="s">
        <v>549</v>
      </c>
      <c r="P72" s="126" t="s">
        <v>792</v>
      </c>
      <c r="Q72" s="126">
        <v>1</v>
      </c>
      <c r="S72" s="162">
        <v>46176</v>
      </c>
      <c r="T72" s="126">
        <v>176</v>
      </c>
      <c r="U72" s="206">
        <v>-500</v>
      </c>
      <c r="V72" s="206">
        <v>-0.5</v>
      </c>
      <c r="W72" s="206">
        <v>4.25</v>
      </c>
      <c r="X72" s="206">
        <v>0</v>
      </c>
      <c r="Y72" s="206">
        <v>0</v>
      </c>
      <c r="Z72" s="206">
        <v>0</v>
      </c>
      <c r="AA72" s="206">
        <v>4.25</v>
      </c>
      <c r="AB72" s="206">
        <v>0</v>
      </c>
      <c r="AC72" s="235">
        <v>46224.857037037036</v>
      </c>
      <c r="AE72" s="126">
        <v>0</v>
      </c>
      <c r="AF72" s="126">
        <v>0</v>
      </c>
      <c r="AG72" s="126">
        <v>1</v>
      </c>
      <c r="AH72" s="126">
        <v>0</v>
      </c>
      <c r="AI72" s="126">
        <v>1</v>
      </c>
    </row>
    <row r="73" spans="3:35">
      <c r="C73" s="126">
        <v>66</v>
      </c>
      <c r="D73" s="126">
        <v>1</v>
      </c>
      <c r="E73" s="126">
        <v>1</v>
      </c>
      <c r="G73" s="126">
        <v>6</v>
      </c>
      <c r="O73" s="126" t="s">
        <v>549</v>
      </c>
      <c r="P73" s="126" t="s">
        <v>792</v>
      </c>
      <c r="Q73" s="126">
        <v>1</v>
      </c>
      <c r="S73" s="162">
        <v>46176</v>
      </c>
      <c r="T73" s="126">
        <v>142</v>
      </c>
      <c r="U73" s="206">
        <v>-1</v>
      </c>
      <c r="V73" s="206">
        <v>-8.3333333333333329E-2</v>
      </c>
      <c r="W73" s="206">
        <v>0.34</v>
      </c>
      <c r="X73" s="206">
        <v>0</v>
      </c>
      <c r="Y73" s="206">
        <v>0</v>
      </c>
      <c r="Z73" s="206">
        <v>0</v>
      </c>
      <c r="AA73" s="206">
        <v>0.34</v>
      </c>
      <c r="AB73" s="206">
        <v>0</v>
      </c>
      <c r="AC73" s="235">
        <v>46224.857037037036</v>
      </c>
      <c r="AE73" s="126">
        <v>0</v>
      </c>
      <c r="AF73" s="126">
        <v>0</v>
      </c>
      <c r="AG73" s="126">
        <v>1</v>
      </c>
      <c r="AH73" s="126">
        <v>0</v>
      </c>
      <c r="AI73" s="126">
        <v>1</v>
      </c>
    </row>
    <row r="74" spans="3:35">
      <c r="C74" s="126">
        <v>67</v>
      </c>
      <c r="D74" s="126">
        <v>1</v>
      </c>
      <c r="E74" s="126">
        <v>1</v>
      </c>
      <c r="G74" s="126">
        <v>6</v>
      </c>
      <c r="O74" s="126" t="s">
        <v>549</v>
      </c>
      <c r="P74" s="126" t="s">
        <v>792</v>
      </c>
      <c r="Q74" s="126">
        <v>1</v>
      </c>
      <c r="S74" s="162">
        <v>46176</v>
      </c>
      <c r="T74" s="126">
        <v>50</v>
      </c>
      <c r="U74" s="206">
        <v>-4</v>
      </c>
      <c r="V74" s="206">
        <v>-4</v>
      </c>
      <c r="W74" s="206">
        <v>0.12</v>
      </c>
      <c r="X74" s="206">
        <v>0</v>
      </c>
      <c r="Y74" s="206">
        <v>0</v>
      </c>
      <c r="Z74" s="206">
        <v>0</v>
      </c>
      <c r="AA74" s="206">
        <v>0.12</v>
      </c>
      <c r="AB74" s="206">
        <v>0</v>
      </c>
      <c r="AC74" s="235">
        <v>46224.857037037036</v>
      </c>
      <c r="AE74" s="126">
        <v>0</v>
      </c>
      <c r="AF74" s="126">
        <v>0</v>
      </c>
      <c r="AG74" s="126">
        <v>1</v>
      </c>
      <c r="AH74" s="126">
        <v>0</v>
      </c>
      <c r="AI74" s="126">
        <v>1</v>
      </c>
    </row>
    <row r="75" spans="3:35">
      <c r="C75" s="126">
        <v>68</v>
      </c>
      <c r="D75" s="126">
        <v>1</v>
      </c>
      <c r="E75" s="126">
        <v>1</v>
      </c>
      <c r="G75" s="126">
        <v>6</v>
      </c>
      <c r="O75" s="126" t="s">
        <v>549</v>
      </c>
      <c r="P75" s="126" t="s">
        <v>792</v>
      </c>
      <c r="Q75" s="126">
        <v>1</v>
      </c>
      <c r="S75" s="162">
        <v>46176</v>
      </c>
      <c r="T75" s="126">
        <v>41</v>
      </c>
      <c r="U75" s="206">
        <v>-2</v>
      </c>
      <c r="V75" s="206">
        <v>-2</v>
      </c>
      <c r="W75" s="206">
        <v>0.53</v>
      </c>
      <c r="X75" s="206">
        <v>0</v>
      </c>
      <c r="Y75" s="206">
        <v>0</v>
      </c>
      <c r="Z75" s="206">
        <v>0</v>
      </c>
      <c r="AA75" s="206">
        <v>0.53</v>
      </c>
      <c r="AB75" s="206">
        <v>0</v>
      </c>
      <c r="AC75" s="235">
        <v>46224.857037037036</v>
      </c>
      <c r="AE75" s="126">
        <v>0</v>
      </c>
      <c r="AF75" s="126">
        <v>0</v>
      </c>
      <c r="AG75" s="126">
        <v>1</v>
      </c>
      <c r="AH75" s="126">
        <v>0</v>
      </c>
      <c r="AI75" s="126">
        <v>1</v>
      </c>
    </row>
    <row r="76" spans="3:35">
      <c r="C76" s="126">
        <v>69</v>
      </c>
      <c r="D76" s="126">
        <v>1</v>
      </c>
      <c r="E76" s="126">
        <v>1</v>
      </c>
      <c r="G76" s="126">
        <v>6</v>
      </c>
      <c r="O76" s="126" t="s">
        <v>549</v>
      </c>
      <c r="P76" s="126" t="s">
        <v>792</v>
      </c>
      <c r="Q76" s="126">
        <v>1</v>
      </c>
      <c r="S76" s="162">
        <v>46176</v>
      </c>
      <c r="T76" s="126">
        <v>49</v>
      </c>
      <c r="U76" s="206">
        <v>-1</v>
      </c>
      <c r="V76" s="206">
        <v>-1</v>
      </c>
      <c r="W76" s="206">
        <v>0.28000000000000003</v>
      </c>
      <c r="X76" s="206">
        <v>0</v>
      </c>
      <c r="Y76" s="206">
        <v>0</v>
      </c>
      <c r="Z76" s="206">
        <v>0</v>
      </c>
      <c r="AA76" s="206">
        <v>0.28000000000000003</v>
      </c>
      <c r="AB76" s="206">
        <v>0</v>
      </c>
      <c r="AC76" s="235">
        <v>46224.857037037036</v>
      </c>
      <c r="AE76" s="126">
        <v>0</v>
      </c>
      <c r="AF76" s="126">
        <v>0</v>
      </c>
      <c r="AG76" s="126">
        <v>1</v>
      </c>
      <c r="AH76" s="126">
        <v>0</v>
      </c>
      <c r="AI76" s="126">
        <v>1</v>
      </c>
    </row>
    <row r="77" spans="3:35">
      <c r="C77" s="126">
        <v>70</v>
      </c>
      <c r="D77" s="126">
        <v>1</v>
      </c>
      <c r="E77" s="126">
        <v>1</v>
      </c>
      <c r="G77" s="126">
        <v>6</v>
      </c>
      <c r="O77" s="126" t="s">
        <v>549</v>
      </c>
      <c r="P77" s="126" t="s">
        <v>792</v>
      </c>
      <c r="Q77" s="126">
        <v>1</v>
      </c>
      <c r="S77" s="162">
        <v>46176</v>
      </c>
      <c r="T77" s="126">
        <v>7</v>
      </c>
      <c r="U77" s="206">
        <v>-1</v>
      </c>
      <c r="V77" s="206">
        <v>-1</v>
      </c>
      <c r="W77" s="206">
        <v>1.79</v>
      </c>
      <c r="X77" s="206">
        <v>0</v>
      </c>
      <c r="Y77" s="206">
        <v>0</v>
      </c>
      <c r="Z77" s="206">
        <v>0</v>
      </c>
      <c r="AA77" s="206">
        <v>1.79</v>
      </c>
      <c r="AB77" s="206">
        <v>0</v>
      </c>
      <c r="AC77" s="235">
        <v>46224.857037037036</v>
      </c>
      <c r="AE77" s="126">
        <v>0</v>
      </c>
      <c r="AF77" s="126">
        <v>0</v>
      </c>
      <c r="AG77" s="126">
        <v>1</v>
      </c>
      <c r="AH77" s="126">
        <v>0</v>
      </c>
      <c r="AI77" s="126">
        <v>1</v>
      </c>
    </row>
    <row r="78" spans="3:35">
      <c r="C78" s="126">
        <v>71</v>
      </c>
      <c r="D78" s="126">
        <v>1</v>
      </c>
      <c r="E78" s="126">
        <v>1</v>
      </c>
      <c r="G78" s="126">
        <v>6</v>
      </c>
      <c r="O78" s="126" t="s">
        <v>549</v>
      </c>
      <c r="P78" s="126" t="s">
        <v>792</v>
      </c>
      <c r="Q78" s="126">
        <v>1</v>
      </c>
      <c r="S78" s="162">
        <v>46176</v>
      </c>
      <c r="T78" s="126">
        <v>145</v>
      </c>
      <c r="U78" s="206">
        <v>-2</v>
      </c>
      <c r="V78" s="206">
        <v>-0.16666666666666666</v>
      </c>
      <c r="W78" s="206">
        <v>0.28999999999999998</v>
      </c>
      <c r="X78" s="206">
        <v>0</v>
      </c>
      <c r="Y78" s="206">
        <v>0</v>
      </c>
      <c r="Z78" s="206">
        <v>0</v>
      </c>
      <c r="AA78" s="206">
        <v>0.28999999999999998</v>
      </c>
      <c r="AB78" s="206">
        <v>0</v>
      </c>
      <c r="AC78" s="235">
        <v>46224.857037037036</v>
      </c>
      <c r="AE78" s="126">
        <v>0</v>
      </c>
      <c r="AF78" s="126">
        <v>0</v>
      </c>
      <c r="AG78" s="126">
        <v>1</v>
      </c>
      <c r="AH78" s="126">
        <v>0</v>
      </c>
      <c r="AI78" s="126">
        <v>1</v>
      </c>
    </row>
    <row r="79" spans="3:35">
      <c r="C79" s="126">
        <v>72</v>
      </c>
      <c r="D79" s="126">
        <v>1</v>
      </c>
      <c r="E79" s="126">
        <v>1</v>
      </c>
      <c r="G79" s="126">
        <v>7</v>
      </c>
      <c r="O79" s="126" t="s">
        <v>549</v>
      </c>
      <c r="P79" s="126" t="s">
        <v>828</v>
      </c>
      <c r="Q79" s="126">
        <v>1</v>
      </c>
      <c r="S79" s="162">
        <v>46176</v>
      </c>
      <c r="T79" s="126">
        <v>163</v>
      </c>
      <c r="U79" s="206">
        <v>-4</v>
      </c>
      <c r="V79" s="206">
        <v>-1</v>
      </c>
      <c r="W79" s="206">
        <v>12.75</v>
      </c>
      <c r="X79" s="206">
        <v>0</v>
      </c>
      <c r="Y79" s="206">
        <v>0</v>
      </c>
      <c r="Z79" s="206">
        <v>0</v>
      </c>
      <c r="AA79" s="206">
        <v>12.75</v>
      </c>
      <c r="AB79" s="206">
        <v>0</v>
      </c>
      <c r="AC79" s="235">
        <v>46224.890914351854</v>
      </c>
      <c r="AE79" s="126">
        <v>0</v>
      </c>
      <c r="AF79" s="126">
        <v>0</v>
      </c>
      <c r="AG79" s="126">
        <v>1</v>
      </c>
      <c r="AH79" s="126">
        <v>0</v>
      </c>
      <c r="AI79" s="126">
        <v>1</v>
      </c>
    </row>
    <row r="80" spans="3:35">
      <c r="C80" s="126">
        <v>73</v>
      </c>
      <c r="D80" s="126">
        <v>1</v>
      </c>
      <c r="E80" s="126">
        <v>1</v>
      </c>
      <c r="G80" s="126">
        <v>8</v>
      </c>
      <c r="O80" s="126" t="s">
        <v>549</v>
      </c>
      <c r="P80" s="126" t="s">
        <v>834</v>
      </c>
      <c r="Q80" s="126">
        <v>1</v>
      </c>
      <c r="S80" s="162">
        <v>46177</v>
      </c>
      <c r="T80" s="126">
        <v>177</v>
      </c>
      <c r="U80" s="206">
        <v>-250</v>
      </c>
      <c r="V80" s="206">
        <v>-0.25</v>
      </c>
      <c r="W80" s="206">
        <v>4.1500000000000004</v>
      </c>
      <c r="X80" s="206">
        <v>0</v>
      </c>
      <c r="Y80" s="206">
        <v>0</v>
      </c>
      <c r="Z80" s="206">
        <v>0</v>
      </c>
      <c r="AA80" s="206">
        <v>4.1500000000000004</v>
      </c>
      <c r="AB80" s="206">
        <v>0</v>
      </c>
      <c r="AC80" s="235">
        <v>46225.027615740742</v>
      </c>
      <c r="AE80" s="126">
        <v>0</v>
      </c>
      <c r="AF80" s="126">
        <v>0</v>
      </c>
      <c r="AG80" s="126">
        <v>1</v>
      </c>
      <c r="AH80" s="126">
        <v>0</v>
      </c>
      <c r="AI80" s="126">
        <v>1</v>
      </c>
    </row>
    <row r="81" spans="3:35">
      <c r="C81" s="126">
        <v>74</v>
      </c>
      <c r="D81" s="126">
        <v>1</v>
      </c>
      <c r="E81" s="126">
        <v>1</v>
      </c>
      <c r="G81" s="126">
        <v>8</v>
      </c>
      <c r="O81" s="126" t="s">
        <v>549</v>
      </c>
      <c r="P81" s="126" t="s">
        <v>834</v>
      </c>
      <c r="Q81" s="126">
        <v>1</v>
      </c>
      <c r="S81" s="162">
        <v>46177</v>
      </c>
      <c r="T81" s="126">
        <v>179</v>
      </c>
      <c r="U81" s="206">
        <v>-250</v>
      </c>
      <c r="V81" s="206">
        <v>-0.25</v>
      </c>
      <c r="W81" s="206">
        <v>4.75</v>
      </c>
      <c r="X81" s="206">
        <v>0</v>
      </c>
      <c r="Y81" s="206">
        <v>0</v>
      </c>
      <c r="Z81" s="206">
        <v>0</v>
      </c>
      <c r="AA81" s="206">
        <v>4.75</v>
      </c>
      <c r="AB81" s="206">
        <v>0</v>
      </c>
      <c r="AC81" s="235">
        <v>46225.027615740742</v>
      </c>
      <c r="AE81" s="126">
        <v>0</v>
      </c>
      <c r="AF81" s="126">
        <v>0</v>
      </c>
      <c r="AG81" s="126">
        <v>1</v>
      </c>
      <c r="AH81" s="126">
        <v>0</v>
      </c>
      <c r="AI81" s="126">
        <v>1</v>
      </c>
    </row>
    <row r="82" spans="3:35">
      <c r="C82" s="126">
        <v>75</v>
      </c>
      <c r="D82" s="126">
        <v>1</v>
      </c>
      <c r="E82" s="126">
        <v>1</v>
      </c>
      <c r="G82" s="126">
        <v>8</v>
      </c>
      <c r="O82" s="126" t="s">
        <v>549</v>
      </c>
      <c r="P82" s="126" t="s">
        <v>834</v>
      </c>
      <c r="Q82" s="126">
        <v>1</v>
      </c>
      <c r="S82" s="162">
        <v>46177</v>
      </c>
      <c r="T82" s="126">
        <v>11</v>
      </c>
      <c r="U82" s="206">
        <v>-2</v>
      </c>
      <c r="V82" s="206">
        <v>-2</v>
      </c>
      <c r="W82" s="206">
        <v>9.52</v>
      </c>
      <c r="X82" s="206">
        <v>0</v>
      </c>
      <c r="Y82" s="206">
        <v>0</v>
      </c>
      <c r="Z82" s="206">
        <v>0</v>
      </c>
      <c r="AA82" s="206">
        <v>9.52</v>
      </c>
      <c r="AB82" s="206">
        <v>0</v>
      </c>
      <c r="AC82" s="235">
        <v>46225.027615740742</v>
      </c>
      <c r="AE82" s="126">
        <v>0</v>
      </c>
      <c r="AF82" s="126">
        <v>0</v>
      </c>
      <c r="AG82" s="126">
        <v>1</v>
      </c>
      <c r="AH82" s="126">
        <v>0</v>
      </c>
      <c r="AI82" s="126">
        <v>1</v>
      </c>
    </row>
    <row r="83" spans="3:35">
      <c r="C83" s="126">
        <v>76</v>
      </c>
      <c r="D83" s="126">
        <v>1</v>
      </c>
      <c r="E83" s="126">
        <v>1</v>
      </c>
      <c r="G83" s="126">
        <v>8</v>
      </c>
      <c r="O83" s="126" t="s">
        <v>549</v>
      </c>
      <c r="P83" s="126" t="s">
        <v>834</v>
      </c>
      <c r="Q83" s="126">
        <v>1</v>
      </c>
      <c r="S83" s="162">
        <v>46177</v>
      </c>
      <c r="T83" s="126">
        <v>18</v>
      </c>
      <c r="U83" s="206">
        <v>-10</v>
      </c>
      <c r="V83" s="206">
        <v>-10</v>
      </c>
      <c r="W83" s="206">
        <v>1.35</v>
      </c>
      <c r="X83" s="206">
        <v>0</v>
      </c>
      <c r="Y83" s="206">
        <v>0</v>
      </c>
      <c r="Z83" s="206">
        <v>0</v>
      </c>
      <c r="AA83" s="206">
        <v>1.35</v>
      </c>
      <c r="AB83" s="206">
        <v>0</v>
      </c>
      <c r="AC83" s="235">
        <v>46225.027615740742</v>
      </c>
      <c r="AE83" s="126">
        <v>0</v>
      </c>
      <c r="AF83" s="126">
        <v>0</v>
      </c>
      <c r="AG83" s="126">
        <v>1</v>
      </c>
      <c r="AH83" s="126">
        <v>0</v>
      </c>
      <c r="AI83" s="126">
        <v>1</v>
      </c>
    </row>
    <row r="84" spans="3:35">
      <c r="C84" s="126">
        <v>77</v>
      </c>
      <c r="D84" s="126">
        <v>1</v>
      </c>
      <c r="E84" s="126">
        <v>1</v>
      </c>
      <c r="G84" s="126">
        <v>9</v>
      </c>
      <c r="O84" s="126" t="s">
        <v>549</v>
      </c>
      <c r="P84" s="126" t="s">
        <v>849</v>
      </c>
      <c r="Q84" s="126">
        <v>1</v>
      </c>
      <c r="S84" s="162">
        <v>46177</v>
      </c>
      <c r="T84" s="126">
        <v>195</v>
      </c>
      <c r="U84" s="206">
        <v>-8</v>
      </c>
      <c r="V84" s="206">
        <v>-2</v>
      </c>
      <c r="W84" s="206">
        <v>6.28</v>
      </c>
      <c r="X84" s="206">
        <v>0</v>
      </c>
      <c r="Y84" s="206">
        <v>0</v>
      </c>
      <c r="Z84" s="206">
        <v>0</v>
      </c>
      <c r="AA84" s="206">
        <v>6.28</v>
      </c>
      <c r="AB84" s="206">
        <v>0</v>
      </c>
      <c r="AC84" s="235">
        <v>46225.055312500001</v>
      </c>
      <c r="AE84" s="126">
        <v>0</v>
      </c>
      <c r="AF84" s="126">
        <v>0</v>
      </c>
      <c r="AG84" s="126">
        <v>1</v>
      </c>
      <c r="AH84" s="126">
        <v>0</v>
      </c>
      <c r="AI84" s="126">
        <v>1</v>
      </c>
    </row>
    <row r="85" spans="3:35">
      <c r="C85" s="126">
        <v>78</v>
      </c>
      <c r="D85" s="126">
        <v>1</v>
      </c>
      <c r="E85" s="126">
        <v>1</v>
      </c>
      <c r="G85" s="126">
        <v>9</v>
      </c>
      <c r="O85" s="126" t="s">
        <v>549</v>
      </c>
      <c r="P85" s="126" t="s">
        <v>849</v>
      </c>
      <c r="Q85" s="126">
        <v>1</v>
      </c>
      <c r="S85" s="162">
        <v>46177</v>
      </c>
      <c r="T85" s="126">
        <v>11</v>
      </c>
      <c r="U85" s="206">
        <v>-4</v>
      </c>
      <c r="V85" s="206">
        <v>-4</v>
      </c>
      <c r="W85" s="206">
        <v>9.52</v>
      </c>
      <c r="X85" s="206">
        <v>0</v>
      </c>
      <c r="Y85" s="206">
        <v>0</v>
      </c>
      <c r="Z85" s="206">
        <v>0</v>
      </c>
      <c r="AA85" s="206">
        <v>9.52</v>
      </c>
      <c r="AB85" s="206">
        <v>0</v>
      </c>
      <c r="AC85" s="235">
        <v>46225.055312500001</v>
      </c>
      <c r="AE85" s="126">
        <v>0</v>
      </c>
      <c r="AF85" s="126">
        <v>0</v>
      </c>
      <c r="AG85" s="126">
        <v>1</v>
      </c>
      <c r="AH85" s="126">
        <v>0</v>
      </c>
      <c r="AI85" s="126">
        <v>1</v>
      </c>
    </row>
    <row r="86" spans="3:35">
      <c r="C86" s="126">
        <v>79</v>
      </c>
      <c r="D86" s="126">
        <v>1</v>
      </c>
      <c r="E86" s="126">
        <v>1</v>
      </c>
      <c r="G86" s="126">
        <v>10</v>
      </c>
      <c r="O86" s="126" t="s">
        <v>549</v>
      </c>
      <c r="P86" s="126" t="s">
        <v>866</v>
      </c>
      <c r="Q86" s="126">
        <v>1</v>
      </c>
      <c r="S86" s="162">
        <v>46177</v>
      </c>
      <c r="T86" s="126">
        <v>102</v>
      </c>
      <c r="U86" s="206">
        <v>-1</v>
      </c>
      <c r="V86" s="206">
        <v>-4.1666666666666664E-2</v>
      </c>
      <c r="W86" s="206">
        <v>4.5</v>
      </c>
      <c r="X86" s="206">
        <v>0</v>
      </c>
      <c r="Y86" s="206">
        <v>0</v>
      </c>
      <c r="Z86" s="206">
        <v>0</v>
      </c>
      <c r="AA86" s="206">
        <v>4.5</v>
      </c>
      <c r="AB86" s="206">
        <v>0</v>
      </c>
      <c r="AC86" s="235">
        <v>46225.08792824074</v>
      </c>
      <c r="AE86" s="126">
        <v>0</v>
      </c>
      <c r="AF86" s="126">
        <v>0</v>
      </c>
      <c r="AG86" s="126">
        <v>1</v>
      </c>
      <c r="AH86" s="126">
        <v>0</v>
      </c>
      <c r="AI86" s="126">
        <v>1</v>
      </c>
    </row>
    <row r="87" spans="3:35">
      <c r="C87" s="126">
        <v>80</v>
      </c>
      <c r="D87" s="126">
        <v>1</v>
      </c>
      <c r="E87" s="126">
        <v>1</v>
      </c>
      <c r="G87" s="126">
        <v>10</v>
      </c>
      <c r="O87" s="126" t="s">
        <v>549</v>
      </c>
      <c r="P87" s="126" t="s">
        <v>866</v>
      </c>
      <c r="Q87" s="126">
        <v>1</v>
      </c>
      <c r="S87" s="162">
        <v>46177</v>
      </c>
      <c r="T87" s="126">
        <v>185</v>
      </c>
      <c r="U87" s="206">
        <v>-72</v>
      </c>
      <c r="V87" s="206">
        <v>-6</v>
      </c>
      <c r="W87" s="206">
        <v>8</v>
      </c>
      <c r="X87" s="206">
        <v>0</v>
      </c>
      <c r="Y87" s="206">
        <v>0</v>
      </c>
      <c r="Z87" s="206">
        <v>0</v>
      </c>
      <c r="AA87" s="206">
        <v>8</v>
      </c>
      <c r="AB87" s="206">
        <v>0</v>
      </c>
      <c r="AC87" s="235">
        <v>46225.08792824074</v>
      </c>
      <c r="AE87" s="126">
        <v>0</v>
      </c>
      <c r="AF87" s="126">
        <v>0</v>
      </c>
      <c r="AG87" s="126">
        <v>1</v>
      </c>
      <c r="AH87" s="126">
        <v>0</v>
      </c>
      <c r="AI87" s="126">
        <v>1</v>
      </c>
    </row>
    <row r="88" spans="3:35">
      <c r="C88" s="126">
        <v>81</v>
      </c>
      <c r="D88" s="126">
        <v>1</v>
      </c>
      <c r="E88" s="126">
        <v>1</v>
      </c>
      <c r="G88" s="126">
        <v>11</v>
      </c>
      <c r="O88" s="126" t="s">
        <v>549</v>
      </c>
      <c r="P88" s="126" t="s">
        <v>875</v>
      </c>
      <c r="Q88" s="126">
        <v>1</v>
      </c>
      <c r="S88" s="162">
        <v>46178</v>
      </c>
      <c r="T88" s="126">
        <v>176</v>
      </c>
      <c r="U88" s="206">
        <v>-500</v>
      </c>
      <c r="V88" s="206">
        <v>-0.5</v>
      </c>
      <c r="W88" s="206">
        <v>4.25</v>
      </c>
      <c r="X88" s="206">
        <v>0</v>
      </c>
      <c r="Y88" s="206">
        <v>0</v>
      </c>
      <c r="Z88" s="206">
        <v>0</v>
      </c>
      <c r="AA88" s="206">
        <v>4.25</v>
      </c>
      <c r="AB88" s="206">
        <v>0</v>
      </c>
      <c r="AC88" s="235">
        <v>46225.101134259261</v>
      </c>
      <c r="AE88" s="126">
        <v>0</v>
      </c>
      <c r="AF88" s="126">
        <v>0</v>
      </c>
      <c r="AG88" s="126">
        <v>1</v>
      </c>
      <c r="AH88" s="126">
        <v>0</v>
      </c>
      <c r="AI88" s="126">
        <v>1</v>
      </c>
    </row>
    <row r="89" spans="3:35">
      <c r="C89" s="126">
        <v>82</v>
      </c>
      <c r="D89" s="126">
        <v>1</v>
      </c>
      <c r="E89" s="126">
        <v>1</v>
      </c>
      <c r="G89" s="126">
        <v>12</v>
      </c>
      <c r="O89" s="126" t="s">
        <v>549</v>
      </c>
      <c r="P89" s="126" t="s">
        <v>881</v>
      </c>
      <c r="Q89" s="126">
        <v>1</v>
      </c>
      <c r="S89" s="162">
        <v>46178</v>
      </c>
      <c r="T89" s="126">
        <v>99</v>
      </c>
      <c r="U89" s="206">
        <v>-1</v>
      </c>
      <c r="V89" s="206">
        <v>-0.05</v>
      </c>
      <c r="W89" s="206">
        <v>0.24</v>
      </c>
      <c r="X89" s="206">
        <v>0</v>
      </c>
      <c r="Y89" s="206">
        <v>0</v>
      </c>
      <c r="Z89" s="206">
        <v>0</v>
      </c>
      <c r="AA89" s="206">
        <v>0.24</v>
      </c>
      <c r="AB89" s="206">
        <v>0</v>
      </c>
      <c r="AC89" s="235">
        <v>46225.352233796293</v>
      </c>
      <c r="AE89" s="126">
        <v>0</v>
      </c>
      <c r="AF89" s="126">
        <v>0</v>
      </c>
      <c r="AG89" s="126">
        <v>1</v>
      </c>
      <c r="AH89" s="126">
        <v>0</v>
      </c>
      <c r="AI89" s="126">
        <v>1</v>
      </c>
    </row>
    <row r="90" spans="3:35">
      <c r="C90" s="126">
        <v>83</v>
      </c>
      <c r="D90" s="126">
        <v>1</v>
      </c>
      <c r="E90" s="126">
        <v>1</v>
      </c>
      <c r="G90" s="126">
        <v>12</v>
      </c>
      <c r="O90" s="126" t="s">
        <v>549</v>
      </c>
      <c r="P90" s="126" t="s">
        <v>881</v>
      </c>
      <c r="Q90" s="126">
        <v>1</v>
      </c>
      <c r="S90" s="162">
        <v>46178</v>
      </c>
      <c r="T90" s="126">
        <v>14</v>
      </c>
      <c r="U90" s="206">
        <v>-1</v>
      </c>
      <c r="V90" s="206">
        <v>-1</v>
      </c>
      <c r="W90" s="206">
        <v>3.3</v>
      </c>
      <c r="X90" s="206">
        <v>0</v>
      </c>
      <c r="Y90" s="206">
        <v>0</v>
      </c>
      <c r="Z90" s="206">
        <v>0</v>
      </c>
      <c r="AA90" s="206">
        <v>3.3</v>
      </c>
      <c r="AB90" s="206">
        <v>0</v>
      </c>
      <c r="AC90" s="235">
        <v>46225.352233796293</v>
      </c>
      <c r="AE90" s="126">
        <v>0</v>
      </c>
      <c r="AF90" s="126">
        <v>0</v>
      </c>
      <c r="AG90" s="126">
        <v>1</v>
      </c>
      <c r="AH90" s="126">
        <v>0</v>
      </c>
      <c r="AI90" s="126">
        <v>1</v>
      </c>
    </row>
    <row r="91" spans="3:35">
      <c r="C91" s="126">
        <v>84</v>
      </c>
      <c r="D91" s="126">
        <v>1</v>
      </c>
      <c r="E91" s="126">
        <v>1</v>
      </c>
      <c r="G91" s="126">
        <v>12</v>
      </c>
      <c r="O91" s="126" t="s">
        <v>549</v>
      </c>
      <c r="P91" s="126" t="s">
        <v>881</v>
      </c>
      <c r="Q91" s="126">
        <v>1</v>
      </c>
      <c r="S91" s="162">
        <v>46178</v>
      </c>
      <c r="T91" s="126">
        <v>182</v>
      </c>
      <c r="U91" s="206">
        <v>-12</v>
      </c>
      <c r="V91" s="206">
        <v>-1</v>
      </c>
      <c r="W91" s="206">
        <v>2</v>
      </c>
      <c r="X91" s="206">
        <v>0</v>
      </c>
      <c r="Y91" s="206">
        <v>0</v>
      </c>
      <c r="Z91" s="206">
        <v>0</v>
      </c>
      <c r="AA91" s="206">
        <v>2</v>
      </c>
      <c r="AB91" s="206">
        <v>0</v>
      </c>
      <c r="AC91" s="235">
        <v>46225.352233796293</v>
      </c>
      <c r="AE91" s="126">
        <v>0</v>
      </c>
      <c r="AF91" s="126">
        <v>0</v>
      </c>
      <c r="AG91" s="126">
        <v>1</v>
      </c>
      <c r="AH91" s="126">
        <v>0</v>
      </c>
      <c r="AI91" s="126">
        <v>1</v>
      </c>
    </row>
    <row r="92" spans="3:35">
      <c r="C92" s="126">
        <v>85</v>
      </c>
      <c r="D92" s="126">
        <v>1</v>
      </c>
      <c r="E92" s="126">
        <v>1</v>
      </c>
      <c r="G92" s="126">
        <v>12</v>
      </c>
      <c r="O92" s="126" t="s">
        <v>549</v>
      </c>
      <c r="P92" s="126" t="s">
        <v>881</v>
      </c>
      <c r="Q92" s="126">
        <v>1</v>
      </c>
      <c r="S92" s="162">
        <v>46178</v>
      </c>
      <c r="T92" s="126">
        <v>160</v>
      </c>
      <c r="U92" s="206">
        <v>-2</v>
      </c>
      <c r="V92" s="206">
        <v>-0.5</v>
      </c>
      <c r="W92" s="206">
        <v>11.75</v>
      </c>
      <c r="X92" s="206">
        <v>0</v>
      </c>
      <c r="Y92" s="206">
        <v>0</v>
      </c>
      <c r="Z92" s="206">
        <v>0</v>
      </c>
      <c r="AA92" s="206">
        <v>11.75</v>
      </c>
      <c r="AB92" s="206">
        <v>0</v>
      </c>
      <c r="AC92" s="235">
        <v>46225.352233796293</v>
      </c>
      <c r="AE92" s="126">
        <v>0</v>
      </c>
      <c r="AF92" s="126">
        <v>0</v>
      </c>
      <c r="AG92" s="126">
        <v>1</v>
      </c>
      <c r="AH92" s="126">
        <v>0</v>
      </c>
      <c r="AI92" s="126">
        <v>1</v>
      </c>
    </row>
    <row r="93" spans="3:35">
      <c r="C93" s="126">
        <v>86</v>
      </c>
      <c r="D93" s="126">
        <v>1</v>
      </c>
      <c r="E93" s="126">
        <v>1</v>
      </c>
      <c r="G93" s="126">
        <v>12</v>
      </c>
      <c r="O93" s="126" t="s">
        <v>549</v>
      </c>
      <c r="P93" s="126" t="s">
        <v>881</v>
      </c>
      <c r="Q93" s="126">
        <v>1</v>
      </c>
      <c r="S93" s="162">
        <v>46178</v>
      </c>
      <c r="T93" s="126">
        <v>46</v>
      </c>
      <c r="U93" s="206">
        <v>-1</v>
      </c>
      <c r="V93" s="206">
        <v>-1</v>
      </c>
      <c r="W93" s="206">
        <v>0.15</v>
      </c>
      <c r="X93" s="206">
        <v>0</v>
      </c>
      <c r="Y93" s="206">
        <v>0</v>
      </c>
      <c r="Z93" s="206">
        <v>0</v>
      </c>
      <c r="AA93" s="206">
        <v>0.15</v>
      </c>
      <c r="AB93" s="206">
        <v>0</v>
      </c>
      <c r="AC93" s="235">
        <v>46225.352233796293</v>
      </c>
      <c r="AE93" s="126">
        <v>0</v>
      </c>
      <c r="AF93" s="126">
        <v>0</v>
      </c>
      <c r="AG93" s="126">
        <v>1</v>
      </c>
      <c r="AH93" s="126">
        <v>0</v>
      </c>
      <c r="AI93" s="126">
        <v>1</v>
      </c>
    </row>
    <row r="94" spans="3:35">
      <c r="C94" s="126">
        <v>87</v>
      </c>
      <c r="D94" s="126">
        <v>1</v>
      </c>
      <c r="E94" s="126">
        <v>1</v>
      </c>
      <c r="G94" s="126">
        <v>12</v>
      </c>
      <c r="O94" s="126" t="s">
        <v>549</v>
      </c>
      <c r="P94" s="126" t="s">
        <v>881</v>
      </c>
      <c r="Q94" s="126">
        <v>1</v>
      </c>
      <c r="S94" s="162">
        <v>46178</v>
      </c>
      <c r="T94" s="126">
        <v>97</v>
      </c>
      <c r="U94" s="206">
        <v>-2</v>
      </c>
      <c r="V94" s="206">
        <v>-0.16666666666666666</v>
      </c>
      <c r="W94" s="206">
        <v>0.3</v>
      </c>
      <c r="X94" s="206">
        <v>0</v>
      </c>
      <c r="Y94" s="206">
        <v>0</v>
      </c>
      <c r="Z94" s="206">
        <v>0</v>
      </c>
      <c r="AA94" s="206">
        <v>0.3</v>
      </c>
      <c r="AB94" s="206">
        <v>0</v>
      </c>
      <c r="AC94" s="235">
        <v>46225.352233796293</v>
      </c>
      <c r="AE94" s="126">
        <v>0</v>
      </c>
      <c r="AF94" s="126">
        <v>0</v>
      </c>
      <c r="AG94" s="126">
        <v>1</v>
      </c>
      <c r="AH94" s="126">
        <v>0</v>
      </c>
      <c r="AI94" s="126">
        <v>1</v>
      </c>
    </row>
    <row r="95" spans="3:35">
      <c r="C95" s="126">
        <v>88</v>
      </c>
      <c r="D95" s="126">
        <v>1</v>
      </c>
      <c r="E95" s="126">
        <v>1</v>
      </c>
      <c r="G95" s="126">
        <v>12</v>
      </c>
      <c r="O95" s="126" t="s">
        <v>549</v>
      </c>
      <c r="P95" s="126" t="s">
        <v>881</v>
      </c>
      <c r="Q95" s="126">
        <v>1</v>
      </c>
      <c r="S95" s="162">
        <v>46178</v>
      </c>
      <c r="T95" s="126">
        <v>96</v>
      </c>
      <c r="U95" s="206">
        <v>-15</v>
      </c>
      <c r="V95" s="206">
        <v>-1.25</v>
      </c>
      <c r="W95" s="206">
        <v>0.27</v>
      </c>
      <c r="X95" s="206">
        <v>0</v>
      </c>
      <c r="Y95" s="206">
        <v>0</v>
      </c>
      <c r="Z95" s="206">
        <v>0</v>
      </c>
      <c r="AA95" s="206">
        <v>0.27</v>
      </c>
      <c r="AB95" s="206">
        <v>0</v>
      </c>
      <c r="AC95" s="235">
        <v>46225.352233796293</v>
      </c>
      <c r="AE95" s="126">
        <v>0</v>
      </c>
      <c r="AF95" s="126">
        <v>0</v>
      </c>
      <c r="AG95" s="126">
        <v>1</v>
      </c>
      <c r="AH95" s="126">
        <v>0</v>
      </c>
      <c r="AI95" s="126">
        <v>1</v>
      </c>
    </row>
    <row r="96" spans="3:35">
      <c r="C96" s="126">
        <v>89</v>
      </c>
      <c r="D96" s="126">
        <v>1</v>
      </c>
      <c r="E96" s="126">
        <v>1</v>
      </c>
      <c r="G96" s="126">
        <v>12</v>
      </c>
      <c r="O96" s="126" t="s">
        <v>549</v>
      </c>
      <c r="P96" s="126" t="s">
        <v>881</v>
      </c>
      <c r="Q96" s="126">
        <v>1</v>
      </c>
      <c r="S96" s="162">
        <v>46178</v>
      </c>
      <c r="T96" s="126">
        <v>70</v>
      </c>
      <c r="U96" s="206">
        <v>-1</v>
      </c>
      <c r="V96" s="206">
        <v>-1</v>
      </c>
      <c r="W96" s="206">
        <v>0.15</v>
      </c>
      <c r="X96" s="206">
        <v>0</v>
      </c>
      <c r="Y96" s="206">
        <v>0</v>
      </c>
      <c r="Z96" s="206">
        <v>0</v>
      </c>
      <c r="AA96" s="206">
        <v>0.15</v>
      </c>
      <c r="AB96" s="206">
        <v>0</v>
      </c>
      <c r="AC96" s="235">
        <v>46225.352233796293</v>
      </c>
      <c r="AE96" s="126">
        <v>0</v>
      </c>
      <c r="AF96" s="126">
        <v>0</v>
      </c>
      <c r="AG96" s="126">
        <v>1</v>
      </c>
      <c r="AH96" s="126">
        <v>0</v>
      </c>
      <c r="AI96" s="126">
        <v>1</v>
      </c>
    </row>
    <row r="97" spans="3:35">
      <c r="C97" s="126">
        <v>90</v>
      </c>
      <c r="D97" s="126">
        <v>1</v>
      </c>
      <c r="E97" s="126">
        <v>1</v>
      </c>
      <c r="G97" s="126">
        <v>13</v>
      </c>
      <c r="O97" s="126" t="s">
        <v>549</v>
      </c>
      <c r="P97" s="126" t="s">
        <v>911</v>
      </c>
      <c r="Q97" s="126">
        <v>1</v>
      </c>
      <c r="S97" s="162">
        <v>46178</v>
      </c>
      <c r="T97" s="126">
        <v>178</v>
      </c>
      <c r="U97" s="206">
        <v>-450</v>
      </c>
      <c r="V97" s="206">
        <v>-0.45</v>
      </c>
      <c r="W97" s="206">
        <v>4.75</v>
      </c>
      <c r="X97" s="206">
        <v>0</v>
      </c>
      <c r="Y97" s="206">
        <v>0</v>
      </c>
      <c r="Z97" s="206">
        <v>0</v>
      </c>
      <c r="AA97" s="206">
        <v>4.75</v>
      </c>
      <c r="AB97" s="206">
        <v>0</v>
      </c>
      <c r="AC97" s="235">
        <v>46225.355312500003</v>
      </c>
      <c r="AE97" s="126">
        <v>0</v>
      </c>
      <c r="AF97" s="126">
        <v>0</v>
      </c>
      <c r="AG97" s="126">
        <v>1</v>
      </c>
      <c r="AH97" s="126">
        <v>0</v>
      </c>
      <c r="AI97" s="126">
        <v>1</v>
      </c>
    </row>
    <row r="98" spans="3:35">
      <c r="C98" s="126">
        <v>91</v>
      </c>
      <c r="D98" s="126">
        <v>1</v>
      </c>
      <c r="E98" s="126">
        <v>1</v>
      </c>
      <c r="G98" s="126">
        <v>14</v>
      </c>
      <c r="O98" s="126" t="s">
        <v>549</v>
      </c>
      <c r="P98" s="126" t="s">
        <v>916</v>
      </c>
      <c r="Q98" s="126">
        <v>1</v>
      </c>
      <c r="S98" s="162">
        <v>46178</v>
      </c>
      <c r="T98" s="126">
        <v>177</v>
      </c>
      <c r="U98" s="206">
        <v>-150</v>
      </c>
      <c r="V98" s="206">
        <v>-0.15</v>
      </c>
      <c r="W98" s="206">
        <v>4.1500000000000004</v>
      </c>
      <c r="X98" s="206">
        <v>0</v>
      </c>
      <c r="Y98" s="206">
        <v>0</v>
      </c>
      <c r="Z98" s="206">
        <v>0</v>
      </c>
      <c r="AA98" s="206">
        <v>4.1500000000000004</v>
      </c>
      <c r="AB98" s="206">
        <v>0</v>
      </c>
      <c r="AC98" s="235">
        <v>46225.358194444445</v>
      </c>
      <c r="AE98" s="126">
        <v>0</v>
      </c>
      <c r="AF98" s="126">
        <v>0</v>
      </c>
      <c r="AG98" s="126">
        <v>1</v>
      </c>
      <c r="AH98" s="126">
        <v>0</v>
      </c>
      <c r="AI98" s="126">
        <v>1</v>
      </c>
    </row>
    <row r="99" spans="3:35">
      <c r="C99" s="126">
        <v>92</v>
      </c>
      <c r="D99" s="126">
        <v>1</v>
      </c>
      <c r="E99" s="126">
        <v>1</v>
      </c>
      <c r="G99" s="126">
        <v>14</v>
      </c>
      <c r="O99" s="126" t="s">
        <v>549</v>
      </c>
      <c r="P99" s="126" t="s">
        <v>916</v>
      </c>
      <c r="Q99" s="126">
        <v>1</v>
      </c>
      <c r="S99" s="162">
        <v>46178</v>
      </c>
      <c r="T99" s="126">
        <v>179</v>
      </c>
      <c r="U99" s="206">
        <v>-300</v>
      </c>
      <c r="V99" s="206">
        <v>-0.3</v>
      </c>
      <c r="W99" s="206">
        <v>4.75</v>
      </c>
      <c r="X99" s="206">
        <v>0</v>
      </c>
      <c r="Y99" s="206">
        <v>0</v>
      </c>
      <c r="Z99" s="206">
        <v>0</v>
      </c>
      <c r="AA99" s="206">
        <v>4.75</v>
      </c>
      <c r="AB99" s="206">
        <v>0</v>
      </c>
      <c r="AC99" s="235">
        <v>46225.358194444445</v>
      </c>
      <c r="AE99" s="126">
        <v>0</v>
      </c>
      <c r="AF99" s="126">
        <v>0</v>
      </c>
      <c r="AG99" s="126">
        <v>1</v>
      </c>
      <c r="AH99" s="126">
        <v>0</v>
      </c>
      <c r="AI99" s="126">
        <v>1</v>
      </c>
    </row>
    <row r="100" spans="3:35">
      <c r="C100" s="126">
        <v>93</v>
      </c>
      <c r="D100" s="126">
        <v>1</v>
      </c>
      <c r="E100" s="126">
        <v>1</v>
      </c>
      <c r="G100" s="126">
        <v>15</v>
      </c>
      <c r="O100" s="126" t="s">
        <v>549</v>
      </c>
      <c r="P100" s="126" t="s">
        <v>925</v>
      </c>
      <c r="Q100" s="126">
        <v>1</v>
      </c>
      <c r="S100" s="162">
        <v>46179</v>
      </c>
      <c r="T100" s="126">
        <v>178</v>
      </c>
      <c r="U100" s="206">
        <v>-250</v>
      </c>
      <c r="V100" s="206">
        <v>-0.25</v>
      </c>
      <c r="W100" s="206">
        <v>4.75</v>
      </c>
      <c r="X100" s="206">
        <v>0</v>
      </c>
      <c r="Y100" s="206">
        <v>0</v>
      </c>
      <c r="Z100" s="206">
        <v>0</v>
      </c>
      <c r="AA100" s="206">
        <v>4.75</v>
      </c>
      <c r="AB100" s="206">
        <v>0</v>
      </c>
      <c r="AC100" s="235">
        <v>46225.385636574072</v>
      </c>
      <c r="AE100" s="126">
        <v>0</v>
      </c>
      <c r="AF100" s="126">
        <v>0</v>
      </c>
      <c r="AG100" s="126">
        <v>1</v>
      </c>
      <c r="AH100" s="126">
        <v>0</v>
      </c>
      <c r="AI100" s="126">
        <v>1</v>
      </c>
    </row>
    <row r="101" spans="3:35">
      <c r="C101" s="126">
        <v>94</v>
      </c>
      <c r="D101" s="126">
        <v>1</v>
      </c>
      <c r="E101" s="126">
        <v>1</v>
      </c>
      <c r="G101" s="126">
        <v>15</v>
      </c>
      <c r="O101" s="126" t="s">
        <v>549</v>
      </c>
      <c r="P101" s="126" t="s">
        <v>925</v>
      </c>
      <c r="Q101" s="126">
        <v>1</v>
      </c>
      <c r="S101" s="162">
        <v>46179</v>
      </c>
      <c r="T101" s="126">
        <v>197</v>
      </c>
      <c r="U101" s="206">
        <v>-12</v>
      </c>
      <c r="V101" s="206">
        <v>-3</v>
      </c>
      <c r="W101" s="206">
        <v>8.36</v>
      </c>
      <c r="X101" s="206">
        <v>0</v>
      </c>
      <c r="Y101" s="206">
        <v>0</v>
      </c>
      <c r="Z101" s="206">
        <v>0</v>
      </c>
      <c r="AA101" s="206">
        <v>8.36</v>
      </c>
      <c r="AB101" s="206">
        <v>0</v>
      </c>
      <c r="AC101" s="235">
        <v>46225.385636574072</v>
      </c>
      <c r="AE101" s="126">
        <v>0</v>
      </c>
      <c r="AF101" s="126">
        <v>0</v>
      </c>
      <c r="AG101" s="126">
        <v>1</v>
      </c>
      <c r="AH101" s="126">
        <v>0</v>
      </c>
      <c r="AI101" s="126">
        <v>1</v>
      </c>
    </row>
    <row r="102" spans="3:35">
      <c r="C102" s="126">
        <v>95</v>
      </c>
      <c r="D102" s="126">
        <v>1</v>
      </c>
      <c r="E102" s="126">
        <v>1</v>
      </c>
      <c r="G102" s="126">
        <v>15</v>
      </c>
      <c r="O102" s="126" t="s">
        <v>549</v>
      </c>
      <c r="P102" s="126" t="s">
        <v>925</v>
      </c>
      <c r="Q102" s="126">
        <v>1</v>
      </c>
      <c r="S102" s="162">
        <v>46179</v>
      </c>
      <c r="T102" s="126">
        <v>52</v>
      </c>
      <c r="U102" s="206">
        <v>-11</v>
      </c>
      <c r="V102" s="206">
        <v>-11</v>
      </c>
      <c r="W102" s="206">
        <v>1.91</v>
      </c>
      <c r="X102" s="206">
        <v>0</v>
      </c>
      <c r="Y102" s="206">
        <v>0</v>
      </c>
      <c r="Z102" s="206">
        <v>0</v>
      </c>
      <c r="AA102" s="206">
        <v>1.91</v>
      </c>
      <c r="AB102" s="206">
        <v>0</v>
      </c>
      <c r="AC102" s="235">
        <v>46225.385636574072</v>
      </c>
      <c r="AE102" s="126">
        <v>0</v>
      </c>
      <c r="AF102" s="126">
        <v>0</v>
      </c>
      <c r="AG102" s="126">
        <v>1</v>
      </c>
      <c r="AH102" s="126">
        <v>0</v>
      </c>
      <c r="AI102" s="126">
        <v>1</v>
      </c>
    </row>
    <row r="103" spans="3:35">
      <c r="C103" s="126">
        <v>96</v>
      </c>
      <c r="D103" s="126">
        <v>1</v>
      </c>
      <c r="E103" s="126">
        <v>1</v>
      </c>
      <c r="G103" s="126">
        <v>16</v>
      </c>
      <c r="O103" s="126" t="s">
        <v>549</v>
      </c>
      <c r="P103" s="126" t="s">
        <v>938</v>
      </c>
      <c r="Q103" s="126">
        <v>1</v>
      </c>
      <c r="S103" s="162">
        <v>46179</v>
      </c>
      <c r="T103" s="126">
        <v>177</v>
      </c>
      <c r="U103" s="206">
        <v>-1000</v>
      </c>
      <c r="V103" s="206">
        <v>-1</v>
      </c>
      <c r="W103" s="206">
        <v>83</v>
      </c>
      <c r="X103" s="206">
        <v>0</v>
      </c>
      <c r="Y103" s="206">
        <v>0</v>
      </c>
      <c r="Z103" s="206">
        <v>0</v>
      </c>
      <c r="AA103" s="206">
        <v>83</v>
      </c>
      <c r="AB103" s="206">
        <v>0</v>
      </c>
      <c r="AC103" s="235">
        <v>46225.388078703705</v>
      </c>
      <c r="AE103" s="126">
        <v>0</v>
      </c>
      <c r="AF103" s="126">
        <v>0</v>
      </c>
      <c r="AG103" s="126">
        <v>1</v>
      </c>
      <c r="AH103" s="126">
        <v>0</v>
      </c>
      <c r="AI103" s="126">
        <v>1</v>
      </c>
    </row>
    <row r="104" spans="3:35">
      <c r="C104" s="126">
        <v>97</v>
      </c>
      <c r="D104" s="126">
        <v>1</v>
      </c>
      <c r="E104" s="126">
        <v>1</v>
      </c>
      <c r="G104" s="126">
        <v>17</v>
      </c>
      <c r="O104" s="126" t="s">
        <v>549</v>
      </c>
      <c r="P104" s="126" t="s">
        <v>945</v>
      </c>
      <c r="Q104" s="126">
        <v>1</v>
      </c>
      <c r="S104" s="162">
        <v>46180</v>
      </c>
      <c r="T104" s="126">
        <v>177</v>
      </c>
      <c r="U104" s="206">
        <v>-200</v>
      </c>
      <c r="V104" s="206">
        <v>-0.2</v>
      </c>
      <c r="W104" s="206">
        <v>4.1500000000000004</v>
      </c>
      <c r="X104" s="206">
        <v>0</v>
      </c>
      <c r="Y104" s="206">
        <v>0</v>
      </c>
      <c r="Z104" s="206">
        <v>0</v>
      </c>
      <c r="AA104" s="206">
        <v>4.1500000000000004</v>
      </c>
      <c r="AB104" s="206">
        <v>0</v>
      </c>
      <c r="AC104" s="235">
        <v>46225.41233796296</v>
      </c>
      <c r="AE104" s="126">
        <v>0</v>
      </c>
      <c r="AF104" s="126">
        <v>0</v>
      </c>
      <c r="AG104" s="126">
        <v>1</v>
      </c>
      <c r="AH104" s="126">
        <v>0</v>
      </c>
      <c r="AI104" s="126">
        <v>1</v>
      </c>
    </row>
    <row r="105" spans="3:35">
      <c r="C105" s="126">
        <v>98</v>
      </c>
      <c r="D105" s="126">
        <v>1</v>
      </c>
      <c r="E105" s="126">
        <v>1</v>
      </c>
      <c r="G105" s="126">
        <v>17</v>
      </c>
      <c r="O105" s="126" t="s">
        <v>549</v>
      </c>
      <c r="P105" s="126" t="s">
        <v>945</v>
      </c>
      <c r="Q105" s="126">
        <v>1</v>
      </c>
      <c r="S105" s="162">
        <v>46180</v>
      </c>
      <c r="T105" s="126">
        <v>183</v>
      </c>
      <c r="U105" s="206">
        <v>-60</v>
      </c>
      <c r="V105" s="206">
        <v>-5</v>
      </c>
      <c r="W105" s="206">
        <v>4</v>
      </c>
      <c r="X105" s="206">
        <v>0</v>
      </c>
      <c r="Y105" s="206">
        <v>0</v>
      </c>
      <c r="Z105" s="206">
        <v>0</v>
      </c>
      <c r="AA105" s="206">
        <v>4</v>
      </c>
      <c r="AB105" s="206">
        <v>0</v>
      </c>
      <c r="AC105" s="235">
        <v>46225.41233796296</v>
      </c>
      <c r="AE105" s="126">
        <v>0</v>
      </c>
      <c r="AF105" s="126">
        <v>0</v>
      </c>
      <c r="AG105" s="126">
        <v>1</v>
      </c>
      <c r="AH105" s="126">
        <v>0</v>
      </c>
      <c r="AI105" s="126">
        <v>1</v>
      </c>
    </row>
    <row r="106" spans="3:35">
      <c r="C106" s="126">
        <v>99</v>
      </c>
      <c r="D106" s="126">
        <v>1</v>
      </c>
      <c r="E106" s="126">
        <v>1</v>
      </c>
      <c r="G106" s="126">
        <v>18</v>
      </c>
      <c r="O106" s="126" t="s">
        <v>549</v>
      </c>
      <c r="P106" s="126" t="s">
        <v>953</v>
      </c>
      <c r="Q106" s="126">
        <v>1</v>
      </c>
      <c r="S106" s="162">
        <v>46180</v>
      </c>
      <c r="T106" s="126">
        <v>177</v>
      </c>
      <c r="U106" s="206">
        <v>-500</v>
      </c>
      <c r="V106" s="206">
        <v>-0.5</v>
      </c>
      <c r="W106" s="206">
        <v>4.1500000000000004</v>
      </c>
      <c r="X106" s="206">
        <v>0</v>
      </c>
      <c r="Y106" s="206">
        <v>0</v>
      </c>
      <c r="Z106" s="206">
        <v>0</v>
      </c>
      <c r="AA106" s="206">
        <v>4.1500000000000004</v>
      </c>
      <c r="AB106" s="206">
        <v>0</v>
      </c>
      <c r="AC106" s="235">
        <v>46225.415694444448</v>
      </c>
      <c r="AE106" s="126">
        <v>0</v>
      </c>
      <c r="AF106" s="126">
        <v>0</v>
      </c>
      <c r="AG106" s="126">
        <v>1</v>
      </c>
      <c r="AH106" s="126">
        <v>0</v>
      </c>
      <c r="AI106" s="126">
        <v>1</v>
      </c>
    </row>
    <row r="107" spans="3:35">
      <c r="C107" s="126">
        <v>100</v>
      </c>
      <c r="D107" s="126">
        <v>1</v>
      </c>
      <c r="E107" s="126">
        <v>1</v>
      </c>
      <c r="G107" s="126">
        <v>19</v>
      </c>
      <c r="O107" s="126" t="s">
        <v>549</v>
      </c>
      <c r="P107" s="126" t="s">
        <v>958</v>
      </c>
      <c r="Q107" s="126">
        <v>1</v>
      </c>
      <c r="S107" s="162">
        <v>46180</v>
      </c>
      <c r="T107" s="126">
        <v>177</v>
      </c>
      <c r="U107" s="206">
        <v>-50</v>
      </c>
      <c r="V107" s="206">
        <v>-0.05</v>
      </c>
      <c r="W107" s="206">
        <v>4.1500000000000004</v>
      </c>
      <c r="X107" s="206">
        <v>0</v>
      </c>
      <c r="Y107" s="206">
        <v>0</v>
      </c>
      <c r="Z107" s="206">
        <v>0</v>
      </c>
      <c r="AA107" s="206">
        <v>4.1500000000000004</v>
      </c>
      <c r="AB107" s="206">
        <v>0</v>
      </c>
      <c r="AC107" s="235">
        <v>46225.425000000003</v>
      </c>
      <c r="AE107" s="126">
        <v>0</v>
      </c>
      <c r="AF107" s="126">
        <v>0</v>
      </c>
      <c r="AG107" s="126">
        <v>1</v>
      </c>
      <c r="AH107" s="126">
        <v>0</v>
      </c>
      <c r="AI107" s="126">
        <v>1</v>
      </c>
    </row>
    <row r="108" spans="3:35">
      <c r="C108" s="126">
        <v>101</v>
      </c>
      <c r="D108" s="126">
        <v>1</v>
      </c>
      <c r="E108" s="126">
        <v>1</v>
      </c>
      <c r="G108" s="126">
        <v>19</v>
      </c>
      <c r="O108" s="126" t="s">
        <v>549</v>
      </c>
      <c r="P108" s="126" t="s">
        <v>958</v>
      </c>
      <c r="Q108" s="126">
        <v>1</v>
      </c>
      <c r="S108" s="162">
        <v>46180</v>
      </c>
      <c r="T108" s="126">
        <v>10</v>
      </c>
      <c r="U108" s="206">
        <v>-1</v>
      </c>
      <c r="V108" s="206">
        <v>-1</v>
      </c>
      <c r="W108" s="206">
        <v>14.85</v>
      </c>
      <c r="X108" s="206">
        <v>0</v>
      </c>
      <c r="Y108" s="206">
        <v>0</v>
      </c>
      <c r="Z108" s="206">
        <v>0</v>
      </c>
      <c r="AA108" s="206">
        <v>14.85</v>
      </c>
      <c r="AB108" s="206">
        <v>0</v>
      </c>
      <c r="AC108" s="235">
        <v>46225.425000000003</v>
      </c>
      <c r="AE108" s="126">
        <v>0</v>
      </c>
      <c r="AF108" s="126">
        <v>0</v>
      </c>
      <c r="AG108" s="126">
        <v>1</v>
      </c>
      <c r="AH108" s="126">
        <v>0</v>
      </c>
      <c r="AI108" s="126">
        <v>1</v>
      </c>
    </row>
    <row r="109" spans="3:35">
      <c r="C109" s="126">
        <v>102</v>
      </c>
      <c r="D109" s="126">
        <v>1</v>
      </c>
      <c r="E109" s="126">
        <v>1</v>
      </c>
      <c r="G109" s="126">
        <v>19</v>
      </c>
      <c r="O109" s="126" t="s">
        <v>549</v>
      </c>
      <c r="P109" s="126" t="s">
        <v>958</v>
      </c>
      <c r="Q109" s="126">
        <v>1</v>
      </c>
      <c r="S109" s="162">
        <v>46180</v>
      </c>
      <c r="T109" s="126">
        <v>11</v>
      </c>
      <c r="U109" s="206">
        <v>-5</v>
      </c>
      <c r="V109" s="206">
        <v>-5</v>
      </c>
      <c r="W109" s="206">
        <v>9.52</v>
      </c>
      <c r="X109" s="206">
        <v>0</v>
      </c>
      <c r="Y109" s="206">
        <v>0</v>
      </c>
      <c r="Z109" s="206">
        <v>0</v>
      </c>
      <c r="AA109" s="206">
        <v>9.52</v>
      </c>
      <c r="AB109" s="206">
        <v>0</v>
      </c>
      <c r="AC109" s="235">
        <v>46225.425000000003</v>
      </c>
      <c r="AE109" s="126">
        <v>0</v>
      </c>
      <c r="AF109" s="126">
        <v>0</v>
      </c>
      <c r="AG109" s="126">
        <v>1</v>
      </c>
      <c r="AH109" s="126">
        <v>0</v>
      </c>
      <c r="AI109" s="126">
        <v>1</v>
      </c>
    </row>
    <row r="110" spans="3:35">
      <c r="C110" s="126">
        <v>103</v>
      </c>
      <c r="D110" s="126">
        <v>1</v>
      </c>
      <c r="E110" s="126">
        <v>1</v>
      </c>
      <c r="G110" s="126">
        <v>20</v>
      </c>
      <c r="O110" s="126" t="s">
        <v>549</v>
      </c>
      <c r="P110" s="126" t="s">
        <v>970</v>
      </c>
      <c r="Q110" s="126">
        <v>1</v>
      </c>
      <c r="S110" s="162">
        <v>46181</v>
      </c>
      <c r="T110" s="126">
        <v>19</v>
      </c>
      <c r="U110" s="206">
        <v>-1</v>
      </c>
      <c r="V110" s="206">
        <v>-1</v>
      </c>
      <c r="W110" s="206">
        <v>7.49</v>
      </c>
      <c r="X110" s="206">
        <v>0</v>
      </c>
      <c r="Y110" s="206">
        <v>0</v>
      </c>
      <c r="Z110" s="206">
        <v>0</v>
      </c>
      <c r="AA110" s="206">
        <v>7.49</v>
      </c>
      <c r="AB110" s="206">
        <v>0</v>
      </c>
      <c r="AC110" s="235">
        <v>46225.441111111111</v>
      </c>
      <c r="AE110" s="126">
        <v>0</v>
      </c>
      <c r="AF110" s="126">
        <v>0</v>
      </c>
      <c r="AG110" s="126">
        <v>1</v>
      </c>
      <c r="AH110" s="126">
        <v>0</v>
      </c>
      <c r="AI110" s="126">
        <v>1</v>
      </c>
    </row>
    <row r="111" spans="3:35">
      <c r="C111" s="126">
        <v>104</v>
      </c>
      <c r="D111" s="126">
        <v>1</v>
      </c>
      <c r="E111" s="126">
        <v>1</v>
      </c>
      <c r="G111" s="126">
        <v>20</v>
      </c>
      <c r="O111" s="126" t="s">
        <v>549</v>
      </c>
      <c r="P111" s="126" t="s">
        <v>970</v>
      </c>
      <c r="Q111" s="126">
        <v>1</v>
      </c>
      <c r="S111" s="162">
        <v>46181</v>
      </c>
      <c r="T111" s="126">
        <v>42</v>
      </c>
      <c r="U111" s="206">
        <v>-1</v>
      </c>
      <c r="V111" s="206">
        <v>-1</v>
      </c>
      <c r="W111" s="206">
        <v>0.24</v>
      </c>
      <c r="X111" s="206">
        <v>0</v>
      </c>
      <c r="Y111" s="206">
        <v>0</v>
      </c>
      <c r="Z111" s="206">
        <v>0</v>
      </c>
      <c r="AA111" s="206">
        <v>0.24</v>
      </c>
      <c r="AB111" s="206">
        <v>0</v>
      </c>
      <c r="AC111" s="235">
        <v>46225.441111111111</v>
      </c>
      <c r="AE111" s="126">
        <v>0</v>
      </c>
      <c r="AF111" s="126">
        <v>0</v>
      </c>
      <c r="AG111" s="126">
        <v>1</v>
      </c>
      <c r="AH111" s="126">
        <v>0</v>
      </c>
      <c r="AI111" s="126">
        <v>1</v>
      </c>
    </row>
    <row r="112" spans="3:35">
      <c r="C112" s="126">
        <v>105</v>
      </c>
      <c r="D112" s="126">
        <v>1</v>
      </c>
      <c r="E112" s="126">
        <v>1</v>
      </c>
      <c r="G112" s="126">
        <v>20</v>
      </c>
      <c r="O112" s="126" t="s">
        <v>549</v>
      </c>
      <c r="P112" s="126" t="s">
        <v>970</v>
      </c>
      <c r="Q112" s="126">
        <v>1</v>
      </c>
      <c r="S112" s="162">
        <v>46181</v>
      </c>
      <c r="T112" s="126">
        <v>45</v>
      </c>
      <c r="U112" s="206">
        <v>-12</v>
      </c>
      <c r="V112" s="206">
        <v>-12</v>
      </c>
      <c r="W112" s="206">
        <v>0.34</v>
      </c>
      <c r="X112" s="206">
        <v>0</v>
      </c>
      <c r="Y112" s="206">
        <v>0</v>
      </c>
      <c r="Z112" s="206">
        <v>0</v>
      </c>
      <c r="AA112" s="206">
        <v>0.34</v>
      </c>
      <c r="AB112" s="206">
        <v>0</v>
      </c>
      <c r="AC112" s="235">
        <v>46225.441111111111</v>
      </c>
      <c r="AE112" s="126">
        <v>0</v>
      </c>
      <c r="AF112" s="126">
        <v>0</v>
      </c>
      <c r="AG112" s="126">
        <v>1</v>
      </c>
      <c r="AH112" s="126">
        <v>0</v>
      </c>
      <c r="AI112" s="126">
        <v>1</v>
      </c>
    </row>
    <row r="113" spans="3:35">
      <c r="C113" s="126">
        <v>106</v>
      </c>
      <c r="D113" s="126">
        <v>1</v>
      </c>
      <c r="E113" s="126">
        <v>1</v>
      </c>
      <c r="G113" s="126">
        <v>20</v>
      </c>
      <c r="O113" s="126" t="s">
        <v>549</v>
      </c>
      <c r="P113" s="126" t="s">
        <v>970</v>
      </c>
      <c r="Q113" s="126">
        <v>1</v>
      </c>
      <c r="S113" s="162">
        <v>46181</v>
      </c>
      <c r="T113" s="126">
        <v>183</v>
      </c>
      <c r="U113" s="206">
        <v>-120</v>
      </c>
      <c r="V113" s="206">
        <v>-10</v>
      </c>
      <c r="W113" s="206">
        <v>4</v>
      </c>
      <c r="X113" s="206">
        <v>0</v>
      </c>
      <c r="Y113" s="206">
        <v>0</v>
      </c>
      <c r="Z113" s="206">
        <v>0</v>
      </c>
      <c r="AA113" s="206">
        <v>4</v>
      </c>
      <c r="AB113" s="206">
        <v>0</v>
      </c>
      <c r="AC113" s="235">
        <v>46225.441111111111</v>
      </c>
      <c r="AE113" s="126">
        <v>0</v>
      </c>
      <c r="AF113" s="126">
        <v>0</v>
      </c>
      <c r="AG113" s="126">
        <v>1</v>
      </c>
      <c r="AH113" s="126">
        <v>0</v>
      </c>
      <c r="AI113" s="126">
        <v>1</v>
      </c>
    </row>
    <row r="114" spans="3:35">
      <c r="C114" s="126">
        <v>107</v>
      </c>
      <c r="D114" s="126">
        <v>1</v>
      </c>
      <c r="E114" s="126">
        <v>1</v>
      </c>
      <c r="G114" s="126">
        <v>21</v>
      </c>
      <c r="O114" s="126" t="s">
        <v>549</v>
      </c>
      <c r="P114" s="126" t="s">
        <v>988</v>
      </c>
      <c r="Q114" s="126">
        <v>1</v>
      </c>
      <c r="S114" s="162">
        <v>46181</v>
      </c>
      <c r="T114" s="126">
        <v>16</v>
      </c>
      <c r="U114" s="206">
        <v>-8</v>
      </c>
      <c r="V114" s="206">
        <v>-8</v>
      </c>
      <c r="W114" s="206">
        <v>2.1</v>
      </c>
      <c r="X114" s="206">
        <v>0</v>
      </c>
      <c r="Y114" s="206">
        <v>0</v>
      </c>
      <c r="Z114" s="206">
        <v>0</v>
      </c>
      <c r="AA114" s="206">
        <v>2.1</v>
      </c>
      <c r="AB114" s="206">
        <v>0</v>
      </c>
      <c r="AC114" s="235">
        <v>46225.459583333337</v>
      </c>
      <c r="AE114" s="126">
        <v>0</v>
      </c>
      <c r="AF114" s="126">
        <v>0</v>
      </c>
      <c r="AG114" s="126">
        <v>1</v>
      </c>
      <c r="AH114" s="126">
        <v>0</v>
      </c>
      <c r="AI114" s="126">
        <v>1</v>
      </c>
    </row>
    <row r="115" spans="3:35">
      <c r="C115" s="126">
        <v>108</v>
      </c>
      <c r="D115" s="126">
        <v>1</v>
      </c>
      <c r="E115" s="126">
        <v>1</v>
      </c>
      <c r="G115" s="126">
        <v>21</v>
      </c>
      <c r="O115" s="126" t="s">
        <v>549</v>
      </c>
      <c r="P115" s="126" t="s">
        <v>988</v>
      </c>
      <c r="Q115" s="126">
        <v>1</v>
      </c>
      <c r="S115" s="162">
        <v>46181</v>
      </c>
      <c r="T115" s="126">
        <v>41</v>
      </c>
      <c r="U115" s="206">
        <v>-2</v>
      </c>
      <c r="V115" s="206">
        <v>-2</v>
      </c>
      <c r="W115" s="206">
        <v>0.53</v>
      </c>
      <c r="X115" s="206">
        <v>0</v>
      </c>
      <c r="Y115" s="206">
        <v>0</v>
      </c>
      <c r="Z115" s="206">
        <v>0</v>
      </c>
      <c r="AA115" s="206">
        <v>0.53</v>
      </c>
      <c r="AB115" s="206">
        <v>0</v>
      </c>
      <c r="AC115" s="235">
        <v>46225.459583333337</v>
      </c>
      <c r="AE115" s="126">
        <v>0</v>
      </c>
      <c r="AF115" s="126">
        <v>0</v>
      </c>
      <c r="AG115" s="126">
        <v>1</v>
      </c>
      <c r="AH115" s="126">
        <v>0</v>
      </c>
      <c r="AI115" s="126">
        <v>1</v>
      </c>
    </row>
    <row r="116" spans="3:35">
      <c r="C116" s="126">
        <v>109</v>
      </c>
      <c r="D116" s="126">
        <v>1</v>
      </c>
      <c r="E116" s="126">
        <v>1</v>
      </c>
      <c r="G116" s="126">
        <v>21</v>
      </c>
      <c r="O116" s="126" t="s">
        <v>549</v>
      </c>
      <c r="P116" s="126" t="s">
        <v>988</v>
      </c>
      <c r="Q116" s="126">
        <v>1</v>
      </c>
      <c r="S116" s="162">
        <v>46181</v>
      </c>
      <c r="T116" s="126">
        <v>144</v>
      </c>
      <c r="U116" s="206">
        <v>-8</v>
      </c>
      <c r="V116" s="206">
        <v>-0.16</v>
      </c>
      <c r="W116" s="206">
        <v>0.3</v>
      </c>
      <c r="X116" s="206">
        <v>0</v>
      </c>
      <c r="Y116" s="206">
        <v>0</v>
      </c>
      <c r="Z116" s="206">
        <v>0</v>
      </c>
      <c r="AA116" s="206">
        <v>0.3</v>
      </c>
      <c r="AB116" s="206">
        <v>0</v>
      </c>
      <c r="AC116" s="235">
        <v>46225.459583333337</v>
      </c>
      <c r="AE116" s="126">
        <v>0</v>
      </c>
      <c r="AF116" s="126">
        <v>0</v>
      </c>
      <c r="AG116" s="126">
        <v>1</v>
      </c>
      <c r="AH116" s="126">
        <v>0</v>
      </c>
      <c r="AI116" s="126">
        <v>1</v>
      </c>
    </row>
    <row r="117" spans="3:35">
      <c r="C117" s="126">
        <v>110</v>
      </c>
      <c r="D117" s="126">
        <v>1</v>
      </c>
      <c r="E117" s="126">
        <v>1</v>
      </c>
      <c r="G117" s="126">
        <v>21</v>
      </c>
      <c r="O117" s="126" t="s">
        <v>549</v>
      </c>
      <c r="P117" s="126" t="s">
        <v>988</v>
      </c>
      <c r="Q117" s="126">
        <v>1</v>
      </c>
      <c r="S117" s="162">
        <v>46181</v>
      </c>
      <c r="T117" s="126">
        <v>155</v>
      </c>
      <c r="U117" s="206">
        <v>-2</v>
      </c>
      <c r="V117" s="206">
        <v>-0.5</v>
      </c>
      <c r="W117" s="206">
        <v>14.5</v>
      </c>
      <c r="X117" s="206">
        <v>0</v>
      </c>
      <c r="Y117" s="206">
        <v>0</v>
      </c>
      <c r="Z117" s="206">
        <v>0</v>
      </c>
      <c r="AA117" s="206">
        <v>14.5</v>
      </c>
      <c r="AB117" s="206">
        <v>0</v>
      </c>
      <c r="AC117" s="235">
        <v>46225.459583333337</v>
      </c>
      <c r="AE117" s="126">
        <v>0</v>
      </c>
      <c r="AF117" s="126">
        <v>0</v>
      </c>
      <c r="AG117" s="126">
        <v>1</v>
      </c>
      <c r="AH117" s="126">
        <v>0</v>
      </c>
      <c r="AI117" s="126">
        <v>1</v>
      </c>
    </row>
    <row r="118" spans="3:35">
      <c r="C118" s="126">
        <v>111</v>
      </c>
      <c r="D118" s="126">
        <v>1</v>
      </c>
      <c r="E118" s="126">
        <v>1</v>
      </c>
      <c r="G118" s="126">
        <v>22</v>
      </c>
      <c r="O118" s="126" t="s">
        <v>549</v>
      </c>
      <c r="P118" s="126" t="s">
        <v>1004</v>
      </c>
      <c r="Q118" s="126">
        <v>1</v>
      </c>
      <c r="S118" s="162">
        <v>46181</v>
      </c>
      <c r="T118" s="126">
        <v>189</v>
      </c>
      <c r="U118" s="206">
        <v>-32</v>
      </c>
      <c r="V118" s="206">
        <v>-8</v>
      </c>
      <c r="W118" s="206">
        <v>4.09</v>
      </c>
      <c r="X118" s="206">
        <v>0</v>
      </c>
      <c r="Y118" s="206">
        <v>0</v>
      </c>
      <c r="Z118" s="206">
        <v>0</v>
      </c>
      <c r="AA118" s="206">
        <v>4.09</v>
      </c>
      <c r="AB118" s="206">
        <v>0</v>
      </c>
      <c r="AC118" s="235">
        <v>46225.463854166665</v>
      </c>
      <c r="AE118" s="126">
        <v>0</v>
      </c>
      <c r="AF118" s="126">
        <v>0</v>
      </c>
      <c r="AG118" s="126">
        <v>1</v>
      </c>
      <c r="AH118" s="126">
        <v>0</v>
      </c>
      <c r="AI118" s="126">
        <v>1</v>
      </c>
    </row>
    <row r="119" spans="3:35">
      <c r="C119" s="126">
        <v>112</v>
      </c>
      <c r="D119" s="126">
        <v>1</v>
      </c>
      <c r="E119" s="126">
        <v>1</v>
      </c>
      <c r="G119" s="126">
        <v>22</v>
      </c>
      <c r="O119" s="126" t="s">
        <v>549</v>
      </c>
      <c r="P119" s="126" t="s">
        <v>1004</v>
      </c>
      <c r="Q119" s="126">
        <v>1</v>
      </c>
      <c r="S119" s="162">
        <v>46181</v>
      </c>
      <c r="T119" s="126">
        <v>108</v>
      </c>
      <c r="U119" s="206">
        <v>-4</v>
      </c>
      <c r="V119" s="206">
        <v>-4</v>
      </c>
      <c r="W119" s="206">
        <v>2.7</v>
      </c>
      <c r="X119" s="206">
        <v>0</v>
      </c>
      <c r="Y119" s="206">
        <v>0</v>
      </c>
      <c r="Z119" s="206">
        <v>0</v>
      </c>
      <c r="AA119" s="206">
        <v>2.7</v>
      </c>
      <c r="AB119" s="206">
        <v>0</v>
      </c>
      <c r="AC119" s="235">
        <v>46225.463854166665</v>
      </c>
      <c r="AE119" s="126">
        <v>0</v>
      </c>
      <c r="AF119" s="126">
        <v>0</v>
      </c>
      <c r="AG119" s="126">
        <v>1</v>
      </c>
      <c r="AH119" s="126">
        <v>0</v>
      </c>
      <c r="AI119" s="126">
        <v>1</v>
      </c>
    </row>
    <row r="120" spans="3:35">
      <c r="C120" s="126">
        <v>113</v>
      </c>
      <c r="D120" s="126">
        <v>1</v>
      </c>
      <c r="E120" s="126">
        <v>1</v>
      </c>
      <c r="G120" s="126">
        <v>23</v>
      </c>
      <c r="O120" s="126" t="s">
        <v>549</v>
      </c>
      <c r="P120" s="126" t="s">
        <v>1004</v>
      </c>
      <c r="Q120" s="126">
        <v>1</v>
      </c>
      <c r="S120" s="162">
        <v>46182</v>
      </c>
      <c r="T120" s="126">
        <v>177</v>
      </c>
      <c r="U120" s="206">
        <v>-500</v>
      </c>
      <c r="V120" s="206">
        <v>-0.5</v>
      </c>
      <c r="W120" s="206">
        <v>4.1500000000000004</v>
      </c>
      <c r="X120" s="206">
        <v>0</v>
      </c>
      <c r="Y120" s="206">
        <v>0</v>
      </c>
      <c r="Z120" s="206">
        <v>0</v>
      </c>
      <c r="AA120" s="206">
        <v>4.1500000000000004</v>
      </c>
      <c r="AB120" s="206">
        <v>0</v>
      </c>
      <c r="AC120" s="235">
        <v>46225.630381944444</v>
      </c>
      <c r="AE120" s="126">
        <v>0</v>
      </c>
      <c r="AF120" s="126">
        <v>0</v>
      </c>
      <c r="AG120" s="126">
        <v>1</v>
      </c>
      <c r="AH120" s="126">
        <v>0</v>
      </c>
      <c r="AI120" s="126">
        <v>1</v>
      </c>
    </row>
    <row r="121" spans="3:35">
      <c r="C121" s="126">
        <v>114</v>
      </c>
      <c r="D121" s="126">
        <v>1</v>
      </c>
      <c r="E121" s="126">
        <v>1</v>
      </c>
      <c r="G121" s="126">
        <v>23</v>
      </c>
      <c r="O121" s="126" t="s">
        <v>549</v>
      </c>
      <c r="P121" s="126" t="s">
        <v>1004</v>
      </c>
      <c r="Q121" s="126">
        <v>1</v>
      </c>
      <c r="S121" s="162">
        <v>46182</v>
      </c>
      <c r="T121" s="126">
        <v>193</v>
      </c>
      <c r="U121" s="206">
        <v>-16</v>
      </c>
      <c r="V121" s="206">
        <v>-4</v>
      </c>
      <c r="W121" s="206">
        <v>3.88</v>
      </c>
      <c r="X121" s="206">
        <v>0</v>
      </c>
      <c r="Y121" s="206">
        <v>0</v>
      </c>
      <c r="Z121" s="206">
        <v>0</v>
      </c>
      <c r="AA121" s="206">
        <v>3.88</v>
      </c>
      <c r="AB121" s="206">
        <v>0</v>
      </c>
      <c r="AC121" s="235">
        <v>46225.630381944444</v>
      </c>
      <c r="AE121" s="126">
        <v>0</v>
      </c>
      <c r="AF121" s="126">
        <v>0</v>
      </c>
      <c r="AG121" s="126">
        <v>1</v>
      </c>
      <c r="AH121" s="126">
        <v>0</v>
      </c>
      <c r="AI121" s="126">
        <v>1</v>
      </c>
    </row>
    <row r="122" spans="3:35">
      <c r="C122" s="126">
        <v>115</v>
      </c>
      <c r="D122" s="126">
        <v>1</v>
      </c>
      <c r="E122" s="126">
        <v>1</v>
      </c>
      <c r="G122" s="126">
        <v>23</v>
      </c>
      <c r="O122" s="126" t="s">
        <v>549</v>
      </c>
      <c r="P122" s="126" t="s">
        <v>1004</v>
      </c>
      <c r="Q122" s="126">
        <v>1</v>
      </c>
      <c r="S122" s="162">
        <v>46182</v>
      </c>
      <c r="T122" s="126">
        <v>103</v>
      </c>
      <c r="U122" s="206">
        <v>-2</v>
      </c>
      <c r="V122" s="206">
        <v>-0.16666666666666666</v>
      </c>
      <c r="W122" s="206">
        <v>0.75</v>
      </c>
      <c r="X122" s="206">
        <v>0</v>
      </c>
      <c r="Y122" s="206">
        <v>0</v>
      </c>
      <c r="Z122" s="206">
        <v>0</v>
      </c>
      <c r="AA122" s="206">
        <v>0.75</v>
      </c>
      <c r="AB122" s="206">
        <v>0</v>
      </c>
      <c r="AC122" s="235">
        <v>46225.630381944444</v>
      </c>
      <c r="AE122" s="126">
        <v>0</v>
      </c>
      <c r="AF122" s="126">
        <v>0</v>
      </c>
      <c r="AG122" s="126">
        <v>1</v>
      </c>
      <c r="AH122" s="126">
        <v>0</v>
      </c>
      <c r="AI122" s="126">
        <v>1</v>
      </c>
    </row>
    <row r="123" spans="3:35">
      <c r="C123" s="126">
        <v>116</v>
      </c>
      <c r="D123" s="126">
        <v>1</v>
      </c>
      <c r="E123" s="126">
        <v>1</v>
      </c>
      <c r="G123" s="126">
        <v>23</v>
      </c>
      <c r="O123" s="126" t="s">
        <v>549</v>
      </c>
      <c r="P123" s="126" t="s">
        <v>1004</v>
      </c>
      <c r="Q123" s="126">
        <v>1</v>
      </c>
      <c r="S123" s="162">
        <v>46182</v>
      </c>
      <c r="T123" s="126">
        <v>167</v>
      </c>
      <c r="U123" s="206">
        <v>-2</v>
      </c>
      <c r="V123" s="206">
        <v>-2</v>
      </c>
      <c r="W123" s="206">
        <v>0.85</v>
      </c>
      <c r="X123" s="206">
        <v>0</v>
      </c>
      <c r="Y123" s="206">
        <v>0</v>
      </c>
      <c r="Z123" s="206">
        <v>0</v>
      </c>
      <c r="AA123" s="206">
        <v>0.85</v>
      </c>
      <c r="AB123" s="206">
        <v>0</v>
      </c>
      <c r="AC123" s="235">
        <v>46225.630381944444</v>
      </c>
      <c r="AE123" s="126">
        <v>0</v>
      </c>
      <c r="AF123" s="126">
        <v>0</v>
      </c>
      <c r="AG123" s="126">
        <v>1</v>
      </c>
      <c r="AH123" s="126">
        <v>0</v>
      </c>
      <c r="AI123" s="126">
        <v>1</v>
      </c>
    </row>
    <row r="124" spans="3:35">
      <c r="C124" s="126">
        <v>117</v>
      </c>
      <c r="D124" s="126">
        <v>1</v>
      </c>
      <c r="E124" s="126">
        <v>1</v>
      </c>
      <c r="G124" s="126">
        <v>23</v>
      </c>
      <c r="O124" s="126" t="s">
        <v>549</v>
      </c>
      <c r="P124" s="126" t="s">
        <v>1004</v>
      </c>
      <c r="Q124" s="126">
        <v>1</v>
      </c>
      <c r="S124" s="162">
        <v>46182</v>
      </c>
      <c r="T124" s="126">
        <v>184</v>
      </c>
      <c r="U124" s="206">
        <v>-24</v>
      </c>
      <c r="V124" s="206">
        <v>-2</v>
      </c>
      <c r="W124" s="206">
        <v>6</v>
      </c>
      <c r="X124" s="206">
        <v>0</v>
      </c>
      <c r="Y124" s="206">
        <v>0</v>
      </c>
      <c r="Z124" s="206">
        <v>0</v>
      </c>
      <c r="AA124" s="206">
        <v>6</v>
      </c>
      <c r="AB124" s="206">
        <v>0</v>
      </c>
      <c r="AC124" s="235">
        <v>46225.630381944444</v>
      </c>
      <c r="AE124" s="126">
        <v>0</v>
      </c>
      <c r="AF124" s="126">
        <v>0</v>
      </c>
      <c r="AG124" s="126">
        <v>1</v>
      </c>
      <c r="AH124" s="126">
        <v>0</v>
      </c>
      <c r="AI124" s="126">
        <v>1</v>
      </c>
    </row>
    <row r="125" spans="3:35">
      <c r="C125" s="126">
        <v>118</v>
      </c>
      <c r="D125" s="126">
        <v>1</v>
      </c>
      <c r="E125" s="126">
        <v>1</v>
      </c>
      <c r="G125" s="126">
        <v>23</v>
      </c>
      <c r="O125" s="126" t="s">
        <v>549</v>
      </c>
      <c r="P125" s="126" t="s">
        <v>1004</v>
      </c>
      <c r="Q125" s="126">
        <v>1</v>
      </c>
      <c r="S125" s="162">
        <v>46182</v>
      </c>
      <c r="T125" s="126">
        <v>63</v>
      </c>
      <c r="U125" s="206">
        <v>-1</v>
      </c>
      <c r="V125" s="206">
        <v>-1</v>
      </c>
      <c r="W125" s="206">
        <v>4.33</v>
      </c>
      <c r="X125" s="206">
        <v>0</v>
      </c>
      <c r="Y125" s="206">
        <v>0</v>
      </c>
      <c r="Z125" s="206">
        <v>0</v>
      </c>
      <c r="AA125" s="206">
        <v>4.33</v>
      </c>
      <c r="AB125" s="206">
        <v>0</v>
      </c>
      <c r="AC125" s="235">
        <v>46225.630381944444</v>
      </c>
      <c r="AE125" s="126">
        <v>0</v>
      </c>
      <c r="AF125" s="126">
        <v>0</v>
      </c>
      <c r="AG125" s="126">
        <v>1</v>
      </c>
      <c r="AH125" s="126">
        <v>0</v>
      </c>
      <c r="AI125" s="126">
        <v>1</v>
      </c>
    </row>
    <row r="126" spans="3:35">
      <c r="C126" s="126">
        <v>119</v>
      </c>
      <c r="D126" s="126">
        <v>1</v>
      </c>
      <c r="E126" s="126">
        <v>1</v>
      </c>
      <c r="G126" s="126">
        <v>23</v>
      </c>
      <c r="O126" s="126" t="s">
        <v>549</v>
      </c>
      <c r="P126" s="126" t="s">
        <v>1004</v>
      </c>
      <c r="Q126" s="126">
        <v>1</v>
      </c>
      <c r="S126" s="162">
        <v>46182</v>
      </c>
      <c r="T126" s="126">
        <v>182</v>
      </c>
      <c r="U126" s="206">
        <v>-24</v>
      </c>
      <c r="V126" s="206">
        <v>-2</v>
      </c>
      <c r="W126" s="206">
        <v>2</v>
      </c>
      <c r="X126" s="206">
        <v>0</v>
      </c>
      <c r="Y126" s="206">
        <v>0</v>
      </c>
      <c r="Z126" s="206">
        <v>0</v>
      </c>
      <c r="AA126" s="206">
        <v>2</v>
      </c>
      <c r="AB126" s="206">
        <v>0</v>
      </c>
      <c r="AC126" s="235">
        <v>46225.630381944444</v>
      </c>
      <c r="AE126" s="126">
        <v>0</v>
      </c>
      <c r="AF126" s="126">
        <v>0</v>
      </c>
      <c r="AG126" s="126">
        <v>1</v>
      </c>
      <c r="AH126" s="126">
        <v>0</v>
      </c>
      <c r="AI126" s="126">
        <v>1</v>
      </c>
    </row>
    <row r="127" spans="3:35">
      <c r="C127" s="126">
        <v>120</v>
      </c>
      <c r="D127" s="126">
        <v>1</v>
      </c>
      <c r="E127" s="126">
        <v>1</v>
      </c>
      <c r="G127" s="126">
        <v>24</v>
      </c>
      <c r="O127" s="126" t="s">
        <v>549</v>
      </c>
      <c r="P127" s="126" t="s">
        <v>1045</v>
      </c>
      <c r="Q127" s="126">
        <v>1</v>
      </c>
      <c r="S127" s="162">
        <v>46182</v>
      </c>
      <c r="T127" s="126">
        <v>187</v>
      </c>
      <c r="U127" s="206">
        <v>-8</v>
      </c>
      <c r="V127" s="206">
        <v>-2</v>
      </c>
      <c r="W127" s="206">
        <v>3.37</v>
      </c>
      <c r="X127" s="206">
        <v>0</v>
      </c>
      <c r="Y127" s="206">
        <v>0</v>
      </c>
      <c r="Z127" s="206">
        <v>0</v>
      </c>
      <c r="AA127" s="206">
        <v>3.37</v>
      </c>
      <c r="AB127" s="206">
        <v>0</v>
      </c>
      <c r="AC127" s="235">
        <v>46225.644062500003</v>
      </c>
      <c r="AE127" s="126">
        <v>0</v>
      </c>
      <c r="AF127" s="126">
        <v>0</v>
      </c>
      <c r="AG127" s="126">
        <v>1</v>
      </c>
      <c r="AH127" s="126">
        <v>0</v>
      </c>
      <c r="AI127" s="126">
        <v>1</v>
      </c>
    </row>
    <row r="128" spans="3:35">
      <c r="C128" s="126">
        <v>121</v>
      </c>
      <c r="D128" s="126">
        <v>1</v>
      </c>
      <c r="E128" s="126">
        <v>1</v>
      </c>
      <c r="G128" s="126">
        <v>24</v>
      </c>
      <c r="O128" s="126" t="s">
        <v>549</v>
      </c>
      <c r="P128" s="126" t="s">
        <v>1045</v>
      </c>
      <c r="Q128" s="126">
        <v>1</v>
      </c>
      <c r="S128" s="162">
        <v>46182</v>
      </c>
      <c r="T128" s="126">
        <v>193</v>
      </c>
      <c r="U128" s="206">
        <v>-4</v>
      </c>
      <c r="V128" s="206">
        <v>-1</v>
      </c>
      <c r="W128" s="206">
        <v>3.88</v>
      </c>
      <c r="X128" s="206">
        <v>0</v>
      </c>
      <c r="Y128" s="206">
        <v>0</v>
      </c>
      <c r="Z128" s="206">
        <v>0</v>
      </c>
      <c r="AA128" s="206">
        <v>3.88</v>
      </c>
      <c r="AB128" s="206">
        <v>0</v>
      </c>
      <c r="AC128" s="235">
        <v>46225.644062500003</v>
      </c>
      <c r="AE128" s="126">
        <v>0</v>
      </c>
      <c r="AF128" s="126">
        <v>0</v>
      </c>
      <c r="AG128" s="126">
        <v>1</v>
      </c>
      <c r="AH128" s="126">
        <v>0</v>
      </c>
      <c r="AI128" s="126">
        <v>1</v>
      </c>
    </row>
    <row r="129" spans="3:35">
      <c r="C129" s="126">
        <v>122</v>
      </c>
      <c r="D129" s="126">
        <v>1</v>
      </c>
      <c r="E129" s="126">
        <v>1</v>
      </c>
      <c r="G129" s="126">
        <v>24</v>
      </c>
      <c r="O129" s="126" t="s">
        <v>549</v>
      </c>
      <c r="P129" s="126" t="s">
        <v>1045</v>
      </c>
      <c r="Q129" s="126">
        <v>1</v>
      </c>
      <c r="S129" s="162">
        <v>46182</v>
      </c>
      <c r="T129" s="126">
        <v>195</v>
      </c>
      <c r="U129" s="206">
        <v>-4</v>
      </c>
      <c r="V129" s="206">
        <v>-1</v>
      </c>
      <c r="W129" s="206">
        <v>6.28</v>
      </c>
      <c r="X129" s="206">
        <v>0</v>
      </c>
      <c r="Y129" s="206">
        <v>0</v>
      </c>
      <c r="Z129" s="206">
        <v>0</v>
      </c>
      <c r="AA129" s="206">
        <v>6.28</v>
      </c>
      <c r="AB129" s="206">
        <v>0</v>
      </c>
      <c r="AC129" s="235">
        <v>46225.644062500003</v>
      </c>
      <c r="AE129" s="126">
        <v>0</v>
      </c>
      <c r="AF129" s="126">
        <v>0</v>
      </c>
      <c r="AG129" s="126">
        <v>1</v>
      </c>
      <c r="AH129" s="126">
        <v>0</v>
      </c>
      <c r="AI129" s="126">
        <v>1</v>
      </c>
    </row>
    <row r="130" spans="3:35">
      <c r="C130" s="126">
        <v>123</v>
      </c>
      <c r="D130" s="126">
        <v>1</v>
      </c>
      <c r="E130" s="126">
        <v>1</v>
      </c>
      <c r="G130" s="126">
        <v>24</v>
      </c>
      <c r="O130" s="126" t="s">
        <v>549</v>
      </c>
      <c r="P130" s="126" t="s">
        <v>1045</v>
      </c>
      <c r="Q130" s="126">
        <v>1</v>
      </c>
      <c r="S130" s="162">
        <v>46182</v>
      </c>
      <c r="T130" s="126">
        <v>177</v>
      </c>
      <c r="U130" s="206">
        <v>-700</v>
      </c>
      <c r="V130" s="206">
        <v>-0.7</v>
      </c>
      <c r="W130" s="206">
        <v>4.1500000000000004</v>
      </c>
      <c r="X130" s="206">
        <v>0</v>
      </c>
      <c r="Y130" s="206">
        <v>0</v>
      </c>
      <c r="Z130" s="206">
        <v>0</v>
      </c>
      <c r="AA130" s="206">
        <v>4.1500000000000004</v>
      </c>
      <c r="AB130" s="206">
        <v>0</v>
      </c>
      <c r="AC130" s="235">
        <v>46225.644062500003</v>
      </c>
      <c r="AE130" s="126">
        <v>0</v>
      </c>
      <c r="AF130" s="126">
        <v>0</v>
      </c>
      <c r="AG130" s="126">
        <v>1</v>
      </c>
      <c r="AH130" s="126">
        <v>0</v>
      </c>
      <c r="AI130" s="126">
        <v>1</v>
      </c>
    </row>
    <row r="131" spans="3:35">
      <c r="C131" s="126">
        <v>124</v>
      </c>
      <c r="D131" s="126">
        <v>1</v>
      </c>
      <c r="E131" s="126">
        <v>1</v>
      </c>
      <c r="G131" s="126">
        <v>24</v>
      </c>
      <c r="O131" s="126" t="s">
        <v>549</v>
      </c>
      <c r="P131" s="126" t="s">
        <v>1045</v>
      </c>
      <c r="Q131" s="126">
        <v>1</v>
      </c>
      <c r="S131" s="162">
        <v>46182</v>
      </c>
      <c r="T131" s="126">
        <v>22</v>
      </c>
      <c r="U131" s="206">
        <v>-1</v>
      </c>
      <c r="V131" s="206">
        <v>-1</v>
      </c>
      <c r="W131" s="206">
        <v>2.9</v>
      </c>
      <c r="X131" s="206">
        <v>0</v>
      </c>
      <c r="Y131" s="206">
        <v>0</v>
      </c>
      <c r="Z131" s="206">
        <v>0</v>
      </c>
      <c r="AA131" s="206">
        <v>2.9</v>
      </c>
      <c r="AB131" s="206">
        <v>0</v>
      </c>
      <c r="AC131" s="235">
        <v>46225.644062500003</v>
      </c>
      <c r="AE131" s="126">
        <v>0</v>
      </c>
      <c r="AF131" s="126">
        <v>0</v>
      </c>
      <c r="AG131" s="126">
        <v>1</v>
      </c>
      <c r="AH131" s="126">
        <v>0</v>
      </c>
      <c r="AI131" s="126">
        <v>1</v>
      </c>
    </row>
    <row r="132" spans="3:35">
      <c r="C132" s="126">
        <v>125</v>
      </c>
      <c r="D132" s="126">
        <v>1</v>
      </c>
      <c r="E132" s="126">
        <v>1</v>
      </c>
      <c r="G132" s="126">
        <v>25</v>
      </c>
      <c r="O132" s="126" t="s">
        <v>549</v>
      </c>
      <c r="P132" s="126" t="s">
        <v>1063</v>
      </c>
      <c r="Q132" s="126">
        <v>1</v>
      </c>
      <c r="S132" s="162">
        <v>46183</v>
      </c>
      <c r="T132" s="126">
        <v>177</v>
      </c>
      <c r="U132" s="206">
        <v>-500</v>
      </c>
      <c r="V132" s="206">
        <v>-0.5</v>
      </c>
      <c r="W132" s="206">
        <v>4.1500000000000004</v>
      </c>
      <c r="X132" s="206">
        <v>0</v>
      </c>
      <c r="Y132" s="206">
        <v>0</v>
      </c>
      <c r="Z132" s="206">
        <v>0</v>
      </c>
      <c r="AA132" s="206">
        <v>4.1500000000000004</v>
      </c>
      <c r="AB132" s="206">
        <v>0</v>
      </c>
      <c r="AC132" s="235">
        <v>46225.651469907411</v>
      </c>
      <c r="AE132" s="126">
        <v>0</v>
      </c>
      <c r="AF132" s="126">
        <v>0</v>
      </c>
      <c r="AG132" s="126">
        <v>1</v>
      </c>
      <c r="AH132" s="126">
        <v>0</v>
      </c>
      <c r="AI132" s="126">
        <v>1</v>
      </c>
    </row>
    <row r="133" spans="3:35">
      <c r="C133" s="126">
        <v>126</v>
      </c>
      <c r="D133" s="126">
        <v>1</v>
      </c>
      <c r="E133" s="126">
        <v>1</v>
      </c>
      <c r="G133" s="126">
        <v>25</v>
      </c>
      <c r="O133" s="126" t="s">
        <v>549</v>
      </c>
      <c r="P133" s="126" t="s">
        <v>1063</v>
      </c>
      <c r="Q133" s="126">
        <v>1</v>
      </c>
      <c r="S133" s="162">
        <v>46183</v>
      </c>
      <c r="T133" s="126">
        <v>178</v>
      </c>
      <c r="U133" s="206">
        <v>-300</v>
      </c>
      <c r="V133" s="206">
        <v>-0.3</v>
      </c>
      <c r="W133" s="206">
        <v>4.75</v>
      </c>
      <c r="X133" s="206">
        <v>0</v>
      </c>
      <c r="Y133" s="206">
        <v>0</v>
      </c>
      <c r="Z133" s="206">
        <v>0</v>
      </c>
      <c r="AA133" s="206">
        <v>4.75</v>
      </c>
      <c r="AB133" s="206">
        <v>0</v>
      </c>
      <c r="AC133" s="235">
        <v>46225.651469907411</v>
      </c>
      <c r="AE133" s="126">
        <v>0</v>
      </c>
      <c r="AF133" s="126">
        <v>0</v>
      </c>
      <c r="AG133" s="126">
        <v>1</v>
      </c>
      <c r="AH133" s="126">
        <v>0</v>
      </c>
      <c r="AI133" s="126">
        <v>1</v>
      </c>
    </row>
    <row r="134" spans="3:35">
      <c r="C134" s="126">
        <v>127</v>
      </c>
      <c r="D134" s="126">
        <v>1</v>
      </c>
      <c r="E134" s="126">
        <v>1</v>
      </c>
      <c r="G134" s="126">
        <v>26</v>
      </c>
      <c r="O134" s="126" t="s">
        <v>549</v>
      </c>
      <c r="P134" s="126" t="s">
        <v>1071</v>
      </c>
      <c r="Q134" s="126">
        <v>1</v>
      </c>
      <c r="S134" s="162">
        <v>46183</v>
      </c>
      <c r="T134" s="126">
        <v>183</v>
      </c>
      <c r="U134" s="206">
        <v>-24</v>
      </c>
      <c r="V134" s="206">
        <v>-2</v>
      </c>
      <c r="W134" s="206">
        <v>4</v>
      </c>
      <c r="X134" s="206">
        <v>0</v>
      </c>
      <c r="Y134" s="206">
        <v>0</v>
      </c>
      <c r="Z134" s="206">
        <v>0</v>
      </c>
      <c r="AA134" s="206">
        <v>4</v>
      </c>
      <c r="AB134" s="206">
        <v>0</v>
      </c>
      <c r="AC134" s="235">
        <v>46225.658680555556</v>
      </c>
      <c r="AE134" s="126">
        <v>0</v>
      </c>
      <c r="AF134" s="126">
        <v>0</v>
      </c>
      <c r="AG134" s="126">
        <v>1</v>
      </c>
      <c r="AH134" s="126">
        <v>0</v>
      </c>
      <c r="AI134" s="126">
        <v>1</v>
      </c>
    </row>
    <row r="135" spans="3:35">
      <c r="C135" s="126">
        <v>128</v>
      </c>
      <c r="D135" s="126">
        <v>1</v>
      </c>
      <c r="E135" s="126">
        <v>1</v>
      </c>
      <c r="G135" s="126">
        <v>26</v>
      </c>
      <c r="O135" s="126" t="s">
        <v>549</v>
      </c>
      <c r="P135" s="126" t="s">
        <v>1071</v>
      </c>
      <c r="Q135" s="126">
        <v>1</v>
      </c>
      <c r="S135" s="162">
        <v>46183</v>
      </c>
      <c r="T135" s="126">
        <v>184</v>
      </c>
      <c r="U135" s="206">
        <v>-36</v>
      </c>
      <c r="V135" s="206">
        <v>-3</v>
      </c>
      <c r="W135" s="206">
        <v>6</v>
      </c>
      <c r="X135" s="206">
        <v>0</v>
      </c>
      <c r="Y135" s="206">
        <v>0</v>
      </c>
      <c r="Z135" s="206">
        <v>0</v>
      </c>
      <c r="AA135" s="206">
        <v>6</v>
      </c>
      <c r="AB135" s="206">
        <v>0</v>
      </c>
      <c r="AC135" s="235">
        <v>46225.658680555556</v>
      </c>
      <c r="AE135" s="126">
        <v>0</v>
      </c>
      <c r="AF135" s="126">
        <v>0</v>
      </c>
      <c r="AG135" s="126">
        <v>1</v>
      </c>
      <c r="AH135" s="126">
        <v>0</v>
      </c>
      <c r="AI135" s="126">
        <v>1</v>
      </c>
    </row>
    <row r="136" spans="3:35">
      <c r="C136" s="126">
        <v>129</v>
      </c>
      <c r="D136" s="126">
        <v>1</v>
      </c>
      <c r="E136" s="126">
        <v>1</v>
      </c>
      <c r="G136" s="126">
        <v>27</v>
      </c>
      <c r="O136" s="126" t="s">
        <v>549</v>
      </c>
      <c r="P136" s="126" t="s">
        <v>1079</v>
      </c>
      <c r="Q136" s="126">
        <v>1</v>
      </c>
      <c r="S136" s="162">
        <v>46183</v>
      </c>
      <c r="T136" s="126">
        <v>19</v>
      </c>
      <c r="U136" s="206">
        <v>-2</v>
      </c>
      <c r="V136" s="206">
        <v>-2</v>
      </c>
      <c r="W136" s="206">
        <v>7.49</v>
      </c>
      <c r="X136" s="206">
        <v>0</v>
      </c>
      <c r="Y136" s="206">
        <v>0</v>
      </c>
      <c r="Z136" s="206">
        <v>0</v>
      </c>
      <c r="AA136" s="206">
        <v>7.49</v>
      </c>
      <c r="AB136" s="206">
        <v>0</v>
      </c>
      <c r="AC136" s="235">
        <v>46225.670752314814</v>
      </c>
      <c r="AE136" s="126">
        <v>0</v>
      </c>
      <c r="AF136" s="126">
        <v>0</v>
      </c>
      <c r="AG136" s="126">
        <v>1</v>
      </c>
      <c r="AH136" s="126">
        <v>0</v>
      </c>
      <c r="AI136" s="126">
        <v>1</v>
      </c>
    </row>
    <row r="137" spans="3:35">
      <c r="C137" s="126">
        <v>130</v>
      </c>
      <c r="D137" s="126">
        <v>1</v>
      </c>
      <c r="E137" s="126">
        <v>1</v>
      </c>
      <c r="G137" s="126">
        <v>27</v>
      </c>
      <c r="O137" s="126" t="s">
        <v>549</v>
      </c>
      <c r="P137" s="126" t="s">
        <v>1079</v>
      </c>
      <c r="Q137" s="126">
        <v>1</v>
      </c>
      <c r="S137" s="162">
        <v>46183</v>
      </c>
      <c r="T137" s="126">
        <v>14</v>
      </c>
      <c r="U137" s="206">
        <v>-1</v>
      </c>
      <c r="V137" s="206">
        <v>-1</v>
      </c>
      <c r="W137" s="206">
        <v>3.3</v>
      </c>
      <c r="X137" s="206">
        <v>0</v>
      </c>
      <c r="Y137" s="206">
        <v>0</v>
      </c>
      <c r="Z137" s="206">
        <v>0</v>
      </c>
      <c r="AA137" s="206">
        <v>3.3</v>
      </c>
      <c r="AB137" s="206">
        <v>0</v>
      </c>
      <c r="AC137" s="235">
        <v>46225.670752314814</v>
      </c>
      <c r="AE137" s="126">
        <v>0</v>
      </c>
      <c r="AF137" s="126">
        <v>0</v>
      </c>
      <c r="AG137" s="126">
        <v>1</v>
      </c>
      <c r="AH137" s="126">
        <v>0</v>
      </c>
      <c r="AI137" s="126">
        <v>1</v>
      </c>
    </row>
    <row r="138" spans="3:35">
      <c r="C138" s="126">
        <v>131</v>
      </c>
      <c r="D138" s="126">
        <v>1</v>
      </c>
      <c r="E138" s="126">
        <v>1</v>
      </c>
      <c r="G138" s="126">
        <v>27</v>
      </c>
      <c r="O138" s="126" t="s">
        <v>549</v>
      </c>
      <c r="P138" s="126" t="s">
        <v>1079</v>
      </c>
      <c r="Q138" s="126">
        <v>1</v>
      </c>
      <c r="S138" s="162">
        <v>46183</v>
      </c>
      <c r="T138" s="126">
        <v>184</v>
      </c>
      <c r="U138" s="206">
        <v>-84</v>
      </c>
      <c r="V138" s="206">
        <v>-7</v>
      </c>
      <c r="W138" s="206">
        <v>6</v>
      </c>
      <c r="X138" s="206">
        <v>0</v>
      </c>
      <c r="Y138" s="206">
        <v>0</v>
      </c>
      <c r="Z138" s="206">
        <v>0</v>
      </c>
      <c r="AA138" s="206">
        <v>6</v>
      </c>
      <c r="AB138" s="206">
        <v>0</v>
      </c>
      <c r="AC138" s="235">
        <v>46225.670752314814</v>
      </c>
      <c r="AE138" s="126">
        <v>0</v>
      </c>
      <c r="AF138" s="126">
        <v>0</v>
      </c>
      <c r="AG138" s="126">
        <v>1</v>
      </c>
      <c r="AH138" s="126">
        <v>0</v>
      </c>
      <c r="AI138" s="126">
        <v>1</v>
      </c>
    </row>
    <row r="139" spans="3:35">
      <c r="C139" s="126">
        <v>132</v>
      </c>
      <c r="D139" s="126">
        <v>1</v>
      </c>
      <c r="E139" s="126">
        <v>1</v>
      </c>
      <c r="G139" s="126">
        <v>28</v>
      </c>
      <c r="O139" s="126" t="s">
        <v>549</v>
      </c>
      <c r="P139" s="126" t="s">
        <v>1092</v>
      </c>
      <c r="Q139" s="126">
        <v>1</v>
      </c>
      <c r="S139" s="162">
        <v>46184</v>
      </c>
      <c r="T139" s="126">
        <v>178</v>
      </c>
      <c r="U139" s="206">
        <v>-200</v>
      </c>
      <c r="V139" s="206">
        <v>-0.2</v>
      </c>
      <c r="W139" s="206">
        <v>4.75</v>
      </c>
      <c r="X139" s="206">
        <v>0</v>
      </c>
      <c r="Y139" s="206">
        <v>0</v>
      </c>
      <c r="Z139" s="206">
        <v>0</v>
      </c>
      <c r="AA139" s="206">
        <v>4.75</v>
      </c>
      <c r="AB139" s="206">
        <v>0</v>
      </c>
      <c r="AC139" s="235">
        <v>46225.685636574075</v>
      </c>
      <c r="AE139" s="126">
        <v>0</v>
      </c>
      <c r="AF139" s="126">
        <v>0</v>
      </c>
      <c r="AG139" s="126">
        <v>1</v>
      </c>
      <c r="AH139" s="126">
        <v>0</v>
      </c>
      <c r="AI139" s="126">
        <v>1</v>
      </c>
    </row>
    <row r="140" spans="3:35">
      <c r="C140" s="126">
        <v>133</v>
      </c>
      <c r="D140" s="126">
        <v>1</v>
      </c>
      <c r="E140" s="126">
        <v>1</v>
      </c>
      <c r="G140" s="126">
        <v>28</v>
      </c>
      <c r="O140" s="126" t="s">
        <v>549</v>
      </c>
      <c r="P140" s="126" t="s">
        <v>1092</v>
      </c>
      <c r="Q140" s="126">
        <v>1</v>
      </c>
      <c r="S140" s="162">
        <v>46184</v>
      </c>
      <c r="T140" s="126">
        <v>17</v>
      </c>
      <c r="U140" s="206">
        <v>-3</v>
      </c>
      <c r="V140" s="206">
        <v>-3</v>
      </c>
      <c r="W140" s="206">
        <v>1.63</v>
      </c>
      <c r="X140" s="206">
        <v>0</v>
      </c>
      <c r="Y140" s="206">
        <v>0</v>
      </c>
      <c r="Z140" s="206">
        <v>0</v>
      </c>
      <c r="AA140" s="206">
        <v>1.63</v>
      </c>
      <c r="AB140" s="206">
        <v>0</v>
      </c>
      <c r="AC140" s="235">
        <v>46225.685636574075</v>
      </c>
      <c r="AE140" s="126">
        <v>0</v>
      </c>
      <c r="AF140" s="126">
        <v>0</v>
      </c>
      <c r="AG140" s="126">
        <v>1</v>
      </c>
      <c r="AH140" s="126">
        <v>0</v>
      </c>
      <c r="AI140" s="126">
        <v>1</v>
      </c>
    </row>
    <row r="141" spans="3:35">
      <c r="C141" s="126">
        <v>134</v>
      </c>
      <c r="D141" s="126">
        <v>1</v>
      </c>
      <c r="E141" s="126">
        <v>1</v>
      </c>
      <c r="G141" s="126">
        <v>28</v>
      </c>
      <c r="O141" s="126" t="s">
        <v>549</v>
      </c>
      <c r="P141" s="126" t="s">
        <v>1092</v>
      </c>
      <c r="Q141" s="126">
        <v>1</v>
      </c>
      <c r="S141" s="162">
        <v>46184</v>
      </c>
      <c r="T141" s="126">
        <v>70</v>
      </c>
      <c r="U141" s="206">
        <v>-1</v>
      </c>
      <c r="V141" s="206">
        <v>-1</v>
      </c>
      <c r="W141" s="206">
        <v>0.15</v>
      </c>
      <c r="X141" s="206">
        <v>0</v>
      </c>
      <c r="Y141" s="206">
        <v>0</v>
      </c>
      <c r="Z141" s="206">
        <v>0</v>
      </c>
      <c r="AA141" s="206">
        <v>0.15</v>
      </c>
      <c r="AB141" s="206">
        <v>0</v>
      </c>
      <c r="AC141" s="235">
        <v>46225.685636574075</v>
      </c>
      <c r="AE141" s="126">
        <v>0</v>
      </c>
      <c r="AF141" s="126">
        <v>0</v>
      </c>
      <c r="AG141" s="126">
        <v>1</v>
      </c>
      <c r="AH141" s="126">
        <v>0</v>
      </c>
      <c r="AI141" s="126">
        <v>1</v>
      </c>
    </row>
    <row r="142" spans="3:35">
      <c r="C142" s="126">
        <v>135</v>
      </c>
      <c r="D142" s="126">
        <v>1</v>
      </c>
      <c r="E142" s="126">
        <v>1</v>
      </c>
      <c r="G142" s="126">
        <v>28</v>
      </c>
      <c r="O142" s="126" t="s">
        <v>549</v>
      </c>
      <c r="P142" s="126" t="s">
        <v>1092</v>
      </c>
      <c r="Q142" s="126">
        <v>1</v>
      </c>
      <c r="S142" s="162">
        <v>46184</v>
      </c>
      <c r="T142" s="126">
        <v>181</v>
      </c>
      <c r="U142" s="206">
        <v>-36</v>
      </c>
      <c r="V142" s="206">
        <v>-3</v>
      </c>
      <c r="W142" s="206">
        <v>1</v>
      </c>
      <c r="X142" s="206">
        <v>0</v>
      </c>
      <c r="Y142" s="206">
        <v>0</v>
      </c>
      <c r="Z142" s="206">
        <v>0</v>
      </c>
      <c r="AA142" s="206">
        <v>1</v>
      </c>
      <c r="AB142" s="206">
        <v>0</v>
      </c>
      <c r="AC142" s="235">
        <v>46225.685636574075</v>
      </c>
      <c r="AE142" s="126">
        <v>0</v>
      </c>
      <c r="AF142" s="126">
        <v>0</v>
      </c>
      <c r="AG142" s="126">
        <v>1</v>
      </c>
      <c r="AH142" s="126">
        <v>0</v>
      </c>
      <c r="AI142" s="126">
        <v>1</v>
      </c>
    </row>
    <row r="143" spans="3:35">
      <c r="C143" s="126">
        <v>136</v>
      </c>
      <c r="D143" s="126">
        <v>1</v>
      </c>
      <c r="E143" s="126">
        <v>1</v>
      </c>
      <c r="G143" s="126">
        <v>29</v>
      </c>
      <c r="O143" s="126" t="s">
        <v>549</v>
      </c>
      <c r="P143" s="126" t="s">
        <v>1106</v>
      </c>
      <c r="Q143" s="126">
        <v>1</v>
      </c>
      <c r="S143" s="162">
        <v>46184</v>
      </c>
      <c r="T143" s="126">
        <v>40</v>
      </c>
      <c r="U143" s="206">
        <v>-2</v>
      </c>
      <c r="V143" s="206">
        <v>-2</v>
      </c>
      <c r="W143" s="206">
        <v>0.23</v>
      </c>
      <c r="X143" s="206">
        <v>0</v>
      </c>
      <c r="Y143" s="206">
        <v>0</v>
      </c>
      <c r="Z143" s="206">
        <v>0</v>
      </c>
      <c r="AA143" s="206">
        <v>0.23</v>
      </c>
      <c r="AB143" s="206">
        <v>0</v>
      </c>
      <c r="AC143" s="235">
        <v>46225.798460648148</v>
      </c>
      <c r="AE143" s="126">
        <v>0</v>
      </c>
      <c r="AF143" s="126">
        <v>0</v>
      </c>
      <c r="AG143" s="126">
        <v>1</v>
      </c>
      <c r="AH143" s="126">
        <v>0</v>
      </c>
      <c r="AI143" s="126">
        <v>1</v>
      </c>
    </row>
    <row r="144" spans="3:35">
      <c r="C144" s="126">
        <v>137</v>
      </c>
      <c r="D144" s="126">
        <v>1</v>
      </c>
      <c r="E144" s="126">
        <v>1</v>
      </c>
      <c r="G144" s="126">
        <v>29</v>
      </c>
      <c r="O144" s="126" t="s">
        <v>549</v>
      </c>
      <c r="P144" s="126" t="s">
        <v>1106</v>
      </c>
      <c r="Q144" s="126">
        <v>1</v>
      </c>
      <c r="S144" s="162">
        <v>46184</v>
      </c>
      <c r="T144" s="126">
        <v>38</v>
      </c>
      <c r="U144" s="206">
        <v>-2</v>
      </c>
      <c r="V144" s="206">
        <v>-2</v>
      </c>
      <c r="W144" s="206">
        <v>0.28999999999999998</v>
      </c>
      <c r="X144" s="206">
        <v>0</v>
      </c>
      <c r="Y144" s="206">
        <v>0</v>
      </c>
      <c r="Z144" s="206">
        <v>0</v>
      </c>
      <c r="AA144" s="206">
        <v>0.28999999999999998</v>
      </c>
      <c r="AB144" s="206">
        <v>0</v>
      </c>
      <c r="AC144" s="235">
        <v>46225.798460648148</v>
      </c>
      <c r="AE144" s="126">
        <v>0</v>
      </c>
      <c r="AF144" s="126">
        <v>0</v>
      </c>
      <c r="AG144" s="126">
        <v>1</v>
      </c>
      <c r="AH144" s="126">
        <v>0</v>
      </c>
      <c r="AI144" s="126">
        <v>1</v>
      </c>
    </row>
    <row r="145" spans="3:35">
      <c r="C145" s="126">
        <v>138</v>
      </c>
      <c r="D145" s="126">
        <v>1</v>
      </c>
      <c r="E145" s="126">
        <v>1</v>
      </c>
      <c r="G145" s="126">
        <v>29</v>
      </c>
      <c r="O145" s="126" t="s">
        <v>549</v>
      </c>
      <c r="P145" s="126" t="s">
        <v>1106</v>
      </c>
      <c r="Q145" s="126">
        <v>1</v>
      </c>
      <c r="S145" s="162">
        <v>46184</v>
      </c>
      <c r="T145" s="126">
        <v>5</v>
      </c>
      <c r="U145" s="206">
        <v>-1</v>
      </c>
      <c r="V145" s="206">
        <v>-1</v>
      </c>
      <c r="W145" s="206">
        <v>3.74</v>
      </c>
      <c r="X145" s="206">
        <v>0</v>
      </c>
      <c r="Y145" s="206">
        <v>0</v>
      </c>
      <c r="Z145" s="206">
        <v>0</v>
      </c>
      <c r="AA145" s="206">
        <v>3.74</v>
      </c>
      <c r="AB145" s="206">
        <v>0</v>
      </c>
      <c r="AC145" s="235">
        <v>46225.798460648148</v>
      </c>
      <c r="AE145" s="126">
        <v>0</v>
      </c>
      <c r="AF145" s="126">
        <v>0</v>
      </c>
      <c r="AG145" s="126">
        <v>1</v>
      </c>
      <c r="AH145" s="126">
        <v>0</v>
      </c>
      <c r="AI145" s="126">
        <v>1</v>
      </c>
    </row>
    <row r="146" spans="3:35">
      <c r="C146" s="126">
        <v>139</v>
      </c>
      <c r="D146" s="126">
        <v>1</v>
      </c>
      <c r="E146" s="126">
        <v>1</v>
      </c>
      <c r="G146" s="126">
        <v>29</v>
      </c>
      <c r="O146" s="126" t="s">
        <v>549</v>
      </c>
      <c r="P146" s="126" t="s">
        <v>1106</v>
      </c>
      <c r="Q146" s="126">
        <v>1</v>
      </c>
      <c r="S146" s="162">
        <v>46184</v>
      </c>
      <c r="T146" s="126">
        <v>182</v>
      </c>
      <c r="U146" s="206">
        <v>-36</v>
      </c>
      <c r="V146" s="206">
        <v>-3</v>
      </c>
      <c r="W146" s="206">
        <v>2</v>
      </c>
      <c r="X146" s="206">
        <v>0</v>
      </c>
      <c r="Y146" s="206">
        <v>0</v>
      </c>
      <c r="Z146" s="206">
        <v>0</v>
      </c>
      <c r="AA146" s="206">
        <v>2</v>
      </c>
      <c r="AB146" s="206">
        <v>0</v>
      </c>
      <c r="AC146" s="235">
        <v>46225.798460648148</v>
      </c>
      <c r="AE146" s="126">
        <v>0</v>
      </c>
      <c r="AF146" s="126">
        <v>0</v>
      </c>
      <c r="AG146" s="126">
        <v>1</v>
      </c>
      <c r="AH146" s="126">
        <v>0</v>
      </c>
      <c r="AI146" s="126">
        <v>1</v>
      </c>
    </row>
    <row r="147" spans="3:35">
      <c r="C147" s="126">
        <v>140</v>
      </c>
      <c r="D147" s="126">
        <v>1</v>
      </c>
      <c r="E147" s="126">
        <v>1</v>
      </c>
      <c r="G147" s="126">
        <v>29</v>
      </c>
      <c r="O147" s="126" t="s">
        <v>549</v>
      </c>
      <c r="P147" s="126" t="s">
        <v>1106</v>
      </c>
      <c r="Q147" s="126">
        <v>1</v>
      </c>
      <c r="S147" s="162">
        <v>46184</v>
      </c>
      <c r="T147" s="126">
        <v>8</v>
      </c>
      <c r="U147" s="206">
        <v>-1</v>
      </c>
      <c r="V147" s="206">
        <v>-1</v>
      </c>
      <c r="W147" s="206">
        <v>1.32</v>
      </c>
      <c r="X147" s="206">
        <v>0</v>
      </c>
      <c r="Y147" s="206">
        <v>0</v>
      </c>
      <c r="Z147" s="206">
        <v>0</v>
      </c>
      <c r="AA147" s="206">
        <v>1.32</v>
      </c>
      <c r="AB147" s="206">
        <v>0</v>
      </c>
      <c r="AC147" s="235">
        <v>46225.798460648148</v>
      </c>
      <c r="AE147" s="126">
        <v>0</v>
      </c>
      <c r="AF147" s="126">
        <v>0</v>
      </c>
      <c r="AG147" s="126">
        <v>1</v>
      </c>
      <c r="AH147" s="126">
        <v>0</v>
      </c>
      <c r="AI147" s="126">
        <v>1</v>
      </c>
    </row>
    <row r="148" spans="3:35">
      <c r="C148" s="126">
        <v>141</v>
      </c>
      <c r="D148" s="126">
        <v>1</v>
      </c>
      <c r="E148" s="126">
        <v>1</v>
      </c>
      <c r="G148" s="126">
        <v>29</v>
      </c>
      <c r="O148" s="126" t="s">
        <v>549</v>
      </c>
      <c r="P148" s="126" t="s">
        <v>1106</v>
      </c>
      <c r="Q148" s="126">
        <v>1</v>
      </c>
      <c r="S148" s="162">
        <v>46184</v>
      </c>
      <c r="T148" s="126">
        <v>26</v>
      </c>
      <c r="U148" s="206">
        <v>-1</v>
      </c>
      <c r="V148" s="206">
        <v>-1</v>
      </c>
      <c r="W148" s="206">
        <v>3.01</v>
      </c>
      <c r="X148" s="206">
        <v>0</v>
      </c>
      <c r="Y148" s="206">
        <v>0</v>
      </c>
      <c r="Z148" s="206">
        <v>0</v>
      </c>
      <c r="AA148" s="206">
        <v>3.01</v>
      </c>
      <c r="AB148" s="206">
        <v>0</v>
      </c>
      <c r="AC148" s="235">
        <v>46225.798460648148</v>
      </c>
      <c r="AE148" s="126">
        <v>0</v>
      </c>
      <c r="AF148" s="126">
        <v>0</v>
      </c>
      <c r="AG148" s="126">
        <v>1</v>
      </c>
      <c r="AH148" s="126">
        <v>0</v>
      </c>
      <c r="AI148" s="126">
        <v>1</v>
      </c>
    </row>
    <row r="149" spans="3:35">
      <c r="C149" s="126">
        <v>142</v>
      </c>
      <c r="D149" s="126">
        <v>1</v>
      </c>
      <c r="E149" s="126">
        <v>1</v>
      </c>
      <c r="G149" s="126">
        <v>29</v>
      </c>
      <c r="O149" s="126" t="s">
        <v>549</v>
      </c>
      <c r="P149" s="126" t="s">
        <v>1106</v>
      </c>
      <c r="Q149" s="126">
        <v>1</v>
      </c>
      <c r="S149" s="162">
        <v>46184</v>
      </c>
      <c r="T149" s="126">
        <v>76</v>
      </c>
      <c r="U149" s="206">
        <v>-5</v>
      </c>
      <c r="V149" s="206">
        <v>-5</v>
      </c>
      <c r="W149" s="206">
        <v>1.35</v>
      </c>
      <c r="X149" s="206">
        <v>0</v>
      </c>
      <c r="Y149" s="206">
        <v>0</v>
      </c>
      <c r="Z149" s="206">
        <v>0</v>
      </c>
      <c r="AA149" s="206">
        <v>1.35</v>
      </c>
      <c r="AB149" s="206">
        <v>0</v>
      </c>
      <c r="AC149" s="235">
        <v>46225.798460648148</v>
      </c>
      <c r="AE149" s="126">
        <v>0</v>
      </c>
      <c r="AF149" s="126">
        <v>0</v>
      </c>
      <c r="AG149" s="126">
        <v>1</v>
      </c>
      <c r="AH149" s="126">
        <v>0</v>
      </c>
      <c r="AI149" s="126">
        <v>1</v>
      </c>
    </row>
    <row r="150" spans="3:35">
      <c r="C150" s="126">
        <v>143</v>
      </c>
      <c r="D150" s="126">
        <v>1</v>
      </c>
      <c r="E150" s="126">
        <v>1</v>
      </c>
      <c r="G150" s="126">
        <v>29</v>
      </c>
      <c r="O150" s="126" t="s">
        <v>549</v>
      </c>
      <c r="P150" s="126" t="s">
        <v>1106</v>
      </c>
      <c r="Q150" s="126">
        <v>1</v>
      </c>
      <c r="S150" s="162">
        <v>46184</v>
      </c>
      <c r="T150" s="126">
        <v>90</v>
      </c>
      <c r="U150" s="206">
        <v>-4</v>
      </c>
      <c r="V150" s="206">
        <v>-0.04</v>
      </c>
      <c r="W150" s="206">
        <v>0.18</v>
      </c>
      <c r="X150" s="206">
        <v>0</v>
      </c>
      <c r="Y150" s="206">
        <v>0</v>
      </c>
      <c r="Z150" s="206">
        <v>0</v>
      </c>
      <c r="AA150" s="206">
        <v>0.18</v>
      </c>
      <c r="AB150" s="206">
        <v>0</v>
      </c>
      <c r="AC150" s="235">
        <v>46225.798460648148</v>
      </c>
      <c r="AE150" s="126">
        <v>0</v>
      </c>
      <c r="AF150" s="126">
        <v>0</v>
      </c>
      <c r="AG150" s="126">
        <v>1</v>
      </c>
      <c r="AH150" s="126">
        <v>0</v>
      </c>
      <c r="AI150" s="126">
        <v>1</v>
      </c>
    </row>
    <row r="151" spans="3:35">
      <c r="C151" s="126">
        <v>144</v>
      </c>
      <c r="D151" s="126">
        <v>1</v>
      </c>
      <c r="E151" s="126">
        <v>1</v>
      </c>
      <c r="G151" s="126">
        <v>29</v>
      </c>
      <c r="O151" s="126" t="s">
        <v>549</v>
      </c>
      <c r="P151" s="126" t="s">
        <v>1106</v>
      </c>
      <c r="Q151" s="126">
        <v>1</v>
      </c>
      <c r="S151" s="162">
        <v>46184</v>
      </c>
      <c r="T151" s="126">
        <v>39</v>
      </c>
      <c r="U151" s="206">
        <v>-3</v>
      </c>
      <c r="V151" s="206">
        <v>-3</v>
      </c>
      <c r="W151" s="206">
        <v>0.28999999999999998</v>
      </c>
      <c r="X151" s="206">
        <v>0</v>
      </c>
      <c r="Y151" s="206">
        <v>0</v>
      </c>
      <c r="Z151" s="206">
        <v>0</v>
      </c>
      <c r="AA151" s="206">
        <v>0.28999999999999998</v>
      </c>
      <c r="AB151" s="206">
        <v>0</v>
      </c>
      <c r="AC151" s="235">
        <v>46225.798460648148</v>
      </c>
      <c r="AE151" s="126">
        <v>0</v>
      </c>
      <c r="AF151" s="126">
        <v>0</v>
      </c>
      <c r="AG151" s="126">
        <v>1</v>
      </c>
      <c r="AH151" s="126">
        <v>0</v>
      </c>
      <c r="AI151" s="126">
        <v>1</v>
      </c>
    </row>
    <row r="152" spans="3:35">
      <c r="C152" s="126">
        <v>145</v>
      </c>
      <c r="D152" s="126">
        <v>1</v>
      </c>
      <c r="E152" s="126">
        <v>1</v>
      </c>
      <c r="G152" s="126">
        <v>29</v>
      </c>
      <c r="O152" s="126" t="s">
        <v>549</v>
      </c>
      <c r="P152" s="126" t="s">
        <v>1106</v>
      </c>
      <c r="Q152" s="126">
        <v>1</v>
      </c>
      <c r="S152" s="162">
        <v>46184</v>
      </c>
      <c r="T152" s="126">
        <v>42</v>
      </c>
      <c r="U152" s="206">
        <v>-3</v>
      </c>
      <c r="V152" s="206">
        <v>-3</v>
      </c>
      <c r="W152" s="206">
        <v>0.24</v>
      </c>
      <c r="X152" s="206">
        <v>0</v>
      </c>
      <c r="Y152" s="206">
        <v>0</v>
      </c>
      <c r="Z152" s="206">
        <v>0</v>
      </c>
      <c r="AA152" s="206">
        <v>0.24</v>
      </c>
      <c r="AB152" s="206">
        <v>0</v>
      </c>
      <c r="AC152" s="235">
        <v>46225.798460648148</v>
      </c>
      <c r="AE152" s="126">
        <v>0</v>
      </c>
      <c r="AF152" s="126">
        <v>0</v>
      </c>
      <c r="AG152" s="126">
        <v>1</v>
      </c>
      <c r="AH152" s="126">
        <v>0</v>
      </c>
      <c r="AI152" s="126">
        <v>1</v>
      </c>
    </row>
    <row r="153" spans="3:35">
      <c r="C153" s="126">
        <v>146</v>
      </c>
      <c r="D153" s="126">
        <v>1</v>
      </c>
      <c r="E153" s="126">
        <v>1</v>
      </c>
      <c r="G153" s="126">
        <v>29</v>
      </c>
      <c r="O153" s="126" t="s">
        <v>549</v>
      </c>
      <c r="P153" s="126" t="s">
        <v>1106</v>
      </c>
      <c r="Q153" s="126">
        <v>1</v>
      </c>
      <c r="S153" s="162">
        <v>46184</v>
      </c>
      <c r="T153" s="126">
        <v>169</v>
      </c>
      <c r="U153" s="206">
        <v>-15</v>
      </c>
      <c r="V153" s="206">
        <v>-15</v>
      </c>
      <c r="W153" s="206">
        <v>0.5</v>
      </c>
      <c r="X153" s="206">
        <v>0</v>
      </c>
      <c r="Y153" s="206">
        <v>0</v>
      </c>
      <c r="Z153" s="206">
        <v>0</v>
      </c>
      <c r="AA153" s="206">
        <v>0.5</v>
      </c>
      <c r="AB153" s="206">
        <v>0</v>
      </c>
      <c r="AC153" s="235">
        <v>46225.798460648148</v>
      </c>
      <c r="AE153" s="126">
        <v>0</v>
      </c>
      <c r="AF153" s="126">
        <v>0</v>
      </c>
      <c r="AG153" s="126">
        <v>1</v>
      </c>
      <c r="AH153" s="126">
        <v>0</v>
      </c>
      <c r="AI153" s="126">
        <v>1</v>
      </c>
    </row>
    <row r="154" spans="3:35">
      <c r="C154" s="126">
        <v>147</v>
      </c>
      <c r="D154" s="126">
        <v>1</v>
      </c>
      <c r="E154" s="126">
        <v>1</v>
      </c>
      <c r="G154" s="126">
        <v>29</v>
      </c>
      <c r="O154" s="126" t="s">
        <v>549</v>
      </c>
      <c r="P154" s="126" t="s">
        <v>1106</v>
      </c>
      <c r="Q154" s="126">
        <v>1</v>
      </c>
      <c r="S154" s="162">
        <v>46184</v>
      </c>
      <c r="T154" s="126">
        <v>131</v>
      </c>
      <c r="U154" s="206">
        <v>-1</v>
      </c>
      <c r="V154" s="206">
        <v>-1</v>
      </c>
      <c r="W154" s="206">
        <v>0.7</v>
      </c>
      <c r="X154" s="206">
        <v>0</v>
      </c>
      <c r="Y154" s="206">
        <v>0</v>
      </c>
      <c r="Z154" s="206">
        <v>0</v>
      </c>
      <c r="AA154" s="206">
        <v>0.7</v>
      </c>
      <c r="AB154" s="206">
        <v>0</v>
      </c>
      <c r="AC154" s="235">
        <v>46225.798460648148</v>
      </c>
      <c r="AE154" s="126">
        <v>0</v>
      </c>
      <c r="AF154" s="126">
        <v>0</v>
      </c>
      <c r="AG154" s="126">
        <v>1</v>
      </c>
      <c r="AH154" s="126">
        <v>0</v>
      </c>
      <c r="AI154" s="126">
        <v>1</v>
      </c>
    </row>
    <row r="155" spans="3:35">
      <c r="C155" s="126">
        <v>148</v>
      </c>
      <c r="D155" s="126">
        <v>1</v>
      </c>
      <c r="E155" s="126">
        <v>1</v>
      </c>
      <c r="G155" s="126">
        <v>30</v>
      </c>
      <c r="O155" s="126" t="s">
        <v>549</v>
      </c>
      <c r="P155" s="126" t="s">
        <v>1160</v>
      </c>
      <c r="Q155" s="126">
        <v>1</v>
      </c>
      <c r="S155" s="162">
        <v>46184</v>
      </c>
      <c r="T155" s="126">
        <v>177</v>
      </c>
      <c r="U155" s="206">
        <v>-250</v>
      </c>
      <c r="V155" s="206">
        <v>-0.25</v>
      </c>
      <c r="W155" s="206">
        <v>4.1500000000000004</v>
      </c>
      <c r="X155" s="206">
        <v>0</v>
      </c>
      <c r="Y155" s="206">
        <v>0</v>
      </c>
      <c r="Z155" s="206">
        <v>0</v>
      </c>
      <c r="AA155" s="206">
        <v>4.1500000000000004</v>
      </c>
      <c r="AB155" s="206">
        <v>0</v>
      </c>
      <c r="AC155" s="235">
        <v>46226.015185185184</v>
      </c>
      <c r="AE155" s="126">
        <v>0</v>
      </c>
      <c r="AF155" s="126">
        <v>0</v>
      </c>
      <c r="AG155" s="126">
        <v>1</v>
      </c>
      <c r="AH155" s="126">
        <v>0</v>
      </c>
      <c r="AI155" s="126">
        <v>1</v>
      </c>
    </row>
    <row r="156" spans="3:35">
      <c r="C156" s="126">
        <v>149</v>
      </c>
      <c r="D156" s="126">
        <v>1</v>
      </c>
      <c r="E156" s="126">
        <v>1</v>
      </c>
      <c r="G156" s="126">
        <v>31</v>
      </c>
      <c r="O156" s="126" t="s">
        <v>549</v>
      </c>
      <c r="P156" s="126" t="s">
        <v>1165</v>
      </c>
      <c r="Q156" s="126">
        <v>1</v>
      </c>
      <c r="S156" s="162">
        <v>46184</v>
      </c>
      <c r="T156" s="126">
        <v>197</v>
      </c>
      <c r="U156" s="206">
        <v>-8</v>
      </c>
      <c r="V156" s="206">
        <v>-2</v>
      </c>
      <c r="W156" s="206">
        <v>8.36</v>
      </c>
      <c r="X156" s="206">
        <v>0</v>
      </c>
      <c r="Y156" s="206">
        <v>0</v>
      </c>
      <c r="Z156" s="206">
        <v>0</v>
      </c>
      <c r="AA156" s="206">
        <v>8.36</v>
      </c>
      <c r="AB156" s="206">
        <v>0</v>
      </c>
      <c r="AC156" s="235">
        <v>46226.024560185186</v>
      </c>
      <c r="AE156" s="126">
        <v>0</v>
      </c>
      <c r="AF156" s="126">
        <v>0</v>
      </c>
      <c r="AG156" s="126">
        <v>1</v>
      </c>
      <c r="AH156" s="126">
        <v>0</v>
      </c>
      <c r="AI156" s="126">
        <v>1</v>
      </c>
    </row>
    <row r="157" spans="3:35">
      <c r="C157" s="126">
        <v>150</v>
      </c>
      <c r="D157" s="126">
        <v>1</v>
      </c>
      <c r="E157" s="126">
        <v>1</v>
      </c>
      <c r="G157" s="126">
        <v>31</v>
      </c>
      <c r="O157" s="126" t="s">
        <v>549</v>
      </c>
      <c r="P157" s="126" t="s">
        <v>1165</v>
      </c>
      <c r="Q157" s="126">
        <v>1</v>
      </c>
      <c r="S157" s="162">
        <v>46184</v>
      </c>
      <c r="T157" s="126">
        <v>198</v>
      </c>
      <c r="U157" s="206">
        <v>-16</v>
      </c>
      <c r="V157" s="206">
        <v>-4</v>
      </c>
      <c r="W157" s="206">
        <v>9.48</v>
      </c>
      <c r="X157" s="206">
        <v>0</v>
      </c>
      <c r="Y157" s="206">
        <v>0</v>
      </c>
      <c r="Z157" s="206">
        <v>0</v>
      </c>
      <c r="AA157" s="206">
        <v>9.48</v>
      </c>
      <c r="AB157" s="206">
        <v>0</v>
      </c>
      <c r="AC157" s="235">
        <v>46226.024560185186</v>
      </c>
      <c r="AE157" s="126">
        <v>0</v>
      </c>
      <c r="AF157" s="126">
        <v>0</v>
      </c>
      <c r="AG157" s="126">
        <v>1</v>
      </c>
      <c r="AH157" s="126">
        <v>0</v>
      </c>
      <c r="AI157" s="126">
        <v>1</v>
      </c>
    </row>
    <row r="158" spans="3:35">
      <c r="C158" s="126">
        <v>151</v>
      </c>
      <c r="D158" s="126">
        <v>1</v>
      </c>
      <c r="E158" s="126">
        <v>1</v>
      </c>
      <c r="G158" s="126">
        <v>31</v>
      </c>
      <c r="O158" s="126" t="s">
        <v>549</v>
      </c>
      <c r="P158" s="126" t="s">
        <v>1165</v>
      </c>
      <c r="Q158" s="126">
        <v>1</v>
      </c>
      <c r="S158" s="162">
        <v>46184</v>
      </c>
      <c r="T158" s="126">
        <v>178</v>
      </c>
      <c r="U158" s="206">
        <v>-300</v>
      </c>
      <c r="V158" s="206">
        <v>-0.3</v>
      </c>
      <c r="W158" s="206">
        <v>4.75</v>
      </c>
      <c r="X158" s="206">
        <v>0</v>
      </c>
      <c r="Y158" s="206">
        <v>0</v>
      </c>
      <c r="Z158" s="206">
        <v>0</v>
      </c>
      <c r="AA158" s="206">
        <v>4.75</v>
      </c>
      <c r="AB158" s="206">
        <v>0</v>
      </c>
      <c r="AC158" s="235">
        <v>46226.024560185186</v>
      </c>
      <c r="AE158" s="126">
        <v>0</v>
      </c>
      <c r="AF158" s="126">
        <v>0</v>
      </c>
      <c r="AG158" s="126">
        <v>1</v>
      </c>
      <c r="AH158" s="126">
        <v>0</v>
      </c>
      <c r="AI158" s="126">
        <v>1</v>
      </c>
    </row>
    <row r="159" spans="3:35">
      <c r="C159" s="126">
        <v>152</v>
      </c>
      <c r="D159" s="126">
        <v>1</v>
      </c>
      <c r="E159" s="126">
        <v>1</v>
      </c>
      <c r="G159" s="126">
        <v>32</v>
      </c>
      <c r="O159" s="126" t="s">
        <v>549</v>
      </c>
      <c r="P159" s="126" t="s">
        <v>1179</v>
      </c>
      <c r="Q159" s="126">
        <v>1</v>
      </c>
      <c r="S159" s="162">
        <v>46185</v>
      </c>
      <c r="T159" s="126">
        <v>2</v>
      </c>
      <c r="U159" s="206">
        <v>-2</v>
      </c>
      <c r="V159" s="206">
        <v>-2</v>
      </c>
      <c r="W159" s="206">
        <v>11.32</v>
      </c>
      <c r="X159" s="206">
        <v>0</v>
      </c>
      <c r="Y159" s="206">
        <v>0</v>
      </c>
      <c r="Z159" s="206">
        <v>0</v>
      </c>
      <c r="AA159" s="206">
        <v>11.32</v>
      </c>
      <c r="AB159" s="206">
        <v>0</v>
      </c>
      <c r="AC159" s="235">
        <v>46226.247384259259</v>
      </c>
      <c r="AE159" s="126">
        <v>0</v>
      </c>
      <c r="AF159" s="126">
        <v>0</v>
      </c>
      <c r="AG159" s="126">
        <v>1</v>
      </c>
      <c r="AH159" s="126">
        <v>0</v>
      </c>
      <c r="AI159" s="126">
        <v>1</v>
      </c>
    </row>
    <row r="160" spans="3:35">
      <c r="C160" s="126">
        <v>153</v>
      </c>
      <c r="D160" s="126">
        <v>1</v>
      </c>
      <c r="E160" s="126">
        <v>1</v>
      </c>
      <c r="G160" s="126">
        <v>32</v>
      </c>
      <c r="O160" s="126" t="s">
        <v>549</v>
      </c>
      <c r="P160" s="126" t="s">
        <v>1179</v>
      </c>
      <c r="Q160" s="126">
        <v>1</v>
      </c>
      <c r="S160" s="162">
        <v>46185</v>
      </c>
      <c r="T160" s="126">
        <v>7</v>
      </c>
      <c r="U160" s="206">
        <v>-6</v>
      </c>
      <c r="V160" s="206">
        <v>-6</v>
      </c>
      <c r="W160" s="206">
        <v>1.79</v>
      </c>
      <c r="X160" s="206">
        <v>0</v>
      </c>
      <c r="Y160" s="206">
        <v>0</v>
      </c>
      <c r="Z160" s="206">
        <v>0</v>
      </c>
      <c r="AA160" s="206">
        <v>1.79</v>
      </c>
      <c r="AB160" s="206">
        <v>0</v>
      </c>
      <c r="AC160" s="235">
        <v>46226.247384259259</v>
      </c>
      <c r="AE160" s="126">
        <v>0</v>
      </c>
      <c r="AF160" s="126">
        <v>0</v>
      </c>
      <c r="AG160" s="126">
        <v>1</v>
      </c>
      <c r="AH160" s="126">
        <v>0</v>
      </c>
      <c r="AI160" s="126">
        <v>1</v>
      </c>
    </row>
    <row r="161" spans="3:35">
      <c r="C161" s="126">
        <v>154</v>
      </c>
      <c r="D161" s="126">
        <v>1</v>
      </c>
      <c r="E161" s="126">
        <v>1</v>
      </c>
      <c r="G161" s="126">
        <v>32</v>
      </c>
      <c r="O161" s="126" t="s">
        <v>549</v>
      </c>
      <c r="P161" s="126" t="s">
        <v>1179</v>
      </c>
      <c r="Q161" s="126">
        <v>1</v>
      </c>
      <c r="S161" s="162">
        <v>46185</v>
      </c>
      <c r="T161" s="126">
        <v>30</v>
      </c>
      <c r="U161" s="206">
        <v>-3</v>
      </c>
      <c r="V161" s="206">
        <v>-3</v>
      </c>
      <c r="W161" s="206">
        <v>1.49</v>
      </c>
      <c r="X161" s="206">
        <v>0</v>
      </c>
      <c r="Y161" s="206">
        <v>0</v>
      </c>
      <c r="Z161" s="206">
        <v>0</v>
      </c>
      <c r="AA161" s="206">
        <v>1.49</v>
      </c>
      <c r="AB161" s="206">
        <v>0</v>
      </c>
      <c r="AC161" s="235">
        <v>46226.247384259259</v>
      </c>
      <c r="AE161" s="126">
        <v>0</v>
      </c>
      <c r="AF161" s="126">
        <v>0</v>
      </c>
      <c r="AG161" s="126">
        <v>1</v>
      </c>
      <c r="AH161" s="126">
        <v>0</v>
      </c>
      <c r="AI161" s="126">
        <v>1</v>
      </c>
    </row>
    <row r="162" spans="3:35">
      <c r="C162" s="126">
        <v>155</v>
      </c>
      <c r="D162" s="126">
        <v>1</v>
      </c>
      <c r="E162" s="126">
        <v>1</v>
      </c>
      <c r="G162" s="126">
        <v>32</v>
      </c>
      <c r="O162" s="126" t="s">
        <v>549</v>
      </c>
      <c r="P162" s="126" t="s">
        <v>1179</v>
      </c>
      <c r="Q162" s="126">
        <v>1</v>
      </c>
      <c r="S162" s="162">
        <v>46185</v>
      </c>
      <c r="T162" s="126">
        <v>34</v>
      </c>
      <c r="U162" s="206">
        <v>-2</v>
      </c>
      <c r="V162" s="206">
        <v>-2</v>
      </c>
      <c r="W162" s="206">
        <v>0.5</v>
      </c>
      <c r="X162" s="206">
        <v>0</v>
      </c>
      <c r="Y162" s="206">
        <v>0</v>
      </c>
      <c r="Z162" s="206">
        <v>0</v>
      </c>
      <c r="AA162" s="206">
        <v>0.5</v>
      </c>
      <c r="AB162" s="206">
        <v>0</v>
      </c>
      <c r="AC162" s="235">
        <v>46226.247384259259</v>
      </c>
      <c r="AE162" s="126">
        <v>0</v>
      </c>
      <c r="AF162" s="126">
        <v>0</v>
      </c>
      <c r="AG162" s="126">
        <v>1</v>
      </c>
      <c r="AH162" s="126">
        <v>0</v>
      </c>
      <c r="AI162" s="126">
        <v>1</v>
      </c>
    </row>
    <row r="163" spans="3:35">
      <c r="C163" s="126">
        <v>156</v>
      </c>
      <c r="D163" s="126">
        <v>1</v>
      </c>
      <c r="E163" s="126">
        <v>1</v>
      </c>
      <c r="G163" s="126">
        <v>32</v>
      </c>
      <c r="O163" s="126" t="s">
        <v>549</v>
      </c>
      <c r="P163" s="126" t="s">
        <v>1179</v>
      </c>
      <c r="Q163" s="126">
        <v>1</v>
      </c>
      <c r="S163" s="162">
        <v>46185</v>
      </c>
      <c r="T163" s="126">
        <v>33</v>
      </c>
      <c r="U163" s="206">
        <v>-1</v>
      </c>
      <c r="V163" s="206">
        <v>-1</v>
      </c>
      <c r="W163" s="206">
        <v>1.75</v>
      </c>
      <c r="X163" s="206">
        <v>0</v>
      </c>
      <c r="Y163" s="206">
        <v>0</v>
      </c>
      <c r="Z163" s="206">
        <v>0</v>
      </c>
      <c r="AA163" s="206">
        <v>1.75</v>
      </c>
      <c r="AB163" s="206">
        <v>0</v>
      </c>
      <c r="AC163" s="235">
        <v>46226.247384259259</v>
      </c>
      <c r="AE163" s="126">
        <v>0</v>
      </c>
      <c r="AF163" s="126">
        <v>0</v>
      </c>
      <c r="AG163" s="126">
        <v>1</v>
      </c>
      <c r="AH163" s="126">
        <v>0</v>
      </c>
      <c r="AI163" s="126">
        <v>1</v>
      </c>
    </row>
    <row r="164" spans="3:35">
      <c r="C164" s="126">
        <v>157</v>
      </c>
      <c r="D164" s="126">
        <v>1</v>
      </c>
      <c r="E164" s="126">
        <v>1</v>
      </c>
      <c r="G164" s="126">
        <v>32</v>
      </c>
      <c r="O164" s="126" t="s">
        <v>549</v>
      </c>
      <c r="P164" s="126" t="s">
        <v>1179</v>
      </c>
      <c r="Q164" s="126">
        <v>1</v>
      </c>
      <c r="S164" s="162">
        <v>46185</v>
      </c>
      <c r="T164" s="126">
        <v>56</v>
      </c>
      <c r="U164" s="206">
        <v>-1</v>
      </c>
      <c r="V164" s="206">
        <v>-1</v>
      </c>
      <c r="W164" s="206">
        <v>0.55000000000000004</v>
      </c>
      <c r="X164" s="206">
        <v>0</v>
      </c>
      <c r="Y164" s="206">
        <v>0</v>
      </c>
      <c r="Z164" s="206">
        <v>0</v>
      </c>
      <c r="AA164" s="206">
        <v>0.55000000000000004</v>
      </c>
      <c r="AB164" s="206">
        <v>0</v>
      </c>
      <c r="AC164" s="235">
        <v>46226.247384259259</v>
      </c>
      <c r="AE164" s="126">
        <v>0</v>
      </c>
      <c r="AF164" s="126">
        <v>0</v>
      </c>
      <c r="AG164" s="126">
        <v>1</v>
      </c>
      <c r="AH164" s="126">
        <v>0</v>
      </c>
      <c r="AI164" s="126">
        <v>1</v>
      </c>
    </row>
    <row r="165" spans="3:35">
      <c r="C165" s="126">
        <v>158</v>
      </c>
      <c r="D165" s="126">
        <v>1</v>
      </c>
      <c r="E165" s="126">
        <v>1</v>
      </c>
      <c r="G165" s="126">
        <v>32</v>
      </c>
      <c r="O165" s="126" t="s">
        <v>549</v>
      </c>
      <c r="P165" s="126" t="s">
        <v>1179</v>
      </c>
      <c r="Q165" s="126">
        <v>1</v>
      </c>
      <c r="S165" s="162">
        <v>46185</v>
      </c>
      <c r="T165" s="126">
        <v>108</v>
      </c>
      <c r="U165" s="206">
        <v>-1</v>
      </c>
      <c r="V165" s="206">
        <v>-1</v>
      </c>
      <c r="W165" s="206">
        <v>2.7</v>
      </c>
      <c r="X165" s="206">
        <v>0</v>
      </c>
      <c r="Y165" s="206">
        <v>0</v>
      </c>
      <c r="Z165" s="206">
        <v>0</v>
      </c>
      <c r="AA165" s="206">
        <v>2.7</v>
      </c>
      <c r="AB165" s="206">
        <v>0</v>
      </c>
      <c r="AC165" s="235">
        <v>46226.247384259259</v>
      </c>
      <c r="AE165" s="126">
        <v>0</v>
      </c>
      <c r="AF165" s="126">
        <v>0</v>
      </c>
      <c r="AG165" s="126">
        <v>1</v>
      </c>
      <c r="AH165" s="126">
        <v>0</v>
      </c>
      <c r="AI165" s="126">
        <v>1</v>
      </c>
    </row>
    <row r="166" spans="3:35">
      <c r="C166" s="126">
        <v>159</v>
      </c>
      <c r="D166" s="126">
        <v>1</v>
      </c>
      <c r="E166" s="126">
        <v>1</v>
      </c>
      <c r="G166" s="126">
        <v>32</v>
      </c>
      <c r="O166" s="126" t="s">
        <v>549</v>
      </c>
      <c r="P166" s="126" t="s">
        <v>1179</v>
      </c>
      <c r="Q166" s="126">
        <v>1</v>
      </c>
      <c r="S166" s="162">
        <v>46185</v>
      </c>
      <c r="T166" s="126">
        <v>53</v>
      </c>
      <c r="U166" s="206">
        <v>-1</v>
      </c>
      <c r="V166" s="206">
        <v>-1</v>
      </c>
      <c r="W166" s="206">
        <v>0.95</v>
      </c>
      <c r="X166" s="206">
        <v>0</v>
      </c>
      <c r="Y166" s="206">
        <v>0</v>
      </c>
      <c r="Z166" s="206">
        <v>0</v>
      </c>
      <c r="AA166" s="206">
        <v>0.95</v>
      </c>
      <c r="AB166" s="206">
        <v>0</v>
      </c>
      <c r="AC166" s="235">
        <v>46226.247384259259</v>
      </c>
      <c r="AE166" s="126">
        <v>0</v>
      </c>
      <c r="AF166" s="126">
        <v>0</v>
      </c>
      <c r="AG166" s="126">
        <v>1</v>
      </c>
      <c r="AH166" s="126">
        <v>0</v>
      </c>
      <c r="AI166" s="126">
        <v>1</v>
      </c>
    </row>
    <row r="167" spans="3:35">
      <c r="C167" s="126">
        <v>160</v>
      </c>
      <c r="D167" s="126">
        <v>1</v>
      </c>
      <c r="E167" s="126">
        <v>1</v>
      </c>
      <c r="G167" s="126">
        <v>32</v>
      </c>
      <c r="O167" s="126" t="s">
        <v>549</v>
      </c>
      <c r="P167" s="126" t="s">
        <v>1179</v>
      </c>
      <c r="Q167" s="126">
        <v>1</v>
      </c>
      <c r="S167" s="162">
        <v>46185</v>
      </c>
      <c r="T167" s="126">
        <v>66</v>
      </c>
      <c r="U167" s="206">
        <v>-1</v>
      </c>
      <c r="V167" s="206">
        <v>-1</v>
      </c>
      <c r="W167" s="206">
        <v>0.41</v>
      </c>
      <c r="X167" s="206">
        <v>0</v>
      </c>
      <c r="Y167" s="206">
        <v>0</v>
      </c>
      <c r="Z167" s="206">
        <v>0</v>
      </c>
      <c r="AA167" s="206">
        <v>0.41</v>
      </c>
      <c r="AB167" s="206">
        <v>0</v>
      </c>
      <c r="AC167" s="235">
        <v>46226.247384259259</v>
      </c>
      <c r="AE167" s="126">
        <v>0</v>
      </c>
      <c r="AF167" s="126">
        <v>0</v>
      </c>
      <c r="AG167" s="126">
        <v>1</v>
      </c>
      <c r="AH167" s="126">
        <v>0</v>
      </c>
      <c r="AI167" s="126">
        <v>1</v>
      </c>
    </row>
    <row r="168" spans="3:35">
      <c r="C168" s="126">
        <v>161</v>
      </c>
      <c r="D168" s="126">
        <v>1</v>
      </c>
      <c r="E168" s="126">
        <v>1</v>
      </c>
      <c r="G168" s="126">
        <v>32</v>
      </c>
      <c r="O168" s="126" t="s">
        <v>549</v>
      </c>
      <c r="P168" s="126" t="s">
        <v>1179</v>
      </c>
      <c r="Q168" s="126">
        <v>1</v>
      </c>
      <c r="S168" s="162">
        <v>46185</v>
      </c>
      <c r="T168" s="126">
        <v>64</v>
      </c>
      <c r="U168" s="206">
        <v>-1</v>
      </c>
      <c r="V168" s="206">
        <v>-1</v>
      </c>
      <c r="W168" s="206">
        <v>1.9</v>
      </c>
      <c r="X168" s="206">
        <v>0</v>
      </c>
      <c r="Y168" s="206">
        <v>0</v>
      </c>
      <c r="Z168" s="206">
        <v>0</v>
      </c>
      <c r="AA168" s="206">
        <v>1.9</v>
      </c>
      <c r="AB168" s="206">
        <v>0</v>
      </c>
      <c r="AC168" s="235">
        <v>46226.247384259259</v>
      </c>
      <c r="AE168" s="126">
        <v>0</v>
      </c>
      <c r="AF168" s="126">
        <v>0</v>
      </c>
      <c r="AG168" s="126">
        <v>1</v>
      </c>
      <c r="AH168" s="126">
        <v>0</v>
      </c>
      <c r="AI168" s="126">
        <v>1</v>
      </c>
    </row>
    <row r="169" spans="3:35">
      <c r="C169" s="126">
        <v>162</v>
      </c>
      <c r="D169" s="126">
        <v>1</v>
      </c>
      <c r="E169" s="126">
        <v>1</v>
      </c>
      <c r="G169" s="126">
        <v>32</v>
      </c>
      <c r="O169" s="126" t="s">
        <v>549</v>
      </c>
      <c r="P169" s="126" t="s">
        <v>1179</v>
      </c>
      <c r="Q169" s="126">
        <v>1</v>
      </c>
      <c r="S169" s="162">
        <v>46185</v>
      </c>
      <c r="T169" s="126">
        <v>46</v>
      </c>
      <c r="U169" s="206">
        <v>-7</v>
      </c>
      <c r="V169" s="206">
        <v>-7</v>
      </c>
      <c r="W169" s="206">
        <v>0.15</v>
      </c>
      <c r="X169" s="206">
        <v>0</v>
      </c>
      <c r="Y169" s="206">
        <v>0</v>
      </c>
      <c r="Z169" s="206">
        <v>0</v>
      </c>
      <c r="AA169" s="206">
        <v>0.15</v>
      </c>
      <c r="AB169" s="206">
        <v>0</v>
      </c>
      <c r="AC169" s="235">
        <v>46226.247384259259</v>
      </c>
      <c r="AE169" s="126">
        <v>0</v>
      </c>
      <c r="AF169" s="126">
        <v>0</v>
      </c>
      <c r="AG169" s="126">
        <v>1</v>
      </c>
      <c r="AH169" s="126">
        <v>0</v>
      </c>
      <c r="AI169" s="126">
        <v>1</v>
      </c>
    </row>
    <row r="170" spans="3:35">
      <c r="C170" s="126">
        <v>163</v>
      </c>
      <c r="D170" s="126">
        <v>1</v>
      </c>
      <c r="E170" s="126">
        <v>1</v>
      </c>
      <c r="G170" s="126">
        <v>32</v>
      </c>
      <c r="O170" s="126" t="s">
        <v>549</v>
      </c>
      <c r="P170" s="126" t="s">
        <v>1179</v>
      </c>
      <c r="Q170" s="126">
        <v>1</v>
      </c>
      <c r="S170" s="162">
        <v>46185</v>
      </c>
      <c r="T170" s="126">
        <v>44</v>
      </c>
      <c r="U170" s="206">
        <v>-2</v>
      </c>
      <c r="V170" s="206">
        <v>-2</v>
      </c>
      <c r="W170" s="206">
        <v>0.22</v>
      </c>
      <c r="X170" s="206">
        <v>0</v>
      </c>
      <c r="Y170" s="206">
        <v>0</v>
      </c>
      <c r="Z170" s="206">
        <v>0</v>
      </c>
      <c r="AA170" s="206">
        <v>0.22</v>
      </c>
      <c r="AB170" s="206">
        <v>0</v>
      </c>
      <c r="AC170" s="235">
        <v>46226.247384259259</v>
      </c>
      <c r="AE170" s="126">
        <v>0</v>
      </c>
      <c r="AF170" s="126">
        <v>0</v>
      </c>
      <c r="AG170" s="126">
        <v>1</v>
      </c>
      <c r="AH170" s="126">
        <v>0</v>
      </c>
      <c r="AI170" s="126">
        <v>1</v>
      </c>
    </row>
    <row r="171" spans="3:35">
      <c r="C171" s="126">
        <v>164</v>
      </c>
      <c r="D171" s="126">
        <v>1</v>
      </c>
      <c r="E171" s="126">
        <v>1</v>
      </c>
      <c r="G171" s="126">
        <v>32</v>
      </c>
      <c r="O171" s="126" t="s">
        <v>549</v>
      </c>
      <c r="P171" s="126" t="s">
        <v>1179</v>
      </c>
      <c r="Q171" s="126">
        <v>1</v>
      </c>
      <c r="S171" s="162">
        <v>46185</v>
      </c>
      <c r="T171" s="126">
        <v>69</v>
      </c>
      <c r="U171" s="206">
        <v>-2</v>
      </c>
      <c r="V171" s="206">
        <v>-2</v>
      </c>
      <c r="W171" s="206">
        <v>0.25</v>
      </c>
      <c r="X171" s="206">
        <v>0</v>
      </c>
      <c r="Y171" s="206">
        <v>0</v>
      </c>
      <c r="Z171" s="206">
        <v>0</v>
      </c>
      <c r="AA171" s="206">
        <v>0.25</v>
      </c>
      <c r="AB171" s="206">
        <v>0</v>
      </c>
      <c r="AC171" s="235">
        <v>46226.247384259259</v>
      </c>
      <c r="AE171" s="126">
        <v>0</v>
      </c>
      <c r="AF171" s="126">
        <v>0</v>
      </c>
      <c r="AG171" s="126">
        <v>1</v>
      </c>
      <c r="AH171" s="126">
        <v>0</v>
      </c>
      <c r="AI171" s="126">
        <v>1</v>
      </c>
    </row>
    <row r="172" spans="3:35">
      <c r="C172" s="126">
        <v>165</v>
      </c>
      <c r="D172" s="126">
        <v>1</v>
      </c>
      <c r="E172" s="126">
        <v>1</v>
      </c>
      <c r="G172" s="126">
        <v>32</v>
      </c>
      <c r="O172" s="126" t="s">
        <v>549</v>
      </c>
      <c r="P172" s="126" t="s">
        <v>1179</v>
      </c>
      <c r="Q172" s="126">
        <v>1</v>
      </c>
      <c r="S172" s="162">
        <v>46185</v>
      </c>
      <c r="T172" s="126">
        <v>70</v>
      </c>
      <c r="U172" s="206">
        <v>-1</v>
      </c>
      <c r="V172" s="206">
        <v>-1</v>
      </c>
      <c r="W172" s="206">
        <v>0.15</v>
      </c>
      <c r="X172" s="206">
        <v>0</v>
      </c>
      <c r="Y172" s="206">
        <v>0</v>
      </c>
      <c r="Z172" s="206">
        <v>0</v>
      </c>
      <c r="AA172" s="206">
        <v>0.15</v>
      </c>
      <c r="AB172" s="206">
        <v>0</v>
      </c>
      <c r="AC172" s="235">
        <v>46226.247384259259</v>
      </c>
      <c r="AE172" s="126">
        <v>0</v>
      </c>
      <c r="AF172" s="126">
        <v>0</v>
      </c>
      <c r="AG172" s="126">
        <v>1</v>
      </c>
      <c r="AH172" s="126">
        <v>0</v>
      </c>
      <c r="AI172" s="126">
        <v>1</v>
      </c>
    </row>
    <row r="173" spans="3:35">
      <c r="C173" s="126">
        <v>166</v>
      </c>
      <c r="D173" s="126">
        <v>1</v>
      </c>
      <c r="E173" s="126">
        <v>1</v>
      </c>
      <c r="G173" s="126">
        <v>32</v>
      </c>
      <c r="O173" s="126" t="s">
        <v>549</v>
      </c>
      <c r="P173" s="126" t="s">
        <v>1179</v>
      </c>
      <c r="Q173" s="126">
        <v>1</v>
      </c>
      <c r="S173" s="162">
        <v>46185</v>
      </c>
      <c r="T173" s="126">
        <v>68</v>
      </c>
      <c r="U173" s="206">
        <v>-1</v>
      </c>
      <c r="V173" s="206">
        <v>-1</v>
      </c>
      <c r="W173" s="206">
        <v>0.53</v>
      </c>
      <c r="X173" s="206">
        <v>0</v>
      </c>
      <c r="Y173" s="206">
        <v>0</v>
      </c>
      <c r="Z173" s="206">
        <v>0</v>
      </c>
      <c r="AA173" s="206">
        <v>0.53</v>
      </c>
      <c r="AB173" s="206">
        <v>0</v>
      </c>
      <c r="AC173" s="235">
        <v>46226.247384259259</v>
      </c>
      <c r="AE173" s="126">
        <v>0</v>
      </c>
      <c r="AF173" s="126">
        <v>0</v>
      </c>
      <c r="AG173" s="126">
        <v>1</v>
      </c>
      <c r="AH173" s="126">
        <v>0</v>
      </c>
      <c r="AI173" s="126">
        <v>1</v>
      </c>
    </row>
    <row r="174" spans="3:35">
      <c r="C174" s="126">
        <v>167</v>
      </c>
      <c r="D174" s="126">
        <v>1</v>
      </c>
      <c r="E174" s="126">
        <v>1</v>
      </c>
      <c r="G174" s="126">
        <v>32</v>
      </c>
      <c r="O174" s="126" t="s">
        <v>549</v>
      </c>
      <c r="P174" s="126" t="s">
        <v>1179</v>
      </c>
      <c r="Q174" s="126">
        <v>1</v>
      </c>
      <c r="S174" s="162">
        <v>46185</v>
      </c>
      <c r="T174" s="126">
        <v>156</v>
      </c>
      <c r="U174" s="206">
        <v>-1</v>
      </c>
      <c r="V174" s="206">
        <v>-8.3333333333333329E-2</v>
      </c>
      <c r="W174" s="206">
        <v>4.41</v>
      </c>
      <c r="X174" s="206">
        <v>0</v>
      </c>
      <c r="Y174" s="206">
        <v>0</v>
      </c>
      <c r="Z174" s="206">
        <v>0</v>
      </c>
      <c r="AA174" s="206">
        <v>4.41</v>
      </c>
      <c r="AB174" s="206">
        <v>0</v>
      </c>
      <c r="AC174" s="235">
        <v>46226.247384259259</v>
      </c>
      <c r="AE174" s="126">
        <v>0</v>
      </c>
      <c r="AF174" s="126">
        <v>0</v>
      </c>
      <c r="AG174" s="126">
        <v>1</v>
      </c>
      <c r="AH174" s="126">
        <v>0</v>
      </c>
      <c r="AI174" s="126">
        <v>1</v>
      </c>
    </row>
    <row r="175" spans="3:35">
      <c r="C175" s="126">
        <v>168</v>
      </c>
      <c r="D175" s="126">
        <v>1</v>
      </c>
      <c r="E175" s="126">
        <v>1</v>
      </c>
      <c r="G175" s="126">
        <v>33</v>
      </c>
      <c r="O175" s="126" t="s">
        <v>549</v>
      </c>
      <c r="P175" s="126" t="s">
        <v>1250</v>
      </c>
      <c r="Q175" s="126">
        <v>1</v>
      </c>
      <c r="S175" s="162">
        <v>46185</v>
      </c>
      <c r="T175" s="126">
        <v>177</v>
      </c>
      <c r="U175" s="206">
        <v>-500</v>
      </c>
      <c r="V175" s="206">
        <v>-0.5</v>
      </c>
      <c r="W175" s="206">
        <v>4.1500000000000004</v>
      </c>
      <c r="X175" s="206">
        <v>0</v>
      </c>
      <c r="Y175" s="206">
        <v>0</v>
      </c>
      <c r="Z175" s="206">
        <v>0</v>
      </c>
      <c r="AA175" s="206">
        <v>4.1500000000000004</v>
      </c>
      <c r="AB175" s="206">
        <v>0</v>
      </c>
      <c r="AC175" s="235">
        <v>46226.249699074076</v>
      </c>
      <c r="AE175" s="126">
        <v>0</v>
      </c>
      <c r="AF175" s="126">
        <v>0</v>
      </c>
      <c r="AG175" s="126">
        <v>1</v>
      </c>
      <c r="AH175" s="126">
        <v>0</v>
      </c>
      <c r="AI175" s="126">
        <v>1</v>
      </c>
    </row>
    <row r="176" spans="3:35">
      <c r="C176" s="126">
        <v>169</v>
      </c>
      <c r="D176" s="126">
        <v>1</v>
      </c>
      <c r="E176" s="126">
        <v>1</v>
      </c>
      <c r="G176" s="126">
        <v>34</v>
      </c>
      <c r="O176" s="126" t="s">
        <v>549</v>
      </c>
      <c r="P176" s="126" t="s">
        <v>1255</v>
      </c>
      <c r="Q176" s="126">
        <v>1</v>
      </c>
      <c r="S176" s="162">
        <v>46185</v>
      </c>
      <c r="T176" s="126">
        <v>179</v>
      </c>
      <c r="U176" s="206">
        <v>-1000</v>
      </c>
      <c r="V176" s="206">
        <v>-1</v>
      </c>
      <c r="W176" s="206">
        <v>95</v>
      </c>
      <c r="X176" s="206">
        <v>0</v>
      </c>
      <c r="Y176" s="206">
        <v>0</v>
      </c>
      <c r="Z176" s="206">
        <v>0</v>
      </c>
      <c r="AA176" s="206">
        <v>95</v>
      </c>
      <c r="AB176" s="206">
        <v>0</v>
      </c>
      <c r="AC176" s="235">
        <v>46226.254780092589</v>
      </c>
      <c r="AE176" s="126">
        <v>0</v>
      </c>
      <c r="AF176" s="126">
        <v>0</v>
      </c>
      <c r="AG176" s="126">
        <v>1</v>
      </c>
      <c r="AH176" s="126">
        <v>0</v>
      </c>
      <c r="AI176" s="126">
        <v>1</v>
      </c>
    </row>
    <row r="177" spans="3:35">
      <c r="C177" s="126">
        <v>170</v>
      </c>
      <c r="D177" s="126">
        <v>1</v>
      </c>
      <c r="E177" s="126">
        <v>1</v>
      </c>
      <c r="G177" s="126">
        <v>35</v>
      </c>
      <c r="O177" s="126" t="s">
        <v>549</v>
      </c>
      <c r="P177" s="126" t="s">
        <v>1261</v>
      </c>
      <c r="Q177" s="126">
        <v>1</v>
      </c>
      <c r="S177" s="162">
        <v>46186</v>
      </c>
      <c r="T177" s="126">
        <v>177</v>
      </c>
      <c r="U177" s="206">
        <v>-250</v>
      </c>
      <c r="V177" s="206">
        <v>-0.25</v>
      </c>
      <c r="W177" s="206">
        <v>4.1500000000000004</v>
      </c>
      <c r="X177" s="206">
        <v>0</v>
      </c>
      <c r="Y177" s="206">
        <v>0</v>
      </c>
      <c r="Z177" s="206">
        <v>0</v>
      </c>
      <c r="AA177" s="206">
        <v>4.1500000000000004</v>
      </c>
      <c r="AB177" s="206">
        <v>0</v>
      </c>
      <c r="AC177" s="235">
        <v>46226.263368055559</v>
      </c>
      <c r="AE177" s="126">
        <v>0</v>
      </c>
      <c r="AF177" s="126">
        <v>0</v>
      </c>
      <c r="AG177" s="126">
        <v>1</v>
      </c>
      <c r="AH177" s="126">
        <v>0</v>
      </c>
      <c r="AI177" s="126">
        <v>1</v>
      </c>
    </row>
    <row r="178" spans="3:35">
      <c r="C178" s="126">
        <v>171</v>
      </c>
      <c r="D178" s="126">
        <v>1</v>
      </c>
      <c r="E178" s="126">
        <v>1</v>
      </c>
      <c r="G178" s="126">
        <v>35</v>
      </c>
      <c r="O178" s="126" t="s">
        <v>549</v>
      </c>
      <c r="P178" s="126" t="s">
        <v>1261</v>
      </c>
      <c r="Q178" s="126">
        <v>1</v>
      </c>
      <c r="S178" s="162">
        <v>46186</v>
      </c>
      <c r="T178" s="126">
        <v>191</v>
      </c>
      <c r="U178" s="206">
        <v>-20</v>
      </c>
      <c r="V178" s="206">
        <v>-5</v>
      </c>
      <c r="W178" s="206">
        <v>4.92</v>
      </c>
      <c r="X178" s="206">
        <v>0</v>
      </c>
      <c r="Y178" s="206">
        <v>0</v>
      </c>
      <c r="Z178" s="206">
        <v>0</v>
      </c>
      <c r="AA178" s="206">
        <v>4.92</v>
      </c>
      <c r="AB178" s="206">
        <v>0</v>
      </c>
      <c r="AC178" s="235">
        <v>46226.263368055559</v>
      </c>
      <c r="AE178" s="126">
        <v>0</v>
      </c>
      <c r="AF178" s="126">
        <v>0</v>
      </c>
      <c r="AG178" s="126">
        <v>1</v>
      </c>
      <c r="AH178" s="126">
        <v>0</v>
      </c>
      <c r="AI178" s="126">
        <v>1</v>
      </c>
    </row>
    <row r="179" spans="3:35">
      <c r="C179" s="126">
        <v>172</v>
      </c>
      <c r="D179" s="126">
        <v>1</v>
      </c>
      <c r="E179" s="126">
        <v>1</v>
      </c>
      <c r="G179" s="126">
        <v>36</v>
      </c>
      <c r="O179" s="126" t="s">
        <v>549</v>
      </c>
      <c r="P179" s="126" t="s">
        <v>1269</v>
      </c>
      <c r="Q179" s="126">
        <v>1</v>
      </c>
      <c r="S179" s="162">
        <v>46186</v>
      </c>
      <c r="T179" s="126">
        <v>41</v>
      </c>
      <c r="U179" s="206">
        <v>-2</v>
      </c>
      <c r="V179" s="206">
        <v>-2</v>
      </c>
      <c r="W179" s="206">
        <v>0.53</v>
      </c>
      <c r="X179" s="206">
        <v>0</v>
      </c>
      <c r="Y179" s="206">
        <v>0</v>
      </c>
      <c r="Z179" s="206">
        <v>0</v>
      </c>
      <c r="AA179" s="206">
        <v>0.53</v>
      </c>
      <c r="AB179" s="206">
        <v>0</v>
      </c>
      <c r="AC179" s="235">
        <v>46226.32471064815</v>
      </c>
      <c r="AE179" s="126">
        <v>0</v>
      </c>
      <c r="AF179" s="126">
        <v>0</v>
      </c>
      <c r="AG179" s="126">
        <v>1</v>
      </c>
      <c r="AH179" s="126">
        <v>0</v>
      </c>
      <c r="AI179" s="126">
        <v>1</v>
      </c>
    </row>
    <row r="180" spans="3:35">
      <c r="C180" s="126">
        <v>173</v>
      </c>
      <c r="D180" s="126">
        <v>1</v>
      </c>
      <c r="E180" s="126">
        <v>1</v>
      </c>
      <c r="G180" s="126">
        <v>36</v>
      </c>
      <c r="O180" s="126" t="s">
        <v>549</v>
      </c>
      <c r="P180" s="126" t="s">
        <v>1269</v>
      </c>
      <c r="Q180" s="126">
        <v>1</v>
      </c>
      <c r="S180" s="162">
        <v>46186</v>
      </c>
      <c r="T180" s="126">
        <v>8</v>
      </c>
      <c r="U180" s="206">
        <v>-2</v>
      </c>
      <c r="V180" s="206">
        <v>-2</v>
      </c>
      <c r="W180" s="206">
        <v>1.32</v>
      </c>
      <c r="X180" s="206">
        <v>0</v>
      </c>
      <c r="Y180" s="206">
        <v>0</v>
      </c>
      <c r="Z180" s="206">
        <v>0</v>
      </c>
      <c r="AA180" s="206">
        <v>1.32</v>
      </c>
      <c r="AB180" s="206">
        <v>0</v>
      </c>
      <c r="AC180" s="235">
        <v>46226.32471064815</v>
      </c>
      <c r="AE180" s="126">
        <v>0</v>
      </c>
      <c r="AF180" s="126">
        <v>0</v>
      </c>
      <c r="AG180" s="126">
        <v>1</v>
      </c>
      <c r="AH180" s="126">
        <v>0</v>
      </c>
      <c r="AI180" s="126">
        <v>1</v>
      </c>
    </row>
    <row r="181" spans="3:35">
      <c r="C181" s="126">
        <v>174</v>
      </c>
      <c r="D181" s="126">
        <v>1</v>
      </c>
      <c r="E181" s="126">
        <v>1</v>
      </c>
      <c r="G181" s="126">
        <v>36</v>
      </c>
      <c r="O181" s="126" t="s">
        <v>549</v>
      </c>
      <c r="P181" s="126" t="s">
        <v>1269</v>
      </c>
      <c r="Q181" s="126">
        <v>1</v>
      </c>
      <c r="S181" s="162">
        <v>46186</v>
      </c>
      <c r="T181" s="126">
        <v>45</v>
      </c>
      <c r="U181" s="206">
        <v>-3</v>
      </c>
      <c r="V181" s="206">
        <v>-3</v>
      </c>
      <c r="W181" s="206">
        <v>0.34</v>
      </c>
      <c r="X181" s="206">
        <v>0</v>
      </c>
      <c r="Y181" s="206">
        <v>0</v>
      </c>
      <c r="Z181" s="206">
        <v>0</v>
      </c>
      <c r="AA181" s="206">
        <v>0.34</v>
      </c>
      <c r="AB181" s="206">
        <v>0</v>
      </c>
      <c r="AC181" s="235">
        <v>46226.32471064815</v>
      </c>
      <c r="AE181" s="126">
        <v>0</v>
      </c>
      <c r="AF181" s="126">
        <v>0</v>
      </c>
      <c r="AG181" s="126">
        <v>1</v>
      </c>
      <c r="AH181" s="126">
        <v>0</v>
      </c>
      <c r="AI181" s="126">
        <v>1</v>
      </c>
    </row>
    <row r="182" spans="3:35">
      <c r="C182" s="126">
        <v>175</v>
      </c>
      <c r="D182" s="126">
        <v>1</v>
      </c>
      <c r="E182" s="126">
        <v>1</v>
      </c>
      <c r="G182" s="126">
        <v>36</v>
      </c>
      <c r="O182" s="126" t="s">
        <v>549</v>
      </c>
      <c r="P182" s="126" t="s">
        <v>1269</v>
      </c>
      <c r="Q182" s="126">
        <v>1</v>
      </c>
      <c r="S182" s="162">
        <v>46186</v>
      </c>
      <c r="T182" s="126">
        <v>42</v>
      </c>
      <c r="U182" s="206">
        <v>-2</v>
      </c>
      <c r="V182" s="206">
        <v>-2</v>
      </c>
      <c r="W182" s="206">
        <v>0.24</v>
      </c>
      <c r="X182" s="206">
        <v>0</v>
      </c>
      <c r="Y182" s="206">
        <v>0</v>
      </c>
      <c r="Z182" s="206">
        <v>0</v>
      </c>
      <c r="AA182" s="206">
        <v>0.24</v>
      </c>
      <c r="AB182" s="206">
        <v>0</v>
      </c>
      <c r="AC182" s="235">
        <v>46226.32471064815</v>
      </c>
      <c r="AE182" s="126">
        <v>0</v>
      </c>
      <c r="AF182" s="126">
        <v>0</v>
      </c>
      <c r="AG182" s="126">
        <v>1</v>
      </c>
      <c r="AH182" s="126">
        <v>0</v>
      </c>
      <c r="AI182" s="126">
        <v>1</v>
      </c>
    </row>
    <row r="183" spans="3:35">
      <c r="C183" s="126">
        <v>176</v>
      </c>
      <c r="D183" s="126">
        <v>1</v>
      </c>
      <c r="E183" s="126">
        <v>1</v>
      </c>
      <c r="G183" s="126">
        <v>36</v>
      </c>
      <c r="O183" s="126" t="s">
        <v>549</v>
      </c>
      <c r="P183" s="126" t="s">
        <v>1269</v>
      </c>
      <c r="Q183" s="126">
        <v>1</v>
      </c>
      <c r="S183" s="162">
        <v>46186</v>
      </c>
      <c r="T183" s="126">
        <v>56</v>
      </c>
      <c r="U183" s="206">
        <v>-1</v>
      </c>
      <c r="V183" s="206">
        <v>-1</v>
      </c>
      <c r="W183" s="206">
        <v>0.55000000000000004</v>
      </c>
      <c r="X183" s="206">
        <v>0</v>
      </c>
      <c r="Y183" s="206">
        <v>0</v>
      </c>
      <c r="Z183" s="206">
        <v>0</v>
      </c>
      <c r="AA183" s="206">
        <v>0.55000000000000004</v>
      </c>
      <c r="AB183" s="206">
        <v>0</v>
      </c>
      <c r="AC183" s="235">
        <v>46226.32471064815</v>
      </c>
      <c r="AE183" s="126">
        <v>0</v>
      </c>
      <c r="AF183" s="126">
        <v>0</v>
      </c>
      <c r="AG183" s="126">
        <v>1</v>
      </c>
      <c r="AH183" s="126">
        <v>0</v>
      </c>
      <c r="AI183" s="126">
        <v>1</v>
      </c>
    </row>
    <row r="184" spans="3:35">
      <c r="C184" s="126">
        <v>177</v>
      </c>
      <c r="D184" s="126">
        <v>1</v>
      </c>
      <c r="E184" s="126">
        <v>1</v>
      </c>
      <c r="G184" s="126">
        <v>36</v>
      </c>
      <c r="O184" s="126" t="s">
        <v>549</v>
      </c>
      <c r="P184" s="126" t="s">
        <v>1269</v>
      </c>
      <c r="Q184" s="126">
        <v>1</v>
      </c>
      <c r="S184" s="162">
        <v>46186</v>
      </c>
      <c r="T184" s="126">
        <v>68</v>
      </c>
      <c r="U184" s="206">
        <v>-2</v>
      </c>
      <c r="V184" s="206">
        <v>-2</v>
      </c>
      <c r="W184" s="206">
        <v>0.53</v>
      </c>
      <c r="X184" s="206">
        <v>0</v>
      </c>
      <c r="Y184" s="206">
        <v>0</v>
      </c>
      <c r="Z184" s="206">
        <v>0</v>
      </c>
      <c r="AA184" s="206">
        <v>0.53</v>
      </c>
      <c r="AB184" s="206">
        <v>0</v>
      </c>
      <c r="AC184" s="235">
        <v>46226.32471064815</v>
      </c>
      <c r="AE184" s="126">
        <v>0</v>
      </c>
      <c r="AF184" s="126">
        <v>0</v>
      </c>
      <c r="AG184" s="126">
        <v>1</v>
      </c>
      <c r="AH184" s="126">
        <v>0</v>
      </c>
      <c r="AI184" s="126">
        <v>1</v>
      </c>
    </row>
    <row r="185" spans="3:35">
      <c r="C185" s="126">
        <v>178</v>
      </c>
      <c r="D185" s="126">
        <v>1</v>
      </c>
      <c r="E185" s="126">
        <v>1</v>
      </c>
      <c r="G185" s="126">
        <v>36</v>
      </c>
      <c r="O185" s="126" t="s">
        <v>549</v>
      </c>
      <c r="P185" s="126" t="s">
        <v>1269</v>
      </c>
      <c r="Q185" s="126">
        <v>1</v>
      </c>
      <c r="S185" s="162">
        <v>46186</v>
      </c>
      <c r="T185" s="126">
        <v>49</v>
      </c>
      <c r="U185" s="206">
        <v>-1</v>
      </c>
      <c r="V185" s="206">
        <v>-1</v>
      </c>
      <c r="W185" s="206">
        <v>0.28000000000000003</v>
      </c>
      <c r="X185" s="206">
        <v>0</v>
      </c>
      <c r="Y185" s="206">
        <v>0</v>
      </c>
      <c r="Z185" s="206">
        <v>0</v>
      </c>
      <c r="AA185" s="206">
        <v>0.28000000000000003</v>
      </c>
      <c r="AB185" s="206">
        <v>0</v>
      </c>
      <c r="AC185" s="235">
        <v>46226.32471064815</v>
      </c>
      <c r="AE185" s="126">
        <v>0</v>
      </c>
      <c r="AF185" s="126">
        <v>0</v>
      </c>
      <c r="AG185" s="126">
        <v>1</v>
      </c>
      <c r="AH185" s="126">
        <v>0</v>
      </c>
      <c r="AI185" s="126">
        <v>1</v>
      </c>
    </row>
    <row r="186" spans="3:35">
      <c r="C186" s="126">
        <v>179</v>
      </c>
      <c r="D186" s="126">
        <v>1</v>
      </c>
      <c r="E186" s="126">
        <v>1</v>
      </c>
      <c r="G186" s="126">
        <v>36</v>
      </c>
      <c r="O186" s="126" t="s">
        <v>549</v>
      </c>
      <c r="P186" s="126" t="s">
        <v>1269</v>
      </c>
      <c r="Q186" s="126">
        <v>1</v>
      </c>
      <c r="S186" s="162">
        <v>46186</v>
      </c>
      <c r="T186" s="126">
        <v>69</v>
      </c>
      <c r="U186" s="206">
        <v>-1</v>
      </c>
      <c r="V186" s="206">
        <v>-1</v>
      </c>
      <c r="W186" s="206">
        <v>0.25</v>
      </c>
      <c r="X186" s="206">
        <v>0</v>
      </c>
      <c r="Y186" s="206">
        <v>0</v>
      </c>
      <c r="Z186" s="206">
        <v>0</v>
      </c>
      <c r="AA186" s="206">
        <v>0.25</v>
      </c>
      <c r="AB186" s="206">
        <v>0</v>
      </c>
      <c r="AC186" s="235">
        <v>46226.32471064815</v>
      </c>
      <c r="AE186" s="126">
        <v>0</v>
      </c>
      <c r="AF186" s="126">
        <v>0</v>
      </c>
      <c r="AG186" s="126">
        <v>1</v>
      </c>
      <c r="AH186" s="126">
        <v>0</v>
      </c>
      <c r="AI186" s="126">
        <v>1</v>
      </c>
    </row>
    <row r="187" spans="3:35">
      <c r="C187" s="126">
        <v>180</v>
      </c>
      <c r="D187" s="126">
        <v>1</v>
      </c>
      <c r="E187" s="126">
        <v>1</v>
      </c>
      <c r="G187" s="126">
        <v>36</v>
      </c>
      <c r="O187" s="126" t="s">
        <v>549</v>
      </c>
      <c r="P187" s="126" t="s">
        <v>1269</v>
      </c>
      <c r="Q187" s="126">
        <v>1</v>
      </c>
      <c r="S187" s="162">
        <v>46186</v>
      </c>
      <c r="T187" s="126">
        <v>25</v>
      </c>
      <c r="U187" s="206">
        <v>-1</v>
      </c>
      <c r="V187" s="206">
        <v>-1</v>
      </c>
      <c r="W187" s="206">
        <v>1.51</v>
      </c>
      <c r="X187" s="206">
        <v>0</v>
      </c>
      <c r="Y187" s="206">
        <v>0</v>
      </c>
      <c r="Z187" s="206">
        <v>0</v>
      </c>
      <c r="AA187" s="206">
        <v>1.51</v>
      </c>
      <c r="AB187" s="206">
        <v>0</v>
      </c>
      <c r="AC187" s="235">
        <v>46226.32471064815</v>
      </c>
      <c r="AE187" s="126">
        <v>0</v>
      </c>
      <c r="AF187" s="126">
        <v>0</v>
      </c>
      <c r="AG187" s="126">
        <v>1</v>
      </c>
      <c r="AH187" s="126">
        <v>0</v>
      </c>
      <c r="AI187" s="126">
        <v>1</v>
      </c>
    </row>
    <row r="188" spans="3:35">
      <c r="C188" s="126">
        <v>181</v>
      </c>
      <c r="D188" s="126">
        <v>1</v>
      </c>
      <c r="E188" s="126">
        <v>1</v>
      </c>
      <c r="G188" s="126">
        <v>36</v>
      </c>
      <c r="O188" s="126" t="s">
        <v>549</v>
      </c>
      <c r="P188" s="126" t="s">
        <v>1269</v>
      </c>
      <c r="Q188" s="126">
        <v>1</v>
      </c>
      <c r="S188" s="162">
        <v>46186</v>
      </c>
      <c r="T188" s="126">
        <v>7</v>
      </c>
      <c r="U188" s="206">
        <v>-1</v>
      </c>
      <c r="V188" s="206">
        <v>-1</v>
      </c>
      <c r="W188" s="206">
        <v>1.79</v>
      </c>
      <c r="X188" s="206">
        <v>0</v>
      </c>
      <c r="Y188" s="206">
        <v>0</v>
      </c>
      <c r="Z188" s="206">
        <v>0</v>
      </c>
      <c r="AA188" s="206">
        <v>1.79</v>
      </c>
      <c r="AB188" s="206">
        <v>0</v>
      </c>
      <c r="AC188" s="235">
        <v>46226.32471064815</v>
      </c>
      <c r="AE188" s="126">
        <v>0</v>
      </c>
      <c r="AF188" s="126">
        <v>0</v>
      </c>
      <c r="AG188" s="126">
        <v>1</v>
      </c>
      <c r="AH188" s="126">
        <v>0</v>
      </c>
      <c r="AI188" s="126">
        <v>1</v>
      </c>
    </row>
    <row r="189" spans="3:35">
      <c r="C189" s="126">
        <v>182</v>
      </c>
      <c r="D189" s="126">
        <v>1</v>
      </c>
      <c r="E189" s="126">
        <v>1</v>
      </c>
      <c r="G189" s="126">
        <v>36</v>
      </c>
      <c r="O189" s="126" t="s">
        <v>549</v>
      </c>
      <c r="P189" s="126" t="s">
        <v>1269</v>
      </c>
      <c r="Q189" s="126">
        <v>1</v>
      </c>
      <c r="S189" s="162">
        <v>46186</v>
      </c>
      <c r="T189" s="126">
        <v>73</v>
      </c>
      <c r="U189" s="206">
        <v>-1</v>
      </c>
      <c r="V189" s="206">
        <v>-1</v>
      </c>
      <c r="W189" s="206">
        <v>0.34</v>
      </c>
      <c r="X189" s="206">
        <v>0</v>
      </c>
      <c r="Y189" s="206">
        <v>0</v>
      </c>
      <c r="Z189" s="206">
        <v>0</v>
      </c>
      <c r="AA189" s="206">
        <v>0.34</v>
      </c>
      <c r="AB189" s="206">
        <v>0</v>
      </c>
      <c r="AC189" s="235">
        <v>46226.32471064815</v>
      </c>
      <c r="AE189" s="126">
        <v>0</v>
      </c>
      <c r="AF189" s="126">
        <v>0</v>
      </c>
      <c r="AG189" s="126">
        <v>1</v>
      </c>
      <c r="AH189" s="126">
        <v>0</v>
      </c>
      <c r="AI189" s="126">
        <v>1</v>
      </c>
    </row>
    <row r="190" spans="3:35">
      <c r="C190" s="126">
        <v>183</v>
      </c>
      <c r="D190" s="126">
        <v>1</v>
      </c>
      <c r="E190" s="126">
        <v>1</v>
      </c>
      <c r="G190" s="126">
        <v>36</v>
      </c>
      <c r="O190" s="126" t="s">
        <v>549</v>
      </c>
      <c r="P190" s="126" t="s">
        <v>1269</v>
      </c>
      <c r="Q190" s="126">
        <v>1</v>
      </c>
      <c r="S190" s="162">
        <v>46186</v>
      </c>
      <c r="T190" s="126">
        <v>108</v>
      </c>
      <c r="U190" s="206">
        <v>-1</v>
      </c>
      <c r="V190" s="206">
        <v>-1</v>
      </c>
      <c r="W190" s="206">
        <v>2.7</v>
      </c>
      <c r="X190" s="206">
        <v>0</v>
      </c>
      <c r="Y190" s="206">
        <v>0</v>
      </c>
      <c r="Z190" s="206">
        <v>0</v>
      </c>
      <c r="AA190" s="206">
        <v>2.7</v>
      </c>
      <c r="AB190" s="206">
        <v>0</v>
      </c>
      <c r="AC190" s="235">
        <v>46226.32471064815</v>
      </c>
      <c r="AE190" s="126">
        <v>0</v>
      </c>
      <c r="AF190" s="126">
        <v>0</v>
      </c>
      <c r="AG190" s="126">
        <v>1</v>
      </c>
      <c r="AH190" s="126">
        <v>0</v>
      </c>
      <c r="AI190" s="126">
        <v>1</v>
      </c>
    </row>
    <row r="191" spans="3:35">
      <c r="C191" s="126">
        <v>184</v>
      </c>
      <c r="D191" s="126">
        <v>1</v>
      </c>
      <c r="E191" s="126">
        <v>1</v>
      </c>
      <c r="G191" s="126">
        <v>37</v>
      </c>
      <c r="O191" s="126" t="s">
        <v>549</v>
      </c>
      <c r="P191" s="126" t="s">
        <v>1311</v>
      </c>
      <c r="Q191" s="126">
        <v>1</v>
      </c>
      <c r="S191" s="162">
        <v>46186</v>
      </c>
      <c r="T191" s="126">
        <v>92</v>
      </c>
      <c r="U191" s="206">
        <v>-20</v>
      </c>
      <c r="V191" s="206">
        <v>-20</v>
      </c>
      <c r="W191" s="206">
        <v>0.78</v>
      </c>
      <c r="X191" s="206">
        <v>0</v>
      </c>
      <c r="Y191" s="206">
        <v>0</v>
      </c>
      <c r="Z191" s="206">
        <v>0</v>
      </c>
      <c r="AA191" s="206">
        <v>0.78</v>
      </c>
      <c r="AB191" s="206">
        <v>0</v>
      </c>
      <c r="AC191" s="235">
        <v>46226.391192129631</v>
      </c>
      <c r="AE191" s="126">
        <v>0</v>
      </c>
      <c r="AF191" s="126">
        <v>0</v>
      </c>
      <c r="AG191" s="126">
        <v>1</v>
      </c>
      <c r="AH191" s="126">
        <v>0</v>
      </c>
      <c r="AI191" s="126">
        <v>1</v>
      </c>
    </row>
    <row r="192" spans="3:35">
      <c r="C192" s="126">
        <v>185</v>
      </c>
      <c r="D192" s="126">
        <v>1</v>
      </c>
      <c r="E192" s="126">
        <v>1</v>
      </c>
      <c r="G192" s="126">
        <v>37</v>
      </c>
      <c r="O192" s="126" t="s">
        <v>549</v>
      </c>
      <c r="P192" s="126" t="s">
        <v>1311</v>
      </c>
      <c r="Q192" s="126">
        <v>1</v>
      </c>
      <c r="S192" s="162">
        <v>46186</v>
      </c>
      <c r="T192" s="126">
        <v>50</v>
      </c>
      <c r="U192" s="206">
        <v>-30</v>
      </c>
      <c r="V192" s="206">
        <v>-30</v>
      </c>
      <c r="W192" s="206">
        <v>0.12</v>
      </c>
      <c r="X192" s="206">
        <v>0</v>
      </c>
      <c r="Y192" s="206">
        <v>0</v>
      </c>
      <c r="Z192" s="206">
        <v>0</v>
      </c>
      <c r="AA192" s="206">
        <v>0.12</v>
      </c>
      <c r="AB192" s="206">
        <v>0</v>
      </c>
      <c r="AC192" s="235">
        <v>46226.391192129631</v>
      </c>
      <c r="AE192" s="126">
        <v>0</v>
      </c>
      <c r="AF192" s="126">
        <v>0</v>
      </c>
      <c r="AG192" s="126">
        <v>1</v>
      </c>
      <c r="AH192" s="126">
        <v>0</v>
      </c>
      <c r="AI192" s="126">
        <v>1</v>
      </c>
    </row>
    <row r="193" spans="3:35">
      <c r="C193" s="126">
        <v>186</v>
      </c>
      <c r="D193" s="126">
        <v>1</v>
      </c>
      <c r="E193" s="126">
        <v>1</v>
      </c>
      <c r="G193" s="126">
        <v>37</v>
      </c>
      <c r="O193" s="126" t="s">
        <v>549</v>
      </c>
      <c r="P193" s="126" t="s">
        <v>1311</v>
      </c>
      <c r="Q193" s="126">
        <v>1</v>
      </c>
      <c r="S193" s="162">
        <v>46186</v>
      </c>
      <c r="T193" s="126">
        <v>101</v>
      </c>
      <c r="U193" s="206">
        <v>-20</v>
      </c>
      <c r="V193" s="206">
        <v>-4.4444444444444444E-3</v>
      </c>
      <c r="W193" s="206">
        <v>0</v>
      </c>
      <c r="X193" s="206">
        <v>0</v>
      </c>
      <c r="Y193" s="206">
        <v>0</v>
      </c>
      <c r="Z193" s="206">
        <v>0</v>
      </c>
      <c r="AA193" s="206">
        <v>0</v>
      </c>
      <c r="AB193" s="206">
        <v>0</v>
      </c>
      <c r="AC193" s="235">
        <v>46226.391192129631</v>
      </c>
      <c r="AE193" s="126">
        <v>0</v>
      </c>
      <c r="AF193" s="126">
        <v>0</v>
      </c>
      <c r="AG193" s="126">
        <v>1</v>
      </c>
      <c r="AH193" s="126">
        <v>0</v>
      </c>
      <c r="AI193" s="126">
        <v>1</v>
      </c>
    </row>
    <row r="194" spans="3:35">
      <c r="C194" s="126">
        <v>187</v>
      </c>
      <c r="D194" s="126">
        <v>1</v>
      </c>
      <c r="E194" s="126">
        <v>1</v>
      </c>
      <c r="G194" s="126">
        <v>37</v>
      </c>
      <c r="O194" s="126" t="s">
        <v>549</v>
      </c>
      <c r="P194" s="126" t="s">
        <v>1311</v>
      </c>
      <c r="Q194" s="126">
        <v>1</v>
      </c>
      <c r="S194" s="162">
        <v>46186</v>
      </c>
      <c r="T194" s="126">
        <v>94</v>
      </c>
      <c r="U194" s="206">
        <v>-40</v>
      </c>
      <c r="V194" s="206">
        <v>-0.22222222222222221</v>
      </c>
      <c r="W194" s="206">
        <v>0.1</v>
      </c>
      <c r="X194" s="206">
        <v>0</v>
      </c>
      <c r="Y194" s="206">
        <v>0</v>
      </c>
      <c r="Z194" s="206">
        <v>0</v>
      </c>
      <c r="AA194" s="206">
        <v>0.1</v>
      </c>
      <c r="AB194" s="206">
        <v>0</v>
      </c>
      <c r="AC194" s="235">
        <v>46226.391192129631</v>
      </c>
      <c r="AE194" s="126">
        <v>0</v>
      </c>
      <c r="AF194" s="126">
        <v>0</v>
      </c>
      <c r="AG194" s="126">
        <v>1</v>
      </c>
      <c r="AH194" s="126">
        <v>0</v>
      </c>
      <c r="AI194" s="126">
        <v>1</v>
      </c>
    </row>
    <row r="195" spans="3:35">
      <c r="C195" s="126">
        <v>188</v>
      </c>
      <c r="D195" s="126">
        <v>1</v>
      </c>
      <c r="E195" s="126">
        <v>1</v>
      </c>
      <c r="G195" s="126">
        <v>38</v>
      </c>
      <c r="O195" s="126" t="s">
        <v>549</v>
      </c>
      <c r="P195" s="126" t="s">
        <v>1329</v>
      </c>
      <c r="Q195" s="126">
        <v>1</v>
      </c>
      <c r="S195" s="162">
        <v>46187</v>
      </c>
      <c r="T195" s="126">
        <v>177</v>
      </c>
      <c r="U195" s="206">
        <v>-750</v>
      </c>
      <c r="V195" s="206">
        <v>-0.75</v>
      </c>
      <c r="W195" s="206">
        <v>4.1500000000000004</v>
      </c>
      <c r="X195" s="206">
        <v>0</v>
      </c>
      <c r="Y195" s="206">
        <v>0</v>
      </c>
      <c r="Z195" s="206">
        <v>0</v>
      </c>
      <c r="AA195" s="206">
        <v>4.1500000000000004</v>
      </c>
      <c r="AB195" s="206">
        <v>0</v>
      </c>
      <c r="AC195" s="235">
        <v>46226.400694444441</v>
      </c>
      <c r="AE195" s="126">
        <v>0</v>
      </c>
      <c r="AF195" s="126">
        <v>0</v>
      </c>
      <c r="AG195" s="126">
        <v>1</v>
      </c>
      <c r="AH195" s="126">
        <v>0</v>
      </c>
      <c r="AI195" s="126">
        <v>1</v>
      </c>
    </row>
    <row r="196" spans="3:35">
      <c r="C196" s="126">
        <v>189</v>
      </c>
      <c r="D196" s="126">
        <v>1</v>
      </c>
      <c r="E196" s="126">
        <v>1</v>
      </c>
      <c r="G196" s="126">
        <v>39</v>
      </c>
      <c r="O196" s="126" t="s">
        <v>549</v>
      </c>
      <c r="P196" s="126" t="s">
        <v>1334</v>
      </c>
      <c r="Q196" s="126">
        <v>1</v>
      </c>
      <c r="S196" s="162">
        <v>46187</v>
      </c>
      <c r="T196" s="126">
        <v>177</v>
      </c>
      <c r="U196" s="206">
        <v>-500</v>
      </c>
      <c r="V196" s="206">
        <v>-0.5</v>
      </c>
      <c r="W196" s="206">
        <v>4.1500000000000004</v>
      </c>
      <c r="X196" s="206">
        <v>0</v>
      </c>
      <c r="Y196" s="206">
        <v>0</v>
      </c>
      <c r="Z196" s="206">
        <v>0</v>
      </c>
      <c r="AA196" s="206">
        <v>4.1500000000000004</v>
      </c>
      <c r="AB196" s="206">
        <v>0</v>
      </c>
      <c r="AC196" s="235">
        <v>46226.454305555555</v>
      </c>
      <c r="AE196" s="126">
        <v>0</v>
      </c>
      <c r="AF196" s="126">
        <v>0</v>
      </c>
      <c r="AG196" s="126">
        <v>1</v>
      </c>
      <c r="AH196" s="126">
        <v>0</v>
      </c>
      <c r="AI196" s="126">
        <v>1</v>
      </c>
    </row>
    <row r="197" spans="3:35">
      <c r="C197" s="126">
        <v>190</v>
      </c>
      <c r="D197" s="126">
        <v>1</v>
      </c>
      <c r="E197" s="126">
        <v>1</v>
      </c>
      <c r="G197" s="126">
        <v>39</v>
      </c>
      <c r="O197" s="126" t="s">
        <v>549</v>
      </c>
      <c r="P197" s="126" t="s">
        <v>1334</v>
      </c>
      <c r="Q197" s="126">
        <v>1</v>
      </c>
      <c r="S197" s="162">
        <v>46187</v>
      </c>
      <c r="T197" s="126">
        <v>51</v>
      </c>
      <c r="U197" s="206">
        <v>-3</v>
      </c>
      <c r="V197" s="206">
        <v>-3</v>
      </c>
      <c r="W197" s="206">
        <v>4.49</v>
      </c>
      <c r="X197" s="206">
        <v>0</v>
      </c>
      <c r="Y197" s="206">
        <v>0</v>
      </c>
      <c r="Z197" s="206">
        <v>0</v>
      </c>
      <c r="AA197" s="206">
        <v>4.49</v>
      </c>
      <c r="AB197" s="206">
        <v>0</v>
      </c>
      <c r="AC197" s="235">
        <v>46226.454305555555</v>
      </c>
      <c r="AE197" s="126">
        <v>0</v>
      </c>
      <c r="AF197" s="126">
        <v>0</v>
      </c>
      <c r="AG197" s="126">
        <v>1</v>
      </c>
      <c r="AH197" s="126">
        <v>0</v>
      </c>
      <c r="AI197" s="126">
        <v>1</v>
      </c>
    </row>
    <row r="198" spans="3:35">
      <c r="C198" s="126">
        <v>191</v>
      </c>
      <c r="D198" s="126">
        <v>1</v>
      </c>
      <c r="E198" s="126">
        <v>1</v>
      </c>
      <c r="G198" s="126">
        <v>39</v>
      </c>
      <c r="O198" s="126" t="s">
        <v>549</v>
      </c>
      <c r="P198" s="126" t="s">
        <v>1334</v>
      </c>
      <c r="Q198" s="126">
        <v>1</v>
      </c>
      <c r="S198" s="162">
        <v>46187</v>
      </c>
      <c r="T198" s="126">
        <v>184</v>
      </c>
      <c r="U198" s="206">
        <v>-120</v>
      </c>
      <c r="V198" s="206">
        <v>-10</v>
      </c>
      <c r="W198" s="206">
        <v>6</v>
      </c>
      <c r="X198" s="206">
        <v>0</v>
      </c>
      <c r="Y198" s="206">
        <v>0</v>
      </c>
      <c r="Z198" s="206">
        <v>0</v>
      </c>
      <c r="AA198" s="206">
        <v>6</v>
      </c>
      <c r="AB198" s="206">
        <v>0</v>
      </c>
      <c r="AC198" s="235">
        <v>46226.454305555555</v>
      </c>
      <c r="AE198" s="126">
        <v>0</v>
      </c>
      <c r="AF198" s="126">
        <v>0</v>
      </c>
      <c r="AG198" s="126">
        <v>1</v>
      </c>
      <c r="AH198" s="126">
        <v>0</v>
      </c>
      <c r="AI198" s="126">
        <v>1</v>
      </c>
    </row>
    <row r="199" spans="3:35">
      <c r="C199" s="126">
        <v>192</v>
      </c>
      <c r="D199" s="126">
        <v>1</v>
      </c>
      <c r="E199" s="126">
        <v>1</v>
      </c>
      <c r="G199" s="126">
        <v>40</v>
      </c>
      <c r="O199" s="126" t="s">
        <v>549</v>
      </c>
      <c r="P199" s="126" t="s">
        <v>1348</v>
      </c>
      <c r="Q199" s="126">
        <v>1</v>
      </c>
      <c r="S199" s="162">
        <v>46188</v>
      </c>
      <c r="T199" s="126">
        <v>177</v>
      </c>
      <c r="U199" s="206">
        <v>-400</v>
      </c>
      <c r="V199" s="206">
        <v>-0.4</v>
      </c>
      <c r="W199" s="206">
        <v>4.1500000000000004</v>
      </c>
      <c r="X199" s="206">
        <v>0</v>
      </c>
      <c r="Y199" s="206">
        <v>0</v>
      </c>
      <c r="Z199" s="206">
        <v>0</v>
      </c>
      <c r="AA199" s="206">
        <v>4.1500000000000004</v>
      </c>
      <c r="AB199" s="206">
        <v>0</v>
      </c>
      <c r="AC199" s="235">
        <v>46226.458645833336</v>
      </c>
      <c r="AE199" s="126">
        <v>0</v>
      </c>
      <c r="AF199" s="126">
        <v>0</v>
      </c>
      <c r="AG199" s="126">
        <v>1</v>
      </c>
      <c r="AH199" s="126">
        <v>0</v>
      </c>
      <c r="AI199" s="126">
        <v>1</v>
      </c>
    </row>
    <row r="200" spans="3:35">
      <c r="C200" s="126">
        <v>193</v>
      </c>
      <c r="D200" s="126">
        <v>1</v>
      </c>
      <c r="E200" s="126">
        <v>1</v>
      </c>
      <c r="G200" s="126">
        <v>40</v>
      </c>
      <c r="O200" s="126" t="s">
        <v>549</v>
      </c>
      <c r="P200" s="126" t="s">
        <v>1348</v>
      </c>
      <c r="Q200" s="126">
        <v>1</v>
      </c>
      <c r="S200" s="162">
        <v>46188</v>
      </c>
      <c r="T200" s="126">
        <v>179</v>
      </c>
      <c r="U200" s="206">
        <v>-150</v>
      </c>
      <c r="V200" s="206">
        <v>-0.15</v>
      </c>
      <c r="W200" s="206">
        <v>4.75</v>
      </c>
      <c r="X200" s="206">
        <v>0</v>
      </c>
      <c r="Y200" s="206">
        <v>0</v>
      </c>
      <c r="Z200" s="206">
        <v>0</v>
      </c>
      <c r="AA200" s="206">
        <v>4.75</v>
      </c>
      <c r="AB200" s="206">
        <v>0</v>
      </c>
      <c r="AC200" s="235">
        <v>46226.458645833336</v>
      </c>
      <c r="AE200" s="126">
        <v>0</v>
      </c>
      <c r="AF200" s="126">
        <v>0</v>
      </c>
      <c r="AG200" s="126">
        <v>1</v>
      </c>
      <c r="AH200" s="126">
        <v>0</v>
      </c>
      <c r="AI200" s="126">
        <v>1</v>
      </c>
    </row>
    <row r="201" spans="3:35">
      <c r="C201" s="126">
        <v>194</v>
      </c>
      <c r="D201" s="126">
        <v>1</v>
      </c>
      <c r="E201" s="126">
        <v>1</v>
      </c>
      <c r="G201" s="126">
        <v>41</v>
      </c>
      <c r="O201" s="126" t="s">
        <v>549</v>
      </c>
      <c r="P201" s="126" t="s">
        <v>1356</v>
      </c>
      <c r="Q201" s="126">
        <v>1</v>
      </c>
      <c r="S201" s="162">
        <v>46188</v>
      </c>
      <c r="T201" s="126">
        <v>69</v>
      </c>
      <c r="U201" s="206">
        <v>-4</v>
      </c>
      <c r="V201" s="206">
        <v>-4</v>
      </c>
      <c r="W201" s="206">
        <v>0.25</v>
      </c>
      <c r="X201" s="206">
        <v>0</v>
      </c>
      <c r="Y201" s="206">
        <v>0</v>
      </c>
      <c r="Z201" s="206">
        <v>0</v>
      </c>
      <c r="AA201" s="206">
        <v>0.25</v>
      </c>
      <c r="AB201" s="206">
        <v>0</v>
      </c>
      <c r="AC201" s="235">
        <v>46226.472453703704</v>
      </c>
      <c r="AE201" s="126">
        <v>0</v>
      </c>
      <c r="AF201" s="126">
        <v>0</v>
      </c>
      <c r="AG201" s="126">
        <v>1</v>
      </c>
      <c r="AH201" s="126">
        <v>0</v>
      </c>
      <c r="AI201" s="126">
        <v>1</v>
      </c>
    </row>
    <row r="202" spans="3:35">
      <c r="C202" s="126">
        <v>195</v>
      </c>
      <c r="D202" s="126">
        <v>1</v>
      </c>
      <c r="E202" s="126">
        <v>1</v>
      </c>
      <c r="G202" s="126">
        <v>41</v>
      </c>
      <c r="O202" s="126" t="s">
        <v>549</v>
      </c>
      <c r="P202" s="126" t="s">
        <v>1356</v>
      </c>
      <c r="Q202" s="126">
        <v>1</v>
      </c>
      <c r="S202" s="162">
        <v>46188</v>
      </c>
      <c r="T202" s="126">
        <v>181</v>
      </c>
      <c r="U202" s="206">
        <v>-12</v>
      </c>
      <c r="V202" s="206">
        <v>-1</v>
      </c>
      <c r="W202" s="206">
        <v>1</v>
      </c>
      <c r="X202" s="206">
        <v>0</v>
      </c>
      <c r="Y202" s="206">
        <v>0</v>
      </c>
      <c r="Z202" s="206">
        <v>0</v>
      </c>
      <c r="AA202" s="206">
        <v>1</v>
      </c>
      <c r="AB202" s="206">
        <v>0</v>
      </c>
      <c r="AC202" s="235">
        <v>46226.472453703704</v>
      </c>
      <c r="AE202" s="126">
        <v>0</v>
      </c>
      <c r="AF202" s="126">
        <v>0</v>
      </c>
      <c r="AG202" s="126">
        <v>1</v>
      </c>
      <c r="AH202" s="126">
        <v>0</v>
      </c>
      <c r="AI202" s="126">
        <v>1</v>
      </c>
    </row>
    <row r="203" spans="3:35">
      <c r="C203" s="126">
        <v>196</v>
      </c>
      <c r="D203" s="126">
        <v>1</v>
      </c>
      <c r="E203" s="126">
        <v>1</v>
      </c>
      <c r="G203" s="126">
        <v>41</v>
      </c>
      <c r="O203" s="126" t="s">
        <v>549</v>
      </c>
      <c r="P203" s="126" t="s">
        <v>1356</v>
      </c>
      <c r="Q203" s="126">
        <v>1</v>
      </c>
      <c r="S203" s="162">
        <v>46188</v>
      </c>
      <c r="T203" s="126">
        <v>42</v>
      </c>
      <c r="U203" s="206">
        <v>-4</v>
      </c>
      <c r="V203" s="206">
        <v>-4</v>
      </c>
      <c r="W203" s="206">
        <v>0.24</v>
      </c>
      <c r="X203" s="206">
        <v>0</v>
      </c>
      <c r="Y203" s="206">
        <v>0</v>
      </c>
      <c r="Z203" s="206">
        <v>0</v>
      </c>
      <c r="AA203" s="206">
        <v>0.24</v>
      </c>
      <c r="AB203" s="206">
        <v>0</v>
      </c>
      <c r="AC203" s="235">
        <v>46226.472453703704</v>
      </c>
      <c r="AE203" s="126">
        <v>0</v>
      </c>
      <c r="AF203" s="126">
        <v>0</v>
      </c>
      <c r="AG203" s="126">
        <v>1</v>
      </c>
      <c r="AH203" s="126">
        <v>0</v>
      </c>
      <c r="AI203" s="126">
        <v>1</v>
      </c>
    </row>
    <row r="204" spans="3:35">
      <c r="C204" s="126">
        <v>197</v>
      </c>
      <c r="D204" s="126">
        <v>1</v>
      </c>
      <c r="E204" s="126">
        <v>1</v>
      </c>
      <c r="G204" s="126">
        <v>41</v>
      </c>
      <c r="O204" s="126" t="s">
        <v>549</v>
      </c>
      <c r="P204" s="126" t="s">
        <v>1356</v>
      </c>
      <c r="Q204" s="126">
        <v>1</v>
      </c>
      <c r="S204" s="162">
        <v>46188</v>
      </c>
      <c r="T204" s="126">
        <v>74</v>
      </c>
      <c r="U204" s="206">
        <v>-2</v>
      </c>
      <c r="V204" s="206">
        <v>-2</v>
      </c>
      <c r="W204" s="206">
        <v>0.19</v>
      </c>
      <c r="X204" s="206">
        <v>0</v>
      </c>
      <c r="Y204" s="206">
        <v>0</v>
      </c>
      <c r="Z204" s="206">
        <v>0</v>
      </c>
      <c r="AA204" s="206">
        <v>0.19</v>
      </c>
      <c r="AB204" s="206">
        <v>0</v>
      </c>
      <c r="AC204" s="235">
        <v>46226.472453703704</v>
      </c>
      <c r="AE204" s="126">
        <v>0</v>
      </c>
      <c r="AF204" s="126">
        <v>0</v>
      </c>
      <c r="AG204" s="126">
        <v>1</v>
      </c>
      <c r="AH204" s="126">
        <v>0</v>
      </c>
      <c r="AI204" s="126">
        <v>1</v>
      </c>
    </row>
    <row r="205" spans="3:35">
      <c r="C205" s="126">
        <v>198</v>
      </c>
      <c r="D205" s="126">
        <v>1</v>
      </c>
      <c r="E205" s="126">
        <v>1</v>
      </c>
      <c r="G205" s="126">
        <v>41</v>
      </c>
      <c r="O205" s="126" t="s">
        <v>549</v>
      </c>
      <c r="P205" s="126" t="s">
        <v>1356</v>
      </c>
      <c r="Q205" s="126">
        <v>1</v>
      </c>
      <c r="S205" s="162">
        <v>46188</v>
      </c>
      <c r="T205" s="126">
        <v>44</v>
      </c>
      <c r="U205" s="206">
        <v>-2</v>
      </c>
      <c r="V205" s="206">
        <v>-2</v>
      </c>
      <c r="W205" s="206">
        <v>0.22</v>
      </c>
      <c r="X205" s="206">
        <v>0</v>
      </c>
      <c r="Y205" s="206">
        <v>0</v>
      </c>
      <c r="Z205" s="206">
        <v>0</v>
      </c>
      <c r="AA205" s="206">
        <v>0.22</v>
      </c>
      <c r="AB205" s="206">
        <v>0</v>
      </c>
      <c r="AC205" s="235">
        <v>46226.472453703704</v>
      </c>
      <c r="AE205" s="126">
        <v>0</v>
      </c>
      <c r="AF205" s="126">
        <v>0</v>
      </c>
      <c r="AG205" s="126">
        <v>1</v>
      </c>
      <c r="AH205" s="126">
        <v>0</v>
      </c>
      <c r="AI205" s="126">
        <v>1</v>
      </c>
    </row>
    <row r="206" spans="3:35">
      <c r="C206" s="126">
        <v>199</v>
      </c>
      <c r="D206" s="126">
        <v>1</v>
      </c>
      <c r="E206" s="126">
        <v>1</v>
      </c>
      <c r="G206" s="126">
        <v>41</v>
      </c>
      <c r="O206" s="126" t="s">
        <v>549</v>
      </c>
      <c r="P206" s="126" t="s">
        <v>1356</v>
      </c>
      <c r="Q206" s="126">
        <v>1</v>
      </c>
      <c r="S206" s="162">
        <v>46188</v>
      </c>
      <c r="T206" s="126">
        <v>46</v>
      </c>
      <c r="U206" s="206">
        <v>-4</v>
      </c>
      <c r="V206" s="206">
        <v>-4</v>
      </c>
      <c r="W206" s="206">
        <v>0.15</v>
      </c>
      <c r="X206" s="206">
        <v>0</v>
      </c>
      <c r="Y206" s="206">
        <v>0</v>
      </c>
      <c r="Z206" s="206">
        <v>0</v>
      </c>
      <c r="AA206" s="206">
        <v>0.15</v>
      </c>
      <c r="AB206" s="206">
        <v>0</v>
      </c>
      <c r="AC206" s="235">
        <v>46226.472453703704</v>
      </c>
      <c r="AE206" s="126">
        <v>0</v>
      </c>
      <c r="AF206" s="126">
        <v>0</v>
      </c>
      <c r="AG206" s="126">
        <v>1</v>
      </c>
      <c r="AH206" s="126">
        <v>0</v>
      </c>
      <c r="AI206" s="126">
        <v>1</v>
      </c>
    </row>
    <row r="207" spans="3:35">
      <c r="C207" s="126">
        <v>200</v>
      </c>
      <c r="D207" s="126">
        <v>1</v>
      </c>
      <c r="E207" s="126">
        <v>1</v>
      </c>
      <c r="G207" s="126">
        <v>41</v>
      </c>
      <c r="O207" s="126" t="s">
        <v>549</v>
      </c>
      <c r="P207" s="126" t="s">
        <v>1356</v>
      </c>
      <c r="Q207" s="126">
        <v>1</v>
      </c>
      <c r="S207" s="162">
        <v>46188</v>
      </c>
      <c r="T207" s="126">
        <v>103</v>
      </c>
      <c r="U207" s="206">
        <v>-1</v>
      </c>
      <c r="V207" s="206">
        <v>-8.3333333333333329E-2</v>
      </c>
      <c r="W207" s="206">
        <v>0.75</v>
      </c>
      <c r="X207" s="206">
        <v>0</v>
      </c>
      <c r="Y207" s="206">
        <v>0</v>
      </c>
      <c r="Z207" s="206">
        <v>0</v>
      </c>
      <c r="AA207" s="206">
        <v>0.75</v>
      </c>
      <c r="AB207" s="206">
        <v>0</v>
      </c>
      <c r="AC207" s="235">
        <v>46226.472453703704</v>
      </c>
      <c r="AE207" s="126">
        <v>0</v>
      </c>
      <c r="AF207" s="126">
        <v>0</v>
      </c>
      <c r="AG207" s="126">
        <v>1</v>
      </c>
      <c r="AH207" s="126">
        <v>0</v>
      </c>
      <c r="AI207" s="126">
        <v>1</v>
      </c>
    </row>
    <row r="208" spans="3:35">
      <c r="C208" s="126">
        <v>201</v>
      </c>
      <c r="D208" s="126">
        <v>1</v>
      </c>
      <c r="E208" s="126">
        <v>1</v>
      </c>
      <c r="G208" s="126">
        <v>41</v>
      </c>
      <c r="O208" s="126" t="s">
        <v>549</v>
      </c>
      <c r="P208" s="126" t="s">
        <v>1356</v>
      </c>
      <c r="Q208" s="126">
        <v>1</v>
      </c>
      <c r="S208" s="162">
        <v>46188</v>
      </c>
      <c r="T208" s="126">
        <v>75</v>
      </c>
      <c r="U208" s="206">
        <v>-1</v>
      </c>
      <c r="V208" s="206">
        <v>-1</v>
      </c>
      <c r="W208" s="206">
        <v>0.13</v>
      </c>
      <c r="X208" s="206">
        <v>0</v>
      </c>
      <c r="Y208" s="206">
        <v>0</v>
      </c>
      <c r="Z208" s="206">
        <v>0</v>
      </c>
      <c r="AA208" s="206">
        <v>0.13</v>
      </c>
      <c r="AB208" s="206">
        <v>0</v>
      </c>
      <c r="AC208" s="235">
        <v>46226.472453703704</v>
      </c>
      <c r="AE208" s="126">
        <v>0</v>
      </c>
      <c r="AF208" s="126">
        <v>0</v>
      </c>
      <c r="AG208" s="126">
        <v>1</v>
      </c>
      <c r="AH208" s="126">
        <v>0</v>
      </c>
      <c r="AI208" s="126">
        <v>1</v>
      </c>
    </row>
    <row r="209" spans="3:35">
      <c r="C209" s="126">
        <v>202</v>
      </c>
      <c r="D209" s="126">
        <v>1</v>
      </c>
      <c r="E209" s="126">
        <v>1</v>
      </c>
      <c r="G209" s="126">
        <v>41</v>
      </c>
      <c r="O209" s="126" t="s">
        <v>549</v>
      </c>
      <c r="P209" s="126" t="s">
        <v>1356</v>
      </c>
      <c r="Q209" s="126">
        <v>1</v>
      </c>
      <c r="S209" s="162">
        <v>46188</v>
      </c>
      <c r="T209" s="126">
        <v>68</v>
      </c>
      <c r="U209" s="206">
        <v>-1</v>
      </c>
      <c r="V209" s="206">
        <v>-1</v>
      </c>
      <c r="W209" s="206">
        <v>0.53</v>
      </c>
      <c r="X209" s="206">
        <v>0</v>
      </c>
      <c r="Y209" s="206">
        <v>0</v>
      </c>
      <c r="Z209" s="206">
        <v>0</v>
      </c>
      <c r="AA209" s="206">
        <v>0.53</v>
      </c>
      <c r="AB209" s="206">
        <v>0</v>
      </c>
      <c r="AC209" s="235">
        <v>46226.472453703704</v>
      </c>
      <c r="AE209" s="126">
        <v>0</v>
      </c>
      <c r="AF209" s="126">
        <v>0</v>
      </c>
      <c r="AG209" s="126">
        <v>1</v>
      </c>
      <c r="AH209" s="126">
        <v>0</v>
      </c>
      <c r="AI209" s="126">
        <v>1</v>
      </c>
    </row>
    <row r="210" spans="3:35">
      <c r="C210" s="126">
        <v>203</v>
      </c>
      <c r="D210" s="126">
        <v>1</v>
      </c>
      <c r="E210" s="126">
        <v>1</v>
      </c>
      <c r="G210" s="126">
        <v>42</v>
      </c>
      <c r="O210" s="126" t="s">
        <v>549</v>
      </c>
      <c r="P210" s="126" t="s">
        <v>1389</v>
      </c>
      <c r="Q210" s="126">
        <v>1</v>
      </c>
      <c r="S210" s="162">
        <v>46188</v>
      </c>
      <c r="T210" s="126">
        <v>177</v>
      </c>
      <c r="U210" s="206">
        <v>-250</v>
      </c>
      <c r="V210" s="206">
        <v>-0.25</v>
      </c>
      <c r="W210" s="206">
        <v>4.1500000000000004</v>
      </c>
      <c r="X210" s="206">
        <v>0</v>
      </c>
      <c r="Y210" s="206">
        <v>0</v>
      </c>
      <c r="Z210" s="206">
        <v>0</v>
      </c>
      <c r="AA210" s="206">
        <v>4.1500000000000004</v>
      </c>
      <c r="AB210" s="206">
        <v>0</v>
      </c>
      <c r="AC210" s="235">
        <v>46226.481585648151</v>
      </c>
      <c r="AE210" s="126">
        <v>0</v>
      </c>
      <c r="AF210" s="126">
        <v>0</v>
      </c>
      <c r="AG210" s="126">
        <v>1</v>
      </c>
      <c r="AH210" s="126">
        <v>0</v>
      </c>
      <c r="AI210" s="126">
        <v>1</v>
      </c>
    </row>
    <row r="211" spans="3:35">
      <c r="C211" s="126">
        <v>204</v>
      </c>
      <c r="D211" s="126">
        <v>1</v>
      </c>
      <c r="E211" s="126">
        <v>1</v>
      </c>
      <c r="G211" s="126">
        <v>42</v>
      </c>
      <c r="O211" s="126" t="s">
        <v>549</v>
      </c>
      <c r="P211" s="126" t="s">
        <v>1389</v>
      </c>
      <c r="Q211" s="126">
        <v>1</v>
      </c>
      <c r="S211" s="162">
        <v>46188</v>
      </c>
      <c r="T211" s="126">
        <v>179</v>
      </c>
      <c r="U211" s="206">
        <v>-300</v>
      </c>
      <c r="V211" s="206">
        <v>-0.3</v>
      </c>
      <c r="W211" s="206">
        <v>4.75</v>
      </c>
      <c r="X211" s="206">
        <v>0</v>
      </c>
      <c r="Y211" s="206">
        <v>0</v>
      </c>
      <c r="Z211" s="206">
        <v>0</v>
      </c>
      <c r="AA211" s="206">
        <v>4.75</v>
      </c>
      <c r="AB211" s="206">
        <v>0</v>
      </c>
      <c r="AC211" s="235">
        <v>46226.481585648151</v>
      </c>
      <c r="AE211" s="126">
        <v>0</v>
      </c>
      <c r="AF211" s="126">
        <v>0</v>
      </c>
      <c r="AG211" s="126">
        <v>1</v>
      </c>
      <c r="AH211" s="126">
        <v>0</v>
      </c>
      <c r="AI211" s="126">
        <v>1</v>
      </c>
    </row>
    <row r="212" spans="3:35">
      <c r="C212" s="126">
        <v>205</v>
      </c>
      <c r="D212" s="126">
        <v>1</v>
      </c>
      <c r="E212" s="126">
        <v>1</v>
      </c>
      <c r="G212" s="126">
        <v>43</v>
      </c>
      <c r="O212" s="126" t="s">
        <v>549</v>
      </c>
      <c r="P212" s="126" t="s">
        <v>1397</v>
      </c>
      <c r="Q212" s="126">
        <v>1</v>
      </c>
      <c r="S212" s="162">
        <v>46188</v>
      </c>
      <c r="T212" s="126">
        <v>179</v>
      </c>
      <c r="U212" s="206">
        <v>-300</v>
      </c>
      <c r="V212" s="206">
        <v>-0.3</v>
      </c>
      <c r="W212" s="206">
        <v>4.75</v>
      </c>
      <c r="X212" s="206">
        <v>0</v>
      </c>
      <c r="Y212" s="206">
        <v>0</v>
      </c>
      <c r="Z212" s="206">
        <v>0</v>
      </c>
      <c r="AA212" s="206">
        <v>4.75</v>
      </c>
      <c r="AB212" s="206">
        <v>0</v>
      </c>
      <c r="AC212" s="235">
        <v>46226.53361111111</v>
      </c>
      <c r="AE212" s="126">
        <v>0</v>
      </c>
      <c r="AF212" s="126">
        <v>0</v>
      </c>
      <c r="AG212" s="126">
        <v>1</v>
      </c>
      <c r="AH212" s="126">
        <v>0</v>
      </c>
      <c r="AI212" s="126">
        <v>1</v>
      </c>
    </row>
    <row r="213" spans="3:35">
      <c r="C213" s="126">
        <v>206</v>
      </c>
      <c r="D213" s="126">
        <v>1</v>
      </c>
      <c r="E213" s="126">
        <v>1</v>
      </c>
      <c r="G213" s="126">
        <v>43</v>
      </c>
      <c r="O213" s="126" t="s">
        <v>549</v>
      </c>
      <c r="P213" s="126" t="s">
        <v>1397</v>
      </c>
      <c r="Q213" s="126">
        <v>1</v>
      </c>
      <c r="S213" s="162">
        <v>46188</v>
      </c>
      <c r="T213" s="126">
        <v>177</v>
      </c>
      <c r="U213" s="206">
        <v>-150</v>
      </c>
      <c r="V213" s="206">
        <v>-0.15</v>
      </c>
      <c r="W213" s="206">
        <v>4.1500000000000004</v>
      </c>
      <c r="X213" s="206">
        <v>0</v>
      </c>
      <c r="Y213" s="206">
        <v>0</v>
      </c>
      <c r="Z213" s="206">
        <v>0</v>
      </c>
      <c r="AA213" s="206">
        <v>4.1500000000000004</v>
      </c>
      <c r="AB213" s="206">
        <v>0</v>
      </c>
      <c r="AC213" s="235">
        <v>46226.53361111111</v>
      </c>
      <c r="AE213" s="126">
        <v>0</v>
      </c>
      <c r="AF213" s="126">
        <v>0</v>
      </c>
      <c r="AG213" s="126">
        <v>1</v>
      </c>
      <c r="AH213" s="126">
        <v>0</v>
      </c>
      <c r="AI213" s="126">
        <v>1</v>
      </c>
    </row>
    <row r="214" spans="3:35">
      <c r="C214" s="126">
        <v>207</v>
      </c>
      <c r="D214" s="126">
        <v>1</v>
      </c>
      <c r="E214" s="126">
        <v>1</v>
      </c>
      <c r="G214" s="126">
        <v>43</v>
      </c>
      <c r="O214" s="126" t="s">
        <v>549</v>
      </c>
      <c r="P214" s="126" t="s">
        <v>1397</v>
      </c>
      <c r="Q214" s="126">
        <v>1</v>
      </c>
      <c r="S214" s="162">
        <v>46188</v>
      </c>
      <c r="T214" s="126">
        <v>150</v>
      </c>
      <c r="U214" s="206">
        <v>-24</v>
      </c>
      <c r="V214" s="206">
        <v>-2</v>
      </c>
      <c r="W214" s="206">
        <v>1.56</v>
      </c>
      <c r="X214" s="206">
        <v>0</v>
      </c>
      <c r="Y214" s="206">
        <v>0</v>
      </c>
      <c r="Z214" s="206">
        <v>0</v>
      </c>
      <c r="AA214" s="206">
        <v>1.56</v>
      </c>
      <c r="AB214" s="206">
        <v>0</v>
      </c>
      <c r="AC214" s="235">
        <v>46226.53361111111</v>
      </c>
      <c r="AE214" s="126">
        <v>0</v>
      </c>
      <c r="AF214" s="126">
        <v>0</v>
      </c>
      <c r="AG214" s="126">
        <v>1</v>
      </c>
      <c r="AH214" s="126">
        <v>0</v>
      </c>
      <c r="AI214" s="126">
        <v>1</v>
      </c>
    </row>
    <row r="215" spans="3:35">
      <c r="C215" s="126">
        <v>208</v>
      </c>
      <c r="D215" s="126">
        <v>1</v>
      </c>
      <c r="E215" s="126">
        <v>1</v>
      </c>
      <c r="G215" s="126">
        <v>43</v>
      </c>
      <c r="O215" s="126" t="s">
        <v>549</v>
      </c>
      <c r="P215" s="126" t="s">
        <v>1397</v>
      </c>
      <c r="Q215" s="126">
        <v>1</v>
      </c>
      <c r="S215" s="162">
        <v>46188</v>
      </c>
      <c r="T215" s="126">
        <v>18</v>
      </c>
      <c r="U215" s="206">
        <v>-2</v>
      </c>
      <c r="V215" s="206">
        <v>-2</v>
      </c>
      <c r="W215" s="206">
        <v>1.35</v>
      </c>
      <c r="X215" s="206">
        <v>0</v>
      </c>
      <c r="Y215" s="206">
        <v>0</v>
      </c>
      <c r="Z215" s="206">
        <v>0</v>
      </c>
      <c r="AA215" s="206">
        <v>1.35</v>
      </c>
      <c r="AB215" s="206">
        <v>0</v>
      </c>
      <c r="AC215" s="235">
        <v>46226.53361111111</v>
      </c>
      <c r="AE215" s="126">
        <v>0</v>
      </c>
      <c r="AF215" s="126">
        <v>0</v>
      </c>
      <c r="AG215" s="126">
        <v>1</v>
      </c>
      <c r="AH215" s="126">
        <v>0</v>
      </c>
      <c r="AI215" s="126">
        <v>1</v>
      </c>
    </row>
    <row r="216" spans="3:35">
      <c r="C216" s="126">
        <v>209</v>
      </c>
      <c r="D216" s="126">
        <v>1</v>
      </c>
      <c r="E216" s="126">
        <v>1</v>
      </c>
      <c r="G216" s="126">
        <v>43</v>
      </c>
      <c r="O216" s="126" t="s">
        <v>549</v>
      </c>
      <c r="P216" s="126" t="s">
        <v>1397</v>
      </c>
      <c r="Q216" s="126">
        <v>1</v>
      </c>
      <c r="S216" s="162">
        <v>46188</v>
      </c>
      <c r="T216" s="126">
        <v>108</v>
      </c>
      <c r="U216" s="206">
        <v>-1</v>
      </c>
      <c r="V216" s="206">
        <v>-1</v>
      </c>
      <c r="W216" s="206">
        <v>2.7</v>
      </c>
      <c r="X216" s="206">
        <v>0</v>
      </c>
      <c r="Y216" s="206">
        <v>0</v>
      </c>
      <c r="Z216" s="206">
        <v>0</v>
      </c>
      <c r="AA216" s="206">
        <v>2.7</v>
      </c>
      <c r="AB216" s="206">
        <v>0</v>
      </c>
      <c r="AC216" s="235">
        <v>46226.53361111111</v>
      </c>
      <c r="AE216" s="126">
        <v>0</v>
      </c>
      <c r="AF216" s="126">
        <v>0</v>
      </c>
      <c r="AG216" s="126">
        <v>1</v>
      </c>
      <c r="AH216" s="126">
        <v>0</v>
      </c>
      <c r="AI216" s="126">
        <v>1</v>
      </c>
    </row>
    <row r="217" spans="3:35">
      <c r="C217" s="126">
        <v>210</v>
      </c>
      <c r="D217" s="126">
        <v>1</v>
      </c>
      <c r="E217" s="126">
        <v>1</v>
      </c>
      <c r="G217" s="126">
        <v>43</v>
      </c>
      <c r="O217" s="126" t="s">
        <v>549</v>
      </c>
      <c r="P217" s="126" t="s">
        <v>1397</v>
      </c>
      <c r="Q217" s="126">
        <v>1</v>
      </c>
      <c r="S217" s="162">
        <v>46188</v>
      </c>
      <c r="T217" s="126">
        <v>22</v>
      </c>
      <c r="U217" s="206">
        <v>-2</v>
      </c>
      <c r="V217" s="206">
        <v>-2</v>
      </c>
      <c r="W217" s="206">
        <v>2.9</v>
      </c>
      <c r="X217" s="206">
        <v>0</v>
      </c>
      <c r="Y217" s="206">
        <v>0</v>
      </c>
      <c r="Z217" s="206">
        <v>0</v>
      </c>
      <c r="AA217" s="206">
        <v>2.9</v>
      </c>
      <c r="AB217" s="206">
        <v>0</v>
      </c>
      <c r="AC217" s="235">
        <v>46226.53361111111</v>
      </c>
      <c r="AE217" s="126">
        <v>0</v>
      </c>
      <c r="AF217" s="126">
        <v>0</v>
      </c>
      <c r="AG217" s="126">
        <v>1</v>
      </c>
      <c r="AH217" s="126">
        <v>0</v>
      </c>
      <c r="AI217" s="126">
        <v>1</v>
      </c>
    </row>
    <row r="218" spans="3:35">
      <c r="C218" s="126">
        <v>211</v>
      </c>
      <c r="D218" s="126">
        <v>1</v>
      </c>
      <c r="E218" s="126">
        <v>1</v>
      </c>
      <c r="G218" s="126">
        <v>43</v>
      </c>
      <c r="O218" s="126" t="s">
        <v>549</v>
      </c>
      <c r="P218" s="126" t="s">
        <v>1397</v>
      </c>
      <c r="Q218" s="126">
        <v>1</v>
      </c>
      <c r="S218" s="162">
        <v>46188</v>
      </c>
      <c r="T218" s="126">
        <v>14</v>
      </c>
      <c r="U218" s="206">
        <v>-1</v>
      </c>
      <c r="V218" s="206">
        <v>-1</v>
      </c>
      <c r="W218" s="206">
        <v>3.3</v>
      </c>
      <c r="X218" s="206">
        <v>0</v>
      </c>
      <c r="Y218" s="206">
        <v>0</v>
      </c>
      <c r="Z218" s="206">
        <v>0</v>
      </c>
      <c r="AA218" s="206">
        <v>3.3</v>
      </c>
      <c r="AB218" s="206">
        <v>0</v>
      </c>
      <c r="AC218" s="235">
        <v>46226.53361111111</v>
      </c>
      <c r="AE218" s="126">
        <v>0</v>
      </c>
      <c r="AF218" s="126">
        <v>0</v>
      </c>
      <c r="AG218" s="126">
        <v>1</v>
      </c>
      <c r="AH218" s="126">
        <v>0</v>
      </c>
      <c r="AI218" s="126">
        <v>1</v>
      </c>
    </row>
    <row r="219" spans="3:35">
      <c r="C219" s="126">
        <v>212</v>
      </c>
      <c r="D219" s="126">
        <v>1</v>
      </c>
      <c r="E219" s="126">
        <v>1</v>
      </c>
      <c r="G219" s="126">
        <v>43</v>
      </c>
      <c r="O219" s="126" t="s">
        <v>549</v>
      </c>
      <c r="P219" s="126" t="s">
        <v>1397</v>
      </c>
      <c r="Q219" s="126">
        <v>1</v>
      </c>
      <c r="S219" s="162">
        <v>46188</v>
      </c>
      <c r="T219" s="126">
        <v>16</v>
      </c>
      <c r="U219" s="206">
        <v>-1</v>
      </c>
      <c r="V219" s="206">
        <v>-1</v>
      </c>
      <c r="W219" s="206">
        <v>2.1</v>
      </c>
      <c r="X219" s="206">
        <v>0</v>
      </c>
      <c r="Y219" s="206">
        <v>0</v>
      </c>
      <c r="Z219" s="206">
        <v>0</v>
      </c>
      <c r="AA219" s="206">
        <v>2.1</v>
      </c>
      <c r="AB219" s="206">
        <v>0</v>
      </c>
      <c r="AC219" s="235">
        <v>46226.53361111111</v>
      </c>
      <c r="AE219" s="126">
        <v>0</v>
      </c>
      <c r="AF219" s="126">
        <v>0</v>
      </c>
      <c r="AG219" s="126">
        <v>1</v>
      </c>
      <c r="AH219" s="126">
        <v>0</v>
      </c>
      <c r="AI219" s="126">
        <v>1</v>
      </c>
    </row>
    <row r="220" spans="3:35">
      <c r="C220" s="126">
        <v>213</v>
      </c>
      <c r="D220" s="126">
        <v>1</v>
      </c>
      <c r="E220" s="126">
        <v>1</v>
      </c>
      <c r="G220" s="126">
        <v>43</v>
      </c>
      <c r="O220" s="126" t="s">
        <v>549</v>
      </c>
      <c r="P220" s="126" t="s">
        <v>1397</v>
      </c>
      <c r="Q220" s="126">
        <v>1</v>
      </c>
      <c r="S220" s="162">
        <v>46188</v>
      </c>
      <c r="T220" s="126">
        <v>50</v>
      </c>
      <c r="U220" s="206">
        <v>-3</v>
      </c>
      <c r="V220" s="206">
        <v>-3</v>
      </c>
      <c r="W220" s="206">
        <v>0.12</v>
      </c>
      <c r="X220" s="206">
        <v>0</v>
      </c>
      <c r="Y220" s="206">
        <v>0</v>
      </c>
      <c r="Z220" s="206">
        <v>0</v>
      </c>
      <c r="AA220" s="206">
        <v>0.12</v>
      </c>
      <c r="AB220" s="206">
        <v>0</v>
      </c>
      <c r="AC220" s="235">
        <v>46226.53361111111</v>
      </c>
      <c r="AE220" s="126">
        <v>0</v>
      </c>
      <c r="AF220" s="126">
        <v>0</v>
      </c>
      <c r="AG220" s="126">
        <v>1</v>
      </c>
      <c r="AH220" s="126">
        <v>0</v>
      </c>
      <c r="AI220" s="126">
        <v>1</v>
      </c>
    </row>
    <row r="221" spans="3:35">
      <c r="C221" s="126">
        <v>214</v>
      </c>
      <c r="D221" s="126">
        <v>1</v>
      </c>
      <c r="E221" s="126">
        <v>1</v>
      </c>
      <c r="G221" s="126">
        <v>44</v>
      </c>
      <c r="O221" s="126" t="s">
        <v>549</v>
      </c>
      <c r="P221" s="126" t="s">
        <v>1430</v>
      </c>
      <c r="Q221" s="126">
        <v>1</v>
      </c>
      <c r="S221" s="162">
        <v>46189</v>
      </c>
      <c r="T221" s="126">
        <v>177</v>
      </c>
      <c r="U221" s="206">
        <v>-500</v>
      </c>
      <c r="V221" s="206">
        <v>-0.5</v>
      </c>
      <c r="W221" s="206">
        <v>4.1500000000000004</v>
      </c>
      <c r="X221" s="206">
        <v>0</v>
      </c>
      <c r="Y221" s="206">
        <v>0</v>
      </c>
      <c r="Z221" s="206">
        <v>0</v>
      </c>
      <c r="AA221" s="206">
        <v>4.1500000000000004</v>
      </c>
      <c r="AB221" s="206">
        <v>0</v>
      </c>
      <c r="AC221" s="235">
        <v>46226.670694444445</v>
      </c>
      <c r="AE221" s="126">
        <v>0</v>
      </c>
      <c r="AF221" s="126">
        <v>0</v>
      </c>
      <c r="AG221" s="126">
        <v>1</v>
      </c>
      <c r="AH221" s="126">
        <v>0</v>
      </c>
      <c r="AI221" s="126">
        <v>1</v>
      </c>
    </row>
    <row r="222" spans="3:35">
      <c r="C222" s="126">
        <v>215</v>
      </c>
      <c r="D222" s="126">
        <v>1</v>
      </c>
      <c r="E222" s="126">
        <v>1</v>
      </c>
      <c r="G222" s="126">
        <v>45</v>
      </c>
      <c r="O222" s="126" t="s">
        <v>549</v>
      </c>
      <c r="P222" s="126" t="s">
        <v>1435</v>
      </c>
      <c r="Q222" s="126">
        <v>1</v>
      </c>
      <c r="S222" s="162">
        <v>46189</v>
      </c>
      <c r="T222" s="126">
        <v>177</v>
      </c>
      <c r="U222" s="206">
        <v>-150</v>
      </c>
      <c r="V222" s="206">
        <v>-0.15</v>
      </c>
      <c r="W222" s="206">
        <v>4.1500000000000004</v>
      </c>
      <c r="X222" s="206">
        <v>0</v>
      </c>
      <c r="Y222" s="206">
        <v>0</v>
      </c>
      <c r="Z222" s="206">
        <v>0</v>
      </c>
      <c r="AA222" s="206">
        <v>4.1500000000000004</v>
      </c>
      <c r="AB222" s="206">
        <v>0</v>
      </c>
      <c r="AC222" s="235">
        <v>46226.673831018517</v>
      </c>
      <c r="AE222" s="126">
        <v>0</v>
      </c>
      <c r="AF222" s="126">
        <v>0</v>
      </c>
      <c r="AG222" s="126">
        <v>1</v>
      </c>
      <c r="AH222" s="126">
        <v>0</v>
      </c>
      <c r="AI222" s="126">
        <v>1</v>
      </c>
    </row>
    <row r="223" spans="3:35">
      <c r="C223" s="126">
        <v>216</v>
      </c>
      <c r="D223" s="126">
        <v>1</v>
      </c>
      <c r="E223" s="126">
        <v>1</v>
      </c>
      <c r="G223" s="126">
        <v>45</v>
      </c>
      <c r="O223" s="126" t="s">
        <v>549</v>
      </c>
      <c r="P223" s="126" t="s">
        <v>1435</v>
      </c>
      <c r="Q223" s="126">
        <v>1</v>
      </c>
      <c r="S223" s="162">
        <v>46189</v>
      </c>
      <c r="T223" s="126">
        <v>179</v>
      </c>
      <c r="U223" s="206">
        <v>-300</v>
      </c>
      <c r="V223" s="206">
        <v>-0.3</v>
      </c>
      <c r="W223" s="206">
        <v>4.75</v>
      </c>
      <c r="X223" s="206">
        <v>0</v>
      </c>
      <c r="Y223" s="206">
        <v>0</v>
      </c>
      <c r="Z223" s="206">
        <v>0</v>
      </c>
      <c r="AA223" s="206">
        <v>4.75</v>
      </c>
      <c r="AB223" s="206">
        <v>0</v>
      </c>
      <c r="AC223" s="235">
        <v>46226.673831018517</v>
      </c>
      <c r="AE223" s="126">
        <v>0</v>
      </c>
      <c r="AF223" s="126">
        <v>0</v>
      </c>
      <c r="AG223" s="126">
        <v>1</v>
      </c>
      <c r="AH223" s="126">
        <v>0</v>
      </c>
      <c r="AI223" s="126">
        <v>1</v>
      </c>
    </row>
    <row r="224" spans="3:35">
      <c r="C224" s="126">
        <v>217</v>
      </c>
      <c r="D224" s="126">
        <v>1</v>
      </c>
      <c r="E224" s="126">
        <v>1</v>
      </c>
      <c r="G224" s="126">
        <v>46</v>
      </c>
      <c r="O224" s="126" t="s">
        <v>549</v>
      </c>
      <c r="P224" s="126" t="s">
        <v>1443</v>
      </c>
      <c r="Q224" s="126">
        <v>1</v>
      </c>
      <c r="S224" s="162">
        <v>46189</v>
      </c>
      <c r="T224" s="126">
        <v>187</v>
      </c>
      <c r="U224" s="206">
        <v>-40</v>
      </c>
      <c r="V224" s="206">
        <v>-10</v>
      </c>
      <c r="W224" s="206">
        <v>3.37</v>
      </c>
      <c r="X224" s="206">
        <v>0</v>
      </c>
      <c r="Y224" s="206">
        <v>0</v>
      </c>
      <c r="Z224" s="206">
        <v>0</v>
      </c>
      <c r="AA224" s="206">
        <v>3.37</v>
      </c>
      <c r="AB224" s="206">
        <v>0</v>
      </c>
      <c r="AC224" s="235">
        <v>46226.685115740744</v>
      </c>
      <c r="AE224" s="126">
        <v>0</v>
      </c>
      <c r="AF224" s="126">
        <v>0</v>
      </c>
      <c r="AG224" s="126">
        <v>1</v>
      </c>
      <c r="AH224" s="126">
        <v>0</v>
      </c>
      <c r="AI224" s="126">
        <v>1</v>
      </c>
    </row>
    <row r="225" spans="3:35">
      <c r="C225" s="126">
        <v>218</v>
      </c>
      <c r="D225" s="126">
        <v>1</v>
      </c>
      <c r="E225" s="126">
        <v>1</v>
      </c>
      <c r="G225" s="126">
        <v>46</v>
      </c>
      <c r="O225" s="126" t="s">
        <v>549</v>
      </c>
      <c r="P225" s="126" t="s">
        <v>1443</v>
      </c>
      <c r="Q225" s="126">
        <v>1</v>
      </c>
      <c r="S225" s="162">
        <v>46189</v>
      </c>
      <c r="T225" s="126">
        <v>195</v>
      </c>
      <c r="U225" s="206">
        <v>-12</v>
      </c>
      <c r="V225" s="206">
        <v>-3</v>
      </c>
      <c r="W225" s="206">
        <v>6.28</v>
      </c>
      <c r="X225" s="206">
        <v>0</v>
      </c>
      <c r="Y225" s="206">
        <v>0</v>
      </c>
      <c r="Z225" s="206">
        <v>0</v>
      </c>
      <c r="AA225" s="206">
        <v>6.28</v>
      </c>
      <c r="AB225" s="206">
        <v>0</v>
      </c>
      <c r="AC225" s="235">
        <v>46226.685115740744</v>
      </c>
      <c r="AE225" s="126">
        <v>0</v>
      </c>
      <c r="AF225" s="126">
        <v>0</v>
      </c>
      <c r="AG225" s="126">
        <v>1</v>
      </c>
      <c r="AH225" s="126">
        <v>0</v>
      </c>
      <c r="AI225" s="126">
        <v>1</v>
      </c>
    </row>
    <row r="226" spans="3:35">
      <c r="C226" s="126">
        <v>219</v>
      </c>
      <c r="D226" s="126">
        <v>1</v>
      </c>
      <c r="E226" s="126">
        <v>1</v>
      </c>
      <c r="G226" s="126">
        <v>46</v>
      </c>
      <c r="O226" s="126" t="s">
        <v>549</v>
      </c>
      <c r="P226" s="126" t="s">
        <v>1443</v>
      </c>
      <c r="Q226" s="126">
        <v>1</v>
      </c>
      <c r="S226" s="162">
        <v>46189</v>
      </c>
      <c r="T226" s="126">
        <v>16</v>
      </c>
      <c r="U226" s="206">
        <v>-10</v>
      </c>
      <c r="V226" s="206">
        <v>-10</v>
      </c>
      <c r="W226" s="206">
        <v>2.1</v>
      </c>
      <c r="X226" s="206">
        <v>0</v>
      </c>
      <c r="Y226" s="206">
        <v>0</v>
      </c>
      <c r="Z226" s="206">
        <v>0</v>
      </c>
      <c r="AA226" s="206">
        <v>2.1</v>
      </c>
      <c r="AB226" s="206">
        <v>0</v>
      </c>
      <c r="AC226" s="235">
        <v>46226.685115740744</v>
      </c>
      <c r="AE226" s="126">
        <v>0</v>
      </c>
      <c r="AF226" s="126">
        <v>0</v>
      </c>
      <c r="AG226" s="126">
        <v>1</v>
      </c>
      <c r="AH226" s="126">
        <v>0</v>
      </c>
      <c r="AI226" s="126">
        <v>1</v>
      </c>
    </row>
    <row r="227" spans="3:35">
      <c r="C227" s="126">
        <v>220</v>
      </c>
      <c r="D227" s="126">
        <v>1</v>
      </c>
      <c r="E227" s="126">
        <v>1</v>
      </c>
      <c r="G227" s="126">
        <v>46</v>
      </c>
      <c r="O227" s="126" t="s">
        <v>549</v>
      </c>
      <c r="P227" s="126" t="s">
        <v>1443</v>
      </c>
      <c r="Q227" s="126">
        <v>1</v>
      </c>
      <c r="S227" s="162">
        <v>46189</v>
      </c>
      <c r="T227" s="126">
        <v>10</v>
      </c>
      <c r="U227" s="206">
        <v>-1</v>
      </c>
      <c r="V227" s="206">
        <v>-1</v>
      </c>
      <c r="W227" s="206">
        <v>14.85</v>
      </c>
      <c r="X227" s="206">
        <v>0</v>
      </c>
      <c r="Y227" s="206">
        <v>0</v>
      </c>
      <c r="Z227" s="206">
        <v>0</v>
      </c>
      <c r="AA227" s="206">
        <v>14.85</v>
      </c>
      <c r="AB227" s="206">
        <v>0</v>
      </c>
      <c r="AC227" s="235">
        <v>46226.685115740744</v>
      </c>
      <c r="AE227" s="126">
        <v>0</v>
      </c>
      <c r="AF227" s="126">
        <v>0</v>
      </c>
      <c r="AG227" s="126">
        <v>1</v>
      </c>
      <c r="AH227" s="126">
        <v>0</v>
      </c>
      <c r="AI227" s="126">
        <v>1</v>
      </c>
    </row>
    <row r="228" spans="3:35">
      <c r="C228" s="126">
        <v>221</v>
      </c>
      <c r="D228" s="126">
        <v>1</v>
      </c>
      <c r="E228" s="126">
        <v>1</v>
      </c>
      <c r="G228" s="126">
        <v>46</v>
      </c>
      <c r="O228" s="126" t="s">
        <v>549</v>
      </c>
      <c r="P228" s="126" t="s">
        <v>1443</v>
      </c>
      <c r="Q228" s="126">
        <v>1</v>
      </c>
      <c r="S228" s="162">
        <v>46189</v>
      </c>
      <c r="T228" s="126">
        <v>178</v>
      </c>
      <c r="U228" s="206">
        <v>-200</v>
      </c>
      <c r="V228" s="206">
        <v>-0.2</v>
      </c>
      <c r="W228" s="206">
        <v>4.75</v>
      </c>
      <c r="X228" s="206">
        <v>0</v>
      </c>
      <c r="Y228" s="206">
        <v>0</v>
      </c>
      <c r="Z228" s="206">
        <v>0</v>
      </c>
      <c r="AA228" s="206">
        <v>4.75</v>
      </c>
      <c r="AB228" s="206">
        <v>0</v>
      </c>
      <c r="AC228" s="235">
        <v>46226.685115740744</v>
      </c>
      <c r="AE228" s="126">
        <v>0</v>
      </c>
      <c r="AF228" s="126">
        <v>0</v>
      </c>
      <c r="AG228" s="126">
        <v>1</v>
      </c>
      <c r="AH228" s="126">
        <v>0</v>
      </c>
      <c r="AI228" s="126">
        <v>1</v>
      </c>
    </row>
    <row r="229" spans="3:35">
      <c r="C229" s="126">
        <v>222</v>
      </c>
      <c r="D229" s="126">
        <v>1</v>
      </c>
      <c r="E229" s="126">
        <v>1</v>
      </c>
      <c r="G229" s="126">
        <v>47</v>
      </c>
      <c r="O229" s="126" t="s">
        <v>549</v>
      </c>
      <c r="P229" s="126" t="s">
        <v>1461</v>
      </c>
      <c r="Q229" s="126">
        <v>1</v>
      </c>
      <c r="S229" s="162">
        <v>46190</v>
      </c>
      <c r="T229" s="126">
        <v>197</v>
      </c>
      <c r="U229" s="206">
        <v>-8</v>
      </c>
      <c r="V229" s="206">
        <v>-2</v>
      </c>
      <c r="W229" s="206">
        <v>8.36</v>
      </c>
      <c r="X229" s="206">
        <v>0</v>
      </c>
      <c r="Y229" s="206">
        <v>0</v>
      </c>
      <c r="Z229" s="206">
        <v>0</v>
      </c>
      <c r="AA229" s="206">
        <v>8.36</v>
      </c>
      <c r="AB229" s="206">
        <v>0</v>
      </c>
      <c r="AC229" s="235">
        <v>46226.695104166669</v>
      </c>
      <c r="AE229" s="126">
        <v>0</v>
      </c>
      <c r="AF229" s="126">
        <v>0</v>
      </c>
      <c r="AG229" s="126">
        <v>1</v>
      </c>
      <c r="AH229" s="126">
        <v>0</v>
      </c>
      <c r="AI229" s="126">
        <v>1</v>
      </c>
    </row>
    <row r="230" spans="3:35">
      <c r="C230" s="126">
        <v>223</v>
      </c>
      <c r="D230" s="126">
        <v>1</v>
      </c>
      <c r="E230" s="126">
        <v>1</v>
      </c>
      <c r="G230" s="126">
        <v>47</v>
      </c>
      <c r="O230" s="126" t="s">
        <v>549</v>
      </c>
      <c r="P230" s="126" t="s">
        <v>1461</v>
      </c>
      <c r="Q230" s="126">
        <v>1</v>
      </c>
      <c r="S230" s="162">
        <v>46190</v>
      </c>
      <c r="T230" s="126">
        <v>181</v>
      </c>
      <c r="U230" s="206">
        <v>-120</v>
      </c>
      <c r="V230" s="206">
        <v>-10</v>
      </c>
      <c r="W230" s="206">
        <v>1</v>
      </c>
      <c r="X230" s="206">
        <v>0</v>
      </c>
      <c r="Y230" s="206">
        <v>0</v>
      </c>
      <c r="Z230" s="206">
        <v>0</v>
      </c>
      <c r="AA230" s="206">
        <v>1</v>
      </c>
      <c r="AB230" s="206">
        <v>0</v>
      </c>
      <c r="AC230" s="235">
        <v>46226.695104166669</v>
      </c>
      <c r="AE230" s="126">
        <v>0</v>
      </c>
      <c r="AF230" s="126">
        <v>0</v>
      </c>
      <c r="AG230" s="126">
        <v>1</v>
      </c>
      <c r="AH230" s="126">
        <v>0</v>
      </c>
      <c r="AI230" s="126">
        <v>1</v>
      </c>
    </row>
    <row r="231" spans="3:35">
      <c r="C231" s="126">
        <v>224</v>
      </c>
      <c r="D231" s="126">
        <v>1</v>
      </c>
      <c r="E231" s="126">
        <v>1</v>
      </c>
      <c r="G231" s="126">
        <v>47</v>
      </c>
      <c r="O231" s="126" t="s">
        <v>549</v>
      </c>
      <c r="P231" s="126" t="s">
        <v>1461</v>
      </c>
      <c r="Q231" s="126">
        <v>1</v>
      </c>
      <c r="S231" s="162">
        <v>46190</v>
      </c>
      <c r="T231" s="126">
        <v>178</v>
      </c>
      <c r="U231" s="206">
        <v>-300</v>
      </c>
      <c r="V231" s="206">
        <v>-0.3</v>
      </c>
      <c r="W231" s="206">
        <v>4.75</v>
      </c>
      <c r="X231" s="206">
        <v>0</v>
      </c>
      <c r="Y231" s="206">
        <v>0</v>
      </c>
      <c r="Z231" s="206">
        <v>0</v>
      </c>
      <c r="AA231" s="206">
        <v>4.75</v>
      </c>
      <c r="AB231" s="206">
        <v>0</v>
      </c>
      <c r="AC231" s="235">
        <v>46226.695104166669</v>
      </c>
      <c r="AE231" s="126">
        <v>0</v>
      </c>
      <c r="AF231" s="126">
        <v>0</v>
      </c>
      <c r="AG231" s="126">
        <v>1</v>
      </c>
      <c r="AH231" s="126">
        <v>0</v>
      </c>
      <c r="AI231" s="126">
        <v>1</v>
      </c>
    </row>
    <row r="232" spans="3:35">
      <c r="C232" s="126">
        <v>225</v>
      </c>
      <c r="D232" s="126">
        <v>1</v>
      </c>
      <c r="E232" s="126">
        <v>1</v>
      </c>
      <c r="G232" s="126">
        <v>47</v>
      </c>
      <c r="O232" s="126" t="s">
        <v>549</v>
      </c>
      <c r="P232" s="126" t="s">
        <v>1461</v>
      </c>
      <c r="Q232" s="126">
        <v>1</v>
      </c>
      <c r="S232" s="162">
        <v>46190</v>
      </c>
      <c r="T232" s="126">
        <v>178</v>
      </c>
      <c r="U232" s="206">
        <v>-400</v>
      </c>
      <c r="V232" s="206">
        <v>-0.4</v>
      </c>
      <c r="W232" s="206">
        <v>4.75</v>
      </c>
      <c r="X232" s="206">
        <v>0</v>
      </c>
      <c r="Y232" s="206">
        <v>0</v>
      </c>
      <c r="Z232" s="206">
        <v>0</v>
      </c>
      <c r="AA232" s="206">
        <v>4.75</v>
      </c>
      <c r="AB232" s="206">
        <v>0</v>
      </c>
      <c r="AC232" s="235">
        <v>46226.695104166669</v>
      </c>
      <c r="AE232" s="126">
        <v>0</v>
      </c>
      <c r="AF232" s="126">
        <v>0</v>
      </c>
      <c r="AG232" s="126">
        <v>1</v>
      </c>
      <c r="AH232" s="126">
        <v>0</v>
      </c>
      <c r="AI232" s="126">
        <v>1</v>
      </c>
    </row>
    <row r="233" spans="3:35">
      <c r="C233" s="126">
        <v>226</v>
      </c>
      <c r="D233" s="126">
        <v>1</v>
      </c>
      <c r="E233" s="126">
        <v>1</v>
      </c>
      <c r="G233" s="126">
        <v>48</v>
      </c>
      <c r="O233" s="126" t="s">
        <v>549</v>
      </c>
      <c r="P233" s="126" t="s">
        <v>1472</v>
      </c>
      <c r="Q233" s="126">
        <v>1</v>
      </c>
      <c r="S233" s="162">
        <v>46190</v>
      </c>
      <c r="T233" s="126">
        <v>177</v>
      </c>
      <c r="U233" s="206">
        <v>-150</v>
      </c>
      <c r="V233" s="206">
        <v>-0.15</v>
      </c>
      <c r="W233" s="206">
        <v>4.1500000000000004</v>
      </c>
      <c r="X233" s="206">
        <v>0</v>
      </c>
      <c r="Y233" s="206">
        <v>0</v>
      </c>
      <c r="Z233" s="206">
        <v>0</v>
      </c>
      <c r="AA233" s="206">
        <v>4.1500000000000004</v>
      </c>
      <c r="AB233" s="206">
        <v>0</v>
      </c>
      <c r="AC233" s="235">
        <v>46226.702476851853</v>
      </c>
      <c r="AE233" s="126">
        <v>0</v>
      </c>
      <c r="AF233" s="126">
        <v>0</v>
      </c>
      <c r="AG233" s="126">
        <v>1</v>
      </c>
      <c r="AH233" s="126">
        <v>0</v>
      </c>
      <c r="AI233" s="126">
        <v>1</v>
      </c>
    </row>
    <row r="234" spans="3:35">
      <c r="C234" s="126">
        <v>227</v>
      </c>
      <c r="D234" s="126">
        <v>1</v>
      </c>
      <c r="E234" s="126">
        <v>1</v>
      </c>
      <c r="G234" s="126">
        <v>48</v>
      </c>
      <c r="O234" s="126" t="s">
        <v>549</v>
      </c>
      <c r="P234" s="126" t="s">
        <v>1472</v>
      </c>
      <c r="Q234" s="126">
        <v>1</v>
      </c>
      <c r="S234" s="162">
        <v>46190</v>
      </c>
      <c r="T234" s="126">
        <v>178</v>
      </c>
      <c r="U234" s="206">
        <v>-600</v>
      </c>
      <c r="V234" s="206">
        <v>-0.6</v>
      </c>
      <c r="W234" s="206">
        <v>4.75</v>
      </c>
      <c r="X234" s="206">
        <v>0</v>
      </c>
      <c r="Y234" s="206">
        <v>0</v>
      </c>
      <c r="Z234" s="206">
        <v>0</v>
      </c>
      <c r="AA234" s="206">
        <v>4.75</v>
      </c>
      <c r="AB234" s="206">
        <v>0</v>
      </c>
      <c r="AC234" s="235">
        <v>46226.702476851853</v>
      </c>
      <c r="AE234" s="126">
        <v>0</v>
      </c>
      <c r="AF234" s="126">
        <v>0</v>
      </c>
      <c r="AG234" s="126">
        <v>1</v>
      </c>
      <c r="AH234" s="126">
        <v>0</v>
      </c>
      <c r="AI234" s="126">
        <v>1</v>
      </c>
    </row>
    <row r="235" spans="3:35">
      <c r="C235" s="126">
        <v>228</v>
      </c>
      <c r="D235" s="126">
        <v>1</v>
      </c>
      <c r="E235" s="126">
        <v>1</v>
      </c>
      <c r="G235" s="126">
        <v>48</v>
      </c>
      <c r="O235" s="126" t="s">
        <v>549</v>
      </c>
      <c r="P235" s="126" t="s">
        <v>1472</v>
      </c>
      <c r="Q235" s="126">
        <v>1</v>
      </c>
      <c r="S235" s="162">
        <v>46190</v>
      </c>
      <c r="T235" s="126">
        <v>183</v>
      </c>
      <c r="U235" s="206">
        <v>-60</v>
      </c>
      <c r="V235" s="206">
        <v>-5</v>
      </c>
      <c r="W235" s="206">
        <v>4</v>
      </c>
      <c r="X235" s="206">
        <v>0</v>
      </c>
      <c r="Y235" s="206">
        <v>0</v>
      </c>
      <c r="Z235" s="206">
        <v>0</v>
      </c>
      <c r="AA235" s="206">
        <v>4</v>
      </c>
      <c r="AB235" s="206">
        <v>0</v>
      </c>
      <c r="AC235" s="235">
        <v>46226.702476851853</v>
      </c>
      <c r="AE235" s="126">
        <v>0</v>
      </c>
      <c r="AF235" s="126">
        <v>0</v>
      </c>
      <c r="AG235" s="126">
        <v>1</v>
      </c>
      <c r="AH235" s="126">
        <v>0</v>
      </c>
      <c r="AI235" s="126">
        <v>1</v>
      </c>
    </row>
    <row r="236" spans="3:35">
      <c r="C236" s="126">
        <v>229</v>
      </c>
      <c r="D236" s="126">
        <v>1</v>
      </c>
      <c r="E236" s="126">
        <v>1</v>
      </c>
      <c r="G236" s="126">
        <v>49</v>
      </c>
      <c r="O236" s="126" t="s">
        <v>549</v>
      </c>
      <c r="P236" s="126" t="s">
        <v>1483</v>
      </c>
      <c r="Q236" s="126">
        <v>1</v>
      </c>
      <c r="S236" s="162">
        <v>46190</v>
      </c>
      <c r="T236" s="126">
        <v>167</v>
      </c>
      <c r="U236" s="206">
        <v>-7</v>
      </c>
      <c r="V236" s="206">
        <v>-7</v>
      </c>
      <c r="W236" s="206">
        <v>0.85</v>
      </c>
      <c r="X236" s="206">
        <v>0</v>
      </c>
      <c r="Y236" s="206">
        <v>0</v>
      </c>
      <c r="Z236" s="206">
        <v>0</v>
      </c>
      <c r="AA236" s="206">
        <v>0.85</v>
      </c>
      <c r="AB236" s="206">
        <v>0</v>
      </c>
      <c r="AC236" s="235">
        <v>46226.759652777779</v>
      </c>
      <c r="AE236" s="126">
        <v>0</v>
      </c>
      <c r="AF236" s="126">
        <v>0</v>
      </c>
      <c r="AG236" s="126">
        <v>1</v>
      </c>
      <c r="AH236" s="126">
        <v>0</v>
      </c>
      <c r="AI236" s="126">
        <v>1</v>
      </c>
    </row>
    <row r="237" spans="3:35">
      <c r="C237" s="126">
        <v>230</v>
      </c>
      <c r="D237" s="126">
        <v>1</v>
      </c>
      <c r="E237" s="126">
        <v>1</v>
      </c>
      <c r="G237" s="126">
        <v>49</v>
      </c>
      <c r="O237" s="126" t="s">
        <v>549</v>
      </c>
      <c r="P237" s="126" t="s">
        <v>1483</v>
      </c>
      <c r="Q237" s="126">
        <v>1</v>
      </c>
      <c r="S237" s="162">
        <v>46190</v>
      </c>
      <c r="T237" s="126">
        <v>144</v>
      </c>
      <c r="U237" s="206">
        <v>-4</v>
      </c>
      <c r="V237" s="206">
        <v>-0.08</v>
      </c>
      <c r="W237" s="206">
        <v>0.3</v>
      </c>
      <c r="X237" s="206">
        <v>0</v>
      </c>
      <c r="Y237" s="206">
        <v>0</v>
      </c>
      <c r="Z237" s="206">
        <v>0</v>
      </c>
      <c r="AA237" s="206">
        <v>0.3</v>
      </c>
      <c r="AB237" s="206">
        <v>0</v>
      </c>
      <c r="AC237" s="235">
        <v>46226.759652777779</v>
      </c>
      <c r="AE237" s="126">
        <v>0</v>
      </c>
      <c r="AF237" s="126">
        <v>0</v>
      </c>
      <c r="AG237" s="126">
        <v>1</v>
      </c>
      <c r="AH237" s="126">
        <v>0</v>
      </c>
      <c r="AI237" s="126">
        <v>1</v>
      </c>
    </row>
    <row r="238" spans="3:35">
      <c r="C238" s="126">
        <v>231</v>
      </c>
      <c r="D238" s="126">
        <v>1</v>
      </c>
      <c r="E238" s="126">
        <v>1</v>
      </c>
      <c r="G238" s="126">
        <v>49</v>
      </c>
      <c r="O238" s="126" t="s">
        <v>549</v>
      </c>
      <c r="P238" s="126" t="s">
        <v>1483</v>
      </c>
      <c r="Q238" s="126">
        <v>1</v>
      </c>
      <c r="S238" s="162">
        <v>46190</v>
      </c>
      <c r="T238" s="126">
        <v>74</v>
      </c>
      <c r="U238" s="206">
        <v>-4</v>
      </c>
      <c r="V238" s="206">
        <v>-4</v>
      </c>
      <c r="W238" s="206">
        <v>0.19</v>
      </c>
      <c r="X238" s="206">
        <v>0</v>
      </c>
      <c r="Y238" s="206">
        <v>0</v>
      </c>
      <c r="Z238" s="206">
        <v>0</v>
      </c>
      <c r="AA238" s="206">
        <v>0.19</v>
      </c>
      <c r="AB238" s="206">
        <v>0</v>
      </c>
      <c r="AC238" s="235">
        <v>46226.759652777779</v>
      </c>
      <c r="AE238" s="126">
        <v>0</v>
      </c>
      <c r="AF238" s="126">
        <v>0</v>
      </c>
      <c r="AG238" s="126">
        <v>1</v>
      </c>
      <c r="AH238" s="126">
        <v>0</v>
      </c>
      <c r="AI238" s="126">
        <v>1</v>
      </c>
    </row>
    <row r="239" spans="3:35">
      <c r="C239" s="126">
        <v>232</v>
      </c>
      <c r="D239" s="126">
        <v>1</v>
      </c>
      <c r="E239" s="126">
        <v>1</v>
      </c>
      <c r="G239" s="126">
        <v>49</v>
      </c>
      <c r="O239" s="126" t="s">
        <v>549</v>
      </c>
      <c r="P239" s="126" t="s">
        <v>1483</v>
      </c>
      <c r="Q239" s="126">
        <v>1</v>
      </c>
      <c r="S239" s="162">
        <v>46190</v>
      </c>
      <c r="T239" s="126">
        <v>90</v>
      </c>
      <c r="U239" s="206">
        <v>-4</v>
      </c>
      <c r="V239" s="206">
        <v>-0.04</v>
      </c>
      <c r="W239" s="206">
        <v>0.18</v>
      </c>
      <c r="X239" s="206">
        <v>0</v>
      </c>
      <c r="Y239" s="206">
        <v>0</v>
      </c>
      <c r="Z239" s="206">
        <v>0</v>
      </c>
      <c r="AA239" s="206">
        <v>0.18</v>
      </c>
      <c r="AB239" s="206">
        <v>0</v>
      </c>
      <c r="AC239" s="235">
        <v>46226.759652777779</v>
      </c>
      <c r="AE239" s="126">
        <v>0</v>
      </c>
      <c r="AF239" s="126">
        <v>0</v>
      </c>
      <c r="AG239" s="126">
        <v>1</v>
      </c>
      <c r="AH239" s="126">
        <v>0</v>
      </c>
      <c r="AI239" s="126">
        <v>1</v>
      </c>
    </row>
    <row r="240" spans="3:35">
      <c r="C240" s="126">
        <v>233</v>
      </c>
      <c r="D240" s="126">
        <v>1</v>
      </c>
      <c r="E240" s="126">
        <v>1</v>
      </c>
      <c r="G240" s="126">
        <v>49</v>
      </c>
      <c r="O240" s="126" t="s">
        <v>549</v>
      </c>
      <c r="P240" s="126" t="s">
        <v>1483</v>
      </c>
      <c r="Q240" s="126">
        <v>1</v>
      </c>
      <c r="S240" s="162">
        <v>46190</v>
      </c>
      <c r="T240" s="126">
        <v>49</v>
      </c>
      <c r="U240" s="206">
        <v>-2</v>
      </c>
      <c r="V240" s="206">
        <v>-2</v>
      </c>
      <c r="W240" s="206">
        <v>0.28000000000000003</v>
      </c>
      <c r="X240" s="206">
        <v>0</v>
      </c>
      <c r="Y240" s="206">
        <v>0</v>
      </c>
      <c r="Z240" s="206">
        <v>0</v>
      </c>
      <c r="AA240" s="206">
        <v>0.28000000000000003</v>
      </c>
      <c r="AB240" s="206">
        <v>0</v>
      </c>
      <c r="AC240" s="235">
        <v>46226.759652777779</v>
      </c>
      <c r="AE240" s="126">
        <v>0</v>
      </c>
      <c r="AF240" s="126">
        <v>0</v>
      </c>
      <c r="AG240" s="126">
        <v>1</v>
      </c>
      <c r="AH240" s="126">
        <v>0</v>
      </c>
      <c r="AI240" s="126">
        <v>1</v>
      </c>
    </row>
    <row r="241" spans="3:35">
      <c r="C241" s="126">
        <v>234</v>
      </c>
      <c r="D241" s="126">
        <v>1</v>
      </c>
      <c r="E241" s="126">
        <v>1</v>
      </c>
      <c r="G241" s="126">
        <v>49</v>
      </c>
      <c r="O241" s="126" t="s">
        <v>549</v>
      </c>
      <c r="P241" s="126" t="s">
        <v>1483</v>
      </c>
      <c r="Q241" s="126">
        <v>1</v>
      </c>
      <c r="S241" s="162">
        <v>46190</v>
      </c>
      <c r="T241" s="126">
        <v>94</v>
      </c>
      <c r="U241" s="206">
        <v>-1</v>
      </c>
      <c r="V241" s="206">
        <v>-5.5555555555555558E-3</v>
      </c>
      <c r="W241" s="206">
        <v>0.1</v>
      </c>
      <c r="X241" s="206">
        <v>0</v>
      </c>
      <c r="Y241" s="206">
        <v>0</v>
      </c>
      <c r="Z241" s="206">
        <v>0</v>
      </c>
      <c r="AA241" s="206">
        <v>0.1</v>
      </c>
      <c r="AB241" s="206">
        <v>0</v>
      </c>
      <c r="AC241" s="235">
        <v>46226.759652777779</v>
      </c>
      <c r="AE241" s="126">
        <v>0</v>
      </c>
      <c r="AF241" s="126">
        <v>0</v>
      </c>
      <c r="AG241" s="126">
        <v>1</v>
      </c>
      <c r="AH241" s="126">
        <v>0</v>
      </c>
      <c r="AI241" s="126">
        <v>1</v>
      </c>
    </row>
    <row r="242" spans="3:35">
      <c r="C242" s="126">
        <v>235</v>
      </c>
      <c r="D242" s="126">
        <v>1</v>
      </c>
      <c r="E242" s="126">
        <v>1</v>
      </c>
      <c r="G242" s="126">
        <v>50</v>
      </c>
      <c r="O242" s="126" t="s">
        <v>549</v>
      </c>
      <c r="P242" s="126" t="s">
        <v>1504</v>
      </c>
      <c r="Q242" s="126">
        <v>1</v>
      </c>
      <c r="S242" s="162">
        <v>46191</v>
      </c>
      <c r="T242" s="126">
        <v>19</v>
      </c>
      <c r="U242" s="206">
        <v>-1</v>
      </c>
      <c r="V242" s="206">
        <v>-1</v>
      </c>
      <c r="W242" s="206">
        <v>7.49</v>
      </c>
      <c r="X242" s="206">
        <v>0</v>
      </c>
      <c r="Y242" s="206">
        <v>0</v>
      </c>
      <c r="Z242" s="206">
        <v>0</v>
      </c>
      <c r="AA242" s="206">
        <v>7.49</v>
      </c>
      <c r="AB242" s="206">
        <v>0</v>
      </c>
      <c r="AC242" s="235">
        <v>46226.767488425925</v>
      </c>
      <c r="AE242" s="126">
        <v>0</v>
      </c>
      <c r="AF242" s="126">
        <v>0</v>
      </c>
      <c r="AG242" s="126">
        <v>1</v>
      </c>
      <c r="AH242" s="126">
        <v>0</v>
      </c>
      <c r="AI242" s="126">
        <v>1</v>
      </c>
    </row>
    <row r="243" spans="3:35">
      <c r="C243" s="126">
        <v>236</v>
      </c>
      <c r="D243" s="126">
        <v>1</v>
      </c>
      <c r="E243" s="126">
        <v>1</v>
      </c>
      <c r="G243" s="126">
        <v>50</v>
      </c>
      <c r="O243" s="126" t="s">
        <v>549</v>
      </c>
      <c r="P243" s="126" t="s">
        <v>1504</v>
      </c>
      <c r="Q243" s="126">
        <v>1</v>
      </c>
      <c r="S243" s="162">
        <v>46191</v>
      </c>
      <c r="T243" s="126">
        <v>22</v>
      </c>
      <c r="U243" s="206">
        <v>-1</v>
      </c>
      <c r="V243" s="206">
        <v>-1</v>
      </c>
      <c r="W243" s="206">
        <v>2.9</v>
      </c>
      <c r="X243" s="206">
        <v>0</v>
      </c>
      <c r="Y243" s="206">
        <v>0</v>
      </c>
      <c r="Z243" s="206">
        <v>0</v>
      </c>
      <c r="AA243" s="206">
        <v>2.9</v>
      </c>
      <c r="AB243" s="206">
        <v>0</v>
      </c>
      <c r="AC243" s="235">
        <v>46226.767488425925</v>
      </c>
      <c r="AE243" s="126">
        <v>0</v>
      </c>
      <c r="AF243" s="126">
        <v>0</v>
      </c>
      <c r="AG243" s="126">
        <v>1</v>
      </c>
      <c r="AH243" s="126">
        <v>0</v>
      </c>
      <c r="AI243" s="126">
        <v>1</v>
      </c>
    </row>
    <row r="244" spans="3:35">
      <c r="C244" s="126">
        <v>237</v>
      </c>
      <c r="D244" s="126">
        <v>1</v>
      </c>
      <c r="E244" s="126">
        <v>1</v>
      </c>
      <c r="G244" s="126">
        <v>50</v>
      </c>
      <c r="O244" s="126" t="s">
        <v>549</v>
      </c>
      <c r="P244" s="126" t="s">
        <v>1504</v>
      </c>
      <c r="Q244" s="126">
        <v>1</v>
      </c>
      <c r="S244" s="162">
        <v>46191</v>
      </c>
      <c r="T244" s="126">
        <v>34</v>
      </c>
      <c r="U244" s="206">
        <v>-3</v>
      </c>
      <c r="V244" s="206">
        <v>-3</v>
      </c>
      <c r="W244" s="206">
        <v>0.5</v>
      </c>
      <c r="X244" s="206">
        <v>0</v>
      </c>
      <c r="Y244" s="206">
        <v>0</v>
      </c>
      <c r="Z244" s="206">
        <v>0</v>
      </c>
      <c r="AA244" s="206">
        <v>0.5</v>
      </c>
      <c r="AB244" s="206">
        <v>0</v>
      </c>
      <c r="AC244" s="235">
        <v>46226.767488425925</v>
      </c>
      <c r="AE244" s="126">
        <v>0</v>
      </c>
      <c r="AF244" s="126">
        <v>0</v>
      </c>
      <c r="AG244" s="126">
        <v>1</v>
      </c>
      <c r="AH244" s="126">
        <v>0</v>
      </c>
      <c r="AI244" s="126">
        <v>1</v>
      </c>
    </row>
    <row r="245" spans="3:35">
      <c r="C245" s="126">
        <v>238</v>
      </c>
      <c r="D245" s="126">
        <v>1</v>
      </c>
      <c r="E245" s="126">
        <v>1</v>
      </c>
      <c r="G245" s="126">
        <v>50</v>
      </c>
      <c r="O245" s="126" t="s">
        <v>549</v>
      </c>
      <c r="P245" s="126" t="s">
        <v>1504</v>
      </c>
      <c r="Q245" s="126">
        <v>1</v>
      </c>
      <c r="S245" s="162">
        <v>46191</v>
      </c>
      <c r="T245" s="126">
        <v>37</v>
      </c>
      <c r="U245" s="206">
        <v>-1</v>
      </c>
      <c r="V245" s="206">
        <v>-1</v>
      </c>
      <c r="W245" s="206">
        <v>0.66</v>
      </c>
      <c r="X245" s="206">
        <v>0</v>
      </c>
      <c r="Y245" s="206">
        <v>0</v>
      </c>
      <c r="Z245" s="206">
        <v>0</v>
      </c>
      <c r="AA245" s="206">
        <v>0.66</v>
      </c>
      <c r="AB245" s="206">
        <v>0</v>
      </c>
      <c r="AC245" s="235">
        <v>46226.767488425925</v>
      </c>
      <c r="AE245" s="126">
        <v>0</v>
      </c>
      <c r="AF245" s="126">
        <v>0</v>
      </c>
      <c r="AG245" s="126">
        <v>1</v>
      </c>
      <c r="AH245" s="126">
        <v>0</v>
      </c>
      <c r="AI245" s="126">
        <v>1</v>
      </c>
    </row>
    <row r="246" spans="3:35">
      <c r="C246" s="126">
        <v>239</v>
      </c>
      <c r="D246" s="126">
        <v>1</v>
      </c>
      <c r="E246" s="126">
        <v>1</v>
      </c>
      <c r="G246" s="126">
        <v>50</v>
      </c>
      <c r="O246" s="126" t="s">
        <v>549</v>
      </c>
      <c r="P246" s="126" t="s">
        <v>1504</v>
      </c>
      <c r="Q246" s="126">
        <v>1</v>
      </c>
      <c r="S246" s="162">
        <v>46191</v>
      </c>
      <c r="T246" s="126">
        <v>26</v>
      </c>
      <c r="U246" s="206">
        <v>-2</v>
      </c>
      <c r="V246" s="206">
        <v>-2</v>
      </c>
      <c r="W246" s="206">
        <v>3.01</v>
      </c>
      <c r="X246" s="206">
        <v>0</v>
      </c>
      <c r="Y246" s="206">
        <v>0</v>
      </c>
      <c r="Z246" s="206">
        <v>0</v>
      </c>
      <c r="AA246" s="206">
        <v>3.01</v>
      </c>
      <c r="AB246" s="206">
        <v>0</v>
      </c>
      <c r="AC246" s="235">
        <v>46226.767488425925</v>
      </c>
      <c r="AE246" s="126">
        <v>0</v>
      </c>
      <c r="AF246" s="126">
        <v>0</v>
      </c>
      <c r="AG246" s="126">
        <v>1</v>
      </c>
      <c r="AH246" s="126">
        <v>0</v>
      </c>
      <c r="AI246" s="126">
        <v>1</v>
      </c>
    </row>
    <row r="247" spans="3:35">
      <c r="C247" s="126">
        <v>240</v>
      </c>
      <c r="D247" s="126">
        <v>1</v>
      </c>
      <c r="E247" s="126">
        <v>1</v>
      </c>
      <c r="G247" s="126">
        <v>50</v>
      </c>
      <c r="O247" s="126" t="s">
        <v>549</v>
      </c>
      <c r="P247" s="126" t="s">
        <v>1504</v>
      </c>
      <c r="Q247" s="126">
        <v>1</v>
      </c>
      <c r="S247" s="162">
        <v>46191</v>
      </c>
      <c r="T247" s="126">
        <v>29</v>
      </c>
      <c r="U247" s="206">
        <v>-1</v>
      </c>
      <c r="V247" s="206">
        <v>-1</v>
      </c>
      <c r="W247" s="206">
        <v>4.2300000000000004</v>
      </c>
      <c r="X247" s="206">
        <v>0</v>
      </c>
      <c r="Y247" s="206">
        <v>0</v>
      </c>
      <c r="Z247" s="206">
        <v>0</v>
      </c>
      <c r="AA247" s="206">
        <v>4.2300000000000004</v>
      </c>
      <c r="AB247" s="206">
        <v>0</v>
      </c>
      <c r="AC247" s="235">
        <v>46226.767488425925</v>
      </c>
      <c r="AE247" s="126">
        <v>0</v>
      </c>
      <c r="AF247" s="126">
        <v>0</v>
      </c>
      <c r="AG247" s="126">
        <v>1</v>
      </c>
      <c r="AH247" s="126">
        <v>0</v>
      </c>
      <c r="AI247" s="126">
        <v>1</v>
      </c>
    </row>
    <row r="248" spans="3:35">
      <c r="C248" s="126">
        <v>241</v>
      </c>
      <c r="D248" s="126">
        <v>1</v>
      </c>
      <c r="E248" s="126">
        <v>1</v>
      </c>
      <c r="G248" s="126">
        <v>50</v>
      </c>
      <c r="O248" s="126" t="s">
        <v>549</v>
      </c>
      <c r="P248" s="126" t="s">
        <v>1504</v>
      </c>
      <c r="Q248" s="126">
        <v>1</v>
      </c>
      <c r="S248" s="162">
        <v>46191</v>
      </c>
      <c r="T248" s="126">
        <v>183</v>
      </c>
      <c r="U248" s="206">
        <v>-120</v>
      </c>
      <c r="V248" s="206">
        <v>-10</v>
      </c>
      <c r="W248" s="206">
        <v>4</v>
      </c>
      <c r="X248" s="206">
        <v>0</v>
      </c>
      <c r="Y248" s="206">
        <v>0</v>
      </c>
      <c r="Z248" s="206">
        <v>0</v>
      </c>
      <c r="AA248" s="206">
        <v>4</v>
      </c>
      <c r="AB248" s="206">
        <v>0</v>
      </c>
      <c r="AC248" s="235">
        <v>46226.767488425925</v>
      </c>
      <c r="AE248" s="126">
        <v>0</v>
      </c>
      <c r="AF248" s="126">
        <v>0</v>
      </c>
      <c r="AG248" s="126">
        <v>1</v>
      </c>
      <c r="AH248" s="126">
        <v>0</v>
      </c>
      <c r="AI248" s="126">
        <v>1</v>
      </c>
    </row>
    <row r="249" spans="3:35">
      <c r="C249" s="126">
        <v>242</v>
      </c>
      <c r="D249" s="126">
        <v>1</v>
      </c>
      <c r="E249" s="126">
        <v>1</v>
      </c>
      <c r="G249" s="126">
        <v>50</v>
      </c>
      <c r="O249" s="126" t="s">
        <v>549</v>
      </c>
      <c r="P249" s="126" t="s">
        <v>1504</v>
      </c>
      <c r="Q249" s="126">
        <v>1</v>
      </c>
      <c r="S249" s="162">
        <v>46191</v>
      </c>
      <c r="T249" s="126">
        <v>181</v>
      </c>
      <c r="U249" s="206">
        <v>-12</v>
      </c>
      <c r="V249" s="206">
        <v>-1</v>
      </c>
      <c r="W249" s="206">
        <v>1</v>
      </c>
      <c r="X249" s="206">
        <v>0</v>
      </c>
      <c r="Y249" s="206">
        <v>0</v>
      </c>
      <c r="Z249" s="206">
        <v>0</v>
      </c>
      <c r="AA249" s="206">
        <v>1</v>
      </c>
      <c r="AB249" s="206">
        <v>0</v>
      </c>
      <c r="AC249" s="235">
        <v>46226.767488425925</v>
      </c>
      <c r="AE249" s="126">
        <v>0</v>
      </c>
      <c r="AF249" s="126">
        <v>0</v>
      </c>
      <c r="AG249" s="126">
        <v>1</v>
      </c>
      <c r="AH249" s="126">
        <v>0</v>
      </c>
      <c r="AI249" s="126">
        <v>1</v>
      </c>
    </row>
    <row r="250" spans="3:35">
      <c r="C250" s="126">
        <v>243</v>
      </c>
      <c r="D250" s="126">
        <v>1</v>
      </c>
      <c r="E250" s="126">
        <v>1</v>
      </c>
      <c r="G250" s="126">
        <v>50</v>
      </c>
      <c r="O250" s="126" t="s">
        <v>549</v>
      </c>
      <c r="P250" s="126" t="s">
        <v>1504</v>
      </c>
      <c r="Q250" s="126">
        <v>1</v>
      </c>
      <c r="S250" s="162">
        <v>46191</v>
      </c>
      <c r="T250" s="126">
        <v>102</v>
      </c>
      <c r="U250" s="206">
        <v>-1</v>
      </c>
      <c r="V250" s="206">
        <v>-4.1666666666666664E-2</v>
      </c>
      <c r="W250" s="206">
        <v>4.5</v>
      </c>
      <c r="X250" s="206">
        <v>0</v>
      </c>
      <c r="Y250" s="206">
        <v>0</v>
      </c>
      <c r="Z250" s="206">
        <v>0</v>
      </c>
      <c r="AA250" s="206">
        <v>4.5</v>
      </c>
      <c r="AB250" s="206">
        <v>0</v>
      </c>
      <c r="AC250" s="235">
        <v>46226.767488425925</v>
      </c>
      <c r="AE250" s="126">
        <v>0</v>
      </c>
      <c r="AF250" s="126">
        <v>0</v>
      </c>
      <c r="AG250" s="126">
        <v>1</v>
      </c>
      <c r="AH250" s="126">
        <v>0</v>
      </c>
      <c r="AI250" s="126">
        <v>1</v>
      </c>
    </row>
    <row r="251" spans="3:35">
      <c r="C251" s="126">
        <v>244</v>
      </c>
      <c r="D251" s="126">
        <v>1</v>
      </c>
      <c r="E251" s="126">
        <v>1</v>
      </c>
      <c r="G251" s="126">
        <v>51</v>
      </c>
      <c r="O251" s="126" t="s">
        <v>549</v>
      </c>
      <c r="P251" s="126" t="s">
        <v>1537</v>
      </c>
      <c r="Q251" s="126">
        <v>1</v>
      </c>
      <c r="S251" s="162">
        <v>46191</v>
      </c>
      <c r="T251" s="126">
        <v>177</v>
      </c>
      <c r="U251" s="206">
        <v>-500</v>
      </c>
      <c r="V251" s="206">
        <v>-0.5</v>
      </c>
      <c r="W251" s="206">
        <v>4.1500000000000004</v>
      </c>
      <c r="X251" s="206">
        <v>0</v>
      </c>
      <c r="Y251" s="206">
        <v>0</v>
      </c>
      <c r="Z251" s="206">
        <v>0</v>
      </c>
      <c r="AA251" s="206">
        <v>4.1500000000000004</v>
      </c>
      <c r="AB251" s="206">
        <v>0</v>
      </c>
      <c r="AC251" s="235">
        <v>46226.775509259256</v>
      </c>
      <c r="AE251" s="126">
        <v>0</v>
      </c>
      <c r="AF251" s="126">
        <v>0</v>
      </c>
      <c r="AG251" s="126">
        <v>1</v>
      </c>
      <c r="AH251" s="126">
        <v>0</v>
      </c>
      <c r="AI251" s="126">
        <v>1</v>
      </c>
    </row>
    <row r="252" spans="3:35">
      <c r="C252" s="126">
        <v>245</v>
      </c>
      <c r="D252" s="126">
        <v>1</v>
      </c>
      <c r="E252" s="126">
        <v>1</v>
      </c>
      <c r="G252" s="126">
        <v>52</v>
      </c>
      <c r="O252" s="126" t="s">
        <v>549</v>
      </c>
      <c r="P252" s="126" t="s">
        <v>1542</v>
      </c>
      <c r="Q252" s="126">
        <v>1</v>
      </c>
      <c r="S252" s="162">
        <v>46191</v>
      </c>
      <c r="T252" s="126">
        <v>179</v>
      </c>
      <c r="U252" s="206">
        <v>-300</v>
      </c>
      <c r="V252" s="206">
        <v>-0.3</v>
      </c>
      <c r="W252" s="206">
        <v>4.75</v>
      </c>
      <c r="X252" s="206">
        <v>0</v>
      </c>
      <c r="Y252" s="206">
        <v>0</v>
      </c>
      <c r="Z252" s="206">
        <v>0</v>
      </c>
      <c r="AA252" s="206">
        <v>4.75</v>
      </c>
      <c r="AB252" s="206">
        <v>0</v>
      </c>
      <c r="AC252" s="235">
        <v>46226.782534722224</v>
      </c>
      <c r="AE252" s="126">
        <v>0</v>
      </c>
      <c r="AF252" s="126">
        <v>0</v>
      </c>
      <c r="AG252" s="126">
        <v>1</v>
      </c>
      <c r="AH252" s="126">
        <v>0</v>
      </c>
      <c r="AI252" s="126">
        <v>1</v>
      </c>
    </row>
    <row r="253" spans="3:35">
      <c r="C253" s="126">
        <v>246</v>
      </c>
      <c r="D253" s="126">
        <v>1</v>
      </c>
      <c r="E253" s="126">
        <v>1</v>
      </c>
      <c r="G253" s="126">
        <v>52</v>
      </c>
      <c r="O253" s="126" t="s">
        <v>549</v>
      </c>
      <c r="P253" s="126" t="s">
        <v>1542</v>
      </c>
      <c r="Q253" s="126">
        <v>1</v>
      </c>
      <c r="S253" s="162">
        <v>46191</v>
      </c>
      <c r="T253" s="126">
        <v>195</v>
      </c>
      <c r="U253" s="206">
        <v>-8</v>
      </c>
      <c r="V253" s="206">
        <v>-2</v>
      </c>
      <c r="W253" s="206">
        <v>6.28</v>
      </c>
      <c r="X253" s="206">
        <v>0</v>
      </c>
      <c r="Y253" s="206">
        <v>0</v>
      </c>
      <c r="Z253" s="206">
        <v>0</v>
      </c>
      <c r="AA253" s="206">
        <v>6.28</v>
      </c>
      <c r="AB253" s="206">
        <v>0</v>
      </c>
      <c r="AC253" s="235">
        <v>46226.782534722224</v>
      </c>
      <c r="AE253" s="126">
        <v>0</v>
      </c>
      <c r="AF253" s="126">
        <v>0</v>
      </c>
      <c r="AG253" s="126">
        <v>1</v>
      </c>
      <c r="AH253" s="126">
        <v>0</v>
      </c>
      <c r="AI253" s="126">
        <v>1</v>
      </c>
    </row>
    <row r="254" spans="3:35">
      <c r="C254" s="126">
        <v>247</v>
      </c>
      <c r="D254" s="126">
        <v>1</v>
      </c>
      <c r="E254" s="126">
        <v>1</v>
      </c>
      <c r="G254" s="126">
        <v>52</v>
      </c>
      <c r="O254" s="126" t="s">
        <v>549</v>
      </c>
      <c r="P254" s="126" t="s">
        <v>1542</v>
      </c>
      <c r="Q254" s="126">
        <v>1</v>
      </c>
      <c r="S254" s="162">
        <v>46191</v>
      </c>
      <c r="T254" s="126">
        <v>187</v>
      </c>
      <c r="U254" s="206">
        <v>-16</v>
      </c>
      <c r="V254" s="206">
        <v>-4</v>
      </c>
      <c r="W254" s="206">
        <v>3.37</v>
      </c>
      <c r="X254" s="206">
        <v>0</v>
      </c>
      <c r="Y254" s="206">
        <v>0</v>
      </c>
      <c r="Z254" s="206">
        <v>0</v>
      </c>
      <c r="AA254" s="206">
        <v>3.37</v>
      </c>
      <c r="AB254" s="206">
        <v>0</v>
      </c>
      <c r="AC254" s="235">
        <v>46226.782534722224</v>
      </c>
      <c r="AE254" s="126">
        <v>0</v>
      </c>
      <c r="AF254" s="126">
        <v>0</v>
      </c>
      <c r="AG254" s="126">
        <v>1</v>
      </c>
      <c r="AH254" s="126">
        <v>0</v>
      </c>
      <c r="AI254" s="126">
        <v>1</v>
      </c>
    </row>
    <row r="255" spans="3:35">
      <c r="C255" s="126">
        <v>248</v>
      </c>
      <c r="D255" s="126">
        <v>1</v>
      </c>
      <c r="E255" s="126">
        <v>1</v>
      </c>
      <c r="G255" s="126">
        <v>52</v>
      </c>
      <c r="O255" s="126" t="s">
        <v>549</v>
      </c>
      <c r="P255" s="126" t="s">
        <v>1542</v>
      </c>
      <c r="Q255" s="126">
        <v>1</v>
      </c>
      <c r="S255" s="162">
        <v>46191</v>
      </c>
      <c r="T255" s="126">
        <v>177</v>
      </c>
      <c r="U255" s="206">
        <v>-100</v>
      </c>
      <c r="V255" s="206">
        <v>-0.1</v>
      </c>
      <c r="W255" s="206">
        <v>4.1500000000000004</v>
      </c>
      <c r="X255" s="206">
        <v>0</v>
      </c>
      <c r="Y255" s="206">
        <v>0</v>
      </c>
      <c r="Z255" s="206">
        <v>0</v>
      </c>
      <c r="AA255" s="206">
        <v>4.1500000000000004</v>
      </c>
      <c r="AB255" s="206">
        <v>0</v>
      </c>
      <c r="AC255" s="235">
        <v>46226.782534722224</v>
      </c>
      <c r="AE255" s="126">
        <v>0</v>
      </c>
      <c r="AF255" s="126">
        <v>0</v>
      </c>
      <c r="AG255" s="126">
        <v>1</v>
      </c>
      <c r="AH255" s="126">
        <v>0</v>
      </c>
      <c r="AI255" s="126">
        <v>1</v>
      </c>
    </row>
    <row r="256" spans="3:35">
      <c r="C256" s="126">
        <v>249</v>
      </c>
      <c r="D256" s="126">
        <v>1</v>
      </c>
      <c r="E256" s="126">
        <v>1</v>
      </c>
      <c r="G256" s="126">
        <v>52</v>
      </c>
      <c r="O256" s="126" t="s">
        <v>549</v>
      </c>
      <c r="P256" s="126" t="s">
        <v>1542</v>
      </c>
      <c r="Q256" s="126">
        <v>1</v>
      </c>
      <c r="S256" s="162">
        <v>46191</v>
      </c>
      <c r="T256" s="126">
        <v>189</v>
      </c>
      <c r="U256" s="206">
        <v>-12</v>
      </c>
      <c r="V256" s="206">
        <v>-3</v>
      </c>
      <c r="W256" s="206">
        <v>4.09</v>
      </c>
      <c r="X256" s="206">
        <v>0</v>
      </c>
      <c r="Y256" s="206">
        <v>0</v>
      </c>
      <c r="Z256" s="206">
        <v>0</v>
      </c>
      <c r="AA256" s="206">
        <v>4.09</v>
      </c>
      <c r="AB256" s="206">
        <v>0</v>
      </c>
      <c r="AC256" s="235">
        <v>46226.782534722224</v>
      </c>
      <c r="AE256" s="126">
        <v>0</v>
      </c>
      <c r="AF256" s="126">
        <v>0</v>
      </c>
      <c r="AG256" s="126">
        <v>1</v>
      </c>
      <c r="AH256" s="126">
        <v>0</v>
      </c>
      <c r="AI256" s="126">
        <v>1</v>
      </c>
    </row>
    <row r="257" spans="3:35">
      <c r="C257" s="126">
        <v>250</v>
      </c>
      <c r="D257" s="126">
        <v>1</v>
      </c>
      <c r="E257" s="126">
        <v>1</v>
      </c>
      <c r="G257" s="126">
        <v>52</v>
      </c>
      <c r="O257" s="126" t="s">
        <v>549</v>
      </c>
      <c r="P257" s="126" t="s">
        <v>1542</v>
      </c>
      <c r="Q257" s="126">
        <v>1</v>
      </c>
      <c r="S257" s="162">
        <v>46191</v>
      </c>
      <c r="T257" s="126">
        <v>14</v>
      </c>
      <c r="U257" s="206">
        <v>-5</v>
      </c>
      <c r="V257" s="206">
        <v>-5</v>
      </c>
      <c r="W257" s="206">
        <v>3.3</v>
      </c>
      <c r="X257" s="206">
        <v>0</v>
      </c>
      <c r="Y257" s="206">
        <v>0</v>
      </c>
      <c r="Z257" s="206">
        <v>0</v>
      </c>
      <c r="AA257" s="206">
        <v>3.3</v>
      </c>
      <c r="AB257" s="206">
        <v>0</v>
      </c>
      <c r="AC257" s="235">
        <v>46226.782534722224</v>
      </c>
      <c r="AE257" s="126">
        <v>0</v>
      </c>
      <c r="AF257" s="126">
        <v>0</v>
      </c>
      <c r="AG257" s="126">
        <v>1</v>
      </c>
      <c r="AH257" s="126">
        <v>0</v>
      </c>
      <c r="AI257" s="126">
        <v>1</v>
      </c>
    </row>
    <row r="258" spans="3:35">
      <c r="C258" s="126">
        <v>251</v>
      </c>
      <c r="D258" s="126">
        <v>1</v>
      </c>
      <c r="E258" s="126">
        <v>1</v>
      </c>
      <c r="G258" s="126">
        <v>53</v>
      </c>
      <c r="O258" s="126" t="s">
        <v>549</v>
      </c>
      <c r="P258" s="126" t="s">
        <v>1563</v>
      </c>
      <c r="Q258" s="126">
        <v>1</v>
      </c>
      <c r="S258" s="162">
        <v>46192</v>
      </c>
      <c r="T258" s="126">
        <v>183</v>
      </c>
      <c r="U258" s="206">
        <v>-60</v>
      </c>
      <c r="V258" s="206">
        <v>-5</v>
      </c>
      <c r="W258" s="206">
        <v>4</v>
      </c>
      <c r="X258" s="206">
        <v>0</v>
      </c>
      <c r="Y258" s="206">
        <v>0</v>
      </c>
      <c r="Z258" s="206">
        <v>0</v>
      </c>
      <c r="AA258" s="206">
        <v>4</v>
      </c>
      <c r="AB258" s="206">
        <v>0</v>
      </c>
      <c r="AC258" s="235">
        <v>46226.786620370367</v>
      </c>
      <c r="AE258" s="126">
        <v>0</v>
      </c>
      <c r="AF258" s="126">
        <v>0</v>
      </c>
      <c r="AG258" s="126">
        <v>1</v>
      </c>
      <c r="AH258" s="126">
        <v>0</v>
      </c>
      <c r="AI258" s="126">
        <v>1</v>
      </c>
    </row>
    <row r="259" spans="3:35">
      <c r="C259" s="126">
        <v>252</v>
      </c>
      <c r="D259" s="126">
        <v>1</v>
      </c>
      <c r="E259" s="126">
        <v>1</v>
      </c>
      <c r="G259" s="126">
        <v>53</v>
      </c>
      <c r="O259" s="126" t="s">
        <v>549</v>
      </c>
      <c r="P259" s="126" t="s">
        <v>1563</v>
      </c>
      <c r="Q259" s="126">
        <v>1</v>
      </c>
      <c r="S259" s="162">
        <v>46192</v>
      </c>
      <c r="T259" s="126">
        <v>195</v>
      </c>
      <c r="U259" s="206">
        <v>-4</v>
      </c>
      <c r="V259" s="206">
        <v>-1</v>
      </c>
      <c r="W259" s="206">
        <v>6.28</v>
      </c>
      <c r="X259" s="206">
        <v>0</v>
      </c>
      <c r="Y259" s="206">
        <v>0</v>
      </c>
      <c r="Z259" s="206">
        <v>0</v>
      </c>
      <c r="AA259" s="206">
        <v>6.28</v>
      </c>
      <c r="AB259" s="206">
        <v>0</v>
      </c>
      <c r="AC259" s="235">
        <v>46226.786620370367</v>
      </c>
      <c r="AE259" s="126">
        <v>0</v>
      </c>
      <c r="AF259" s="126">
        <v>0</v>
      </c>
      <c r="AG259" s="126">
        <v>1</v>
      </c>
      <c r="AH259" s="126">
        <v>0</v>
      </c>
      <c r="AI259" s="126">
        <v>1</v>
      </c>
    </row>
    <row r="260" spans="3:35">
      <c r="C260" s="126">
        <v>253</v>
      </c>
      <c r="D260" s="126">
        <v>1</v>
      </c>
      <c r="E260" s="126">
        <v>1</v>
      </c>
      <c r="G260" s="126">
        <v>53</v>
      </c>
      <c r="O260" s="126" t="s">
        <v>549</v>
      </c>
      <c r="P260" s="126" t="s">
        <v>1563</v>
      </c>
      <c r="Q260" s="126">
        <v>1</v>
      </c>
      <c r="S260" s="162">
        <v>46192</v>
      </c>
      <c r="T260" s="126">
        <v>66</v>
      </c>
      <c r="U260" s="206">
        <v>-1</v>
      </c>
      <c r="V260" s="206">
        <v>-1</v>
      </c>
      <c r="W260" s="206">
        <v>0.41</v>
      </c>
      <c r="X260" s="206">
        <v>0</v>
      </c>
      <c r="Y260" s="206">
        <v>0</v>
      </c>
      <c r="Z260" s="206">
        <v>0</v>
      </c>
      <c r="AA260" s="206">
        <v>0.41</v>
      </c>
      <c r="AB260" s="206">
        <v>0</v>
      </c>
      <c r="AC260" s="235">
        <v>46226.786620370367</v>
      </c>
      <c r="AE260" s="126">
        <v>0</v>
      </c>
      <c r="AF260" s="126">
        <v>0</v>
      </c>
      <c r="AG260" s="126">
        <v>1</v>
      </c>
      <c r="AH260" s="126">
        <v>0</v>
      </c>
      <c r="AI260" s="126">
        <v>1</v>
      </c>
    </row>
    <row r="261" spans="3:35">
      <c r="C261" s="126">
        <v>254</v>
      </c>
      <c r="D261" s="126">
        <v>1</v>
      </c>
      <c r="E261" s="126">
        <v>1</v>
      </c>
      <c r="G261" s="126">
        <v>54</v>
      </c>
      <c r="O261" s="126" t="s">
        <v>549</v>
      </c>
      <c r="P261" s="126" t="s">
        <v>1574</v>
      </c>
      <c r="Q261" s="126">
        <v>1</v>
      </c>
      <c r="S261" s="162">
        <v>46192</v>
      </c>
      <c r="T261" s="126">
        <v>178</v>
      </c>
      <c r="U261" s="206">
        <v>-150</v>
      </c>
      <c r="V261" s="206">
        <v>-0.15</v>
      </c>
      <c r="W261" s="206">
        <v>4.75</v>
      </c>
      <c r="X261" s="206">
        <v>0</v>
      </c>
      <c r="Y261" s="206">
        <v>0</v>
      </c>
      <c r="Z261" s="206">
        <v>0</v>
      </c>
      <c r="AA261" s="206">
        <v>4.75</v>
      </c>
      <c r="AB261" s="206">
        <v>0</v>
      </c>
      <c r="AC261" s="235">
        <v>46226.787731481483</v>
      </c>
      <c r="AE261" s="126">
        <v>0</v>
      </c>
      <c r="AF261" s="126">
        <v>0</v>
      </c>
      <c r="AG261" s="126">
        <v>1</v>
      </c>
      <c r="AH261" s="126">
        <v>0</v>
      </c>
      <c r="AI261" s="126">
        <v>1</v>
      </c>
    </row>
    <row r="262" spans="3:35">
      <c r="C262" s="126">
        <v>255</v>
      </c>
      <c r="D262" s="126">
        <v>1</v>
      </c>
      <c r="E262" s="126">
        <v>1</v>
      </c>
      <c r="G262" s="126">
        <v>54</v>
      </c>
      <c r="O262" s="126" t="s">
        <v>549</v>
      </c>
      <c r="P262" s="126" t="s">
        <v>1574</v>
      </c>
      <c r="Q262" s="126">
        <v>1</v>
      </c>
      <c r="S262" s="162">
        <v>46192</v>
      </c>
      <c r="T262" s="126">
        <v>181</v>
      </c>
      <c r="U262" s="206">
        <v>-24</v>
      </c>
      <c r="V262" s="206">
        <v>-2</v>
      </c>
      <c r="W262" s="206">
        <v>1</v>
      </c>
      <c r="X262" s="206">
        <v>0</v>
      </c>
      <c r="Y262" s="206">
        <v>0</v>
      </c>
      <c r="Z262" s="206">
        <v>0</v>
      </c>
      <c r="AA262" s="206">
        <v>1</v>
      </c>
      <c r="AB262" s="206">
        <v>0</v>
      </c>
      <c r="AC262" s="235">
        <v>46226.787731481483</v>
      </c>
      <c r="AE262" s="126">
        <v>0</v>
      </c>
      <c r="AF262" s="126">
        <v>0</v>
      </c>
      <c r="AG262" s="126">
        <v>1</v>
      </c>
      <c r="AH262" s="126">
        <v>0</v>
      </c>
      <c r="AI262" s="126">
        <v>1</v>
      </c>
    </row>
    <row r="263" spans="3:35">
      <c r="C263" s="126">
        <v>256</v>
      </c>
      <c r="D263" s="126">
        <v>1</v>
      </c>
      <c r="E263" s="126">
        <v>1</v>
      </c>
      <c r="G263" s="126">
        <v>55</v>
      </c>
      <c r="O263" s="126" t="s">
        <v>549</v>
      </c>
      <c r="P263" s="126" t="s">
        <v>1582</v>
      </c>
      <c r="Q263" s="126">
        <v>1</v>
      </c>
      <c r="S263" s="162">
        <v>46192</v>
      </c>
      <c r="T263" s="126">
        <v>176</v>
      </c>
      <c r="U263" s="206">
        <v>-1000</v>
      </c>
      <c r="V263" s="206">
        <v>-1</v>
      </c>
      <c r="W263" s="206">
        <v>85</v>
      </c>
      <c r="X263" s="206">
        <v>0</v>
      </c>
      <c r="Y263" s="206">
        <v>0</v>
      </c>
      <c r="Z263" s="206">
        <v>0</v>
      </c>
      <c r="AA263" s="206">
        <v>85</v>
      </c>
      <c r="AB263" s="206">
        <v>0</v>
      </c>
      <c r="AC263" s="235">
        <v>46226.809293981481</v>
      </c>
      <c r="AE263" s="126">
        <v>0</v>
      </c>
      <c r="AF263" s="126">
        <v>0</v>
      </c>
      <c r="AG263" s="126">
        <v>1</v>
      </c>
      <c r="AH263" s="126">
        <v>0</v>
      </c>
      <c r="AI263" s="126">
        <v>1</v>
      </c>
    </row>
    <row r="264" spans="3:35">
      <c r="C264" s="126">
        <v>257</v>
      </c>
      <c r="D264" s="126">
        <v>1</v>
      </c>
      <c r="E264" s="126">
        <v>1</v>
      </c>
      <c r="G264" s="126">
        <v>55</v>
      </c>
      <c r="O264" s="126" t="s">
        <v>549</v>
      </c>
      <c r="P264" s="126" t="s">
        <v>1582</v>
      </c>
      <c r="Q264" s="126">
        <v>1</v>
      </c>
      <c r="S264" s="162">
        <v>46192</v>
      </c>
      <c r="T264" s="126">
        <v>4</v>
      </c>
      <c r="U264" s="206">
        <v>-2</v>
      </c>
      <c r="V264" s="206">
        <v>-2</v>
      </c>
      <c r="W264" s="206">
        <v>5.8</v>
      </c>
      <c r="X264" s="206">
        <v>0</v>
      </c>
      <c r="Y264" s="206">
        <v>0</v>
      </c>
      <c r="Z264" s="206">
        <v>0</v>
      </c>
      <c r="AA264" s="206">
        <v>5.8</v>
      </c>
      <c r="AB264" s="206">
        <v>0</v>
      </c>
      <c r="AC264" s="235">
        <v>46226.809293981481</v>
      </c>
      <c r="AE264" s="126">
        <v>0</v>
      </c>
      <c r="AF264" s="126">
        <v>0</v>
      </c>
      <c r="AG264" s="126">
        <v>1</v>
      </c>
      <c r="AH264" s="126">
        <v>0</v>
      </c>
      <c r="AI264" s="126">
        <v>1</v>
      </c>
    </row>
    <row r="265" spans="3:35">
      <c r="C265" s="126">
        <v>258</v>
      </c>
      <c r="D265" s="126">
        <v>1</v>
      </c>
      <c r="E265" s="126">
        <v>1</v>
      </c>
      <c r="G265" s="126">
        <v>55</v>
      </c>
      <c r="O265" s="126" t="s">
        <v>549</v>
      </c>
      <c r="P265" s="126" t="s">
        <v>1582</v>
      </c>
      <c r="Q265" s="126">
        <v>1</v>
      </c>
      <c r="S265" s="162">
        <v>46192</v>
      </c>
      <c r="T265" s="126">
        <v>34</v>
      </c>
      <c r="U265" s="206">
        <v>-2</v>
      </c>
      <c r="V265" s="206">
        <v>-2</v>
      </c>
      <c r="W265" s="206">
        <v>0.5</v>
      </c>
      <c r="X265" s="206">
        <v>0</v>
      </c>
      <c r="Y265" s="206">
        <v>0</v>
      </c>
      <c r="Z265" s="206">
        <v>0</v>
      </c>
      <c r="AA265" s="206">
        <v>0.5</v>
      </c>
      <c r="AB265" s="206">
        <v>0</v>
      </c>
      <c r="AC265" s="235">
        <v>46226.809293981481</v>
      </c>
      <c r="AE265" s="126">
        <v>0</v>
      </c>
      <c r="AF265" s="126">
        <v>0</v>
      </c>
      <c r="AG265" s="126">
        <v>1</v>
      </c>
      <c r="AH265" s="126">
        <v>0</v>
      </c>
      <c r="AI265" s="126">
        <v>1</v>
      </c>
    </row>
    <row r="266" spans="3:35">
      <c r="C266" s="126">
        <v>259</v>
      </c>
      <c r="D266" s="126">
        <v>1</v>
      </c>
      <c r="E266" s="126">
        <v>1</v>
      </c>
      <c r="G266" s="126">
        <v>56</v>
      </c>
      <c r="O266" s="126" t="s">
        <v>549</v>
      </c>
      <c r="P266" s="126" t="s">
        <v>1594</v>
      </c>
      <c r="Q266" s="126">
        <v>1</v>
      </c>
      <c r="S266" s="162">
        <v>46193</v>
      </c>
      <c r="T266" s="126">
        <v>178</v>
      </c>
      <c r="U266" s="206">
        <v>-600</v>
      </c>
      <c r="V266" s="206">
        <v>-0.6</v>
      </c>
      <c r="W266" s="206">
        <v>4.75</v>
      </c>
      <c r="X266" s="206">
        <v>0</v>
      </c>
      <c r="Y266" s="206">
        <v>0</v>
      </c>
      <c r="Z266" s="206">
        <v>0</v>
      </c>
      <c r="AA266" s="206">
        <v>4.75</v>
      </c>
      <c r="AB266" s="206">
        <v>0</v>
      </c>
      <c r="AC266" s="235">
        <v>46226.811782407407</v>
      </c>
      <c r="AE266" s="126">
        <v>0</v>
      </c>
      <c r="AF266" s="126">
        <v>0</v>
      </c>
      <c r="AG266" s="126">
        <v>1</v>
      </c>
      <c r="AH266" s="126">
        <v>0</v>
      </c>
      <c r="AI266" s="126">
        <v>1</v>
      </c>
    </row>
    <row r="267" spans="3:35">
      <c r="C267" s="126">
        <v>260</v>
      </c>
      <c r="D267" s="126">
        <v>1</v>
      </c>
      <c r="E267" s="126">
        <v>1</v>
      </c>
      <c r="G267" s="126">
        <v>57</v>
      </c>
      <c r="O267" s="126" t="s">
        <v>549</v>
      </c>
      <c r="P267" s="126" t="s">
        <v>1599</v>
      </c>
      <c r="Q267" s="126">
        <v>1</v>
      </c>
      <c r="S267" s="162">
        <v>46193</v>
      </c>
      <c r="T267" s="126">
        <v>197</v>
      </c>
      <c r="U267" s="206">
        <v>-12</v>
      </c>
      <c r="V267" s="206">
        <v>-3</v>
      </c>
      <c r="W267" s="206">
        <v>8.36</v>
      </c>
      <c r="X267" s="206">
        <v>0</v>
      </c>
      <c r="Y267" s="206">
        <v>0</v>
      </c>
      <c r="Z267" s="206">
        <v>0</v>
      </c>
      <c r="AA267" s="206">
        <v>8.36</v>
      </c>
      <c r="AB267" s="206">
        <v>0</v>
      </c>
      <c r="AC267" s="235">
        <v>46226.869756944441</v>
      </c>
      <c r="AE267" s="126">
        <v>0</v>
      </c>
      <c r="AF267" s="126">
        <v>0</v>
      </c>
      <c r="AG267" s="126">
        <v>1</v>
      </c>
      <c r="AH267" s="126">
        <v>0</v>
      </c>
      <c r="AI267" s="126">
        <v>1</v>
      </c>
    </row>
    <row r="268" spans="3:35">
      <c r="C268" s="126">
        <v>261</v>
      </c>
      <c r="D268" s="126">
        <v>1</v>
      </c>
      <c r="E268" s="126">
        <v>1</v>
      </c>
      <c r="G268" s="126">
        <v>57</v>
      </c>
      <c r="O268" s="126" t="s">
        <v>549</v>
      </c>
      <c r="P268" s="126" t="s">
        <v>1599</v>
      </c>
      <c r="Q268" s="126">
        <v>1</v>
      </c>
      <c r="S268" s="162">
        <v>46193</v>
      </c>
      <c r="T268" s="126">
        <v>189</v>
      </c>
      <c r="U268" s="206">
        <v>-24</v>
      </c>
      <c r="V268" s="206">
        <v>-6</v>
      </c>
      <c r="W268" s="206">
        <v>4.09</v>
      </c>
      <c r="X268" s="206">
        <v>0</v>
      </c>
      <c r="Y268" s="206">
        <v>0</v>
      </c>
      <c r="Z268" s="206">
        <v>0</v>
      </c>
      <c r="AA268" s="206">
        <v>4.09</v>
      </c>
      <c r="AB268" s="206">
        <v>0</v>
      </c>
      <c r="AC268" s="235">
        <v>46226.869756944441</v>
      </c>
      <c r="AE268" s="126">
        <v>0</v>
      </c>
      <c r="AF268" s="126">
        <v>0</v>
      </c>
      <c r="AG268" s="126">
        <v>1</v>
      </c>
      <c r="AH268" s="126">
        <v>0</v>
      </c>
      <c r="AI268" s="126">
        <v>1</v>
      </c>
    </row>
    <row r="269" spans="3:35">
      <c r="C269" s="126">
        <v>262</v>
      </c>
      <c r="D269" s="126">
        <v>1</v>
      </c>
      <c r="E269" s="126">
        <v>1</v>
      </c>
      <c r="G269" s="126">
        <v>57</v>
      </c>
      <c r="O269" s="126" t="s">
        <v>549</v>
      </c>
      <c r="P269" s="126" t="s">
        <v>1599</v>
      </c>
      <c r="Q269" s="126">
        <v>1</v>
      </c>
      <c r="S269" s="162">
        <v>46193</v>
      </c>
      <c r="T269" s="126">
        <v>16</v>
      </c>
      <c r="U269" s="206">
        <v>-2</v>
      </c>
      <c r="V269" s="206">
        <v>-2</v>
      </c>
      <c r="W269" s="206">
        <v>2.1</v>
      </c>
      <c r="X269" s="206">
        <v>0</v>
      </c>
      <c r="Y269" s="206">
        <v>0</v>
      </c>
      <c r="Z269" s="206">
        <v>0</v>
      </c>
      <c r="AA269" s="206">
        <v>2.1</v>
      </c>
      <c r="AB269" s="206">
        <v>0</v>
      </c>
      <c r="AC269" s="235">
        <v>46226.869756944441</v>
      </c>
      <c r="AE269" s="126">
        <v>0</v>
      </c>
      <c r="AF269" s="126">
        <v>0</v>
      </c>
      <c r="AG269" s="126">
        <v>1</v>
      </c>
      <c r="AH269" s="126">
        <v>0</v>
      </c>
      <c r="AI269" s="126">
        <v>1</v>
      </c>
    </row>
    <row r="270" spans="3:35">
      <c r="C270" s="126">
        <v>263</v>
      </c>
      <c r="D270" s="126">
        <v>1</v>
      </c>
      <c r="E270" s="126">
        <v>1</v>
      </c>
      <c r="G270" s="126">
        <v>57</v>
      </c>
      <c r="O270" s="126" t="s">
        <v>549</v>
      </c>
      <c r="P270" s="126" t="s">
        <v>1599</v>
      </c>
      <c r="Q270" s="126">
        <v>1</v>
      </c>
      <c r="S270" s="162">
        <v>46193</v>
      </c>
      <c r="T270" s="126">
        <v>99</v>
      </c>
      <c r="U270" s="206">
        <v>-4</v>
      </c>
      <c r="V270" s="206">
        <v>-0.2</v>
      </c>
      <c r="W270" s="206">
        <v>0.24</v>
      </c>
      <c r="X270" s="206">
        <v>0</v>
      </c>
      <c r="Y270" s="206">
        <v>0</v>
      </c>
      <c r="Z270" s="206">
        <v>0</v>
      </c>
      <c r="AA270" s="206">
        <v>0.24</v>
      </c>
      <c r="AB270" s="206">
        <v>0</v>
      </c>
      <c r="AC270" s="235">
        <v>46226.869756944441</v>
      </c>
      <c r="AE270" s="126">
        <v>0</v>
      </c>
      <c r="AF270" s="126">
        <v>0</v>
      </c>
      <c r="AG270" s="126">
        <v>1</v>
      </c>
      <c r="AH270" s="126">
        <v>0</v>
      </c>
      <c r="AI270" s="126">
        <v>1</v>
      </c>
    </row>
    <row r="271" spans="3:35">
      <c r="C271" s="126">
        <v>264</v>
      </c>
      <c r="D271" s="126">
        <v>1</v>
      </c>
      <c r="E271" s="126">
        <v>1</v>
      </c>
      <c r="G271" s="126">
        <v>57</v>
      </c>
      <c r="O271" s="126" t="s">
        <v>549</v>
      </c>
      <c r="P271" s="126" t="s">
        <v>1599</v>
      </c>
      <c r="Q271" s="126">
        <v>1</v>
      </c>
      <c r="S271" s="162">
        <v>46193</v>
      </c>
      <c r="T271" s="126">
        <v>8</v>
      </c>
      <c r="U271" s="206">
        <v>-1</v>
      </c>
      <c r="V271" s="206">
        <v>-1</v>
      </c>
      <c r="W271" s="206">
        <v>1.32</v>
      </c>
      <c r="X271" s="206">
        <v>0</v>
      </c>
      <c r="Y271" s="206">
        <v>0</v>
      </c>
      <c r="Z271" s="206">
        <v>0</v>
      </c>
      <c r="AA271" s="206">
        <v>1.32</v>
      </c>
      <c r="AB271" s="206">
        <v>0</v>
      </c>
      <c r="AC271" s="235">
        <v>46226.869756944441</v>
      </c>
      <c r="AE271" s="126">
        <v>0</v>
      </c>
      <c r="AF271" s="126">
        <v>0</v>
      </c>
      <c r="AG271" s="126">
        <v>1</v>
      </c>
      <c r="AH271" s="126">
        <v>0</v>
      </c>
      <c r="AI271" s="126">
        <v>1</v>
      </c>
    </row>
    <row r="272" spans="3:35">
      <c r="C272" s="126">
        <v>265</v>
      </c>
      <c r="D272" s="126">
        <v>1</v>
      </c>
      <c r="E272" s="126">
        <v>1</v>
      </c>
      <c r="G272" s="126">
        <v>57</v>
      </c>
      <c r="O272" s="126" t="s">
        <v>549</v>
      </c>
      <c r="P272" s="126" t="s">
        <v>1599</v>
      </c>
      <c r="Q272" s="126">
        <v>1</v>
      </c>
      <c r="S272" s="162">
        <v>46193</v>
      </c>
      <c r="T272" s="126">
        <v>142</v>
      </c>
      <c r="U272" s="206">
        <v>-1</v>
      </c>
      <c r="V272" s="206">
        <v>-8.3333333333333329E-2</v>
      </c>
      <c r="W272" s="206">
        <v>0.34</v>
      </c>
      <c r="X272" s="206">
        <v>0</v>
      </c>
      <c r="Y272" s="206">
        <v>0</v>
      </c>
      <c r="Z272" s="206">
        <v>0</v>
      </c>
      <c r="AA272" s="206">
        <v>0.34</v>
      </c>
      <c r="AB272" s="206">
        <v>0</v>
      </c>
      <c r="AC272" s="235">
        <v>46226.869756944441</v>
      </c>
      <c r="AE272" s="126">
        <v>0</v>
      </c>
      <c r="AF272" s="126">
        <v>0</v>
      </c>
      <c r="AG272" s="126">
        <v>1</v>
      </c>
      <c r="AH272" s="126">
        <v>0</v>
      </c>
      <c r="AI272" s="126">
        <v>1</v>
      </c>
    </row>
    <row r="273" spans="3:35">
      <c r="C273" s="126">
        <v>266</v>
      </c>
      <c r="D273" s="126">
        <v>1</v>
      </c>
      <c r="E273" s="126">
        <v>1</v>
      </c>
      <c r="G273" s="126">
        <v>58</v>
      </c>
      <c r="O273" s="126" t="s">
        <v>549</v>
      </c>
      <c r="P273" s="126" t="s">
        <v>1619</v>
      </c>
      <c r="Q273" s="126">
        <v>1</v>
      </c>
      <c r="S273" s="162">
        <v>46193</v>
      </c>
      <c r="T273" s="126">
        <v>177</v>
      </c>
      <c r="U273" s="206">
        <v>-500</v>
      </c>
      <c r="V273" s="206">
        <v>-0.5</v>
      </c>
      <c r="W273" s="206">
        <v>4.1500000000000004</v>
      </c>
      <c r="X273" s="206">
        <v>0</v>
      </c>
      <c r="Y273" s="206">
        <v>0</v>
      </c>
      <c r="Z273" s="206">
        <v>0</v>
      </c>
      <c r="AA273" s="206">
        <v>4.1500000000000004</v>
      </c>
      <c r="AB273" s="206">
        <v>0</v>
      </c>
      <c r="AC273" s="235">
        <v>46226.870567129627</v>
      </c>
      <c r="AE273" s="126">
        <v>0</v>
      </c>
      <c r="AF273" s="126">
        <v>0</v>
      </c>
      <c r="AG273" s="126">
        <v>1</v>
      </c>
      <c r="AH273" s="126">
        <v>0</v>
      </c>
      <c r="AI273" s="126">
        <v>1</v>
      </c>
    </row>
    <row r="274" spans="3:35">
      <c r="C274" s="126">
        <v>267</v>
      </c>
      <c r="D274" s="126">
        <v>1</v>
      </c>
      <c r="E274" s="126">
        <v>1</v>
      </c>
      <c r="G274" s="126">
        <v>59</v>
      </c>
      <c r="O274" s="126" t="s">
        <v>549</v>
      </c>
      <c r="P274" s="126" t="s">
        <v>1625</v>
      </c>
      <c r="Q274" s="126">
        <v>1</v>
      </c>
      <c r="S274" s="162">
        <v>46194</v>
      </c>
      <c r="T274" s="126">
        <v>187</v>
      </c>
      <c r="U274" s="206">
        <v>-32</v>
      </c>
      <c r="V274" s="206">
        <v>-8</v>
      </c>
      <c r="W274" s="206">
        <v>3.37</v>
      </c>
      <c r="X274" s="206">
        <v>0</v>
      </c>
      <c r="Y274" s="206">
        <v>0</v>
      </c>
      <c r="Z274" s="206">
        <v>0</v>
      </c>
      <c r="AA274" s="206">
        <v>3.37</v>
      </c>
      <c r="AB274" s="206">
        <v>0</v>
      </c>
      <c r="AC274" s="235">
        <v>46226.878495370373</v>
      </c>
      <c r="AE274" s="126">
        <v>0</v>
      </c>
      <c r="AF274" s="126">
        <v>0</v>
      </c>
      <c r="AG274" s="126">
        <v>1</v>
      </c>
      <c r="AH274" s="126">
        <v>0</v>
      </c>
      <c r="AI274" s="126">
        <v>1</v>
      </c>
    </row>
    <row r="275" spans="3:35">
      <c r="C275" s="126">
        <v>268</v>
      </c>
      <c r="D275" s="126">
        <v>1</v>
      </c>
      <c r="E275" s="126">
        <v>1</v>
      </c>
      <c r="G275" s="126">
        <v>59</v>
      </c>
      <c r="O275" s="126" t="s">
        <v>549</v>
      </c>
      <c r="P275" s="126" t="s">
        <v>1625</v>
      </c>
      <c r="Q275" s="126">
        <v>1</v>
      </c>
      <c r="S275" s="162">
        <v>46194</v>
      </c>
      <c r="T275" s="126">
        <v>191</v>
      </c>
      <c r="U275" s="206">
        <v>-16</v>
      </c>
      <c r="V275" s="206">
        <v>-4</v>
      </c>
      <c r="W275" s="206">
        <v>4.92</v>
      </c>
      <c r="X275" s="206">
        <v>0</v>
      </c>
      <c r="Y275" s="206">
        <v>0</v>
      </c>
      <c r="Z275" s="206">
        <v>0</v>
      </c>
      <c r="AA275" s="206">
        <v>4.92</v>
      </c>
      <c r="AB275" s="206">
        <v>0</v>
      </c>
      <c r="AC275" s="235">
        <v>46226.878495370373</v>
      </c>
      <c r="AE275" s="126">
        <v>0</v>
      </c>
      <c r="AF275" s="126">
        <v>0</v>
      </c>
      <c r="AG275" s="126">
        <v>1</v>
      </c>
      <c r="AH275" s="126">
        <v>0</v>
      </c>
      <c r="AI275" s="126">
        <v>1</v>
      </c>
    </row>
    <row r="276" spans="3:35">
      <c r="C276" s="126">
        <v>269</v>
      </c>
      <c r="D276" s="126">
        <v>1</v>
      </c>
      <c r="E276" s="126">
        <v>1</v>
      </c>
      <c r="G276" s="126">
        <v>60</v>
      </c>
      <c r="O276" s="126" t="s">
        <v>549</v>
      </c>
      <c r="P276" s="126" t="s">
        <v>1633</v>
      </c>
      <c r="Q276" s="126">
        <v>1</v>
      </c>
      <c r="S276" s="162">
        <v>46194</v>
      </c>
      <c r="T276" s="126">
        <v>189</v>
      </c>
      <c r="U276" s="206">
        <v>-20</v>
      </c>
      <c r="V276" s="206">
        <v>-5</v>
      </c>
      <c r="W276" s="206">
        <v>4.09</v>
      </c>
      <c r="X276" s="206">
        <v>0</v>
      </c>
      <c r="Y276" s="206">
        <v>0</v>
      </c>
      <c r="Z276" s="206">
        <v>0</v>
      </c>
      <c r="AA276" s="206">
        <v>4.09</v>
      </c>
      <c r="AB276" s="206">
        <v>0</v>
      </c>
      <c r="AC276" s="235">
        <v>46226.879999999997</v>
      </c>
      <c r="AE276" s="126">
        <v>0</v>
      </c>
      <c r="AF276" s="126">
        <v>0</v>
      </c>
      <c r="AG276" s="126">
        <v>1</v>
      </c>
      <c r="AH276" s="126">
        <v>0</v>
      </c>
      <c r="AI276" s="126">
        <v>1</v>
      </c>
    </row>
    <row r="277" spans="3:35">
      <c r="C277" s="126">
        <v>270</v>
      </c>
      <c r="D277" s="126">
        <v>1</v>
      </c>
      <c r="E277" s="126">
        <v>1</v>
      </c>
      <c r="G277" s="126">
        <v>60</v>
      </c>
      <c r="O277" s="126" t="s">
        <v>549</v>
      </c>
      <c r="P277" s="126" t="s">
        <v>1633</v>
      </c>
      <c r="Q277" s="126">
        <v>1</v>
      </c>
      <c r="S277" s="162">
        <v>46194</v>
      </c>
      <c r="T277" s="126">
        <v>197</v>
      </c>
      <c r="U277" s="206">
        <v>-8</v>
      </c>
      <c r="V277" s="206">
        <v>-2</v>
      </c>
      <c r="W277" s="206">
        <v>8.36</v>
      </c>
      <c r="X277" s="206">
        <v>0</v>
      </c>
      <c r="Y277" s="206">
        <v>0</v>
      </c>
      <c r="Z277" s="206">
        <v>0</v>
      </c>
      <c r="AA277" s="206">
        <v>8.36</v>
      </c>
      <c r="AB277" s="206">
        <v>0</v>
      </c>
      <c r="AC277" s="235">
        <v>46226.879999999997</v>
      </c>
      <c r="AE277" s="126">
        <v>0</v>
      </c>
      <c r="AF277" s="126">
        <v>0</v>
      </c>
      <c r="AG277" s="126">
        <v>1</v>
      </c>
      <c r="AH277" s="126">
        <v>0</v>
      </c>
      <c r="AI277" s="126">
        <v>1</v>
      </c>
    </row>
    <row r="278" spans="3:35">
      <c r="C278" s="126">
        <v>271</v>
      </c>
      <c r="D278" s="126">
        <v>1</v>
      </c>
      <c r="E278" s="126">
        <v>1</v>
      </c>
      <c r="G278" s="126">
        <v>61</v>
      </c>
      <c r="O278" s="126" t="s">
        <v>549</v>
      </c>
      <c r="P278" s="126" t="s">
        <v>1641</v>
      </c>
      <c r="Q278" s="126">
        <v>1</v>
      </c>
      <c r="S278" s="162">
        <v>46194</v>
      </c>
      <c r="T278" s="126">
        <v>160</v>
      </c>
      <c r="U278" s="206">
        <v>-4</v>
      </c>
      <c r="V278" s="206">
        <v>-1</v>
      </c>
      <c r="W278" s="206">
        <v>47</v>
      </c>
      <c r="X278" s="206">
        <v>0</v>
      </c>
      <c r="Y278" s="206">
        <v>0</v>
      </c>
      <c r="Z278" s="206">
        <v>0</v>
      </c>
      <c r="AA278" s="206">
        <v>47</v>
      </c>
      <c r="AB278" s="206">
        <v>0</v>
      </c>
      <c r="AC278" s="235">
        <v>46226.885972222219</v>
      </c>
      <c r="AE278" s="126">
        <v>0</v>
      </c>
      <c r="AF278" s="126">
        <v>0</v>
      </c>
      <c r="AG278" s="126">
        <v>1</v>
      </c>
      <c r="AH278" s="126">
        <v>0</v>
      </c>
      <c r="AI278" s="126">
        <v>1</v>
      </c>
    </row>
    <row r="279" spans="3:35">
      <c r="C279" s="126">
        <v>272</v>
      </c>
      <c r="D279" s="126">
        <v>1</v>
      </c>
      <c r="E279" s="126">
        <v>1</v>
      </c>
      <c r="G279" s="126">
        <v>61</v>
      </c>
      <c r="O279" s="126" t="s">
        <v>549</v>
      </c>
      <c r="P279" s="126" t="s">
        <v>1641</v>
      </c>
      <c r="Q279" s="126">
        <v>1</v>
      </c>
      <c r="S279" s="162">
        <v>46194</v>
      </c>
      <c r="T279" s="126">
        <v>170</v>
      </c>
      <c r="U279" s="206">
        <v>-10</v>
      </c>
      <c r="V279" s="206">
        <v>-10</v>
      </c>
      <c r="W279" s="206">
        <v>0.4</v>
      </c>
      <c r="X279" s="206">
        <v>0</v>
      </c>
      <c r="Y279" s="206">
        <v>0</v>
      </c>
      <c r="Z279" s="206">
        <v>0</v>
      </c>
      <c r="AA279" s="206">
        <v>0.4</v>
      </c>
      <c r="AB279" s="206">
        <v>0</v>
      </c>
      <c r="AC279" s="235">
        <v>46226.885972222219</v>
      </c>
      <c r="AE279" s="126">
        <v>0</v>
      </c>
      <c r="AF279" s="126">
        <v>0</v>
      </c>
      <c r="AG279" s="126">
        <v>1</v>
      </c>
      <c r="AH279" s="126">
        <v>0</v>
      </c>
      <c r="AI279" s="126">
        <v>1</v>
      </c>
    </row>
    <row r="280" spans="3:35">
      <c r="C280" s="126">
        <v>273</v>
      </c>
      <c r="D280" s="126">
        <v>1</v>
      </c>
      <c r="E280" s="126">
        <v>1</v>
      </c>
      <c r="G280" s="126">
        <v>62</v>
      </c>
      <c r="O280" s="126" t="s">
        <v>549</v>
      </c>
      <c r="P280" s="126" t="s">
        <v>1653</v>
      </c>
      <c r="Q280" s="126">
        <v>1</v>
      </c>
      <c r="S280" s="162">
        <v>46195</v>
      </c>
      <c r="T280" s="126">
        <v>176</v>
      </c>
      <c r="U280" s="206">
        <v>-500</v>
      </c>
      <c r="V280" s="206">
        <v>-0.5</v>
      </c>
      <c r="W280" s="206">
        <v>4.25</v>
      </c>
      <c r="X280" s="206">
        <v>0</v>
      </c>
      <c r="Y280" s="206">
        <v>0</v>
      </c>
      <c r="Z280" s="206">
        <v>0</v>
      </c>
      <c r="AA280" s="206">
        <v>4.25</v>
      </c>
      <c r="AB280" s="206">
        <v>0</v>
      </c>
      <c r="AC280" s="235">
        <v>46226.899259259262</v>
      </c>
      <c r="AE280" s="126">
        <v>0</v>
      </c>
      <c r="AF280" s="126">
        <v>0</v>
      </c>
      <c r="AG280" s="126">
        <v>1</v>
      </c>
      <c r="AH280" s="126">
        <v>0</v>
      </c>
      <c r="AI280" s="126">
        <v>1</v>
      </c>
    </row>
    <row r="281" spans="3:35">
      <c r="C281" s="126">
        <v>274</v>
      </c>
      <c r="D281" s="126">
        <v>1</v>
      </c>
      <c r="E281" s="126">
        <v>1</v>
      </c>
      <c r="G281" s="126">
        <v>62</v>
      </c>
      <c r="O281" s="126" t="s">
        <v>549</v>
      </c>
      <c r="P281" s="126" t="s">
        <v>1653</v>
      </c>
      <c r="Q281" s="126">
        <v>1</v>
      </c>
      <c r="S281" s="162">
        <v>46195</v>
      </c>
      <c r="T281" s="126">
        <v>177</v>
      </c>
      <c r="U281" s="206">
        <v>-250</v>
      </c>
      <c r="V281" s="206">
        <v>-0.25</v>
      </c>
      <c r="W281" s="206">
        <v>4.1500000000000004</v>
      </c>
      <c r="X281" s="206">
        <v>0</v>
      </c>
      <c r="Y281" s="206">
        <v>0</v>
      </c>
      <c r="Z281" s="206">
        <v>0</v>
      </c>
      <c r="AA281" s="206">
        <v>4.1500000000000004</v>
      </c>
      <c r="AB281" s="206">
        <v>0</v>
      </c>
      <c r="AC281" s="235">
        <v>46226.899259259262</v>
      </c>
      <c r="AE281" s="126">
        <v>0</v>
      </c>
      <c r="AF281" s="126">
        <v>0</v>
      </c>
      <c r="AG281" s="126">
        <v>1</v>
      </c>
      <c r="AH281" s="126">
        <v>0</v>
      </c>
      <c r="AI281" s="126">
        <v>1</v>
      </c>
    </row>
    <row r="282" spans="3:35">
      <c r="C282" s="126">
        <v>275</v>
      </c>
      <c r="D282" s="126">
        <v>1</v>
      </c>
      <c r="E282" s="126">
        <v>1</v>
      </c>
      <c r="G282" s="126">
        <v>63</v>
      </c>
      <c r="O282" s="126" t="s">
        <v>549</v>
      </c>
      <c r="P282" s="126" t="s">
        <v>1661</v>
      </c>
      <c r="Q282" s="126">
        <v>1</v>
      </c>
      <c r="S282" s="162">
        <v>46195</v>
      </c>
      <c r="T282" s="126">
        <v>195</v>
      </c>
      <c r="U282" s="206">
        <v>-12</v>
      </c>
      <c r="V282" s="206">
        <v>-3</v>
      </c>
      <c r="W282" s="206">
        <v>6.28</v>
      </c>
      <c r="X282" s="206">
        <v>0</v>
      </c>
      <c r="Y282" s="206">
        <v>0</v>
      </c>
      <c r="Z282" s="206">
        <v>0</v>
      </c>
      <c r="AA282" s="206">
        <v>6.28</v>
      </c>
      <c r="AB282" s="206">
        <v>0</v>
      </c>
      <c r="AC282" s="235">
        <v>46226.902592592596</v>
      </c>
      <c r="AE282" s="126">
        <v>0</v>
      </c>
      <c r="AF282" s="126">
        <v>0</v>
      </c>
      <c r="AG282" s="126">
        <v>1</v>
      </c>
      <c r="AH282" s="126">
        <v>0</v>
      </c>
      <c r="AI282" s="126">
        <v>1</v>
      </c>
    </row>
    <row r="283" spans="3:35">
      <c r="C283" s="126">
        <v>276</v>
      </c>
      <c r="D283" s="126">
        <v>1</v>
      </c>
      <c r="E283" s="126">
        <v>1</v>
      </c>
      <c r="G283" s="126">
        <v>63</v>
      </c>
      <c r="O283" s="126" t="s">
        <v>549</v>
      </c>
      <c r="P283" s="126" t="s">
        <v>1661</v>
      </c>
      <c r="Q283" s="126">
        <v>1</v>
      </c>
      <c r="S283" s="162">
        <v>46195</v>
      </c>
      <c r="T283" s="126">
        <v>177</v>
      </c>
      <c r="U283" s="206">
        <v>-150</v>
      </c>
      <c r="V283" s="206">
        <v>-0.15</v>
      </c>
      <c r="W283" s="206">
        <v>4.1500000000000004</v>
      </c>
      <c r="X283" s="206">
        <v>0</v>
      </c>
      <c r="Y283" s="206">
        <v>0</v>
      </c>
      <c r="Z283" s="206">
        <v>0</v>
      </c>
      <c r="AA283" s="206">
        <v>4.1500000000000004</v>
      </c>
      <c r="AB283" s="206">
        <v>0</v>
      </c>
      <c r="AC283" s="235">
        <v>46226.902592592596</v>
      </c>
      <c r="AE283" s="126">
        <v>0</v>
      </c>
      <c r="AF283" s="126">
        <v>0</v>
      </c>
      <c r="AG283" s="126">
        <v>1</v>
      </c>
      <c r="AH283" s="126">
        <v>0</v>
      </c>
      <c r="AI283" s="126">
        <v>1</v>
      </c>
    </row>
    <row r="284" spans="3:35">
      <c r="C284" s="126">
        <v>277</v>
      </c>
      <c r="D284" s="126">
        <v>1</v>
      </c>
      <c r="E284" s="126">
        <v>1</v>
      </c>
      <c r="G284" s="126">
        <v>64</v>
      </c>
      <c r="O284" s="126" t="s">
        <v>549</v>
      </c>
      <c r="P284" s="126" t="s">
        <v>1669</v>
      </c>
      <c r="Q284" s="126">
        <v>1</v>
      </c>
      <c r="S284" s="162">
        <v>46195</v>
      </c>
      <c r="T284" s="126">
        <v>177</v>
      </c>
      <c r="U284" s="206">
        <v>-250</v>
      </c>
      <c r="V284" s="206">
        <v>-0.25</v>
      </c>
      <c r="W284" s="206">
        <v>4.1500000000000004</v>
      </c>
      <c r="X284" s="206">
        <v>0</v>
      </c>
      <c r="Y284" s="206">
        <v>0</v>
      </c>
      <c r="Z284" s="206">
        <v>0</v>
      </c>
      <c r="AA284" s="206">
        <v>4.1500000000000004</v>
      </c>
      <c r="AB284" s="206">
        <v>0</v>
      </c>
      <c r="AC284" s="235">
        <v>46226.922083333331</v>
      </c>
      <c r="AE284" s="126">
        <v>0</v>
      </c>
      <c r="AF284" s="126">
        <v>0</v>
      </c>
      <c r="AG284" s="126">
        <v>1</v>
      </c>
      <c r="AH284" s="126">
        <v>0</v>
      </c>
      <c r="AI284" s="126">
        <v>1</v>
      </c>
    </row>
    <row r="285" spans="3:35">
      <c r="C285" s="126">
        <v>278</v>
      </c>
      <c r="D285" s="126">
        <v>1</v>
      </c>
      <c r="E285" s="126">
        <v>1</v>
      </c>
      <c r="G285" s="126">
        <v>64</v>
      </c>
      <c r="O285" s="126" t="s">
        <v>549</v>
      </c>
      <c r="P285" s="126" t="s">
        <v>1669</v>
      </c>
      <c r="Q285" s="126">
        <v>1</v>
      </c>
      <c r="S285" s="162">
        <v>46195</v>
      </c>
      <c r="T285" s="126">
        <v>14</v>
      </c>
      <c r="U285" s="206">
        <v>-2</v>
      </c>
      <c r="V285" s="206">
        <v>-2</v>
      </c>
      <c r="W285" s="206">
        <v>3.3</v>
      </c>
      <c r="X285" s="206">
        <v>0</v>
      </c>
      <c r="Y285" s="206">
        <v>0</v>
      </c>
      <c r="Z285" s="206">
        <v>0</v>
      </c>
      <c r="AA285" s="206">
        <v>3.3</v>
      </c>
      <c r="AB285" s="206">
        <v>0</v>
      </c>
      <c r="AC285" s="235">
        <v>46226.922083333331</v>
      </c>
      <c r="AE285" s="126">
        <v>0</v>
      </c>
      <c r="AF285" s="126">
        <v>0</v>
      </c>
      <c r="AG285" s="126">
        <v>1</v>
      </c>
      <c r="AH285" s="126">
        <v>0</v>
      </c>
      <c r="AI285" s="126">
        <v>1</v>
      </c>
    </row>
    <row r="286" spans="3:35">
      <c r="C286" s="126">
        <v>279</v>
      </c>
      <c r="D286" s="126">
        <v>1</v>
      </c>
      <c r="E286" s="126">
        <v>1</v>
      </c>
      <c r="G286" s="126">
        <v>64</v>
      </c>
      <c r="O286" s="126" t="s">
        <v>549</v>
      </c>
      <c r="P286" s="126" t="s">
        <v>1669</v>
      </c>
      <c r="Q286" s="126">
        <v>1</v>
      </c>
      <c r="S286" s="162">
        <v>46195</v>
      </c>
      <c r="T286" s="126">
        <v>102</v>
      </c>
      <c r="U286" s="206">
        <v>-2</v>
      </c>
      <c r="V286" s="206">
        <v>-8.3333333333333329E-2</v>
      </c>
      <c r="W286" s="206">
        <v>4.5</v>
      </c>
      <c r="X286" s="206">
        <v>0</v>
      </c>
      <c r="Y286" s="206">
        <v>0</v>
      </c>
      <c r="Z286" s="206">
        <v>0</v>
      </c>
      <c r="AA286" s="206">
        <v>4.5</v>
      </c>
      <c r="AB286" s="206">
        <v>0</v>
      </c>
      <c r="AC286" s="235">
        <v>46226.922083333331</v>
      </c>
      <c r="AE286" s="126">
        <v>0</v>
      </c>
      <c r="AF286" s="126">
        <v>0</v>
      </c>
      <c r="AG286" s="126">
        <v>1</v>
      </c>
      <c r="AH286" s="126">
        <v>0</v>
      </c>
      <c r="AI286" s="126">
        <v>1</v>
      </c>
    </row>
    <row r="287" spans="3:35">
      <c r="C287" s="126">
        <v>280</v>
      </c>
      <c r="D287" s="126">
        <v>1</v>
      </c>
      <c r="E287" s="126">
        <v>1</v>
      </c>
      <c r="G287" s="126">
        <v>64</v>
      </c>
      <c r="O287" s="126" t="s">
        <v>549</v>
      </c>
      <c r="P287" s="126" t="s">
        <v>1669</v>
      </c>
      <c r="Q287" s="126">
        <v>1</v>
      </c>
      <c r="S287" s="162">
        <v>46195</v>
      </c>
      <c r="T287" s="126">
        <v>18</v>
      </c>
      <c r="U287" s="206">
        <v>-5</v>
      </c>
      <c r="V287" s="206">
        <v>-5</v>
      </c>
      <c r="W287" s="206">
        <v>1.35</v>
      </c>
      <c r="X287" s="206">
        <v>0</v>
      </c>
      <c r="Y287" s="206">
        <v>0</v>
      </c>
      <c r="Z287" s="206">
        <v>0</v>
      </c>
      <c r="AA287" s="206">
        <v>1.35</v>
      </c>
      <c r="AB287" s="206">
        <v>0</v>
      </c>
      <c r="AC287" s="235">
        <v>46226.922083333331</v>
      </c>
      <c r="AE287" s="126">
        <v>0</v>
      </c>
      <c r="AF287" s="126">
        <v>0</v>
      </c>
      <c r="AG287" s="126">
        <v>1</v>
      </c>
      <c r="AH287" s="126">
        <v>0</v>
      </c>
      <c r="AI287" s="126">
        <v>1</v>
      </c>
    </row>
    <row r="288" spans="3:35">
      <c r="C288" s="126">
        <v>281</v>
      </c>
      <c r="D288" s="126">
        <v>1</v>
      </c>
      <c r="E288" s="126">
        <v>1</v>
      </c>
      <c r="G288" s="126">
        <v>65</v>
      </c>
      <c r="O288" s="126" t="s">
        <v>549</v>
      </c>
      <c r="P288" s="126" t="s">
        <v>1683</v>
      </c>
      <c r="Q288" s="126">
        <v>1</v>
      </c>
      <c r="S288" s="162">
        <v>46195</v>
      </c>
      <c r="T288" s="126">
        <v>176</v>
      </c>
      <c r="U288" s="206">
        <v>-500</v>
      </c>
      <c r="V288" s="206">
        <v>-0.5</v>
      </c>
      <c r="W288" s="206">
        <v>4.25</v>
      </c>
      <c r="X288" s="206">
        <v>0</v>
      </c>
      <c r="Y288" s="206">
        <v>0</v>
      </c>
      <c r="Z288" s="206">
        <v>0</v>
      </c>
      <c r="AA288" s="206">
        <v>4.25</v>
      </c>
      <c r="AB288" s="206">
        <v>0</v>
      </c>
      <c r="AC288" s="235">
        <v>46226.923055555555</v>
      </c>
      <c r="AE288" s="126">
        <v>0</v>
      </c>
      <c r="AF288" s="126">
        <v>0</v>
      </c>
      <c r="AG288" s="126">
        <v>1</v>
      </c>
      <c r="AH288" s="126">
        <v>0</v>
      </c>
      <c r="AI288" s="126">
        <v>1</v>
      </c>
    </row>
    <row r="289" spans="3:35">
      <c r="C289" s="126">
        <v>282</v>
      </c>
      <c r="D289" s="126">
        <v>1</v>
      </c>
      <c r="E289" s="126">
        <v>1</v>
      </c>
      <c r="G289" s="126">
        <v>66</v>
      </c>
      <c r="O289" s="126" t="s">
        <v>549</v>
      </c>
      <c r="P289" s="126" t="s">
        <v>1688</v>
      </c>
      <c r="Q289" s="126">
        <v>1</v>
      </c>
      <c r="S289" s="162">
        <v>46195</v>
      </c>
      <c r="T289" s="126">
        <v>29</v>
      </c>
      <c r="U289" s="206">
        <v>-3</v>
      </c>
      <c r="V289" s="206">
        <v>-3</v>
      </c>
      <c r="W289" s="206">
        <v>4.2300000000000004</v>
      </c>
      <c r="X289" s="206">
        <v>0</v>
      </c>
      <c r="Y289" s="206">
        <v>0</v>
      </c>
      <c r="Z289" s="206">
        <v>0</v>
      </c>
      <c r="AA289" s="206">
        <v>4.2300000000000004</v>
      </c>
      <c r="AB289" s="206">
        <v>0</v>
      </c>
      <c r="AC289" s="235">
        <v>46226.932488425926</v>
      </c>
      <c r="AE289" s="126">
        <v>0</v>
      </c>
      <c r="AF289" s="126">
        <v>0</v>
      </c>
      <c r="AG289" s="126">
        <v>1</v>
      </c>
      <c r="AH289" s="126">
        <v>0</v>
      </c>
      <c r="AI289" s="126">
        <v>1</v>
      </c>
    </row>
    <row r="290" spans="3:35">
      <c r="C290" s="126">
        <v>283</v>
      </c>
      <c r="D290" s="126">
        <v>1</v>
      </c>
      <c r="E290" s="126">
        <v>1</v>
      </c>
      <c r="G290" s="126">
        <v>66</v>
      </c>
      <c r="O290" s="126" t="s">
        <v>549</v>
      </c>
      <c r="P290" s="126" t="s">
        <v>1688</v>
      </c>
      <c r="Q290" s="126">
        <v>1</v>
      </c>
      <c r="S290" s="162">
        <v>46195</v>
      </c>
      <c r="T290" s="126">
        <v>63</v>
      </c>
      <c r="U290" s="206">
        <v>-5</v>
      </c>
      <c r="V290" s="206">
        <v>-5</v>
      </c>
      <c r="W290" s="206">
        <v>4.33</v>
      </c>
      <c r="X290" s="206">
        <v>0</v>
      </c>
      <c r="Y290" s="206">
        <v>0</v>
      </c>
      <c r="Z290" s="206">
        <v>0</v>
      </c>
      <c r="AA290" s="206">
        <v>4.33</v>
      </c>
      <c r="AB290" s="206">
        <v>0</v>
      </c>
      <c r="AC290" s="235">
        <v>46226.932488425926</v>
      </c>
      <c r="AE290" s="126">
        <v>0</v>
      </c>
      <c r="AF290" s="126">
        <v>0</v>
      </c>
      <c r="AG290" s="126">
        <v>1</v>
      </c>
      <c r="AH290" s="126">
        <v>0</v>
      </c>
      <c r="AI290" s="126">
        <v>1</v>
      </c>
    </row>
    <row r="291" spans="3:35">
      <c r="C291" s="126">
        <v>284</v>
      </c>
      <c r="D291" s="126">
        <v>1</v>
      </c>
      <c r="E291" s="126">
        <v>1</v>
      </c>
      <c r="G291" s="126">
        <v>66</v>
      </c>
      <c r="O291" s="126" t="s">
        <v>549</v>
      </c>
      <c r="P291" s="126" t="s">
        <v>1688</v>
      </c>
      <c r="Q291" s="126">
        <v>1</v>
      </c>
      <c r="S291" s="162">
        <v>46195</v>
      </c>
      <c r="T291" s="126">
        <v>177</v>
      </c>
      <c r="U291" s="206">
        <v>-250</v>
      </c>
      <c r="V291" s="206">
        <v>-0.25</v>
      </c>
      <c r="W291" s="206">
        <v>4.1500000000000004</v>
      </c>
      <c r="X291" s="206">
        <v>0</v>
      </c>
      <c r="Y291" s="206">
        <v>0</v>
      </c>
      <c r="Z291" s="206">
        <v>0</v>
      </c>
      <c r="AA291" s="206">
        <v>4.1500000000000004</v>
      </c>
      <c r="AB291" s="206">
        <v>0</v>
      </c>
      <c r="AC291" s="235">
        <v>46226.932488425926</v>
      </c>
      <c r="AE291" s="126">
        <v>0</v>
      </c>
      <c r="AF291" s="126">
        <v>0</v>
      </c>
      <c r="AG291" s="126">
        <v>1</v>
      </c>
      <c r="AH291" s="126">
        <v>0</v>
      </c>
      <c r="AI291" s="126">
        <v>1</v>
      </c>
    </row>
    <row r="292" spans="3:35">
      <c r="C292" s="126">
        <v>285</v>
      </c>
      <c r="D292" s="126">
        <v>1</v>
      </c>
      <c r="E292" s="126">
        <v>1</v>
      </c>
      <c r="G292" s="126">
        <v>67</v>
      </c>
      <c r="O292" s="126" t="s">
        <v>549</v>
      </c>
      <c r="P292" s="126" t="s">
        <v>1700</v>
      </c>
      <c r="Q292" s="126">
        <v>1</v>
      </c>
      <c r="S292" s="162">
        <v>46196</v>
      </c>
      <c r="T292" s="126">
        <v>158</v>
      </c>
      <c r="U292" s="206">
        <v>-1</v>
      </c>
      <c r="V292" s="206">
        <v>-1</v>
      </c>
      <c r="W292" s="206">
        <v>53</v>
      </c>
      <c r="X292" s="206">
        <v>0</v>
      </c>
      <c r="Y292" s="206">
        <v>0</v>
      </c>
      <c r="Z292" s="206">
        <v>0</v>
      </c>
      <c r="AA292" s="206">
        <v>53</v>
      </c>
      <c r="AB292" s="206">
        <v>0</v>
      </c>
      <c r="AC292" s="235">
        <v>46226.942037037035</v>
      </c>
      <c r="AE292" s="126">
        <v>0</v>
      </c>
      <c r="AF292" s="126">
        <v>0</v>
      </c>
      <c r="AG292" s="126">
        <v>1</v>
      </c>
      <c r="AH292" s="126">
        <v>0</v>
      </c>
      <c r="AI292" s="126">
        <v>1</v>
      </c>
    </row>
    <row r="293" spans="3:35">
      <c r="C293" s="126">
        <v>286</v>
      </c>
      <c r="D293" s="126">
        <v>1</v>
      </c>
      <c r="E293" s="126">
        <v>1</v>
      </c>
      <c r="G293" s="126">
        <v>67</v>
      </c>
      <c r="O293" s="126" t="s">
        <v>549</v>
      </c>
      <c r="P293" s="126" t="s">
        <v>1700</v>
      </c>
      <c r="Q293" s="126">
        <v>1</v>
      </c>
      <c r="S293" s="162">
        <v>46196</v>
      </c>
      <c r="T293" s="126">
        <v>165</v>
      </c>
      <c r="U293" s="206">
        <v>-1</v>
      </c>
      <c r="V293" s="206">
        <v>-0.25</v>
      </c>
      <c r="W293" s="206">
        <v>20.25</v>
      </c>
      <c r="X293" s="206">
        <v>0</v>
      </c>
      <c r="Y293" s="206">
        <v>0</v>
      </c>
      <c r="Z293" s="206">
        <v>0</v>
      </c>
      <c r="AA293" s="206">
        <v>20.25</v>
      </c>
      <c r="AB293" s="206">
        <v>0</v>
      </c>
      <c r="AC293" s="235">
        <v>46226.942037037035</v>
      </c>
      <c r="AE293" s="126">
        <v>0</v>
      </c>
      <c r="AF293" s="126">
        <v>0</v>
      </c>
      <c r="AG293" s="126">
        <v>1</v>
      </c>
      <c r="AH293" s="126">
        <v>0</v>
      </c>
      <c r="AI293" s="126">
        <v>1</v>
      </c>
    </row>
    <row r="294" spans="3:35">
      <c r="C294" s="126">
        <v>287</v>
      </c>
      <c r="D294" s="126">
        <v>1</v>
      </c>
      <c r="E294" s="126">
        <v>1</v>
      </c>
      <c r="G294" s="126">
        <v>67</v>
      </c>
      <c r="O294" s="126" t="s">
        <v>549</v>
      </c>
      <c r="P294" s="126" t="s">
        <v>1700</v>
      </c>
      <c r="Q294" s="126">
        <v>1</v>
      </c>
      <c r="S294" s="162">
        <v>46196</v>
      </c>
      <c r="T294" s="126">
        <v>191</v>
      </c>
      <c r="U294" s="206">
        <v>-20</v>
      </c>
      <c r="V294" s="206">
        <v>-5</v>
      </c>
      <c r="W294" s="206">
        <v>4.92</v>
      </c>
      <c r="X294" s="206">
        <v>0</v>
      </c>
      <c r="Y294" s="206">
        <v>0</v>
      </c>
      <c r="Z294" s="206">
        <v>0</v>
      </c>
      <c r="AA294" s="206">
        <v>4.92</v>
      </c>
      <c r="AB294" s="206">
        <v>0</v>
      </c>
      <c r="AC294" s="235">
        <v>46226.942037037035</v>
      </c>
      <c r="AE294" s="126">
        <v>0</v>
      </c>
      <c r="AF294" s="126">
        <v>0</v>
      </c>
      <c r="AG294" s="126">
        <v>1</v>
      </c>
      <c r="AH294" s="126">
        <v>0</v>
      </c>
      <c r="AI294" s="126">
        <v>1</v>
      </c>
    </row>
    <row r="295" spans="3:35">
      <c r="C295" s="126">
        <v>288</v>
      </c>
      <c r="D295" s="126">
        <v>1</v>
      </c>
      <c r="E295" s="126">
        <v>1</v>
      </c>
      <c r="G295" s="126">
        <v>68</v>
      </c>
      <c r="O295" s="126" t="s">
        <v>549</v>
      </c>
      <c r="P295" s="126" t="s">
        <v>1716</v>
      </c>
      <c r="Q295" s="126">
        <v>1</v>
      </c>
      <c r="S295" s="162">
        <v>46196</v>
      </c>
      <c r="T295" s="126">
        <v>178</v>
      </c>
      <c r="U295" s="206">
        <v>-600</v>
      </c>
      <c r="V295" s="206">
        <v>-0.6</v>
      </c>
      <c r="W295" s="206">
        <v>4.75</v>
      </c>
      <c r="X295" s="206">
        <v>0</v>
      </c>
      <c r="Y295" s="206">
        <v>0</v>
      </c>
      <c r="Z295" s="206">
        <v>0</v>
      </c>
      <c r="AA295" s="206">
        <v>4.75</v>
      </c>
      <c r="AB295" s="206">
        <v>0</v>
      </c>
      <c r="AC295" s="235">
        <v>46226.947048611109</v>
      </c>
      <c r="AE295" s="126">
        <v>0</v>
      </c>
      <c r="AF295" s="126">
        <v>0</v>
      </c>
      <c r="AG295" s="126">
        <v>1</v>
      </c>
      <c r="AH295" s="126">
        <v>0</v>
      </c>
      <c r="AI295" s="126">
        <v>1</v>
      </c>
    </row>
    <row r="296" spans="3:35">
      <c r="C296" s="126">
        <v>289</v>
      </c>
      <c r="D296" s="126">
        <v>1</v>
      </c>
      <c r="E296" s="126">
        <v>1</v>
      </c>
      <c r="G296" s="126">
        <v>69</v>
      </c>
      <c r="O296" s="126" t="s">
        <v>549</v>
      </c>
      <c r="P296" s="126" t="s">
        <v>1722</v>
      </c>
      <c r="Q296" s="126">
        <v>1</v>
      </c>
      <c r="S296" s="162">
        <v>46197</v>
      </c>
      <c r="T296" s="126">
        <v>178</v>
      </c>
      <c r="U296" s="206">
        <v>-150</v>
      </c>
      <c r="V296" s="206">
        <v>-0.15</v>
      </c>
      <c r="W296" s="206">
        <v>4.75</v>
      </c>
      <c r="X296" s="206">
        <v>0</v>
      </c>
      <c r="Y296" s="206">
        <v>0</v>
      </c>
      <c r="Z296" s="206">
        <v>0</v>
      </c>
      <c r="AA296" s="206">
        <v>4.75</v>
      </c>
      <c r="AB296" s="206">
        <v>0</v>
      </c>
      <c r="AC296" s="235">
        <v>46226.956666666665</v>
      </c>
      <c r="AE296" s="126">
        <v>0</v>
      </c>
      <c r="AF296" s="126">
        <v>0</v>
      </c>
      <c r="AG296" s="126">
        <v>1</v>
      </c>
      <c r="AH296" s="126">
        <v>0</v>
      </c>
      <c r="AI296" s="126">
        <v>1</v>
      </c>
    </row>
    <row r="297" spans="3:35">
      <c r="C297" s="126">
        <v>290</v>
      </c>
      <c r="D297" s="126">
        <v>1</v>
      </c>
      <c r="E297" s="126">
        <v>1</v>
      </c>
      <c r="G297" s="126">
        <v>69</v>
      </c>
      <c r="O297" s="126" t="s">
        <v>549</v>
      </c>
      <c r="P297" s="126" t="s">
        <v>1722</v>
      </c>
      <c r="Q297" s="126">
        <v>1</v>
      </c>
      <c r="S297" s="162">
        <v>46197</v>
      </c>
      <c r="T297" s="126">
        <v>181</v>
      </c>
      <c r="U297" s="206">
        <v>-12</v>
      </c>
      <c r="V297" s="206">
        <v>-1</v>
      </c>
      <c r="W297" s="206">
        <v>1</v>
      </c>
      <c r="X297" s="206">
        <v>0</v>
      </c>
      <c r="Y297" s="206">
        <v>0</v>
      </c>
      <c r="Z297" s="206">
        <v>0</v>
      </c>
      <c r="AA297" s="206">
        <v>1</v>
      </c>
      <c r="AB297" s="206">
        <v>0</v>
      </c>
      <c r="AC297" s="235">
        <v>46226.956666666665</v>
      </c>
      <c r="AE297" s="126">
        <v>0</v>
      </c>
      <c r="AF297" s="126">
        <v>0</v>
      </c>
      <c r="AG297" s="126">
        <v>1</v>
      </c>
      <c r="AH297" s="126">
        <v>0</v>
      </c>
      <c r="AI297" s="126">
        <v>1</v>
      </c>
    </row>
    <row r="298" spans="3:35">
      <c r="C298" s="126">
        <v>291</v>
      </c>
      <c r="D298" s="126">
        <v>1</v>
      </c>
      <c r="E298" s="126">
        <v>1</v>
      </c>
      <c r="G298" s="126">
        <v>70</v>
      </c>
      <c r="O298" s="126" t="s">
        <v>549</v>
      </c>
      <c r="P298" s="126" t="s">
        <v>1730</v>
      </c>
      <c r="Q298" s="126">
        <v>1</v>
      </c>
      <c r="S298" s="162">
        <v>46197</v>
      </c>
      <c r="T298" s="126">
        <v>195</v>
      </c>
      <c r="U298" s="206">
        <v>-28</v>
      </c>
      <c r="V298" s="206">
        <v>-7</v>
      </c>
      <c r="W298" s="206">
        <v>6.28</v>
      </c>
      <c r="X298" s="206">
        <v>0</v>
      </c>
      <c r="Y298" s="206">
        <v>0</v>
      </c>
      <c r="Z298" s="206">
        <v>0</v>
      </c>
      <c r="AA298" s="206">
        <v>6.28</v>
      </c>
      <c r="AB298" s="206">
        <v>0</v>
      </c>
      <c r="AC298" s="235">
        <v>46226.960601851853</v>
      </c>
      <c r="AE298" s="126">
        <v>0</v>
      </c>
      <c r="AF298" s="126">
        <v>0</v>
      </c>
      <c r="AG298" s="126">
        <v>1</v>
      </c>
      <c r="AH298" s="126">
        <v>0</v>
      </c>
      <c r="AI298" s="126">
        <v>1</v>
      </c>
    </row>
    <row r="299" spans="3:35">
      <c r="C299" s="126">
        <v>292</v>
      </c>
      <c r="D299" s="126">
        <v>1</v>
      </c>
      <c r="E299" s="126">
        <v>1</v>
      </c>
      <c r="G299" s="126">
        <v>70</v>
      </c>
      <c r="O299" s="126" t="s">
        <v>549</v>
      </c>
      <c r="P299" s="126" t="s">
        <v>1730</v>
      </c>
      <c r="Q299" s="126">
        <v>1</v>
      </c>
      <c r="S299" s="162">
        <v>46197</v>
      </c>
      <c r="T299" s="126">
        <v>197</v>
      </c>
      <c r="U299" s="206">
        <v>-8</v>
      </c>
      <c r="V299" s="206">
        <v>-2</v>
      </c>
      <c r="W299" s="206">
        <v>8.36</v>
      </c>
      <c r="X299" s="206">
        <v>0</v>
      </c>
      <c r="Y299" s="206">
        <v>0</v>
      </c>
      <c r="Z299" s="206">
        <v>0</v>
      </c>
      <c r="AA299" s="206">
        <v>8.36</v>
      </c>
      <c r="AB299" s="206">
        <v>0</v>
      </c>
      <c r="AC299" s="235">
        <v>46226.960601851853</v>
      </c>
      <c r="AE299" s="126">
        <v>0</v>
      </c>
      <c r="AF299" s="126">
        <v>0</v>
      </c>
      <c r="AG299" s="126">
        <v>1</v>
      </c>
      <c r="AH299" s="126">
        <v>0</v>
      </c>
      <c r="AI299" s="126">
        <v>1</v>
      </c>
    </row>
    <row r="300" spans="3:35">
      <c r="C300" s="126">
        <v>293</v>
      </c>
      <c r="D300" s="126">
        <v>1</v>
      </c>
      <c r="E300" s="126">
        <v>1</v>
      </c>
      <c r="G300" s="126">
        <v>71</v>
      </c>
      <c r="O300" s="126" t="s">
        <v>549</v>
      </c>
      <c r="P300" s="126" t="s">
        <v>1738</v>
      </c>
      <c r="Q300" s="126">
        <v>1</v>
      </c>
      <c r="S300" s="162">
        <v>46197</v>
      </c>
      <c r="T300" s="126">
        <v>177</v>
      </c>
      <c r="U300" s="206">
        <v>-250</v>
      </c>
      <c r="V300" s="206">
        <v>-0.25</v>
      </c>
      <c r="W300" s="206">
        <v>4.1500000000000004</v>
      </c>
      <c r="X300" s="206">
        <v>0</v>
      </c>
      <c r="Y300" s="206">
        <v>0</v>
      </c>
      <c r="Z300" s="206">
        <v>0</v>
      </c>
      <c r="AA300" s="206">
        <v>4.1500000000000004</v>
      </c>
      <c r="AB300" s="206">
        <v>0</v>
      </c>
      <c r="AC300" s="235">
        <v>46226.967905092592</v>
      </c>
      <c r="AE300" s="126">
        <v>0</v>
      </c>
      <c r="AF300" s="126">
        <v>0</v>
      </c>
      <c r="AG300" s="126">
        <v>1</v>
      </c>
      <c r="AH300" s="126">
        <v>0</v>
      </c>
      <c r="AI300" s="126">
        <v>1</v>
      </c>
    </row>
    <row r="301" spans="3:35">
      <c r="C301" s="126">
        <v>294</v>
      </c>
      <c r="D301" s="126">
        <v>1</v>
      </c>
      <c r="E301" s="126">
        <v>1</v>
      </c>
      <c r="G301" s="126">
        <v>71</v>
      </c>
      <c r="O301" s="126" t="s">
        <v>549</v>
      </c>
      <c r="P301" s="126" t="s">
        <v>1738</v>
      </c>
      <c r="Q301" s="126">
        <v>1</v>
      </c>
      <c r="S301" s="162">
        <v>46197</v>
      </c>
      <c r="T301" s="126">
        <v>54</v>
      </c>
      <c r="U301" s="206">
        <v>-1</v>
      </c>
      <c r="V301" s="206">
        <v>-1</v>
      </c>
      <c r="W301" s="206">
        <v>2.12</v>
      </c>
      <c r="X301" s="206">
        <v>0</v>
      </c>
      <c r="Y301" s="206">
        <v>0</v>
      </c>
      <c r="Z301" s="206">
        <v>0</v>
      </c>
      <c r="AA301" s="206">
        <v>2.12</v>
      </c>
      <c r="AB301" s="206">
        <v>0</v>
      </c>
      <c r="AC301" s="235">
        <v>46226.967905092592</v>
      </c>
      <c r="AE301" s="126">
        <v>0</v>
      </c>
      <c r="AF301" s="126">
        <v>0</v>
      </c>
      <c r="AG301" s="126">
        <v>1</v>
      </c>
      <c r="AH301" s="126">
        <v>0</v>
      </c>
      <c r="AI301" s="126">
        <v>1</v>
      </c>
    </row>
    <row r="302" spans="3:35">
      <c r="C302" s="126">
        <v>295</v>
      </c>
      <c r="D302" s="126">
        <v>1</v>
      </c>
      <c r="E302" s="126">
        <v>1</v>
      </c>
      <c r="G302" s="126">
        <v>71</v>
      </c>
      <c r="O302" s="126" t="s">
        <v>549</v>
      </c>
      <c r="P302" s="126" t="s">
        <v>1738</v>
      </c>
      <c r="Q302" s="126">
        <v>1</v>
      </c>
      <c r="S302" s="162">
        <v>46197</v>
      </c>
      <c r="T302" s="126">
        <v>32</v>
      </c>
      <c r="U302" s="206">
        <v>-1</v>
      </c>
      <c r="V302" s="206">
        <v>-1</v>
      </c>
      <c r="W302" s="206">
        <v>1.04</v>
      </c>
      <c r="X302" s="206">
        <v>0</v>
      </c>
      <c r="Y302" s="206">
        <v>0</v>
      </c>
      <c r="Z302" s="206">
        <v>0</v>
      </c>
      <c r="AA302" s="206">
        <v>1.04</v>
      </c>
      <c r="AB302" s="206">
        <v>0</v>
      </c>
      <c r="AC302" s="235">
        <v>46226.967905092592</v>
      </c>
      <c r="AE302" s="126">
        <v>0</v>
      </c>
      <c r="AF302" s="126">
        <v>0</v>
      </c>
      <c r="AG302" s="126">
        <v>1</v>
      </c>
      <c r="AH302" s="126">
        <v>0</v>
      </c>
      <c r="AI302" s="126">
        <v>1</v>
      </c>
    </row>
    <row r="303" spans="3:35">
      <c r="C303" s="126">
        <v>296</v>
      </c>
      <c r="D303" s="126">
        <v>1</v>
      </c>
      <c r="E303" s="126">
        <v>1</v>
      </c>
      <c r="G303" s="126">
        <v>71</v>
      </c>
      <c r="O303" s="126" t="s">
        <v>549</v>
      </c>
      <c r="P303" s="126" t="s">
        <v>1738</v>
      </c>
      <c r="Q303" s="126">
        <v>1</v>
      </c>
      <c r="S303" s="162">
        <v>46197</v>
      </c>
      <c r="T303" s="126">
        <v>162</v>
      </c>
      <c r="U303" s="206">
        <v>-1</v>
      </c>
      <c r="V303" s="206">
        <v>-1</v>
      </c>
      <c r="W303" s="206">
        <v>53</v>
      </c>
      <c r="X303" s="206">
        <v>0</v>
      </c>
      <c r="Y303" s="206">
        <v>0</v>
      </c>
      <c r="Z303" s="206">
        <v>0</v>
      </c>
      <c r="AA303" s="206">
        <v>53</v>
      </c>
      <c r="AB303" s="206">
        <v>0</v>
      </c>
      <c r="AC303" s="235">
        <v>46226.967905092592</v>
      </c>
      <c r="AE303" s="126">
        <v>0</v>
      </c>
      <c r="AF303" s="126">
        <v>0</v>
      </c>
      <c r="AG303" s="126">
        <v>1</v>
      </c>
      <c r="AH303" s="126">
        <v>0</v>
      </c>
      <c r="AI303" s="126">
        <v>1</v>
      </c>
    </row>
    <row r="304" spans="3:35">
      <c r="C304" s="126">
        <v>297</v>
      </c>
      <c r="D304" s="126">
        <v>1</v>
      </c>
      <c r="E304" s="126">
        <v>1</v>
      </c>
      <c r="G304" s="126">
        <v>72</v>
      </c>
      <c r="O304" s="126" t="s">
        <v>549</v>
      </c>
      <c r="P304" s="126" t="s">
        <v>1756</v>
      </c>
      <c r="Q304" s="126">
        <v>1</v>
      </c>
      <c r="S304" s="162">
        <v>46197</v>
      </c>
      <c r="T304" s="126">
        <v>179</v>
      </c>
      <c r="U304" s="206">
        <v>-250</v>
      </c>
      <c r="V304" s="206">
        <v>-0.25</v>
      </c>
      <c r="W304" s="206">
        <v>4.75</v>
      </c>
      <c r="X304" s="206">
        <v>0</v>
      </c>
      <c r="Y304" s="206">
        <v>0</v>
      </c>
      <c r="Z304" s="206">
        <v>0</v>
      </c>
      <c r="AA304" s="206">
        <v>4.75</v>
      </c>
      <c r="AB304" s="206">
        <v>0</v>
      </c>
      <c r="AC304" s="235">
        <v>46226.975428240738</v>
      </c>
      <c r="AE304" s="126">
        <v>0</v>
      </c>
      <c r="AF304" s="126">
        <v>0</v>
      </c>
      <c r="AG304" s="126">
        <v>1</v>
      </c>
      <c r="AH304" s="126">
        <v>0</v>
      </c>
      <c r="AI304" s="126">
        <v>1</v>
      </c>
    </row>
    <row r="305" spans="3:35">
      <c r="C305" s="126">
        <v>298</v>
      </c>
      <c r="D305" s="126">
        <v>1</v>
      </c>
      <c r="E305" s="126">
        <v>1</v>
      </c>
      <c r="G305" s="126">
        <v>72</v>
      </c>
      <c r="O305" s="126" t="s">
        <v>549</v>
      </c>
      <c r="P305" s="126" t="s">
        <v>1756</v>
      </c>
      <c r="Q305" s="126">
        <v>1</v>
      </c>
      <c r="S305" s="162">
        <v>46197</v>
      </c>
      <c r="T305" s="126">
        <v>54</v>
      </c>
      <c r="U305" s="206">
        <v>-7</v>
      </c>
      <c r="V305" s="206">
        <v>-7</v>
      </c>
      <c r="W305" s="206">
        <v>2.12</v>
      </c>
      <c r="X305" s="206">
        <v>0</v>
      </c>
      <c r="Y305" s="206">
        <v>0</v>
      </c>
      <c r="Z305" s="206">
        <v>0</v>
      </c>
      <c r="AA305" s="206">
        <v>2.12</v>
      </c>
      <c r="AB305" s="206">
        <v>0</v>
      </c>
      <c r="AC305" s="235">
        <v>46226.975428240738</v>
      </c>
      <c r="AE305" s="126">
        <v>0</v>
      </c>
      <c r="AF305" s="126">
        <v>0</v>
      </c>
      <c r="AG305" s="126">
        <v>1</v>
      </c>
      <c r="AH305" s="126">
        <v>0</v>
      </c>
      <c r="AI305" s="126">
        <v>1</v>
      </c>
    </row>
    <row r="306" spans="3:35">
      <c r="C306" s="126">
        <v>299</v>
      </c>
      <c r="D306" s="126">
        <v>1</v>
      </c>
      <c r="E306" s="126">
        <v>1</v>
      </c>
      <c r="G306" s="126">
        <v>72</v>
      </c>
      <c r="O306" s="126" t="s">
        <v>549</v>
      </c>
      <c r="P306" s="126" t="s">
        <v>1756</v>
      </c>
      <c r="Q306" s="126">
        <v>1</v>
      </c>
      <c r="S306" s="162">
        <v>46197</v>
      </c>
      <c r="T306" s="126">
        <v>16</v>
      </c>
      <c r="U306" s="206">
        <v>-7</v>
      </c>
      <c r="V306" s="206">
        <v>-7</v>
      </c>
      <c r="W306" s="206">
        <v>2.1</v>
      </c>
      <c r="X306" s="206">
        <v>0</v>
      </c>
      <c r="Y306" s="206">
        <v>0</v>
      </c>
      <c r="Z306" s="206">
        <v>0</v>
      </c>
      <c r="AA306" s="206">
        <v>2.1</v>
      </c>
      <c r="AB306" s="206">
        <v>0</v>
      </c>
      <c r="AC306" s="235">
        <v>46226.975428240738</v>
      </c>
      <c r="AE306" s="126">
        <v>0</v>
      </c>
      <c r="AF306" s="126">
        <v>0</v>
      </c>
      <c r="AG306" s="126">
        <v>1</v>
      </c>
      <c r="AH306" s="126">
        <v>0</v>
      </c>
      <c r="AI306" s="126">
        <v>1</v>
      </c>
    </row>
    <row r="307" spans="3:35">
      <c r="C307" s="126">
        <v>300</v>
      </c>
      <c r="D307" s="126">
        <v>1</v>
      </c>
      <c r="E307" s="126">
        <v>1</v>
      </c>
      <c r="G307" s="126">
        <v>72</v>
      </c>
      <c r="O307" s="126" t="s">
        <v>549</v>
      </c>
      <c r="P307" s="126" t="s">
        <v>1756</v>
      </c>
      <c r="Q307" s="126">
        <v>1</v>
      </c>
      <c r="S307" s="162">
        <v>46197</v>
      </c>
      <c r="T307" s="126">
        <v>182</v>
      </c>
      <c r="U307" s="206">
        <v>-84</v>
      </c>
      <c r="V307" s="206">
        <v>-7</v>
      </c>
      <c r="W307" s="206">
        <v>2</v>
      </c>
      <c r="X307" s="206">
        <v>0</v>
      </c>
      <c r="Y307" s="206">
        <v>0</v>
      </c>
      <c r="Z307" s="206">
        <v>0</v>
      </c>
      <c r="AA307" s="206">
        <v>2</v>
      </c>
      <c r="AB307" s="206">
        <v>0</v>
      </c>
      <c r="AC307" s="235">
        <v>46226.975428240738</v>
      </c>
      <c r="AE307" s="126">
        <v>0</v>
      </c>
      <c r="AF307" s="126">
        <v>0</v>
      </c>
      <c r="AG307" s="126">
        <v>1</v>
      </c>
      <c r="AH307" s="126">
        <v>0</v>
      </c>
      <c r="AI307" s="126">
        <v>1</v>
      </c>
    </row>
    <row r="308" spans="3:35">
      <c r="C308" s="126">
        <v>301</v>
      </c>
      <c r="D308" s="126">
        <v>1</v>
      </c>
      <c r="E308" s="126">
        <v>1</v>
      </c>
      <c r="G308" s="126">
        <v>73</v>
      </c>
      <c r="O308" s="126" t="s">
        <v>549</v>
      </c>
      <c r="P308" s="126" t="s">
        <v>1771</v>
      </c>
      <c r="Q308" s="126">
        <v>1</v>
      </c>
      <c r="S308" s="162">
        <v>46198</v>
      </c>
      <c r="T308" s="126">
        <v>177</v>
      </c>
      <c r="U308" s="206">
        <v>-300</v>
      </c>
      <c r="V308" s="206">
        <v>-0.3</v>
      </c>
      <c r="W308" s="206">
        <v>4.1500000000000004</v>
      </c>
      <c r="X308" s="206">
        <v>0</v>
      </c>
      <c r="Y308" s="206">
        <v>0</v>
      </c>
      <c r="Z308" s="206">
        <v>0</v>
      </c>
      <c r="AA308" s="206">
        <v>4.1500000000000004</v>
      </c>
      <c r="AB308" s="206">
        <v>0</v>
      </c>
      <c r="AC308" s="235">
        <v>46226.983715277776</v>
      </c>
      <c r="AE308" s="126">
        <v>0</v>
      </c>
      <c r="AF308" s="126">
        <v>0</v>
      </c>
      <c r="AG308" s="126">
        <v>1</v>
      </c>
      <c r="AH308" s="126">
        <v>0</v>
      </c>
      <c r="AI308" s="126">
        <v>1</v>
      </c>
    </row>
    <row r="309" spans="3:35">
      <c r="C309" s="126">
        <v>302</v>
      </c>
      <c r="D309" s="126">
        <v>1</v>
      </c>
      <c r="E309" s="126">
        <v>1</v>
      </c>
      <c r="G309" s="126">
        <v>73</v>
      </c>
      <c r="O309" s="126" t="s">
        <v>549</v>
      </c>
      <c r="P309" s="126" t="s">
        <v>1771</v>
      </c>
      <c r="Q309" s="126">
        <v>1</v>
      </c>
      <c r="S309" s="162">
        <v>46198</v>
      </c>
      <c r="T309" s="126">
        <v>189</v>
      </c>
      <c r="U309" s="206">
        <v>-8</v>
      </c>
      <c r="V309" s="206">
        <v>-2</v>
      </c>
      <c r="W309" s="206">
        <v>4.09</v>
      </c>
      <c r="X309" s="206">
        <v>0</v>
      </c>
      <c r="Y309" s="206">
        <v>0</v>
      </c>
      <c r="Z309" s="206">
        <v>0</v>
      </c>
      <c r="AA309" s="206">
        <v>4.09</v>
      </c>
      <c r="AB309" s="206">
        <v>0</v>
      </c>
      <c r="AC309" s="235">
        <v>46226.983715277776</v>
      </c>
      <c r="AE309" s="126">
        <v>0</v>
      </c>
      <c r="AF309" s="126">
        <v>0</v>
      </c>
      <c r="AG309" s="126">
        <v>1</v>
      </c>
      <c r="AH309" s="126">
        <v>0</v>
      </c>
      <c r="AI309" s="126">
        <v>1</v>
      </c>
    </row>
    <row r="310" spans="3:35">
      <c r="C310" s="126">
        <v>303</v>
      </c>
      <c r="D310" s="126">
        <v>1</v>
      </c>
      <c r="E310" s="126">
        <v>1</v>
      </c>
      <c r="G310" s="126">
        <v>73</v>
      </c>
      <c r="O310" s="126" t="s">
        <v>549</v>
      </c>
      <c r="P310" s="126" t="s">
        <v>1771</v>
      </c>
      <c r="Q310" s="126">
        <v>1</v>
      </c>
      <c r="S310" s="162">
        <v>46198</v>
      </c>
      <c r="T310" s="126">
        <v>51</v>
      </c>
      <c r="U310" s="206">
        <v>-5</v>
      </c>
      <c r="V310" s="206">
        <v>-5</v>
      </c>
      <c r="W310" s="206">
        <v>4.49</v>
      </c>
      <c r="X310" s="206">
        <v>0</v>
      </c>
      <c r="Y310" s="206">
        <v>0</v>
      </c>
      <c r="Z310" s="206">
        <v>0</v>
      </c>
      <c r="AA310" s="206">
        <v>4.49</v>
      </c>
      <c r="AB310" s="206">
        <v>0</v>
      </c>
      <c r="AC310" s="235">
        <v>46226.983715277776</v>
      </c>
      <c r="AE310" s="126">
        <v>0</v>
      </c>
      <c r="AF310" s="126">
        <v>0</v>
      </c>
      <c r="AG310" s="126">
        <v>1</v>
      </c>
      <c r="AH310" s="126">
        <v>0</v>
      </c>
      <c r="AI310" s="126">
        <v>1</v>
      </c>
    </row>
    <row r="311" spans="3:35">
      <c r="C311" s="126">
        <v>304</v>
      </c>
      <c r="D311" s="126">
        <v>1</v>
      </c>
      <c r="E311" s="126">
        <v>1</v>
      </c>
      <c r="G311" s="126">
        <v>74</v>
      </c>
      <c r="O311" s="126" t="s">
        <v>549</v>
      </c>
      <c r="P311" s="126" t="s">
        <v>1782</v>
      </c>
      <c r="Q311" s="126">
        <v>1</v>
      </c>
      <c r="S311" s="162">
        <v>46198</v>
      </c>
      <c r="T311" s="126">
        <v>195</v>
      </c>
      <c r="U311" s="206">
        <v>-12</v>
      </c>
      <c r="V311" s="206">
        <v>-3</v>
      </c>
      <c r="W311" s="206">
        <v>6.28</v>
      </c>
      <c r="X311" s="206">
        <v>0</v>
      </c>
      <c r="Y311" s="206">
        <v>0</v>
      </c>
      <c r="Z311" s="206">
        <v>0</v>
      </c>
      <c r="AA311" s="206">
        <v>6.28</v>
      </c>
      <c r="AB311" s="206">
        <v>0</v>
      </c>
      <c r="AC311" s="235">
        <v>46227.027627314812</v>
      </c>
      <c r="AE311" s="126">
        <v>0</v>
      </c>
      <c r="AF311" s="126">
        <v>0</v>
      </c>
      <c r="AG311" s="126">
        <v>1</v>
      </c>
      <c r="AH311" s="126">
        <v>0</v>
      </c>
      <c r="AI311" s="126">
        <v>1</v>
      </c>
    </row>
    <row r="312" spans="3:35">
      <c r="C312" s="126">
        <v>305</v>
      </c>
      <c r="D312" s="126">
        <v>1</v>
      </c>
      <c r="E312" s="126">
        <v>1</v>
      </c>
      <c r="G312" s="126">
        <v>74</v>
      </c>
      <c r="O312" s="126" t="s">
        <v>549</v>
      </c>
      <c r="P312" s="126" t="s">
        <v>1782</v>
      </c>
      <c r="Q312" s="126">
        <v>1</v>
      </c>
      <c r="S312" s="162">
        <v>46198</v>
      </c>
      <c r="T312" s="126">
        <v>187</v>
      </c>
      <c r="U312" s="206">
        <v>-24</v>
      </c>
      <c r="V312" s="206">
        <v>-6</v>
      </c>
      <c r="W312" s="206">
        <v>3.37</v>
      </c>
      <c r="X312" s="206">
        <v>0</v>
      </c>
      <c r="Y312" s="206">
        <v>0</v>
      </c>
      <c r="Z312" s="206">
        <v>0</v>
      </c>
      <c r="AA312" s="206">
        <v>3.37</v>
      </c>
      <c r="AB312" s="206">
        <v>0</v>
      </c>
      <c r="AC312" s="235">
        <v>46227.027627314812</v>
      </c>
      <c r="AE312" s="126">
        <v>0</v>
      </c>
      <c r="AF312" s="126">
        <v>0</v>
      </c>
      <c r="AG312" s="126">
        <v>1</v>
      </c>
      <c r="AH312" s="126">
        <v>0</v>
      </c>
      <c r="AI312" s="126">
        <v>1</v>
      </c>
    </row>
    <row r="313" spans="3:35">
      <c r="C313" s="126">
        <v>306</v>
      </c>
      <c r="D313" s="126">
        <v>1</v>
      </c>
      <c r="E313" s="126">
        <v>1</v>
      </c>
      <c r="G313" s="126">
        <v>74</v>
      </c>
      <c r="O313" s="126" t="s">
        <v>549</v>
      </c>
      <c r="P313" s="126" t="s">
        <v>1782</v>
      </c>
      <c r="Q313" s="126">
        <v>1</v>
      </c>
      <c r="S313" s="162">
        <v>46198</v>
      </c>
      <c r="T313" s="126">
        <v>153</v>
      </c>
      <c r="U313" s="206">
        <v>-4</v>
      </c>
      <c r="V313" s="206">
        <v>-0.33333333333333331</v>
      </c>
      <c r="W313" s="206">
        <v>3.3</v>
      </c>
      <c r="X313" s="206">
        <v>0</v>
      </c>
      <c r="Y313" s="206">
        <v>0</v>
      </c>
      <c r="Z313" s="206">
        <v>0</v>
      </c>
      <c r="AA313" s="206">
        <v>3.3</v>
      </c>
      <c r="AB313" s="206">
        <v>0</v>
      </c>
      <c r="AC313" s="235">
        <v>46227.027627314812</v>
      </c>
      <c r="AE313" s="126">
        <v>0</v>
      </c>
      <c r="AF313" s="126">
        <v>0</v>
      </c>
      <c r="AG313" s="126">
        <v>1</v>
      </c>
      <c r="AH313" s="126">
        <v>0</v>
      </c>
      <c r="AI313" s="126">
        <v>1</v>
      </c>
    </row>
    <row r="314" spans="3:35">
      <c r="C314" s="126">
        <v>307</v>
      </c>
      <c r="D314" s="126">
        <v>1</v>
      </c>
      <c r="E314" s="126">
        <v>1</v>
      </c>
      <c r="G314" s="126">
        <v>74</v>
      </c>
      <c r="O314" s="126" t="s">
        <v>549</v>
      </c>
      <c r="P314" s="126" t="s">
        <v>1782</v>
      </c>
      <c r="Q314" s="126">
        <v>1</v>
      </c>
      <c r="S314" s="162">
        <v>46198</v>
      </c>
      <c r="T314" s="126">
        <v>182</v>
      </c>
      <c r="U314" s="206">
        <v>-24</v>
      </c>
      <c r="V314" s="206">
        <v>-2</v>
      </c>
      <c r="W314" s="206">
        <v>2</v>
      </c>
      <c r="X314" s="206">
        <v>0</v>
      </c>
      <c r="Y314" s="206">
        <v>0</v>
      </c>
      <c r="Z314" s="206">
        <v>0</v>
      </c>
      <c r="AA314" s="206">
        <v>2</v>
      </c>
      <c r="AB314" s="206">
        <v>0</v>
      </c>
      <c r="AC314" s="235">
        <v>46227.027627314812</v>
      </c>
      <c r="AE314" s="126">
        <v>0</v>
      </c>
      <c r="AF314" s="126">
        <v>0</v>
      </c>
      <c r="AG314" s="126">
        <v>1</v>
      </c>
      <c r="AH314" s="126">
        <v>0</v>
      </c>
      <c r="AI314" s="126">
        <v>1</v>
      </c>
    </row>
    <row r="315" spans="3:35">
      <c r="C315" s="126">
        <v>308</v>
      </c>
      <c r="D315" s="126">
        <v>1</v>
      </c>
      <c r="E315" s="126">
        <v>1</v>
      </c>
      <c r="G315" s="126">
        <v>74</v>
      </c>
      <c r="O315" s="126" t="s">
        <v>549</v>
      </c>
      <c r="P315" s="126" t="s">
        <v>1782</v>
      </c>
      <c r="Q315" s="126">
        <v>1</v>
      </c>
      <c r="S315" s="162">
        <v>46198</v>
      </c>
      <c r="T315" s="126">
        <v>49</v>
      </c>
      <c r="U315" s="206">
        <v>-1</v>
      </c>
      <c r="V315" s="206">
        <v>-1</v>
      </c>
      <c r="W315" s="206">
        <v>0.28000000000000003</v>
      </c>
      <c r="X315" s="206">
        <v>0</v>
      </c>
      <c r="Y315" s="206">
        <v>0</v>
      </c>
      <c r="Z315" s="206">
        <v>0</v>
      </c>
      <c r="AA315" s="206">
        <v>0.28000000000000003</v>
      </c>
      <c r="AB315" s="206">
        <v>0</v>
      </c>
      <c r="AC315" s="235">
        <v>46227.027627314812</v>
      </c>
      <c r="AE315" s="126">
        <v>0</v>
      </c>
      <c r="AF315" s="126">
        <v>0</v>
      </c>
      <c r="AG315" s="126">
        <v>1</v>
      </c>
      <c r="AH315" s="126">
        <v>0</v>
      </c>
      <c r="AI315" s="126">
        <v>1</v>
      </c>
    </row>
    <row r="316" spans="3:35">
      <c r="C316" s="126">
        <v>309</v>
      </c>
      <c r="D316" s="126">
        <v>1</v>
      </c>
      <c r="E316" s="126">
        <v>1</v>
      </c>
      <c r="G316" s="126">
        <v>75</v>
      </c>
      <c r="O316" s="126" t="s">
        <v>549</v>
      </c>
      <c r="P316" s="126" t="s">
        <v>1799</v>
      </c>
      <c r="Q316" s="126">
        <v>1</v>
      </c>
      <c r="S316" s="162">
        <v>46198</v>
      </c>
      <c r="T316" s="126">
        <v>48</v>
      </c>
      <c r="U316" s="206">
        <v>-4</v>
      </c>
      <c r="V316" s="206">
        <v>-4</v>
      </c>
      <c r="W316" s="206">
        <v>0.12</v>
      </c>
      <c r="X316" s="206">
        <v>0</v>
      </c>
      <c r="Y316" s="206">
        <v>0</v>
      </c>
      <c r="Z316" s="206">
        <v>0</v>
      </c>
      <c r="AA316" s="206">
        <v>0.12</v>
      </c>
      <c r="AB316" s="206">
        <v>0</v>
      </c>
      <c r="AC316" s="235">
        <v>46227.038923611108</v>
      </c>
      <c r="AE316" s="126">
        <v>0</v>
      </c>
      <c r="AF316" s="126">
        <v>0</v>
      </c>
      <c r="AG316" s="126">
        <v>1</v>
      </c>
      <c r="AH316" s="126">
        <v>0</v>
      </c>
      <c r="AI316" s="126">
        <v>1</v>
      </c>
    </row>
    <row r="317" spans="3:35">
      <c r="C317" s="126">
        <v>310</v>
      </c>
      <c r="D317" s="126">
        <v>1</v>
      </c>
      <c r="E317" s="126">
        <v>1</v>
      </c>
      <c r="G317" s="126">
        <v>75</v>
      </c>
      <c r="O317" s="126" t="s">
        <v>549</v>
      </c>
      <c r="P317" s="126" t="s">
        <v>1799</v>
      </c>
      <c r="Q317" s="126">
        <v>1</v>
      </c>
      <c r="S317" s="162">
        <v>46198</v>
      </c>
      <c r="T317" s="126">
        <v>46</v>
      </c>
      <c r="U317" s="206">
        <v>-6</v>
      </c>
      <c r="V317" s="206">
        <v>-6</v>
      </c>
      <c r="W317" s="206">
        <v>0.15</v>
      </c>
      <c r="X317" s="206">
        <v>0</v>
      </c>
      <c r="Y317" s="206">
        <v>0</v>
      </c>
      <c r="Z317" s="206">
        <v>0</v>
      </c>
      <c r="AA317" s="206">
        <v>0.15</v>
      </c>
      <c r="AB317" s="206">
        <v>0</v>
      </c>
      <c r="AC317" s="235">
        <v>46227.038923611108</v>
      </c>
      <c r="AE317" s="126">
        <v>0</v>
      </c>
      <c r="AF317" s="126">
        <v>0</v>
      </c>
      <c r="AG317" s="126">
        <v>1</v>
      </c>
      <c r="AH317" s="126">
        <v>0</v>
      </c>
      <c r="AI317" s="126">
        <v>1</v>
      </c>
    </row>
    <row r="318" spans="3:35">
      <c r="C318" s="126">
        <v>311</v>
      </c>
      <c r="D318" s="126">
        <v>1</v>
      </c>
      <c r="E318" s="126">
        <v>1</v>
      </c>
      <c r="G318" s="126">
        <v>75</v>
      </c>
      <c r="O318" s="126" t="s">
        <v>549</v>
      </c>
      <c r="P318" s="126" t="s">
        <v>1799</v>
      </c>
      <c r="Q318" s="126">
        <v>1</v>
      </c>
      <c r="S318" s="162">
        <v>46198</v>
      </c>
      <c r="T318" s="126">
        <v>42</v>
      </c>
      <c r="U318" s="206">
        <v>-6</v>
      </c>
      <c r="V318" s="206">
        <v>-6</v>
      </c>
      <c r="W318" s="206">
        <v>0.24</v>
      </c>
      <c r="X318" s="206">
        <v>0</v>
      </c>
      <c r="Y318" s="206">
        <v>0</v>
      </c>
      <c r="Z318" s="206">
        <v>0</v>
      </c>
      <c r="AA318" s="206">
        <v>0.24</v>
      </c>
      <c r="AB318" s="206">
        <v>0</v>
      </c>
      <c r="AC318" s="235">
        <v>46227.038923611108</v>
      </c>
      <c r="AE318" s="126">
        <v>0</v>
      </c>
      <c r="AF318" s="126">
        <v>0</v>
      </c>
      <c r="AG318" s="126">
        <v>1</v>
      </c>
      <c r="AH318" s="126">
        <v>0</v>
      </c>
      <c r="AI318" s="126">
        <v>1</v>
      </c>
    </row>
    <row r="319" spans="3:35">
      <c r="C319" s="126">
        <v>312</v>
      </c>
      <c r="D319" s="126">
        <v>1</v>
      </c>
      <c r="E319" s="126">
        <v>1</v>
      </c>
      <c r="G319" s="126">
        <v>75</v>
      </c>
      <c r="O319" s="126" t="s">
        <v>549</v>
      </c>
      <c r="P319" s="126" t="s">
        <v>1799</v>
      </c>
      <c r="Q319" s="126">
        <v>1</v>
      </c>
      <c r="S319" s="162">
        <v>46198</v>
      </c>
      <c r="T319" s="126">
        <v>50</v>
      </c>
      <c r="U319" s="206">
        <v>-6</v>
      </c>
      <c r="V319" s="206">
        <v>-6</v>
      </c>
      <c r="W319" s="206">
        <v>0.12</v>
      </c>
      <c r="X319" s="206">
        <v>0</v>
      </c>
      <c r="Y319" s="206">
        <v>0</v>
      </c>
      <c r="Z319" s="206">
        <v>0</v>
      </c>
      <c r="AA319" s="206">
        <v>0.12</v>
      </c>
      <c r="AB319" s="206">
        <v>0</v>
      </c>
      <c r="AC319" s="235">
        <v>46227.038923611108</v>
      </c>
      <c r="AE319" s="126">
        <v>0</v>
      </c>
      <c r="AF319" s="126">
        <v>0</v>
      </c>
      <c r="AG319" s="126">
        <v>1</v>
      </c>
      <c r="AH319" s="126">
        <v>0</v>
      </c>
      <c r="AI319" s="126">
        <v>1</v>
      </c>
    </row>
    <row r="320" spans="3:35">
      <c r="C320" s="126">
        <v>313</v>
      </c>
      <c r="D320" s="126">
        <v>1</v>
      </c>
      <c r="E320" s="126">
        <v>1</v>
      </c>
      <c r="G320" s="126">
        <v>75</v>
      </c>
      <c r="O320" s="126" t="s">
        <v>549</v>
      </c>
      <c r="P320" s="126" t="s">
        <v>1799</v>
      </c>
      <c r="Q320" s="126">
        <v>1</v>
      </c>
      <c r="S320" s="162">
        <v>46198</v>
      </c>
      <c r="T320" s="126">
        <v>9</v>
      </c>
      <c r="U320" s="206">
        <v>-7</v>
      </c>
      <c r="V320" s="206">
        <v>-7</v>
      </c>
      <c r="W320" s="206">
        <v>1.1499999999999999</v>
      </c>
      <c r="X320" s="206">
        <v>0</v>
      </c>
      <c r="Y320" s="206">
        <v>0</v>
      </c>
      <c r="Z320" s="206">
        <v>0</v>
      </c>
      <c r="AA320" s="206">
        <v>1.1499999999999999</v>
      </c>
      <c r="AB320" s="206">
        <v>0</v>
      </c>
      <c r="AC320" s="235">
        <v>46227.038923611108</v>
      </c>
      <c r="AE320" s="126">
        <v>0</v>
      </c>
      <c r="AF320" s="126">
        <v>0</v>
      </c>
      <c r="AG320" s="126">
        <v>1</v>
      </c>
      <c r="AH320" s="126">
        <v>0</v>
      </c>
      <c r="AI320" s="126">
        <v>1</v>
      </c>
    </row>
    <row r="321" spans="3:35">
      <c r="C321" s="126">
        <v>314</v>
      </c>
      <c r="D321" s="126">
        <v>1</v>
      </c>
      <c r="E321" s="126">
        <v>1</v>
      </c>
      <c r="G321" s="126">
        <v>75</v>
      </c>
      <c r="O321" s="126" t="s">
        <v>549</v>
      </c>
      <c r="P321" s="126" t="s">
        <v>1799</v>
      </c>
      <c r="Q321" s="126">
        <v>1</v>
      </c>
      <c r="S321" s="162">
        <v>46198</v>
      </c>
      <c r="T321" s="126">
        <v>8</v>
      </c>
      <c r="U321" s="206">
        <v>-2</v>
      </c>
      <c r="V321" s="206">
        <v>-2</v>
      </c>
      <c r="W321" s="206">
        <v>1.32</v>
      </c>
      <c r="X321" s="206">
        <v>0</v>
      </c>
      <c r="Y321" s="206">
        <v>0</v>
      </c>
      <c r="Z321" s="206">
        <v>0</v>
      </c>
      <c r="AA321" s="206">
        <v>1.32</v>
      </c>
      <c r="AB321" s="206">
        <v>0</v>
      </c>
      <c r="AC321" s="235">
        <v>46227.038923611108</v>
      </c>
      <c r="AE321" s="126">
        <v>0</v>
      </c>
      <c r="AF321" s="126">
        <v>0</v>
      </c>
      <c r="AG321" s="126">
        <v>1</v>
      </c>
      <c r="AH321" s="126">
        <v>0</v>
      </c>
      <c r="AI321" s="126">
        <v>1</v>
      </c>
    </row>
    <row r="322" spans="3:35">
      <c r="C322" s="126">
        <v>315</v>
      </c>
      <c r="D322" s="126">
        <v>1</v>
      </c>
      <c r="E322" s="126">
        <v>1</v>
      </c>
      <c r="G322" s="126">
        <v>75</v>
      </c>
      <c r="O322" s="126" t="s">
        <v>549</v>
      </c>
      <c r="P322" s="126" t="s">
        <v>1799</v>
      </c>
      <c r="Q322" s="126">
        <v>1</v>
      </c>
      <c r="S322" s="162">
        <v>46198</v>
      </c>
      <c r="T322" s="126">
        <v>75</v>
      </c>
      <c r="U322" s="206">
        <v>-1</v>
      </c>
      <c r="V322" s="206">
        <v>-1</v>
      </c>
      <c r="W322" s="206">
        <v>0.13</v>
      </c>
      <c r="X322" s="206">
        <v>0</v>
      </c>
      <c r="Y322" s="206">
        <v>0</v>
      </c>
      <c r="Z322" s="206">
        <v>0</v>
      </c>
      <c r="AA322" s="206">
        <v>0.13</v>
      </c>
      <c r="AB322" s="206">
        <v>0</v>
      </c>
      <c r="AC322" s="235">
        <v>46227.038923611108</v>
      </c>
      <c r="AE322" s="126">
        <v>0</v>
      </c>
      <c r="AF322" s="126">
        <v>0</v>
      </c>
      <c r="AG322" s="126">
        <v>1</v>
      </c>
      <c r="AH322" s="126">
        <v>0</v>
      </c>
      <c r="AI322" s="126">
        <v>1</v>
      </c>
    </row>
    <row r="323" spans="3:35">
      <c r="C323" s="126">
        <v>316</v>
      </c>
      <c r="D323" s="126">
        <v>1</v>
      </c>
      <c r="E323" s="126">
        <v>1</v>
      </c>
      <c r="G323" s="126">
        <v>75</v>
      </c>
      <c r="O323" s="126" t="s">
        <v>549</v>
      </c>
      <c r="P323" s="126" t="s">
        <v>1799</v>
      </c>
      <c r="Q323" s="126">
        <v>1</v>
      </c>
      <c r="S323" s="162">
        <v>46198</v>
      </c>
      <c r="T323" s="126">
        <v>56</v>
      </c>
      <c r="U323" s="206">
        <v>-1</v>
      </c>
      <c r="V323" s="206">
        <v>-1</v>
      </c>
      <c r="W323" s="206">
        <v>0.55000000000000004</v>
      </c>
      <c r="X323" s="206">
        <v>0</v>
      </c>
      <c r="Y323" s="206">
        <v>0</v>
      </c>
      <c r="Z323" s="206">
        <v>0</v>
      </c>
      <c r="AA323" s="206">
        <v>0.55000000000000004</v>
      </c>
      <c r="AB323" s="206">
        <v>0</v>
      </c>
      <c r="AC323" s="235">
        <v>46227.038923611108</v>
      </c>
      <c r="AE323" s="126">
        <v>0</v>
      </c>
      <c r="AF323" s="126">
        <v>0</v>
      </c>
      <c r="AG323" s="126">
        <v>1</v>
      </c>
      <c r="AH323" s="126">
        <v>0</v>
      </c>
      <c r="AI323" s="126">
        <v>1</v>
      </c>
    </row>
    <row r="324" spans="3:35">
      <c r="C324" s="126">
        <v>317</v>
      </c>
      <c r="D324" s="126">
        <v>1</v>
      </c>
      <c r="E324" s="126">
        <v>1</v>
      </c>
      <c r="G324" s="126">
        <v>76</v>
      </c>
      <c r="O324" s="126" t="s">
        <v>549</v>
      </c>
      <c r="P324" s="126" t="s">
        <v>1827</v>
      </c>
      <c r="Q324" s="126">
        <v>1</v>
      </c>
      <c r="S324" s="162">
        <v>46198</v>
      </c>
      <c r="T324" s="126">
        <v>46</v>
      </c>
      <c r="U324" s="206">
        <v>-2</v>
      </c>
      <c r="V324" s="206">
        <v>-2</v>
      </c>
      <c r="W324" s="206">
        <v>0.15</v>
      </c>
      <c r="X324" s="206">
        <v>0</v>
      </c>
      <c r="Y324" s="206">
        <v>0</v>
      </c>
      <c r="Z324" s="206">
        <v>0</v>
      </c>
      <c r="AA324" s="206">
        <v>0.15</v>
      </c>
      <c r="AB324" s="206">
        <v>0</v>
      </c>
      <c r="AC324" s="235">
        <v>46227.066759259258</v>
      </c>
      <c r="AE324" s="126">
        <v>0</v>
      </c>
      <c r="AF324" s="126">
        <v>0</v>
      </c>
      <c r="AG324" s="126">
        <v>1</v>
      </c>
      <c r="AH324" s="126">
        <v>0</v>
      </c>
      <c r="AI324" s="126">
        <v>1</v>
      </c>
    </row>
    <row r="325" spans="3:35">
      <c r="C325" s="126">
        <v>318</v>
      </c>
      <c r="D325" s="126">
        <v>1</v>
      </c>
      <c r="E325" s="126">
        <v>1</v>
      </c>
      <c r="G325" s="126">
        <v>76</v>
      </c>
      <c r="O325" s="126" t="s">
        <v>549</v>
      </c>
      <c r="P325" s="126" t="s">
        <v>1827</v>
      </c>
      <c r="Q325" s="126">
        <v>1</v>
      </c>
      <c r="S325" s="162">
        <v>46198</v>
      </c>
      <c r="T325" s="126">
        <v>41</v>
      </c>
      <c r="U325" s="206">
        <v>-2</v>
      </c>
      <c r="V325" s="206">
        <v>-2</v>
      </c>
      <c r="W325" s="206">
        <v>0.53</v>
      </c>
      <c r="X325" s="206">
        <v>0</v>
      </c>
      <c r="Y325" s="206">
        <v>0</v>
      </c>
      <c r="Z325" s="206">
        <v>0</v>
      </c>
      <c r="AA325" s="206">
        <v>0.53</v>
      </c>
      <c r="AB325" s="206">
        <v>0</v>
      </c>
      <c r="AC325" s="235">
        <v>46227.066759259258</v>
      </c>
      <c r="AE325" s="126">
        <v>0</v>
      </c>
      <c r="AF325" s="126">
        <v>0</v>
      </c>
      <c r="AG325" s="126">
        <v>1</v>
      </c>
      <c r="AH325" s="126">
        <v>0</v>
      </c>
      <c r="AI325" s="126">
        <v>1</v>
      </c>
    </row>
    <row r="326" spans="3:35">
      <c r="C326" s="126">
        <v>319</v>
      </c>
      <c r="D326" s="126">
        <v>1</v>
      </c>
      <c r="E326" s="126">
        <v>1</v>
      </c>
      <c r="G326" s="126">
        <v>76</v>
      </c>
      <c r="O326" s="126" t="s">
        <v>549</v>
      </c>
      <c r="P326" s="126" t="s">
        <v>1827</v>
      </c>
      <c r="Q326" s="126">
        <v>1</v>
      </c>
      <c r="S326" s="162">
        <v>46198</v>
      </c>
      <c r="T326" s="126">
        <v>68</v>
      </c>
      <c r="U326" s="206">
        <v>-2</v>
      </c>
      <c r="V326" s="206">
        <v>-2</v>
      </c>
      <c r="W326" s="206">
        <v>0.53</v>
      </c>
      <c r="X326" s="206">
        <v>0</v>
      </c>
      <c r="Y326" s="206">
        <v>0</v>
      </c>
      <c r="Z326" s="206">
        <v>0</v>
      </c>
      <c r="AA326" s="206">
        <v>0.53</v>
      </c>
      <c r="AB326" s="206">
        <v>0</v>
      </c>
      <c r="AC326" s="235">
        <v>46227.066759259258</v>
      </c>
      <c r="AE326" s="126">
        <v>0</v>
      </c>
      <c r="AF326" s="126">
        <v>0</v>
      </c>
      <c r="AG326" s="126">
        <v>1</v>
      </c>
      <c r="AH326" s="126">
        <v>0</v>
      </c>
      <c r="AI326" s="126">
        <v>1</v>
      </c>
    </row>
    <row r="327" spans="3:35">
      <c r="C327" s="126">
        <v>320</v>
      </c>
      <c r="D327" s="126">
        <v>1</v>
      </c>
      <c r="E327" s="126">
        <v>1</v>
      </c>
      <c r="G327" s="126">
        <v>76</v>
      </c>
      <c r="O327" s="126" t="s">
        <v>549</v>
      </c>
      <c r="P327" s="126" t="s">
        <v>1827</v>
      </c>
      <c r="Q327" s="126">
        <v>1</v>
      </c>
      <c r="S327" s="162">
        <v>46198</v>
      </c>
      <c r="T327" s="126">
        <v>177</v>
      </c>
      <c r="U327" s="206">
        <v>-250</v>
      </c>
      <c r="V327" s="206">
        <v>-0.25</v>
      </c>
      <c r="W327" s="206">
        <v>4.1500000000000004</v>
      </c>
      <c r="X327" s="206">
        <v>0</v>
      </c>
      <c r="Y327" s="206">
        <v>0</v>
      </c>
      <c r="Z327" s="206">
        <v>0</v>
      </c>
      <c r="AA327" s="206">
        <v>4.1500000000000004</v>
      </c>
      <c r="AB327" s="206">
        <v>0</v>
      </c>
      <c r="AC327" s="235">
        <v>46227.066759259258</v>
      </c>
      <c r="AE327" s="126">
        <v>0</v>
      </c>
      <c r="AF327" s="126">
        <v>0</v>
      </c>
      <c r="AG327" s="126">
        <v>1</v>
      </c>
      <c r="AH327" s="126">
        <v>0</v>
      </c>
      <c r="AI327" s="126">
        <v>1</v>
      </c>
    </row>
    <row r="328" spans="3:35">
      <c r="C328" s="126">
        <v>321</v>
      </c>
      <c r="D328" s="126">
        <v>1</v>
      </c>
      <c r="E328" s="126">
        <v>1</v>
      </c>
      <c r="G328" s="126">
        <v>76</v>
      </c>
      <c r="O328" s="126" t="s">
        <v>549</v>
      </c>
      <c r="P328" s="126" t="s">
        <v>1827</v>
      </c>
      <c r="Q328" s="126">
        <v>1</v>
      </c>
      <c r="S328" s="162">
        <v>46198</v>
      </c>
      <c r="T328" s="126">
        <v>108</v>
      </c>
      <c r="U328" s="206">
        <v>-1</v>
      </c>
      <c r="V328" s="206">
        <v>-1</v>
      </c>
      <c r="W328" s="206">
        <v>2.7</v>
      </c>
      <c r="X328" s="206">
        <v>0</v>
      </c>
      <c r="Y328" s="206">
        <v>0</v>
      </c>
      <c r="Z328" s="206">
        <v>0</v>
      </c>
      <c r="AA328" s="206">
        <v>2.7</v>
      </c>
      <c r="AB328" s="206">
        <v>0</v>
      </c>
      <c r="AC328" s="235">
        <v>46227.066759259258</v>
      </c>
      <c r="AE328" s="126">
        <v>0</v>
      </c>
      <c r="AF328" s="126">
        <v>0</v>
      </c>
      <c r="AG328" s="126">
        <v>1</v>
      </c>
      <c r="AH328" s="126">
        <v>0</v>
      </c>
      <c r="AI328" s="126">
        <v>1</v>
      </c>
    </row>
    <row r="329" spans="3:35">
      <c r="C329" s="126">
        <v>322</v>
      </c>
      <c r="D329" s="126">
        <v>1</v>
      </c>
      <c r="E329" s="126">
        <v>1</v>
      </c>
      <c r="G329" s="126">
        <v>76</v>
      </c>
      <c r="O329" s="126" t="s">
        <v>549</v>
      </c>
      <c r="P329" s="126" t="s">
        <v>1827</v>
      </c>
      <c r="Q329" s="126">
        <v>1</v>
      </c>
      <c r="S329" s="162">
        <v>46198</v>
      </c>
      <c r="T329" s="126">
        <v>14</v>
      </c>
      <c r="U329" s="206">
        <v>-1</v>
      </c>
      <c r="V329" s="206">
        <v>-1</v>
      </c>
      <c r="W329" s="206">
        <v>3.3</v>
      </c>
      <c r="X329" s="206">
        <v>0</v>
      </c>
      <c r="Y329" s="206">
        <v>0</v>
      </c>
      <c r="Z329" s="206">
        <v>0</v>
      </c>
      <c r="AA329" s="206">
        <v>3.3</v>
      </c>
      <c r="AB329" s="206">
        <v>0</v>
      </c>
      <c r="AC329" s="235">
        <v>46227.066759259258</v>
      </c>
      <c r="AE329" s="126">
        <v>0</v>
      </c>
      <c r="AF329" s="126">
        <v>0</v>
      </c>
      <c r="AG329" s="126">
        <v>1</v>
      </c>
      <c r="AH329" s="126">
        <v>0</v>
      </c>
      <c r="AI329" s="126">
        <v>1</v>
      </c>
    </row>
    <row r="330" spans="3:35">
      <c r="C330" s="126">
        <v>323</v>
      </c>
      <c r="D330" s="126">
        <v>1</v>
      </c>
      <c r="E330" s="126">
        <v>1</v>
      </c>
      <c r="G330" s="126">
        <v>76</v>
      </c>
      <c r="O330" s="126" t="s">
        <v>549</v>
      </c>
      <c r="P330" s="126" t="s">
        <v>1827</v>
      </c>
      <c r="Q330" s="126">
        <v>1</v>
      </c>
      <c r="S330" s="162">
        <v>46198</v>
      </c>
      <c r="T330" s="126">
        <v>56</v>
      </c>
      <c r="U330" s="206">
        <v>-2</v>
      </c>
      <c r="V330" s="206">
        <v>-2</v>
      </c>
      <c r="W330" s="206">
        <v>0.55000000000000004</v>
      </c>
      <c r="X330" s="206">
        <v>0</v>
      </c>
      <c r="Y330" s="206">
        <v>0</v>
      </c>
      <c r="Z330" s="206">
        <v>0</v>
      </c>
      <c r="AA330" s="206">
        <v>0.55000000000000004</v>
      </c>
      <c r="AB330" s="206">
        <v>0</v>
      </c>
      <c r="AC330" s="235">
        <v>46227.066759259258</v>
      </c>
      <c r="AE330" s="126">
        <v>0</v>
      </c>
      <c r="AF330" s="126">
        <v>0</v>
      </c>
      <c r="AG330" s="126">
        <v>1</v>
      </c>
      <c r="AH330" s="126">
        <v>0</v>
      </c>
      <c r="AI330" s="126">
        <v>1</v>
      </c>
    </row>
    <row r="331" spans="3:35">
      <c r="C331" s="126">
        <v>324</v>
      </c>
      <c r="D331" s="126">
        <v>1</v>
      </c>
      <c r="E331" s="126">
        <v>1</v>
      </c>
      <c r="G331" s="126">
        <v>76</v>
      </c>
      <c r="O331" s="126" t="s">
        <v>549</v>
      </c>
      <c r="P331" s="126" t="s">
        <v>1827</v>
      </c>
      <c r="Q331" s="126">
        <v>1</v>
      </c>
      <c r="S331" s="162">
        <v>46198</v>
      </c>
      <c r="T331" s="126">
        <v>18</v>
      </c>
      <c r="U331" s="206">
        <v>-2</v>
      </c>
      <c r="V331" s="206">
        <v>-2</v>
      </c>
      <c r="W331" s="206">
        <v>1.35</v>
      </c>
      <c r="X331" s="206">
        <v>0</v>
      </c>
      <c r="Y331" s="206">
        <v>0</v>
      </c>
      <c r="Z331" s="206">
        <v>0</v>
      </c>
      <c r="AA331" s="206">
        <v>1.35</v>
      </c>
      <c r="AB331" s="206">
        <v>0</v>
      </c>
      <c r="AC331" s="235">
        <v>46227.066759259258</v>
      </c>
      <c r="AE331" s="126">
        <v>0</v>
      </c>
      <c r="AF331" s="126">
        <v>0</v>
      </c>
      <c r="AG331" s="126">
        <v>1</v>
      </c>
      <c r="AH331" s="126">
        <v>0</v>
      </c>
      <c r="AI331" s="126">
        <v>1</v>
      </c>
    </row>
    <row r="332" spans="3:35">
      <c r="C332" s="126">
        <v>325</v>
      </c>
      <c r="D332" s="126">
        <v>1</v>
      </c>
      <c r="E332" s="126">
        <v>1</v>
      </c>
      <c r="G332" s="126">
        <v>76</v>
      </c>
      <c r="O332" s="126" t="s">
        <v>549</v>
      </c>
      <c r="P332" s="126" t="s">
        <v>1827</v>
      </c>
      <c r="Q332" s="126">
        <v>1</v>
      </c>
      <c r="S332" s="162">
        <v>46198</v>
      </c>
      <c r="T332" s="126">
        <v>29</v>
      </c>
      <c r="U332" s="206">
        <v>-2</v>
      </c>
      <c r="V332" s="206">
        <v>-2</v>
      </c>
      <c r="W332" s="206">
        <v>4.2300000000000004</v>
      </c>
      <c r="X332" s="206">
        <v>0</v>
      </c>
      <c r="Y332" s="206">
        <v>0</v>
      </c>
      <c r="Z332" s="206">
        <v>0</v>
      </c>
      <c r="AA332" s="206">
        <v>4.2300000000000004</v>
      </c>
      <c r="AB332" s="206">
        <v>0</v>
      </c>
      <c r="AC332" s="235">
        <v>46227.066759259258</v>
      </c>
      <c r="AE332" s="126">
        <v>0</v>
      </c>
      <c r="AF332" s="126">
        <v>0</v>
      </c>
      <c r="AG332" s="126">
        <v>1</v>
      </c>
      <c r="AH332" s="126">
        <v>0</v>
      </c>
      <c r="AI332" s="126">
        <v>1</v>
      </c>
    </row>
    <row r="333" spans="3:35">
      <c r="C333" s="126">
        <v>326</v>
      </c>
      <c r="D333" s="126">
        <v>1</v>
      </c>
      <c r="E333" s="126">
        <v>1</v>
      </c>
      <c r="G333" s="126">
        <v>77</v>
      </c>
      <c r="O333" s="126" t="s">
        <v>549</v>
      </c>
      <c r="P333" s="126" t="s">
        <v>1857</v>
      </c>
      <c r="Q333" s="126">
        <v>1</v>
      </c>
      <c r="S333" s="162">
        <v>46199</v>
      </c>
      <c r="T333" s="126">
        <v>11</v>
      </c>
      <c r="U333" s="206">
        <v>-2</v>
      </c>
      <c r="V333" s="206">
        <v>-2</v>
      </c>
      <c r="W333" s="206">
        <v>9.52</v>
      </c>
      <c r="X333" s="206">
        <v>0</v>
      </c>
      <c r="Y333" s="206">
        <v>0</v>
      </c>
      <c r="Z333" s="206">
        <v>0</v>
      </c>
      <c r="AA333" s="206">
        <v>9.52</v>
      </c>
      <c r="AB333" s="206">
        <v>0</v>
      </c>
      <c r="AC333" s="235">
        <v>46227.073946759258</v>
      </c>
      <c r="AE333" s="126">
        <v>0</v>
      </c>
      <c r="AF333" s="126">
        <v>0</v>
      </c>
      <c r="AG333" s="126">
        <v>1</v>
      </c>
      <c r="AH333" s="126">
        <v>0</v>
      </c>
      <c r="AI333" s="126">
        <v>1</v>
      </c>
    </row>
    <row r="334" spans="3:35">
      <c r="C334" s="126">
        <v>327</v>
      </c>
      <c r="D334" s="126">
        <v>1</v>
      </c>
      <c r="E334" s="126">
        <v>1</v>
      </c>
      <c r="G334" s="126">
        <v>77</v>
      </c>
      <c r="O334" s="126" t="s">
        <v>549</v>
      </c>
      <c r="P334" s="126" t="s">
        <v>1857</v>
      </c>
      <c r="Q334" s="126">
        <v>1</v>
      </c>
      <c r="S334" s="162">
        <v>46199</v>
      </c>
      <c r="T334" s="126">
        <v>9</v>
      </c>
      <c r="U334" s="206">
        <v>-8</v>
      </c>
      <c r="V334" s="206">
        <v>-8</v>
      </c>
      <c r="W334" s="206">
        <v>1.1499999999999999</v>
      </c>
      <c r="X334" s="206">
        <v>0</v>
      </c>
      <c r="Y334" s="206">
        <v>0</v>
      </c>
      <c r="Z334" s="206">
        <v>0</v>
      </c>
      <c r="AA334" s="206">
        <v>1.1499999999999999</v>
      </c>
      <c r="AB334" s="206">
        <v>0</v>
      </c>
      <c r="AC334" s="235">
        <v>46227.073946759258</v>
      </c>
      <c r="AE334" s="126">
        <v>0</v>
      </c>
      <c r="AF334" s="126">
        <v>0</v>
      </c>
      <c r="AG334" s="126">
        <v>1</v>
      </c>
      <c r="AH334" s="126">
        <v>0</v>
      </c>
      <c r="AI334" s="126">
        <v>1</v>
      </c>
    </row>
    <row r="335" spans="3:35">
      <c r="C335" s="126">
        <v>328</v>
      </c>
      <c r="D335" s="126">
        <v>1</v>
      </c>
      <c r="E335" s="126">
        <v>1</v>
      </c>
      <c r="G335" s="126">
        <v>77</v>
      </c>
      <c r="O335" s="126" t="s">
        <v>549</v>
      </c>
      <c r="P335" s="126" t="s">
        <v>1857</v>
      </c>
      <c r="Q335" s="126">
        <v>1</v>
      </c>
      <c r="S335" s="162">
        <v>46199</v>
      </c>
      <c r="T335" s="126">
        <v>50</v>
      </c>
      <c r="U335" s="206">
        <v>-5</v>
      </c>
      <c r="V335" s="206">
        <v>-5</v>
      </c>
      <c r="W335" s="206">
        <v>0.12</v>
      </c>
      <c r="X335" s="206">
        <v>0</v>
      </c>
      <c r="Y335" s="206">
        <v>0</v>
      </c>
      <c r="Z335" s="206">
        <v>0</v>
      </c>
      <c r="AA335" s="206">
        <v>0.12</v>
      </c>
      <c r="AB335" s="206">
        <v>0</v>
      </c>
      <c r="AC335" s="235">
        <v>46227.073946759258</v>
      </c>
      <c r="AE335" s="126">
        <v>0</v>
      </c>
      <c r="AF335" s="126">
        <v>0</v>
      </c>
      <c r="AG335" s="126">
        <v>1</v>
      </c>
      <c r="AH335" s="126">
        <v>0</v>
      </c>
      <c r="AI335" s="126">
        <v>1</v>
      </c>
    </row>
    <row r="336" spans="3:35">
      <c r="C336" s="126">
        <v>329</v>
      </c>
      <c r="D336" s="126">
        <v>1</v>
      </c>
      <c r="E336" s="126">
        <v>1</v>
      </c>
      <c r="G336" s="126">
        <v>77</v>
      </c>
      <c r="O336" s="126" t="s">
        <v>549</v>
      </c>
      <c r="P336" s="126" t="s">
        <v>1857</v>
      </c>
      <c r="Q336" s="126">
        <v>1</v>
      </c>
      <c r="S336" s="162">
        <v>46199</v>
      </c>
      <c r="T336" s="126">
        <v>49</v>
      </c>
      <c r="U336" s="206">
        <v>-2</v>
      </c>
      <c r="V336" s="206">
        <v>-2</v>
      </c>
      <c r="W336" s="206">
        <v>0.28000000000000003</v>
      </c>
      <c r="X336" s="206">
        <v>0</v>
      </c>
      <c r="Y336" s="206">
        <v>0</v>
      </c>
      <c r="Z336" s="206">
        <v>0</v>
      </c>
      <c r="AA336" s="206">
        <v>0.28000000000000003</v>
      </c>
      <c r="AB336" s="206">
        <v>0</v>
      </c>
      <c r="AC336" s="235">
        <v>46227.073946759258</v>
      </c>
      <c r="AE336" s="126">
        <v>0</v>
      </c>
      <c r="AF336" s="126">
        <v>0</v>
      </c>
      <c r="AG336" s="126">
        <v>1</v>
      </c>
      <c r="AH336" s="126">
        <v>0</v>
      </c>
      <c r="AI336" s="126">
        <v>1</v>
      </c>
    </row>
    <row r="337" spans="3:35">
      <c r="C337" s="126">
        <v>330</v>
      </c>
      <c r="D337" s="126">
        <v>1</v>
      </c>
      <c r="E337" s="126">
        <v>1</v>
      </c>
      <c r="G337" s="126">
        <v>77</v>
      </c>
      <c r="O337" s="126" t="s">
        <v>549</v>
      </c>
      <c r="P337" s="126" t="s">
        <v>1857</v>
      </c>
      <c r="Q337" s="126">
        <v>1</v>
      </c>
      <c r="S337" s="162">
        <v>46199</v>
      </c>
      <c r="T337" s="126">
        <v>66</v>
      </c>
      <c r="U337" s="206">
        <v>-2</v>
      </c>
      <c r="V337" s="206">
        <v>-2</v>
      </c>
      <c r="W337" s="206">
        <v>0.41</v>
      </c>
      <c r="X337" s="206">
        <v>0</v>
      </c>
      <c r="Y337" s="206">
        <v>0</v>
      </c>
      <c r="Z337" s="206">
        <v>0</v>
      </c>
      <c r="AA337" s="206">
        <v>0.41</v>
      </c>
      <c r="AB337" s="206">
        <v>0</v>
      </c>
      <c r="AC337" s="235">
        <v>46227.073946759258</v>
      </c>
      <c r="AE337" s="126">
        <v>0</v>
      </c>
      <c r="AF337" s="126">
        <v>0</v>
      </c>
      <c r="AG337" s="126">
        <v>1</v>
      </c>
      <c r="AH337" s="126">
        <v>0</v>
      </c>
      <c r="AI337" s="126">
        <v>1</v>
      </c>
    </row>
    <row r="338" spans="3:35">
      <c r="C338" s="126">
        <v>331</v>
      </c>
      <c r="D338" s="126">
        <v>1</v>
      </c>
      <c r="E338" s="126">
        <v>1</v>
      </c>
      <c r="G338" s="126">
        <v>78</v>
      </c>
      <c r="O338" s="126" t="s">
        <v>549</v>
      </c>
      <c r="P338" s="126" t="s">
        <v>1874</v>
      </c>
      <c r="Q338" s="126">
        <v>1</v>
      </c>
      <c r="S338" s="162">
        <v>46199</v>
      </c>
      <c r="T338" s="126">
        <v>177</v>
      </c>
      <c r="U338" s="206">
        <v>-500</v>
      </c>
      <c r="V338" s="206">
        <v>-0.5</v>
      </c>
      <c r="W338" s="206">
        <v>4.1500000000000004</v>
      </c>
      <c r="X338" s="206">
        <v>0</v>
      </c>
      <c r="Y338" s="206">
        <v>0</v>
      </c>
      <c r="Z338" s="206">
        <v>0</v>
      </c>
      <c r="AA338" s="206">
        <v>4.1500000000000004</v>
      </c>
      <c r="AB338" s="206">
        <v>0</v>
      </c>
      <c r="AC338" s="235">
        <v>46227.075613425928</v>
      </c>
      <c r="AE338" s="126">
        <v>0</v>
      </c>
      <c r="AF338" s="126">
        <v>0</v>
      </c>
      <c r="AG338" s="126">
        <v>1</v>
      </c>
      <c r="AH338" s="126">
        <v>0</v>
      </c>
      <c r="AI338" s="126">
        <v>1</v>
      </c>
    </row>
    <row r="339" spans="3:35">
      <c r="C339" s="126">
        <v>332</v>
      </c>
      <c r="D339" s="126">
        <v>1</v>
      </c>
      <c r="E339" s="126">
        <v>1</v>
      </c>
      <c r="G339" s="126">
        <v>79</v>
      </c>
      <c r="O339" s="126" t="s">
        <v>549</v>
      </c>
      <c r="P339" s="126" t="s">
        <v>1879</v>
      </c>
      <c r="Q339" s="126">
        <v>1</v>
      </c>
      <c r="S339" s="162">
        <v>46199</v>
      </c>
      <c r="T339" s="126">
        <v>177</v>
      </c>
      <c r="U339" s="206">
        <v>-250</v>
      </c>
      <c r="V339" s="206">
        <v>-0.25</v>
      </c>
      <c r="W339" s="206">
        <v>4.1500000000000004</v>
      </c>
      <c r="X339" s="206">
        <v>0</v>
      </c>
      <c r="Y339" s="206">
        <v>0</v>
      </c>
      <c r="Z339" s="206">
        <v>0</v>
      </c>
      <c r="AA339" s="206">
        <v>4.1500000000000004</v>
      </c>
      <c r="AB339" s="206">
        <v>0</v>
      </c>
      <c r="AC339" s="235">
        <v>46227.084236111114</v>
      </c>
      <c r="AE339" s="126">
        <v>0</v>
      </c>
      <c r="AF339" s="126">
        <v>0</v>
      </c>
      <c r="AG339" s="126">
        <v>1</v>
      </c>
      <c r="AH339" s="126">
        <v>0</v>
      </c>
      <c r="AI339" s="126">
        <v>1</v>
      </c>
    </row>
    <row r="340" spans="3:35">
      <c r="C340" s="126">
        <v>333</v>
      </c>
      <c r="D340" s="126">
        <v>1</v>
      </c>
      <c r="E340" s="126">
        <v>1</v>
      </c>
      <c r="G340" s="126">
        <v>79</v>
      </c>
      <c r="O340" s="126" t="s">
        <v>549</v>
      </c>
      <c r="P340" s="126" t="s">
        <v>1879</v>
      </c>
      <c r="Q340" s="126">
        <v>1</v>
      </c>
      <c r="S340" s="162">
        <v>46199</v>
      </c>
      <c r="T340" s="126">
        <v>108</v>
      </c>
      <c r="U340" s="206">
        <v>-5</v>
      </c>
      <c r="V340" s="206">
        <v>-5</v>
      </c>
      <c r="W340" s="206">
        <v>2.7</v>
      </c>
      <c r="X340" s="206">
        <v>0</v>
      </c>
      <c r="Y340" s="206">
        <v>0</v>
      </c>
      <c r="Z340" s="206">
        <v>0</v>
      </c>
      <c r="AA340" s="206">
        <v>2.7</v>
      </c>
      <c r="AB340" s="206">
        <v>0</v>
      </c>
      <c r="AC340" s="235">
        <v>46227.084236111114</v>
      </c>
      <c r="AE340" s="126">
        <v>0</v>
      </c>
      <c r="AF340" s="126">
        <v>0</v>
      </c>
      <c r="AG340" s="126">
        <v>1</v>
      </c>
      <c r="AH340" s="126">
        <v>0</v>
      </c>
      <c r="AI340" s="126">
        <v>1</v>
      </c>
    </row>
    <row r="341" spans="3:35">
      <c r="C341" s="126">
        <v>334</v>
      </c>
      <c r="D341" s="126">
        <v>1</v>
      </c>
      <c r="E341" s="126">
        <v>1</v>
      </c>
      <c r="G341" s="126">
        <v>79</v>
      </c>
      <c r="O341" s="126" t="s">
        <v>549</v>
      </c>
      <c r="P341" s="126" t="s">
        <v>1879</v>
      </c>
      <c r="Q341" s="126">
        <v>1</v>
      </c>
      <c r="S341" s="162">
        <v>46199</v>
      </c>
      <c r="T341" s="126">
        <v>29</v>
      </c>
      <c r="U341" s="206">
        <v>-4</v>
      </c>
      <c r="V341" s="206">
        <v>-4</v>
      </c>
      <c r="W341" s="206">
        <v>4.2300000000000004</v>
      </c>
      <c r="X341" s="206">
        <v>0</v>
      </c>
      <c r="Y341" s="206">
        <v>0</v>
      </c>
      <c r="Z341" s="206">
        <v>0</v>
      </c>
      <c r="AA341" s="206">
        <v>4.2300000000000004</v>
      </c>
      <c r="AB341" s="206">
        <v>0</v>
      </c>
      <c r="AC341" s="235">
        <v>46227.084236111114</v>
      </c>
      <c r="AE341" s="126">
        <v>0</v>
      </c>
      <c r="AF341" s="126">
        <v>0</v>
      </c>
      <c r="AG341" s="126">
        <v>1</v>
      </c>
      <c r="AH341" s="126">
        <v>0</v>
      </c>
      <c r="AI341" s="126">
        <v>1</v>
      </c>
    </row>
    <row r="342" spans="3:35">
      <c r="C342" s="126">
        <v>335</v>
      </c>
      <c r="D342" s="126">
        <v>1</v>
      </c>
      <c r="E342" s="126">
        <v>1</v>
      </c>
      <c r="G342" s="126">
        <v>80</v>
      </c>
      <c r="O342" s="126" t="s">
        <v>549</v>
      </c>
      <c r="P342" s="126" t="s">
        <v>1891</v>
      </c>
      <c r="Q342" s="126">
        <v>1</v>
      </c>
      <c r="S342" s="162">
        <v>46200</v>
      </c>
      <c r="T342" s="126">
        <v>51</v>
      </c>
      <c r="U342" s="206">
        <v>-9</v>
      </c>
      <c r="V342" s="206">
        <v>-9</v>
      </c>
      <c r="W342" s="206">
        <v>4.49</v>
      </c>
      <c r="X342" s="206">
        <v>0</v>
      </c>
      <c r="Y342" s="206">
        <v>0</v>
      </c>
      <c r="Z342" s="206">
        <v>0</v>
      </c>
      <c r="AA342" s="206">
        <v>4.49</v>
      </c>
      <c r="AB342" s="206">
        <v>0</v>
      </c>
      <c r="AC342" s="235">
        <v>46227.27244212963</v>
      </c>
      <c r="AE342" s="126">
        <v>0</v>
      </c>
      <c r="AF342" s="126">
        <v>0</v>
      </c>
      <c r="AG342" s="126">
        <v>1</v>
      </c>
      <c r="AH342" s="126">
        <v>0</v>
      </c>
      <c r="AI342" s="126">
        <v>1</v>
      </c>
    </row>
    <row r="343" spans="3:35">
      <c r="C343" s="126">
        <v>336</v>
      </c>
      <c r="D343" s="126">
        <v>1</v>
      </c>
      <c r="E343" s="126">
        <v>1</v>
      </c>
      <c r="G343" s="126">
        <v>81</v>
      </c>
      <c r="O343" s="126" t="s">
        <v>549</v>
      </c>
      <c r="P343" s="126" t="s">
        <v>1896</v>
      </c>
      <c r="Q343" s="126">
        <v>1</v>
      </c>
      <c r="S343" s="162">
        <v>46200</v>
      </c>
      <c r="T343" s="126">
        <v>183</v>
      </c>
      <c r="U343" s="206">
        <v>-192</v>
      </c>
      <c r="V343" s="206">
        <v>-16</v>
      </c>
      <c r="W343" s="206">
        <v>4</v>
      </c>
      <c r="X343" s="206">
        <v>0</v>
      </c>
      <c r="Y343" s="206">
        <v>0</v>
      </c>
      <c r="Z343" s="206">
        <v>0</v>
      </c>
      <c r="AA343" s="206">
        <v>4</v>
      </c>
      <c r="AB343" s="206">
        <v>0</v>
      </c>
      <c r="AC343" s="235">
        <v>46227.276273148149</v>
      </c>
      <c r="AE343" s="126">
        <v>0</v>
      </c>
      <c r="AF343" s="126">
        <v>0</v>
      </c>
      <c r="AG343" s="126">
        <v>1</v>
      </c>
      <c r="AH343" s="126">
        <v>0</v>
      </c>
      <c r="AI343" s="126">
        <v>1</v>
      </c>
    </row>
    <row r="344" spans="3:35">
      <c r="C344" s="126">
        <v>337</v>
      </c>
      <c r="D344" s="126">
        <v>1</v>
      </c>
      <c r="E344" s="126">
        <v>1</v>
      </c>
      <c r="G344" s="126">
        <v>81</v>
      </c>
      <c r="O344" s="126" t="s">
        <v>549</v>
      </c>
      <c r="P344" s="126" t="s">
        <v>1896</v>
      </c>
      <c r="Q344" s="126">
        <v>1</v>
      </c>
      <c r="S344" s="162">
        <v>46200</v>
      </c>
      <c r="T344" s="126">
        <v>181</v>
      </c>
      <c r="U344" s="206">
        <v>-120</v>
      </c>
      <c r="V344" s="206">
        <v>-10</v>
      </c>
      <c r="W344" s="206">
        <v>1</v>
      </c>
      <c r="X344" s="206">
        <v>0</v>
      </c>
      <c r="Y344" s="206">
        <v>0</v>
      </c>
      <c r="Z344" s="206">
        <v>0</v>
      </c>
      <c r="AA344" s="206">
        <v>1</v>
      </c>
      <c r="AB344" s="206">
        <v>0</v>
      </c>
      <c r="AC344" s="235">
        <v>46227.276273148149</v>
      </c>
      <c r="AE344" s="126">
        <v>0</v>
      </c>
      <c r="AF344" s="126">
        <v>0</v>
      </c>
      <c r="AG344" s="126">
        <v>1</v>
      </c>
      <c r="AH344" s="126">
        <v>0</v>
      </c>
      <c r="AI344" s="126">
        <v>1</v>
      </c>
    </row>
    <row r="345" spans="3:35">
      <c r="C345" s="126">
        <v>338</v>
      </c>
      <c r="D345" s="126">
        <v>1</v>
      </c>
      <c r="E345" s="126">
        <v>1</v>
      </c>
      <c r="G345" s="126">
        <v>81</v>
      </c>
      <c r="O345" s="126" t="s">
        <v>549</v>
      </c>
      <c r="P345" s="126" t="s">
        <v>1896</v>
      </c>
      <c r="Q345" s="126">
        <v>1</v>
      </c>
      <c r="S345" s="162">
        <v>46200</v>
      </c>
      <c r="T345" s="126">
        <v>195</v>
      </c>
      <c r="U345" s="206">
        <v>-8</v>
      </c>
      <c r="V345" s="206">
        <v>-2</v>
      </c>
      <c r="W345" s="206">
        <v>6.28</v>
      </c>
      <c r="X345" s="206">
        <v>0</v>
      </c>
      <c r="Y345" s="206">
        <v>0</v>
      </c>
      <c r="Z345" s="206">
        <v>0</v>
      </c>
      <c r="AA345" s="206">
        <v>6.28</v>
      </c>
      <c r="AB345" s="206">
        <v>0</v>
      </c>
      <c r="AC345" s="235">
        <v>46227.276273148149</v>
      </c>
      <c r="AE345" s="126">
        <v>0</v>
      </c>
      <c r="AF345" s="126">
        <v>0</v>
      </c>
      <c r="AG345" s="126">
        <v>1</v>
      </c>
      <c r="AH345" s="126">
        <v>0</v>
      </c>
      <c r="AI345" s="126">
        <v>1</v>
      </c>
    </row>
    <row r="346" spans="3:35">
      <c r="C346" s="126">
        <v>339</v>
      </c>
      <c r="D346" s="126">
        <v>1</v>
      </c>
      <c r="E346" s="126">
        <v>1</v>
      </c>
      <c r="G346" s="126">
        <v>81</v>
      </c>
      <c r="O346" s="126" t="s">
        <v>549</v>
      </c>
      <c r="P346" s="126" t="s">
        <v>1896</v>
      </c>
      <c r="Q346" s="126">
        <v>1</v>
      </c>
      <c r="S346" s="162">
        <v>46200</v>
      </c>
      <c r="T346" s="126">
        <v>16</v>
      </c>
      <c r="U346" s="206">
        <v>-2</v>
      </c>
      <c r="V346" s="206">
        <v>-2</v>
      </c>
      <c r="W346" s="206">
        <v>2.1</v>
      </c>
      <c r="X346" s="206">
        <v>0</v>
      </c>
      <c r="Y346" s="206">
        <v>0</v>
      </c>
      <c r="Z346" s="206">
        <v>0</v>
      </c>
      <c r="AA346" s="206">
        <v>2.1</v>
      </c>
      <c r="AB346" s="206">
        <v>0</v>
      </c>
      <c r="AC346" s="235">
        <v>46227.276273148149</v>
      </c>
      <c r="AE346" s="126">
        <v>0</v>
      </c>
      <c r="AF346" s="126">
        <v>0</v>
      </c>
      <c r="AG346" s="126">
        <v>1</v>
      </c>
      <c r="AH346" s="126">
        <v>0</v>
      </c>
      <c r="AI346" s="126">
        <v>1</v>
      </c>
    </row>
    <row r="347" spans="3:35">
      <c r="C347" s="126">
        <v>340</v>
      </c>
      <c r="D347" s="126">
        <v>1</v>
      </c>
      <c r="E347" s="126">
        <v>1</v>
      </c>
      <c r="G347" s="126">
        <v>82</v>
      </c>
      <c r="O347" s="126" t="s">
        <v>549</v>
      </c>
      <c r="P347" s="126" t="s">
        <v>1910</v>
      </c>
      <c r="Q347" s="126">
        <v>1</v>
      </c>
      <c r="S347" s="162">
        <v>46200</v>
      </c>
      <c r="T347" s="126">
        <v>177</v>
      </c>
      <c r="U347" s="206">
        <v>-250</v>
      </c>
      <c r="V347" s="206">
        <v>-0.25</v>
      </c>
      <c r="W347" s="206">
        <v>4.1500000000000004</v>
      </c>
      <c r="X347" s="206">
        <v>0</v>
      </c>
      <c r="Y347" s="206">
        <v>0</v>
      </c>
      <c r="Z347" s="206">
        <v>0</v>
      </c>
      <c r="AA347" s="206">
        <v>4.1500000000000004</v>
      </c>
      <c r="AB347" s="206">
        <v>0</v>
      </c>
      <c r="AC347" s="235">
        <v>46227.278680555559</v>
      </c>
      <c r="AE347" s="126">
        <v>0</v>
      </c>
      <c r="AF347" s="126">
        <v>0</v>
      </c>
      <c r="AG347" s="126">
        <v>1</v>
      </c>
      <c r="AH347" s="126">
        <v>0</v>
      </c>
      <c r="AI347" s="126">
        <v>1</v>
      </c>
    </row>
    <row r="348" spans="3:35">
      <c r="C348" s="126">
        <v>341</v>
      </c>
      <c r="D348" s="126">
        <v>1</v>
      </c>
      <c r="E348" s="126">
        <v>1</v>
      </c>
      <c r="G348" s="126">
        <v>82</v>
      </c>
      <c r="O348" s="126" t="s">
        <v>549</v>
      </c>
      <c r="P348" s="126" t="s">
        <v>1910</v>
      </c>
      <c r="Q348" s="126">
        <v>1</v>
      </c>
      <c r="S348" s="162">
        <v>46200</v>
      </c>
      <c r="T348" s="126">
        <v>4</v>
      </c>
      <c r="U348" s="206">
        <v>-7</v>
      </c>
      <c r="V348" s="206">
        <v>-7</v>
      </c>
      <c r="W348" s="206">
        <v>5.8</v>
      </c>
      <c r="X348" s="206">
        <v>0</v>
      </c>
      <c r="Y348" s="206">
        <v>0</v>
      </c>
      <c r="Z348" s="206">
        <v>0</v>
      </c>
      <c r="AA348" s="206">
        <v>5.8</v>
      </c>
      <c r="AB348" s="206">
        <v>0</v>
      </c>
      <c r="AC348" s="235">
        <v>46227.278680555559</v>
      </c>
      <c r="AE348" s="126">
        <v>0</v>
      </c>
      <c r="AF348" s="126">
        <v>0</v>
      </c>
      <c r="AG348" s="126">
        <v>1</v>
      </c>
      <c r="AH348" s="126">
        <v>0</v>
      </c>
      <c r="AI348" s="126">
        <v>1</v>
      </c>
    </row>
    <row r="349" spans="3:35">
      <c r="C349" s="126">
        <v>342</v>
      </c>
      <c r="D349" s="126">
        <v>1</v>
      </c>
      <c r="E349" s="126">
        <v>1</v>
      </c>
      <c r="G349" s="126">
        <v>83</v>
      </c>
      <c r="O349" s="126" t="s">
        <v>549</v>
      </c>
      <c r="P349" s="126" t="s">
        <v>1919</v>
      </c>
      <c r="Q349" s="126">
        <v>1</v>
      </c>
      <c r="S349" s="162">
        <v>46201</v>
      </c>
      <c r="T349" s="126">
        <v>177</v>
      </c>
      <c r="U349" s="206">
        <v>-500</v>
      </c>
      <c r="V349" s="206">
        <v>-0.5</v>
      </c>
      <c r="W349" s="206">
        <v>4.1500000000000004</v>
      </c>
      <c r="X349" s="206">
        <v>0</v>
      </c>
      <c r="Y349" s="206">
        <v>0</v>
      </c>
      <c r="Z349" s="206">
        <v>0</v>
      </c>
      <c r="AA349" s="206">
        <v>4.1500000000000004</v>
      </c>
      <c r="AB349" s="206">
        <v>0</v>
      </c>
      <c r="AC349" s="235">
        <v>46227.298263888886</v>
      </c>
      <c r="AE349" s="126">
        <v>0</v>
      </c>
      <c r="AF349" s="126">
        <v>0</v>
      </c>
      <c r="AG349" s="126">
        <v>1</v>
      </c>
      <c r="AH349" s="126">
        <v>0</v>
      </c>
      <c r="AI349" s="126">
        <v>1</v>
      </c>
    </row>
    <row r="350" spans="3:35">
      <c r="C350" s="126">
        <v>343</v>
      </c>
      <c r="D350" s="126">
        <v>1</v>
      </c>
      <c r="E350" s="126">
        <v>1</v>
      </c>
      <c r="G350" s="126">
        <v>83</v>
      </c>
      <c r="O350" s="126" t="s">
        <v>549</v>
      </c>
      <c r="P350" s="126" t="s">
        <v>1919</v>
      </c>
      <c r="Q350" s="126">
        <v>1</v>
      </c>
      <c r="S350" s="162">
        <v>46201</v>
      </c>
      <c r="T350" s="126">
        <v>61</v>
      </c>
      <c r="U350" s="206">
        <v>-1</v>
      </c>
      <c r="V350" s="206">
        <v>-1</v>
      </c>
      <c r="W350" s="206">
        <v>6.41</v>
      </c>
      <c r="X350" s="206">
        <v>0</v>
      </c>
      <c r="Y350" s="206">
        <v>0</v>
      </c>
      <c r="Z350" s="206">
        <v>0</v>
      </c>
      <c r="AA350" s="206">
        <v>6.41</v>
      </c>
      <c r="AB350" s="206">
        <v>0</v>
      </c>
      <c r="AC350" s="235">
        <v>46227.298263888886</v>
      </c>
      <c r="AE350" s="126">
        <v>0</v>
      </c>
      <c r="AF350" s="126">
        <v>0</v>
      </c>
      <c r="AG350" s="126">
        <v>1</v>
      </c>
      <c r="AH350" s="126">
        <v>0</v>
      </c>
      <c r="AI350" s="126">
        <v>1</v>
      </c>
    </row>
    <row r="351" spans="3:35">
      <c r="C351" s="126">
        <v>344</v>
      </c>
      <c r="D351" s="126">
        <v>1</v>
      </c>
      <c r="E351" s="126">
        <v>1</v>
      </c>
      <c r="G351" s="126">
        <v>83</v>
      </c>
      <c r="O351" s="126" t="s">
        <v>549</v>
      </c>
      <c r="P351" s="126" t="s">
        <v>1919</v>
      </c>
      <c r="Q351" s="126">
        <v>1</v>
      </c>
      <c r="S351" s="162">
        <v>46201</v>
      </c>
      <c r="T351" s="126">
        <v>146</v>
      </c>
      <c r="U351" s="206">
        <v>-5</v>
      </c>
      <c r="V351" s="206">
        <v>-5</v>
      </c>
      <c r="W351" s="206">
        <v>0.04</v>
      </c>
      <c r="X351" s="206">
        <v>0</v>
      </c>
      <c r="Y351" s="206">
        <v>0</v>
      </c>
      <c r="Z351" s="206">
        <v>0</v>
      </c>
      <c r="AA351" s="206">
        <v>0.04</v>
      </c>
      <c r="AB351" s="206">
        <v>0</v>
      </c>
      <c r="AC351" s="235">
        <v>46227.298263888886</v>
      </c>
      <c r="AE351" s="126">
        <v>0</v>
      </c>
      <c r="AF351" s="126">
        <v>0</v>
      </c>
      <c r="AG351" s="126">
        <v>1</v>
      </c>
      <c r="AH351" s="126">
        <v>0</v>
      </c>
      <c r="AI351" s="126">
        <v>1</v>
      </c>
    </row>
    <row r="352" spans="3:35">
      <c r="C352" s="126">
        <v>345</v>
      </c>
      <c r="D352" s="126">
        <v>1</v>
      </c>
      <c r="E352" s="126">
        <v>1</v>
      </c>
      <c r="G352" s="126">
        <v>84</v>
      </c>
      <c r="O352" s="126" t="s">
        <v>549</v>
      </c>
      <c r="P352" s="126" t="s">
        <v>1934</v>
      </c>
      <c r="Q352" s="126">
        <v>1</v>
      </c>
      <c r="S352" s="162">
        <v>46201</v>
      </c>
      <c r="T352" s="126">
        <v>176</v>
      </c>
      <c r="U352" s="206">
        <v>-50</v>
      </c>
      <c r="V352" s="206">
        <v>-0.05</v>
      </c>
      <c r="W352" s="206">
        <v>4.25</v>
      </c>
      <c r="X352" s="206">
        <v>0</v>
      </c>
      <c r="Y352" s="206">
        <v>0</v>
      </c>
      <c r="Z352" s="206">
        <v>0</v>
      </c>
      <c r="AA352" s="206">
        <v>4.25</v>
      </c>
      <c r="AB352" s="206">
        <v>0</v>
      </c>
      <c r="AC352" s="235">
        <v>46227.418321759258</v>
      </c>
      <c r="AE352" s="126">
        <v>0</v>
      </c>
      <c r="AF352" s="126">
        <v>0</v>
      </c>
      <c r="AG352" s="126">
        <v>1</v>
      </c>
      <c r="AH352" s="126">
        <v>0</v>
      </c>
      <c r="AI352" s="126">
        <v>1</v>
      </c>
    </row>
    <row r="353" spans="3:35">
      <c r="C353" s="126">
        <v>346</v>
      </c>
      <c r="D353" s="126">
        <v>1</v>
      </c>
      <c r="E353" s="126">
        <v>1</v>
      </c>
      <c r="G353" s="126">
        <v>84</v>
      </c>
      <c r="O353" s="126" t="s">
        <v>549</v>
      </c>
      <c r="P353" s="126" t="s">
        <v>1934</v>
      </c>
      <c r="Q353" s="126">
        <v>1</v>
      </c>
      <c r="S353" s="162">
        <v>46201</v>
      </c>
      <c r="T353" s="126">
        <v>66</v>
      </c>
      <c r="U353" s="206">
        <v>-2</v>
      </c>
      <c r="V353" s="206">
        <v>-2</v>
      </c>
      <c r="W353" s="206">
        <v>0.41</v>
      </c>
      <c r="X353" s="206">
        <v>0</v>
      </c>
      <c r="Y353" s="206">
        <v>0</v>
      </c>
      <c r="Z353" s="206">
        <v>0</v>
      </c>
      <c r="AA353" s="206">
        <v>0.41</v>
      </c>
      <c r="AB353" s="206">
        <v>0</v>
      </c>
      <c r="AC353" s="235">
        <v>46227.418321759258</v>
      </c>
      <c r="AE353" s="126">
        <v>0</v>
      </c>
      <c r="AF353" s="126">
        <v>0</v>
      </c>
      <c r="AG353" s="126">
        <v>1</v>
      </c>
      <c r="AH353" s="126">
        <v>0</v>
      </c>
      <c r="AI353" s="126">
        <v>1</v>
      </c>
    </row>
    <row r="354" spans="3:35">
      <c r="C354" s="126">
        <v>347</v>
      </c>
      <c r="D354" s="126">
        <v>1</v>
      </c>
      <c r="E354" s="126">
        <v>1</v>
      </c>
      <c r="G354" s="126">
        <v>84</v>
      </c>
      <c r="O354" s="126" t="s">
        <v>549</v>
      </c>
      <c r="P354" s="126" t="s">
        <v>1934</v>
      </c>
      <c r="Q354" s="126">
        <v>1</v>
      </c>
      <c r="S354" s="162">
        <v>46201</v>
      </c>
      <c r="T354" s="126">
        <v>75</v>
      </c>
      <c r="U354" s="206">
        <v>-2</v>
      </c>
      <c r="V354" s="206">
        <v>-2</v>
      </c>
      <c r="W354" s="206">
        <v>0.13</v>
      </c>
      <c r="X354" s="206">
        <v>0</v>
      </c>
      <c r="Y354" s="206">
        <v>0</v>
      </c>
      <c r="Z354" s="206">
        <v>0</v>
      </c>
      <c r="AA354" s="206">
        <v>0.13</v>
      </c>
      <c r="AB354" s="206">
        <v>0</v>
      </c>
      <c r="AC354" s="235">
        <v>46227.418321759258</v>
      </c>
      <c r="AE354" s="126">
        <v>0</v>
      </c>
      <c r="AF354" s="126">
        <v>0</v>
      </c>
      <c r="AG354" s="126">
        <v>1</v>
      </c>
      <c r="AH354" s="126">
        <v>0</v>
      </c>
      <c r="AI354" s="126">
        <v>1</v>
      </c>
    </row>
    <row r="355" spans="3:35">
      <c r="C355" s="126">
        <v>348</v>
      </c>
      <c r="D355" s="126">
        <v>1</v>
      </c>
      <c r="E355" s="126">
        <v>1</v>
      </c>
      <c r="G355" s="126">
        <v>84</v>
      </c>
      <c r="O355" s="126" t="s">
        <v>549</v>
      </c>
      <c r="P355" s="126" t="s">
        <v>1934</v>
      </c>
      <c r="Q355" s="126">
        <v>1</v>
      </c>
      <c r="S355" s="162">
        <v>46201</v>
      </c>
      <c r="T355" s="126">
        <v>182</v>
      </c>
      <c r="U355" s="206">
        <v>-12</v>
      </c>
      <c r="V355" s="206">
        <v>-1</v>
      </c>
      <c r="W355" s="206">
        <v>2</v>
      </c>
      <c r="X355" s="206">
        <v>0</v>
      </c>
      <c r="Y355" s="206">
        <v>0</v>
      </c>
      <c r="Z355" s="206">
        <v>0</v>
      </c>
      <c r="AA355" s="206">
        <v>2</v>
      </c>
      <c r="AB355" s="206">
        <v>0</v>
      </c>
      <c r="AC355" s="235">
        <v>46227.418321759258</v>
      </c>
      <c r="AE355" s="126">
        <v>0</v>
      </c>
      <c r="AF355" s="126">
        <v>0</v>
      </c>
      <c r="AG355" s="126">
        <v>1</v>
      </c>
      <c r="AH355" s="126">
        <v>0</v>
      </c>
      <c r="AI355" s="126">
        <v>1</v>
      </c>
    </row>
    <row r="356" spans="3:35">
      <c r="C356" s="126">
        <v>349</v>
      </c>
      <c r="D356" s="126">
        <v>1</v>
      </c>
      <c r="E356" s="126">
        <v>1</v>
      </c>
      <c r="G356" s="126">
        <v>84</v>
      </c>
      <c r="O356" s="126" t="s">
        <v>549</v>
      </c>
      <c r="P356" s="126" t="s">
        <v>1934</v>
      </c>
      <c r="Q356" s="126">
        <v>1</v>
      </c>
      <c r="S356" s="162">
        <v>46201</v>
      </c>
      <c r="T356" s="126">
        <v>105</v>
      </c>
      <c r="U356" s="206">
        <v>-1</v>
      </c>
      <c r="V356" s="206">
        <v>-8.3333333333333329E-2</v>
      </c>
      <c r="W356" s="206">
        <v>1.1000000000000001</v>
      </c>
      <c r="X356" s="206">
        <v>0</v>
      </c>
      <c r="Y356" s="206">
        <v>0</v>
      </c>
      <c r="Z356" s="206">
        <v>0</v>
      </c>
      <c r="AA356" s="206">
        <v>1.1000000000000001</v>
      </c>
      <c r="AB356" s="206">
        <v>0</v>
      </c>
      <c r="AC356" s="235">
        <v>46227.418321759258</v>
      </c>
      <c r="AE356" s="126">
        <v>0</v>
      </c>
      <c r="AF356" s="126">
        <v>0</v>
      </c>
      <c r="AG356" s="126">
        <v>1</v>
      </c>
      <c r="AH356" s="126">
        <v>0</v>
      </c>
      <c r="AI356" s="126">
        <v>1</v>
      </c>
    </row>
    <row r="357" spans="3:35">
      <c r="C357" s="126">
        <v>350</v>
      </c>
      <c r="D357" s="126">
        <v>1</v>
      </c>
      <c r="E357" s="126">
        <v>1</v>
      </c>
      <c r="G357" s="126">
        <v>84</v>
      </c>
      <c r="O357" s="126" t="s">
        <v>549</v>
      </c>
      <c r="P357" s="126" t="s">
        <v>1934</v>
      </c>
      <c r="Q357" s="126">
        <v>1</v>
      </c>
      <c r="S357" s="162">
        <v>46201</v>
      </c>
      <c r="T357" s="126">
        <v>34</v>
      </c>
      <c r="U357" s="206">
        <v>-1</v>
      </c>
      <c r="V357" s="206">
        <v>-1</v>
      </c>
      <c r="W357" s="206">
        <v>0.5</v>
      </c>
      <c r="X357" s="206">
        <v>0</v>
      </c>
      <c r="Y357" s="206">
        <v>0</v>
      </c>
      <c r="Z357" s="206">
        <v>0</v>
      </c>
      <c r="AA357" s="206">
        <v>0.5</v>
      </c>
      <c r="AB357" s="206">
        <v>0</v>
      </c>
      <c r="AC357" s="235">
        <v>46227.418321759258</v>
      </c>
      <c r="AE357" s="126">
        <v>0</v>
      </c>
      <c r="AF357" s="126">
        <v>0</v>
      </c>
      <c r="AG357" s="126">
        <v>1</v>
      </c>
      <c r="AH357" s="126">
        <v>0</v>
      </c>
      <c r="AI357" s="126">
        <v>1</v>
      </c>
    </row>
    <row r="358" spans="3:35">
      <c r="C358" s="126">
        <v>351</v>
      </c>
      <c r="D358" s="126">
        <v>1</v>
      </c>
      <c r="E358" s="126">
        <v>1</v>
      </c>
      <c r="G358" s="126">
        <v>84</v>
      </c>
      <c r="O358" s="126" t="s">
        <v>549</v>
      </c>
      <c r="P358" s="126" t="s">
        <v>1934</v>
      </c>
      <c r="Q358" s="126">
        <v>1</v>
      </c>
      <c r="S358" s="162">
        <v>46201</v>
      </c>
      <c r="T358" s="126">
        <v>50</v>
      </c>
      <c r="U358" s="206">
        <v>-4</v>
      </c>
      <c r="V358" s="206">
        <v>-4</v>
      </c>
      <c r="W358" s="206">
        <v>0.12</v>
      </c>
      <c r="X358" s="206">
        <v>0</v>
      </c>
      <c r="Y358" s="206">
        <v>0</v>
      </c>
      <c r="Z358" s="206">
        <v>0</v>
      </c>
      <c r="AA358" s="206">
        <v>0.12</v>
      </c>
      <c r="AB358" s="206">
        <v>0</v>
      </c>
      <c r="AC358" s="235">
        <v>46227.418321759258</v>
      </c>
      <c r="AE358" s="126">
        <v>0</v>
      </c>
      <c r="AF358" s="126">
        <v>0</v>
      </c>
      <c r="AG358" s="126">
        <v>1</v>
      </c>
      <c r="AH358" s="126">
        <v>0</v>
      </c>
      <c r="AI358" s="126">
        <v>1</v>
      </c>
    </row>
    <row r="359" spans="3:35">
      <c r="C359" s="126">
        <v>352</v>
      </c>
      <c r="D359" s="126">
        <v>1</v>
      </c>
      <c r="E359" s="126">
        <v>1</v>
      </c>
      <c r="G359" s="126">
        <v>84</v>
      </c>
      <c r="O359" s="126" t="s">
        <v>549</v>
      </c>
      <c r="P359" s="126" t="s">
        <v>1934</v>
      </c>
      <c r="Q359" s="126">
        <v>1</v>
      </c>
      <c r="S359" s="162">
        <v>46201</v>
      </c>
      <c r="T359" s="126">
        <v>142</v>
      </c>
      <c r="U359" s="206">
        <v>-3</v>
      </c>
      <c r="V359" s="206">
        <v>-0.25</v>
      </c>
      <c r="W359" s="206">
        <v>0.34</v>
      </c>
      <c r="X359" s="206">
        <v>0</v>
      </c>
      <c r="Y359" s="206">
        <v>0</v>
      </c>
      <c r="Z359" s="206">
        <v>0</v>
      </c>
      <c r="AA359" s="206">
        <v>0.34</v>
      </c>
      <c r="AB359" s="206">
        <v>0</v>
      </c>
      <c r="AC359" s="235">
        <v>46227.418321759258</v>
      </c>
      <c r="AE359" s="126">
        <v>0</v>
      </c>
      <c r="AF359" s="126">
        <v>0</v>
      </c>
      <c r="AG359" s="126">
        <v>1</v>
      </c>
      <c r="AH359" s="126">
        <v>0</v>
      </c>
      <c r="AI359" s="126">
        <v>1</v>
      </c>
    </row>
    <row r="360" spans="3:35">
      <c r="C360" s="126">
        <v>353</v>
      </c>
      <c r="D360" s="126">
        <v>1</v>
      </c>
      <c r="E360" s="126">
        <v>1</v>
      </c>
      <c r="G360" s="126">
        <v>84</v>
      </c>
      <c r="O360" s="126" t="s">
        <v>549</v>
      </c>
      <c r="P360" s="126" t="s">
        <v>1934</v>
      </c>
      <c r="Q360" s="126">
        <v>1</v>
      </c>
      <c r="S360" s="162">
        <v>46201</v>
      </c>
      <c r="T360" s="126">
        <v>144</v>
      </c>
      <c r="U360" s="206">
        <v>-2</v>
      </c>
      <c r="V360" s="206">
        <v>-0.04</v>
      </c>
      <c r="W360" s="206">
        <v>0.3</v>
      </c>
      <c r="X360" s="206">
        <v>0</v>
      </c>
      <c r="Y360" s="206">
        <v>0</v>
      </c>
      <c r="Z360" s="206">
        <v>0</v>
      </c>
      <c r="AA360" s="206">
        <v>0.3</v>
      </c>
      <c r="AB360" s="206">
        <v>0</v>
      </c>
      <c r="AC360" s="235">
        <v>46227.418321759258</v>
      </c>
      <c r="AE360" s="126">
        <v>0</v>
      </c>
      <c r="AF360" s="126">
        <v>0</v>
      </c>
      <c r="AG360" s="126">
        <v>1</v>
      </c>
      <c r="AH360" s="126">
        <v>0</v>
      </c>
      <c r="AI360" s="126">
        <v>1</v>
      </c>
    </row>
    <row r="361" spans="3:35">
      <c r="C361" s="126">
        <v>354</v>
      </c>
      <c r="D361" s="126">
        <v>1</v>
      </c>
      <c r="E361" s="126">
        <v>1</v>
      </c>
      <c r="G361" s="126">
        <v>84</v>
      </c>
      <c r="O361" s="126" t="s">
        <v>549</v>
      </c>
      <c r="P361" s="126" t="s">
        <v>1934</v>
      </c>
      <c r="Q361" s="126">
        <v>1</v>
      </c>
      <c r="S361" s="162">
        <v>46201</v>
      </c>
      <c r="T361" s="126">
        <v>29</v>
      </c>
      <c r="U361" s="206">
        <v>-2</v>
      </c>
      <c r="V361" s="206">
        <v>-2</v>
      </c>
      <c r="W361" s="206">
        <v>4.2300000000000004</v>
      </c>
      <c r="X361" s="206">
        <v>0</v>
      </c>
      <c r="Y361" s="206">
        <v>0</v>
      </c>
      <c r="Z361" s="206">
        <v>0</v>
      </c>
      <c r="AA361" s="206">
        <v>4.2300000000000004</v>
      </c>
      <c r="AB361" s="206">
        <v>0</v>
      </c>
      <c r="AC361" s="235">
        <v>46227.418321759258</v>
      </c>
      <c r="AE361" s="126">
        <v>0</v>
      </c>
      <c r="AF361" s="126">
        <v>0</v>
      </c>
      <c r="AG361" s="126">
        <v>1</v>
      </c>
      <c r="AH361" s="126">
        <v>0</v>
      </c>
      <c r="AI361" s="126">
        <v>1</v>
      </c>
    </row>
    <row r="362" spans="3:35">
      <c r="C362" s="126">
        <v>355</v>
      </c>
      <c r="D362" s="126">
        <v>1</v>
      </c>
      <c r="E362" s="126">
        <v>1</v>
      </c>
      <c r="G362" s="126">
        <v>84</v>
      </c>
      <c r="O362" s="126" t="s">
        <v>549</v>
      </c>
      <c r="P362" s="126" t="s">
        <v>1934</v>
      </c>
      <c r="Q362" s="126">
        <v>1</v>
      </c>
      <c r="S362" s="162">
        <v>46201</v>
      </c>
      <c r="T362" s="126">
        <v>37</v>
      </c>
      <c r="U362" s="206">
        <v>-1</v>
      </c>
      <c r="V362" s="206">
        <v>-1</v>
      </c>
      <c r="W362" s="206">
        <v>0.66</v>
      </c>
      <c r="X362" s="206">
        <v>0</v>
      </c>
      <c r="Y362" s="206">
        <v>0</v>
      </c>
      <c r="Z362" s="206">
        <v>0</v>
      </c>
      <c r="AA362" s="206">
        <v>0.66</v>
      </c>
      <c r="AB362" s="206">
        <v>0</v>
      </c>
      <c r="AC362" s="235">
        <v>46227.418321759258</v>
      </c>
      <c r="AE362" s="126">
        <v>0</v>
      </c>
      <c r="AF362" s="126">
        <v>0</v>
      </c>
      <c r="AG362" s="126">
        <v>1</v>
      </c>
      <c r="AH362" s="126">
        <v>0</v>
      </c>
      <c r="AI362" s="126">
        <v>1</v>
      </c>
    </row>
    <row r="363" spans="3:35">
      <c r="C363" s="126">
        <v>356</v>
      </c>
      <c r="D363" s="126">
        <v>1</v>
      </c>
      <c r="E363" s="126">
        <v>1</v>
      </c>
      <c r="G363" s="126">
        <v>84</v>
      </c>
      <c r="O363" s="126" t="s">
        <v>549</v>
      </c>
      <c r="P363" s="126" t="s">
        <v>1934</v>
      </c>
      <c r="Q363" s="126">
        <v>1</v>
      </c>
      <c r="S363" s="162">
        <v>46201</v>
      </c>
      <c r="T363" s="126">
        <v>49</v>
      </c>
      <c r="U363" s="206">
        <v>-3</v>
      </c>
      <c r="V363" s="206">
        <v>-3</v>
      </c>
      <c r="W363" s="206">
        <v>0.28000000000000003</v>
      </c>
      <c r="X363" s="206">
        <v>0</v>
      </c>
      <c r="Y363" s="206">
        <v>0</v>
      </c>
      <c r="Z363" s="206">
        <v>0</v>
      </c>
      <c r="AA363" s="206">
        <v>0.28000000000000003</v>
      </c>
      <c r="AB363" s="206">
        <v>0</v>
      </c>
      <c r="AC363" s="235">
        <v>46227.418321759258</v>
      </c>
      <c r="AE363" s="126">
        <v>0</v>
      </c>
      <c r="AF363" s="126">
        <v>0</v>
      </c>
      <c r="AG363" s="126">
        <v>1</v>
      </c>
      <c r="AH363" s="126">
        <v>0</v>
      </c>
      <c r="AI363" s="126">
        <v>1</v>
      </c>
    </row>
    <row r="364" spans="3:35">
      <c r="C364" s="126">
        <v>357</v>
      </c>
      <c r="D364" s="126">
        <v>1</v>
      </c>
      <c r="E364" s="126">
        <v>1</v>
      </c>
      <c r="G364" s="126">
        <v>84</v>
      </c>
      <c r="O364" s="126" t="s">
        <v>549</v>
      </c>
      <c r="P364" s="126" t="s">
        <v>1934</v>
      </c>
      <c r="Q364" s="126">
        <v>1</v>
      </c>
      <c r="S364" s="162">
        <v>46201</v>
      </c>
      <c r="T364" s="126">
        <v>108</v>
      </c>
      <c r="U364" s="206">
        <v>-1</v>
      </c>
      <c r="V364" s="206">
        <v>-1</v>
      </c>
      <c r="W364" s="206">
        <v>2.7</v>
      </c>
      <c r="X364" s="206">
        <v>0</v>
      </c>
      <c r="Y364" s="206">
        <v>0</v>
      </c>
      <c r="Z364" s="206">
        <v>0</v>
      </c>
      <c r="AA364" s="206">
        <v>2.7</v>
      </c>
      <c r="AB364" s="206">
        <v>0</v>
      </c>
      <c r="AC364" s="235">
        <v>46227.418321759258</v>
      </c>
      <c r="AE364" s="126">
        <v>0</v>
      </c>
      <c r="AF364" s="126">
        <v>0</v>
      </c>
      <c r="AG364" s="126">
        <v>1</v>
      </c>
      <c r="AH364" s="126">
        <v>0</v>
      </c>
      <c r="AI364" s="126">
        <v>1</v>
      </c>
    </row>
    <row r="365" spans="3:35">
      <c r="C365" s="126">
        <v>358</v>
      </c>
      <c r="D365" s="126">
        <v>1</v>
      </c>
      <c r="E365" s="126">
        <v>1</v>
      </c>
      <c r="G365" s="126">
        <v>84</v>
      </c>
      <c r="O365" s="126" t="s">
        <v>549</v>
      </c>
      <c r="P365" s="126" t="s">
        <v>1934</v>
      </c>
      <c r="Q365" s="126">
        <v>1</v>
      </c>
      <c r="S365" s="162">
        <v>46201</v>
      </c>
      <c r="T365" s="126">
        <v>153</v>
      </c>
      <c r="U365" s="206">
        <v>-2</v>
      </c>
      <c r="V365" s="206">
        <v>-0.16666666666666666</v>
      </c>
      <c r="W365" s="206">
        <v>3.3</v>
      </c>
      <c r="X365" s="206">
        <v>0</v>
      </c>
      <c r="Y365" s="206">
        <v>0</v>
      </c>
      <c r="Z365" s="206">
        <v>0</v>
      </c>
      <c r="AA365" s="206">
        <v>3.3</v>
      </c>
      <c r="AB365" s="206">
        <v>0</v>
      </c>
      <c r="AC365" s="235">
        <v>46227.418321759258</v>
      </c>
      <c r="AE365" s="126">
        <v>0</v>
      </c>
      <c r="AF365" s="126">
        <v>0</v>
      </c>
      <c r="AG365" s="126">
        <v>1</v>
      </c>
      <c r="AH365" s="126">
        <v>0</v>
      </c>
      <c r="AI365" s="126">
        <v>1</v>
      </c>
    </row>
    <row r="366" spans="3:35">
      <c r="C366" s="126">
        <v>359</v>
      </c>
      <c r="D366" s="126">
        <v>1</v>
      </c>
      <c r="E366" s="126">
        <v>1</v>
      </c>
      <c r="G366" s="126">
        <v>84</v>
      </c>
      <c r="O366" s="126" t="s">
        <v>549</v>
      </c>
      <c r="P366" s="126" t="s">
        <v>1934</v>
      </c>
      <c r="Q366" s="126">
        <v>1</v>
      </c>
      <c r="S366" s="162">
        <v>46201</v>
      </c>
      <c r="T366" s="126">
        <v>181</v>
      </c>
      <c r="U366" s="206">
        <v>-12</v>
      </c>
      <c r="V366" s="206">
        <v>-1</v>
      </c>
      <c r="W366" s="206">
        <v>1</v>
      </c>
      <c r="X366" s="206">
        <v>0</v>
      </c>
      <c r="Y366" s="206">
        <v>0</v>
      </c>
      <c r="Z366" s="206">
        <v>0</v>
      </c>
      <c r="AA366" s="206">
        <v>1</v>
      </c>
      <c r="AB366" s="206">
        <v>0</v>
      </c>
      <c r="AC366" s="235">
        <v>46227.418321759258</v>
      </c>
      <c r="AE366" s="126">
        <v>0</v>
      </c>
      <c r="AF366" s="126">
        <v>0</v>
      </c>
      <c r="AG366" s="126">
        <v>1</v>
      </c>
      <c r="AH366" s="126">
        <v>0</v>
      </c>
      <c r="AI366" s="126">
        <v>1</v>
      </c>
    </row>
    <row r="367" spans="3:35">
      <c r="C367" s="126">
        <v>360</v>
      </c>
      <c r="D367" s="126">
        <v>1</v>
      </c>
      <c r="E367" s="126">
        <v>1</v>
      </c>
      <c r="G367" s="126">
        <v>84</v>
      </c>
      <c r="O367" s="126" t="s">
        <v>549</v>
      </c>
      <c r="P367" s="126" t="s">
        <v>1934</v>
      </c>
      <c r="Q367" s="126">
        <v>1</v>
      </c>
      <c r="S367" s="162">
        <v>46201</v>
      </c>
      <c r="T367" s="126">
        <v>101</v>
      </c>
      <c r="U367" s="206">
        <v>-500</v>
      </c>
      <c r="V367" s="206">
        <v>-0.1111111111111111</v>
      </c>
      <c r="W367" s="206">
        <v>0</v>
      </c>
      <c r="X367" s="206">
        <v>0</v>
      </c>
      <c r="Y367" s="206">
        <v>0</v>
      </c>
      <c r="Z367" s="206">
        <v>0</v>
      </c>
      <c r="AA367" s="206">
        <v>0</v>
      </c>
      <c r="AB367" s="206">
        <v>0</v>
      </c>
      <c r="AC367" s="235">
        <v>46227.418321759258</v>
      </c>
      <c r="AE367" s="126">
        <v>0</v>
      </c>
      <c r="AF367" s="126">
        <v>0</v>
      </c>
      <c r="AG367" s="126">
        <v>1</v>
      </c>
      <c r="AH367" s="126">
        <v>0</v>
      </c>
      <c r="AI367" s="126">
        <v>1</v>
      </c>
    </row>
    <row r="368" spans="3:35">
      <c r="C368" s="126">
        <v>361</v>
      </c>
      <c r="D368" s="126">
        <v>1</v>
      </c>
      <c r="E368" s="126">
        <v>1</v>
      </c>
      <c r="G368" s="126">
        <v>84</v>
      </c>
      <c r="O368" s="126" t="s">
        <v>549</v>
      </c>
      <c r="P368" s="126" t="s">
        <v>1934</v>
      </c>
      <c r="Q368" s="126">
        <v>1</v>
      </c>
      <c r="S368" s="162">
        <v>46201</v>
      </c>
      <c r="T368" s="126">
        <v>7</v>
      </c>
      <c r="U368" s="206">
        <v>-1</v>
      </c>
      <c r="V368" s="206">
        <v>-1</v>
      </c>
      <c r="W368" s="206">
        <v>1.79</v>
      </c>
      <c r="X368" s="206">
        <v>0</v>
      </c>
      <c r="Y368" s="206">
        <v>0</v>
      </c>
      <c r="Z368" s="206">
        <v>0</v>
      </c>
      <c r="AA368" s="206">
        <v>1.79</v>
      </c>
      <c r="AB368" s="206">
        <v>0</v>
      </c>
      <c r="AC368" s="235">
        <v>46227.418321759258</v>
      </c>
      <c r="AE368" s="126">
        <v>0</v>
      </c>
      <c r="AF368" s="126">
        <v>0</v>
      </c>
      <c r="AG368" s="126">
        <v>1</v>
      </c>
      <c r="AH368" s="126">
        <v>0</v>
      </c>
      <c r="AI368" s="126">
        <v>1</v>
      </c>
    </row>
    <row r="369" spans="3:35">
      <c r="C369" s="126">
        <v>362</v>
      </c>
      <c r="D369" s="126">
        <v>1</v>
      </c>
      <c r="E369" s="126">
        <v>1</v>
      </c>
      <c r="G369" s="126">
        <v>84</v>
      </c>
      <c r="O369" s="126" t="s">
        <v>549</v>
      </c>
      <c r="P369" s="126" t="s">
        <v>1934</v>
      </c>
      <c r="Q369" s="126">
        <v>1</v>
      </c>
      <c r="S369" s="162">
        <v>46201</v>
      </c>
      <c r="T369" s="126">
        <v>13</v>
      </c>
      <c r="U369" s="206">
        <v>-1</v>
      </c>
      <c r="V369" s="206">
        <v>-1</v>
      </c>
      <c r="W369" s="206">
        <v>5.3</v>
      </c>
      <c r="X369" s="206">
        <v>0</v>
      </c>
      <c r="Y369" s="206">
        <v>0</v>
      </c>
      <c r="Z369" s="206">
        <v>0</v>
      </c>
      <c r="AA369" s="206">
        <v>5.3</v>
      </c>
      <c r="AB369" s="206">
        <v>0</v>
      </c>
      <c r="AC369" s="235">
        <v>46227.418321759258</v>
      </c>
      <c r="AE369" s="126">
        <v>0</v>
      </c>
      <c r="AF369" s="126">
        <v>0</v>
      </c>
      <c r="AG369" s="126">
        <v>1</v>
      </c>
      <c r="AH369" s="126">
        <v>0</v>
      </c>
      <c r="AI369" s="126">
        <v>1</v>
      </c>
    </row>
    <row r="370" spans="3:35">
      <c r="C370" s="126">
        <v>363</v>
      </c>
      <c r="D370" s="126">
        <v>1</v>
      </c>
      <c r="E370" s="126">
        <v>1</v>
      </c>
      <c r="G370" s="126">
        <v>85</v>
      </c>
      <c r="O370" s="126" t="s">
        <v>549</v>
      </c>
      <c r="P370" s="126" t="s">
        <v>1987</v>
      </c>
      <c r="Q370" s="126">
        <v>1</v>
      </c>
      <c r="S370" s="162">
        <v>46201</v>
      </c>
      <c r="T370" s="126">
        <v>1</v>
      </c>
      <c r="U370" s="206">
        <v>-1</v>
      </c>
      <c r="V370" s="206">
        <v>-1</v>
      </c>
      <c r="W370" s="206">
        <v>27.34</v>
      </c>
      <c r="X370" s="206">
        <v>0</v>
      </c>
      <c r="Y370" s="206">
        <v>0</v>
      </c>
      <c r="Z370" s="206">
        <v>0</v>
      </c>
      <c r="AA370" s="206">
        <v>27.34</v>
      </c>
      <c r="AB370" s="206">
        <v>0</v>
      </c>
      <c r="AC370" s="235">
        <v>46227.447060185186</v>
      </c>
      <c r="AE370" s="126">
        <v>0</v>
      </c>
      <c r="AF370" s="126">
        <v>0</v>
      </c>
      <c r="AG370" s="126">
        <v>1</v>
      </c>
      <c r="AH370" s="126">
        <v>0</v>
      </c>
      <c r="AI370" s="126">
        <v>1</v>
      </c>
    </row>
    <row r="371" spans="3:35">
      <c r="C371" s="126">
        <v>364</v>
      </c>
      <c r="D371" s="126">
        <v>1</v>
      </c>
      <c r="E371" s="126">
        <v>1</v>
      </c>
      <c r="G371" s="126">
        <v>85</v>
      </c>
      <c r="O371" s="126" t="s">
        <v>549</v>
      </c>
      <c r="P371" s="126" t="s">
        <v>1987</v>
      </c>
      <c r="Q371" s="126">
        <v>1</v>
      </c>
      <c r="S371" s="162">
        <v>46201</v>
      </c>
      <c r="T371" s="126">
        <v>26</v>
      </c>
      <c r="U371" s="206">
        <v>-1</v>
      </c>
      <c r="V371" s="206">
        <v>-1</v>
      </c>
      <c r="W371" s="206">
        <v>3.01</v>
      </c>
      <c r="X371" s="206">
        <v>0</v>
      </c>
      <c r="Y371" s="206">
        <v>0</v>
      </c>
      <c r="Z371" s="206">
        <v>0</v>
      </c>
      <c r="AA371" s="206">
        <v>3.01</v>
      </c>
      <c r="AB371" s="206">
        <v>0</v>
      </c>
      <c r="AC371" s="235">
        <v>46227.447060185186</v>
      </c>
      <c r="AE371" s="126">
        <v>0</v>
      </c>
      <c r="AF371" s="126">
        <v>0</v>
      </c>
      <c r="AG371" s="126">
        <v>1</v>
      </c>
      <c r="AH371" s="126">
        <v>0</v>
      </c>
      <c r="AI371" s="126">
        <v>1</v>
      </c>
    </row>
    <row r="372" spans="3:35">
      <c r="C372" s="126">
        <v>365</v>
      </c>
      <c r="D372" s="126">
        <v>1</v>
      </c>
      <c r="E372" s="126">
        <v>1</v>
      </c>
      <c r="G372" s="126">
        <v>85</v>
      </c>
      <c r="O372" s="126" t="s">
        <v>549</v>
      </c>
      <c r="P372" s="126" t="s">
        <v>1987</v>
      </c>
      <c r="Q372" s="126">
        <v>1</v>
      </c>
      <c r="S372" s="162">
        <v>46201</v>
      </c>
      <c r="T372" s="126">
        <v>4</v>
      </c>
      <c r="U372" s="206">
        <v>-1</v>
      </c>
      <c r="V372" s="206">
        <v>-1</v>
      </c>
      <c r="W372" s="206">
        <v>5.8</v>
      </c>
      <c r="X372" s="206">
        <v>0</v>
      </c>
      <c r="Y372" s="206">
        <v>0</v>
      </c>
      <c r="Z372" s="206">
        <v>0</v>
      </c>
      <c r="AA372" s="206">
        <v>5.8</v>
      </c>
      <c r="AB372" s="206">
        <v>0</v>
      </c>
      <c r="AC372" s="235">
        <v>46227.447060185186</v>
      </c>
      <c r="AE372" s="126">
        <v>0</v>
      </c>
      <c r="AF372" s="126">
        <v>0</v>
      </c>
      <c r="AG372" s="126">
        <v>1</v>
      </c>
      <c r="AH372" s="126">
        <v>0</v>
      </c>
      <c r="AI372" s="126">
        <v>1</v>
      </c>
    </row>
    <row r="373" spans="3:35">
      <c r="C373" s="126">
        <v>366</v>
      </c>
      <c r="D373" s="126">
        <v>1</v>
      </c>
      <c r="E373" s="126">
        <v>1</v>
      </c>
      <c r="G373" s="126">
        <v>85</v>
      </c>
      <c r="O373" s="126" t="s">
        <v>549</v>
      </c>
      <c r="P373" s="126" t="s">
        <v>1987</v>
      </c>
      <c r="Q373" s="126">
        <v>1</v>
      </c>
      <c r="S373" s="162">
        <v>46201</v>
      </c>
      <c r="T373" s="126">
        <v>34</v>
      </c>
      <c r="U373" s="206">
        <v>-1</v>
      </c>
      <c r="V373" s="206">
        <v>-1</v>
      </c>
      <c r="W373" s="206">
        <v>0.5</v>
      </c>
      <c r="X373" s="206">
        <v>0</v>
      </c>
      <c r="Y373" s="206">
        <v>0</v>
      </c>
      <c r="Z373" s="206">
        <v>0</v>
      </c>
      <c r="AA373" s="206">
        <v>0.5</v>
      </c>
      <c r="AB373" s="206">
        <v>0</v>
      </c>
      <c r="AC373" s="235">
        <v>46227.447060185186</v>
      </c>
      <c r="AE373" s="126">
        <v>0</v>
      </c>
      <c r="AF373" s="126">
        <v>0</v>
      </c>
      <c r="AG373" s="126">
        <v>1</v>
      </c>
      <c r="AH373" s="126">
        <v>0</v>
      </c>
      <c r="AI373" s="126">
        <v>1</v>
      </c>
    </row>
    <row r="374" spans="3:35">
      <c r="C374" s="126">
        <v>367</v>
      </c>
      <c r="D374" s="126">
        <v>1</v>
      </c>
      <c r="E374" s="126">
        <v>1</v>
      </c>
      <c r="G374" s="126">
        <v>85</v>
      </c>
      <c r="O374" s="126" t="s">
        <v>549</v>
      </c>
      <c r="P374" s="126" t="s">
        <v>1987</v>
      </c>
      <c r="Q374" s="126">
        <v>1</v>
      </c>
      <c r="S374" s="162">
        <v>46201</v>
      </c>
      <c r="T374" s="126">
        <v>20</v>
      </c>
      <c r="U374" s="206">
        <v>-10</v>
      </c>
      <c r="V374" s="206">
        <v>-10</v>
      </c>
      <c r="W374" s="206">
        <v>5.03</v>
      </c>
      <c r="X374" s="206">
        <v>0</v>
      </c>
      <c r="Y374" s="206">
        <v>0</v>
      </c>
      <c r="Z374" s="206">
        <v>0</v>
      </c>
      <c r="AA374" s="206">
        <v>5.03</v>
      </c>
      <c r="AB374" s="206">
        <v>0</v>
      </c>
      <c r="AC374" s="235">
        <v>46227.447060185186</v>
      </c>
      <c r="AE374" s="126">
        <v>0</v>
      </c>
      <c r="AF374" s="126">
        <v>0</v>
      </c>
      <c r="AG374" s="126">
        <v>1</v>
      </c>
      <c r="AH374" s="126">
        <v>0</v>
      </c>
      <c r="AI374" s="126">
        <v>1</v>
      </c>
    </row>
    <row r="375" spans="3:35">
      <c r="C375" s="126">
        <v>368</v>
      </c>
      <c r="D375" s="126">
        <v>1</v>
      </c>
      <c r="E375" s="126">
        <v>1</v>
      </c>
      <c r="G375" s="126">
        <v>85</v>
      </c>
      <c r="O375" s="126" t="s">
        <v>549</v>
      </c>
      <c r="P375" s="126" t="s">
        <v>1987</v>
      </c>
      <c r="Q375" s="126">
        <v>1</v>
      </c>
      <c r="S375" s="162">
        <v>46201</v>
      </c>
      <c r="T375" s="126">
        <v>49</v>
      </c>
      <c r="U375" s="206">
        <v>-5</v>
      </c>
      <c r="V375" s="206">
        <v>-5</v>
      </c>
      <c r="W375" s="206">
        <v>0.28000000000000003</v>
      </c>
      <c r="X375" s="206">
        <v>0</v>
      </c>
      <c r="Y375" s="206">
        <v>0</v>
      </c>
      <c r="Z375" s="206">
        <v>0</v>
      </c>
      <c r="AA375" s="206">
        <v>0.28000000000000003</v>
      </c>
      <c r="AB375" s="206">
        <v>0</v>
      </c>
      <c r="AC375" s="235">
        <v>46227.447060185186</v>
      </c>
      <c r="AE375" s="126">
        <v>0</v>
      </c>
      <c r="AF375" s="126">
        <v>0</v>
      </c>
      <c r="AG375" s="126">
        <v>1</v>
      </c>
      <c r="AH375" s="126">
        <v>0</v>
      </c>
      <c r="AI375" s="126">
        <v>1</v>
      </c>
    </row>
    <row r="376" spans="3:35">
      <c r="C376" s="126">
        <v>369</v>
      </c>
      <c r="D376" s="126">
        <v>1</v>
      </c>
      <c r="E376" s="126">
        <v>1</v>
      </c>
      <c r="G376" s="126">
        <v>85</v>
      </c>
      <c r="O376" s="126" t="s">
        <v>549</v>
      </c>
      <c r="P376" s="126" t="s">
        <v>1987</v>
      </c>
      <c r="Q376" s="126">
        <v>1</v>
      </c>
      <c r="S376" s="162">
        <v>46201</v>
      </c>
      <c r="T376" s="126">
        <v>50</v>
      </c>
      <c r="U376" s="206">
        <v>-5</v>
      </c>
      <c r="V376" s="206">
        <v>-5</v>
      </c>
      <c r="W376" s="206">
        <v>0.12</v>
      </c>
      <c r="X376" s="206">
        <v>0</v>
      </c>
      <c r="Y376" s="206">
        <v>0</v>
      </c>
      <c r="Z376" s="206">
        <v>0</v>
      </c>
      <c r="AA376" s="206">
        <v>0.12</v>
      </c>
      <c r="AB376" s="206">
        <v>0</v>
      </c>
      <c r="AC376" s="235">
        <v>46227.447060185186</v>
      </c>
      <c r="AE376" s="126">
        <v>0</v>
      </c>
      <c r="AF376" s="126">
        <v>0</v>
      </c>
      <c r="AG376" s="126">
        <v>1</v>
      </c>
      <c r="AH376" s="126">
        <v>0</v>
      </c>
      <c r="AI376" s="126">
        <v>1</v>
      </c>
    </row>
    <row r="377" spans="3:35">
      <c r="C377" s="126">
        <v>370</v>
      </c>
      <c r="D377" s="126">
        <v>1</v>
      </c>
      <c r="E377" s="126">
        <v>1</v>
      </c>
      <c r="G377" s="126">
        <v>85</v>
      </c>
      <c r="O377" s="126" t="s">
        <v>549</v>
      </c>
      <c r="P377" s="126" t="s">
        <v>1987</v>
      </c>
      <c r="Q377" s="126">
        <v>1</v>
      </c>
      <c r="S377" s="162">
        <v>46201</v>
      </c>
      <c r="T377" s="126">
        <v>71</v>
      </c>
      <c r="U377" s="206">
        <v>-2</v>
      </c>
      <c r="V377" s="206">
        <v>-2</v>
      </c>
      <c r="W377" s="206">
        <v>0.11</v>
      </c>
      <c r="X377" s="206">
        <v>0</v>
      </c>
      <c r="Y377" s="206">
        <v>0</v>
      </c>
      <c r="Z377" s="206">
        <v>0</v>
      </c>
      <c r="AA377" s="206">
        <v>0.11</v>
      </c>
      <c r="AB377" s="206">
        <v>0</v>
      </c>
      <c r="AC377" s="235">
        <v>46227.447060185186</v>
      </c>
      <c r="AE377" s="126">
        <v>0</v>
      </c>
      <c r="AF377" s="126">
        <v>0</v>
      </c>
      <c r="AG377" s="126">
        <v>1</v>
      </c>
      <c r="AH377" s="126">
        <v>0</v>
      </c>
      <c r="AI377" s="126">
        <v>1</v>
      </c>
    </row>
    <row r="378" spans="3:35">
      <c r="C378" s="126">
        <v>371</v>
      </c>
      <c r="D378" s="126">
        <v>1</v>
      </c>
      <c r="E378" s="126">
        <v>1</v>
      </c>
      <c r="G378" s="126">
        <v>85</v>
      </c>
      <c r="O378" s="126" t="s">
        <v>549</v>
      </c>
      <c r="P378" s="126" t="s">
        <v>1987</v>
      </c>
      <c r="Q378" s="126">
        <v>1</v>
      </c>
      <c r="S378" s="162">
        <v>46201</v>
      </c>
      <c r="T378" s="126">
        <v>9</v>
      </c>
      <c r="U378" s="206">
        <v>-3</v>
      </c>
      <c r="V378" s="206">
        <v>-3</v>
      </c>
      <c r="W378" s="206">
        <v>1.1499999999999999</v>
      </c>
      <c r="X378" s="206">
        <v>0</v>
      </c>
      <c r="Y378" s="206">
        <v>0</v>
      </c>
      <c r="Z378" s="206">
        <v>0</v>
      </c>
      <c r="AA378" s="206">
        <v>1.1499999999999999</v>
      </c>
      <c r="AB378" s="206">
        <v>0</v>
      </c>
      <c r="AC378" s="235">
        <v>46227.447060185186</v>
      </c>
      <c r="AE378" s="126">
        <v>0</v>
      </c>
      <c r="AF378" s="126">
        <v>0</v>
      </c>
      <c r="AG378" s="126">
        <v>1</v>
      </c>
      <c r="AH378" s="126">
        <v>0</v>
      </c>
      <c r="AI378" s="126">
        <v>1</v>
      </c>
    </row>
    <row r="379" spans="3:35">
      <c r="C379" s="126">
        <v>372</v>
      </c>
      <c r="D379" s="126">
        <v>1</v>
      </c>
      <c r="E379" s="126">
        <v>1</v>
      </c>
      <c r="G379" s="126">
        <v>85</v>
      </c>
      <c r="O379" s="126" t="s">
        <v>549</v>
      </c>
      <c r="P379" s="126" t="s">
        <v>1987</v>
      </c>
      <c r="Q379" s="126">
        <v>1</v>
      </c>
      <c r="S379" s="162">
        <v>46201</v>
      </c>
      <c r="T379" s="126">
        <v>70</v>
      </c>
      <c r="U379" s="206">
        <v>-1</v>
      </c>
      <c r="V379" s="206">
        <v>-1</v>
      </c>
      <c r="W379" s="206">
        <v>0.15</v>
      </c>
      <c r="X379" s="206">
        <v>0</v>
      </c>
      <c r="Y379" s="206">
        <v>0</v>
      </c>
      <c r="Z379" s="206">
        <v>0</v>
      </c>
      <c r="AA379" s="206">
        <v>0.15</v>
      </c>
      <c r="AB379" s="206">
        <v>0</v>
      </c>
      <c r="AC379" s="235">
        <v>46227.447060185186</v>
      </c>
      <c r="AE379" s="126">
        <v>0</v>
      </c>
      <c r="AF379" s="126">
        <v>0</v>
      </c>
      <c r="AG379" s="126">
        <v>1</v>
      </c>
      <c r="AH379" s="126">
        <v>0</v>
      </c>
      <c r="AI379" s="126">
        <v>1</v>
      </c>
    </row>
    <row r="380" spans="3:35">
      <c r="C380" s="126">
        <v>373</v>
      </c>
      <c r="D380" s="126">
        <v>1</v>
      </c>
      <c r="E380" s="126">
        <v>1</v>
      </c>
      <c r="G380" s="126">
        <v>85</v>
      </c>
      <c r="O380" s="126" t="s">
        <v>549</v>
      </c>
      <c r="P380" s="126" t="s">
        <v>1987</v>
      </c>
      <c r="Q380" s="126">
        <v>1</v>
      </c>
      <c r="S380" s="162">
        <v>46201</v>
      </c>
      <c r="T380" s="126">
        <v>108</v>
      </c>
      <c r="U380" s="206">
        <v>-1</v>
      </c>
      <c r="V380" s="206">
        <v>-1</v>
      </c>
      <c r="W380" s="206">
        <v>2.7</v>
      </c>
      <c r="X380" s="206">
        <v>0</v>
      </c>
      <c r="Y380" s="206">
        <v>0</v>
      </c>
      <c r="Z380" s="206">
        <v>0</v>
      </c>
      <c r="AA380" s="206">
        <v>2.7</v>
      </c>
      <c r="AB380" s="206">
        <v>0</v>
      </c>
      <c r="AC380" s="235">
        <v>46227.447060185186</v>
      </c>
      <c r="AE380" s="126">
        <v>0</v>
      </c>
      <c r="AF380" s="126">
        <v>0</v>
      </c>
      <c r="AG380" s="126">
        <v>1</v>
      </c>
      <c r="AH380" s="126">
        <v>0</v>
      </c>
      <c r="AI380" s="126">
        <v>1</v>
      </c>
    </row>
    <row r="381" spans="3:35">
      <c r="C381" s="126">
        <v>374</v>
      </c>
      <c r="D381" s="126">
        <v>1</v>
      </c>
      <c r="E381" s="126">
        <v>1</v>
      </c>
      <c r="G381" s="126">
        <v>85</v>
      </c>
      <c r="O381" s="126" t="s">
        <v>549</v>
      </c>
      <c r="P381" s="126" t="s">
        <v>1987</v>
      </c>
      <c r="Q381" s="126">
        <v>1</v>
      </c>
      <c r="S381" s="162">
        <v>46201</v>
      </c>
      <c r="T381" s="126">
        <v>17</v>
      </c>
      <c r="U381" s="206">
        <v>-1</v>
      </c>
      <c r="V381" s="206">
        <v>-1</v>
      </c>
      <c r="W381" s="206">
        <v>1.63</v>
      </c>
      <c r="X381" s="206">
        <v>0</v>
      </c>
      <c r="Y381" s="206">
        <v>0</v>
      </c>
      <c r="Z381" s="206">
        <v>0</v>
      </c>
      <c r="AA381" s="206">
        <v>1.63</v>
      </c>
      <c r="AB381" s="206">
        <v>0</v>
      </c>
      <c r="AC381" s="235">
        <v>46227.447060185186</v>
      </c>
      <c r="AE381" s="126">
        <v>0</v>
      </c>
      <c r="AF381" s="126">
        <v>0</v>
      </c>
      <c r="AG381" s="126">
        <v>1</v>
      </c>
      <c r="AH381" s="126">
        <v>0</v>
      </c>
      <c r="AI381" s="126">
        <v>1</v>
      </c>
    </row>
    <row r="382" spans="3:35">
      <c r="C382" s="126">
        <v>375</v>
      </c>
      <c r="D382" s="126">
        <v>1</v>
      </c>
      <c r="E382" s="126">
        <v>1</v>
      </c>
      <c r="G382" s="126">
        <v>85</v>
      </c>
      <c r="O382" s="126" t="s">
        <v>549</v>
      </c>
      <c r="P382" s="126" t="s">
        <v>1987</v>
      </c>
      <c r="Q382" s="126">
        <v>1</v>
      </c>
      <c r="S382" s="162">
        <v>46201</v>
      </c>
      <c r="T382" s="126">
        <v>79</v>
      </c>
      <c r="U382" s="206">
        <v>-50</v>
      </c>
      <c r="V382" s="206">
        <v>-1</v>
      </c>
      <c r="W382" s="206">
        <v>5</v>
      </c>
      <c r="X382" s="206">
        <v>0</v>
      </c>
      <c r="Y382" s="206">
        <v>0</v>
      </c>
      <c r="Z382" s="206">
        <v>0</v>
      </c>
      <c r="AA382" s="206">
        <v>5</v>
      </c>
      <c r="AB382" s="206">
        <v>0</v>
      </c>
      <c r="AC382" s="235">
        <v>46227.447060185186</v>
      </c>
      <c r="AE382" s="126">
        <v>0</v>
      </c>
      <c r="AF382" s="126">
        <v>0</v>
      </c>
      <c r="AG382" s="126">
        <v>1</v>
      </c>
      <c r="AH382" s="126">
        <v>0</v>
      </c>
      <c r="AI382" s="126">
        <v>1</v>
      </c>
    </row>
    <row r="383" spans="3:35">
      <c r="C383" s="126">
        <v>376</v>
      </c>
      <c r="D383" s="126">
        <v>1</v>
      </c>
      <c r="E383" s="126">
        <v>1</v>
      </c>
      <c r="G383" s="126">
        <v>85</v>
      </c>
      <c r="O383" s="126" t="s">
        <v>549</v>
      </c>
      <c r="P383" s="126" t="s">
        <v>1987</v>
      </c>
      <c r="Q383" s="126">
        <v>1</v>
      </c>
      <c r="S383" s="162">
        <v>46201</v>
      </c>
      <c r="T383" s="126">
        <v>77</v>
      </c>
      <c r="U383" s="206">
        <v>-50</v>
      </c>
      <c r="V383" s="206">
        <v>-1</v>
      </c>
      <c r="W383" s="206">
        <v>8.8000000000000007</v>
      </c>
      <c r="X383" s="206">
        <v>0</v>
      </c>
      <c r="Y383" s="206">
        <v>0</v>
      </c>
      <c r="Z383" s="206">
        <v>0</v>
      </c>
      <c r="AA383" s="206">
        <v>8.8000000000000007</v>
      </c>
      <c r="AB383" s="206">
        <v>0</v>
      </c>
      <c r="AC383" s="235">
        <v>46227.447060185186</v>
      </c>
      <c r="AE383" s="126">
        <v>0</v>
      </c>
      <c r="AF383" s="126">
        <v>0</v>
      </c>
      <c r="AG383" s="126">
        <v>1</v>
      </c>
      <c r="AH383" s="126">
        <v>0</v>
      </c>
      <c r="AI383" s="126">
        <v>1</v>
      </c>
    </row>
    <row r="384" spans="3:35">
      <c r="C384" s="126">
        <v>377</v>
      </c>
      <c r="D384" s="126">
        <v>1</v>
      </c>
      <c r="E384" s="126">
        <v>1</v>
      </c>
      <c r="G384" s="126">
        <v>85</v>
      </c>
      <c r="O384" s="126" t="s">
        <v>549</v>
      </c>
      <c r="P384" s="126" t="s">
        <v>1987</v>
      </c>
      <c r="Q384" s="126">
        <v>1</v>
      </c>
      <c r="S384" s="162">
        <v>46201</v>
      </c>
      <c r="T384" s="126">
        <v>32</v>
      </c>
      <c r="U384" s="206">
        <v>-1</v>
      </c>
      <c r="V384" s="206">
        <v>-1</v>
      </c>
      <c r="W384" s="206">
        <v>1.04</v>
      </c>
      <c r="X384" s="206">
        <v>0</v>
      </c>
      <c r="Y384" s="206">
        <v>0</v>
      </c>
      <c r="Z384" s="206">
        <v>0</v>
      </c>
      <c r="AA384" s="206">
        <v>1.04</v>
      </c>
      <c r="AB384" s="206">
        <v>0</v>
      </c>
      <c r="AC384" s="235">
        <v>46227.447060185186</v>
      </c>
      <c r="AE384" s="126">
        <v>0</v>
      </c>
      <c r="AF384" s="126">
        <v>0</v>
      </c>
      <c r="AG384" s="126">
        <v>1</v>
      </c>
      <c r="AH384" s="126">
        <v>0</v>
      </c>
      <c r="AI384" s="126">
        <v>1</v>
      </c>
    </row>
    <row r="385" spans="3:35">
      <c r="C385" s="126">
        <v>378</v>
      </c>
      <c r="D385" s="126">
        <v>1</v>
      </c>
      <c r="E385" s="126">
        <v>1</v>
      </c>
      <c r="G385" s="126">
        <v>86</v>
      </c>
      <c r="O385" s="126" t="s">
        <v>549</v>
      </c>
      <c r="P385" s="126" t="s">
        <v>2042</v>
      </c>
      <c r="Q385" s="126">
        <v>1</v>
      </c>
      <c r="S385" s="162">
        <v>46202</v>
      </c>
      <c r="T385" s="126">
        <v>176</v>
      </c>
      <c r="U385" s="206">
        <v>-500</v>
      </c>
      <c r="V385" s="206">
        <v>-0.5</v>
      </c>
      <c r="W385" s="206">
        <v>4.25</v>
      </c>
      <c r="X385" s="206">
        <v>0</v>
      </c>
      <c r="Y385" s="206">
        <v>0</v>
      </c>
      <c r="Z385" s="206">
        <v>0</v>
      </c>
      <c r="AA385" s="206">
        <v>4.25</v>
      </c>
      <c r="AB385" s="206">
        <v>0</v>
      </c>
      <c r="AC385" s="235">
        <v>46227.454108796293</v>
      </c>
      <c r="AE385" s="126">
        <v>0</v>
      </c>
      <c r="AF385" s="126">
        <v>0</v>
      </c>
      <c r="AG385" s="126">
        <v>1</v>
      </c>
      <c r="AH385" s="126">
        <v>0</v>
      </c>
      <c r="AI385" s="126">
        <v>1</v>
      </c>
    </row>
    <row r="386" spans="3:35">
      <c r="C386" s="126">
        <v>379</v>
      </c>
      <c r="D386" s="126">
        <v>1</v>
      </c>
      <c r="E386" s="126">
        <v>1</v>
      </c>
      <c r="G386" s="126">
        <v>87</v>
      </c>
      <c r="O386" s="126" t="s">
        <v>549</v>
      </c>
      <c r="P386" s="126" t="s">
        <v>2047</v>
      </c>
      <c r="Q386" s="126">
        <v>1</v>
      </c>
      <c r="S386" s="162">
        <v>46202</v>
      </c>
      <c r="T386" s="126">
        <v>176</v>
      </c>
      <c r="U386" s="206">
        <v>-250</v>
      </c>
      <c r="V386" s="206">
        <v>-0.25</v>
      </c>
      <c r="W386" s="206">
        <v>4.25</v>
      </c>
      <c r="X386" s="206">
        <v>0</v>
      </c>
      <c r="Y386" s="206">
        <v>0</v>
      </c>
      <c r="Z386" s="206">
        <v>0</v>
      </c>
      <c r="AA386" s="206">
        <v>4.25</v>
      </c>
      <c r="AB386" s="206">
        <v>0</v>
      </c>
      <c r="AC386" s="235">
        <v>46227.458807870367</v>
      </c>
      <c r="AE386" s="126">
        <v>0</v>
      </c>
      <c r="AF386" s="126">
        <v>0</v>
      </c>
      <c r="AG386" s="126">
        <v>1</v>
      </c>
      <c r="AH386" s="126">
        <v>0</v>
      </c>
      <c r="AI386" s="126">
        <v>1</v>
      </c>
    </row>
    <row r="387" spans="3:35">
      <c r="C387" s="126">
        <v>380</v>
      </c>
      <c r="D387" s="126">
        <v>1</v>
      </c>
      <c r="E387" s="126">
        <v>1</v>
      </c>
      <c r="G387" s="126">
        <v>87</v>
      </c>
      <c r="O387" s="126" t="s">
        <v>549</v>
      </c>
      <c r="P387" s="126" t="s">
        <v>2047</v>
      </c>
      <c r="Q387" s="126">
        <v>1</v>
      </c>
      <c r="S387" s="162">
        <v>46202</v>
      </c>
      <c r="T387" s="126">
        <v>156</v>
      </c>
      <c r="U387" s="206">
        <v>-6</v>
      </c>
      <c r="V387" s="206">
        <v>-0.5</v>
      </c>
      <c r="W387" s="206">
        <v>4.41</v>
      </c>
      <c r="X387" s="206">
        <v>0</v>
      </c>
      <c r="Y387" s="206">
        <v>0</v>
      </c>
      <c r="Z387" s="206">
        <v>0</v>
      </c>
      <c r="AA387" s="206">
        <v>4.41</v>
      </c>
      <c r="AB387" s="206">
        <v>0</v>
      </c>
      <c r="AC387" s="235">
        <v>46227.458807870367</v>
      </c>
      <c r="AE387" s="126">
        <v>0</v>
      </c>
      <c r="AF387" s="126">
        <v>0</v>
      </c>
      <c r="AG387" s="126">
        <v>1</v>
      </c>
      <c r="AH387" s="126">
        <v>0</v>
      </c>
      <c r="AI387" s="126">
        <v>1</v>
      </c>
    </row>
    <row r="388" spans="3:35">
      <c r="C388" s="126">
        <v>381</v>
      </c>
      <c r="D388" s="126">
        <v>1</v>
      </c>
      <c r="E388" s="126">
        <v>1</v>
      </c>
      <c r="G388" s="126">
        <v>87</v>
      </c>
      <c r="O388" s="126" t="s">
        <v>549</v>
      </c>
      <c r="P388" s="126" t="s">
        <v>2047</v>
      </c>
      <c r="Q388" s="126">
        <v>1</v>
      </c>
      <c r="S388" s="162">
        <v>46202</v>
      </c>
      <c r="T388" s="126">
        <v>162</v>
      </c>
      <c r="U388" s="206">
        <v>-1</v>
      </c>
      <c r="V388" s="206">
        <v>-1</v>
      </c>
      <c r="W388" s="206">
        <v>53</v>
      </c>
      <c r="X388" s="206">
        <v>0</v>
      </c>
      <c r="Y388" s="206">
        <v>0</v>
      </c>
      <c r="Z388" s="206">
        <v>0</v>
      </c>
      <c r="AA388" s="206">
        <v>53</v>
      </c>
      <c r="AB388" s="206">
        <v>0</v>
      </c>
      <c r="AC388" s="235">
        <v>46227.458807870367</v>
      </c>
      <c r="AE388" s="126">
        <v>0</v>
      </c>
      <c r="AF388" s="126">
        <v>0</v>
      </c>
      <c r="AG388" s="126">
        <v>1</v>
      </c>
      <c r="AH388" s="126">
        <v>0</v>
      </c>
      <c r="AI388" s="126">
        <v>1</v>
      </c>
    </row>
    <row r="389" spans="3:35">
      <c r="C389" s="126">
        <v>382</v>
      </c>
      <c r="D389" s="126">
        <v>1</v>
      </c>
      <c r="E389" s="126">
        <v>1</v>
      </c>
      <c r="G389" s="126">
        <v>88</v>
      </c>
      <c r="O389" s="126" t="s">
        <v>549</v>
      </c>
      <c r="P389" s="126" t="s">
        <v>2058</v>
      </c>
      <c r="Q389" s="126">
        <v>1</v>
      </c>
      <c r="S389" s="162">
        <v>46202</v>
      </c>
      <c r="T389" s="126">
        <v>108</v>
      </c>
      <c r="U389" s="206">
        <v>-7</v>
      </c>
      <c r="V389" s="206">
        <v>-7</v>
      </c>
      <c r="W389" s="206">
        <v>2.7</v>
      </c>
      <c r="X389" s="206">
        <v>0</v>
      </c>
      <c r="Y389" s="206">
        <v>0</v>
      </c>
      <c r="Z389" s="206">
        <v>0</v>
      </c>
      <c r="AA389" s="206">
        <v>2.7</v>
      </c>
      <c r="AB389" s="206">
        <v>0</v>
      </c>
      <c r="AC389" s="235">
        <v>46227.464999999997</v>
      </c>
      <c r="AE389" s="126">
        <v>0</v>
      </c>
      <c r="AF389" s="126">
        <v>0</v>
      </c>
      <c r="AG389" s="126">
        <v>1</v>
      </c>
      <c r="AH389" s="126">
        <v>0</v>
      </c>
      <c r="AI389" s="126">
        <v>1</v>
      </c>
    </row>
    <row r="390" spans="3:35">
      <c r="C390" s="126">
        <v>383</v>
      </c>
      <c r="D390" s="126">
        <v>1</v>
      </c>
      <c r="E390" s="126">
        <v>1</v>
      </c>
      <c r="G390" s="126">
        <v>88</v>
      </c>
      <c r="O390" s="126" t="s">
        <v>549</v>
      </c>
      <c r="P390" s="126" t="s">
        <v>2058</v>
      </c>
      <c r="Q390" s="126">
        <v>1</v>
      </c>
      <c r="S390" s="162">
        <v>46202</v>
      </c>
      <c r="T390" s="126">
        <v>150</v>
      </c>
      <c r="U390" s="206">
        <v>-20</v>
      </c>
      <c r="V390" s="206">
        <v>-1.6666666666666667</v>
      </c>
      <c r="W390" s="206">
        <v>0.13</v>
      </c>
      <c r="X390" s="206">
        <v>0</v>
      </c>
      <c r="Y390" s="206">
        <v>0</v>
      </c>
      <c r="Z390" s="206">
        <v>0</v>
      </c>
      <c r="AA390" s="206">
        <v>0.13</v>
      </c>
      <c r="AB390" s="206">
        <v>0</v>
      </c>
      <c r="AC390" s="235">
        <v>46227.464999999997</v>
      </c>
      <c r="AE390" s="126">
        <v>0</v>
      </c>
      <c r="AF390" s="126">
        <v>0</v>
      </c>
      <c r="AG390" s="126">
        <v>1</v>
      </c>
      <c r="AH390" s="126">
        <v>0</v>
      </c>
      <c r="AI390" s="126">
        <v>1</v>
      </c>
    </row>
    <row r="391" spans="3:35">
      <c r="C391" s="126">
        <v>384</v>
      </c>
      <c r="D391" s="126">
        <v>1</v>
      </c>
      <c r="E391" s="126">
        <v>1</v>
      </c>
      <c r="G391" s="126">
        <v>88</v>
      </c>
      <c r="O391" s="126" t="s">
        <v>549</v>
      </c>
      <c r="P391" s="126" t="s">
        <v>2058</v>
      </c>
      <c r="Q391" s="126">
        <v>1</v>
      </c>
      <c r="S391" s="162">
        <v>46202</v>
      </c>
      <c r="T391" s="126">
        <v>112</v>
      </c>
      <c r="U391" s="206">
        <v>-1</v>
      </c>
      <c r="V391" s="206">
        <v>-1</v>
      </c>
      <c r="W391" s="206">
        <v>2.6</v>
      </c>
      <c r="X391" s="206">
        <v>0</v>
      </c>
      <c r="Y391" s="206">
        <v>0</v>
      </c>
      <c r="Z391" s="206">
        <v>0</v>
      </c>
      <c r="AA391" s="206">
        <v>2.6</v>
      </c>
      <c r="AB391" s="206">
        <v>0</v>
      </c>
      <c r="AC391" s="235">
        <v>46227.464999999997</v>
      </c>
      <c r="AE391" s="126">
        <v>0</v>
      </c>
      <c r="AF391" s="126">
        <v>0</v>
      </c>
      <c r="AG391" s="126">
        <v>1</v>
      </c>
      <c r="AH391" s="126">
        <v>0</v>
      </c>
      <c r="AI391" s="126">
        <v>1</v>
      </c>
    </row>
    <row r="392" spans="3:35">
      <c r="C392" s="126">
        <v>385</v>
      </c>
      <c r="D392" s="126">
        <v>1</v>
      </c>
      <c r="E392" s="126">
        <v>1</v>
      </c>
      <c r="G392" s="126">
        <v>88</v>
      </c>
      <c r="O392" s="126" t="s">
        <v>549</v>
      </c>
      <c r="P392" s="126" t="s">
        <v>2058</v>
      </c>
      <c r="Q392" s="126">
        <v>1</v>
      </c>
      <c r="S392" s="162">
        <v>46202</v>
      </c>
      <c r="T392" s="126">
        <v>76</v>
      </c>
      <c r="U392" s="206">
        <v>-1</v>
      </c>
      <c r="V392" s="206">
        <v>-1</v>
      </c>
      <c r="W392" s="206">
        <v>1.35</v>
      </c>
      <c r="X392" s="206">
        <v>0</v>
      </c>
      <c r="Y392" s="206">
        <v>0</v>
      </c>
      <c r="Z392" s="206">
        <v>0</v>
      </c>
      <c r="AA392" s="206">
        <v>1.35</v>
      </c>
      <c r="AB392" s="206">
        <v>0</v>
      </c>
      <c r="AC392" s="235">
        <v>46227.464999999997</v>
      </c>
      <c r="AE392" s="126">
        <v>0</v>
      </c>
      <c r="AF392" s="126">
        <v>0</v>
      </c>
      <c r="AG392" s="126">
        <v>1</v>
      </c>
      <c r="AH392" s="126">
        <v>0</v>
      </c>
      <c r="AI392" s="126">
        <v>1</v>
      </c>
    </row>
    <row r="393" spans="3:35">
      <c r="C393" s="126">
        <v>386</v>
      </c>
      <c r="D393" s="126">
        <v>1</v>
      </c>
      <c r="E393" s="126">
        <v>1</v>
      </c>
      <c r="G393" s="126">
        <v>88</v>
      </c>
      <c r="O393" s="126" t="s">
        <v>549</v>
      </c>
      <c r="P393" s="126" t="s">
        <v>2058</v>
      </c>
      <c r="Q393" s="126">
        <v>1</v>
      </c>
      <c r="S393" s="162">
        <v>46202</v>
      </c>
      <c r="T393" s="126">
        <v>142</v>
      </c>
      <c r="U393" s="206">
        <v>-1</v>
      </c>
      <c r="V393" s="206">
        <v>-8.3333333333333329E-2</v>
      </c>
      <c r="W393" s="206">
        <v>0.34</v>
      </c>
      <c r="X393" s="206">
        <v>0</v>
      </c>
      <c r="Y393" s="206">
        <v>0</v>
      </c>
      <c r="Z393" s="206">
        <v>0</v>
      </c>
      <c r="AA393" s="206">
        <v>0.34</v>
      </c>
      <c r="AB393" s="206">
        <v>0</v>
      </c>
      <c r="AC393" s="235">
        <v>46227.464999999997</v>
      </c>
      <c r="AE393" s="126">
        <v>0</v>
      </c>
      <c r="AF393" s="126">
        <v>0</v>
      </c>
      <c r="AG393" s="126">
        <v>1</v>
      </c>
      <c r="AH393" s="126">
        <v>0</v>
      </c>
      <c r="AI393" s="126">
        <v>1</v>
      </c>
    </row>
    <row r="394" spans="3:35">
      <c r="C394" s="126">
        <v>387</v>
      </c>
      <c r="D394" s="126">
        <v>1</v>
      </c>
      <c r="E394" s="126">
        <v>1</v>
      </c>
      <c r="G394" s="126">
        <v>88</v>
      </c>
      <c r="O394" s="126" t="s">
        <v>549</v>
      </c>
      <c r="P394" s="126" t="s">
        <v>2058</v>
      </c>
      <c r="Q394" s="126">
        <v>1</v>
      </c>
      <c r="S394" s="162">
        <v>46202</v>
      </c>
      <c r="T394" s="126">
        <v>187</v>
      </c>
      <c r="U394" s="206">
        <v>-16</v>
      </c>
      <c r="V394" s="206">
        <v>-4</v>
      </c>
      <c r="W394" s="206">
        <v>3.37</v>
      </c>
      <c r="X394" s="206">
        <v>0</v>
      </c>
      <c r="Y394" s="206">
        <v>0</v>
      </c>
      <c r="Z394" s="206">
        <v>0</v>
      </c>
      <c r="AA394" s="206">
        <v>3.37</v>
      </c>
      <c r="AB394" s="206">
        <v>0</v>
      </c>
      <c r="AC394" s="235">
        <v>46227.464999999997</v>
      </c>
      <c r="AE394" s="126">
        <v>0</v>
      </c>
      <c r="AF394" s="126">
        <v>0</v>
      </c>
      <c r="AG394" s="126">
        <v>1</v>
      </c>
      <c r="AH394" s="126">
        <v>0</v>
      </c>
      <c r="AI394" s="126">
        <v>1</v>
      </c>
    </row>
    <row r="395" spans="3:35">
      <c r="C395" s="126">
        <v>388</v>
      </c>
      <c r="D395" s="126">
        <v>1</v>
      </c>
      <c r="E395" s="126">
        <v>1</v>
      </c>
      <c r="G395" s="126">
        <v>88</v>
      </c>
      <c r="O395" s="126" t="s">
        <v>549</v>
      </c>
      <c r="P395" s="126" t="s">
        <v>2058</v>
      </c>
      <c r="Q395" s="126">
        <v>1</v>
      </c>
      <c r="S395" s="162">
        <v>46202</v>
      </c>
      <c r="T395" s="126">
        <v>145</v>
      </c>
      <c r="U395" s="206">
        <v>-8</v>
      </c>
      <c r="V395" s="206">
        <v>-0.66666666666666663</v>
      </c>
      <c r="W395" s="206">
        <v>0.28999999999999998</v>
      </c>
      <c r="X395" s="206">
        <v>0</v>
      </c>
      <c r="Y395" s="206">
        <v>0</v>
      </c>
      <c r="Z395" s="206">
        <v>0</v>
      </c>
      <c r="AA395" s="206">
        <v>0.28999999999999998</v>
      </c>
      <c r="AB395" s="206">
        <v>0</v>
      </c>
      <c r="AC395" s="235">
        <v>46227.464999999997</v>
      </c>
      <c r="AE395" s="126">
        <v>0</v>
      </c>
      <c r="AF395" s="126">
        <v>0</v>
      </c>
      <c r="AG395" s="126">
        <v>1</v>
      </c>
      <c r="AH395" s="126">
        <v>0</v>
      </c>
      <c r="AI395" s="126">
        <v>1</v>
      </c>
    </row>
    <row r="396" spans="3:35">
      <c r="C396" s="126">
        <v>389</v>
      </c>
      <c r="D396" s="126">
        <v>1</v>
      </c>
      <c r="E396" s="126">
        <v>1</v>
      </c>
      <c r="G396" s="126">
        <v>88</v>
      </c>
      <c r="O396" s="126" t="s">
        <v>549</v>
      </c>
      <c r="P396" s="126" t="s">
        <v>2058</v>
      </c>
      <c r="Q396" s="126">
        <v>1</v>
      </c>
      <c r="S396" s="162">
        <v>46202</v>
      </c>
      <c r="T396" s="126">
        <v>144</v>
      </c>
      <c r="U396" s="206">
        <v>-1</v>
      </c>
      <c r="V396" s="206">
        <v>-0.02</v>
      </c>
      <c r="W396" s="206">
        <v>0.3</v>
      </c>
      <c r="X396" s="206">
        <v>0</v>
      </c>
      <c r="Y396" s="206">
        <v>0</v>
      </c>
      <c r="Z396" s="206">
        <v>0</v>
      </c>
      <c r="AA396" s="206">
        <v>0.3</v>
      </c>
      <c r="AB396" s="206">
        <v>0</v>
      </c>
      <c r="AC396" s="235">
        <v>46227.464999999997</v>
      </c>
      <c r="AE396" s="126">
        <v>0</v>
      </c>
      <c r="AF396" s="126">
        <v>0</v>
      </c>
      <c r="AG396" s="126">
        <v>1</v>
      </c>
      <c r="AH396" s="126">
        <v>0</v>
      </c>
      <c r="AI396" s="126">
        <v>1</v>
      </c>
    </row>
    <row r="397" spans="3:35">
      <c r="C397" s="126">
        <v>390</v>
      </c>
      <c r="D397" s="126">
        <v>1</v>
      </c>
      <c r="E397" s="126">
        <v>1</v>
      </c>
      <c r="G397" s="126">
        <v>88</v>
      </c>
      <c r="O397" s="126" t="s">
        <v>549</v>
      </c>
      <c r="P397" s="126" t="s">
        <v>2058</v>
      </c>
      <c r="Q397" s="126">
        <v>1</v>
      </c>
      <c r="S397" s="162">
        <v>46202</v>
      </c>
      <c r="T397" s="126">
        <v>8</v>
      </c>
      <c r="U397" s="206">
        <v>-1</v>
      </c>
      <c r="V397" s="206">
        <v>-1</v>
      </c>
      <c r="W397" s="206">
        <v>1.32</v>
      </c>
      <c r="X397" s="206">
        <v>0</v>
      </c>
      <c r="Y397" s="206">
        <v>0</v>
      </c>
      <c r="Z397" s="206">
        <v>0</v>
      </c>
      <c r="AA397" s="206">
        <v>1.32</v>
      </c>
      <c r="AB397" s="206">
        <v>0</v>
      </c>
      <c r="AC397" s="235">
        <v>46227.464999999997</v>
      </c>
      <c r="AE397" s="126">
        <v>0</v>
      </c>
      <c r="AF397" s="126">
        <v>0</v>
      </c>
      <c r="AG397" s="126">
        <v>1</v>
      </c>
      <c r="AH397" s="126">
        <v>0</v>
      </c>
      <c r="AI397" s="126">
        <v>1</v>
      </c>
    </row>
    <row r="398" spans="3:35">
      <c r="C398" s="126">
        <v>391</v>
      </c>
      <c r="D398" s="126">
        <v>1</v>
      </c>
      <c r="E398" s="126">
        <v>1</v>
      </c>
      <c r="G398" s="126">
        <v>89</v>
      </c>
      <c r="O398" s="126" t="s">
        <v>549</v>
      </c>
      <c r="P398" s="126" t="s">
        <v>2091</v>
      </c>
      <c r="Q398" s="126">
        <v>1</v>
      </c>
      <c r="S398" s="162">
        <v>46203</v>
      </c>
      <c r="T398" s="126">
        <v>1</v>
      </c>
      <c r="U398" s="206">
        <v>-1</v>
      </c>
      <c r="V398" s="206">
        <v>-1</v>
      </c>
      <c r="W398" s="206">
        <v>27.34</v>
      </c>
      <c r="X398" s="206">
        <v>0</v>
      </c>
      <c r="Y398" s="206">
        <v>0</v>
      </c>
      <c r="Z398" s="206">
        <v>0</v>
      </c>
      <c r="AA398" s="206">
        <v>27.34</v>
      </c>
      <c r="AB398" s="206">
        <v>0</v>
      </c>
      <c r="AC398" s="235">
        <v>46227.474745370368</v>
      </c>
      <c r="AE398" s="126">
        <v>0</v>
      </c>
      <c r="AF398" s="126">
        <v>0</v>
      </c>
      <c r="AG398" s="126">
        <v>1</v>
      </c>
      <c r="AH398" s="126">
        <v>0</v>
      </c>
      <c r="AI398" s="126">
        <v>1</v>
      </c>
    </row>
    <row r="399" spans="3:35">
      <c r="C399" s="126">
        <v>392</v>
      </c>
      <c r="D399" s="126">
        <v>1</v>
      </c>
      <c r="E399" s="126">
        <v>1</v>
      </c>
      <c r="G399" s="126">
        <v>89</v>
      </c>
      <c r="O399" s="126" t="s">
        <v>549</v>
      </c>
      <c r="P399" s="126" t="s">
        <v>2091</v>
      </c>
      <c r="Q399" s="126">
        <v>1</v>
      </c>
      <c r="S399" s="162">
        <v>46203</v>
      </c>
      <c r="T399" s="126">
        <v>174</v>
      </c>
      <c r="U399" s="206">
        <v>-2</v>
      </c>
      <c r="V399" s="206">
        <v>-0.16666666666666666</v>
      </c>
      <c r="W399" s="206">
        <v>0.2</v>
      </c>
      <c r="X399" s="206">
        <v>0</v>
      </c>
      <c r="Y399" s="206">
        <v>0</v>
      </c>
      <c r="Z399" s="206">
        <v>0</v>
      </c>
      <c r="AA399" s="206">
        <v>0.2</v>
      </c>
      <c r="AB399" s="206">
        <v>0</v>
      </c>
      <c r="AC399" s="235">
        <v>46227.474745370368</v>
      </c>
      <c r="AE399" s="126">
        <v>0</v>
      </c>
      <c r="AF399" s="126">
        <v>0</v>
      </c>
      <c r="AG399" s="126">
        <v>1</v>
      </c>
      <c r="AH399" s="126">
        <v>0</v>
      </c>
      <c r="AI399" s="126">
        <v>1</v>
      </c>
    </row>
    <row r="400" spans="3:35">
      <c r="C400" s="126">
        <v>393</v>
      </c>
      <c r="D400" s="126">
        <v>1</v>
      </c>
      <c r="E400" s="126">
        <v>1</v>
      </c>
      <c r="G400" s="126">
        <v>89</v>
      </c>
      <c r="O400" s="126" t="s">
        <v>549</v>
      </c>
      <c r="P400" s="126" t="s">
        <v>2091</v>
      </c>
      <c r="Q400" s="126">
        <v>1</v>
      </c>
      <c r="S400" s="162">
        <v>46203</v>
      </c>
      <c r="T400" s="126">
        <v>168</v>
      </c>
      <c r="U400" s="206">
        <v>-2</v>
      </c>
      <c r="V400" s="206">
        <v>-2</v>
      </c>
      <c r="W400" s="206">
        <v>1.2</v>
      </c>
      <c r="X400" s="206">
        <v>0</v>
      </c>
      <c r="Y400" s="206">
        <v>0</v>
      </c>
      <c r="Z400" s="206">
        <v>0</v>
      </c>
      <c r="AA400" s="206">
        <v>1.2</v>
      </c>
      <c r="AB400" s="206">
        <v>0</v>
      </c>
      <c r="AC400" s="235">
        <v>46227.474745370368</v>
      </c>
      <c r="AE400" s="126">
        <v>0</v>
      </c>
      <c r="AF400" s="126">
        <v>0</v>
      </c>
      <c r="AG400" s="126">
        <v>1</v>
      </c>
      <c r="AH400" s="126">
        <v>0</v>
      </c>
      <c r="AI400" s="126">
        <v>1</v>
      </c>
    </row>
    <row r="401" spans="3:35">
      <c r="C401" s="126">
        <v>394</v>
      </c>
      <c r="D401" s="126">
        <v>1</v>
      </c>
      <c r="E401" s="126">
        <v>1</v>
      </c>
      <c r="G401" s="126">
        <v>89</v>
      </c>
      <c r="O401" s="126" t="s">
        <v>549</v>
      </c>
      <c r="P401" s="126" t="s">
        <v>2091</v>
      </c>
      <c r="Q401" s="126">
        <v>1</v>
      </c>
      <c r="S401" s="162">
        <v>46203</v>
      </c>
      <c r="T401" s="126">
        <v>172</v>
      </c>
      <c r="U401" s="206">
        <v>-2</v>
      </c>
      <c r="V401" s="206">
        <v>-0.16666666666666666</v>
      </c>
      <c r="W401" s="206">
        <v>0.1</v>
      </c>
      <c r="X401" s="206">
        <v>0</v>
      </c>
      <c r="Y401" s="206">
        <v>0</v>
      </c>
      <c r="Z401" s="206">
        <v>0</v>
      </c>
      <c r="AA401" s="206">
        <v>0.1</v>
      </c>
      <c r="AB401" s="206">
        <v>0</v>
      </c>
      <c r="AC401" s="235">
        <v>46227.474745370368</v>
      </c>
      <c r="AE401" s="126">
        <v>0</v>
      </c>
      <c r="AF401" s="126">
        <v>0</v>
      </c>
      <c r="AG401" s="126">
        <v>1</v>
      </c>
      <c r="AH401" s="126">
        <v>0</v>
      </c>
      <c r="AI401" s="126">
        <v>1</v>
      </c>
    </row>
    <row r="402" spans="3:35">
      <c r="C402" s="126">
        <v>395</v>
      </c>
      <c r="D402" s="126">
        <v>1</v>
      </c>
      <c r="E402" s="126">
        <v>1</v>
      </c>
      <c r="G402" s="126">
        <v>89</v>
      </c>
      <c r="O402" s="126" t="s">
        <v>549</v>
      </c>
      <c r="P402" s="126" t="s">
        <v>2091</v>
      </c>
      <c r="Q402" s="126">
        <v>1</v>
      </c>
      <c r="S402" s="162">
        <v>46203</v>
      </c>
      <c r="T402" s="126">
        <v>10</v>
      </c>
      <c r="U402" s="206">
        <v>-2</v>
      </c>
      <c r="V402" s="206">
        <v>-2</v>
      </c>
      <c r="W402" s="206">
        <v>14.85</v>
      </c>
      <c r="X402" s="206">
        <v>0</v>
      </c>
      <c r="Y402" s="206">
        <v>0</v>
      </c>
      <c r="Z402" s="206">
        <v>0</v>
      </c>
      <c r="AA402" s="206">
        <v>14.85</v>
      </c>
      <c r="AB402" s="206">
        <v>0</v>
      </c>
      <c r="AC402" s="235">
        <v>46227.474745370368</v>
      </c>
      <c r="AE402" s="126">
        <v>0</v>
      </c>
      <c r="AF402" s="126">
        <v>0</v>
      </c>
      <c r="AG402" s="126">
        <v>1</v>
      </c>
      <c r="AH402" s="126">
        <v>0</v>
      </c>
      <c r="AI402" s="126">
        <v>1</v>
      </c>
    </row>
    <row r="403" spans="3:35">
      <c r="C403" s="126">
        <v>396</v>
      </c>
      <c r="D403" s="126">
        <v>1</v>
      </c>
      <c r="E403" s="126">
        <v>1</v>
      </c>
      <c r="G403" s="126">
        <v>90</v>
      </c>
      <c r="O403" s="126" t="s">
        <v>549</v>
      </c>
      <c r="P403" s="126" t="s">
        <v>2114</v>
      </c>
      <c r="Q403" s="126">
        <v>1</v>
      </c>
      <c r="S403" s="162">
        <v>46203</v>
      </c>
      <c r="T403" s="126">
        <v>189</v>
      </c>
      <c r="U403" s="206">
        <v>-20</v>
      </c>
      <c r="V403" s="206">
        <v>-5</v>
      </c>
      <c r="W403" s="206">
        <v>4.09</v>
      </c>
      <c r="X403" s="206">
        <v>0</v>
      </c>
      <c r="Y403" s="206">
        <v>0</v>
      </c>
      <c r="Z403" s="206">
        <v>0</v>
      </c>
      <c r="AA403" s="206">
        <v>4.09</v>
      </c>
      <c r="AB403" s="206">
        <v>0</v>
      </c>
      <c r="AC403" s="235">
        <v>46227.47934027778</v>
      </c>
      <c r="AE403" s="126">
        <v>0</v>
      </c>
      <c r="AF403" s="126">
        <v>0</v>
      </c>
      <c r="AG403" s="126">
        <v>1</v>
      </c>
      <c r="AH403" s="126">
        <v>0</v>
      </c>
      <c r="AI403" s="126">
        <v>1</v>
      </c>
    </row>
    <row r="404" spans="3:35">
      <c r="C404" s="126">
        <v>397</v>
      </c>
      <c r="D404" s="126">
        <v>1</v>
      </c>
      <c r="E404" s="126">
        <v>1</v>
      </c>
      <c r="G404" s="126">
        <v>90</v>
      </c>
      <c r="O404" s="126" t="s">
        <v>549</v>
      </c>
      <c r="P404" s="126" t="s">
        <v>2114</v>
      </c>
      <c r="Q404" s="126">
        <v>1</v>
      </c>
      <c r="S404" s="162">
        <v>46203</v>
      </c>
      <c r="T404" s="126">
        <v>183</v>
      </c>
      <c r="U404" s="206">
        <v>-24</v>
      </c>
      <c r="V404" s="206">
        <v>-2</v>
      </c>
      <c r="W404" s="206">
        <v>4</v>
      </c>
      <c r="X404" s="206">
        <v>0</v>
      </c>
      <c r="Y404" s="206">
        <v>0</v>
      </c>
      <c r="Z404" s="206">
        <v>0</v>
      </c>
      <c r="AA404" s="206">
        <v>4</v>
      </c>
      <c r="AB404" s="206">
        <v>0</v>
      </c>
      <c r="AC404" s="235">
        <v>46227.47934027778</v>
      </c>
      <c r="AE404" s="126">
        <v>0</v>
      </c>
      <c r="AF404" s="126">
        <v>0</v>
      </c>
      <c r="AG404" s="126">
        <v>1</v>
      </c>
      <c r="AH404" s="126">
        <v>0</v>
      </c>
      <c r="AI404" s="126">
        <v>1</v>
      </c>
    </row>
    <row r="405" spans="3:35">
      <c r="C405" s="126">
        <v>398</v>
      </c>
      <c r="D405" s="126">
        <v>1</v>
      </c>
      <c r="E405" s="126">
        <v>1</v>
      </c>
      <c r="G405" s="126">
        <v>90</v>
      </c>
      <c r="O405" s="126" t="s">
        <v>549</v>
      </c>
      <c r="P405" s="126" t="s">
        <v>2114</v>
      </c>
      <c r="Q405" s="126">
        <v>1</v>
      </c>
      <c r="S405" s="162">
        <v>46203</v>
      </c>
      <c r="T405" s="126">
        <v>136</v>
      </c>
      <c r="U405" s="206">
        <v>-2</v>
      </c>
      <c r="V405" s="206">
        <v>-2</v>
      </c>
      <c r="W405" s="206">
        <v>0.38</v>
      </c>
      <c r="X405" s="206">
        <v>0</v>
      </c>
      <c r="Y405" s="206">
        <v>0</v>
      </c>
      <c r="Z405" s="206">
        <v>0</v>
      </c>
      <c r="AA405" s="206">
        <v>0.38</v>
      </c>
      <c r="AB405" s="206">
        <v>0</v>
      </c>
      <c r="AC405" s="235">
        <v>46227.47934027778</v>
      </c>
      <c r="AE405" s="126">
        <v>0</v>
      </c>
      <c r="AF405" s="126">
        <v>0</v>
      </c>
      <c r="AG405" s="126">
        <v>1</v>
      </c>
      <c r="AH405" s="126">
        <v>0</v>
      </c>
      <c r="AI405" s="126">
        <v>1</v>
      </c>
    </row>
    <row r="406" spans="3:35">
      <c r="C406" s="126">
        <v>399</v>
      </c>
      <c r="D406" s="126">
        <v>1</v>
      </c>
      <c r="E406" s="126">
        <v>1</v>
      </c>
      <c r="G406" s="126">
        <v>90</v>
      </c>
      <c r="O406" s="126" t="s">
        <v>549</v>
      </c>
      <c r="P406" s="126" t="s">
        <v>2114</v>
      </c>
      <c r="Q406" s="126">
        <v>1</v>
      </c>
      <c r="S406" s="162">
        <v>46203</v>
      </c>
      <c r="T406" s="126">
        <v>142</v>
      </c>
      <c r="U406" s="206">
        <v>-1</v>
      </c>
      <c r="V406" s="206">
        <v>-8.3333333333333329E-2</v>
      </c>
      <c r="W406" s="206">
        <v>0.34</v>
      </c>
      <c r="X406" s="206">
        <v>0</v>
      </c>
      <c r="Y406" s="206">
        <v>0</v>
      </c>
      <c r="Z406" s="206">
        <v>0</v>
      </c>
      <c r="AA406" s="206">
        <v>0.34</v>
      </c>
      <c r="AB406" s="206">
        <v>0</v>
      </c>
      <c r="AC406" s="235">
        <v>46227.47934027778</v>
      </c>
      <c r="AE406" s="126">
        <v>0</v>
      </c>
      <c r="AF406" s="126">
        <v>0</v>
      </c>
      <c r="AG406" s="126">
        <v>1</v>
      </c>
      <c r="AH406" s="126">
        <v>0</v>
      </c>
      <c r="AI406" s="126">
        <v>1</v>
      </c>
    </row>
    <row r="407" spans="3:35">
      <c r="C407" s="126">
        <v>400</v>
      </c>
      <c r="D407" s="126">
        <v>1</v>
      </c>
      <c r="E407" s="126">
        <v>1</v>
      </c>
      <c r="G407" s="126">
        <v>90</v>
      </c>
      <c r="O407" s="126" t="s">
        <v>549</v>
      </c>
      <c r="P407" s="126" t="s">
        <v>2114</v>
      </c>
      <c r="Q407" s="126">
        <v>1</v>
      </c>
      <c r="S407" s="162">
        <v>46203</v>
      </c>
      <c r="T407" s="126">
        <v>53</v>
      </c>
      <c r="U407" s="206">
        <v>-1</v>
      </c>
      <c r="V407" s="206">
        <v>-1</v>
      </c>
      <c r="W407" s="206">
        <v>0.95</v>
      </c>
      <c r="X407" s="206">
        <v>0</v>
      </c>
      <c r="Y407" s="206">
        <v>0</v>
      </c>
      <c r="Z407" s="206">
        <v>0</v>
      </c>
      <c r="AA407" s="206">
        <v>0.95</v>
      </c>
      <c r="AB407" s="206">
        <v>0</v>
      </c>
      <c r="AC407" s="235">
        <v>46227.47934027778</v>
      </c>
      <c r="AE407" s="126">
        <v>0</v>
      </c>
      <c r="AF407" s="126">
        <v>0</v>
      </c>
      <c r="AG407" s="126">
        <v>1</v>
      </c>
      <c r="AH407" s="126">
        <v>0</v>
      </c>
      <c r="AI407" s="126">
        <v>1</v>
      </c>
    </row>
    <row r="408" spans="3:35">
      <c r="C408" s="126">
        <v>401</v>
      </c>
      <c r="D408" s="126">
        <v>1</v>
      </c>
      <c r="E408" s="126">
        <v>1</v>
      </c>
      <c r="G408" s="126">
        <v>90</v>
      </c>
      <c r="O408" s="126" t="s">
        <v>549</v>
      </c>
      <c r="P408" s="126" t="s">
        <v>2114</v>
      </c>
      <c r="Q408" s="126">
        <v>1</v>
      </c>
      <c r="S408" s="162">
        <v>46203</v>
      </c>
      <c r="T408" s="126">
        <v>50</v>
      </c>
      <c r="U408" s="206">
        <v>-2</v>
      </c>
      <c r="V408" s="206">
        <v>-2</v>
      </c>
      <c r="W408" s="206">
        <v>0.12</v>
      </c>
      <c r="X408" s="206">
        <v>0</v>
      </c>
      <c r="Y408" s="206">
        <v>0</v>
      </c>
      <c r="Z408" s="206">
        <v>0</v>
      </c>
      <c r="AA408" s="206">
        <v>0.12</v>
      </c>
      <c r="AB408" s="206">
        <v>0</v>
      </c>
      <c r="AC408" s="235">
        <v>46227.47934027778</v>
      </c>
      <c r="AE408" s="126">
        <v>0</v>
      </c>
      <c r="AF408" s="126">
        <v>0</v>
      </c>
      <c r="AG408" s="126">
        <v>1</v>
      </c>
      <c r="AH408" s="126">
        <v>0</v>
      </c>
      <c r="AI408" s="126">
        <v>1</v>
      </c>
    </row>
    <row r="409" spans="3:35">
      <c r="C409" s="126">
        <v>402</v>
      </c>
      <c r="D409" s="126">
        <v>1</v>
      </c>
      <c r="E409" s="126">
        <v>1</v>
      </c>
      <c r="G409" s="126">
        <v>90</v>
      </c>
      <c r="O409" s="126" t="s">
        <v>549</v>
      </c>
      <c r="P409" s="126" t="s">
        <v>2114</v>
      </c>
      <c r="Q409" s="126">
        <v>1</v>
      </c>
      <c r="S409" s="162">
        <v>46203</v>
      </c>
      <c r="T409" s="126">
        <v>56</v>
      </c>
      <c r="U409" s="206">
        <v>-2</v>
      </c>
      <c r="V409" s="206">
        <v>-2</v>
      </c>
      <c r="W409" s="206">
        <v>0.55000000000000004</v>
      </c>
      <c r="X409" s="206">
        <v>0</v>
      </c>
      <c r="Y409" s="206">
        <v>0</v>
      </c>
      <c r="Z409" s="206">
        <v>0</v>
      </c>
      <c r="AA409" s="206">
        <v>0.55000000000000004</v>
      </c>
      <c r="AB409" s="206">
        <v>0</v>
      </c>
      <c r="AC409" s="235">
        <v>46227.47934027778</v>
      </c>
      <c r="AE409" s="126">
        <v>0</v>
      </c>
      <c r="AF409" s="126">
        <v>0</v>
      </c>
      <c r="AG409" s="126">
        <v>1</v>
      </c>
      <c r="AH409" s="126">
        <v>0</v>
      </c>
      <c r="AI409" s="126">
        <v>1</v>
      </c>
    </row>
    <row r="410" spans="3:35">
      <c r="C410" s="126">
        <v>403</v>
      </c>
      <c r="D410" s="126">
        <v>1</v>
      </c>
      <c r="E410" s="126">
        <v>1</v>
      </c>
      <c r="G410" s="126">
        <v>90</v>
      </c>
      <c r="O410" s="126" t="s">
        <v>549</v>
      </c>
      <c r="P410" s="126" t="s">
        <v>2114</v>
      </c>
      <c r="Q410" s="126">
        <v>1</v>
      </c>
      <c r="S410" s="162">
        <v>46203</v>
      </c>
      <c r="T410" s="126">
        <v>34</v>
      </c>
      <c r="U410" s="206">
        <v>-1</v>
      </c>
      <c r="V410" s="206">
        <v>-1</v>
      </c>
      <c r="W410" s="206">
        <v>0.5</v>
      </c>
      <c r="X410" s="206">
        <v>0</v>
      </c>
      <c r="Y410" s="206">
        <v>0</v>
      </c>
      <c r="Z410" s="206">
        <v>0</v>
      </c>
      <c r="AA410" s="206">
        <v>0.5</v>
      </c>
      <c r="AB410" s="206">
        <v>0</v>
      </c>
      <c r="AC410" s="235">
        <v>46227.47934027778</v>
      </c>
      <c r="AE410" s="126">
        <v>0</v>
      </c>
      <c r="AF410" s="126">
        <v>0</v>
      </c>
      <c r="AG410" s="126">
        <v>1</v>
      </c>
      <c r="AH410" s="126">
        <v>0</v>
      </c>
      <c r="AI410" s="126">
        <v>1</v>
      </c>
    </row>
    <row r="411" spans="3:35">
      <c r="C411" s="126">
        <v>404</v>
      </c>
      <c r="D411" s="126">
        <v>1</v>
      </c>
      <c r="E411" s="126">
        <v>1</v>
      </c>
      <c r="I411" s="126">
        <v>4</v>
      </c>
      <c r="J411" s="126">
        <v>41</v>
      </c>
      <c r="O411" s="126" t="s">
        <v>675</v>
      </c>
      <c r="P411" s="126" t="s">
        <v>2142</v>
      </c>
      <c r="R411" s="126">
        <v>2</v>
      </c>
      <c r="S411" s="162">
        <v>46174</v>
      </c>
      <c r="T411" s="126">
        <v>4</v>
      </c>
      <c r="U411" s="206">
        <v>8</v>
      </c>
      <c r="V411" s="206">
        <v>8</v>
      </c>
      <c r="W411" s="206">
        <v>5.8</v>
      </c>
      <c r="X411" s="206">
        <v>0</v>
      </c>
      <c r="Y411" s="206">
        <v>0</v>
      </c>
      <c r="Z411" s="206">
        <v>0</v>
      </c>
      <c r="AA411" s="206">
        <v>5.8</v>
      </c>
      <c r="AB411" s="206">
        <v>0</v>
      </c>
      <c r="AC411" s="235">
        <v>46227.616331018522</v>
      </c>
      <c r="AE411" s="126">
        <v>0</v>
      </c>
      <c r="AF411" s="126">
        <v>0</v>
      </c>
      <c r="AG411" s="126">
        <v>1</v>
      </c>
      <c r="AH411" s="126">
        <v>0</v>
      </c>
    </row>
    <row r="412" spans="3:35">
      <c r="C412" s="126">
        <v>405</v>
      </c>
      <c r="D412" s="126">
        <v>1</v>
      </c>
      <c r="E412" s="126">
        <v>1</v>
      </c>
      <c r="I412" s="126">
        <v>4</v>
      </c>
      <c r="J412" s="126">
        <v>42</v>
      </c>
      <c r="O412" s="126" t="s">
        <v>675</v>
      </c>
      <c r="P412" s="126" t="s">
        <v>2142</v>
      </c>
      <c r="R412" s="126">
        <v>2</v>
      </c>
      <c r="S412" s="162">
        <v>46174</v>
      </c>
      <c r="T412" s="126">
        <v>6</v>
      </c>
      <c r="U412" s="206">
        <v>20</v>
      </c>
      <c r="V412" s="206">
        <v>20</v>
      </c>
      <c r="W412" s="206">
        <v>2.89</v>
      </c>
      <c r="X412" s="206">
        <v>0</v>
      </c>
      <c r="Y412" s="206">
        <v>0</v>
      </c>
      <c r="Z412" s="206">
        <v>0</v>
      </c>
      <c r="AA412" s="206">
        <v>2.89</v>
      </c>
      <c r="AB412" s="206">
        <v>0</v>
      </c>
      <c r="AC412" s="235">
        <v>46227.616331018522</v>
      </c>
      <c r="AE412" s="126">
        <v>0</v>
      </c>
      <c r="AF412" s="126">
        <v>0</v>
      </c>
      <c r="AG412" s="126">
        <v>1</v>
      </c>
      <c r="AH412" s="126">
        <v>0</v>
      </c>
    </row>
    <row r="413" spans="3:35">
      <c r="C413" s="126">
        <v>406</v>
      </c>
      <c r="D413" s="126">
        <v>1</v>
      </c>
      <c r="E413" s="126">
        <v>1</v>
      </c>
      <c r="I413" s="126">
        <v>4</v>
      </c>
      <c r="J413" s="126">
        <v>43</v>
      </c>
      <c r="O413" s="126" t="s">
        <v>675</v>
      </c>
      <c r="P413" s="126" t="s">
        <v>2142</v>
      </c>
      <c r="R413" s="126">
        <v>2</v>
      </c>
      <c r="S413" s="162">
        <v>46174</v>
      </c>
      <c r="T413" s="126">
        <v>7</v>
      </c>
      <c r="U413" s="206">
        <v>18</v>
      </c>
      <c r="V413" s="206">
        <v>18</v>
      </c>
      <c r="W413" s="206">
        <v>1.79</v>
      </c>
      <c r="X413" s="206">
        <v>0</v>
      </c>
      <c r="Y413" s="206">
        <v>0</v>
      </c>
      <c r="Z413" s="206">
        <v>0</v>
      </c>
      <c r="AA413" s="206">
        <v>1.79</v>
      </c>
      <c r="AB413" s="206">
        <v>0</v>
      </c>
      <c r="AC413" s="235">
        <v>46227.616331018522</v>
      </c>
      <c r="AE413" s="126">
        <v>0</v>
      </c>
      <c r="AF413" s="126">
        <v>0</v>
      </c>
      <c r="AG413" s="126">
        <v>1</v>
      </c>
      <c r="AH413" s="126">
        <v>0</v>
      </c>
    </row>
    <row r="414" spans="3:35">
      <c r="C414" s="126">
        <v>407</v>
      </c>
      <c r="D414" s="126">
        <v>1</v>
      </c>
      <c r="E414" s="126">
        <v>1</v>
      </c>
      <c r="I414" s="126">
        <v>4</v>
      </c>
      <c r="J414" s="126">
        <v>44</v>
      </c>
      <c r="O414" s="126" t="s">
        <v>675</v>
      </c>
      <c r="P414" s="126" t="s">
        <v>2142</v>
      </c>
      <c r="R414" s="126">
        <v>2</v>
      </c>
      <c r="S414" s="162">
        <v>46174</v>
      </c>
      <c r="T414" s="126">
        <v>8</v>
      </c>
      <c r="U414" s="206">
        <v>14</v>
      </c>
      <c r="V414" s="206">
        <v>14</v>
      </c>
      <c r="W414" s="206">
        <v>1.32</v>
      </c>
      <c r="X414" s="206">
        <v>0</v>
      </c>
      <c r="Y414" s="206">
        <v>0</v>
      </c>
      <c r="Z414" s="206">
        <v>0</v>
      </c>
      <c r="AA414" s="206">
        <v>1.32</v>
      </c>
      <c r="AB414" s="206">
        <v>0</v>
      </c>
      <c r="AC414" s="235">
        <v>46227.616331018522</v>
      </c>
      <c r="AE414" s="126">
        <v>0</v>
      </c>
      <c r="AF414" s="126">
        <v>0</v>
      </c>
      <c r="AG414" s="126">
        <v>1</v>
      </c>
      <c r="AH414" s="126">
        <v>0</v>
      </c>
    </row>
    <row r="415" spans="3:35">
      <c r="C415" s="126">
        <v>408</v>
      </c>
      <c r="D415" s="126">
        <v>1</v>
      </c>
      <c r="E415" s="126">
        <v>1</v>
      </c>
      <c r="I415" s="126">
        <v>4</v>
      </c>
      <c r="J415" s="126">
        <v>45</v>
      </c>
      <c r="O415" s="126" t="s">
        <v>675</v>
      </c>
      <c r="P415" s="126" t="s">
        <v>2142</v>
      </c>
      <c r="R415" s="126">
        <v>2</v>
      </c>
      <c r="S415" s="162">
        <v>46174</v>
      </c>
      <c r="T415" s="126">
        <v>9</v>
      </c>
      <c r="U415" s="206">
        <v>36</v>
      </c>
      <c r="V415" s="206">
        <v>36</v>
      </c>
      <c r="W415" s="206">
        <v>1.1499999999999999</v>
      </c>
      <c r="X415" s="206">
        <v>0</v>
      </c>
      <c r="Y415" s="206">
        <v>0</v>
      </c>
      <c r="Z415" s="206">
        <v>0</v>
      </c>
      <c r="AA415" s="206">
        <v>1.1499999999999999</v>
      </c>
      <c r="AB415" s="206">
        <v>0</v>
      </c>
      <c r="AC415" s="235">
        <v>46227.616331018522</v>
      </c>
      <c r="AE415" s="126">
        <v>0</v>
      </c>
      <c r="AF415" s="126">
        <v>0</v>
      </c>
      <c r="AG415" s="126">
        <v>1</v>
      </c>
      <c r="AH415" s="126">
        <v>0</v>
      </c>
    </row>
    <row r="416" spans="3:35">
      <c r="C416" s="126">
        <v>409</v>
      </c>
      <c r="D416" s="126">
        <v>1</v>
      </c>
      <c r="E416" s="126">
        <v>1</v>
      </c>
      <c r="I416" s="126">
        <v>4</v>
      </c>
      <c r="J416" s="126">
        <v>46</v>
      </c>
      <c r="O416" s="126" t="s">
        <v>675</v>
      </c>
      <c r="P416" s="126" t="s">
        <v>2142</v>
      </c>
      <c r="R416" s="126">
        <v>2</v>
      </c>
      <c r="S416" s="162">
        <v>46174</v>
      </c>
      <c r="T416" s="126">
        <v>11</v>
      </c>
      <c r="U416" s="206">
        <v>6</v>
      </c>
      <c r="V416" s="206">
        <v>6</v>
      </c>
      <c r="W416" s="206">
        <v>9.52</v>
      </c>
      <c r="X416" s="206">
        <v>0</v>
      </c>
      <c r="Y416" s="206">
        <v>0</v>
      </c>
      <c r="Z416" s="206">
        <v>0</v>
      </c>
      <c r="AA416" s="206">
        <v>9.52</v>
      </c>
      <c r="AB416" s="206">
        <v>0</v>
      </c>
      <c r="AC416" s="235">
        <v>46227.616331018522</v>
      </c>
      <c r="AE416" s="126">
        <v>0</v>
      </c>
      <c r="AF416" s="126">
        <v>0</v>
      </c>
      <c r="AG416" s="126">
        <v>1</v>
      </c>
      <c r="AH416" s="126">
        <v>0</v>
      </c>
    </row>
    <row r="417" spans="3:34">
      <c r="C417" s="126">
        <v>410</v>
      </c>
      <c r="D417" s="126">
        <v>1</v>
      </c>
      <c r="E417" s="126">
        <v>1</v>
      </c>
      <c r="I417" s="126">
        <v>4</v>
      </c>
      <c r="J417" s="126">
        <v>47</v>
      </c>
      <c r="O417" s="126" t="s">
        <v>675</v>
      </c>
      <c r="P417" s="126" t="s">
        <v>2142</v>
      </c>
      <c r="R417" s="126">
        <v>2</v>
      </c>
      <c r="S417" s="162">
        <v>46174</v>
      </c>
      <c r="T417" s="126">
        <v>16</v>
      </c>
      <c r="U417" s="206">
        <v>30</v>
      </c>
      <c r="V417" s="206">
        <v>30</v>
      </c>
      <c r="W417" s="206">
        <v>2.1</v>
      </c>
      <c r="X417" s="206">
        <v>0</v>
      </c>
      <c r="Y417" s="206">
        <v>0</v>
      </c>
      <c r="Z417" s="206">
        <v>0</v>
      </c>
      <c r="AA417" s="206">
        <v>2.1</v>
      </c>
      <c r="AB417" s="206">
        <v>0</v>
      </c>
      <c r="AC417" s="235">
        <v>46227.616331018522</v>
      </c>
      <c r="AE417" s="126">
        <v>0</v>
      </c>
      <c r="AF417" s="126">
        <v>0</v>
      </c>
      <c r="AG417" s="126">
        <v>1</v>
      </c>
      <c r="AH417" s="126">
        <v>0</v>
      </c>
    </row>
    <row r="418" spans="3:34">
      <c r="C418" s="126">
        <v>411</v>
      </c>
      <c r="D418" s="126">
        <v>1</v>
      </c>
      <c r="E418" s="126">
        <v>1</v>
      </c>
      <c r="I418" s="126">
        <v>4</v>
      </c>
      <c r="J418" s="126">
        <v>48</v>
      </c>
      <c r="O418" s="126" t="s">
        <v>675</v>
      </c>
      <c r="P418" s="126" t="s">
        <v>2142</v>
      </c>
      <c r="R418" s="126">
        <v>2</v>
      </c>
      <c r="S418" s="162">
        <v>46174</v>
      </c>
      <c r="T418" s="126">
        <v>18</v>
      </c>
      <c r="U418" s="206">
        <v>2</v>
      </c>
      <c r="V418" s="206">
        <v>2</v>
      </c>
      <c r="W418" s="206">
        <v>1.35</v>
      </c>
      <c r="X418" s="206">
        <v>0</v>
      </c>
      <c r="Y418" s="206">
        <v>0</v>
      </c>
      <c r="Z418" s="206">
        <v>0</v>
      </c>
      <c r="AA418" s="206">
        <v>1.35</v>
      </c>
      <c r="AB418" s="206">
        <v>0</v>
      </c>
      <c r="AC418" s="235">
        <v>46227.616331018522</v>
      </c>
      <c r="AE418" s="126">
        <v>0</v>
      </c>
      <c r="AF418" s="126">
        <v>0</v>
      </c>
      <c r="AG418" s="126">
        <v>1</v>
      </c>
      <c r="AH418" s="126">
        <v>0</v>
      </c>
    </row>
    <row r="419" spans="3:34">
      <c r="C419" s="126">
        <v>412</v>
      </c>
      <c r="D419" s="126">
        <v>1</v>
      </c>
      <c r="E419" s="126">
        <v>1</v>
      </c>
      <c r="I419" s="126">
        <v>4</v>
      </c>
      <c r="J419" s="126">
        <v>49</v>
      </c>
      <c r="O419" s="126" t="s">
        <v>675</v>
      </c>
      <c r="P419" s="126" t="s">
        <v>2142</v>
      </c>
      <c r="R419" s="126">
        <v>2</v>
      </c>
      <c r="S419" s="162">
        <v>46174</v>
      </c>
      <c r="T419" s="126">
        <v>20</v>
      </c>
      <c r="U419" s="206">
        <v>14</v>
      </c>
      <c r="V419" s="206">
        <v>14</v>
      </c>
      <c r="W419" s="206">
        <v>5.03</v>
      </c>
      <c r="X419" s="206">
        <v>0</v>
      </c>
      <c r="Y419" s="206">
        <v>0</v>
      </c>
      <c r="Z419" s="206">
        <v>0</v>
      </c>
      <c r="AA419" s="206">
        <v>5.03</v>
      </c>
      <c r="AB419" s="206">
        <v>0</v>
      </c>
      <c r="AC419" s="235">
        <v>46227.616331018522</v>
      </c>
      <c r="AE419" s="126">
        <v>0</v>
      </c>
      <c r="AF419" s="126">
        <v>0</v>
      </c>
      <c r="AG419" s="126">
        <v>1</v>
      </c>
      <c r="AH419" s="126">
        <v>0</v>
      </c>
    </row>
    <row r="420" spans="3:34">
      <c r="C420" s="126">
        <v>413</v>
      </c>
      <c r="D420" s="126">
        <v>1</v>
      </c>
      <c r="E420" s="126">
        <v>1</v>
      </c>
      <c r="I420" s="126">
        <v>4</v>
      </c>
      <c r="J420" s="126">
        <v>50</v>
      </c>
      <c r="O420" s="126" t="s">
        <v>675</v>
      </c>
      <c r="P420" s="126" t="s">
        <v>2142</v>
      </c>
      <c r="R420" s="126">
        <v>2</v>
      </c>
      <c r="S420" s="162">
        <v>46174</v>
      </c>
      <c r="T420" s="126">
        <v>25</v>
      </c>
      <c r="U420" s="206">
        <v>2</v>
      </c>
      <c r="V420" s="206">
        <v>2</v>
      </c>
      <c r="W420" s="206">
        <v>1.51</v>
      </c>
      <c r="X420" s="206">
        <v>0</v>
      </c>
      <c r="Y420" s="206">
        <v>0</v>
      </c>
      <c r="Z420" s="206">
        <v>0</v>
      </c>
      <c r="AA420" s="206">
        <v>1.51</v>
      </c>
      <c r="AB420" s="206">
        <v>0</v>
      </c>
      <c r="AC420" s="235">
        <v>46227.616331018522</v>
      </c>
      <c r="AE420" s="126">
        <v>0</v>
      </c>
      <c r="AF420" s="126">
        <v>0</v>
      </c>
      <c r="AG420" s="126">
        <v>1</v>
      </c>
      <c r="AH420" s="126">
        <v>0</v>
      </c>
    </row>
    <row r="421" spans="3:34">
      <c r="C421" s="126">
        <v>414</v>
      </c>
      <c r="D421" s="126">
        <v>1</v>
      </c>
      <c r="E421" s="126">
        <v>1</v>
      </c>
      <c r="I421" s="126">
        <v>4</v>
      </c>
      <c r="J421" s="126">
        <v>51</v>
      </c>
      <c r="O421" s="126" t="s">
        <v>675</v>
      </c>
      <c r="P421" s="126" t="s">
        <v>2142</v>
      </c>
      <c r="R421" s="126">
        <v>2</v>
      </c>
      <c r="S421" s="162">
        <v>46174</v>
      </c>
      <c r="T421" s="126">
        <v>29</v>
      </c>
      <c r="U421" s="206">
        <v>24</v>
      </c>
      <c r="V421" s="206">
        <v>24</v>
      </c>
      <c r="W421" s="206">
        <v>4.2300000000000004</v>
      </c>
      <c r="X421" s="206">
        <v>0</v>
      </c>
      <c r="Y421" s="206">
        <v>0</v>
      </c>
      <c r="Z421" s="206">
        <v>0</v>
      </c>
      <c r="AA421" s="206">
        <v>4.2300000000000004</v>
      </c>
      <c r="AB421" s="206">
        <v>0</v>
      </c>
      <c r="AC421" s="235">
        <v>46227.616331018522</v>
      </c>
      <c r="AE421" s="126">
        <v>0</v>
      </c>
      <c r="AF421" s="126">
        <v>0</v>
      </c>
      <c r="AG421" s="126">
        <v>1</v>
      </c>
      <c r="AH421" s="126">
        <v>0</v>
      </c>
    </row>
    <row r="422" spans="3:34">
      <c r="C422" s="126">
        <v>415</v>
      </c>
      <c r="D422" s="126">
        <v>1</v>
      </c>
      <c r="E422" s="126">
        <v>1</v>
      </c>
      <c r="I422" s="126">
        <v>4</v>
      </c>
      <c r="J422" s="126">
        <v>52</v>
      </c>
      <c r="O422" s="126" t="s">
        <v>675</v>
      </c>
      <c r="P422" s="126" t="s">
        <v>2142</v>
      </c>
      <c r="R422" s="126">
        <v>2</v>
      </c>
      <c r="S422" s="162">
        <v>46174</v>
      </c>
      <c r="T422" s="126">
        <v>30</v>
      </c>
      <c r="U422" s="206">
        <v>6</v>
      </c>
      <c r="V422" s="206">
        <v>6</v>
      </c>
      <c r="W422" s="206">
        <v>1.49</v>
      </c>
      <c r="X422" s="206">
        <v>0</v>
      </c>
      <c r="Y422" s="206">
        <v>0</v>
      </c>
      <c r="Z422" s="206">
        <v>0</v>
      </c>
      <c r="AA422" s="206">
        <v>1.49</v>
      </c>
      <c r="AB422" s="206">
        <v>0</v>
      </c>
      <c r="AC422" s="235">
        <v>46227.616331018522</v>
      </c>
      <c r="AE422" s="126">
        <v>0</v>
      </c>
      <c r="AF422" s="126">
        <v>0</v>
      </c>
      <c r="AG422" s="126">
        <v>1</v>
      </c>
      <c r="AH422" s="126">
        <v>0</v>
      </c>
    </row>
    <row r="423" spans="3:34">
      <c r="C423" s="126">
        <v>416</v>
      </c>
      <c r="D423" s="126">
        <v>1</v>
      </c>
      <c r="E423" s="126">
        <v>1</v>
      </c>
      <c r="I423" s="126">
        <v>4</v>
      </c>
      <c r="J423" s="126">
        <v>53</v>
      </c>
      <c r="O423" s="126" t="s">
        <v>675</v>
      </c>
      <c r="P423" s="126" t="s">
        <v>2142</v>
      </c>
      <c r="R423" s="126">
        <v>2</v>
      </c>
      <c r="S423" s="162">
        <v>46174</v>
      </c>
      <c r="T423" s="126">
        <v>32</v>
      </c>
      <c r="U423" s="206">
        <v>4</v>
      </c>
      <c r="V423" s="206">
        <v>4</v>
      </c>
      <c r="W423" s="206">
        <v>1.04</v>
      </c>
      <c r="X423" s="206">
        <v>0</v>
      </c>
      <c r="Y423" s="206">
        <v>0</v>
      </c>
      <c r="Z423" s="206">
        <v>0</v>
      </c>
      <c r="AA423" s="206">
        <v>1.04</v>
      </c>
      <c r="AB423" s="206">
        <v>0</v>
      </c>
      <c r="AC423" s="235">
        <v>46227.616331018522</v>
      </c>
      <c r="AE423" s="126">
        <v>0</v>
      </c>
      <c r="AF423" s="126">
        <v>0</v>
      </c>
      <c r="AG423" s="126">
        <v>1</v>
      </c>
      <c r="AH423" s="126">
        <v>0</v>
      </c>
    </row>
    <row r="424" spans="3:34">
      <c r="C424" s="126">
        <v>417</v>
      </c>
      <c r="D424" s="126">
        <v>1</v>
      </c>
      <c r="E424" s="126">
        <v>1</v>
      </c>
      <c r="I424" s="126">
        <v>4</v>
      </c>
      <c r="J424" s="126">
        <v>54</v>
      </c>
      <c r="O424" s="126" t="s">
        <v>675</v>
      </c>
      <c r="P424" s="126" t="s">
        <v>2142</v>
      </c>
      <c r="R424" s="126">
        <v>2</v>
      </c>
      <c r="S424" s="162">
        <v>46174</v>
      </c>
      <c r="T424" s="126">
        <v>33</v>
      </c>
      <c r="U424" s="206">
        <v>2</v>
      </c>
      <c r="V424" s="206">
        <v>2</v>
      </c>
      <c r="W424" s="206">
        <v>1.75</v>
      </c>
      <c r="X424" s="206">
        <v>0</v>
      </c>
      <c r="Y424" s="206">
        <v>0</v>
      </c>
      <c r="Z424" s="206">
        <v>0</v>
      </c>
      <c r="AA424" s="206">
        <v>1.75</v>
      </c>
      <c r="AB424" s="206">
        <v>0</v>
      </c>
      <c r="AC424" s="235">
        <v>46227.616331018522</v>
      </c>
      <c r="AE424" s="126">
        <v>0</v>
      </c>
      <c r="AF424" s="126">
        <v>0</v>
      </c>
      <c r="AG424" s="126">
        <v>1</v>
      </c>
      <c r="AH424" s="126">
        <v>0</v>
      </c>
    </row>
    <row r="425" spans="3:34">
      <c r="C425" s="126">
        <v>418</v>
      </c>
      <c r="D425" s="126">
        <v>1</v>
      </c>
      <c r="E425" s="126">
        <v>1</v>
      </c>
      <c r="I425" s="126">
        <v>5</v>
      </c>
      <c r="J425" s="126">
        <v>55</v>
      </c>
      <c r="O425" s="126" t="s">
        <v>675</v>
      </c>
      <c r="P425" s="126" t="s">
        <v>2158</v>
      </c>
      <c r="R425" s="126">
        <v>2</v>
      </c>
      <c r="S425" s="162">
        <v>46174</v>
      </c>
      <c r="T425" s="126">
        <v>34</v>
      </c>
      <c r="U425" s="206">
        <v>20</v>
      </c>
      <c r="V425" s="206">
        <v>20</v>
      </c>
      <c r="W425" s="206">
        <v>0.5</v>
      </c>
      <c r="X425" s="206">
        <v>0</v>
      </c>
      <c r="Y425" s="206">
        <v>0</v>
      </c>
      <c r="Z425" s="206">
        <v>0</v>
      </c>
      <c r="AA425" s="206">
        <v>0.5</v>
      </c>
      <c r="AB425" s="206">
        <v>0</v>
      </c>
      <c r="AC425" s="235">
        <v>46227.645428240743</v>
      </c>
      <c r="AE425" s="126">
        <v>0</v>
      </c>
      <c r="AF425" s="126">
        <v>0</v>
      </c>
      <c r="AG425" s="126">
        <v>1</v>
      </c>
      <c r="AH425" s="126">
        <v>0</v>
      </c>
    </row>
    <row r="426" spans="3:34">
      <c r="C426" s="126">
        <v>419</v>
      </c>
      <c r="D426" s="126">
        <v>1</v>
      </c>
      <c r="E426" s="126">
        <v>1</v>
      </c>
      <c r="I426" s="126">
        <v>5</v>
      </c>
      <c r="J426" s="126">
        <v>56</v>
      </c>
      <c r="O426" s="126" t="s">
        <v>675</v>
      </c>
      <c r="P426" s="126" t="s">
        <v>2158</v>
      </c>
      <c r="R426" s="126">
        <v>2</v>
      </c>
      <c r="S426" s="162">
        <v>46174</v>
      </c>
      <c r="T426" s="126">
        <v>37</v>
      </c>
      <c r="U426" s="206">
        <v>4</v>
      </c>
      <c r="V426" s="206">
        <v>4</v>
      </c>
      <c r="W426" s="206">
        <v>0.66</v>
      </c>
      <c r="X426" s="206">
        <v>0</v>
      </c>
      <c r="Y426" s="206">
        <v>0</v>
      </c>
      <c r="Z426" s="206">
        <v>0</v>
      </c>
      <c r="AA426" s="206">
        <v>0.66</v>
      </c>
      <c r="AB426" s="206">
        <v>0</v>
      </c>
      <c r="AC426" s="235">
        <v>46227.645428240743</v>
      </c>
      <c r="AE426" s="126">
        <v>0</v>
      </c>
      <c r="AF426" s="126">
        <v>0</v>
      </c>
      <c r="AG426" s="126">
        <v>1</v>
      </c>
      <c r="AH426" s="126">
        <v>0</v>
      </c>
    </row>
    <row r="427" spans="3:34">
      <c r="C427" s="126">
        <v>420</v>
      </c>
      <c r="D427" s="126">
        <v>1</v>
      </c>
      <c r="E427" s="126">
        <v>1</v>
      </c>
      <c r="I427" s="126">
        <v>5</v>
      </c>
      <c r="J427" s="126">
        <v>57</v>
      </c>
      <c r="O427" s="126" t="s">
        <v>675</v>
      </c>
      <c r="P427" s="126" t="s">
        <v>2158</v>
      </c>
      <c r="R427" s="126">
        <v>2</v>
      </c>
      <c r="S427" s="162">
        <v>46174</v>
      </c>
      <c r="T427" s="126">
        <v>38</v>
      </c>
      <c r="U427" s="206">
        <v>4</v>
      </c>
      <c r="V427" s="206">
        <v>4</v>
      </c>
      <c r="W427" s="206">
        <v>0.28999999999999998</v>
      </c>
      <c r="X427" s="206">
        <v>0</v>
      </c>
      <c r="Y427" s="206">
        <v>0</v>
      </c>
      <c r="Z427" s="206">
        <v>0</v>
      </c>
      <c r="AA427" s="206">
        <v>0.28999999999999998</v>
      </c>
      <c r="AB427" s="206">
        <v>0</v>
      </c>
      <c r="AC427" s="235">
        <v>46227.645428240743</v>
      </c>
      <c r="AE427" s="126">
        <v>0</v>
      </c>
      <c r="AF427" s="126">
        <v>0</v>
      </c>
      <c r="AG427" s="126">
        <v>1</v>
      </c>
      <c r="AH427" s="126">
        <v>0</v>
      </c>
    </row>
    <row r="428" spans="3:34">
      <c r="C428" s="126">
        <v>421</v>
      </c>
      <c r="D428" s="126">
        <v>1</v>
      </c>
      <c r="E428" s="126">
        <v>1</v>
      </c>
      <c r="I428" s="126">
        <v>5</v>
      </c>
      <c r="J428" s="126">
        <v>58</v>
      </c>
      <c r="O428" s="126" t="s">
        <v>675</v>
      </c>
      <c r="P428" s="126" t="s">
        <v>2158</v>
      </c>
      <c r="R428" s="126">
        <v>2</v>
      </c>
      <c r="S428" s="162">
        <v>46174</v>
      </c>
      <c r="T428" s="126">
        <v>39</v>
      </c>
      <c r="U428" s="206">
        <v>6</v>
      </c>
      <c r="V428" s="206">
        <v>6</v>
      </c>
      <c r="W428" s="206">
        <v>0.28999999999999998</v>
      </c>
      <c r="X428" s="206">
        <v>0</v>
      </c>
      <c r="Y428" s="206">
        <v>0</v>
      </c>
      <c r="Z428" s="206">
        <v>0</v>
      </c>
      <c r="AA428" s="206">
        <v>0.28999999999999998</v>
      </c>
      <c r="AB428" s="206">
        <v>0</v>
      </c>
      <c r="AC428" s="235">
        <v>46227.645428240743</v>
      </c>
      <c r="AE428" s="126">
        <v>0</v>
      </c>
      <c r="AF428" s="126">
        <v>0</v>
      </c>
      <c r="AG428" s="126">
        <v>1</v>
      </c>
      <c r="AH428" s="126">
        <v>0</v>
      </c>
    </row>
    <row r="429" spans="3:34">
      <c r="C429" s="126">
        <v>422</v>
      </c>
      <c r="D429" s="126">
        <v>1</v>
      </c>
      <c r="E429" s="126">
        <v>1</v>
      </c>
      <c r="I429" s="126">
        <v>5</v>
      </c>
      <c r="J429" s="126">
        <v>59</v>
      </c>
      <c r="O429" s="126" t="s">
        <v>675</v>
      </c>
      <c r="P429" s="126" t="s">
        <v>2158</v>
      </c>
      <c r="R429" s="126">
        <v>2</v>
      </c>
      <c r="S429" s="162">
        <v>46174</v>
      </c>
      <c r="T429" s="126">
        <v>40</v>
      </c>
      <c r="U429" s="206">
        <v>4</v>
      </c>
      <c r="V429" s="206">
        <v>4</v>
      </c>
      <c r="W429" s="206">
        <v>0.23</v>
      </c>
      <c r="X429" s="206">
        <v>0</v>
      </c>
      <c r="Y429" s="206">
        <v>0</v>
      </c>
      <c r="Z429" s="206">
        <v>0</v>
      </c>
      <c r="AA429" s="206">
        <v>0.23</v>
      </c>
      <c r="AB429" s="206">
        <v>0</v>
      </c>
      <c r="AC429" s="235">
        <v>46227.645428240743</v>
      </c>
      <c r="AE429" s="126">
        <v>0</v>
      </c>
      <c r="AF429" s="126">
        <v>0</v>
      </c>
      <c r="AG429" s="126">
        <v>1</v>
      </c>
      <c r="AH429" s="126">
        <v>0</v>
      </c>
    </row>
    <row r="430" spans="3:34">
      <c r="C430" s="126">
        <v>423</v>
      </c>
      <c r="D430" s="126">
        <v>1</v>
      </c>
      <c r="E430" s="126">
        <v>1</v>
      </c>
      <c r="I430" s="126">
        <v>5</v>
      </c>
      <c r="J430" s="126">
        <v>60</v>
      </c>
      <c r="O430" s="126" t="s">
        <v>675</v>
      </c>
      <c r="P430" s="126" t="s">
        <v>2158</v>
      </c>
      <c r="R430" s="126">
        <v>2</v>
      </c>
      <c r="S430" s="162">
        <v>46174</v>
      </c>
      <c r="T430" s="126">
        <v>41</v>
      </c>
      <c r="U430" s="206">
        <v>16</v>
      </c>
      <c r="V430" s="206">
        <v>16</v>
      </c>
      <c r="W430" s="206">
        <v>0.53</v>
      </c>
      <c r="X430" s="206">
        <v>0</v>
      </c>
      <c r="Y430" s="206">
        <v>0</v>
      </c>
      <c r="Z430" s="206">
        <v>0</v>
      </c>
      <c r="AA430" s="206">
        <v>0.53</v>
      </c>
      <c r="AB430" s="206">
        <v>0</v>
      </c>
      <c r="AC430" s="235">
        <v>46227.645428240743</v>
      </c>
      <c r="AE430" s="126">
        <v>0</v>
      </c>
      <c r="AF430" s="126">
        <v>0</v>
      </c>
      <c r="AG430" s="126">
        <v>1</v>
      </c>
      <c r="AH430" s="126">
        <v>0</v>
      </c>
    </row>
    <row r="431" spans="3:34">
      <c r="C431" s="126">
        <v>424</v>
      </c>
      <c r="D431" s="126">
        <v>1</v>
      </c>
      <c r="E431" s="126">
        <v>1</v>
      </c>
      <c r="I431" s="126">
        <v>5</v>
      </c>
      <c r="J431" s="126">
        <v>61</v>
      </c>
      <c r="O431" s="126" t="s">
        <v>675</v>
      </c>
      <c r="P431" s="126" t="s">
        <v>2158</v>
      </c>
      <c r="R431" s="126">
        <v>2</v>
      </c>
      <c r="S431" s="162">
        <v>46174</v>
      </c>
      <c r="T431" s="126">
        <v>42</v>
      </c>
      <c r="U431" s="206">
        <v>32</v>
      </c>
      <c r="V431" s="206">
        <v>32</v>
      </c>
      <c r="W431" s="206">
        <v>0.24</v>
      </c>
      <c r="X431" s="206">
        <v>0</v>
      </c>
      <c r="Y431" s="206">
        <v>0</v>
      </c>
      <c r="Z431" s="206">
        <v>0</v>
      </c>
      <c r="AA431" s="206">
        <v>0.24</v>
      </c>
      <c r="AB431" s="206">
        <v>0</v>
      </c>
      <c r="AC431" s="235">
        <v>46227.645428240743</v>
      </c>
      <c r="AE431" s="126">
        <v>0</v>
      </c>
      <c r="AF431" s="126">
        <v>0</v>
      </c>
      <c r="AG431" s="126">
        <v>1</v>
      </c>
      <c r="AH431" s="126">
        <v>0</v>
      </c>
    </row>
    <row r="432" spans="3:34">
      <c r="C432" s="126">
        <v>425</v>
      </c>
      <c r="D432" s="126">
        <v>1</v>
      </c>
      <c r="E432" s="126">
        <v>1</v>
      </c>
      <c r="I432" s="126">
        <v>5</v>
      </c>
      <c r="J432" s="126">
        <v>62</v>
      </c>
      <c r="O432" s="126" t="s">
        <v>675</v>
      </c>
      <c r="P432" s="126" t="s">
        <v>2158</v>
      </c>
      <c r="R432" s="126">
        <v>2</v>
      </c>
      <c r="S432" s="162">
        <v>46174</v>
      </c>
      <c r="T432" s="126">
        <v>44</v>
      </c>
      <c r="U432" s="206">
        <v>8</v>
      </c>
      <c r="V432" s="206">
        <v>8</v>
      </c>
      <c r="W432" s="206">
        <v>0.22</v>
      </c>
      <c r="X432" s="206">
        <v>0</v>
      </c>
      <c r="Y432" s="206">
        <v>0</v>
      </c>
      <c r="Z432" s="206">
        <v>0</v>
      </c>
      <c r="AA432" s="206">
        <v>0.22</v>
      </c>
      <c r="AB432" s="206">
        <v>0</v>
      </c>
      <c r="AC432" s="235">
        <v>46227.645428240743</v>
      </c>
      <c r="AE432" s="126">
        <v>0</v>
      </c>
      <c r="AF432" s="126">
        <v>0</v>
      </c>
      <c r="AG432" s="126">
        <v>1</v>
      </c>
      <c r="AH432" s="126">
        <v>0</v>
      </c>
    </row>
    <row r="433" spans="3:34">
      <c r="C433" s="126">
        <v>426</v>
      </c>
      <c r="D433" s="126">
        <v>1</v>
      </c>
      <c r="E433" s="126">
        <v>1</v>
      </c>
      <c r="I433" s="126">
        <v>5</v>
      </c>
      <c r="J433" s="126">
        <v>63</v>
      </c>
      <c r="O433" s="126" t="s">
        <v>675</v>
      </c>
      <c r="P433" s="126" t="s">
        <v>2158</v>
      </c>
      <c r="R433" s="126">
        <v>2</v>
      </c>
      <c r="S433" s="162">
        <v>46174</v>
      </c>
      <c r="T433" s="126">
        <v>45</v>
      </c>
      <c r="U433" s="206">
        <v>30</v>
      </c>
      <c r="V433" s="206">
        <v>30</v>
      </c>
      <c r="W433" s="206">
        <v>0.34</v>
      </c>
      <c r="X433" s="206">
        <v>0</v>
      </c>
      <c r="Y433" s="206">
        <v>0</v>
      </c>
      <c r="Z433" s="206">
        <v>0</v>
      </c>
      <c r="AA433" s="206">
        <v>0.34</v>
      </c>
      <c r="AB433" s="206">
        <v>0</v>
      </c>
      <c r="AC433" s="235">
        <v>46227.645428240743</v>
      </c>
      <c r="AE433" s="126">
        <v>0</v>
      </c>
      <c r="AF433" s="126">
        <v>0</v>
      </c>
      <c r="AG433" s="126">
        <v>1</v>
      </c>
      <c r="AH433" s="126">
        <v>0</v>
      </c>
    </row>
    <row r="434" spans="3:34">
      <c r="C434" s="126">
        <v>427</v>
      </c>
      <c r="D434" s="126">
        <v>1</v>
      </c>
      <c r="E434" s="126">
        <v>1</v>
      </c>
      <c r="I434" s="126">
        <v>5</v>
      </c>
      <c r="J434" s="126">
        <v>64</v>
      </c>
      <c r="O434" s="126" t="s">
        <v>675</v>
      </c>
      <c r="P434" s="126" t="s">
        <v>2158</v>
      </c>
      <c r="R434" s="126">
        <v>2</v>
      </c>
      <c r="S434" s="162">
        <v>46174</v>
      </c>
      <c r="T434" s="126">
        <v>46</v>
      </c>
      <c r="U434" s="206">
        <v>60</v>
      </c>
      <c r="V434" s="206">
        <v>60</v>
      </c>
      <c r="W434" s="206">
        <v>0.15</v>
      </c>
      <c r="X434" s="206">
        <v>0</v>
      </c>
      <c r="Y434" s="206">
        <v>0</v>
      </c>
      <c r="Z434" s="206">
        <v>0</v>
      </c>
      <c r="AA434" s="206">
        <v>0.15</v>
      </c>
      <c r="AB434" s="206">
        <v>0</v>
      </c>
      <c r="AC434" s="235">
        <v>46227.645428240743</v>
      </c>
      <c r="AE434" s="126">
        <v>0</v>
      </c>
      <c r="AF434" s="126">
        <v>0</v>
      </c>
      <c r="AG434" s="126">
        <v>1</v>
      </c>
      <c r="AH434" s="126">
        <v>0</v>
      </c>
    </row>
    <row r="435" spans="3:34">
      <c r="C435" s="126">
        <v>428</v>
      </c>
      <c r="D435" s="126">
        <v>1</v>
      </c>
      <c r="E435" s="126">
        <v>1</v>
      </c>
      <c r="I435" s="126">
        <v>5</v>
      </c>
      <c r="J435" s="126">
        <v>65</v>
      </c>
      <c r="O435" s="126" t="s">
        <v>675</v>
      </c>
      <c r="P435" s="126" t="s">
        <v>2158</v>
      </c>
      <c r="R435" s="126">
        <v>2</v>
      </c>
      <c r="S435" s="162">
        <v>46174</v>
      </c>
      <c r="T435" s="126">
        <v>48</v>
      </c>
      <c r="U435" s="206">
        <v>14</v>
      </c>
      <c r="V435" s="206">
        <v>14</v>
      </c>
      <c r="W435" s="206">
        <v>0.12</v>
      </c>
      <c r="X435" s="206">
        <v>0</v>
      </c>
      <c r="Y435" s="206">
        <v>0</v>
      </c>
      <c r="Z435" s="206">
        <v>0</v>
      </c>
      <c r="AA435" s="206">
        <v>0.12</v>
      </c>
      <c r="AB435" s="206">
        <v>0</v>
      </c>
      <c r="AC435" s="235">
        <v>46227.645428240743</v>
      </c>
      <c r="AE435" s="126">
        <v>0</v>
      </c>
      <c r="AF435" s="126">
        <v>0</v>
      </c>
      <c r="AG435" s="126">
        <v>1</v>
      </c>
      <c r="AH435" s="126">
        <v>0</v>
      </c>
    </row>
    <row r="436" spans="3:34">
      <c r="C436" s="126">
        <v>429</v>
      </c>
      <c r="D436" s="126">
        <v>1</v>
      </c>
      <c r="E436" s="126">
        <v>1</v>
      </c>
      <c r="I436" s="126">
        <v>5</v>
      </c>
      <c r="J436" s="126">
        <v>66</v>
      </c>
      <c r="O436" s="126" t="s">
        <v>675</v>
      </c>
      <c r="P436" s="126" t="s">
        <v>2158</v>
      </c>
      <c r="R436" s="126">
        <v>2</v>
      </c>
      <c r="S436" s="162">
        <v>46174</v>
      </c>
      <c r="T436" s="126">
        <v>49</v>
      </c>
      <c r="U436" s="206">
        <v>30</v>
      </c>
      <c r="V436" s="206">
        <v>30</v>
      </c>
      <c r="W436" s="206">
        <v>0.28000000000000003</v>
      </c>
      <c r="X436" s="206">
        <v>0</v>
      </c>
      <c r="Y436" s="206">
        <v>0</v>
      </c>
      <c r="Z436" s="206">
        <v>0</v>
      </c>
      <c r="AA436" s="206">
        <v>0.28000000000000003</v>
      </c>
      <c r="AB436" s="206">
        <v>0</v>
      </c>
      <c r="AC436" s="235">
        <v>46227.645428240743</v>
      </c>
      <c r="AE436" s="126">
        <v>0</v>
      </c>
      <c r="AF436" s="126">
        <v>0</v>
      </c>
      <c r="AG436" s="126">
        <v>1</v>
      </c>
      <c r="AH436" s="126">
        <v>0</v>
      </c>
    </row>
    <row r="437" spans="3:34">
      <c r="C437" s="126">
        <v>430</v>
      </c>
      <c r="D437" s="126">
        <v>1</v>
      </c>
      <c r="E437" s="126">
        <v>1</v>
      </c>
      <c r="I437" s="126">
        <v>5</v>
      </c>
      <c r="J437" s="126">
        <v>67</v>
      </c>
      <c r="O437" s="126" t="s">
        <v>675</v>
      </c>
      <c r="P437" s="126" t="s">
        <v>2158</v>
      </c>
      <c r="R437" s="126">
        <v>2</v>
      </c>
      <c r="S437" s="162">
        <v>46174</v>
      </c>
      <c r="T437" s="126">
        <v>50</v>
      </c>
      <c r="U437" s="206">
        <v>118</v>
      </c>
      <c r="V437" s="206">
        <v>118</v>
      </c>
      <c r="W437" s="206">
        <v>0.12</v>
      </c>
      <c r="X437" s="206">
        <v>0</v>
      </c>
      <c r="Y437" s="206">
        <v>0</v>
      </c>
      <c r="Z437" s="206">
        <v>0</v>
      </c>
      <c r="AA437" s="206">
        <v>0.12</v>
      </c>
      <c r="AB437" s="206">
        <v>0</v>
      </c>
      <c r="AC437" s="235">
        <v>46227.645428240743</v>
      </c>
      <c r="AE437" s="126">
        <v>0</v>
      </c>
      <c r="AF437" s="126">
        <v>0</v>
      </c>
      <c r="AG437" s="126">
        <v>1</v>
      </c>
      <c r="AH437" s="126">
        <v>0</v>
      </c>
    </row>
    <row r="438" spans="3:34">
      <c r="C438" s="126">
        <v>431</v>
      </c>
      <c r="D438" s="126">
        <v>1</v>
      </c>
      <c r="E438" s="126">
        <v>1</v>
      </c>
      <c r="I438" s="126">
        <v>5</v>
      </c>
      <c r="J438" s="126">
        <v>68</v>
      </c>
      <c r="O438" s="126" t="s">
        <v>675</v>
      </c>
      <c r="P438" s="126" t="s">
        <v>2158</v>
      </c>
      <c r="R438" s="126">
        <v>2</v>
      </c>
      <c r="S438" s="162">
        <v>46174</v>
      </c>
      <c r="T438" s="126">
        <v>51</v>
      </c>
      <c r="U438" s="206">
        <v>34</v>
      </c>
      <c r="V438" s="206">
        <v>34</v>
      </c>
      <c r="W438" s="206">
        <v>4.49</v>
      </c>
      <c r="X438" s="206">
        <v>0</v>
      </c>
      <c r="Y438" s="206">
        <v>0</v>
      </c>
      <c r="Z438" s="206">
        <v>0</v>
      </c>
      <c r="AA438" s="206">
        <v>4.49</v>
      </c>
      <c r="AB438" s="206">
        <v>0</v>
      </c>
      <c r="AC438" s="235">
        <v>46227.645428240743</v>
      </c>
      <c r="AE438" s="126">
        <v>0</v>
      </c>
      <c r="AF438" s="126">
        <v>0</v>
      </c>
      <c r="AG438" s="126">
        <v>1</v>
      </c>
      <c r="AH438" s="126">
        <v>0</v>
      </c>
    </row>
    <row r="439" spans="3:34">
      <c r="C439" s="126">
        <v>432</v>
      </c>
      <c r="D439" s="126">
        <v>1</v>
      </c>
      <c r="E439" s="126">
        <v>1</v>
      </c>
      <c r="I439" s="126">
        <v>6</v>
      </c>
      <c r="J439" s="126">
        <v>69</v>
      </c>
      <c r="O439" s="126" t="s">
        <v>675</v>
      </c>
      <c r="P439" s="126" t="s">
        <v>2174</v>
      </c>
      <c r="R439" s="126">
        <v>2</v>
      </c>
      <c r="S439" s="162">
        <v>46176</v>
      </c>
      <c r="T439" s="126">
        <v>52</v>
      </c>
      <c r="U439" s="206">
        <v>22</v>
      </c>
      <c r="V439" s="206">
        <v>22</v>
      </c>
      <c r="W439" s="206">
        <v>1.91</v>
      </c>
      <c r="X439" s="206">
        <v>0</v>
      </c>
      <c r="Y439" s="206">
        <v>0</v>
      </c>
      <c r="Z439" s="206">
        <v>0</v>
      </c>
      <c r="AA439" s="206">
        <v>1.91</v>
      </c>
      <c r="AB439" s="206">
        <v>0</v>
      </c>
      <c r="AC439" s="235">
        <v>46227.67759259259</v>
      </c>
      <c r="AE439" s="126">
        <v>0</v>
      </c>
      <c r="AF439" s="126">
        <v>0</v>
      </c>
      <c r="AG439" s="126">
        <v>1</v>
      </c>
      <c r="AH439" s="126">
        <v>0</v>
      </c>
    </row>
    <row r="440" spans="3:34">
      <c r="C440" s="126">
        <v>433</v>
      </c>
      <c r="D440" s="126">
        <v>1</v>
      </c>
      <c r="E440" s="126">
        <v>1</v>
      </c>
      <c r="I440" s="126">
        <v>6</v>
      </c>
      <c r="J440" s="126">
        <v>70</v>
      </c>
      <c r="O440" s="126" t="s">
        <v>675</v>
      </c>
      <c r="P440" s="126" t="s">
        <v>2174</v>
      </c>
      <c r="R440" s="126">
        <v>2</v>
      </c>
      <c r="S440" s="162">
        <v>46176</v>
      </c>
      <c r="T440" s="126">
        <v>53</v>
      </c>
      <c r="U440" s="206">
        <v>4</v>
      </c>
      <c r="V440" s="206">
        <v>4</v>
      </c>
      <c r="W440" s="206">
        <v>0.95</v>
      </c>
      <c r="X440" s="206">
        <v>0</v>
      </c>
      <c r="Y440" s="206">
        <v>0</v>
      </c>
      <c r="Z440" s="206">
        <v>0</v>
      </c>
      <c r="AA440" s="206">
        <v>0.95</v>
      </c>
      <c r="AB440" s="206">
        <v>0</v>
      </c>
      <c r="AC440" s="235">
        <v>46227.67759259259</v>
      </c>
      <c r="AE440" s="126">
        <v>0</v>
      </c>
      <c r="AF440" s="126">
        <v>0</v>
      </c>
      <c r="AG440" s="126">
        <v>1</v>
      </c>
      <c r="AH440" s="126">
        <v>0</v>
      </c>
    </row>
    <row r="441" spans="3:34">
      <c r="C441" s="126">
        <v>434</v>
      </c>
      <c r="D441" s="126">
        <v>1</v>
      </c>
      <c r="E441" s="126">
        <v>1</v>
      </c>
      <c r="I441" s="126">
        <v>6</v>
      </c>
      <c r="J441" s="126">
        <v>71</v>
      </c>
      <c r="O441" s="126" t="s">
        <v>675</v>
      </c>
      <c r="P441" s="126" t="s">
        <v>2174</v>
      </c>
      <c r="R441" s="126">
        <v>2</v>
      </c>
      <c r="S441" s="162">
        <v>46176</v>
      </c>
      <c r="T441" s="126">
        <v>54</v>
      </c>
      <c r="U441" s="206">
        <v>16</v>
      </c>
      <c r="V441" s="206">
        <v>16</v>
      </c>
      <c r="W441" s="206">
        <v>2.12</v>
      </c>
      <c r="X441" s="206">
        <v>0</v>
      </c>
      <c r="Y441" s="206">
        <v>0</v>
      </c>
      <c r="Z441" s="206">
        <v>0</v>
      </c>
      <c r="AA441" s="206">
        <v>2.12</v>
      </c>
      <c r="AB441" s="206">
        <v>0</v>
      </c>
      <c r="AC441" s="235">
        <v>46227.67759259259</v>
      </c>
      <c r="AE441" s="126">
        <v>0</v>
      </c>
      <c r="AF441" s="126">
        <v>0</v>
      </c>
      <c r="AG441" s="126">
        <v>1</v>
      </c>
      <c r="AH441" s="126">
        <v>0</v>
      </c>
    </row>
    <row r="442" spans="3:34">
      <c r="C442" s="126">
        <v>435</v>
      </c>
      <c r="D442" s="126">
        <v>1</v>
      </c>
      <c r="E442" s="126">
        <v>1</v>
      </c>
      <c r="I442" s="126">
        <v>6</v>
      </c>
      <c r="J442" s="126">
        <v>72</v>
      </c>
      <c r="O442" s="126" t="s">
        <v>675</v>
      </c>
      <c r="P442" s="126" t="s">
        <v>2174</v>
      </c>
      <c r="R442" s="126">
        <v>2</v>
      </c>
      <c r="S442" s="162">
        <v>46176</v>
      </c>
      <c r="T442" s="126">
        <v>56</v>
      </c>
      <c r="U442" s="206">
        <v>14</v>
      </c>
      <c r="V442" s="206">
        <v>14</v>
      </c>
      <c r="W442" s="206">
        <v>0.55000000000000004</v>
      </c>
      <c r="X442" s="206">
        <v>0</v>
      </c>
      <c r="Y442" s="206">
        <v>0</v>
      </c>
      <c r="Z442" s="206">
        <v>0</v>
      </c>
      <c r="AA442" s="206">
        <v>0.55000000000000004</v>
      </c>
      <c r="AB442" s="206">
        <v>0</v>
      </c>
      <c r="AC442" s="235">
        <v>46227.67759259259</v>
      </c>
      <c r="AE442" s="126">
        <v>0</v>
      </c>
      <c r="AF442" s="126">
        <v>0</v>
      </c>
      <c r="AG442" s="126">
        <v>1</v>
      </c>
      <c r="AH442" s="126">
        <v>0</v>
      </c>
    </row>
    <row r="443" spans="3:34">
      <c r="C443" s="126">
        <v>436</v>
      </c>
      <c r="D443" s="126">
        <v>1</v>
      </c>
      <c r="E443" s="126">
        <v>1</v>
      </c>
      <c r="I443" s="126">
        <v>6</v>
      </c>
      <c r="J443" s="126">
        <v>73</v>
      </c>
      <c r="O443" s="126" t="s">
        <v>675</v>
      </c>
      <c r="P443" s="126" t="s">
        <v>2174</v>
      </c>
      <c r="R443" s="126">
        <v>2</v>
      </c>
      <c r="S443" s="162">
        <v>46176</v>
      </c>
      <c r="T443" s="126">
        <v>61</v>
      </c>
      <c r="U443" s="206">
        <v>2</v>
      </c>
      <c r="V443" s="206">
        <v>2</v>
      </c>
      <c r="W443" s="206">
        <v>6.41</v>
      </c>
      <c r="X443" s="206">
        <v>0</v>
      </c>
      <c r="Y443" s="206">
        <v>0</v>
      </c>
      <c r="Z443" s="206">
        <v>0</v>
      </c>
      <c r="AA443" s="206">
        <v>6.41</v>
      </c>
      <c r="AB443" s="206">
        <v>0</v>
      </c>
      <c r="AC443" s="235">
        <v>46227.67759259259</v>
      </c>
      <c r="AE443" s="126">
        <v>0</v>
      </c>
      <c r="AF443" s="126">
        <v>0</v>
      </c>
      <c r="AG443" s="126">
        <v>1</v>
      </c>
      <c r="AH443" s="126">
        <v>0</v>
      </c>
    </row>
    <row r="444" spans="3:34">
      <c r="C444" s="126">
        <v>437</v>
      </c>
      <c r="D444" s="126">
        <v>1</v>
      </c>
      <c r="E444" s="126">
        <v>1</v>
      </c>
      <c r="I444" s="126">
        <v>6</v>
      </c>
      <c r="J444" s="126">
        <v>74</v>
      </c>
      <c r="O444" s="126" t="s">
        <v>675</v>
      </c>
      <c r="P444" s="126" t="s">
        <v>2174</v>
      </c>
      <c r="R444" s="126">
        <v>2</v>
      </c>
      <c r="S444" s="162">
        <v>46176</v>
      </c>
      <c r="T444" s="126">
        <v>63</v>
      </c>
      <c r="U444" s="206">
        <v>12</v>
      </c>
      <c r="V444" s="206">
        <v>12</v>
      </c>
      <c r="W444" s="206">
        <v>4.33</v>
      </c>
      <c r="X444" s="206">
        <v>0</v>
      </c>
      <c r="Y444" s="206">
        <v>0</v>
      </c>
      <c r="Z444" s="206">
        <v>0</v>
      </c>
      <c r="AA444" s="206">
        <v>4.33</v>
      </c>
      <c r="AB444" s="206">
        <v>0</v>
      </c>
      <c r="AC444" s="235">
        <v>46227.67759259259</v>
      </c>
      <c r="AE444" s="126">
        <v>0</v>
      </c>
      <c r="AF444" s="126">
        <v>0</v>
      </c>
      <c r="AG444" s="126">
        <v>1</v>
      </c>
      <c r="AH444" s="126">
        <v>0</v>
      </c>
    </row>
    <row r="445" spans="3:34">
      <c r="C445" s="126">
        <v>438</v>
      </c>
      <c r="D445" s="126">
        <v>1</v>
      </c>
      <c r="E445" s="126">
        <v>1</v>
      </c>
      <c r="I445" s="126">
        <v>6</v>
      </c>
      <c r="J445" s="126">
        <v>75</v>
      </c>
      <c r="O445" s="126" t="s">
        <v>675</v>
      </c>
      <c r="P445" s="126" t="s">
        <v>2174</v>
      </c>
      <c r="R445" s="126">
        <v>2</v>
      </c>
      <c r="S445" s="162">
        <v>46176</v>
      </c>
      <c r="T445" s="126">
        <v>64</v>
      </c>
      <c r="U445" s="206">
        <v>2</v>
      </c>
      <c r="V445" s="206">
        <v>2</v>
      </c>
      <c r="W445" s="206">
        <v>1.9</v>
      </c>
      <c r="X445" s="206">
        <v>0</v>
      </c>
      <c r="Y445" s="206">
        <v>0</v>
      </c>
      <c r="Z445" s="206">
        <v>0</v>
      </c>
      <c r="AA445" s="206">
        <v>1.9</v>
      </c>
      <c r="AB445" s="206">
        <v>0</v>
      </c>
      <c r="AC445" s="235">
        <v>46227.67759259259</v>
      </c>
      <c r="AE445" s="126">
        <v>0</v>
      </c>
      <c r="AF445" s="126">
        <v>0</v>
      </c>
      <c r="AG445" s="126">
        <v>1</v>
      </c>
      <c r="AH445" s="126">
        <v>0</v>
      </c>
    </row>
    <row r="446" spans="3:34">
      <c r="C446" s="126">
        <v>439</v>
      </c>
      <c r="D446" s="126">
        <v>1</v>
      </c>
      <c r="E446" s="126">
        <v>1</v>
      </c>
      <c r="I446" s="126">
        <v>6</v>
      </c>
      <c r="J446" s="126">
        <v>76</v>
      </c>
      <c r="O446" s="126" t="s">
        <v>675</v>
      </c>
      <c r="P446" s="126" t="s">
        <v>2174</v>
      </c>
      <c r="R446" s="126">
        <v>2</v>
      </c>
      <c r="S446" s="162">
        <v>46176</v>
      </c>
      <c r="T446" s="126">
        <v>66</v>
      </c>
      <c r="U446" s="206">
        <v>12</v>
      </c>
      <c r="V446" s="206">
        <v>12</v>
      </c>
      <c r="W446" s="206">
        <v>0.41</v>
      </c>
      <c r="X446" s="206">
        <v>0</v>
      </c>
      <c r="Y446" s="206">
        <v>0</v>
      </c>
      <c r="Z446" s="206">
        <v>0</v>
      </c>
      <c r="AA446" s="206">
        <v>0.41</v>
      </c>
      <c r="AB446" s="206">
        <v>0</v>
      </c>
      <c r="AC446" s="235">
        <v>46227.67759259259</v>
      </c>
      <c r="AE446" s="126">
        <v>0</v>
      </c>
      <c r="AF446" s="126">
        <v>0</v>
      </c>
      <c r="AG446" s="126">
        <v>1</v>
      </c>
      <c r="AH446" s="126">
        <v>0</v>
      </c>
    </row>
    <row r="447" spans="3:34">
      <c r="C447" s="126">
        <v>440</v>
      </c>
      <c r="D447" s="126">
        <v>1</v>
      </c>
      <c r="E447" s="126">
        <v>1</v>
      </c>
      <c r="I447" s="126">
        <v>6</v>
      </c>
      <c r="J447" s="126">
        <v>77</v>
      </c>
      <c r="O447" s="126" t="s">
        <v>675</v>
      </c>
      <c r="P447" s="126" t="s">
        <v>2174</v>
      </c>
      <c r="R447" s="126">
        <v>2</v>
      </c>
      <c r="S447" s="162">
        <v>46176</v>
      </c>
      <c r="T447" s="126">
        <v>68</v>
      </c>
      <c r="U447" s="206">
        <v>12</v>
      </c>
      <c r="V447" s="206">
        <v>12</v>
      </c>
      <c r="W447" s="206">
        <v>0.53</v>
      </c>
      <c r="X447" s="206">
        <v>0</v>
      </c>
      <c r="Y447" s="206">
        <v>0</v>
      </c>
      <c r="Z447" s="206">
        <v>0</v>
      </c>
      <c r="AA447" s="206">
        <v>0.53</v>
      </c>
      <c r="AB447" s="206">
        <v>0</v>
      </c>
      <c r="AC447" s="235">
        <v>46227.67759259259</v>
      </c>
      <c r="AE447" s="126">
        <v>0</v>
      </c>
      <c r="AF447" s="126">
        <v>0</v>
      </c>
      <c r="AG447" s="126">
        <v>1</v>
      </c>
      <c r="AH447" s="126">
        <v>0</v>
      </c>
    </row>
    <row r="448" spans="3:34">
      <c r="C448" s="126">
        <v>441</v>
      </c>
      <c r="D448" s="126">
        <v>1</v>
      </c>
      <c r="E448" s="126">
        <v>1</v>
      </c>
      <c r="I448" s="126">
        <v>6</v>
      </c>
      <c r="J448" s="126">
        <v>78</v>
      </c>
      <c r="O448" s="126" t="s">
        <v>675</v>
      </c>
      <c r="P448" s="126" t="s">
        <v>2174</v>
      </c>
      <c r="R448" s="126">
        <v>2</v>
      </c>
      <c r="S448" s="162">
        <v>46176</v>
      </c>
      <c r="T448" s="126">
        <v>69</v>
      </c>
      <c r="U448" s="206">
        <v>14</v>
      </c>
      <c r="V448" s="206">
        <v>14</v>
      </c>
      <c r="W448" s="206">
        <v>0.25</v>
      </c>
      <c r="X448" s="206">
        <v>0</v>
      </c>
      <c r="Y448" s="206">
        <v>0</v>
      </c>
      <c r="Z448" s="206">
        <v>0</v>
      </c>
      <c r="AA448" s="206">
        <v>0.25</v>
      </c>
      <c r="AB448" s="206">
        <v>0</v>
      </c>
      <c r="AC448" s="235">
        <v>46227.67759259259</v>
      </c>
      <c r="AE448" s="126">
        <v>0</v>
      </c>
      <c r="AF448" s="126">
        <v>0</v>
      </c>
      <c r="AG448" s="126">
        <v>1</v>
      </c>
      <c r="AH448" s="126">
        <v>0</v>
      </c>
    </row>
    <row r="449" spans="3:34">
      <c r="C449" s="126">
        <v>442</v>
      </c>
      <c r="D449" s="126">
        <v>1</v>
      </c>
      <c r="E449" s="126">
        <v>1</v>
      </c>
      <c r="I449" s="126">
        <v>6</v>
      </c>
      <c r="J449" s="126">
        <v>79</v>
      </c>
      <c r="O449" s="126" t="s">
        <v>675</v>
      </c>
      <c r="P449" s="126" t="s">
        <v>2174</v>
      </c>
      <c r="R449" s="126">
        <v>2</v>
      </c>
      <c r="S449" s="162">
        <v>46176</v>
      </c>
      <c r="T449" s="126">
        <v>70</v>
      </c>
      <c r="U449" s="206">
        <v>8</v>
      </c>
      <c r="V449" s="206">
        <v>8</v>
      </c>
      <c r="W449" s="206">
        <v>0.15</v>
      </c>
      <c r="X449" s="206">
        <v>0</v>
      </c>
      <c r="Y449" s="206">
        <v>0</v>
      </c>
      <c r="Z449" s="206">
        <v>0</v>
      </c>
      <c r="AA449" s="206">
        <v>0.15</v>
      </c>
      <c r="AB449" s="206">
        <v>0</v>
      </c>
      <c r="AC449" s="235">
        <v>46227.67759259259</v>
      </c>
      <c r="AE449" s="126">
        <v>0</v>
      </c>
      <c r="AF449" s="126">
        <v>0</v>
      </c>
      <c r="AG449" s="126">
        <v>1</v>
      </c>
      <c r="AH449" s="126">
        <v>0</v>
      </c>
    </row>
    <row r="450" spans="3:34">
      <c r="C450" s="126">
        <v>443</v>
      </c>
      <c r="D450" s="126">
        <v>1</v>
      </c>
      <c r="E450" s="126">
        <v>1</v>
      </c>
      <c r="I450" s="126">
        <v>6</v>
      </c>
      <c r="J450" s="126">
        <v>80</v>
      </c>
      <c r="O450" s="126" t="s">
        <v>675</v>
      </c>
      <c r="P450" s="126" t="s">
        <v>2174</v>
      </c>
      <c r="R450" s="126">
        <v>2</v>
      </c>
      <c r="S450" s="162">
        <v>46176</v>
      </c>
      <c r="T450" s="126">
        <v>71</v>
      </c>
      <c r="U450" s="206">
        <v>4</v>
      </c>
      <c r="V450" s="206">
        <v>4</v>
      </c>
      <c r="W450" s="206">
        <v>0.11</v>
      </c>
      <c r="X450" s="206">
        <v>0</v>
      </c>
      <c r="Y450" s="206">
        <v>0</v>
      </c>
      <c r="Z450" s="206">
        <v>0</v>
      </c>
      <c r="AA450" s="206">
        <v>0.11</v>
      </c>
      <c r="AB450" s="206">
        <v>0</v>
      </c>
      <c r="AC450" s="235">
        <v>46227.67759259259</v>
      </c>
      <c r="AE450" s="126">
        <v>0</v>
      </c>
      <c r="AF450" s="126">
        <v>0</v>
      </c>
      <c r="AG450" s="126">
        <v>1</v>
      </c>
      <c r="AH450" s="126">
        <v>0</v>
      </c>
    </row>
    <row r="451" spans="3:34">
      <c r="C451" s="126">
        <v>444</v>
      </c>
      <c r="D451" s="126">
        <v>1</v>
      </c>
      <c r="E451" s="126">
        <v>1</v>
      </c>
      <c r="I451" s="126">
        <v>6</v>
      </c>
      <c r="J451" s="126">
        <v>81</v>
      </c>
      <c r="O451" s="126" t="s">
        <v>675</v>
      </c>
      <c r="P451" s="126" t="s">
        <v>2174</v>
      </c>
      <c r="R451" s="126">
        <v>2</v>
      </c>
      <c r="S451" s="162">
        <v>46176</v>
      </c>
      <c r="T451" s="126">
        <v>73</v>
      </c>
      <c r="U451" s="206">
        <v>2</v>
      </c>
      <c r="V451" s="206">
        <v>2</v>
      </c>
      <c r="W451" s="206">
        <v>0.34</v>
      </c>
      <c r="X451" s="206">
        <v>0</v>
      </c>
      <c r="Y451" s="206">
        <v>0</v>
      </c>
      <c r="Z451" s="206">
        <v>0</v>
      </c>
      <c r="AA451" s="206">
        <v>0.34</v>
      </c>
      <c r="AB451" s="206">
        <v>0</v>
      </c>
      <c r="AC451" s="235">
        <v>46227.67759259259</v>
      </c>
      <c r="AE451" s="126">
        <v>0</v>
      </c>
      <c r="AF451" s="126">
        <v>0</v>
      </c>
      <c r="AG451" s="126">
        <v>1</v>
      </c>
      <c r="AH451" s="126">
        <v>0</v>
      </c>
    </row>
    <row r="452" spans="3:34">
      <c r="C452" s="126">
        <v>445</v>
      </c>
      <c r="D452" s="126">
        <v>1</v>
      </c>
      <c r="E452" s="126">
        <v>1</v>
      </c>
      <c r="I452" s="126">
        <v>6</v>
      </c>
      <c r="J452" s="126">
        <v>82</v>
      </c>
      <c r="O452" s="126" t="s">
        <v>675</v>
      </c>
      <c r="P452" s="126" t="s">
        <v>2174</v>
      </c>
      <c r="R452" s="126">
        <v>2</v>
      </c>
      <c r="S452" s="162">
        <v>46176</v>
      </c>
      <c r="T452" s="126">
        <v>74</v>
      </c>
      <c r="U452" s="206">
        <v>12</v>
      </c>
      <c r="V452" s="206">
        <v>12</v>
      </c>
      <c r="W452" s="206">
        <v>0.19</v>
      </c>
      <c r="X452" s="206">
        <v>0</v>
      </c>
      <c r="Y452" s="206">
        <v>0</v>
      </c>
      <c r="Z452" s="206">
        <v>0</v>
      </c>
      <c r="AA452" s="206">
        <v>0.19</v>
      </c>
      <c r="AB452" s="206">
        <v>0</v>
      </c>
      <c r="AC452" s="235">
        <v>46227.67759259259</v>
      </c>
      <c r="AE452" s="126">
        <v>0</v>
      </c>
      <c r="AF452" s="126">
        <v>0</v>
      </c>
      <c r="AG452" s="126">
        <v>1</v>
      </c>
      <c r="AH452" s="126">
        <v>0</v>
      </c>
    </row>
    <row r="453" spans="3:34">
      <c r="C453" s="126">
        <v>446</v>
      </c>
      <c r="D453" s="126">
        <v>1</v>
      </c>
      <c r="E453" s="126">
        <v>1</v>
      </c>
      <c r="I453" s="126">
        <v>7</v>
      </c>
      <c r="J453" s="126">
        <v>83</v>
      </c>
      <c r="O453" s="126" t="s">
        <v>675</v>
      </c>
      <c r="P453" s="126" t="s">
        <v>2190</v>
      </c>
      <c r="R453" s="126">
        <v>2</v>
      </c>
      <c r="S453" s="162">
        <v>46176</v>
      </c>
      <c r="T453" s="126">
        <v>75</v>
      </c>
      <c r="U453" s="206">
        <v>8</v>
      </c>
      <c r="V453" s="206">
        <v>8</v>
      </c>
      <c r="W453" s="206">
        <v>0.13</v>
      </c>
      <c r="X453" s="206">
        <v>0</v>
      </c>
      <c r="Y453" s="206">
        <v>0</v>
      </c>
      <c r="Z453" s="206">
        <v>0</v>
      </c>
      <c r="AA453" s="206">
        <v>0.13</v>
      </c>
      <c r="AB453" s="206">
        <v>0</v>
      </c>
      <c r="AC453" s="235">
        <v>46227.690370370372</v>
      </c>
      <c r="AE453" s="126">
        <v>0</v>
      </c>
      <c r="AF453" s="126">
        <v>0</v>
      </c>
      <c r="AG453" s="126">
        <v>1</v>
      </c>
      <c r="AH453" s="126">
        <v>0</v>
      </c>
    </row>
    <row r="454" spans="3:34">
      <c r="C454" s="126">
        <v>447</v>
      </c>
      <c r="D454" s="126">
        <v>1</v>
      </c>
      <c r="E454" s="126">
        <v>1</v>
      </c>
      <c r="I454" s="126">
        <v>7</v>
      </c>
      <c r="J454" s="126">
        <v>84</v>
      </c>
      <c r="O454" s="126" t="s">
        <v>675</v>
      </c>
      <c r="P454" s="126" t="s">
        <v>2190</v>
      </c>
      <c r="R454" s="126">
        <v>2</v>
      </c>
      <c r="S454" s="162">
        <v>46176</v>
      </c>
      <c r="T454" s="126">
        <v>76</v>
      </c>
      <c r="U454" s="206">
        <v>12</v>
      </c>
      <c r="V454" s="206">
        <v>12</v>
      </c>
      <c r="W454" s="206">
        <v>1.35</v>
      </c>
      <c r="X454" s="206">
        <v>0</v>
      </c>
      <c r="Y454" s="206">
        <v>0</v>
      </c>
      <c r="Z454" s="206">
        <v>0</v>
      </c>
      <c r="AA454" s="206">
        <v>1.35</v>
      </c>
      <c r="AB454" s="206">
        <v>0</v>
      </c>
      <c r="AC454" s="235">
        <v>46227.690370370372</v>
      </c>
      <c r="AE454" s="126">
        <v>0</v>
      </c>
      <c r="AF454" s="126">
        <v>0</v>
      </c>
      <c r="AG454" s="126">
        <v>1</v>
      </c>
      <c r="AH454" s="126">
        <v>0</v>
      </c>
    </row>
    <row r="455" spans="3:34">
      <c r="C455" s="126">
        <v>448</v>
      </c>
      <c r="D455" s="126">
        <v>1</v>
      </c>
      <c r="E455" s="126">
        <v>1</v>
      </c>
      <c r="I455" s="126">
        <v>7</v>
      </c>
      <c r="J455" s="126">
        <v>85</v>
      </c>
      <c r="O455" s="126" t="s">
        <v>675</v>
      </c>
      <c r="P455" s="126" t="s">
        <v>2190</v>
      </c>
      <c r="R455" s="126">
        <v>2</v>
      </c>
      <c r="S455" s="162">
        <v>46176</v>
      </c>
      <c r="T455" s="126">
        <v>77</v>
      </c>
      <c r="U455" s="206">
        <v>100</v>
      </c>
      <c r="V455" s="206">
        <v>2</v>
      </c>
      <c r="W455" s="206">
        <v>8.8000000000000007</v>
      </c>
      <c r="X455" s="206">
        <v>0</v>
      </c>
      <c r="Y455" s="206">
        <v>0</v>
      </c>
      <c r="Z455" s="206">
        <v>0</v>
      </c>
      <c r="AA455" s="206">
        <v>8.8000000000000007</v>
      </c>
      <c r="AB455" s="206">
        <v>0</v>
      </c>
      <c r="AC455" s="235">
        <v>46227.690370370372</v>
      </c>
      <c r="AE455" s="126">
        <v>0</v>
      </c>
      <c r="AF455" s="126">
        <v>0</v>
      </c>
      <c r="AG455" s="126">
        <v>1</v>
      </c>
      <c r="AH455" s="126">
        <v>0</v>
      </c>
    </row>
    <row r="456" spans="3:34">
      <c r="C456" s="126">
        <v>449</v>
      </c>
      <c r="D456" s="126">
        <v>1</v>
      </c>
      <c r="E456" s="126">
        <v>1</v>
      </c>
      <c r="I456" s="126">
        <v>7</v>
      </c>
      <c r="J456" s="126">
        <v>86</v>
      </c>
      <c r="O456" s="126" t="s">
        <v>675</v>
      </c>
      <c r="P456" s="126" t="s">
        <v>2190</v>
      </c>
      <c r="R456" s="126">
        <v>2</v>
      </c>
      <c r="S456" s="162">
        <v>46176</v>
      </c>
      <c r="T456" s="126">
        <v>79</v>
      </c>
      <c r="U456" s="206">
        <v>100</v>
      </c>
      <c r="V456" s="206">
        <v>2</v>
      </c>
      <c r="W456" s="206">
        <v>5</v>
      </c>
      <c r="X456" s="206">
        <v>0</v>
      </c>
      <c r="Y456" s="206">
        <v>0</v>
      </c>
      <c r="Z456" s="206">
        <v>0</v>
      </c>
      <c r="AA456" s="206">
        <v>5</v>
      </c>
      <c r="AB456" s="206">
        <v>0</v>
      </c>
      <c r="AC456" s="235">
        <v>46227.690370370372</v>
      </c>
      <c r="AE456" s="126">
        <v>0</v>
      </c>
      <c r="AF456" s="126">
        <v>0</v>
      </c>
      <c r="AG456" s="126">
        <v>1</v>
      </c>
      <c r="AH456" s="126">
        <v>0</v>
      </c>
    </row>
    <row r="457" spans="3:34">
      <c r="C457" s="126">
        <v>450</v>
      </c>
      <c r="D457" s="126">
        <v>1</v>
      </c>
      <c r="E457" s="126">
        <v>1</v>
      </c>
      <c r="I457" s="126">
        <v>7</v>
      </c>
      <c r="J457" s="126">
        <v>87</v>
      </c>
      <c r="O457" s="126" t="s">
        <v>675</v>
      </c>
      <c r="P457" s="126" t="s">
        <v>2190</v>
      </c>
      <c r="R457" s="126">
        <v>2</v>
      </c>
      <c r="S457" s="162">
        <v>46176</v>
      </c>
      <c r="T457" s="126">
        <v>90</v>
      </c>
      <c r="U457" s="206">
        <v>16</v>
      </c>
      <c r="V457" s="206">
        <v>0.16</v>
      </c>
      <c r="W457" s="206">
        <v>0.18</v>
      </c>
      <c r="X457" s="206">
        <v>0</v>
      </c>
      <c r="Y457" s="206">
        <v>0</v>
      </c>
      <c r="Z457" s="206">
        <v>0</v>
      </c>
      <c r="AA457" s="206">
        <v>0.18</v>
      </c>
      <c r="AB457" s="206">
        <v>0</v>
      </c>
      <c r="AC457" s="235">
        <v>46227.690370370372</v>
      </c>
      <c r="AE457" s="126">
        <v>0</v>
      </c>
      <c r="AF457" s="126">
        <v>0</v>
      </c>
      <c r="AG457" s="126">
        <v>1</v>
      </c>
      <c r="AH457" s="126">
        <v>0</v>
      </c>
    </row>
    <row r="458" spans="3:34">
      <c r="C458" s="126">
        <v>451</v>
      </c>
      <c r="D458" s="126">
        <v>1</v>
      </c>
      <c r="E458" s="126">
        <v>1</v>
      </c>
      <c r="I458" s="126">
        <v>7</v>
      </c>
      <c r="J458" s="126">
        <v>88</v>
      </c>
      <c r="O458" s="126" t="s">
        <v>675</v>
      </c>
      <c r="P458" s="126" t="s">
        <v>2190</v>
      </c>
      <c r="R458" s="126">
        <v>2</v>
      </c>
      <c r="S458" s="162">
        <v>46176</v>
      </c>
      <c r="T458" s="126">
        <v>92</v>
      </c>
      <c r="U458" s="206">
        <v>40</v>
      </c>
      <c r="V458" s="206">
        <v>40</v>
      </c>
      <c r="W458" s="206">
        <v>0.78</v>
      </c>
      <c r="X458" s="206">
        <v>0</v>
      </c>
      <c r="Y458" s="206">
        <v>0</v>
      </c>
      <c r="Z458" s="206">
        <v>0</v>
      </c>
      <c r="AA458" s="206">
        <v>0.78</v>
      </c>
      <c r="AB458" s="206">
        <v>0</v>
      </c>
      <c r="AC458" s="235">
        <v>46227.690370370372</v>
      </c>
      <c r="AE458" s="126">
        <v>0</v>
      </c>
      <c r="AF458" s="126">
        <v>0</v>
      </c>
      <c r="AG458" s="126">
        <v>1</v>
      </c>
      <c r="AH458" s="126">
        <v>0</v>
      </c>
    </row>
    <row r="459" spans="3:34">
      <c r="C459" s="126">
        <v>452</v>
      </c>
      <c r="D459" s="126">
        <v>1</v>
      </c>
      <c r="E459" s="126">
        <v>1</v>
      </c>
      <c r="I459" s="126">
        <v>7</v>
      </c>
      <c r="J459" s="126">
        <v>89</v>
      </c>
      <c r="O459" s="126" t="s">
        <v>675</v>
      </c>
      <c r="P459" s="126" t="s">
        <v>2190</v>
      </c>
      <c r="R459" s="126">
        <v>2</v>
      </c>
      <c r="S459" s="162">
        <v>46176</v>
      </c>
      <c r="T459" s="126">
        <v>94</v>
      </c>
      <c r="U459" s="206">
        <v>82</v>
      </c>
      <c r="V459" s="206">
        <v>0.45555555555555555</v>
      </c>
      <c r="W459" s="206">
        <v>0.1</v>
      </c>
      <c r="X459" s="206">
        <v>0</v>
      </c>
      <c r="Y459" s="206">
        <v>0</v>
      </c>
      <c r="Z459" s="206">
        <v>0</v>
      </c>
      <c r="AA459" s="206">
        <v>0.1</v>
      </c>
      <c r="AB459" s="206">
        <v>0</v>
      </c>
      <c r="AC459" s="235">
        <v>46227.690370370372</v>
      </c>
      <c r="AE459" s="126">
        <v>0</v>
      </c>
      <c r="AF459" s="126">
        <v>0</v>
      </c>
      <c r="AG459" s="126">
        <v>1</v>
      </c>
      <c r="AH459" s="126">
        <v>0</v>
      </c>
    </row>
    <row r="460" spans="3:34">
      <c r="C460" s="126">
        <v>453</v>
      </c>
      <c r="D460" s="126">
        <v>1</v>
      </c>
      <c r="E460" s="126">
        <v>1</v>
      </c>
      <c r="I460" s="126">
        <v>7</v>
      </c>
      <c r="J460" s="126">
        <v>90</v>
      </c>
      <c r="O460" s="126" t="s">
        <v>675</v>
      </c>
      <c r="P460" s="126" t="s">
        <v>2190</v>
      </c>
      <c r="R460" s="126">
        <v>2</v>
      </c>
      <c r="S460" s="162">
        <v>46176</v>
      </c>
      <c r="T460" s="126">
        <v>96</v>
      </c>
      <c r="U460" s="206">
        <v>34</v>
      </c>
      <c r="V460" s="206">
        <v>2.8333333333333335</v>
      </c>
      <c r="W460" s="206">
        <v>0.27</v>
      </c>
      <c r="X460" s="206">
        <v>0</v>
      </c>
      <c r="Y460" s="206">
        <v>0</v>
      </c>
      <c r="Z460" s="206">
        <v>0</v>
      </c>
      <c r="AA460" s="206">
        <v>0.27</v>
      </c>
      <c r="AB460" s="206">
        <v>0</v>
      </c>
      <c r="AC460" s="235">
        <v>46227.690370370372</v>
      </c>
      <c r="AE460" s="126">
        <v>0</v>
      </c>
      <c r="AF460" s="126">
        <v>0</v>
      </c>
      <c r="AG460" s="126">
        <v>1</v>
      </c>
      <c r="AH460" s="126">
        <v>0</v>
      </c>
    </row>
    <row r="461" spans="3:34">
      <c r="C461" s="126">
        <v>454</v>
      </c>
      <c r="D461" s="126">
        <v>1</v>
      </c>
      <c r="E461" s="126">
        <v>1</v>
      </c>
      <c r="I461" s="126">
        <v>7</v>
      </c>
      <c r="J461" s="126">
        <v>91</v>
      </c>
      <c r="O461" s="126" t="s">
        <v>675</v>
      </c>
      <c r="P461" s="126" t="s">
        <v>2190</v>
      </c>
      <c r="R461" s="126">
        <v>2</v>
      </c>
      <c r="S461" s="162">
        <v>46176</v>
      </c>
      <c r="T461" s="126">
        <v>97</v>
      </c>
      <c r="U461" s="206">
        <v>8</v>
      </c>
      <c r="V461" s="206">
        <v>0.66666666666666663</v>
      </c>
      <c r="W461" s="206">
        <v>0.3</v>
      </c>
      <c r="X461" s="206">
        <v>0</v>
      </c>
      <c r="Y461" s="206">
        <v>0</v>
      </c>
      <c r="Z461" s="206">
        <v>0</v>
      </c>
      <c r="AA461" s="206">
        <v>0.3</v>
      </c>
      <c r="AB461" s="206">
        <v>0</v>
      </c>
      <c r="AC461" s="235">
        <v>46227.690370370372</v>
      </c>
      <c r="AE461" s="126">
        <v>0</v>
      </c>
      <c r="AF461" s="126">
        <v>0</v>
      </c>
      <c r="AG461" s="126">
        <v>1</v>
      </c>
      <c r="AH461" s="126">
        <v>0</v>
      </c>
    </row>
    <row r="462" spans="3:34">
      <c r="C462" s="126">
        <v>455</v>
      </c>
      <c r="D462" s="126">
        <v>1</v>
      </c>
      <c r="E462" s="126">
        <v>1</v>
      </c>
      <c r="I462" s="126">
        <v>7</v>
      </c>
      <c r="J462" s="126">
        <v>92</v>
      </c>
      <c r="O462" s="126" t="s">
        <v>675</v>
      </c>
      <c r="P462" s="126" t="s">
        <v>2190</v>
      </c>
      <c r="R462" s="126">
        <v>2</v>
      </c>
      <c r="S462" s="162">
        <v>46176</v>
      </c>
      <c r="T462" s="126">
        <v>99</v>
      </c>
      <c r="U462" s="206">
        <v>10</v>
      </c>
      <c r="V462" s="206">
        <v>0.5</v>
      </c>
      <c r="W462" s="206">
        <v>0.24</v>
      </c>
      <c r="X462" s="206">
        <v>0</v>
      </c>
      <c r="Y462" s="206">
        <v>0</v>
      </c>
      <c r="Z462" s="206">
        <v>0</v>
      </c>
      <c r="AA462" s="206">
        <v>0.24</v>
      </c>
      <c r="AB462" s="206">
        <v>0</v>
      </c>
      <c r="AC462" s="235">
        <v>46227.690370370372</v>
      </c>
      <c r="AE462" s="126">
        <v>0</v>
      </c>
      <c r="AF462" s="126">
        <v>0</v>
      </c>
      <c r="AG462" s="126">
        <v>1</v>
      </c>
      <c r="AH462" s="126">
        <v>0</v>
      </c>
    </row>
    <row r="463" spans="3:34">
      <c r="C463" s="126">
        <v>456</v>
      </c>
      <c r="D463" s="126">
        <v>1</v>
      </c>
      <c r="E463" s="126">
        <v>1</v>
      </c>
      <c r="I463" s="126">
        <v>7</v>
      </c>
      <c r="J463" s="126">
        <v>93</v>
      </c>
      <c r="O463" s="126" t="s">
        <v>675</v>
      </c>
      <c r="P463" s="126" t="s">
        <v>2190</v>
      </c>
      <c r="R463" s="126">
        <v>2</v>
      </c>
      <c r="S463" s="162">
        <v>46176</v>
      </c>
      <c r="T463" s="126">
        <v>103</v>
      </c>
      <c r="U463" s="206">
        <v>6</v>
      </c>
      <c r="V463" s="206">
        <v>0.5</v>
      </c>
      <c r="W463" s="206">
        <v>0.75</v>
      </c>
      <c r="X463" s="206">
        <v>0</v>
      </c>
      <c r="Y463" s="206">
        <v>0</v>
      </c>
      <c r="Z463" s="206">
        <v>0</v>
      </c>
      <c r="AA463" s="206">
        <v>0.75</v>
      </c>
      <c r="AB463" s="206">
        <v>0</v>
      </c>
      <c r="AC463" s="235">
        <v>46227.690370370372</v>
      </c>
      <c r="AE463" s="126">
        <v>0</v>
      </c>
      <c r="AF463" s="126">
        <v>0</v>
      </c>
      <c r="AG463" s="126">
        <v>1</v>
      </c>
      <c r="AH463" s="126">
        <v>0</v>
      </c>
    </row>
    <row r="464" spans="3:34">
      <c r="C464" s="126">
        <v>457</v>
      </c>
      <c r="D464" s="126">
        <v>1</v>
      </c>
      <c r="E464" s="126">
        <v>1</v>
      </c>
      <c r="I464" s="126">
        <v>7</v>
      </c>
      <c r="J464" s="126">
        <v>94</v>
      </c>
      <c r="O464" s="126" t="s">
        <v>675</v>
      </c>
      <c r="P464" s="126" t="s">
        <v>2190</v>
      </c>
      <c r="R464" s="126">
        <v>2</v>
      </c>
      <c r="S464" s="162">
        <v>46176</v>
      </c>
      <c r="T464" s="126">
        <v>105</v>
      </c>
      <c r="U464" s="206">
        <v>4</v>
      </c>
      <c r="V464" s="206">
        <v>0.33333333333333331</v>
      </c>
      <c r="W464" s="206">
        <v>1.1000000000000001</v>
      </c>
      <c r="X464" s="206">
        <v>0</v>
      </c>
      <c r="Y464" s="206">
        <v>0</v>
      </c>
      <c r="Z464" s="206">
        <v>0</v>
      </c>
      <c r="AA464" s="206">
        <v>1.1000000000000001</v>
      </c>
      <c r="AB464" s="206">
        <v>0</v>
      </c>
      <c r="AC464" s="235">
        <v>46227.690370370372</v>
      </c>
      <c r="AE464" s="126">
        <v>0</v>
      </c>
      <c r="AF464" s="126">
        <v>0</v>
      </c>
      <c r="AG464" s="126">
        <v>1</v>
      </c>
      <c r="AH464" s="126">
        <v>0</v>
      </c>
    </row>
    <row r="465" spans="3:34">
      <c r="C465" s="126">
        <v>458</v>
      </c>
      <c r="D465" s="126">
        <v>1</v>
      </c>
      <c r="E465" s="126">
        <v>1</v>
      </c>
      <c r="I465" s="126">
        <v>7</v>
      </c>
      <c r="J465" s="126">
        <v>95</v>
      </c>
      <c r="O465" s="126" t="s">
        <v>675</v>
      </c>
      <c r="P465" s="126" t="s">
        <v>2190</v>
      </c>
      <c r="R465" s="126">
        <v>2</v>
      </c>
      <c r="S465" s="162">
        <v>46176</v>
      </c>
      <c r="T465" s="126">
        <v>108</v>
      </c>
      <c r="U465" s="206">
        <v>44</v>
      </c>
      <c r="V465" s="206">
        <v>44</v>
      </c>
      <c r="W465" s="206">
        <v>2.7</v>
      </c>
      <c r="X465" s="206">
        <v>0</v>
      </c>
      <c r="Y465" s="206">
        <v>0</v>
      </c>
      <c r="Z465" s="206">
        <v>0</v>
      </c>
      <c r="AA465" s="206">
        <v>2.7</v>
      </c>
      <c r="AB465" s="206">
        <v>0</v>
      </c>
      <c r="AC465" s="235">
        <v>46227.690370370372</v>
      </c>
      <c r="AE465" s="126">
        <v>0</v>
      </c>
      <c r="AF465" s="126">
        <v>0</v>
      </c>
      <c r="AG465" s="126">
        <v>1</v>
      </c>
      <c r="AH465" s="126">
        <v>0</v>
      </c>
    </row>
    <row r="466" spans="3:34">
      <c r="C466" s="126">
        <v>459</v>
      </c>
      <c r="D466" s="126">
        <v>1</v>
      </c>
      <c r="E466" s="126">
        <v>1</v>
      </c>
      <c r="I466" s="126">
        <v>7</v>
      </c>
      <c r="J466" s="126">
        <v>96</v>
      </c>
      <c r="O466" s="126" t="s">
        <v>675</v>
      </c>
      <c r="P466" s="126" t="s">
        <v>2190</v>
      </c>
      <c r="R466" s="126">
        <v>2</v>
      </c>
      <c r="S466" s="162">
        <v>46176</v>
      </c>
      <c r="T466" s="126">
        <v>112</v>
      </c>
      <c r="U466" s="206">
        <v>2</v>
      </c>
      <c r="V466" s="206">
        <v>2</v>
      </c>
      <c r="W466" s="206">
        <v>2.6</v>
      </c>
      <c r="X466" s="206">
        <v>0</v>
      </c>
      <c r="Y466" s="206">
        <v>0</v>
      </c>
      <c r="Z466" s="206">
        <v>0</v>
      </c>
      <c r="AA466" s="206">
        <v>2.6</v>
      </c>
      <c r="AB466" s="206">
        <v>0</v>
      </c>
      <c r="AC466" s="235">
        <v>46227.690370370372</v>
      </c>
      <c r="AE466" s="126">
        <v>0</v>
      </c>
      <c r="AF466" s="126">
        <v>0</v>
      </c>
      <c r="AG466" s="126">
        <v>1</v>
      </c>
      <c r="AH466" s="126">
        <v>0</v>
      </c>
    </row>
    <row r="467" spans="3:34">
      <c r="C467" s="126">
        <v>460</v>
      </c>
      <c r="D467" s="126">
        <v>1</v>
      </c>
      <c r="E467" s="126">
        <v>1</v>
      </c>
      <c r="I467" s="126">
        <v>8</v>
      </c>
      <c r="J467" s="126">
        <v>97</v>
      </c>
      <c r="O467" s="126" t="s">
        <v>675</v>
      </c>
      <c r="P467" s="126" t="s">
        <v>2208</v>
      </c>
      <c r="R467" s="126">
        <v>2</v>
      </c>
      <c r="S467" s="162">
        <v>46179</v>
      </c>
      <c r="T467" s="126">
        <v>131</v>
      </c>
      <c r="U467" s="206">
        <v>2</v>
      </c>
      <c r="V467" s="206">
        <v>2</v>
      </c>
      <c r="W467" s="206">
        <v>0.7</v>
      </c>
      <c r="X467" s="206">
        <v>0</v>
      </c>
      <c r="Y467" s="206">
        <v>0</v>
      </c>
      <c r="Z467" s="206">
        <v>0</v>
      </c>
      <c r="AA467" s="206">
        <v>0.7</v>
      </c>
      <c r="AB467" s="206">
        <v>0</v>
      </c>
      <c r="AC467" s="235">
        <v>46227.702025462961</v>
      </c>
      <c r="AE467" s="126">
        <v>0</v>
      </c>
      <c r="AF467" s="126">
        <v>0</v>
      </c>
      <c r="AG467" s="126">
        <v>1</v>
      </c>
      <c r="AH467" s="126">
        <v>0</v>
      </c>
    </row>
    <row r="468" spans="3:34">
      <c r="C468" s="126">
        <v>461</v>
      </c>
      <c r="D468" s="126">
        <v>1</v>
      </c>
      <c r="E468" s="126">
        <v>1</v>
      </c>
      <c r="I468" s="126">
        <v>8</v>
      </c>
      <c r="J468" s="126">
        <v>98</v>
      </c>
      <c r="O468" s="126" t="s">
        <v>675</v>
      </c>
      <c r="P468" s="126" t="s">
        <v>2208</v>
      </c>
      <c r="R468" s="126">
        <v>2</v>
      </c>
      <c r="S468" s="162">
        <v>46179</v>
      </c>
      <c r="T468" s="126">
        <v>136</v>
      </c>
      <c r="U468" s="206">
        <v>4</v>
      </c>
      <c r="V468" s="206">
        <v>4</v>
      </c>
      <c r="W468" s="206">
        <v>0.38</v>
      </c>
      <c r="X468" s="206">
        <v>0</v>
      </c>
      <c r="Y468" s="206">
        <v>0</v>
      </c>
      <c r="Z468" s="206">
        <v>0</v>
      </c>
      <c r="AA468" s="206">
        <v>0.38</v>
      </c>
      <c r="AB468" s="206">
        <v>0</v>
      </c>
      <c r="AC468" s="235">
        <v>46227.702025462961</v>
      </c>
      <c r="AE468" s="126">
        <v>0</v>
      </c>
      <c r="AF468" s="126">
        <v>0</v>
      </c>
      <c r="AG468" s="126">
        <v>1</v>
      </c>
      <c r="AH468" s="126">
        <v>0</v>
      </c>
    </row>
    <row r="469" spans="3:34">
      <c r="C469" s="126">
        <v>462</v>
      </c>
      <c r="D469" s="126">
        <v>1</v>
      </c>
      <c r="E469" s="126">
        <v>1</v>
      </c>
      <c r="I469" s="126">
        <v>8</v>
      </c>
      <c r="J469" s="126">
        <v>99</v>
      </c>
      <c r="O469" s="126" t="s">
        <v>675</v>
      </c>
      <c r="P469" s="126" t="s">
        <v>2208</v>
      </c>
      <c r="R469" s="126">
        <v>2</v>
      </c>
      <c r="S469" s="162">
        <v>46179</v>
      </c>
      <c r="T469" s="126">
        <v>142</v>
      </c>
      <c r="U469" s="206">
        <v>14</v>
      </c>
      <c r="V469" s="206">
        <v>1.1666666666666667</v>
      </c>
      <c r="W469" s="206">
        <v>0.34</v>
      </c>
      <c r="X469" s="206">
        <v>0</v>
      </c>
      <c r="Y469" s="206">
        <v>0</v>
      </c>
      <c r="Z469" s="206">
        <v>0</v>
      </c>
      <c r="AA469" s="206">
        <v>0.34</v>
      </c>
      <c r="AB469" s="206">
        <v>0</v>
      </c>
      <c r="AC469" s="235">
        <v>46227.702025462961</v>
      </c>
      <c r="AE469" s="126">
        <v>0</v>
      </c>
      <c r="AF469" s="126">
        <v>0</v>
      </c>
      <c r="AG469" s="126">
        <v>1</v>
      </c>
      <c r="AH469" s="126">
        <v>0</v>
      </c>
    </row>
    <row r="470" spans="3:34">
      <c r="C470" s="126">
        <v>463</v>
      </c>
      <c r="D470" s="126">
        <v>1</v>
      </c>
      <c r="E470" s="126">
        <v>1</v>
      </c>
      <c r="I470" s="126">
        <v>8</v>
      </c>
      <c r="J470" s="126">
        <v>100</v>
      </c>
      <c r="O470" s="126" t="s">
        <v>675</v>
      </c>
      <c r="P470" s="126" t="s">
        <v>2208</v>
      </c>
      <c r="R470" s="126">
        <v>2</v>
      </c>
      <c r="S470" s="162">
        <v>46179</v>
      </c>
      <c r="T470" s="126">
        <v>144</v>
      </c>
      <c r="U470" s="206">
        <v>30</v>
      </c>
      <c r="V470" s="206">
        <v>0.6</v>
      </c>
      <c r="W470" s="206">
        <v>0.3</v>
      </c>
      <c r="X470" s="206">
        <v>0</v>
      </c>
      <c r="Y470" s="206">
        <v>0</v>
      </c>
      <c r="Z470" s="206">
        <v>0</v>
      </c>
      <c r="AA470" s="206">
        <v>0.3</v>
      </c>
      <c r="AB470" s="206">
        <v>0</v>
      </c>
      <c r="AC470" s="235">
        <v>46227.702025462961</v>
      </c>
      <c r="AE470" s="126">
        <v>0</v>
      </c>
      <c r="AF470" s="126">
        <v>0</v>
      </c>
      <c r="AG470" s="126">
        <v>1</v>
      </c>
      <c r="AH470" s="126">
        <v>0</v>
      </c>
    </row>
    <row r="471" spans="3:34">
      <c r="C471" s="126">
        <v>464</v>
      </c>
      <c r="D471" s="126">
        <v>1</v>
      </c>
      <c r="E471" s="126">
        <v>1</v>
      </c>
      <c r="I471" s="126">
        <v>8</v>
      </c>
      <c r="J471" s="126">
        <v>101</v>
      </c>
      <c r="O471" s="126" t="s">
        <v>675</v>
      </c>
      <c r="P471" s="126" t="s">
        <v>2208</v>
      </c>
      <c r="R471" s="126">
        <v>2</v>
      </c>
      <c r="S471" s="162">
        <v>46179</v>
      </c>
      <c r="T471" s="126">
        <v>145</v>
      </c>
      <c r="U471" s="206">
        <v>20</v>
      </c>
      <c r="V471" s="206">
        <v>1.6666666666666667</v>
      </c>
      <c r="W471" s="206">
        <v>0.28999999999999998</v>
      </c>
      <c r="X471" s="206">
        <v>0</v>
      </c>
      <c r="Y471" s="206">
        <v>0</v>
      </c>
      <c r="Z471" s="206">
        <v>0</v>
      </c>
      <c r="AA471" s="206">
        <v>0.28999999999999998</v>
      </c>
      <c r="AB471" s="206">
        <v>0</v>
      </c>
      <c r="AC471" s="235">
        <v>46227.702025462961</v>
      </c>
      <c r="AE471" s="126">
        <v>0</v>
      </c>
      <c r="AF471" s="126">
        <v>0</v>
      </c>
      <c r="AG471" s="126">
        <v>1</v>
      </c>
      <c r="AH471" s="126">
        <v>0</v>
      </c>
    </row>
    <row r="472" spans="3:34">
      <c r="C472" s="126">
        <v>465</v>
      </c>
      <c r="D472" s="126">
        <v>1</v>
      </c>
      <c r="E472" s="126">
        <v>1</v>
      </c>
      <c r="I472" s="126">
        <v>8</v>
      </c>
      <c r="J472" s="126">
        <v>102</v>
      </c>
      <c r="O472" s="126" t="s">
        <v>675</v>
      </c>
      <c r="P472" s="126" t="s">
        <v>2208</v>
      </c>
      <c r="R472" s="126">
        <v>2</v>
      </c>
      <c r="S472" s="162">
        <v>46179</v>
      </c>
      <c r="T472" s="126">
        <v>146</v>
      </c>
      <c r="U472" s="206">
        <v>10</v>
      </c>
      <c r="V472" s="206">
        <v>10</v>
      </c>
      <c r="W472" s="206">
        <v>0.04</v>
      </c>
      <c r="X472" s="206">
        <v>0</v>
      </c>
      <c r="Y472" s="206">
        <v>0</v>
      </c>
      <c r="Z472" s="206">
        <v>0</v>
      </c>
      <c r="AA472" s="206">
        <v>0.04</v>
      </c>
      <c r="AB472" s="206">
        <v>0</v>
      </c>
      <c r="AC472" s="235">
        <v>46227.702025462961</v>
      </c>
      <c r="AE472" s="126">
        <v>0</v>
      </c>
      <c r="AF472" s="126">
        <v>0</v>
      </c>
      <c r="AG472" s="126">
        <v>1</v>
      </c>
      <c r="AH472" s="126">
        <v>0</v>
      </c>
    </row>
    <row r="473" spans="3:34">
      <c r="C473" s="126">
        <v>466</v>
      </c>
      <c r="D473" s="126">
        <v>1</v>
      </c>
      <c r="E473" s="126">
        <v>1</v>
      </c>
      <c r="I473" s="126">
        <v>8</v>
      </c>
      <c r="J473" s="126">
        <v>103</v>
      </c>
      <c r="O473" s="126" t="s">
        <v>675</v>
      </c>
      <c r="P473" s="126" t="s">
        <v>2208</v>
      </c>
      <c r="R473" s="126">
        <v>2</v>
      </c>
      <c r="S473" s="162">
        <v>46179</v>
      </c>
      <c r="T473" s="126">
        <v>150</v>
      </c>
      <c r="U473" s="206">
        <v>88</v>
      </c>
      <c r="V473" s="206">
        <v>7.333333333333333</v>
      </c>
      <c r="W473" s="206">
        <v>0.13</v>
      </c>
      <c r="X473" s="206">
        <v>0</v>
      </c>
      <c r="Y473" s="206">
        <v>0</v>
      </c>
      <c r="Z473" s="206">
        <v>0</v>
      </c>
      <c r="AA473" s="206">
        <v>0.13</v>
      </c>
      <c r="AB473" s="206">
        <v>0</v>
      </c>
      <c r="AC473" s="235">
        <v>46227.702025462961</v>
      </c>
      <c r="AE473" s="126">
        <v>0</v>
      </c>
      <c r="AF473" s="126">
        <v>0</v>
      </c>
      <c r="AG473" s="126">
        <v>1</v>
      </c>
      <c r="AH473" s="126">
        <v>0</v>
      </c>
    </row>
    <row r="474" spans="3:34">
      <c r="C474" s="126">
        <v>467</v>
      </c>
      <c r="D474" s="126">
        <v>1</v>
      </c>
      <c r="E474" s="126">
        <v>1</v>
      </c>
      <c r="I474" s="126">
        <v>8</v>
      </c>
      <c r="J474" s="126">
        <v>104</v>
      </c>
      <c r="O474" s="126" t="s">
        <v>675</v>
      </c>
      <c r="P474" s="126" t="s">
        <v>2208</v>
      </c>
      <c r="R474" s="126">
        <v>2</v>
      </c>
      <c r="S474" s="162">
        <v>46179</v>
      </c>
      <c r="T474" s="126">
        <v>153</v>
      </c>
      <c r="U474" s="206">
        <v>14</v>
      </c>
      <c r="V474" s="206">
        <v>1.1666666666666667</v>
      </c>
      <c r="W474" s="206">
        <v>3.3</v>
      </c>
      <c r="X474" s="206">
        <v>0</v>
      </c>
      <c r="Y474" s="206">
        <v>0</v>
      </c>
      <c r="Z474" s="206">
        <v>0</v>
      </c>
      <c r="AA474" s="206">
        <v>3.3</v>
      </c>
      <c r="AB474" s="206">
        <v>0</v>
      </c>
      <c r="AC474" s="235">
        <v>46227.702025462961</v>
      </c>
      <c r="AE474" s="126">
        <v>0</v>
      </c>
      <c r="AF474" s="126">
        <v>0</v>
      </c>
      <c r="AG474" s="126">
        <v>1</v>
      </c>
      <c r="AH474" s="126">
        <v>0</v>
      </c>
    </row>
    <row r="475" spans="3:34">
      <c r="C475" s="126">
        <v>468</v>
      </c>
      <c r="D475" s="126">
        <v>1</v>
      </c>
      <c r="E475" s="126">
        <v>1</v>
      </c>
      <c r="I475" s="126">
        <v>8</v>
      </c>
      <c r="J475" s="126">
        <v>105</v>
      </c>
      <c r="O475" s="126" t="s">
        <v>675</v>
      </c>
      <c r="P475" s="126" t="s">
        <v>2208</v>
      </c>
      <c r="R475" s="126">
        <v>2</v>
      </c>
      <c r="S475" s="162">
        <v>46179</v>
      </c>
      <c r="T475" s="126">
        <v>156</v>
      </c>
      <c r="U475" s="206">
        <v>4</v>
      </c>
      <c r="V475" s="206">
        <v>0.33333333333333331</v>
      </c>
      <c r="W475" s="206">
        <v>4.41</v>
      </c>
      <c r="X475" s="206">
        <v>0</v>
      </c>
      <c r="Y475" s="206">
        <v>0</v>
      </c>
      <c r="Z475" s="206">
        <v>0</v>
      </c>
      <c r="AA475" s="206">
        <v>4.41</v>
      </c>
      <c r="AB475" s="206">
        <v>0</v>
      </c>
      <c r="AC475" s="235">
        <v>46227.702025462961</v>
      </c>
      <c r="AE475" s="126">
        <v>0</v>
      </c>
      <c r="AF475" s="126">
        <v>0</v>
      </c>
      <c r="AG475" s="126">
        <v>1</v>
      </c>
      <c r="AH475" s="126">
        <v>0</v>
      </c>
    </row>
    <row r="476" spans="3:34">
      <c r="C476" s="126">
        <v>469</v>
      </c>
      <c r="D476" s="126">
        <v>1</v>
      </c>
      <c r="E476" s="126">
        <v>1</v>
      </c>
      <c r="I476" s="126">
        <v>8</v>
      </c>
      <c r="J476" s="126">
        <v>106</v>
      </c>
      <c r="O476" s="126" t="s">
        <v>675</v>
      </c>
      <c r="P476" s="126" t="s">
        <v>2208</v>
      </c>
      <c r="R476" s="126">
        <v>2</v>
      </c>
      <c r="S476" s="162">
        <v>46179</v>
      </c>
      <c r="T476" s="126">
        <v>158</v>
      </c>
      <c r="U476" s="206">
        <v>2</v>
      </c>
      <c r="V476" s="206">
        <v>2</v>
      </c>
      <c r="W476" s="206">
        <v>53</v>
      </c>
      <c r="X476" s="206">
        <v>0</v>
      </c>
      <c r="Y476" s="206">
        <v>0</v>
      </c>
      <c r="Z476" s="206">
        <v>0</v>
      </c>
      <c r="AA476" s="206">
        <v>53</v>
      </c>
      <c r="AB476" s="206">
        <v>0</v>
      </c>
      <c r="AC476" s="235">
        <v>46227.702025462961</v>
      </c>
      <c r="AE476" s="126">
        <v>0</v>
      </c>
      <c r="AF476" s="126">
        <v>0</v>
      </c>
      <c r="AG476" s="126">
        <v>1</v>
      </c>
      <c r="AH476" s="126">
        <v>0</v>
      </c>
    </row>
    <row r="477" spans="3:34">
      <c r="C477" s="126">
        <v>470</v>
      </c>
      <c r="D477" s="126">
        <v>1</v>
      </c>
      <c r="E477" s="126">
        <v>1</v>
      </c>
      <c r="I477" s="126">
        <v>8</v>
      </c>
      <c r="J477" s="126">
        <v>107</v>
      </c>
      <c r="O477" s="126" t="s">
        <v>675</v>
      </c>
      <c r="P477" s="126" t="s">
        <v>2208</v>
      </c>
      <c r="R477" s="126">
        <v>2</v>
      </c>
      <c r="S477" s="162">
        <v>46179</v>
      </c>
      <c r="T477" s="126">
        <v>160</v>
      </c>
      <c r="U477" s="206">
        <v>8</v>
      </c>
      <c r="V477" s="206">
        <v>2</v>
      </c>
      <c r="W477" s="206">
        <v>47</v>
      </c>
      <c r="X477" s="206">
        <v>0</v>
      </c>
      <c r="Y477" s="206">
        <v>0</v>
      </c>
      <c r="Z477" s="206">
        <v>0</v>
      </c>
      <c r="AA477" s="206">
        <v>47</v>
      </c>
      <c r="AB477" s="206">
        <v>0</v>
      </c>
      <c r="AC477" s="235">
        <v>46227.702025462961</v>
      </c>
      <c r="AE477" s="126">
        <v>0</v>
      </c>
      <c r="AF477" s="126">
        <v>0</v>
      </c>
      <c r="AG477" s="126">
        <v>1</v>
      </c>
      <c r="AH477" s="126">
        <v>0</v>
      </c>
    </row>
    <row r="478" spans="3:34">
      <c r="C478" s="126">
        <v>471</v>
      </c>
      <c r="D478" s="126">
        <v>1</v>
      </c>
      <c r="E478" s="126">
        <v>1</v>
      </c>
      <c r="I478" s="126">
        <v>8</v>
      </c>
      <c r="J478" s="126">
        <v>108</v>
      </c>
      <c r="O478" s="126" t="s">
        <v>675</v>
      </c>
      <c r="P478" s="126" t="s">
        <v>2208</v>
      </c>
      <c r="R478" s="126">
        <v>2</v>
      </c>
      <c r="S478" s="162">
        <v>46179</v>
      </c>
      <c r="T478" s="126">
        <v>163</v>
      </c>
      <c r="U478" s="206">
        <v>4</v>
      </c>
      <c r="V478" s="206">
        <v>1</v>
      </c>
      <c r="W478" s="206">
        <v>51</v>
      </c>
      <c r="X478" s="206">
        <v>0</v>
      </c>
      <c r="Y478" s="206">
        <v>0</v>
      </c>
      <c r="Z478" s="206">
        <v>0</v>
      </c>
      <c r="AA478" s="206">
        <v>51</v>
      </c>
      <c r="AB478" s="206">
        <v>0</v>
      </c>
      <c r="AC478" s="235">
        <v>46227.702025462961</v>
      </c>
      <c r="AE478" s="126">
        <v>0</v>
      </c>
      <c r="AF478" s="126">
        <v>0</v>
      </c>
      <c r="AG478" s="126">
        <v>1</v>
      </c>
      <c r="AH478" s="126">
        <v>0</v>
      </c>
    </row>
    <row r="479" spans="3:34">
      <c r="C479" s="126">
        <v>472</v>
      </c>
      <c r="D479" s="126">
        <v>1</v>
      </c>
      <c r="E479" s="126">
        <v>1</v>
      </c>
      <c r="I479" s="126">
        <v>8</v>
      </c>
      <c r="J479" s="126">
        <v>109</v>
      </c>
      <c r="O479" s="126" t="s">
        <v>675</v>
      </c>
      <c r="P479" s="126" t="s">
        <v>2208</v>
      </c>
      <c r="R479" s="126">
        <v>2</v>
      </c>
      <c r="S479" s="162">
        <v>46179</v>
      </c>
      <c r="T479" s="126">
        <v>165</v>
      </c>
      <c r="U479" s="206">
        <v>2</v>
      </c>
      <c r="V479" s="206">
        <v>0.5</v>
      </c>
      <c r="W479" s="206">
        <v>20.25</v>
      </c>
      <c r="X479" s="206">
        <v>0</v>
      </c>
      <c r="Y479" s="206">
        <v>0</v>
      </c>
      <c r="Z479" s="206">
        <v>0</v>
      </c>
      <c r="AA479" s="206">
        <v>20.25</v>
      </c>
      <c r="AB479" s="206">
        <v>0</v>
      </c>
      <c r="AC479" s="235">
        <v>46227.702025462961</v>
      </c>
      <c r="AE479" s="126">
        <v>0</v>
      </c>
      <c r="AF479" s="126">
        <v>0</v>
      </c>
      <c r="AG479" s="126">
        <v>1</v>
      </c>
      <c r="AH479" s="126">
        <v>0</v>
      </c>
    </row>
    <row r="480" spans="3:34">
      <c r="C480" s="126">
        <v>473</v>
      </c>
      <c r="D480" s="126">
        <v>1</v>
      </c>
      <c r="E480" s="126">
        <v>1</v>
      </c>
      <c r="I480" s="126">
        <v>8</v>
      </c>
      <c r="J480" s="126">
        <v>110</v>
      </c>
      <c r="O480" s="126" t="s">
        <v>675</v>
      </c>
      <c r="P480" s="126" t="s">
        <v>2208</v>
      </c>
      <c r="R480" s="126">
        <v>2</v>
      </c>
      <c r="S480" s="162">
        <v>46179</v>
      </c>
      <c r="T480" s="126">
        <v>167</v>
      </c>
      <c r="U480" s="206">
        <v>18</v>
      </c>
      <c r="V480" s="206">
        <v>18</v>
      </c>
      <c r="W480" s="206">
        <v>0.85</v>
      </c>
      <c r="X480" s="206">
        <v>0</v>
      </c>
      <c r="Y480" s="206">
        <v>0</v>
      </c>
      <c r="Z480" s="206">
        <v>0</v>
      </c>
      <c r="AA480" s="206">
        <v>0.85</v>
      </c>
      <c r="AB480" s="206">
        <v>0</v>
      </c>
      <c r="AC480" s="235">
        <v>46227.702025462961</v>
      </c>
      <c r="AE480" s="126">
        <v>0</v>
      </c>
      <c r="AF480" s="126">
        <v>0</v>
      </c>
      <c r="AG480" s="126">
        <v>1</v>
      </c>
      <c r="AH480" s="126">
        <v>0</v>
      </c>
    </row>
    <row r="481" spans="3:35">
      <c r="C481" s="126">
        <v>474</v>
      </c>
      <c r="D481" s="126">
        <v>1</v>
      </c>
      <c r="E481" s="126">
        <v>1</v>
      </c>
      <c r="I481" s="126">
        <v>9</v>
      </c>
      <c r="J481" s="126">
        <v>111</v>
      </c>
      <c r="O481" s="126" t="s">
        <v>675</v>
      </c>
      <c r="P481" s="126" t="s">
        <v>2232</v>
      </c>
      <c r="R481" s="126">
        <v>2</v>
      </c>
      <c r="S481" s="162">
        <v>46179</v>
      </c>
      <c r="T481" s="126">
        <v>168</v>
      </c>
      <c r="U481" s="206">
        <v>4</v>
      </c>
      <c r="V481" s="206">
        <v>4</v>
      </c>
      <c r="W481" s="206">
        <v>1.2</v>
      </c>
      <c r="X481" s="206">
        <v>0</v>
      </c>
      <c r="Y481" s="206">
        <v>0</v>
      </c>
      <c r="Z481" s="206">
        <v>0</v>
      </c>
      <c r="AA481" s="206">
        <v>1.2</v>
      </c>
      <c r="AB481" s="206">
        <v>0</v>
      </c>
      <c r="AC481" s="235">
        <v>46227.724502314813</v>
      </c>
      <c r="AE481" s="126">
        <v>0</v>
      </c>
      <c r="AF481" s="126">
        <v>0</v>
      </c>
      <c r="AG481" s="126">
        <v>1</v>
      </c>
      <c r="AH481" s="126">
        <v>0</v>
      </c>
    </row>
    <row r="482" spans="3:35">
      <c r="C482" s="126">
        <v>475</v>
      </c>
      <c r="D482" s="126">
        <v>1</v>
      </c>
      <c r="E482" s="126">
        <v>1</v>
      </c>
      <c r="I482" s="126">
        <v>9</v>
      </c>
      <c r="J482" s="126">
        <v>112</v>
      </c>
      <c r="O482" s="126" t="s">
        <v>675</v>
      </c>
      <c r="P482" s="126" t="s">
        <v>2232</v>
      </c>
      <c r="R482" s="126">
        <v>2</v>
      </c>
      <c r="S482" s="162">
        <v>46179</v>
      </c>
      <c r="T482" s="126">
        <v>169</v>
      </c>
      <c r="U482" s="206">
        <v>32</v>
      </c>
      <c r="V482" s="206">
        <v>32</v>
      </c>
      <c r="W482" s="206">
        <v>0.5</v>
      </c>
      <c r="X482" s="206">
        <v>0</v>
      </c>
      <c r="Y482" s="206">
        <v>0</v>
      </c>
      <c r="Z482" s="206">
        <v>0</v>
      </c>
      <c r="AA482" s="206">
        <v>0.5</v>
      </c>
      <c r="AB482" s="206">
        <v>0</v>
      </c>
      <c r="AC482" s="235">
        <v>46227.724502314813</v>
      </c>
      <c r="AE482" s="126">
        <v>0</v>
      </c>
      <c r="AF482" s="126">
        <v>0</v>
      </c>
      <c r="AG482" s="126">
        <v>1</v>
      </c>
      <c r="AH482" s="126">
        <v>0</v>
      </c>
    </row>
    <row r="483" spans="3:35">
      <c r="C483" s="126">
        <v>476</v>
      </c>
      <c r="D483" s="126">
        <v>1</v>
      </c>
      <c r="E483" s="126">
        <v>1</v>
      </c>
      <c r="I483" s="126">
        <v>9</v>
      </c>
      <c r="J483" s="126">
        <v>113</v>
      </c>
      <c r="O483" s="126" t="s">
        <v>675</v>
      </c>
      <c r="P483" s="126" t="s">
        <v>2232</v>
      </c>
      <c r="R483" s="126">
        <v>2</v>
      </c>
      <c r="S483" s="162">
        <v>46179</v>
      </c>
      <c r="T483" s="126">
        <v>170</v>
      </c>
      <c r="U483" s="206">
        <v>20</v>
      </c>
      <c r="V483" s="206">
        <v>20</v>
      </c>
      <c r="W483" s="206">
        <v>0.4</v>
      </c>
      <c r="X483" s="206">
        <v>0</v>
      </c>
      <c r="Y483" s="206">
        <v>0</v>
      </c>
      <c r="Z483" s="206">
        <v>0</v>
      </c>
      <c r="AA483" s="206">
        <v>0.4</v>
      </c>
      <c r="AB483" s="206">
        <v>0</v>
      </c>
      <c r="AC483" s="235">
        <v>46227.724502314813</v>
      </c>
      <c r="AE483" s="126">
        <v>0</v>
      </c>
      <c r="AF483" s="126">
        <v>0</v>
      </c>
      <c r="AG483" s="126">
        <v>1</v>
      </c>
      <c r="AH483" s="126">
        <v>0</v>
      </c>
    </row>
    <row r="484" spans="3:35">
      <c r="C484" s="126">
        <v>477</v>
      </c>
      <c r="D484" s="126">
        <v>1</v>
      </c>
      <c r="E484" s="126">
        <v>1</v>
      </c>
      <c r="I484" s="126">
        <v>9</v>
      </c>
      <c r="J484" s="126">
        <v>114</v>
      </c>
      <c r="O484" s="126" t="s">
        <v>675</v>
      </c>
      <c r="P484" s="126" t="s">
        <v>2232</v>
      </c>
      <c r="R484" s="126">
        <v>2</v>
      </c>
      <c r="S484" s="162">
        <v>46179</v>
      </c>
      <c r="T484" s="126">
        <v>172</v>
      </c>
      <c r="U484" s="206">
        <v>4</v>
      </c>
      <c r="V484" s="206">
        <v>0.33333333333333331</v>
      </c>
      <c r="W484" s="206">
        <v>0.1</v>
      </c>
      <c r="X484" s="206">
        <v>0</v>
      </c>
      <c r="Y484" s="206">
        <v>0</v>
      </c>
      <c r="Z484" s="206">
        <v>0</v>
      </c>
      <c r="AA484" s="206">
        <v>0.1</v>
      </c>
      <c r="AB484" s="206">
        <v>0</v>
      </c>
      <c r="AC484" s="235">
        <v>46227.724502314813</v>
      </c>
      <c r="AE484" s="126">
        <v>0</v>
      </c>
      <c r="AF484" s="126">
        <v>0</v>
      </c>
      <c r="AG484" s="126">
        <v>1</v>
      </c>
      <c r="AH484" s="126">
        <v>0</v>
      </c>
    </row>
    <row r="485" spans="3:35">
      <c r="C485" s="126">
        <v>478</v>
      </c>
      <c r="D485" s="126">
        <v>1</v>
      </c>
      <c r="E485" s="126">
        <v>1</v>
      </c>
      <c r="I485" s="126">
        <v>9</v>
      </c>
      <c r="J485" s="126">
        <v>115</v>
      </c>
      <c r="O485" s="126" t="s">
        <v>675</v>
      </c>
      <c r="P485" s="126" t="s">
        <v>2232</v>
      </c>
      <c r="R485" s="126">
        <v>2</v>
      </c>
      <c r="S485" s="162">
        <v>46179</v>
      </c>
      <c r="T485" s="126">
        <v>174</v>
      </c>
      <c r="U485" s="206">
        <v>4</v>
      </c>
      <c r="V485" s="206">
        <v>0.33333333333333331</v>
      </c>
      <c r="W485" s="206">
        <v>0.2</v>
      </c>
      <c r="X485" s="206">
        <v>0</v>
      </c>
      <c r="Y485" s="206">
        <v>0</v>
      </c>
      <c r="Z485" s="206">
        <v>0</v>
      </c>
      <c r="AA485" s="206">
        <v>0.2</v>
      </c>
      <c r="AB485" s="206">
        <v>0</v>
      </c>
      <c r="AC485" s="235">
        <v>46227.724502314813</v>
      </c>
      <c r="AE485" s="126">
        <v>0</v>
      </c>
      <c r="AF485" s="126">
        <v>0</v>
      </c>
      <c r="AG485" s="126">
        <v>1</v>
      </c>
      <c r="AH485" s="126">
        <v>0</v>
      </c>
    </row>
    <row r="486" spans="3:35">
      <c r="C486" s="126">
        <v>479</v>
      </c>
      <c r="D486" s="126">
        <v>1</v>
      </c>
      <c r="E486" s="126">
        <v>1</v>
      </c>
      <c r="I486" s="126">
        <v>9</v>
      </c>
      <c r="J486" s="126">
        <v>116</v>
      </c>
      <c r="O486" s="126" t="s">
        <v>675</v>
      </c>
      <c r="P486" s="126" t="s">
        <v>2232</v>
      </c>
      <c r="R486" s="126">
        <v>2</v>
      </c>
      <c r="S486" s="162">
        <v>46179</v>
      </c>
      <c r="T486" s="126">
        <v>181</v>
      </c>
      <c r="U486" s="206">
        <v>336</v>
      </c>
      <c r="V486" s="206">
        <v>28</v>
      </c>
      <c r="W486" s="206">
        <v>1</v>
      </c>
      <c r="X486" s="206">
        <v>0</v>
      </c>
      <c r="Y486" s="206">
        <v>0</v>
      </c>
      <c r="Z486" s="206">
        <v>0</v>
      </c>
      <c r="AA486" s="206">
        <v>1</v>
      </c>
      <c r="AB486" s="206">
        <v>0</v>
      </c>
      <c r="AC486" s="235">
        <v>46227.724502314813</v>
      </c>
      <c r="AE486" s="126">
        <v>0</v>
      </c>
      <c r="AF486" s="126">
        <v>0</v>
      </c>
      <c r="AG486" s="126">
        <v>1</v>
      </c>
      <c r="AH486" s="126">
        <v>0</v>
      </c>
    </row>
    <row r="487" spans="3:35">
      <c r="C487" s="126">
        <v>480</v>
      </c>
      <c r="D487" s="126">
        <v>1</v>
      </c>
      <c r="E487" s="126">
        <v>1</v>
      </c>
      <c r="I487" s="126">
        <v>9</v>
      </c>
      <c r="J487" s="126">
        <v>117</v>
      </c>
      <c r="O487" s="126" t="s">
        <v>675</v>
      </c>
      <c r="P487" s="126" t="s">
        <v>2232</v>
      </c>
      <c r="R487" s="126">
        <v>2</v>
      </c>
      <c r="S487" s="162">
        <v>46179</v>
      </c>
      <c r="T487" s="126">
        <v>182</v>
      </c>
      <c r="U487" s="206">
        <v>264</v>
      </c>
      <c r="V487" s="206">
        <v>22</v>
      </c>
      <c r="W487" s="206">
        <v>2</v>
      </c>
      <c r="X487" s="206">
        <v>0</v>
      </c>
      <c r="Y487" s="206">
        <v>0</v>
      </c>
      <c r="Z487" s="206">
        <v>0</v>
      </c>
      <c r="AA487" s="206">
        <v>2</v>
      </c>
      <c r="AB487" s="206">
        <v>0</v>
      </c>
      <c r="AC487" s="235">
        <v>46227.724502314813</v>
      </c>
      <c r="AE487" s="126">
        <v>0</v>
      </c>
      <c r="AF487" s="126">
        <v>0</v>
      </c>
      <c r="AG487" s="126">
        <v>1</v>
      </c>
      <c r="AH487" s="126">
        <v>0</v>
      </c>
    </row>
    <row r="488" spans="3:35">
      <c r="C488" s="126">
        <v>481</v>
      </c>
      <c r="D488" s="126">
        <v>1</v>
      </c>
      <c r="E488" s="126">
        <v>1</v>
      </c>
      <c r="I488" s="126">
        <v>9</v>
      </c>
      <c r="J488" s="126">
        <v>118</v>
      </c>
      <c r="O488" s="126" t="s">
        <v>675</v>
      </c>
      <c r="P488" s="126" t="s">
        <v>2232</v>
      </c>
      <c r="R488" s="126">
        <v>2</v>
      </c>
      <c r="S488" s="162">
        <v>46179</v>
      </c>
      <c r="T488" s="126">
        <v>183</v>
      </c>
      <c r="U488" s="206">
        <v>840</v>
      </c>
      <c r="V488" s="206">
        <v>70</v>
      </c>
      <c r="W488" s="206">
        <v>4</v>
      </c>
      <c r="X488" s="206">
        <v>0</v>
      </c>
      <c r="Y488" s="206">
        <v>0</v>
      </c>
      <c r="Z488" s="206">
        <v>0</v>
      </c>
      <c r="AA488" s="206">
        <v>4</v>
      </c>
      <c r="AB488" s="206">
        <v>0</v>
      </c>
      <c r="AC488" s="235">
        <v>46227.724502314813</v>
      </c>
      <c r="AE488" s="126">
        <v>0</v>
      </c>
      <c r="AF488" s="126">
        <v>0</v>
      </c>
      <c r="AG488" s="126">
        <v>1</v>
      </c>
      <c r="AH488" s="126">
        <v>0</v>
      </c>
    </row>
    <row r="489" spans="3:35">
      <c r="C489" s="126">
        <v>482</v>
      </c>
      <c r="D489" s="126">
        <v>1</v>
      </c>
      <c r="E489" s="126">
        <v>1</v>
      </c>
      <c r="I489" s="126">
        <v>9</v>
      </c>
      <c r="J489" s="126">
        <v>119</v>
      </c>
      <c r="O489" s="126" t="s">
        <v>675</v>
      </c>
      <c r="P489" s="126" t="s">
        <v>2232</v>
      </c>
      <c r="R489" s="126">
        <v>2</v>
      </c>
      <c r="S489" s="162">
        <v>46179</v>
      </c>
      <c r="T489" s="126">
        <v>184</v>
      </c>
      <c r="U489" s="206">
        <v>192</v>
      </c>
      <c r="V489" s="206">
        <v>16</v>
      </c>
      <c r="W489" s="206">
        <v>6</v>
      </c>
      <c r="X489" s="206">
        <v>0</v>
      </c>
      <c r="Y489" s="206">
        <v>0</v>
      </c>
      <c r="Z489" s="206">
        <v>0</v>
      </c>
      <c r="AA489" s="206">
        <v>6</v>
      </c>
      <c r="AB489" s="206">
        <v>0</v>
      </c>
      <c r="AC489" s="235">
        <v>46227.724502314813</v>
      </c>
      <c r="AE489" s="126">
        <v>0</v>
      </c>
      <c r="AF489" s="126">
        <v>0</v>
      </c>
      <c r="AG489" s="126">
        <v>1</v>
      </c>
      <c r="AH489" s="126">
        <v>0</v>
      </c>
    </row>
    <row r="490" spans="3:35">
      <c r="C490" s="126">
        <v>483</v>
      </c>
      <c r="D490" s="126">
        <v>1</v>
      </c>
      <c r="E490" s="126">
        <v>1</v>
      </c>
      <c r="I490" s="126">
        <v>9</v>
      </c>
      <c r="J490" s="126">
        <v>120</v>
      </c>
      <c r="O490" s="126" t="s">
        <v>675</v>
      </c>
      <c r="P490" s="126" t="s">
        <v>2232</v>
      </c>
      <c r="R490" s="126">
        <v>2</v>
      </c>
      <c r="S490" s="162">
        <v>46179</v>
      </c>
      <c r="T490" s="126">
        <v>185</v>
      </c>
      <c r="U490" s="206">
        <v>24</v>
      </c>
      <c r="V490" s="206">
        <v>2</v>
      </c>
      <c r="W490" s="206">
        <v>8</v>
      </c>
      <c r="X490" s="206">
        <v>0</v>
      </c>
      <c r="Y490" s="206">
        <v>0</v>
      </c>
      <c r="Z490" s="206">
        <v>0</v>
      </c>
      <c r="AA490" s="206">
        <v>8</v>
      </c>
      <c r="AB490" s="206">
        <v>0</v>
      </c>
      <c r="AC490" s="235">
        <v>46227.724502314813</v>
      </c>
      <c r="AE490" s="126">
        <v>0</v>
      </c>
      <c r="AF490" s="126">
        <v>0</v>
      </c>
      <c r="AG490" s="126">
        <v>1</v>
      </c>
      <c r="AH490" s="126">
        <v>0</v>
      </c>
    </row>
    <row r="491" spans="3:35">
      <c r="C491" s="126">
        <v>484</v>
      </c>
      <c r="D491" s="126">
        <v>1</v>
      </c>
      <c r="E491" s="126">
        <v>1</v>
      </c>
      <c r="I491" s="126">
        <v>9</v>
      </c>
      <c r="J491" s="126">
        <v>121</v>
      </c>
      <c r="O491" s="126" t="s">
        <v>675</v>
      </c>
      <c r="P491" s="126" t="s">
        <v>2232</v>
      </c>
      <c r="R491" s="126">
        <v>2</v>
      </c>
      <c r="S491" s="162">
        <v>46179</v>
      </c>
      <c r="T491" s="126">
        <v>187</v>
      </c>
      <c r="U491" s="206">
        <v>128</v>
      </c>
      <c r="V491" s="206">
        <v>32</v>
      </c>
      <c r="W491" s="206">
        <v>3.37</v>
      </c>
      <c r="X491" s="206">
        <v>0</v>
      </c>
      <c r="Y491" s="206">
        <v>0</v>
      </c>
      <c r="Z491" s="206">
        <v>0</v>
      </c>
      <c r="AA491" s="206">
        <v>3.37</v>
      </c>
      <c r="AB491" s="206">
        <v>0</v>
      </c>
      <c r="AC491" s="235">
        <v>46227.724502314813</v>
      </c>
      <c r="AE491" s="126">
        <v>0</v>
      </c>
      <c r="AF491" s="126">
        <v>0</v>
      </c>
      <c r="AG491" s="126">
        <v>1</v>
      </c>
      <c r="AH491" s="126">
        <v>0</v>
      </c>
    </row>
    <row r="492" spans="3:35">
      <c r="C492" s="126">
        <v>485</v>
      </c>
      <c r="D492" s="126">
        <v>1</v>
      </c>
      <c r="E492" s="126">
        <v>1</v>
      </c>
      <c r="I492" s="126">
        <v>9</v>
      </c>
      <c r="J492" s="126">
        <v>122</v>
      </c>
      <c r="O492" s="126" t="s">
        <v>675</v>
      </c>
      <c r="P492" s="126" t="s">
        <v>2232</v>
      </c>
      <c r="R492" s="126">
        <v>2</v>
      </c>
      <c r="S492" s="162">
        <v>46179</v>
      </c>
      <c r="T492" s="126">
        <v>189</v>
      </c>
      <c r="U492" s="206">
        <v>128</v>
      </c>
      <c r="V492" s="206">
        <v>32</v>
      </c>
      <c r="W492" s="206">
        <v>4.09</v>
      </c>
      <c r="X492" s="206">
        <v>0</v>
      </c>
      <c r="Y492" s="206">
        <v>0</v>
      </c>
      <c r="Z492" s="206">
        <v>0</v>
      </c>
      <c r="AA492" s="206">
        <v>4.09</v>
      </c>
      <c r="AB492" s="206">
        <v>0</v>
      </c>
      <c r="AC492" s="235">
        <v>46227.724502314813</v>
      </c>
      <c r="AE492" s="126">
        <v>0</v>
      </c>
      <c r="AF492" s="126">
        <v>0</v>
      </c>
      <c r="AG492" s="126">
        <v>1</v>
      </c>
      <c r="AH492" s="126">
        <v>0</v>
      </c>
    </row>
    <row r="493" spans="3:35">
      <c r="C493" s="126">
        <v>486</v>
      </c>
      <c r="D493" s="126">
        <v>1</v>
      </c>
      <c r="E493" s="126">
        <v>1</v>
      </c>
      <c r="I493" s="126">
        <v>9</v>
      </c>
      <c r="J493" s="126">
        <v>123</v>
      </c>
      <c r="O493" s="126" t="s">
        <v>675</v>
      </c>
      <c r="P493" s="126" t="s">
        <v>2232</v>
      </c>
      <c r="R493" s="126">
        <v>2</v>
      </c>
      <c r="S493" s="162">
        <v>46179</v>
      </c>
      <c r="T493" s="126">
        <v>192</v>
      </c>
      <c r="U493" s="206">
        <v>8</v>
      </c>
      <c r="V493" s="206">
        <v>2</v>
      </c>
      <c r="W493" s="206">
        <v>6.03</v>
      </c>
      <c r="X493" s="206">
        <v>0</v>
      </c>
      <c r="Y493" s="206">
        <v>0</v>
      </c>
      <c r="Z493" s="206">
        <v>0</v>
      </c>
      <c r="AA493" s="206">
        <v>6.03</v>
      </c>
      <c r="AB493" s="206">
        <v>0</v>
      </c>
      <c r="AC493" s="235">
        <v>46227.724502314813</v>
      </c>
      <c r="AE493" s="126">
        <v>0</v>
      </c>
      <c r="AF493" s="126">
        <v>0</v>
      </c>
      <c r="AG493" s="126">
        <v>1</v>
      </c>
      <c r="AH493" s="126">
        <v>0</v>
      </c>
    </row>
    <row r="494" spans="3:35">
      <c r="C494" s="126">
        <v>487</v>
      </c>
      <c r="D494" s="126">
        <v>1</v>
      </c>
      <c r="E494" s="126">
        <v>1</v>
      </c>
      <c r="I494" s="126">
        <v>9</v>
      </c>
      <c r="J494" s="126">
        <v>124</v>
      </c>
      <c r="O494" s="126" t="s">
        <v>675</v>
      </c>
      <c r="P494" s="126" t="s">
        <v>2232</v>
      </c>
      <c r="R494" s="126">
        <v>2</v>
      </c>
      <c r="S494" s="162">
        <v>46179</v>
      </c>
      <c r="T494" s="126">
        <v>195</v>
      </c>
      <c r="U494" s="206">
        <v>40</v>
      </c>
      <c r="V494" s="206">
        <v>10</v>
      </c>
      <c r="W494" s="206">
        <v>6.28</v>
      </c>
      <c r="X494" s="206">
        <v>0</v>
      </c>
      <c r="Y494" s="206">
        <v>0</v>
      </c>
      <c r="Z494" s="206">
        <v>0</v>
      </c>
      <c r="AA494" s="206">
        <v>6.28</v>
      </c>
      <c r="AB494" s="206">
        <v>0</v>
      </c>
      <c r="AC494" s="235">
        <v>46227.724502314813</v>
      </c>
      <c r="AE494" s="126">
        <v>0</v>
      </c>
      <c r="AF494" s="126">
        <v>0</v>
      </c>
      <c r="AG494" s="126">
        <v>1</v>
      </c>
      <c r="AH494" s="126">
        <v>0</v>
      </c>
    </row>
    <row r="495" spans="3:35">
      <c r="C495" s="126">
        <v>488</v>
      </c>
      <c r="D495" s="126">
        <v>1</v>
      </c>
      <c r="E495" s="126">
        <v>1</v>
      </c>
      <c r="I495" s="126">
        <v>9</v>
      </c>
      <c r="J495" s="126">
        <v>125</v>
      </c>
      <c r="O495" s="126" t="s">
        <v>675</v>
      </c>
      <c r="P495" s="126" t="s">
        <v>2232</v>
      </c>
      <c r="R495" s="126">
        <v>2</v>
      </c>
      <c r="S495" s="162">
        <v>46179</v>
      </c>
      <c r="T495" s="126">
        <v>198</v>
      </c>
      <c r="U495" s="206">
        <v>32</v>
      </c>
      <c r="V495" s="206">
        <v>8</v>
      </c>
      <c r="W495" s="206">
        <v>9.48</v>
      </c>
      <c r="X495" s="206">
        <v>0</v>
      </c>
      <c r="Y495" s="206">
        <v>0</v>
      </c>
      <c r="Z495" s="206">
        <v>0</v>
      </c>
      <c r="AA495" s="206">
        <v>9.48</v>
      </c>
      <c r="AB495" s="206">
        <v>0</v>
      </c>
      <c r="AC495" s="235">
        <v>46227.724502314813</v>
      </c>
      <c r="AE495" s="126">
        <v>0</v>
      </c>
      <c r="AF495" s="126">
        <v>0</v>
      </c>
      <c r="AG495" s="126">
        <v>1</v>
      </c>
      <c r="AH495" s="126">
        <v>0</v>
      </c>
    </row>
    <row r="496" spans="3:35">
      <c r="C496" s="126">
        <v>489</v>
      </c>
      <c r="D496" s="126">
        <v>1</v>
      </c>
      <c r="E496" s="126">
        <v>1</v>
      </c>
      <c r="G496" s="126">
        <v>91</v>
      </c>
      <c r="O496" s="126" t="s">
        <v>549</v>
      </c>
      <c r="P496" s="126" t="s">
        <v>2284</v>
      </c>
      <c r="Q496" s="126">
        <v>1</v>
      </c>
      <c r="S496" s="162">
        <v>46204</v>
      </c>
      <c r="T496" s="126">
        <v>187</v>
      </c>
      <c r="U496" s="206">
        <v>-20</v>
      </c>
      <c r="V496" s="206">
        <v>-5</v>
      </c>
      <c r="W496" s="206">
        <v>3.37</v>
      </c>
      <c r="X496" s="206">
        <v>0</v>
      </c>
      <c r="Y496" s="206">
        <v>0</v>
      </c>
      <c r="Z496" s="206">
        <v>0</v>
      </c>
      <c r="AA496" s="206">
        <v>3.37</v>
      </c>
      <c r="AB496" s="206">
        <v>0</v>
      </c>
      <c r="AC496" s="235">
        <v>46255.4297337963</v>
      </c>
      <c r="AE496" s="126">
        <v>0</v>
      </c>
      <c r="AF496" s="126">
        <v>0</v>
      </c>
      <c r="AG496" s="126">
        <v>1</v>
      </c>
      <c r="AH496" s="126">
        <v>0</v>
      </c>
      <c r="AI496" s="126">
        <v>1</v>
      </c>
    </row>
    <row r="497" spans="3:35">
      <c r="C497" s="126">
        <v>490</v>
      </c>
      <c r="D497" s="126">
        <v>1</v>
      </c>
      <c r="E497" s="126">
        <v>1</v>
      </c>
      <c r="G497" s="126">
        <v>91</v>
      </c>
      <c r="O497" s="126" t="s">
        <v>549</v>
      </c>
      <c r="P497" s="126" t="s">
        <v>2284</v>
      </c>
      <c r="Q497" s="126">
        <v>1</v>
      </c>
      <c r="S497" s="162">
        <v>46204</v>
      </c>
      <c r="T497" s="126">
        <v>193</v>
      </c>
      <c r="U497" s="206">
        <v>-8</v>
      </c>
      <c r="V497" s="206">
        <v>-2</v>
      </c>
      <c r="W497" s="206">
        <v>3.88</v>
      </c>
      <c r="X497" s="206">
        <v>0</v>
      </c>
      <c r="Y497" s="206">
        <v>0</v>
      </c>
      <c r="Z497" s="206">
        <v>0</v>
      </c>
      <c r="AA497" s="206">
        <v>3.88</v>
      </c>
      <c r="AB497" s="206">
        <v>0</v>
      </c>
      <c r="AC497" s="235">
        <v>46255.4297337963</v>
      </c>
      <c r="AE497" s="126">
        <v>0</v>
      </c>
      <c r="AF497" s="126">
        <v>0</v>
      </c>
      <c r="AG497" s="126">
        <v>1</v>
      </c>
      <c r="AH497" s="126">
        <v>0</v>
      </c>
      <c r="AI497" s="126">
        <v>1</v>
      </c>
    </row>
    <row r="498" spans="3:35">
      <c r="C498" s="126">
        <v>491</v>
      </c>
      <c r="D498" s="126">
        <v>1</v>
      </c>
      <c r="E498" s="126">
        <v>1</v>
      </c>
      <c r="G498" s="126">
        <v>91</v>
      </c>
      <c r="O498" s="126" t="s">
        <v>549</v>
      </c>
      <c r="P498" s="126" t="s">
        <v>2284</v>
      </c>
      <c r="Q498" s="126">
        <v>1</v>
      </c>
      <c r="S498" s="162">
        <v>46204</v>
      </c>
      <c r="T498" s="126">
        <v>235</v>
      </c>
      <c r="U498" s="206">
        <v>-6</v>
      </c>
      <c r="V498" s="206">
        <v>-1</v>
      </c>
      <c r="W498" s="206">
        <v>11</v>
      </c>
      <c r="X498" s="206">
        <v>0</v>
      </c>
      <c r="Y498" s="206">
        <v>0</v>
      </c>
      <c r="Z498" s="206">
        <v>0</v>
      </c>
      <c r="AA498" s="206">
        <v>11</v>
      </c>
      <c r="AB498" s="206">
        <v>0</v>
      </c>
      <c r="AC498" s="235">
        <v>46255.4297337963</v>
      </c>
      <c r="AE498" s="126">
        <v>0</v>
      </c>
      <c r="AF498" s="126">
        <v>0</v>
      </c>
      <c r="AG498" s="126">
        <v>1</v>
      </c>
      <c r="AH498" s="126">
        <v>0</v>
      </c>
      <c r="AI498" s="126">
        <v>1</v>
      </c>
    </row>
    <row r="499" spans="3:35">
      <c r="C499" s="126">
        <v>492</v>
      </c>
      <c r="D499" s="126">
        <v>1</v>
      </c>
      <c r="E499" s="126">
        <v>1</v>
      </c>
      <c r="G499" s="126">
        <v>91</v>
      </c>
      <c r="O499" s="126" t="s">
        <v>549</v>
      </c>
      <c r="P499" s="126" t="s">
        <v>2284</v>
      </c>
      <c r="Q499" s="126">
        <v>1</v>
      </c>
      <c r="S499" s="162">
        <v>46204</v>
      </c>
      <c r="T499" s="126">
        <v>178</v>
      </c>
      <c r="U499" s="206">
        <v>-350</v>
      </c>
      <c r="V499" s="206">
        <v>-0.35</v>
      </c>
      <c r="W499" s="206">
        <v>4.75</v>
      </c>
      <c r="X499" s="206">
        <v>0</v>
      </c>
      <c r="Y499" s="206">
        <v>0</v>
      </c>
      <c r="Z499" s="206">
        <v>0</v>
      </c>
      <c r="AA499" s="206">
        <v>4.75</v>
      </c>
      <c r="AB499" s="206">
        <v>0</v>
      </c>
      <c r="AC499" s="235">
        <v>46255.4297337963</v>
      </c>
      <c r="AE499" s="126">
        <v>0</v>
      </c>
      <c r="AF499" s="126">
        <v>0</v>
      </c>
      <c r="AG499" s="126">
        <v>1</v>
      </c>
      <c r="AH499" s="126">
        <v>0</v>
      </c>
      <c r="AI499" s="126">
        <v>1</v>
      </c>
    </row>
    <row r="500" spans="3:35">
      <c r="C500" s="126">
        <v>493</v>
      </c>
      <c r="D500" s="126">
        <v>1</v>
      </c>
      <c r="E500" s="126">
        <v>1</v>
      </c>
      <c r="G500" s="126">
        <v>91</v>
      </c>
      <c r="O500" s="126" t="s">
        <v>549</v>
      </c>
      <c r="P500" s="126" t="s">
        <v>2284</v>
      </c>
      <c r="Q500" s="126">
        <v>1</v>
      </c>
      <c r="S500" s="162">
        <v>46204</v>
      </c>
      <c r="T500" s="126">
        <v>241</v>
      </c>
      <c r="U500" s="206">
        <v>-1</v>
      </c>
      <c r="V500" s="206">
        <v>-1</v>
      </c>
      <c r="W500" s="206">
        <v>1</v>
      </c>
      <c r="X500" s="206">
        <v>0</v>
      </c>
      <c r="Y500" s="206">
        <v>0</v>
      </c>
      <c r="Z500" s="206">
        <v>0</v>
      </c>
      <c r="AA500" s="206">
        <v>1</v>
      </c>
      <c r="AB500" s="206">
        <v>0</v>
      </c>
      <c r="AC500" s="235">
        <v>46255.4297337963</v>
      </c>
      <c r="AE500" s="126">
        <v>0</v>
      </c>
      <c r="AF500" s="126">
        <v>0</v>
      </c>
      <c r="AG500" s="126">
        <v>1</v>
      </c>
      <c r="AH500" s="126">
        <v>0</v>
      </c>
      <c r="AI500" s="126">
        <v>1</v>
      </c>
    </row>
    <row r="501" spans="3:35">
      <c r="C501" s="126">
        <v>494</v>
      </c>
      <c r="D501" s="126">
        <v>1</v>
      </c>
      <c r="E501" s="126">
        <v>1</v>
      </c>
      <c r="G501" s="126">
        <v>91</v>
      </c>
      <c r="O501" s="126" t="s">
        <v>549</v>
      </c>
      <c r="P501" s="126" t="s">
        <v>2284</v>
      </c>
      <c r="Q501" s="126">
        <v>1</v>
      </c>
      <c r="S501" s="162">
        <v>46204</v>
      </c>
      <c r="T501" s="126">
        <v>287</v>
      </c>
      <c r="U501" s="206">
        <v>-75</v>
      </c>
      <c r="V501" s="206">
        <v>-7.5</v>
      </c>
      <c r="W501" s="206">
        <v>0.09</v>
      </c>
      <c r="X501" s="206">
        <v>0</v>
      </c>
      <c r="Y501" s="206">
        <v>0</v>
      </c>
      <c r="Z501" s="206">
        <v>0</v>
      </c>
      <c r="AA501" s="206">
        <v>0.09</v>
      </c>
      <c r="AB501" s="206">
        <v>0</v>
      </c>
      <c r="AC501" s="235">
        <v>46255.4297337963</v>
      </c>
      <c r="AE501" s="126">
        <v>0</v>
      </c>
      <c r="AF501" s="126">
        <v>0</v>
      </c>
      <c r="AG501" s="126">
        <v>1</v>
      </c>
      <c r="AH501" s="126">
        <v>0</v>
      </c>
      <c r="AI501" s="126">
        <v>1</v>
      </c>
    </row>
    <row r="502" spans="3:35">
      <c r="C502" s="126">
        <v>495</v>
      </c>
      <c r="D502" s="126">
        <v>1</v>
      </c>
      <c r="E502" s="126">
        <v>1</v>
      </c>
      <c r="G502" s="126">
        <v>92</v>
      </c>
      <c r="O502" s="126" t="s">
        <v>549</v>
      </c>
      <c r="P502" s="126" t="s">
        <v>2313</v>
      </c>
      <c r="Q502" s="126">
        <v>1</v>
      </c>
      <c r="S502" s="162">
        <v>46204</v>
      </c>
      <c r="T502" s="126">
        <v>177</v>
      </c>
      <c r="U502" s="206">
        <v>-250</v>
      </c>
      <c r="V502" s="206">
        <v>-0.25</v>
      </c>
      <c r="W502" s="206">
        <v>4.1500000000000004</v>
      </c>
      <c r="X502" s="206">
        <v>0</v>
      </c>
      <c r="Y502" s="206">
        <v>0</v>
      </c>
      <c r="Z502" s="206">
        <v>0</v>
      </c>
      <c r="AA502" s="206">
        <v>4.1500000000000004</v>
      </c>
      <c r="AB502" s="206">
        <v>0</v>
      </c>
      <c r="AC502" s="235">
        <v>46255.443240740744</v>
      </c>
      <c r="AE502" s="126">
        <v>0</v>
      </c>
      <c r="AF502" s="126">
        <v>0</v>
      </c>
      <c r="AG502" s="126">
        <v>1</v>
      </c>
      <c r="AH502" s="126">
        <v>0</v>
      </c>
      <c r="AI502" s="126">
        <v>1</v>
      </c>
    </row>
    <row r="503" spans="3:35">
      <c r="C503" s="126">
        <v>496</v>
      </c>
      <c r="D503" s="126">
        <v>1</v>
      </c>
      <c r="E503" s="126">
        <v>1</v>
      </c>
      <c r="G503" s="126">
        <v>92</v>
      </c>
      <c r="O503" s="126" t="s">
        <v>549</v>
      </c>
      <c r="P503" s="126" t="s">
        <v>2313</v>
      </c>
      <c r="Q503" s="126">
        <v>1</v>
      </c>
      <c r="S503" s="162">
        <v>46204</v>
      </c>
      <c r="T503" s="126">
        <v>298</v>
      </c>
      <c r="U503" s="206">
        <v>-60</v>
      </c>
      <c r="V503" s="206">
        <v>-3</v>
      </c>
      <c r="W503" s="206">
        <v>3.8</v>
      </c>
      <c r="X503" s="206">
        <v>0</v>
      </c>
      <c r="Y503" s="206">
        <v>0</v>
      </c>
      <c r="Z503" s="206">
        <v>0</v>
      </c>
      <c r="AA503" s="206">
        <v>3.8</v>
      </c>
      <c r="AB503" s="206">
        <v>0</v>
      </c>
      <c r="AC503" s="235">
        <v>46255.443240740744</v>
      </c>
      <c r="AE503" s="126">
        <v>0</v>
      </c>
      <c r="AF503" s="126">
        <v>0</v>
      </c>
      <c r="AG503" s="126">
        <v>1</v>
      </c>
      <c r="AH503" s="126">
        <v>0</v>
      </c>
      <c r="AI503" s="126">
        <v>1</v>
      </c>
    </row>
    <row r="504" spans="3:35">
      <c r="C504" s="126">
        <v>497</v>
      </c>
      <c r="D504" s="126">
        <v>1</v>
      </c>
      <c r="E504" s="126">
        <v>1</v>
      </c>
      <c r="G504" s="126">
        <v>93</v>
      </c>
      <c r="O504" s="126" t="s">
        <v>549</v>
      </c>
      <c r="P504" s="126" t="s">
        <v>2324</v>
      </c>
      <c r="Q504" s="126">
        <v>1</v>
      </c>
      <c r="S504" s="162">
        <v>46204</v>
      </c>
      <c r="T504" s="126">
        <v>295</v>
      </c>
      <c r="U504" s="206">
        <v>-2</v>
      </c>
      <c r="V504" s="206">
        <v>-2</v>
      </c>
      <c r="W504" s="206">
        <v>16</v>
      </c>
      <c r="X504" s="206">
        <v>0</v>
      </c>
      <c r="Y504" s="206">
        <v>0</v>
      </c>
      <c r="Z504" s="206">
        <v>0</v>
      </c>
      <c r="AA504" s="206">
        <v>16</v>
      </c>
      <c r="AB504" s="206">
        <v>0</v>
      </c>
      <c r="AC504" s="235">
        <v>46255.458796296298</v>
      </c>
      <c r="AE504" s="126">
        <v>0</v>
      </c>
      <c r="AF504" s="126">
        <v>0</v>
      </c>
      <c r="AG504" s="126">
        <v>1</v>
      </c>
      <c r="AH504" s="126">
        <v>0</v>
      </c>
      <c r="AI504" s="126">
        <v>1</v>
      </c>
    </row>
    <row r="505" spans="3:35">
      <c r="C505" s="126">
        <v>498</v>
      </c>
      <c r="D505" s="126">
        <v>1</v>
      </c>
      <c r="E505" s="126">
        <v>1</v>
      </c>
      <c r="G505" s="126">
        <v>93</v>
      </c>
      <c r="O505" s="126" t="s">
        <v>549</v>
      </c>
      <c r="P505" s="126" t="s">
        <v>2324</v>
      </c>
      <c r="Q505" s="126">
        <v>1</v>
      </c>
      <c r="S505" s="162">
        <v>46204</v>
      </c>
      <c r="T505" s="126">
        <v>177</v>
      </c>
      <c r="U505" s="206">
        <v>-50</v>
      </c>
      <c r="V505" s="206">
        <v>-0.05</v>
      </c>
      <c r="W505" s="206">
        <v>4.1500000000000004</v>
      </c>
      <c r="X505" s="206">
        <v>0</v>
      </c>
      <c r="Y505" s="206">
        <v>0</v>
      </c>
      <c r="Z505" s="206">
        <v>0</v>
      </c>
      <c r="AA505" s="206">
        <v>4.1500000000000004</v>
      </c>
      <c r="AB505" s="206">
        <v>0</v>
      </c>
      <c r="AC505" s="235">
        <v>46255.458796296298</v>
      </c>
      <c r="AE505" s="126">
        <v>0</v>
      </c>
      <c r="AF505" s="126">
        <v>0</v>
      </c>
      <c r="AG505" s="126">
        <v>1</v>
      </c>
      <c r="AH505" s="126">
        <v>0</v>
      </c>
      <c r="AI505" s="126">
        <v>1</v>
      </c>
    </row>
    <row r="506" spans="3:35">
      <c r="C506" s="126">
        <v>499</v>
      </c>
      <c r="D506" s="126">
        <v>1</v>
      </c>
      <c r="E506" s="126">
        <v>1</v>
      </c>
      <c r="G506" s="126">
        <v>94</v>
      </c>
      <c r="O506" s="126" t="s">
        <v>549</v>
      </c>
      <c r="P506" s="126" t="s">
        <v>2335</v>
      </c>
      <c r="Q506" s="126">
        <v>1</v>
      </c>
      <c r="S506" s="162">
        <v>46204</v>
      </c>
      <c r="T506" s="126">
        <v>327</v>
      </c>
      <c r="U506" s="206">
        <v>-1</v>
      </c>
      <c r="V506" s="206">
        <v>-1</v>
      </c>
      <c r="W506" s="206">
        <v>24</v>
      </c>
      <c r="X506" s="206">
        <v>0</v>
      </c>
      <c r="Y506" s="206">
        <v>0</v>
      </c>
      <c r="Z506" s="206">
        <v>0</v>
      </c>
      <c r="AA506" s="206">
        <v>24</v>
      </c>
      <c r="AB506" s="206">
        <v>0</v>
      </c>
      <c r="AC506" s="235">
        <v>46255.46361111111</v>
      </c>
      <c r="AE506" s="126">
        <v>0</v>
      </c>
      <c r="AF506" s="126">
        <v>0</v>
      </c>
      <c r="AG506" s="126">
        <v>1</v>
      </c>
      <c r="AH506" s="126">
        <v>0</v>
      </c>
      <c r="AI506" s="126">
        <v>1</v>
      </c>
    </row>
    <row r="507" spans="3:35">
      <c r="C507" s="126">
        <v>500</v>
      </c>
      <c r="D507" s="126">
        <v>1</v>
      </c>
      <c r="E507" s="126">
        <v>1</v>
      </c>
      <c r="G507" s="126">
        <v>94</v>
      </c>
      <c r="O507" s="126" t="s">
        <v>549</v>
      </c>
      <c r="P507" s="126" t="s">
        <v>2335</v>
      </c>
      <c r="Q507" s="126">
        <v>1</v>
      </c>
      <c r="S507" s="162">
        <v>46204</v>
      </c>
      <c r="T507" s="126">
        <v>213</v>
      </c>
      <c r="U507" s="206">
        <v>-3</v>
      </c>
      <c r="V507" s="206">
        <v>-3</v>
      </c>
      <c r="W507" s="206">
        <v>0.25</v>
      </c>
      <c r="X507" s="206">
        <v>0</v>
      </c>
      <c r="Y507" s="206">
        <v>0</v>
      </c>
      <c r="Z507" s="206">
        <v>0</v>
      </c>
      <c r="AA507" s="206">
        <v>0.25</v>
      </c>
      <c r="AB507" s="206">
        <v>0</v>
      </c>
      <c r="AC507" s="235">
        <v>46255.46361111111</v>
      </c>
      <c r="AE507" s="126">
        <v>0</v>
      </c>
      <c r="AF507" s="126">
        <v>0</v>
      </c>
      <c r="AG507" s="126">
        <v>1</v>
      </c>
      <c r="AH507" s="126">
        <v>0</v>
      </c>
      <c r="AI507" s="126">
        <v>1</v>
      </c>
    </row>
    <row r="508" spans="3:35">
      <c r="C508" s="126">
        <v>501</v>
      </c>
      <c r="D508" s="126">
        <v>1</v>
      </c>
      <c r="E508" s="126">
        <v>1</v>
      </c>
      <c r="G508" s="126">
        <v>94</v>
      </c>
      <c r="O508" s="126" t="s">
        <v>549</v>
      </c>
      <c r="P508" s="126" t="s">
        <v>2335</v>
      </c>
      <c r="Q508" s="126">
        <v>1</v>
      </c>
      <c r="S508" s="162">
        <v>46204</v>
      </c>
      <c r="T508" s="126">
        <v>228</v>
      </c>
      <c r="U508" s="206">
        <v>-1</v>
      </c>
      <c r="V508" s="206">
        <v>-0.1</v>
      </c>
      <c r="W508" s="206">
        <v>0.4</v>
      </c>
      <c r="X508" s="206">
        <v>0</v>
      </c>
      <c r="Y508" s="206">
        <v>0</v>
      </c>
      <c r="Z508" s="206">
        <v>0</v>
      </c>
      <c r="AA508" s="206">
        <v>0.4</v>
      </c>
      <c r="AB508" s="206">
        <v>0</v>
      </c>
      <c r="AC508" s="235">
        <v>46255.46361111111</v>
      </c>
      <c r="AE508" s="126">
        <v>0</v>
      </c>
      <c r="AF508" s="126">
        <v>0</v>
      </c>
      <c r="AG508" s="126">
        <v>1</v>
      </c>
      <c r="AH508" s="126">
        <v>0</v>
      </c>
      <c r="AI508" s="126">
        <v>1</v>
      </c>
    </row>
    <row r="509" spans="3:35">
      <c r="C509" s="126">
        <v>502</v>
      </c>
      <c r="D509" s="126">
        <v>1</v>
      </c>
      <c r="E509" s="126">
        <v>1</v>
      </c>
      <c r="G509" s="126">
        <v>95</v>
      </c>
      <c r="O509" s="126" t="s">
        <v>549</v>
      </c>
      <c r="P509" s="126" t="s">
        <v>2353</v>
      </c>
      <c r="Q509" s="126">
        <v>1</v>
      </c>
      <c r="S509" s="162">
        <v>46205</v>
      </c>
      <c r="T509" s="126">
        <v>195</v>
      </c>
      <c r="U509" s="206">
        <v>-24</v>
      </c>
      <c r="V509" s="206">
        <v>-6</v>
      </c>
      <c r="W509" s="206">
        <v>6.28</v>
      </c>
      <c r="X509" s="206">
        <v>0</v>
      </c>
      <c r="Y509" s="206">
        <v>0</v>
      </c>
      <c r="Z509" s="206">
        <v>0</v>
      </c>
      <c r="AA509" s="206">
        <v>6.28</v>
      </c>
      <c r="AB509" s="206">
        <v>0</v>
      </c>
      <c r="AC509" s="235">
        <v>46255.482870370368</v>
      </c>
      <c r="AE509" s="126">
        <v>0</v>
      </c>
      <c r="AF509" s="126">
        <v>0</v>
      </c>
      <c r="AG509" s="126">
        <v>1</v>
      </c>
      <c r="AH509" s="126">
        <v>0</v>
      </c>
      <c r="AI509" s="126">
        <v>1</v>
      </c>
    </row>
    <row r="510" spans="3:35">
      <c r="C510" s="126">
        <v>503</v>
      </c>
      <c r="D510" s="126">
        <v>1</v>
      </c>
      <c r="E510" s="126">
        <v>1</v>
      </c>
      <c r="G510" s="126">
        <v>95</v>
      </c>
      <c r="O510" s="126" t="s">
        <v>549</v>
      </c>
      <c r="P510" s="126" t="s">
        <v>2353</v>
      </c>
      <c r="Q510" s="126">
        <v>1</v>
      </c>
      <c r="S510" s="162">
        <v>46205</v>
      </c>
      <c r="T510" s="126">
        <v>187</v>
      </c>
      <c r="U510" s="206">
        <v>-28</v>
      </c>
      <c r="V510" s="206">
        <v>-7</v>
      </c>
      <c r="W510" s="206">
        <v>3.37</v>
      </c>
      <c r="X510" s="206">
        <v>0</v>
      </c>
      <c r="Y510" s="206">
        <v>0</v>
      </c>
      <c r="Z510" s="206">
        <v>0</v>
      </c>
      <c r="AA510" s="206">
        <v>3.37</v>
      </c>
      <c r="AB510" s="206">
        <v>0</v>
      </c>
      <c r="AC510" s="235">
        <v>46255.482870370368</v>
      </c>
      <c r="AE510" s="126">
        <v>0</v>
      </c>
      <c r="AF510" s="126">
        <v>0</v>
      </c>
      <c r="AG510" s="126">
        <v>1</v>
      </c>
      <c r="AH510" s="126">
        <v>0</v>
      </c>
      <c r="AI510" s="126">
        <v>1</v>
      </c>
    </row>
    <row r="511" spans="3:35">
      <c r="C511" s="126">
        <v>504</v>
      </c>
      <c r="D511" s="126">
        <v>1</v>
      </c>
      <c r="E511" s="126">
        <v>1</v>
      </c>
      <c r="G511" s="126">
        <v>95</v>
      </c>
      <c r="O511" s="126" t="s">
        <v>549</v>
      </c>
      <c r="P511" s="126" t="s">
        <v>2353</v>
      </c>
      <c r="Q511" s="126">
        <v>1</v>
      </c>
      <c r="S511" s="162">
        <v>46205</v>
      </c>
      <c r="T511" s="126">
        <v>197</v>
      </c>
      <c r="U511" s="206">
        <v>-8</v>
      </c>
      <c r="V511" s="206">
        <v>-2</v>
      </c>
      <c r="W511" s="206">
        <v>8.36</v>
      </c>
      <c r="X511" s="206">
        <v>0</v>
      </c>
      <c r="Y511" s="206">
        <v>0</v>
      </c>
      <c r="Z511" s="206">
        <v>0</v>
      </c>
      <c r="AA511" s="206">
        <v>8.36</v>
      </c>
      <c r="AB511" s="206">
        <v>0</v>
      </c>
      <c r="AC511" s="235">
        <v>46255.482870370368</v>
      </c>
      <c r="AE511" s="126">
        <v>0</v>
      </c>
      <c r="AF511" s="126">
        <v>0</v>
      </c>
      <c r="AG511" s="126">
        <v>1</v>
      </c>
      <c r="AH511" s="126">
        <v>0</v>
      </c>
      <c r="AI511" s="126">
        <v>1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66544-2A87-47C3-896D-E71FC9BB12C7}">
  <sheetPr codeName="Sheet61"/>
  <dimension ref="C1:X7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I34" sqref="I34"/>
    </sheetView>
  </sheetViews>
  <sheetFormatPr defaultRowHeight="20.100000000000001" customHeight="1"/>
  <cols>
    <col min="1" max="1" width="3" style="139" customWidth="1"/>
    <col min="2" max="2" width="3.28515625" style="139" customWidth="1"/>
    <col min="3" max="3" width="7.7109375" style="139" customWidth="1"/>
    <col min="4" max="4" width="17.7109375" style="139" customWidth="1"/>
    <col min="5" max="5" width="13.7109375" style="139" customWidth="1"/>
    <col min="6" max="6" width="17.5703125" style="139" bestFit="1" customWidth="1"/>
    <col min="7" max="7" width="17.85546875" style="139" customWidth="1"/>
    <col min="8" max="8" width="15.28515625" style="139" bestFit="1" customWidth="1"/>
    <col min="9" max="9" width="20.28515625" style="139" customWidth="1"/>
    <col min="10" max="10" width="12.42578125" style="139" customWidth="1"/>
    <col min="11" max="11" width="18.5703125" style="139" customWidth="1"/>
    <col min="12" max="12" width="21.42578125" style="139" customWidth="1"/>
    <col min="13" max="13" width="26.85546875" style="139" customWidth="1"/>
    <col min="14" max="14" width="14.85546875" style="139" customWidth="1"/>
    <col min="15" max="15" width="19.7109375" style="139" customWidth="1"/>
    <col min="16" max="16" width="19.28515625" style="139" customWidth="1"/>
    <col min="17" max="17" width="13.5703125" style="139" bestFit="1" customWidth="1"/>
    <col min="18" max="18" width="20.28515625" style="139" customWidth="1"/>
    <col min="19" max="19" width="14.28515625" style="139" customWidth="1"/>
    <col min="20" max="20" width="18.85546875" style="139" customWidth="1"/>
    <col min="21" max="21" width="12.7109375" style="139" customWidth="1"/>
    <col min="22" max="22" width="12.42578125" style="139" customWidth="1"/>
    <col min="23" max="23" width="12" style="139" customWidth="1"/>
    <col min="24" max="24" width="13.42578125" style="139" customWidth="1"/>
    <col min="25" max="16384" width="9.140625" style="139"/>
  </cols>
  <sheetData>
    <row r="1" spans="3:24" customFormat="1" ht="15" hidden="1"/>
    <row r="2" spans="3:24" customFormat="1" ht="15" hidden="1"/>
    <row r="3" spans="3:24" customFormat="1" ht="15" hidden="1"/>
    <row r="4" spans="3:24" customFormat="1" ht="53.25" customHeight="1">
      <c r="C4" s="283" t="s">
        <v>448</v>
      </c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</row>
    <row r="5" spans="3:24" customFormat="1" ht="15"/>
    <row r="6" spans="3:24" customFormat="1" ht="25.5">
      <c r="C6" s="287" t="s">
        <v>10</v>
      </c>
      <c r="D6" s="287" t="s">
        <v>426</v>
      </c>
      <c r="E6" s="287" t="s">
        <v>107</v>
      </c>
      <c r="F6" s="287" t="s">
        <v>432</v>
      </c>
      <c r="G6" s="287" t="s">
        <v>225</v>
      </c>
      <c r="H6" s="287" t="s">
        <v>220</v>
      </c>
      <c r="I6" s="287" t="s">
        <v>297</v>
      </c>
      <c r="J6" s="287" t="s">
        <v>94</v>
      </c>
      <c r="K6" s="287" t="s">
        <v>436</v>
      </c>
      <c r="L6" s="287" t="s">
        <v>433</v>
      </c>
      <c r="M6" s="287" t="s">
        <v>434</v>
      </c>
      <c r="N6" s="287" t="s">
        <v>445</v>
      </c>
      <c r="O6" s="287" t="s">
        <v>439</v>
      </c>
      <c r="P6" s="287" t="s">
        <v>444</v>
      </c>
      <c r="Q6" s="287" t="s">
        <v>441</v>
      </c>
      <c r="R6" s="287" t="s">
        <v>395</v>
      </c>
      <c r="S6" s="287" t="s">
        <v>209</v>
      </c>
      <c r="T6" s="287" t="s">
        <v>447</v>
      </c>
      <c r="U6" s="287" t="s">
        <v>109</v>
      </c>
      <c r="V6" s="287" t="s">
        <v>23</v>
      </c>
      <c r="W6" s="287" t="s">
        <v>95</v>
      </c>
      <c r="X6" s="287" t="s">
        <v>120</v>
      </c>
    </row>
    <row r="7" spans="3:24" customFormat="1" ht="20.25" customHeight="1">
      <c r="C7" s="288" t="s">
        <v>139</v>
      </c>
      <c r="D7" s="288" t="s">
        <v>427</v>
      </c>
      <c r="E7" s="288" t="s">
        <v>124</v>
      </c>
      <c r="F7" s="288" t="s">
        <v>428</v>
      </c>
      <c r="G7" s="288" t="s">
        <v>3</v>
      </c>
      <c r="H7" s="288" t="s">
        <v>219</v>
      </c>
      <c r="I7" s="288" t="s">
        <v>296</v>
      </c>
      <c r="J7" s="288" t="s">
        <v>429</v>
      </c>
      <c r="K7" s="288" t="s">
        <v>435</v>
      </c>
      <c r="L7" s="288" t="s">
        <v>437</v>
      </c>
      <c r="M7" s="288" t="s">
        <v>438</v>
      </c>
      <c r="N7" s="288" t="s">
        <v>446</v>
      </c>
      <c r="O7" s="288" t="s">
        <v>440</v>
      </c>
      <c r="P7" s="288" t="s">
        <v>443</v>
      </c>
      <c r="Q7" s="288" t="s">
        <v>442</v>
      </c>
      <c r="R7" s="288" t="s">
        <v>430</v>
      </c>
      <c r="S7" s="288" t="s">
        <v>203</v>
      </c>
      <c r="T7" s="288" t="s">
        <v>191</v>
      </c>
      <c r="U7" s="288" t="s">
        <v>431</v>
      </c>
      <c r="V7" s="288" t="s">
        <v>26</v>
      </c>
      <c r="W7" s="288" t="s">
        <v>2</v>
      </c>
      <c r="X7" s="288" t="s">
        <v>121</v>
      </c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AC54D-4675-4879-A935-D52F3319FF45}">
  <sheetPr codeName="Sheet53"/>
  <dimension ref="A1:AI32"/>
  <sheetViews>
    <sheetView showGridLines="0" topLeftCell="A5" zoomScale="80" zoomScaleNormal="80" workbookViewId="0">
      <pane ySplit="3" topLeftCell="A8" activePane="bottomLeft" state="frozen"/>
      <selection activeCell="L28" sqref="L28"/>
      <selection pane="bottomLeft" activeCell="K26" sqref="K26"/>
    </sheetView>
  </sheetViews>
  <sheetFormatPr defaultRowHeight="25.5"/>
  <cols>
    <col min="1" max="1" width="1.7109375" customWidth="1"/>
    <col min="2" max="2" width="3.28515625" customWidth="1"/>
    <col min="3" max="3" width="7" style="139" customWidth="1"/>
    <col min="4" max="4" width="19.85546875" style="139" customWidth="1"/>
    <col min="5" max="5" width="26" style="139" customWidth="1"/>
    <col min="6" max="6" width="14.28515625" style="139" customWidth="1"/>
    <col min="7" max="9" width="5" style="139" bestFit="1" customWidth="1"/>
    <col min="10" max="10" width="19" style="139" customWidth="1"/>
    <col min="11" max="11" width="19" style="393" customWidth="1"/>
    <col min="12" max="14" width="19.5703125" style="394" customWidth="1"/>
    <col min="15" max="15" width="22.42578125" style="394" customWidth="1"/>
    <col min="16" max="16" width="21.42578125" style="139" customWidth="1"/>
    <col min="17" max="17" width="20.140625" style="394" customWidth="1"/>
    <col min="18" max="18" width="17.7109375" style="394" customWidth="1"/>
    <col min="19" max="19" width="12" style="394" customWidth="1"/>
    <col min="20" max="20" width="15.28515625" style="394" customWidth="1"/>
    <col min="21" max="21" width="10.7109375" style="394" customWidth="1"/>
    <col min="22" max="22" width="17.28515625" style="394" customWidth="1"/>
    <col min="23" max="23" width="17.85546875" style="139" customWidth="1"/>
    <col min="24" max="24" width="19.7109375" style="139" customWidth="1"/>
    <col min="25" max="25" width="19.5703125" style="139" customWidth="1"/>
    <col min="26" max="26" width="34" style="396" customWidth="1"/>
    <col min="27" max="27" width="12" style="139" customWidth="1"/>
    <col min="28" max="28" width="9.140625" style="13"/>
    <col min="29" max="29" width="11.140625" style="13" customWidth="1"/>
    <col min="30" max="30" width="14.5703125" style="13" customWidth="1"/>
    <col min="31" max="31" width="16.28515625" customWidth="1"/>
  </cols>
  <sheetData>
    <row r="1" spans="1:35" ht="23.25" hidden="1">
      <c r="A1">
        <v>1</v>
      </c>
      <c r="B1">
        <v>1</v>
      </c>
      <c r="C1" s="13" t="s">
        <v>1016</v>
      </c>
      <c r="D1" s="13">
        <v>1</v>
      </c>
      <c r="E1" s="13"/>
      <c r="F1" s="13">
        <v>1</v>
      </c>
      <c r="G1" s="13">
        <v>1</v>
      </c>
      <c r="H1" s="13" t="s">
        <v>2275</v>
      </c>
      <c r="I1" s="13">
        <v>4000</v>
      </c>
      <c r="J1" s="13">
        <v>50</v>
      </c>
      <c r="K1" s="369"/>
      <c r="L1" s="208">
        <v>0</v>
      </c>
      <c r="M1" s="208"/>
      <c r="N1" s="208"/>
      <c r="O1" s="208">
        <v>0</v>
      </c>
      <c r="P1" s="13">
        <v>0</v>
      </c>
      <c r="Q1" s="208">
        <v>40.5</v>
      </c>
      <c r="R1" s="208">
        <v>0</v>
      </c>
      <c r="S1" s="208">
        <v>9</v>
      </c>
      <c r="T1" s="208">
        <v>2000</v>
      </c>
      <c r="U1" s="208">
        <v>46239</v>
      </c>
      <c r="V1" s="208"/>
      <c r="W1" s="194">
        <v>46239.383703703701</v>
      </c>
      <c r="X1" s="13" t="s">
        <v>2258</v>
      </c>
      <c r="Y1" s="13">
        <v>0</v>
      </c>
      <c r="Z1" s="159"/>
      <c r="AA1" s="13"/>
    </row>
    <row r="2" spans="1:35" ht="23.25" hidden="1">
      <c r="C2" s="13"/>
      <c r="D2" s="13"/>
      <c r="E2" s="13"/>
      <c r="F2" s="13"/>
      <c r="G2" s="13"/>
      <c r="H2" s="13"/>
      <c r="I2" s="13"/>
      <c r="J2" s="13"/>
      <c r="K2" s="369"/>
      <c r="L2" s="208"/>
      <c r="M2" s="208"/>
      <c r="N2" s="208"/>
      <c r="O2" s="208"/>
      <c r="P2" s="13"/>
      <c r="Q2" s="208"/>
      <c r="R2" s="208"/>
      <c r="S2" s="208"/>
      <c r="T2" s="208"/>
      <c r="U2" s="208"/>
      <c r="V2" s="208"/>
      <c r="W2" s="13"/>
      <c r="X2" s="13"/>
      <c r="Y2" s="13"/>
      <c r="Z2" s="159"/>
      <c r="AA2" s="13"/>
    </row>
    <row r="3" spans="1:35" ht="23.25" hidden="1">
      <c r="C3" s="13"/>
      <c r="D3" s="13"/>
      <c r="E3" s="13"/>
      <c r="F3" s="13"/>
      <c r="G3" s="13"/>
      <c r="H3" s="13"/>
      <c r="I3" s="13"/>
      <c r="J3" s="13"/>
      <c r="K3" s="369"/>
      <c r="L3" s="208"/>
      <c r="M3" s="208"/>
      <c r="N3" s="208"/>
      <c r="O3" s="208"/>
      <c r="P3" s="13"/>
      <c r="Q3" s="208"/>
      <c r="R3" s="208"/>
      <c r="S3" s="208"/>
      <c r="T3" s="208"/>
      <c r="U3" s="208"/>
      <c r="V3" s="208"/>
      <c r="W3" s="13"/>
      <c r="X3" s="13"/>
      <c r="Y3" s="13"/>
      <c r="Z3" s="159"/>
      <c r="AA3" s="13"/>
    </row>
    <row r="4" spans="1:35" ht="23.25" hidden="1">
      <c r="C4" s="13"/>
      <c r="D4" s="13"/>
      <c r="E4" s="13"/>
      <c r="F4" s="13"/>
      <c r="G4" s="13"/>
      <c r="H4" s="13"/>
      <c r="I4" s="13"/>
      <c r="J4" s="13"/>
      <c r="K4" s="369"/>
      <c r="L4" s="208"/>
      <c r="M4" s="208"/>
      <c r="N4" s="208"/>
      <c r="O4" s="208"/>
      <c r="P4" s="13"/>
      <c r="Q4" s="208"/>
      <c r="R4" s="208"/>
      <c r="S4" s="208"/>
      <c r="T4" s="208"/>
      <c r="U4" s="208"/>
      <c r="V4" s="208"/>
      <c r="W4" s="13"/>
      <c r="X4" s="13"/>
      <c r="Y4" s="13"/>
      <c r="Z4" s="159"/>
      <c r="AA4" s="13"/>
    </row>
    <row r="5" spans="1:35" ht="49.5" customHeight="1">
      <c r="C5" s="368" t="s">
        <v>458</v>
      </c>
      <c r="D5" s="13"/>
      <c r="E5" s="13"/>
      <c r="F5" s="13"/>
      <c r="G5" s="13"/>
      <c r="H5" s="13"/>
      <c r="I5" s="13"/>
      <c r="J5" s="13"/>
      <c r="K5" s="369"/>
      <c r="L5" s="208"/>
      <c r="M5" s="208"/>
      <c r="N5" s="208"/>
      <c r="O5" s="208"/>
      <c r="P5" s="13"/>
      <c r="Q5" s="208"/>
      <c r="R5" s="208"/>
      <c r="S5" s="208"/>
      <c r="T5" s="208"/>
      <c r="U5" s="208"/>
      <c r="V5" s="208"/>
      <c r="W5" s="13"/>
      <c r="X5" s="13"/>
      <c r="Y5" s="13"/>
      <c r="Z5" s="159"/>
      <c r="AA5" s="13"/>
    </row>
    <row r="6" spans="1:35" ht="23.25">
      <c r="C6" s="13"/>
      <c r="D6" s="13"/>
      <c r="E6" s="13"/>
      <c r="F6" s="13"/>
      <c r="G6" s="13"/>
      <c r="H6" s="13"/>
      <c r="I6" s="13"/>
      <c r="J6" s="13"/>
      <c r="K6" s="369"/>
      <c r="L6" s="208"/>
      <c r="M6" s="208"/>
      <c r="N6" s="208"/>
      <c r="O6" s="208"/>
      <c r="P6" s="13"/>
      <c r="Q6" s="208"/>
      <c r="R6" s="208"/>
      <c r="S6" s="208"/>
      <c r="T6" s="208"/>
      <c r="U6" s="208"/>
      <c r="V6" s="208"/>
      <c r="W6" s="13"/>
      <c r="X6" s="13"/>
      <c r="Y6" s="13"/>
      <c r="Z6" s="159"/>
      <c r="AA6" s="13"/>
    </row>
    <row r="7" spans="1:35" s="139" customFormat="1" ht="84">
      <c r="C7" s="370" t="s">
        <v>295</v>
      </c>
      <c r="D7" s="370" t="s">
        <v>298</v>
      </c>
      <c r="E7" s="371" t="s">
        <v>2273</v>
      </c>
      <c r="F7" s="371" t="s">
        <v>330</v>
      </c>
      <c r="G7" s="295" t="s">
        <v>345</v>
      </c>
      <c r="H7" s="372" t="s">
        <v>346</v>
      </c>
      <c r="I7" s="295" t="s">
        <v>328</v>
      </c>
      <c r="J7" s="373" t="s">
        <v>347</v>
      </c>
      <c r="K7" s="374" t="s">
        <v>3</v>
      </c>
      <c r="L7" s="375" t="s">
        <v>360</v>
      </c>
      <c r="M7" s="375" t="s">
        <v>2277</v>
      </c>
      <c r="N7" s="375" t="s">
        <v>2278</v>
      </c>
      <c r="O7" s="375" t="s">
        <v>2279</v>
      </c>
      <c r="P7" s="370" t="s">
        <v>349</v>
      </c>
      <c r="Q7" s="375" t="s">
        <v>348</v>
      </c>
      <c r="R7" s="375" t="s">
        <v>350</v>
      </c>
      <c r="S7" s="375" t="s">
        <v>351</v>
      </c>
      <c r="T7" s="375" t="s">
        <v>352</v>
      </c>
      <c r="U7" s="375" t="s">
        <v>353</v>
      </c>
      <c r="V7" s="375" t="s">
        <v>354</v>
      </c>
      <c r="W7" s="370" t="s">
        <v>355</v>
      </c>
      <c r="X7" s="370" t="s">
        <v>356</v>
      </c>
      <c r="Y7" s="370" t="s">
        <v>321</v>
      </c>
      <c r="Z7" s="370" t="s">
        <v>322</v>
      </c>
      <c r="AA7" s="370" t="s">
        <v>357</v>
      </c>
      <c r="AB7" s="370" t="s">
        <v>26</v>
      </c>
      <c r="AC7" s="370" t="s">
        <v>2</v>
      </c>
      <c r="AD7" s="370" t="s">
        <v>121</v>
      </c>
      <c r="AE7" s="376"/>
      <c r="AF7" s="376"/>
      <c r="AG7" s="376"/>
      <c r="AH7" s="376"/>
      <c r="AI7" s="376"/>
    </row>
    <row r="8" spans="1:35">
      <c r="W8" s="168"/>
      <c r="X8" s="168"/>
      <c r="Y8" s="395"/>
      <c r="AD8" s="139"/>
    </row>
    <row r="9" spans="1:35">
      <c r="W9" s="168"/>
      <c r="X9" s="168"/>
      <c r="Y9" s="395"/>
      <c r="AD9" s="139"/>
    </row>
    <row r="10" spans="1:35">
      <c r="W10" s="168"/>
      <c r="X10" s="168"/>
      <c r="Y10" s="395"/>
      <c r="AD10" s="139"/>
    </row>
    <row r="11" spans="1:35">
      <c r="W11" s="168"/>
      <c r="X11" s="168"/>
      <c r="Y11" s="395"/>
      <c r="AD11" s="139"/>
    </row>
    <row r="12" spans="1:35">
      <c r="W12" s="168"/>
      <c r="X12" s="168"/>
      <c r="Y12" s="395"/>
      <c r="AD12" s="139"/>
    </row>
    <row r="13" spans="1:35">
      <c r="W13" s="168"/>
      <c r="X13" s="168"/>
      <c r="Y13" s="395"/>
      <c r="AD13" s="139"/>
    </row>
    <row r="14" spans="1:35">
      <c r="W14" s="168"/>
      <c r="X14" s="168"/>
      <c r="Y14" s="395"/>
      <c r="AD14" s="139"/>
    </row>
    <row r="15" spans="1:35">
      <c r="W15" s="168"/>
      <c r="X15" s="168"/>
      <c r="Y15" s="395"/>
      <c r="AD15" s="139"/>
    </row>
    <row r="16" spans="1:35">
      <c r="W16" s="168"/>
      <c r="X16" s="168"/>
      <c r="Y16" s="395"/>
      <c r="AD16" s="139"/>
    </row>
    <row r="17" spans="23:30">
      <c r="W17" s="168"/>
      <c r="X17" s="168"/>
      <c r="Y17" s="395"/>
      <c r="AD17" s="139"/>
    </row>
    <row r="18" spans="23:30">
      <c r="W18" s="168"/>
      <c r="Y18" s="395"/>
      <c r="AD18" s="139"/>
    </row>
    <row r="19" spans="23:30">
      <c r="W19" s="168"/>
      <c r="Y19" s="395"/>
      <c r="AD19" s="139"/>
    </row>
    <row r="20" spans="23:30">
      <c r="W20" s="168"/>
      <c r="Y20" s="395"/>
      <c r="AD20" s="139"/>
    </row>
    <row r="21" spans="23:30">
      <c r="W21" s="168"/>
      <c r="Y21" s="395"/>
      <c r="AD21" s="139"/>
    </row>
    <row r="22" spans="23:30">
      <c r="W22" s="168"/>
      <c r="Y22" s="395"/>
      <c r="AD22" s="139"/>
    </row>
    <row r="23" spans="23:30">
      <c r="W23" s="168"/>
      <c r="Y23" s="395"/>
      <c r="AD23" s="139"/>
    </row>
    <row r="24" spans="23:30">
      <c r="AD24" s="139"/>
    </row>
    <row r="25" spans="23:30">
      <c r="AD25" s="139"/>
    </row>
    <row r="26" spans="23:30">
      <c r="AD26" s="139"/>
    </row>
    <row r="27" spans="23:30">
      <c r="AD27" s="139"/>
    </row>
    <row r="28" spans="23:30">
      <c r="AD28" s="139"/>
    </row>
    <row r="29" spans="23:30">
      <c r="AD29" s="139"/>
    </row>
    <row r="30" spans="23:30">
      <c r="AD30" s="139"/>
    </row>
    <row r="31" spans="23:30">
      <c r="AD31" s="139"/>
    </row>
    <row r="32" spans="23:30">
      <c r="AD32" s="139"/>
    </row>
  </sheetData>
  <pageMargins left="0.7" right="0.7" top="0.75" bottom="0.75" header="0.3" footer="0.3"/>
  <pageSetup paperSize="9" orientation="portrait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EF944-CF7A-4778-93B9-E69F104016E3}">
  <sheetPr codeName="Sheet54"/>
  <dimension ref="A1:R23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H20" sqref="H20"/>
    </sheetView>
  </sheetViews>
  <sheetFormatPr defaultRowHeight="23.25"/>
  <cols>
    <col min="1" max="1" width="3" customWidth="1"/>
    <col min="2" max="2" width="2.85546875" customWidth="1"/>
    <col min="3" max="3" width="9.140625" style="126"/>
    <col min="4" max="4" width="16.85546875" style="126" customWidth="1"/>
    <col min="5" max="5" width="13.85546875" style="126" customWidth="1"/>
    <col min="6" max="6" width="15.5703125" style="126" customWidth="1"/>
    <col min="7" max="7" width="15.7109375" style="126" customWidth="1"/>
    <col min="8" max="8" width="15" style="126" customWidth="1"/>
    <col min="9" max="9" width="18.140625" style="126" customWidth="1"/>
    <col min="10" max="10" width="17.42578125" style="126" customWidth="1"/>
    <col min="11" max="11" width="25.85546875" style="398" customWidth="1"/>
    <col min="12" max="12" width="24.140625" style="126" customWidth="1"/>
    <col min="13" max="13" width="28.140625" style="159" bestFit="1" customWidth="1"/>
    <col min="14" max="14" width="12.28515625" style="126" customWidth="1"/>
    <col min="15" max="15" width="9.140625" style="13"/>
    <col min="16" max="16" width="13" style="13" customWidth="1"/>
    <col min="17" max="17" width="12" style="13" bestFit="1" customWidth="1"/>
    <col min="18" max="18" width="13.7109375" style="132" bestFit="1" customWidth="1"/>
  </cols>
  <sheetData>
    <row r="1" spans="1:18" hidden="1">
      <c r="A1">
        <v>1</v>
      </c>
      <c r="K1" s="397"/>
      <c r="M1" s="149"/>
    </row>
    <row r="2" spans="1:18" hidden="1">
      <c r="K2" s="397"/>
      <c r="M2" s="149"/>
    </row>
    <row r="3" spans="1:18" hidden="1">
      <c r="K3" s="397"/>
      <c r="M3" s="149"/>
    </row>
    <row r="4" spans="1:18" hidden="1">
      <c r="K4" s="397"/>
      <c r="M4" s="149"/>
    </row>
    <row r="5" spans="1:18" ht="33.75">
      <c r="C5" s="399" t="s">
        <v>459</v>
      </c>
      <c r="K5" s="397"/>
      <c r="M5" s="149"/>
    </row>
    <row r="6" spans="1:18" ht="10.5" customHeight="1">
      <c r="K6" s="397"/>
      <c r="M6" s="149"/>
    </row>
    <row r="7" spans="1:18" s="13" customFormat="1" ht="33" customHeight="1">
      <c r="B7" s="161"/>
      <c r="C7" s="424" t="s">
        <v>295</v>
      </c>
      <c r="D7" s="424" t="s">
        <v>317</v>
      </c>
      <c r="E7" s="424" t="s">
        <v>329</v>
      </c>
      <c r="F7" s="424" t="s">
        <v>330</v>
      </c>
      <c r="G7" s="424" t="s">
        <v>358</v>
      </c>
      <c r="H7" s="424" t="s">
        <v>339</v>
      </c>
      <c r="I7" s="424" t="s">
        <v>328</v>
      </c>
      <c r="J7" s="424" t="s">
        <v>318</v>
      </c>
      <c r="K7" s="427" t="s">
        <v>320</v>
      </c>
      <c r="L7" s="424" t="s">
        <v>321</v>
      </c>
      <c r="M7" s="428" t="s">
        <v>322</v>
      </c>
      <c r="N7" s="424" t="s">
        <v>327</v>
      </c>
      <c r="O7" s="424" t="s">
        <v>26</v>
      </c>
      <c r="P7" s="424" t="s">
        <v>2</v>
      </c>
      <c r="Q7" s="424" t="s">
        <v>121</v>
      </c>
      <c r="R7" s="121"/>
    </row>
    <row r="8" spans="1:18">
      <c r="D8" s="162"/>
      <c r="L8" s="235"/>
    </row>
    <row r="9" spans="1:18">
      <c r="D9" s="162"/>
      <c r="L9" s="235"/>
    </row>
    <row r="10" spans="1:18">
      <c r="D10" s="162"/>
      <c r="L10" s="235"/>
    </row>
    <row r="11" spans="1:18">
      <c r="D11" s="162"/>
      <c r="L11" s="235"/>
    </row>
    <row r="12" spans="1:18">
      <c r="D12" s="162"/>
      <c r="L12" s="235"/>
    </row>
    <row r="13" spans="1:18">
      <c r="D13" s="162"/>
      <c r="L13" s="235"/>
    </row>
    <row r="14" spans="1:18">
      <c r="D14" s="162"/>
      <c r="L14" s="235"/>
    </row>
    <row r="15" spans="1:18">
      <c r="D15" s="162"/>
      <c r="L15" s="235"/>
    </row>
    <row r="16" spans="1:18">
      <c r="D16" s="162"/>
      <c r="L16" s="235"/>
    </row>
    <row r="17" spans="4:12">
      <c r="D17" s="162"/>
      <c r="L17" s="235"/>
    </row>
    <row r="18" spans="4:12">
      <c r="D18" s="162"/>
      <c r="L18" s="235"/>
    </row>
    <row r="19" spans="4:12">
      <c r="D19" s="162"/>
      <c r="L19" s="235"/>
    </row>
    <row r="20" spans="4:12">
      <c r="D20" s="162"/>
      <c r="L20" s="235"/>
    </row>
    <row r="21" spans="4:12">
      <c r="D21" s="162"/>
      <c r="L21" s="235"/>
    </row>
    <row r="22" spans="4:12">
      <c r="D22" s="162"/>
      <c r="L22" s="235"/>
    </row>
    <row r="23" spans="4:12">
      <c r="D23" s="162"/>
      <c r="L23" s="235"/>
    </row>
  </sheetData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BBF94-046A-4591-9B89-C98AA0E43A48}">
  <sheetPr codeName="Sheet55"/>
  <dimension ref="A1:Y25"/>
  <sheetViews>
    <sheetView showGridLines="0" topLeftCell="A4" zoomScale="90" zoomScaleNormal="90" workbookViewId="0">
      <pane ySplit="4" topLeftCell="A8" activePane="bottomLeft" state="frozen"/>
      <selection activeCell="L28" sqref="L28"/>
      <selection pane="bottomLeft" activeCell="J35" sqref="J35"/>
    </sheetView>
  </sheetViews>
  <sheetFormatPr defaultRowHeight="15"/>
  <cols>
    <col min="1" max="1" width="3.5703125" style="130" customWidth="1"/>
    <col min="2" max="2" width="4" style="130" customWidth="1"/>
    <col min="3" max="3" width="7.42578125" style="126" customWidth="1"/>
    <col min="4" max="4" width="21.42578125" style="126" bestFit="1" customWidth="1"/>
    <col min="5" max="5" width="14.42578125" style="126" bestFit="1" customWidth="1"/>
    <col min="6" max="6" width="18" style="126" bestFit="1" customWidth="1"/>
    <col min="7" max="7" width="26" style="126" bestFit="1" customWidth="1"/>
    <col min="8" max="8" width="25.85546875" style="126" customWidth="1"/>
    <col min="9" max="9" width="19.28515625" style="126" bestFit="1" customWidth="1"/>
    <col min="10" max="10" width="16.5703125" style="429" bestFit="1" customWidth="1"/>
    <col min="11" max="11" width="14.140625" style="218" bestFit="1" customWidth="1"/>
    <col min="12" max="12" width="14.140625" style="218" customWidth="1"/>
    <col min="13" max="13" width="14.85546875" style="218" customWidth="1"/>
    <col min="14" max="14" width="18.7109375" style="218" bestFit="1" customWidth="1"/>
    <col min="15" max="15" width="18.85546875" style="126" bestFit="1" customWidth="1"/>
    <col min="16" max="16" width="16.28515625" style="218" bestFit="1" customWidth="1"/>
    <col min="17" max="17" width="9.42578125" style="218" bestFit="1" customWidth="1"/>
    <col min="18" max="18" width="11.85546875" style="126" bestFit="1" customWidth="1"/>
    <col min="19" max="19" width="8.42578125" style="126" bestFit="1" customWidth="1"/>
    <col min="20" max="20" width="6.85546875" style="126" bestFit="1" customWidth="1"/>
    <col min="21" max="21" width="8" style="126" bestFit="1" customWidth="1"/>
    <col min="22" max="22" width="6" style="126" bestFit="1" customWidth="1"/>
    <col min="23" max="23" width="23.7109375" style="171" bestFit="1" customWidth="1"/>
    <col min="24" max="25" width="9.140625" style="171"/>
    <col min="26" max="16384" width="9.140625" style="130"/>
  </cols>
  <sheetData>
    <row r="1" spans="1:25" customFormat="1" hidden="1">
      <c r="A1">
        <v>1</v>
      </c>
      <c r="B1">
        <v>1</v>
      </c>
      <c r="C1" s="13" t="s">
        <v>1016</v>
      </c>
      <c r="D1" s="13">
        <v>1</v>
      </c>
      <c r="E1" s="13">
        <v>1</v>
      </c>
      <c r="F1" s="13"/>
      <c r="G1" s="13"/>
      <c r="H1" s="13">
        <v>4000</v>
      </c>
      <c r="I1" s="13">
        <v>40.5</v>
      </c>
      <c r="J1" s="369">
        <v>50</v>
      </c>
      <c r="K1" s="208"/>
      <c r="L1" s="208">
        <v>0</v>
      </c>
      <c r="M1" s="208">
        <v>0</v>
      </c>
      <c r="N1" s="208">
        <v>0</v>
      </c>
      <c r="O1" s="13">
        <v>0</v>
      </c>
      <c r="P1" s="208"/>
      <c r="Q1" s="208">
        <v>0</v>
      </c>
      <c r="R1" s="13"/>
      <c r="S1" s="13"/>
      <c r="T1" s="13"/>
      <c r="U1" s="13"/>
      <c r="V1" s="13"/>
      <c r="W1" s="132"/>
      <c r="X1" s="132"/>
      <c r="Y1" s="132"/>
    </row>
    <row r="2" spans="1:25" customFormat="1" hidden="1">
      <c r="C2" s="13"/>
      <c r="D2" s="13"/>
      <c r="E2" s="13"/>
      <c r="F2" s="13"/>
      <c r="G2" s="13"/>
      <c r="H2" s="13"/>
      <c r="I2" s="13"/>
      <c r="J2" s="369"/>
      <c r="K2" s="208"/>
      <c r="L2" s="208"/>
      <c r="M2" s="208"/>
      <c r="N2" s="208"/>
      <c r="O2" s="13"/>
      <c r="P2" s="208"/>
      <c r="Q2" s="208"/>
      <c r="R2" s="13"/>
      <c r="S2" s="13"/>
      <c r="T2" s="13"/>
      <c r="U2" s="13"/>
      <c r="V2" s="13"/>
      <c r="W2" s="132"/>
      <c r="X2" s="132"/>
      <c r="Y2" s="132"/>
    </row>
    <row r="3" spans="1:25" customFormat="1" hidden="1">
      <c r="C3" s="13"/>
      <c r="D3" s="13"/>
      <c r="E3" s="13"/>
      <c r="F3" s="13"/>
      <c r="G3" s="13"/>
      <c r="H3" s="13"/>
      <c r="I3" s="13"/>
      <c r="J3" s="369"/>
      <c r="K3" s="208"/>
      <c r="L3" s="208"/>
      <c r="M3" s="208"/>
      <c r="N3" s="208"/>
      <c r="O3" s="13"/>
      <c r="P3" s="208"/>
      <c r="Q3" s="208"/>
      <c r="R3" s="13"/>
      <c r="S3" s="13"/>
      <c r="T3" s="13"/>
      <c r="U3" s="13"/>
      <c r="V3" s="13"/>
      <c r="W3" s="132"/>
      <c r="X3" s="132"/>
      <c r="Y3" s="132"/>
    </row>
    <row r="4" spans="1:25" customFormat="1">
      <c r="C4" s="13"/>
      <c r="D4" s="13"/>
      <c r="E4" s="13"/>
      <c r="F4" s="13"/>
      <c r="G4" s="13"/>
      <c r="H4" s="13"/>
      <c r="I4" s="13"/>
      <c r="J4" s="369"/>
      <c r="K4" s="208"/>
      <c r="L4" s="208"/>
      <c r="M4" s="208"/>
      <c r="N4" s="208"/>
      <c r="O4" s="13"/>
      <c r="P4" s="208"/>
      <c r="Q4" s="208"/>
      <c r="R4" s="13"/>
      <c r="S4" s="13"/>
      <c r="T4" s="13"/>
      <c r="U4" s="13"/>
      <c r="V4" s="13"/>
      <c r="W4" s="132"/>
      <c r="X4" s="132"/>
      <c r="Y4" s="132"/>
    </row>
    <row r="5" spans="1:25" customFormat="1" ht="30.75">
      <c r="C5" s="365" t="s">
        <v>460</v>
      </c>
      <c r="D5" s="13"/>
      <c r="E5" s="13"/>
      <c r="F5" s="13"/>
      <c r="G5" s="13"/>
      <c r="H5" s="13"/>
      <c r="I5" s="13"/>
      <c r="J5" s="369"/>
      <c r="K5" s="208"/>
      <c r="L5" s="208"/>
      <c r="M5" s="208"/>
      <c r="N5" s="208"/>
      <c r="O5" s="13"/>
      <c r="P5" s="208"/>
      <c r="Q5" s="208"/>
      <c r="R5" s="13"/>
      <c r="S5" s="13"/>
      <c r="T5" s="13"/>
      <c r="U5" s="13"/>
      <c r="V5" s="13"/>
      <c r="W5" s="132"/>
      <c r="X5" s="132"/>
      <c r="Y5" s="132"/>
    </row>
    <row r="6" spans="1:25" customFormat="1" ht="12" customHeight="1">
      <c r="C6" s="13"/>
      <c r="D6" s="13"/>
      <c r="E6" s="13"/>
      <c r="F6" s="13"/>
      <c r="G6" s="13"/>
      <c r="H6" s="13"/>
      <c r="I6" s="13"/>
      <c r="J6" s="369"/>
      <c r="K6" s="208"/>
      <c r="L6" s="208"/>
      <c r="M6" s="208"/>
      <c r="N6" s="208"/>
      <c r="O6" s="13"/>
      <c r="P6" s="208"/>
      <c r="Q6" s="208"/>
      <c r="R6" s="13"/>
      <c r="S6" s="13"/>
      <c r="T6" s="13"/>
      <c r="U6" s="13"/>
      <c r="V6" s="13"/>
      <c r="W6" s="132"/>
      <c r="X6" s="132"/>
      <c r="Y6" s="132"/>
    </row>
    <row r="7" spans="1:25" customFormat="1" ht="24.75" customHeight="1">
      <c r="C7" s="424" t="s">
        <v>295</v>
      </c>
      <c r="D7" s="424" t="s">
        <v>306</v>
      </c>
      <c r="E7" s="424" t="s">
        <v>2273</v>
      </c>
      <c r="F7" s="424" t="s">
        <v>298</v>
      </c>
      <c r="G7" s="424" t="s">
        <v>299</v>
      </c>
      <c r="H7" s="424" t="s">
        <v>359</v>
      </c>
      <c r="I7" s="424" t="s">
        <v>2274</v>
      </c>
      <c r="J7" s="425" t="s">
        <v>3</v>
      </c>
      <c r="K7" s="426" t="s">
        <v>360</v>
      </c>
      <c r="L7" s="426" t="s">
        <v>361</v>
      </c>
      <c r="M7" s="426" t="s">
        <v>362</v>
      </c>
      <c r="N7" s="426" t="s">
        <v>349</v>
      </c>
      <c r="O7" s="424" t="s">
        <v>363</v>
      </c>
      <c r="P7" s="426" t="s">
        <v>350</v>
      </c>
      <c r="Q7" s="426" t="s">
        <v>351</v>
      </c>
      <c r="R7" s="424" t="s">
        <v>356</v>
      </c>
      <c r="S7" s="424" t="s">
        <v>357</v>
      </c>
      <c r="T7" s="424" t="s">
        <v>26</v>
      </c>
      <c r="U7" s="424" t="s">
        <v>2</v>
      </c>
      <c r="V7" s="424" t="s">
        <v>121</v>
      </c>
      <c r="W7" s="132"/>
      <c r="X7" s="132"/>
      <c r="Y7" s="132"/>
    </row>
    <row r="8" spans="1:25">
      <c r="O8" s="218"/>
      <c r="R8" s="162"/>
    </row>
    <row r="9" spans="1:25">
      <c r="O9" s="218"/>
      <c r="R9" s="162"/>
      <c r="W9" s="128"/>
    </row>
    <row r="10" spans="1:25">
      <c r="O10" s="218"/>
      <c r="R10" s="162"/>
      <c r="W10" s="128"/>
    </row>
    <row r="11" spans="1:25">
      <c r="R11" s="162"/>
      <c r="W11" s="128"/>
    </row>
    <row r="12" spans="1:25">
      <c r="R12" s="162"/>
      <c r="W12" s="128"/>
    </row>
    <row r="13" spans="1:25">
      <c r="R13" s="162"/>
      <c r="W13" s="128"/>
    </row>
    <row r="14" spans="1:25">
      <c r="R14" s="162"/>
      <c r="W14" s="128"/>
    </row>
    <row r="15" spans="1:25">
      <c r="R15" s="162"/>
      <c r="W15" s="128"/>
    </row>
    <row r="16" spans="1:25">
      <c r="R16" s="162"/>
      <c r="W16" s="128"/>
    </row>
    <row r="17" spans="18:23">
      <c r="R17" s="162"/>
      <c r="W17" s="128"/>
    </row>
    <row r="18" spans="18:23">
      <c r="W18" s="128"/>
    </row>
    <row r="19" spans="18:23">
      <c r="W19" s="128"/>
    </row>
    <row r="20" spans="18:23">
      <c r="W20" s="128"/>
    </row>
    <row r="21" spans="18:23">
      <c r="W21" s="128"/>
    </row>
    <row r="22" spans="18:23">
      <c r="W22" s="128"/>
    </row>
    <row r="23" spans="18:23">
      <c r="W23" s="128"/>
    </row>
    <row r="24" spans="18:23">
      <c r="W24" s="128"/>
    </row>
    <row r="25" spans="18:23">
      <c r="W25" s="128"/>
    </row>
  </sheetData>
  <pageMargins left="0.7" right="0.7" top="0.75" bottom="0.75" header="0.3" footer="0.3"/>
  <pageSetup paperSize="9"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AC710-ED58-437B-8973-D9484739DF0B}">
  <sheetPr codeName="Sheet51"/>
  <dimension ref="C1:AN117"/>
  <sheetViews>
    <sheetView zoomScale="90" zoomScaleNormal="90" workbookViewId="0">
      <pane ySplit="7" topLeftCell="A89" activePane="bottomLeft" state="frozen"/>
      <selection activeCell="L28" sqref="L28"/>
      <selection pane="bottomLeft" activeCell="Q104" sqref="Q104"/>
    </sheetView>
  </sheetViews>
  <sheetFormatPr defaultRowHeight="20.100000000000001" customHeight="1"/>
  <cols>
    <col min="1" max="1" width="2.28515625" style="126" customWidth="1"/>
    <col min="2" max="2" width="4.140625" style="126" customWidth="1"/>
    <col min="3" max="23" width="5" style="126" bestFit="1" customWidth="1"/>
    <col min="24" max="24" width="23.7109375" style="149" customWidth="1"/>
    <col min="25" max="25" width="14.5703125" style="162" customWidth="1"/>
    <col min="26" max="26" width="18.42578125" style="126" customWidth="1"/>
    <col min="27" max="27" width="13.7109375" style="126" bestFit="1" customWidth="1"/>
    <col min="28" max="28" width="13.28515625" style="126" customWidth="1"/>
    <col min="29" max="29" width="23" style="126" customWidth="1"/>
    <col min="30" max="30" width="11.42578125" style="149" bestFit="1" customWidth="1"/>
    <col min="31" max="39" width="5" style="126" bestFit="1" customWidth="1"/>
    <col min="40" max="40" width="9.5703125" style="126" customWidth="1"/>
    <col min="41" max="16384" width="9.140625" style="126"/>
  </cols>
  <sheetData>
    <row r="1" spans="3:40" s="13" customFormat="1" ht="15" hidden="1">
      <c r="Y1" s="161"/>
    </row>
    <row r="2" spans="3:40" s="13" customFormat="1" ht="15" hidden="1">
      <c r="Y2" s="161"/>
    </row>
    <row r="3" spans="3:40" s="13" customFormat="1" ht="15" hidden="1">
      <c r="Y3" s="161"/>
    </row>
    <row r="4" spans="3:40" s="13" customFormat="1" ht="15" hidden="1">
      <c r="Y4" s="161"/>
    </row>
    <row r="5" spans="3:40" s="13" customFormat="1" ht="55.5" customHeight="1">
      <c r="C5" s="217" t="s">
        <v>456</v>
      </c>
      <c r="D5" s="232"/>
      <c r="E5" s="232"/>
      <c r="F5" s="232"/>
      <c r="G5" s="232"/>
      <c r="H5" s="232"/>
      <c r="I5" s="232"/>
      <c r="J5" s="232"/>
      <c r="K5" s="232"/>
      <c r="L5" s="232"/>
      <c r="M5" s="232"/>
      <c r="N5" s="232"/>
      <c r="O5" s="232"/>
      <c r="P5" s="232"/>
      <c r="Q5" s="232"/>
      <c r="R5" s="232"/>
      <c r="S5" s="232"/>
      <c r="T5" s="232"/>
      <c r="U5" s="232"/>
      <c r="V5" s="232"/>
      <c r="W5" s="232"/>
      <c r="X5" s="232"/>
      <c r="Y5" s="236"/>
      <c r="Z5" s="232"/>
      <c r="AA5" s="232"/>
      <c r="AB5" s="232"/>
      <c r="AC5" s="232"/>
      <c r="AD5" s="232"/>
      <c r="AE5" s="232"/>
      <c r="AF5" s="232"/>
      <c r="AG5" s="232"/>
      <c r="AH5" s="232"/>
      <c r="AI5" s="232"/>
      <c r="AJ5" s="232"/>
      <c r="AK5" s="232"/>
      <c r="AL5" s="232"/>
      <c r="AM5" s="232"/>
      <c r="AN5" s="232"/>
    </row>
    <row r="6" spans="3:40" s="13" customFormat="1" ht="15">
      <c r="Y6" s="161"/>
      <c r="AC6" s="194"/>
    </row>
    <row r="7" spans="3:40" ht="108">
      <c r="C7" s="290" t="s">
        <v>295</v>
      </c>
      <c r="D7" s="290" t="s">
        <v>305</v>
      </c>
      <c r="E7" s="290" t="s">
        <v>298</v>
      </c>
      <c r="F7" s="290" t="s">
        <v>299</v>
      </c>
      <c r="G7" s="290" t="s">
        <v>306</v>
      </c>
      <c r="H7" s="290" t="s">
        <v>308</v>
      </c>
      <c r="I7" s="290" t="s">
        <v>300</v>
      </c>
      <c r="J7" s="290" t="s">
        <v>301</v>
      </c>
      <c r="K7" s="290" t="s">
        <v>302</v>
      </c>
      <c r="L7" s="290" t="s">
        <v>314</v>
      </c>
      <c r="M7" s="290" t="s">
        <v>343</v>
      </c>
      <c r="N7" s="290" t="s">
        <v>307</v>
      </c>
      <c r="O7" s="290" t="s">
        <v>309</v>
      </c>
      <c r="P7" s="290" t="s">
        <v>303</v>
      </c>
      <c r="Q7" s="290" t="s">
        <v>304</v>
      </c>
      <c r="R7" s="290" t="s">
        <v>310</v>
      </c>
      <c r="S7" s="290" t="s">
        <v>311</v>
      </c>
      <c r="T7" s="290" t="s">
        <v>312</v>
      </c>
      <c r="U7" s="290" t="s">
        <v>344</v>
      </c>
      <c r="V7" s="290" t="s">
        <v>313</v>
      </c>
      <c r="W7" s="292" t="s">
        <v>315</v>
      </c>
      <c r="X7" s="289" t="s">
        <v>316</v>
      </c>
      <c r="Y7" s="293" t="s">
        <v>317</v>
      </c>
      <c r="Z7" s="293" t="s">
        <v>318</v>
      </c>
      <c r="AA7" s="293" t="s">
        <v>319</v>
      </c>
      <c r="AB7" s="293" t="s">
        <v>320</v>
      </c>
      <c r="AC7" s="294" t="s">
        <v>321</v>
      </c>
      <c r="AD7" s="290" t="s">
        <v>322</v>
      </c>
      <c r="AE7" s="290" t="s">
        <v>387</v>
      </c>
      <c r="AF7" s="290" t="s">
        <v>388</v>
      </c>
      <c r="AG7" s="290" t="s">
        <v>323</v>
      </c>
      <c r="AH7" s="290" t="s">
        <v>324</v>
      </c>
      <c r="AI7" s="290" t="s">
        <v>325</v>
      </c>
      <c r="AJ7" s="290" t="s">
        <v>326</v>
      </c>
      <c r="AK7" s="290" t="s">
        <v>327</v>
      </c>
      <c r="AL7" s="290" t="s">
        <v>364</v>
      </c>
      <c r="AM7" s="290" t="s">
        <v>365</v>
      </c>
      <c r="AN7" s="290" t="s">
        <v>366</v>
      </c>
    </row>
    <row r="8" spans="3:40" ht="20.100000000000001" customHeight="1">
      <c r="C8" s="126">
        <v>1</v>
      </c>
      <c r="E8" s="126">
        <v>1</v>
      </c>
      <c r="Y8" s="162">
        <v>46222</v>
      </c>
      <c r="Z8" s="126" t="s">
        <v>546</v>
      </c>
      <c r="AA8" s="126">
        <v>0</v>
      </c>
      <c r="AC8" s="235">
        <v>46222.63009259259</v>
      </c>
      <c r="AD8" s="149">
        <v>1</v>
      </c>
      <c r="AG8" s="126">
        <v>1</v>
      </c>
      <c r="AH8" s="126">
        <v>0</v>
      </c>
      <c r="AI8" s="126">
        <v>0</v>
      </c>
      <c r="AJ8" s="126">
        <v>0</v>
      </c>
      <c r="AK8" s="126">
        <v>1</v>
      </c>
      <c r="AL8" s="126">
        <v>3</v>
      </c>
      <c r="AM8" s="126">
        <v>7</v>
      </c>
      <c r="AN8" s="126">
        <v>2026</v>
      </c>
    </row>
    <row r="9" spans="3:40" ht="20.100000000000001" customHeight="1">
      <c r="C9" s="126">
        <v>2</v>
      </c>
      <c r="E9" s="126">
        <v>1</v>
      </c>
      <c r="Y9" s="162">
        <v>46174</v>
      </c>
      <c r="Z9" s="126" t="s">
        <v>546</v>
      </c>
      <c r="AA9" s="126">
        <v>0</v>
      </c>
      <c r="AC9" s="235">
        <v>46222.633958333332</v>
      </c>
      <c r="AD9" s="149">
        <v>1</v>
      </c>
      <c r="AG9" s="126">
        <v>1</v>
      </c>
      <c r="AH9" s="126">
        <v>0</v>
      </c>
      <c r="AI9" s="126">
        <v>0</v>
      </c>
      <c r="AJ9" s="126">
        <v>0</v>
      </c>
      <c r="AK9" s="126">
        <v>1</v>
      </c>
      <c r="AL9" s="126">
        <v>1</v>
      </c>
      <c r="AM9" s="126">
        <v>6</v>
      </c>
      <c r="AN9" s="126">
        <v>2026</v>
      </c>
    </row>
    <row r="10" spans="3:40" ht="20.100000000000001" customHeight="1">
      <c r="C10" s="126">
        <v>3</v>
      </c>
      <c r="E10" s="126">
        <v>2</v>
      </c>
      <c r="Y10" s="162">
        <v>46174</v>
      </c>
      <c r="Z10" s="126" t="s">
        <v>552</v>
      </c>
      <c r="AA10" s="126">
        <v>0</v>
      </c>
      <c r="AC10" s="235">
        <v>46222.698009259257</v>
      </c>
      <c r="AD10" s="149">
        <v>1</v>
      </c>
      <c r="AG10" s="126">
        <v>1</v>
      </c>
      <c r="AH10" s="126">
        <v>0</v>
      </c>
      <c r="AI10" s="126">
        <v>0</v>
      </c>
      <c r="AJ10" s="126">
        <v>0</v>
      </c>
      <c r="AK10" s="126">
        <v>1</v>
      </c>
      <c r="AL10" s="126">
        <v>1</v>
      </c>
      <c r="AM10" s="126">
        <v>6</v>
      </c>
      <c r="AN10" s="126">
        <v>2026</v>
      </c>
    </row>
    <row r="11" spans="3:40" ht="20.100000000000001" customHeight="1">
      <c r="C11" s="126">
        <v>4</v>
      </c>
      <c r="E11" s="126">
        <v>3</v>
      </c>
      <c r="Y11" s="162">
        <v>46175</v>
      </c>
      <c r="Z11" s="126" t="s">
        <v>606</v>
      </c>
      <c r="AA11" s="126">
        <v>0</v>
      </c>
      <c r="AC11" s="235">
        <v>46223.450949074075</v>
      </c>
      <c r="AD11" s="149">
        <v>1</v>
      </c>
      <c r="AG11" s="126">
        <v>1</v>
      </c>
      <c r="AH11" s="126">
        <v>0</v>
      </c>
      <c r="AI11" s="126">
        <v>0</v>
      </c>
      <c r="AJ11" s="126">
        <v>0</v>
      </c>
      <c r="AK11" s="126">
        <v>1</v>
      </c>
      <c r="AL11" s="126">
        <v>1</v>
      </c>
      <c r="AM11" s="126">
        <v>6</v>
      </c>
      <c r="AN11" s="126">
        <v>2026</v>
      </c>
    </row>
    <row r="12" spans="3:40" ht="20.100000000000001" customHeight="1">
      <c r="C12" s="126">
        <v>5</v>
      </c>
      <c r="E12" s="126">
        <v>4</v>
      </c>
      <c r="Y12" s="162">
        <v>46175</v>
      </c>
      <c r="Z12" s="126" t="s">
        <v>622</v>
      </c>
      <c r="AA12" s="126">
        <v>0</v>
      </c>
      <c r="AC12" s="235">
        <v>46223.52480324074</v>
      </c>
      <c r="AD12" s="149">
        <v>1</v>
      </c>
      <c r="AG12" s="126">
        <v>1</v>
      </c>
      <c r="AH12" s="126">
        <v>0</v>
      </c>
      <c r="AI12" s="126">
        <v>0</v>
      </c>
      <c r="AJ12" s="126">
        <v>0</v>
      </c>
      <c r="AK12" s="126">
        <v>1</v>
      </c>
      <c r="AL12" s="126">
        <v>1</v>
      </c>
      <c r="AM12" s="126">
        <v>6</v>
      </c>
      <c r="AN12" s="126">
        <v>2026</v>
      </c>
    </row>
    <row r="13" spans="3:40" ht="20.100000000000001" customHeight="1">
      <c r="C13" s="126">
        <v>6</v>
      </c>
      <c r="E13" s="126">
        <v>5</v>
      </c>
      <c r="Y13" s="162">
        <v>46175</v>
      </c>
      <c r="Z13" s="126" t="s">
        <v>657</v>
      </c>
      <c r="AA13" s="126">
        <v>0</v>
      </c>
      <c r="AC13" s="235">
        <v>46223.656875000001</v>
      </c>
      <c r="AD13" s="149">
        <v>1</v>
      </c>
      <c r="AG13" s="126">
        <v>1</v>
      </c>
      <c r="AH13" s="126">
        <v>0</v>
      </c>
      <c r="AI13" s="126">
        <v>0</v>
      </c>
      <c r="AJ13" s="126">
        <v>0</v>
      </c>
      <c r="AK13" s="126">
        <v>1</v>
      </c>
      <c r="AL13" s="126">
        <v>1</v>
      </c>
      <c r="AM13" s="126">
        <v>6</v>
      </c>
      <c r="AN13" s="126">
        <v>2026</v>
      </c>
    </row>
    <row r="14" spans="3:40" ht="20.100000000000001" customHeight="1">
      <c r="C14" s="126">
        <v>7</v>
      </c>
      <c r="K14" s="126">
        <v>1</v>
      </c>
      <c r="Y14" s="162">
        <v>46143</v>
      </c>
      <c r="Z14" s="126" t="s">
        <v>673</v>
      </c>
      <c r="AA14" s="126">
        <v>0</v>
      </c>
      <c r="AC14" s="235">
        <v>46224.761064814818</v>
      </c>
      <c r="AD14" s="149">
        <v>1</v>
      </c>
      <c r="AG14" s="126">
        <v>1</v>
      </c>
      <c r="AH14" s="126">
        <v>0</v>
      </c>
      <c r="AI14" s="126">
        <v>0</v>
      </c>
      <c r="AJ14" s="126">
        <v>0</v>
      </c>
      <c r="AK14" s="126">
        <v>1</v>
      </c>
      <c r="AL14" s="126">
        <v>1</v>
      </c>
      <c r="AM14" s="126">
        <v>5</v>
      </c>
      <c r="AN14" s="126">
        <v>2026</v>
      </c>
    </row>
    <row r="15" spans="3:40" ht="20.100000000000001" customHeight="1">
      <c r="C15" s="126">
        <v>8</v>
      </c>
      <c r="K15" s="126">
        <v>2</v>
      </c>
      <c r="Y15" s="162">
        <v>46146</v>
      </c>
      <c r="Z15" s="126" t="s">
        <v>713</v>
      </c>
      <c r="AA15" s="126">
        <v>0</v>
      </c>
      <c r="AC15" s="235">
        <v>46224.769317129627</v>
      </c>
      <c r="AD15" s="149">
        <v>1</v>
      </c>
      <c r="AG15" s="126">
        <v>1</v>
      </c>
      <c r="AH15" s="126">
        <v>0</v>
      </c>
      <c r="AI15" s="126">
        <v>0</v>
      </c>
      <c r="AJ15" s="126">
        <v>0</v>
      </c>
      <c r="AK15" s="126">
        <v>1</v>
      </c>
      <c r="AL15" s="126">
        <v>1</v>
      </c>
      <c r="AM15" s="126">
        <v>5</v>
      </c>
      <c r="AN15" s="126">
        <v>2026</v>
      </c>
    </row>
    <row r="16" spans="3:40" ht="20.100000000000001" customHeight="1">
      <c r="C16" s="126">
        <v>9</v>
      </c>
      <c r="K16" s="126">
        <v>3</v>
      </c>
      <c r="Y16" s="162">
        <v>46148</v>
      </c>
      <c r="Z16" s="126" t="s">
        <v>759</v>
      </c>
      <c r="AA16" s="126">
        <v>0</v>
      </c>
      <c r="AC16" s="235">
        <v>46224.785381944443</v>
      </c>
      <c r="AD16" s="149">
        <v>1</v>
      </c>
      <c r="AG16" s="126">
        <v>1</v>
      </c>
      <c r="AH16" s="126">
        <v>0</v>
      </c>
      <c r="AI16" s="126">
        <v>0</v>
      </c>
      <c r="AJ16" s="126">
        <v>0</v>
      </c>
      <c r="AK16" s="126">
        <v>1</v>
      </c>
      <c r="AL16" s="126">
        <v>1</v>
      </c>
      <c r="AM16" s="126">
        <v>5</v>
      </c>
      <c r="AN16" s="126">
        <v>2026</v>
      </c>
    </row>
    <row r="17" spans="3:40" ht="20.100000000000001" customHeight="1">
      <c r="C17" s="126">
        <v>10</v>
      </c>
      <c r="E17" s="126">
        <v>6</v>
      </c>
      <c r="Y17" s="162">
        <v>46176</v>
      </c>
      <c r="Z17" s="126" t="s">
        <v>792</v>
      </c>
      <c r="AA17" s="126">
        <v>0</v>
      </c>
      <c r="AC17" s="235">
        <v>46224.857037037036</v>
      </c>
      <c r="AD17" s="149">
        <v>1</v>
      </c>
      <c r="AG17" s="126">
        <v>1</v>
      </c>
      <c r="AH17" s="126">
        <v>0</v>
      </c>
      <c r="AI17" s="126">
        <v>0</v>
      </c>
      <c r="AJ17" s="126">
        <v>0</v>
      </c>
      <c r="AK17" s="126">
        <v>1</v>
      </c>
      <c r="AL17" s="126">
        <v>1</v>
      </c>
      <c r="AM17" s="126">
        <v>6</v>
      </c>
      <c r="AN17" s="126">
        <v>2026</v>
      </c>
    </row>
    <row r="18" spans="3:40" ht="20.100000000000001" customHeight="1">
      <c r="C18" s="126">
        <v>11</v>
      </c>
      <c r="E18" s="126">
        <v>7</v>
      </c>
      <c r="Y18" s="162">
        <v>46176</v>
      </c>
      <c r="Z18" s="126" t="s">
        <v>828</v>
      </c>
      <c r="AA18" s="126">
        <v>0</v>
      </c>
      <c r="AC18" s="235">
        <v>46224.890914351854</v>
      </c>
      <c r="AD18" s="149">
        <v>1</v>
      </c>
      <c r="AG18" s="126">
        <v>1</v>
      </c>
      <c r="AH18" s="126">
        <v>0</v>
      </c>
      <c r="AI18" s="126">
        <v>0</v>
      </c>
      <c r="AJ18" s="126">
        <v>0</v>
      </c>
      <c r="AK18" s="126">
        <v>1</v>
      </c>
      <c r="AL18" s="126">
        <v>1</v>
      </c>
      <c r="AM18" s="126">
        <v>6</v>
      </c>
      <c r="AN18" s="126">
        <v>2026</v>
      </c>
    </row>
    <row r="19" spans="3:40" ht="20.100000000000001" customHeight="1">
      <c r="C19" s="126">
        <v>12</v>
      </c>
      <c r="E19" s="126">
        <v>8</v>
      </c>
      <c r="Y19" s="162">
        <v>46177</v>
      </c>
      <c r="Z19" s="126" t="s">
        <v>834</v>
      </c>
      <c r="AA19" s="126">
        <v>0</v>
      </c>
      <c r="AC19" s="235">
        <v>46225.027615740742</v>
      </c>
      <c r="AD19" s="149">
        <v>1</v>
      </c>
      <c r="AG19" s="126">
        <v>1</v>
      </c>
      <c r="AH19" s="126">
        <v>0</v>
      </c>
      <c r="AI19" s="126">
        <v>0</v>
      </c>
      <c r="AJ19" s="126">
        <v>0</v>
      </c>
      <c r="AK19" s="126">
        <v>1</v>
      </c>
      <c r="AL19" s="126">
        <v>1</v>
      </c>
      <c r="AM19" s="126">
        <v>6</v>
      </c>
      <c r="AN19" s="126">
        <v>2026</v>
      </c>
    </row>
    <row r="20" spans="3:40" ht="20.100000000000001" customHeight="1">
      <c r="C20" s="126">
        <v>13</v>
      </c>
      <c r="E20" s="126">
        <v>9</v>
      </c>
      <c r="Y20" s="162">
        <v>46177</v>
      </c>
      <c r="Z20" s="126" t="s">
        <v>849</v>
      </c>
      <c r="AA20" s="126">
        <v>0</v>
      </c>
      <c r="AC20" s="235">
        <v>46225.055312500001</v>
      </c>
      <c r="AD20" s="149">
        <v>1</v>
      </c>
      <c r="AG20" s="126">
        <v>1</v>
      </c>
      <c r="AH20" s="126">
        <v>0</v>
      </c>
      <c r="AI20" s="126">
        <v>0</v>
      </c>
      <c r="AJ20" s="126">
        <v>0</v>
      </c>
      <c r="AK20" s="126">
        <v>1</v>
      </c>
      <c r="AL20" s="126">
        <v>1</v>
      </c>
      <c r="AM20" s="126">
        <v>6</v>
      </c>
      <c r="AN20" s="126">
        <v>2026</v>
      </c>
    </row>
    <row r="21" spans="3:40" ht="20.100000000000001" customHeight="1">
      <c r="C21" s="126">
        <v>14</v>
      </c>
      <c r="E21" s="126">
        <v>10</v>
      </c>
      <c r="Y21" s="162">
        <v>46177</v>
      </c>
      <c r="Z21" s="126" t="s">
        <v>866</v>
      </c>
      <c r="AA21" s="126">
        <v>0</v>
      </c>
      <c r="AC21" s="235">
        <v>46225.08792824074</v>
      </c>
      <c r="AD21" s="149">
        <v>1</v>
      </c>
      <c r="AG21" s="126">
        <v>1</v>
      </c>
      <c r="AH21" s="126">
        <v>0</v>
      </c>
      <c r="AI21" s="126">
        <v>0</v>
      </c>
      <c r="AJ21" s="126">
        <v>0</v>
      </c>
      <c r="AK21" s="126">
        <v>1</v>
      </c>
      <c r="AL21" s="126">
        <v>1</v>
      </c>
      <c r="AM21" s="126">
        <v>6</v>
      </c>
      <c r="AN21" s="126">
        <v>2026</v>
      </c>
    </row>
    <row r="22" spans="3:40" ht="20.100000000000001" customHeight="1">
      <c r="C22" s="126">
        <v>15</v>
      </c>
      <c r="E22" s="126">
        <v>11</v>
      </c>
      <c r="Y22" s="162">
        <v>46178</v>
      </c>
      <c r="Z22" s="126" t="s">
        <v>875</v>
      </c>
      <c r="AA22" s="126">
        <v>0</v>
      </c>
      <c r="AC22" s="235">
        <v>46225.101134259261</v>
      </c>
      <c r="AD22" s="149">
        <v>1</v>
      </c>
      <c r="AG22" s="126">
        <v>1</v>
      </c>
      <c r="AH22" s="126">
        <v>0</v>
      </c>
      <c r="AI22" s="126">
        <v>0</v>
      </c>
      <c r="AJ22" s="126">
        <v>0</v>
      </c>
      <c r="AK22" s="126">
        <v>1</v>
      </c>
      <c r="AL22" s="126">
        <v>1</v>
      </c>
      <c r="AM22" s="126">
        <v>6</v>
      </c>
      <c r="AN22" s="126">
        <v>2026</v>
      </c>
    </row>
    <row r="23" spans="3:40" ht="20.100000000000001" customHeight="1">
      <c r="C23" s="126">
        <v>16</v>
      </c>
      <c r="E23" s="126">
        <v>12</v>
      </c>
      <c r="Y23" s="162">
        <v>46178</v>
      </c>
      <c r="Z23" s="126" t="s">
        <v>881</v>
      </c>
      <c r="AA23" s="126">
        <v>0</v>
      </c>
      <c r="AC23" s="235">
        <v>46225.352233796293</v>
      </c>
      <c r="AD23" s="149">
        <v>1</v>
      </c>
      <c r="AG23" s="126">
        <v>1</v>
      </c>
      <c r="AH23" s="126">
        <v>0</v>
      </c>
      <c r="AI23" s="126">
        <v>0</v>
      </c>
      <c r="AJ23" s="126">
        <v>0</v>
      </c>
      <c r="AK23" s="126">
        <v>1</v>
      </c>
      <c r="AL23" s="126">
        <v>1</v>
      </c>
      <c r="AM23" s="126">
        <v>6</v>
      </c>
      <c r="AN23" s="126">
        <v>2026</v>
      </c>
    </row>
    <row r="24" spans="3:40" ht="20.100000000000001" customHeight="1">
      <c r="C24" s="126">
        <v>17</v>
      </c>
      <c r="E24" s="126">
        <v>13</v>
      </c>
      <c r="Y24" s="162">
        <v>46178</v>
      </c>
      <c r="Z24" s="126" t="s">
        <v>911</v>
      </c>
      <c r="AA24" s="126">
        <v>0</v>
      </c>
      <c r="AC24" s="235">
        <v>46225.355312500003</v>
      </c>
      <c r="AD24" s="149">
        <v>1</v>
      </c>
      <c r="AG24" s="126">
        <v>1</v>
      </c>
      <c r="AH24" s="126">
        <v>0</v>
      </c>
      <c r="AI24" s="126">
        <v>0</v>
      </c>
      <c r="AJ24" s="126">
        <v>0</v>
      </c>
      <c r="AK24" s="126">
        <v>1</v>
      </c>
      <c r="AL24" s="126">
        <v>1</v>
      </c>
      <c r="AM24" s="126">
        <v>6</v>
      </c>
      <c r="AN24" s="126">
        <v>2026</v>
      </c>
    </row>
    <row r="25" spans="3:40" ht="20.100000000000001" customHeight="1">
      <c r="C25" s="126">
        <v>18</v>
      </c>
      <c r="E25" s="126">
        <v>14</v>
      </c>
      <c r="Y25" s="162">
        <v>46178</v>
      </c>
      <c r="Z25" s="126" t="s">
        <v>916</v>
      </c>
      <c r="AA25" s="126">
        <v>0</v>
      </c>
      <c r="AC25" s="235">
        <v>46225.358194444445</v>
      </c>
      <c r="AD25" s="149">
        <v>1</v>
      </c>
      <c r="AG25" s="126">
        <v>1</v>
      </c>
      <c r="AH25" s="126">
        <v>0</v>
      </c>
      <c r="AI25" s="126">
        <v>0</v>
      </c>
      <c r="AJ25" s="126">
        <v>0</v>
      </c>
      <c r="AK25" s="126">
        <v>1</v>
      </c>
      <c r="AL25" s="126">
        <v>1</v>
      </c>
      <c r="AM25" s="126">
        <v>6</v>
      </c>
      <c r="AN25" s="126">
        <v>2026</v>
      </c>
    </row>
    <row r="26" spans="3:40" ht="20.100000000000001" customHeight="1">
      <c r="C26" s="126">
        <v>19</v>
      </c>
      <c r="E26" s="126">
        <v>15</v>
      </c>
      <c r="Y26" s="162">
        <v>46179</v>
      </c>
      <c r="Z26" s="126" t="s">
        <v>925</v>
      </c>
      <c r="AA26" s="126">
        <v>0</v>
      </c>
      <c r="AC26" s="235">
        <v>46225.385636574072</v>
      </c>
      <c r="AD26" s="149">
        <v>1</v>
      </c>
      <c r="AG26" s="126">
        <v>1</v>
      </c>
      <c r="AH26" s="126">
        <v>0</v>
      </c>
      <c r="AI26" s="126">
        <v>0</v>
      </c>
      <c r="AJ26" s="126">
        <v>0</v>
      </c>
      <c r="AK26" s="126">
        <v>1</v>
      </c>
      <c r="AL26" s="126">
        <v>1</v>
      </c>
      <c r="AM26" s="126">
        <v>6</v>
      </c>
      <c r="AN26" s="126">
        <v>2026</v>
      </c>
    </row>
    <row r="27" spans="3:40" ht="20.100000000000001" customHeight="1">
      <c r="C27" s="126">
        <v>20</v>
      </c>
      <c r="E27" s="126">
        <v>16</v>
      </c>
      <c r="Y27" s="162">
        <v>46179</v>
      </c>
      <c r="Z27" s="126" t="s">
        <v>938</v>
      </c>
      <c r="AA27" s="126">
        <v>0</v>
      </c>
      <c r="AC27" s="235">
        <v>46225.388078703705</v>
      </c>
      <c r="AD27" s="149">
        <v>1</v>
      </c>
      <c r="AG27" s="126">
        <v>1</v>
      </c>
      <c r="AH27" s="126">
        <v>0</v>
      </c>
      <c r="AI27" s="126">
        <v>0</v>
      </c>
      <c r="AJ27" s="126">
        <v>0</v>
      </c>
      <c r="AK27" s="126">
        <v>1</v>
      </c>
      <c r="AL27" s="126">
        <v>1</v>
      </c>
      <c r="AM27" s="126">
        <v>6</v>
      </c>
      <c r="AN27" s="126">
        <v>2026</v>
      </c>
    </row>
    <row r="28" spans="3:40" ht="20.100000000000001" customHeight="1">
      <c r="C28" s="126">
        <v>21</v>
      </c>
      <c r="E28" s="126">
        <v>17</v>
      </c>
      <c r="Y28" s="162">
        <v>46180</v>
      </c>
      <c r="Z28" s="126" t="s">
        <v>945</v>
      </c>
      <c r="AA28" s="126">
        <v>0</v>
      </c>
      <c r="AC28" s="235">
        <v>46225.41233796296</v>
      </c>
      <c r="AD28" s="149">
        <v>1</v>
      </c>
      <c r="AG28" s="126">
        <v>1</v>
      </c>
      <c r="AH28" s="126">
        <v>0</v>
      </c>
      <c r="AI28" s="126">
        <v>0</v>
      </c>
      <c r="AJ28" s="126">
        <v>0</v>
      </c>
      <c r="AK28" s="126">
        <v>1</v>
      </c>
      <c r="AL28" s="126">
        <v>1</v>
      </c>
      <c r="AM28" s="126">
        <v>6</v>
      </c>
      <c r="AN28" s="126">
        <v>2026</v>
      </c>
    </row>
    <row r="29" spans="3:40" ht="20.100000000000001" customHeight="1">
      <c r="C29" s="126">
        <v>22</v>
      </c>
      <c r="E29" s="126">
        <v>18</v>
      </c>
      <c r="Y29" s="162">
        <v>46180</v>
      </c>
      <c r="Z29" s="126" t="s">
        <v>953</v>
      </c>
      <c r="AA29" s="126">
        <v>0</v>
      </c>
      <c r="AC29" s="235">
        <v>46225.415694444448</v>
      </c>
      <c r="AD29" s="149">
        <v>1</v>
      </c>
      <c r="AG29" s="126">
        <v>1</v>
      </c>
      <c r="AH29" s="126">
        <v>0</v>
      </c>
      <c r="AI29" s="126">
        <v>0</v>
      </c>
      <c r="AJ29" s="126">
        <v>0</v>
      </c>
      <c r="AK29" s="126">
        <v>1</v>
      </c>
      <c r="AL29" s="126">
        <v>1</v>
      </c>
      <c r="AM29" s="126">
        <v>6</v>
      </c>
      <c r="AN29" s="126">
        <v>2026</v>
      </c>
    </row>
    <row r="30" spans="3:40" ht="20.100000000000001" customHeight="1">
      <c r="C30" s="126">
        <v>23</v>
      </c>
      <c r="E30" s="126">
        <v>19</v>
      </c>
      <c r="Y30" s="162">
        <v>46180</v>
      </c>
      <c r="Z30" s="126" t="s">
        <v>958</v>
      </c>
      <c r="AA30" s="126">
        <v>0</v>
      </c>
      <c r="AC30" s="235">
        <v>46225.425000000003</v>
      </c>
      <c r="AD30" s="149">
        <v>1</v>
      </c>
      <c r="AG30" s="126">
        <v>1</v>
      </c>
      <c r="AH30" s="126">
        <v>0</v>
      </c>
      <c r="AI30" s="126">
        <v>0</v>
      </c>
      <c r="AJ30" s="126">
        <v>0</v>
      </c>
      <c r="AK30" s="126">
        <v>1</v>
      </c>
      <c r="AL30" s="126">
        <v>1</v>
      </c>
      <c r="AM30" s="126">
        <v>6</v>
      </c>
      <c r="AN30" s="126">
        <v>2026</v>
      </c>
    </row>
    <row r="31" spans="3:40" ht="20.100000000000001" customHeight="1">
      <c r="C31" s="126">
        <v>24</v>
      </c>
      <c r="E31" s="126">
        <v>20</v>
      </c>
      <c r="Y31" s="162">
        <v>46181</v>
      </c>
      <c r="Z31" s="126" t="s">
        <v>970</v>
      </c>
      <c r="AA31" s="126">
        <v>0</v>
      </c>
      <c r="AC31" s="235">
        <v>46225.441111111111</v>
      </c>
      <c r="AD31" s="149">
        <v>1</v>
      </c>
      <c r="AG31" s="126">
        <v>1</v>
      </c>
      <c r="AH31" s="126">
        <v>0</v>
      </c>
      <c r="AI31" s="126">
        <v>0</v>
      </c>
      <c r="AJ31" s="126">
        <v>0</v>
      </c>
      <c r="AK31" s="126">
        <v>1</v>
      </c>
      <c r="AL31" s="126">
        <v>2</v>
      </c>
      <c r="AM31" s="126">
        <v>6</v>
      </c>
      <c r="AN31" s="126">
        <v>2026</v>
      </c>
    </row>
    <row r="32" spans="3:40" ht="20.100000000000001" customHeight="1">
      <c r="C32" s="126">
        <v>25</v>
      </c>
      <c r="E32" s="126">
        <v>21</v>
      </c>
      <c r="Y32" s="162">
        <v>46181</v>
      </c>
      <c r="Z32" s="126" t="s">
        <v>988</v>
      </c>
      <c r="AA32" s="126">
        <v>0</v>
      </c>
      <c r="AC32" s="235">
        <v>46225.459583333337</v>
      </c>
      <c r="AD32" s="149">
        <v>1</v>
      </c>
      <c r="AG32" s="126">
        <v>1</v>
      </c>
      <c r="AH32" s="126">
        <v>0</v>
      </c>
      <c r="AI32" s="126">
        <v>0</v>
      </c>
      <c r="AJ32" s="126">
        <v>0</v>
      </c>
      <c r="AK32" s="126">
        <v>1</v>
      </c>
      <c r="AL32" s="126">
        <v>2</v>
      </c>
      <c r="AM32" s="126">
        <v>6</v>
      </c>
      <c r="AN32" s="126">
        <v>2026</v>
      </c>
    </row>
    <row r="33" spans="3:40" ht="20.100000000000001" customHeight="1">
      <c r="C33" s="126">
        <v>26</v>
      </c>
      <c r="E33" s="126">
        <v>22</v>
      </c>
      <c r="Y33" s="162">
        <v>46181</v>
      </c>
      <c r="Z33" s="126" t="s">
        <v>1004</v>
      </c>
      <c r="AA33" s="126">
        <v>0</v>
      </c>
      <c r="AC33" s="235">
        <v>46225.463854166665</v>
      </c>
      <c r="AD33" s="149">
        <v>1</v>
      </c>
      <c r="AG33" s="126">
        <v>1</v>
      </c>
      <c r="AH33" s="126">
        <v>0</v>
      </c>
      <c r="AI33" s="126">
        <v>0</v>
      </c>
      <c r="AJ33" s="126">
        <v>0</v>
      </c>
      <c r="AK33" s="126">
        <v>1</v>
      </c>
      <c r="AL33" s="126">
        <v>2</v>
      </c>
      <c r="AM33" s="126">
        <v>6</v>
      </c>
      <c r="AN33" s="126">
        <v>2026</v>
      </c>
    </row>
    <row r="34" spans="3:40" ht="20.100000000000001" customHeight="1">
      <c r="C34" s="126">
        <v>27</v>
      </c>
      <c r="E34" s="126">
        <v>23</v>
      </c>
      <c r="Y34" s="162">
        <v>46182</v>
      </c>
      <c r="Z34" s="126" t="s">
        <v>1004</v>
      </c>
      <c r="AA34" s="126">
        <v>0</v>
      </c>
      <c r="AC34" s="235">
        <v>46225.630381944444</v>
      </c>
      <c r="AD34" s="149">
        <v>1</v>
      </c>
      <c r="AG34" s="126">
        <v>1</v>
      </c>
      <c r="AH34" s="126">
        <v>0</v>
      </c>
      <c r="AI34" s="126">
        <v>0</v>
      </c>
      <c r="AJ34" s="126">
        <v>0</v>
      </c>
      <c r="AK34" s="126">
        <v>1</v>
      </c>
      <c r="AL34" s="126">
        <v>2</v>
      </c>
      <c r="AM34" s="126">
        <v>6</v>
      </c>
      <c r="AN34" s="126">
        <v>2026</v>
      </c>
    </row>
    <row r="35" spans="3:40" ht="20.100000000000001" customHeight="1">
      <c r="C35" s="126">
        <v>28</v>
      </c>
      <c r="E35" s="126">
        <v>24</v>
      </c>
      <c r="Y35" s="162">
        <v>46182</v>
      </c>
      <c r="Z35" s="126" t="s">
        <v>1045</v>
      </c>
      <c r="AA35" s="126">
        <v>0</v>
      </c>
      <c r="AC35" s="235">
        <v>46225.644062500003</v>
      </c>
      <c r="AD35" s="149">
        <v>1</v>
      </c>
      <c r="AG35" s="126">
        <v>1</v>
      </c>
      <c r="AH35" s="126">
        <v>0</v>
      </c>
      <c r="AI35" s="126">
        <v>0</v>
      </c>
      <c r="AJ35" s="126">
        <v>0</v>
      </c>
      <c r="AK35" s="126">
        <v>1</v>
      </c>
      <c r="AL35" s="126">
        <v>2</v>
      </c>
      <c r="AM35" s="126">
        <v>6</v>
      </c>
      <c r="AN35" s="126">
        <v>2026</v>
      </c>
    </row>
    <row r="36" spans="3:40" ht="20.100000000000001" customHeight="1">
      <c r="C36" s="126">
        <v>29</v>
      </c>
      <c r="E36" s="126">
        <v>25</v>
      </c>
      <c r="Y36" s="162">
        <v>46183</v>
      </c>
      <c r="Z36" s="126" t="s">
        <v>1063</v>
      </c>
      <c r="AA36" s="126">
        <v>0</v>
      </c>
      <c r="AC36" s="235">
        <v>46225.651469907411</v>
      </c>
      <c r="AD36" s="149">
        <v>1</v>
      </c>
      <c r="AG36" s="126">
        <v>1</v>
      </c>
      <c r="AH36" s="126">
        <v>0</v>
      </c>
      <c r="AI36" s="126">
        <v>0</v>
      </c>
      <c r="AJ36" s="126">
        <v>0</v>
      </c>
      <c r="AK36" s="126">
        <v>1</v>
      </c>
      <c r="AL36" s="126">
        <v>2</v>
      </c>
      <c r="AM36" s="126">
        <v>6</v>
      </c>
      <c r="AN36" s="126">
        <v>2026</v>
      </c>
    </row>
    <row r="37" spans="3:40" ht="20.100000000000001" customHeight="1">
      <c r="C37" s="126">
        <v>30</v>
      </c>
      <c r="E37" s="126">
        <v>26</v>
      </c>
      <c r="Y37" s="162">
        <v>46183</v>
      </c>
      <c r="Z37" s="126" t="s">
        <v>1071</v>
      </c>
      <c r="AA37" s="126">
        <v>0</v>
      </c>
      <c r="AC37" s="235">
        <v>46225.658680555556</v>
      </c>
      <c r="AD37" s="149">
        <v>1</v>
      </c>
      <c r="AG37" s="126">
        <v>1</v>
      </c>
      <c r="AH37" s="126">
        <v>0</v>
      </c>
      <c r="AI37" s="126">
        <v>0</v>
      </c>
      <c r="AJ37" s="126">
        <v>0</v>
      </c>
      <c r="AK37" s="126">
        <v>1</v>
      </c>
      <c r="AL37" s="126">
        <v>2</v>
      </c>
      <c r="AM37" s="126">
        <v>6</v>
      </c>
      <c r="AN37" s="126">
        <v>2026</v>
      </c>
    </row>
    <row r="38" spans="3:40" ht="20.100000000000001" customHeight="1">
      <c r="C38" s="126">
        <v>31</v>
      </c>
      <c r="E38" s="126">
        <v>27</v>
      </c>
      <c r="Y38" s="162">
        <v>46183</v>
      </c>
      <c r="Z38" s="126" t="s">
        <v>1079</v>
      </c>
      <c r="AA38" s="126">
        <v>0</v>
      </c>
      <c r="AC38" s="235">
        <v>46225.670752314814</v>
      </c>
      <c r="AD38" s="149">
        <v>1</v>
      </c>
      <c r="AG38" s="126">
        <v>1</v>
      </c>
      <c r="AH38" s="126">
        <v>0</v>
      </c>
      <c r="AI38" s="126">
        <v>0</v>
      </c>
      <c r="AJ38" s="126">
        <v>0</v>
      </c>
      <c r="AK38" s="126">
        <v>1</v>
      </c>
      <c r="AL38" s="126">
        <v>2</v>
      </c>
      <c r="AM38" s="126">
        <v>6</v>
      </c>
      <c r="AN38" s="126">
        <v>2026</v>
      </c>
    </row>
    <row r="39" spans="3:40" ht="20.100000000000001" customHeight="1">
      <c r="C39" s="126">
        <v>32</v>
      </c>
      <c r="E39" s="126">
        <v>28</v>
      </c>
      <c r="Y39" s="162">
        <v>46184</v>
      </c>
      <c r="Z39" s="126" t="s">
        <v>1092</v>
      </c>
      <c r="AA39" s="126">
        <v>0</v>
      </c>
      <c r="AC39" s="235">
        <v>46225.685636574075</v>
      </c>
      <c r="AD39" s="149">
        <v>1</v>
      </c>
      <c r="AG39" s="126">
        <v>1</v>
      </c>
      <c r="AH39" s="126">
        <v>0</v>
      </c>
      <c r="AI39" s="126">
        <v>0</v>
      </c>
      <c r="AJ39" s="126">
        <v>0</v>
      </c>
      <c r="AK39" s="126">
        <v>1</v>
      </c>
      <c r="AL39" s="126">
        <v>2</v>
      </c>
      <c r="AM39" s="126">
        <v>6</v>
      </c>
      <c r="AN39" s="126">
        <v>2026</v>
      </c>
    </row>
    <row r="40" spans="3:40" ht="20.100000000000001" customHeight="1">
      <c r="C40" s="126">
        <v>33</v>
      </c>
      <c r="E40" s="126">
        <v>29</v>
      </c>
      <c r="Y40" s="162">
        <v>46184</v>
      </c>
      <c r="Z40" s="126" t="s">
        <v>1106</v>
      </c>
      <c r="AA40" s="126">
        <v>0</v>
      </c>
      <c r="AC40" s="235">
        <v>46225.798460648148</v>
      </c>
      <c r="AD40" s="149">
        <v>1</v>
      </c>
      <c r="AG40" s="126">
        <v>1</v>
      </c>
      <c r="AH40" s="126">
        <v>0</v>
      </c>
      <c r="AI40" s="126">
        <v>0</v>
      </c>
      <c r="AJ40" s="126">
        <v>0</v>
      </c>
      <c r="AK40" s="126">
        <v>1</v>
      </c>
      <c r="AL40" s="126">
        <v>2</v>
      </c>
      <c r="AM40" s="126">
        <v>6</v>
      </c>
      <c r="AN40" s="126">
        <v>2026</v>
      </c>
    </row>
    <row r="41" spans="3:40" ht="20.100000000000001" customHeight="1">
      <c r="C41" s="126">
        <v>34</v>
      </c>
      <c r="E41" s="126">
        <v>30</v>
      </c>
      <c r="Y41" s="162">
        <v>46184</v>
      </c>
      <c r="Z41" s="126" t="s">
        <v>1160</v>
      </c>
      <c r="AA41" s="126">
        <v>0</v>
      </c>
      <c r="AC41" s="235">
        <v>46226.015185185184</v>
      </c>
      <c r="AD41" s="149">
        <v>1</v>
      </c>
      <c r="AG41" s="126">
        <v>1</v>
      </c>
      <c r="AH41" s="126">
        <v>0</v>
      </c>
      <c r="AI41" s="126">
        <v>0</v>
      </c>
      <c r="AJ41" s="126">
        <v>0</v>
      </c>
      <c r="AK41" s="126">
        <v>1</v>
      </c>
      <c r="AL41" s="126">
        <v>2</v>
      </c>
      <c r="AM41" s="126">
        <v>6</v>
      </c>
      <c r="AN41" s="126">
        <v>2026</v>
      </c>
    </row>
    <row r="42" spans="3:40" ht="20.100000000000001" customHeight="1">
      <c r="C42" s="126">
        <v>35</v>
      </c>
      <c r="E42" s="126">
        <v>31</v>
      </c>
      <c r="Y42" s="162">
        <v>46184</v>
      </c>
      <c r="Z42" s="126" t="s">
        <v>1165</v>
      </c>
      <c r="AA42" s="126">
        <v>0</v>
      </c>
      <c r="AC42" s="235">
        <v>46226.024560185186</v>
      </c>
      <c r="AD42" s="149">
        <v>1</v>
      </c>
      <c r="AG42" s="126">
        <v>1</v>
      </c>
      <c r="AH42" s="126">
        <v>0</v>
      </c>
      <c r="AI42" s="126">
        <v>0</v>
      </c>
      <c r="AJ42" s="126">
        <v>0</v>
      </c>
      <c r="AK42" s="126">
        <v>1</v>
      </c>
      <c r="AL42" s="126">
        <v>2</v>
      </c>
      <c r="AM42" s="126">
        <v>6</v>
      </c>
      <c r="AN42" s="126">
        <v>2026</v>
      </c>
    </row>
    <row r="43" spans="3:40" ht="20.100000000000001" customHeight="1">
      <c r="C43" s="126">
        <v>36</v>
      </c>
      <c r="E43" s="126">
        <v>32</v>
      </c>
      <c r="Y43" s="162">
        <v>46185</v>
      </c>
      <c r="Z43" s="126" t="s">
        <v>1179</v>
      </c>
      <c r="AA43" s="126">
        <v>0</v>
      </c>
      <c r="AC43" s="235">
        <v>46226.247384259259</v>
      </c>
      <c r="AD43" s="149">
        <v>1</v>
      </c>
      <c r="AG43" s="126">
        <v>1</v>
      </c>
      <c r="AH43" s="126">
        <v>0</v>
      </c>
      <c r="AI43" s="126">
        <v>0</v>
      </c>
      <c r="AJ43" s="126">
        <v>0</v>
      </c>
      <c r="AK43" s="126">
        <v>1</v>
      </c>
      <c r="AL43" s="126">
        <v>2</v>
      </c>
      <c r="AM43" s="126">
        <v>6</v>
      </c>
      <c r="AN43" s="126">
        <v>2026</v>
      </c>
    </row>
    <row r="44" spans="3:40" ht="20.100000000000001" customHeight="1">
      <c r="C44" s="126">
        <v>37</v>
      </c>
      <c r="E44" s="126">
        <v>33</v>
      </c>
      <c r="Y44" s="162">
        <v>46185</v>
      </c>
      <c r="Z44" s="126" t="s">
        <v>1250</v>
      </c>
      <c r="AA44" s="126">
        <v>0</v>
      </c>
      <c r="AC44" s="235">
        <v>46226.249699074076</v>
      </c>
      <c r="AD44" s="149">
        <v>1</v>
      </c>
      <c r="AG44" s="126">
        <v>1</v>
      </c>
      <c r="AH44" s="126">
        <v>0</v>
      </c>
      <c r="AI44" s="126">
        <v>0</v>
      </c>
      <c r="AJ44" s="126">
        <v>0</v>
      </c>
      <c r="AK44" s="126">
        <v>1</v>
      </c>
      <c r="AL44" s="126">
        <v>2</v>
      </c>
      <c r="AM44" s="126">
        <v>6</v>
      </c>
      <c r="AN44" s="126">
        <v>2026</v>
      </c>
    </row>
    <row r="45" spans="3:40" ht="20.100000000000001" customHeight="1">
      <c r="C45" s="126">
        <v>38</v>
      </c>
      <c r="E45" s="126">
        <v>34</v>
      </c>
      <c r="Y45" s="162">
        <v>46185</v>
      </c>
      <c r="Z45" s="126" t="s">
        <v>1255</v>
      </c>
      <c r="AA45" s="126">
        <v>0</v>
      </c>
      <c r="AC45" s="235">
        <v>46226.254780092589</v>
      </c>
      <c r="AD45" s="149">
        <v>1</v>
      </c>
      <c r="AG45" s="126">
        <v>1</v>
      </c>
      <c r="AH45" s="126">
        <v>0</v>
      </c>
      <c r="AI45" s="126">
        <v>0</v>
      </c>
      <c r="AJ45" s="126">
        <v>0</v>
      </c>
      <c r="AK45" s="126">
        <v>1</v>
      </c>
      <c r="AL45" s="126">
        <v>2</v>
      </c>
      <c r="AM45" s="126">
        <v>6</v>
      </c>
      <c r="AN45" s="126">
        <v>2026</v>
      </c>
    </row>
    <row r="46" spans="3:40" ht="20.100000000000001" customHeight="1">
      <c r="C46" s="126">
        <v>39</v>
      </c>
      <c r="E46" s="126">
        <v>35</v>
      </c>
      <c r="Y46" s="162">
        <v>46186</v>
      </c>
      <c r="Z46" s="126" t="s">
        <v>1261</v>
      </c>
      <c r="AA46" s="126">
        <v>0</v>
      </c>
      <c r="AC46" s="235">
        <v>46226.263368055559</v>
      </c>
      <c r="AD46" s="149">
        <v>1</v>
      </c>
      <c r="AG46" s="126">
        <v>1</v>
      </c>
      <c r="AH46" s="126">
        <v>0</v>
      </c>
      <c r="AI46" s="126">
        <v>0</v>
      </c>
      <c r="AJ46" s="126">
        <v>0</v>
      </c>
      <c r="AK46" s="126">
        <v>1</v>
      </c>
      <c r="AL46" s="126">
        <v>2</v>
      </c>
      <c r="AM46" s="126">
        <v>6</v>
      </c>
      <c r="AN46" s="126">
        <v>2026</v>
      </c>
    </row>
    <row r="47" spans="3:40" ht="20.100000000000001" customHeight="1">
      <c r="C47" s="126">
        <v>40</v>
      </c>
      <c r="E47" s="126">
        <v>36</v>
      </c>
      <c r="Y47" s="162">
        <v>46186</v>
      </c>
      <c r="Z47" s="126" t="s">
        <v>1269</v>
      </c>
      <c r="AA47" s="126">
        <v>0</v>
      </c>
      <c r="AC47" s="235">
        <v>46226.32471064815</v>
      </c>
      <c r="AD47" s="149">
        <v>1</v>
      </c>
      <c r="AG47" s="126">
        <v>1</v>
      </c>
      <c r="AH47" s="126">
        <v>0</v>
      </c>
      <c r="AI47" s="126">
        <v>0</v>
      </c>
      <c r="AJ47" s="126">
        <v>0</v>
      </c>
      <c r="AK47" s="126">
        <v>1</v>
      </c>
      <c r="AL47" s="126">
        <v>2</v>
      </c>
      <c r="AM47" s="126">
        <v>6</v>
      </c>
      <c r="AN47" s="126">
        <v>2026</v>
      </c>
    </row>
    <row r="48" spans="3:40" ht="20.100000000000001" customHeight="1">
      <c r="C48" s="126">
        <v>41</v>
      </c>
      <c r="E48" s="126">
        <v>37</v>
      </c>
      <c r="Y48" s="162">
        <v>46186</v>
      </c>
      <c r="Z48" s="126" t="s">
        <v>1311</v>
      </c>
      <c r="AA48" s="126">
        <v>0</v>
      </c>
      <c r="AC48" s="235">
        <v>46226.391192129631</v>
      </c>
      <c r="AD48" s="149">
        <v>1</v>
      </c>
      <c r="AG48" s="126">
        <v>1</v>
      </c>
      <c r="AH48" s="126">
        <v>0</v>
      </c>
      <c r="AI48" s="126">
        <v>0</v>
      </c>
      <c r="AJ48" s="126">
        <v>0</v>
      </c>
      <c r="AK48" s="126">
        <v>1</v>
      </c>
      <c r="AL48" s="126">
        <v>2</v>
      </c>
      <c r="AM48" s="126">
        <v>6</v>
      </c>
      <c r="AN48" s="126">
        <v>2026</v>
      </c>
    </row>
    <row r="49" spans="3:40" ht="20.100000000000001" customHeight="1">
      <c r="C49" s="126">
        <v>42</v>
      </c>
      <c r="E49" s="126">
        <v>38</v>
      </c>
      <c r="Y49" s="162">
        <v>46187</v>
      </c>
      <c r="Z49" s="126" t="s">
        <v>1329</v>
      </c>
      <c r="AA49" s="126">
        <v>0</v>
      </c>
      <c r="AC49" s="235">
        <v>46226.400694444441</v>
      </c>
      <c r="AD49" s="149">
        <v>1</v>
      </c>
      <c r="AG49" s="126">
        <v>1</v>
      </c>
      <c r="AH49" s="126">
        <v>0</v>
      </c>
      <c r="AI49" s="126">
        <v>0</v>
      </c>
      <c r="AJ49" s="126">
        <v>0</v>
      </c>
      <c r="AK49" s="126">
        <v>1</v>
      </c>
      <c r="AL49" s="126">
        <v>2</v>
      </c>
      <c r="AM49" s="126">
        <v>6</v>
      </c>
      <c r="AN49" s="126">
        <v>2026</v>
      </c>
    </row>
    <row r="50" spans="3:40" ht="20.100000000000001" customHeight="1">
      <c r="C50" s="126">
        <v>43</v>
      </c>
      <c r="E50" s="126">
        <v>39</v>
      </c>
      <c r="Y50" s="162">
        <v>46187</v>
      </c>
      <c r="Z50" s="126" t="s">
        <v>1334</v>
      </c>
      <c r="AA50" s="126">
        <v>0</v>
      </c>
      <c r="AC50" s="235">
        <v>46226.454305555555</v>
      </c>
      <c r="AD50" s="149">
        <v>1</v>
      </c>
      <c r="AG50" s="126">
        <v>1</v>
      </c>
      <c r="AH50" s="126">
        <v>0</v>
      </c>
      <c r="AI50" s="126">
        <v>0</v>
      </c>
      <c r="AJ50" s="126">
        <v>0</v>
      </c>
      <c r="AK50" s="126">
        <v>1</v>
      </c>
      <c r="AL50" s="126">
        <v>2</v>
      </c>
      <c r="AM50" s="126">
        <v>6</v>
      </c>
      <c r="AN50" s="126">
        <v>2026</v>
      </c>
    </row>
    <row r="51" spans="3:40" ht="20.100000000000001" customHeight="1">
      <c r="C51" s="126">
        <v>44</v>
      </c>
      <c r="E51" s="126">
        <v>40</v>
      </c>
      <c r="Y51" s="162">
        <v>46188</v>
      </c>
      <c r="Z51" s="126" t="s">
        <v>1348</v>
      </c>
      <c r="AA51" s="126">
        <v>0</v>
      </c>
      <c r="AC51" s="235">
        <v>46226.458645833336</v>
      </c>
      <c r="AD51" s="149">
        <v>1</v>
      </c>
      <c r="AG51" s="126">
        <v>1</v>
      </c>
      <c r="AH51" s="126">
        <v>0</v>
      </c>
      <c r="AI51" s="126">
        <v>0</v>
      </c>
      <c r="AJ51" s="126">
        <v>0</v>
      </c>
      <c r="AK51" s="126">
        <v>1</v>
      </c>
      <c r="AL51" s="126">
        <v>3</v>
      </c>
      <c r="AM51" s="126">
        <v>6</v>
      </c>
      <c r="AN51" s="126">
        <v>2026</v>
      </c>
    </row>
    <row r="52" spans="3:40" ht="20.100000000000001" customHeight="1">
      <c r="C52" s="126">
        <v>45</v>
      </c>
      <c r="E52" s="126">
        <v>41</v>
      </c>
      <c r="Y52" s="162">
        <v>46188</v>
      </c>
      <c r="Z52" s="126" t="s">
        <v>1356</v>
      </c>
      <c r="AA52" s="126">
        <v>0</v>
      </c>
      <c r="AC52" s="235">
        <v>46226.472453703704</v>
      </c>
      <c r="AD52" s="149">
        <v>1</v>
      </c>
      <c r="AG52" s="126">
        <v>1</v>
      </c>
      <c r="AH52" s="126">
        <v>0</v>
      </c>
      <c r="AI52" s="126">
        <v>0</v>
      </c>
      <c r="AJ52" s="126">
        <v>0</v>
      </c>
      <c r="AK52" s="126">
        <v>1</v>
      </c>
      <c r="AL52" s="126">
        <v>3</v>
      </c>
      <c r="AM52" s="126">
        <v>6</v>
      </c>
      <c r="AN52" s="126">
        <v>2026</v>
      </c>
    </row>
    <row r="53" spans="3:40" ht="20.100000000000001" customHeight="1">
      <c r="C53" s="126">
        <v>46</v>
      </c>
      <c r="E53" s="126">
        <v>42</v>
      </c>
      <c r="Y53" s="162">
        <v>46188</v>
      </c>
      <c r="Z53" s="126" t="s">
        <v>1389</v>
      </c>
      <c r="AA53" s="126">
        <v>0</v>
      </c>
      <c r="AC53" s="235">
        <v>46226.481585648151</v>
      </c>
      <c r="AD53" s="149">
        <v>1</v>
      </c>
      <c r="AG53" s="126">
        <v>1</v>
      </c>
      <c r="AH53" s="126">
        <v>0</v>
      </c>
      <c r="AI53" s="126">
        <v>0</v>
      </c>
      <c r="AJ53" s="126">
        <v>0</v>
      </c>
      <c r="AK53" s="126">
        <v>1</v>
      </c>
      <c r="AL53" s="126">
        <v>3</v>
      </c>
      <c r="AM53" s="126">
        <v>6</v>
      </c>
      <c r="AN53" s="126">
        <v>2026</v>
      </c>
    </row>
    <row r="54" spans="3:40" ht="20.100000000000001" customHeight="1">
      <c r="C54" s="126">
        <v>47</v>
      </c>
      <c r="E54" s="126">
        <v>43</v>
      </c>
      <c r="Y54" s="162">
        <v>46188</v>
      </c>
      <c r="Z54" s="126" t="s">
        <v>1397</v>
      </c>
      <c r="AA54" s="126">
        <v>0</v>
      </c>
      <c r="AC54" s="235">
        <v>46226.53361111111</v>
      </c>
      <c r="AD54" s="149">
        <v>1</v>
      </c>
      <c r="AG54" s="126">
        <v>1</v>
      </c>
      <c r="AH54" s="126">
        <v>0</v>
      </c>
      <c r="AI54" s="126">
        <v>0</v>
      </c>
      <c r="AJ54" s="126">
        <v>0</v>
      </c>
      <c r="AK54" s="126">
        <v>1</v>
      </c>
      <c r="AL54" s="126">
        <v>3</v>
      </c>
      <c r="AM54" s="126">
        <v>6</v>
      </c>
      <c r="AN54" s="126">
        <v>2026</v>
      </c>
    </row>
    <row r="55" spans="3:40" ht="20.100000000000001" customHeight="1">
      <c r="C55" s="126">
        <v>48</v>
      </c>
      <c r="E55" s="126">
        <v>44</v>
      </c>
      <c r="Y55" s="162">
        <v>46189</v>
      </c>
      <c r="Z55" s="126" t="s">
        <v>1430</v>
      </c>
      <c r="AA55" s="126">
        <v>0</v>
      </c>
      <c r="AC55" s="235">
        <v>46226.670694444445</v>
      </c>
      <c r="AD55" s="149">
        <v>1</v>
      </c>
      <c r="AG55" s="126">
        <v>1</v>
      </c>
      <c r="AH55" s="126">
        <v>0</v>
      </c>
      <c r="AI55" s="126">
        <v>0</v>
      </c>
      <c r="AJ55" s="126">
        <v>0</v>
      </c>
      <c r="AK55" s="126">
        <v>1</v>
      </c>
      <c r="AL55" s="126">
        <v>3</v>
      </c>
      <c r="AM55" s="126">
        <v>6</v>
      </c>
      <c r="AN55" s="126">
        <v>2026</v>
      </c>
    </row>
    <row r="56" spans="3:40" ht="20.100000000000001" customHeight="1">
      <c r="C56" s="126">
        <v>49</v>
      </c>
      <c r="E56" s="126">
        <v>45</v>
      </c>
      <c r="Y56" s="162">
        <v>46189</v>
      </c>
      <c r="Z56" s="126" t="s">
        <v>1435</v>
      </c>
      <c r="AA56" s="126">
        <v>0</v>
      </c>
      <c r="AC56" s="235">
        <v>46226.673831018517</v>
      </c>
      <c r="AD56" s="149">
        <v>1</v>
      </c>
      <c r="AG56" s="126">
        <v>1</v>
      </c>
      <c r="AH56" s="126">
        <v>0</v>
      </c>
      <c r="AI56" s="126">
        <v>0</v>
      </c>
      <c r="AJ56" s="126">
        <v>0</v>
      </c>
      <c r="AK56" s="126">
        <v>1</v>
      </c>
      <c r="AL56" s="126">
        <v>3</v>
      </c>
      <c r="AM56" s="126">
        <v>6</v>
      </c>
      <c r="AN56" s="126">
        <v>2026</v>
      </c>
    </row>
    <row r="57" spans="3:40" ht="20.100000000000001" customHeight="1">
      <c r="C57" s="126">
        <v>50</v>
      </c>
      <c r="E57" s="126">
        <v>46</v>
      </c>
      <c r="Y57" s="162">
        <v>46189</v>
      </c>
      <c r="Z57" s="126" t="s">
        <v>1443</v>
      </c>
      <c r="AA57" s="126">
        <v>0</v>
      </c>
      <c r="AC57" s="235">
        <v>46226.685115740744</v>
      </c>
      <c r="AD57" s="149">
        <v>1</v>
      </c>
      <c r="AG57" s="126">
        <v>1</v>
      </c>
      <c r="AH57" s="126">
        <v>0</v>
      </c>
      <c r="AI57" s="126">
        <v>0</v>
      </c>
      <c r="AJ57" s="126">
        <v>0</v>
      </c>
      <c r="AK57" s="126">
        <v>1</v>
      </c>
      <c r="AL57" s="126">
        <v>3</v>
      </c>
      <c r="AM57" s="126">
        <v>6</v>
      </c>
      <c r="AN57" s="126">
        <v>2026</v>
      </c>
    </row>
    <row r="58" spans="3:40" ht="20.100000000000001" customHeight="1">
      <c r="C58" s="126">
        <v>51</v>
      </c>
      <c r="E58" s="126">
        <v>47</v>
      </c>
      <c r="Y58" s="162">
        <v>46190</v>
      </c>
      <c r="Z58" s="126" t="s">
        <v>1461</v>
      </c>
      <c r="AA58" s="126">
        <v>0</v>
      </c>
      <c r="AC58" s="235">
        <v>46226.695104166669</v>
      </c>
      <c r="AD58" s="149">
        <v>1</v>
      </c>
      <c r="AG58" s="126">
        <v>1</v>
      </c>
      <c r="AH58" s="126">
        <v>0</v>
      </c>
      <c r="AI58" s="126">
        <v>0</v>
      </c>
      <c r="AJ58" s="126">
        <v>0</v>
      </c>
      <c r="AK58" s="126">
        <v>1</v>
      </c>
      <c r="AL58" s="126">
        <v>3</v>
      </c>
      <c r="AM58" s="126">
        <v>6</v>
      </c>
      <c r="AN58" s="126">
        <v>2026</v>
      </c>
    </row>
    <row r="59" spans="3:40" ht="20.100000000000001" customHeight="1">
      <c r="C59" s="126">
        <v>52</v>
      </c>
      <c r="E59" s="126">
        <v>48</v>
      </c>
      <c r="Y59" s="162">
        <v>46190</v>
      </c>
      <c r="Z59" s="126" t="s">
        <v>1472</v>
      </c>
      <c r="AA59" s="126">
        <v>0</v>
      </c>
      <c r="AC59" s="235">
        <v>46226.702476851853</v>
      </c>
      <c r="AD59" s="149">
        <v>1</v>
      </c>
      <c r="AG59" s="126">
        <v>1</v>
      </c>
      <c r="AH59" s="126">
        <v>0</v>
      </c>
      <c r="AI59" s="126">
        <v>0</v>
      </c>
      <c r="AJ59" s="126">
        <v>0</v>
      </c>
      <c r="AK59" s="126">
        <v>1</v>
      </c>
      <c r="AL59" s="126">
        <v>3</v>
      </c>
      <c r="AM59" s="126">
        <v>6</v>
      </c>
      <c r="AN59" s="126">
        <v>2026</v>
      </c>
    </row>
    <row r="60" spans="3:40" ht="20.100000000000001" customHeight="1">
      <c r="C60" s="126">
        <v>53</v>
      </c>
      <c r="E60" s="126">
        <v>49</v>
      </c>
      <c r="Y60" s="162">
        <v>46190</v>
      </c>
      <c r="Z60" s="126" t="s">
        <v>1483</v>
      </c>
      <c r="AA60" s="126">
        <v>0</v>
      </c>
      <c r="AC60" s="235">
        <v>46226.759652777779</v>
      </c>
      <c r="AD60" s="149">
        <v>1</v>
      </c>
      <c r="AG60" s="126">
        <v>1</v>
      </c>
      <c r="AH60" s="126">
        <v>0</v>
      </c>
      <c r="AI60" s="126">
        <v>0</v>
      </c>
      <c r="AJ60" s="126">
        <v>0</v>
      </c>
      <c r="AK60" s="126">
        <v>1</v>
      </c>
      <c r="AL60" s="126">
        <v>3</v>
      </c>
      <c r="AM60" s="126">
        <v>6</v>
      </c>
      <c r="AN60" s="126">
        <v>2026</v>
      </c>
    </row>
    <row r="61" spans="3:40" ht="20.100000000000001" customHeight="1">
      <c r="C61" s="126">
        <v>54</v>
      </c>
      <c r="E61" s="126">
        <v>50</v>
      </c>
      <c r="Y61" s="162">
        <v>46191</v>
      </c>
      <c r="Z61" s="126" t="s">
        <v>1504</v>
      </c>
      <c r="AA61" s="126">
        <v>0</v>
      </c>
      <c r="AC61" s="235">
        <v>46226.767488425925</v>
      </c>
      <c r="AD61" s="149">
        <v>1</v>
      </c>
      <c r="AG61" s="126">
        <v>1</v>
      </c>
      <c r="AH61" s="126">
        <v>0</v>
      </c>
      <c r="AI61" s="126">
        <v>0</v>
      </c>
      <c r="AJ61" s="126">
        <v>0</v>
      </c>
      <c r="AK61" s="126">
        <v>1</v>
      </c>
      <c r="AL61" s="126">
        <v>3</v>
      </c>
      <c r="AM61" s="126">
        <v>6</v>
      </c>
      <c r="AN61" s="126">
        <v>2026</v>
      </c>
    </row>
    <row r="62" spans="3:40" ht="20.100000000000001" customHeight="1">
      <c r="C62" s="126">
        <v>55</v>
      </c>
      <c r="E62" s="126">
        <v>51</v>
      </c>
      <c r="Y62" s="162">
        <v>46191</v>
      </c>
      <c r="Z62" s="126" t="s">
        <v>1537</v>
      </c>
      <c r="AA62" s="126">
        <v>0</v>
      </c>
      <c r="AC62" s="235">
        <v>46226.775509259256</v>
      </c>
      <c r="AD62" s="149">
        <v>1</v>
      </c>
      <c r="AG62" s="126">
        <v>1</v>
      </c>
      <c r="AH62" s="126">
        <v>0</v>
      </c>
      <c r="AI62" s="126">
        <v>0</v>
      </c>
      <c r="AJ62" s="126">
        <v>0</v>
      </c>
      <c r="AK62" s="126">
        <v>1</v>
      </c>
      <c r="AL62" s="126">
        <v>3</v>
      </c>
      <c r="AM62" s="126">
        <v>6</v>
      </c>
      <c r="AN62" s="126">
        <v>2026</v>
      </c>
    </row>
    <row r="63" spans="3:40" ht="20.100000000000001" customHeight="1">
      <c r="C63" s="126">
        <v>56</v>
      </c>
      <c r="E63" s="126">
        <v>52</v>
      </c>
      <c r="Y63" s="162">
        <v>46191</v>
      </c>
      <c r="Z63" s="126" t="s">
        <v>1542</v>
      </c>
      <c r="AA63" s="126">
        <v>0</v>
      </c>
      <c r="AC63" s="235">
        <v>46226.782534722224</v>
      </c>
      <c r="AD63" s="149">
        <v>1</v>
      </c>
      <c r="AG63" s="126">
        <v>1</v>
      </c>
      <c r="AH63" s="126">
        <v>0</v>
      </c>
      <c r="AI63" s="126">
        <v>0</v>
      </c>
      <c r="AJ63" s="126">
        <v>0</v>
      </c>
      <c r="AK63" s="126">
        <v>1</v>
      </c>
      <c r="AL63" s="126">
        <v>3</v>
      </c>
      <c r="AM63" s="126">
        <v>6</v>
      </c>
      <c r="AN63" s="126">
        <v>2026</v>
      </c>
    </row>
    <row r="64" spans="3:40" ht="20.100000000000001" customHeight="1">
      <c r="C64" s="126">
        <v>57</v>
      </c>
      <c r="E64" s="126">
        <v>53</v>
      </c>
      <c r="Y64" s="162">
        <v>46192</v>
      </c>
      <c r="Z64" s="126" t="s">
        <v>1563</v>
      </c>
      <c r="AA64" s="126">
        <v>0</v>
      </c>
      <c r="AC64" s="235">
        <v>46226.786620370367</v>
      </c>
      <c r="AD64" s="149">
        <v>1</v>
      </c>
      <c r="AG64" s="126">
        <v>1</v>
      </c>
      <c r="AH64" s="126">
        <v>0</v>
      </c>
      <c r="AI64" s="126">
        <v>0</v>
      </c>
      <c r="AJ64" s="126">
        <v>0</v>
      </c>
      <c r="AK64" s="126">
        <v>1</v>
      </c>
      <c r="AL64" s="126">
        <v>3</v>
      </c>
      <c r="AM64" s="126">
        <v>6</v>
      </c>
      <c r="AN64" s="126">
        <v>2026</v>
      </c>
    </row>
    <row r="65" spans="3:40" ht="20.100000000000001" customHeight="1">
      <c r="C65" s="126">
        <v>58</v>
      </c>
      <c r="E65" s="126">
        <v>54</v>
      </c>
      <c r="Y65" s="162">
        <v>46192</v>
      </c>
      <c r="Z65" s="126" t="s">
        <v>1574</v>
      </c>
      <c r="AA65" s="126">
        <v>0</v>
      </c>
      <c r="AC65" s="235">
        <v>46226.787731481483</v>
      </c>
      <c r="AD65" s="149">
        <v>1</v>
      </c>
      <c r="AG65" s="126">
        <v>1</v>
      </c>
      <c r="AH65" s="126">
        <v>0</v>
      </c>
      <c r="AI65" s="126">
        <v>0</v>
      </c>
      <c r="AJ65" s="126">
        <v>0</v>
      </c>
      <c r="AK65" s="126">
        <v>1</v>
      </c>
      <c r="AL65" s="126">
        <v>3</v>
      </c>
      <c r="AM65" s="126">
        <v>6</v>
      </c>
      <c r="AN65" s="126">
        <v>2026</v>
      </c>
    </row>
    <row r="66" spans="3:40" ht="20.100000000000001" customHeight="1">
      <c r="C66" s="126">
        <v>59</v>
      </c>
      <c r="E66" s="126">
        <v>55</v>
      </c>
      <c r="Y66" s="162">
        <v>46192</v>
      </c>
      <c r="Z66" s="126" t="s">
        <v>1582</v>
      </c>
      <c r="AA66" s="126">
        <v>0</v>
      </c>
      <c r="AC66" s="235">
        <v>46226.809293981481</v>
      </c>
      <c r="AD66" s="149">
        <v>1</v>
      </c>
      <c r="AG66" s="126">
        <v>1</v>
      </c>
      <c r="AH66" s="126">
        <v>0</v>
      </c>
      <c r="AI66" s="126">
        <v>0</v>
      </c>
      <c r="AJ66" s="126">
        <v>0</v>
      </c>
      <c r="AK66" s="126">
        <v>1</v>
      </c>
      <c r="AL66" s="126">
        <v>3</v>
      </c>
      <c r="AM66" s="126">
        <v>6</v>
      </c>
      <c r="AN66" s="126">
        <v>2026</v>
      </c>
    </row>
    <row r="67" spans="3:40" ht="20.100000000000001" customHeight="1">
      <c r="C67" s="126">
        <v>60</v>
      </c>
      <c r="E67" s="126">
        <v>56</v>
      </c>
      <c r="Y67" s="162">
        <v>46193</v>
      </c>
      <c r="Z67" s="126" t="s">
        <v>1594</v>
      </c>
      <c r="AA67" s="126">
        <v>0</v>
      </c>
      <c r="AC67" s="235">
        <v>46226.811782407407</v>
      </c>
      <c r="AD67" s="149">
        <v>1</v>
      </c>
      <c r="AG67" s="126">
        <v>1</v>
      </c>
      <c r="AH67" s="126">
        <v>0</v>
      </c>
      <c r="AI67" s="126">
        <v>0</v>
      </c>
      <c r="AJ67" s="126">
        <v>0</v>
      </c>
      <c r="AK67" s="126">
        <v>1</v>
      </c>
      <c r="AL67" s="126">
        <v>3</v>
      </c>
      <c r="AM67" s="126">
        <v>6</v>
      </c>
      <c r="AN67" s="126">
        <v>2026</v>
      </c>
    </row>
    <row r="68" spans="3:40" ht="20.100000000000001" customHeight="1">
      <c r="C68" s="126">
        <v>61</v>
      </c>
      <c r="E68" s="126">
        <v>57</v>
      </c>
      <c r="Y68" s="162">
        <v>46193</v>
      </c>
      <c r="Z68" s="126" t="s">
        <v>1599</v>
      </c>
      <c r="AA68" s="126">
        <v>0</v>
      </c>
      <c r="AC68" s="235">
        <v>46226.869756944441</v>
      </c>
      <c r="AD68" s="149">
        <v>1</v>
      </c>
      <c r="AG68" s="126">
        <v>1</v>
      </c>
      <c r="AH68" s="126">
        <v>0</v>
      </c>
      <c r="AI68" s="126">
        <v>0</v>
      </c>
      <c r="AJ68" s="126">
        <v>0</v>
      </c>
      <c r="AK68" s="126">
        <v>1</v>
      </c>
      <c r="AL68" s="126">
        <v>3</v>
      </c>
      <c r="AM68" s="126">
        <v>6</v>
      </c>
      <c r="AN68" s="126">
        <v>2026</v>
      </c>
    </row>
    <row r="69" spans="3:40" ht="20.100000000000001" customHeight="1">
      <c r="C69" s="126">
        <v>62</v>
      </c>
      <c r="E69" s="126">
        <v>58</v>
      </c>
      <c r="Y69" s="162">
        <v>46193</v>
      </c>
      <c r="Z69" s="126" t="s">
        <v>1619</v>
      </c>
      <c r="AA69" s="126">
        <v>0</v>
      </c>
      <c r="AC69" s="235">
        <v>46226.870567129627</v>
      </c>
      <c r="AD69" s="149">
        <v>1</v>
      </c>
      <c r="AG69" s="126">
        <v>1</v>
      </c>
      <c r="AH69" s="126">
        <v>0</v>
      </c>
      <c r="AI69" s="126">
        <v>0</v>
      </c>
      <c r="AJ69" s="126">
        <v>0</v>
      </c>
      <c r="AK69" s="126">
        <v>1</v>
      </c>
      <c r="AL69" s="126">
        <v>3</v>
      </c>
      <c r="AM69" s="126">
        <v>6</v>
      </c>
      <c r="AN69" s="126">
        <v>2026</v>
      </c>
    </row>
    <row r="70" spans="3:40" ht="20.100000000000001" customHeight="1">
      <c r="C70" s="126">
        <v>63</v>
      </c>
      <c r="E70" s="126">
        <v>59</v>
      </c>
      <c r="Y70" s="162">
        <v>46194</v>
      </c>
      <c r="Z70" s="126" t="s">
        <v>1625</v>
      </c>
      <c r="AA70" s="126">
        <v>0</v>
      </c>
      <c r="AC70" s="235">
        <v>46226.878495370373</v>
      </c>
      <c r="AD70" s="149">
        <v>1</v>
      </c>
      <c r="AG70" s="126">
        <v>1</v>
      </c>
      <c r="AH70" s="126">
        <v>0</v>
      </c>
      <c r="AI70" s="126">
        <v>0</v>
      </c>
      <c r="AJ70" s="126">
        <v>0</v>
      </c>
      <c r="AK70" s="126">
        <v>1</v>
      </c>
      <c r="AL70" s="126">
        <v>3</v>
      </c>
      <c r="AM70" s="126">
        <v>6</v>
      </c>
      <c r="AN70" s="126">
        <v>2026</v>
      </c>
    </row>
    <row r="71" spans="3:40" ht="20.100000000000001" customHeight="1">
      <c r="C71" s="126">
        <v>64</v>
      </c>
      <c r="E71" s="126">
        <v>60</v>
      </c>
      <c r="Y71" s="162">
        <v>46194</v>
      </c>
      <c r="Z71" s="126" t="s">
        <v>1633</v>
      </c>
      <c r="AA71" s="126">
        <v>0</v>
      </c>
      <c r="AC71" s="235">
        <v>46226.879999999997</v>
      </c>
      <c r="AD71" s="149">
        <v>1</v>
      </c>
      <c r="AG71" s="126">
        <v>1</v>
      </c>
      <c r="AH71" s="126">
        <v>0</v>
      </c>
      <c r="AI71" s="126">
        <v>0</v>
      </c>
      <c r="AJ71" s="126">
        <v>0</v>
      </c>
      <c r="AK71" s="126">
        <v>1</v>
      </c>
      <c r="AL71" s="126">
        <v>3</v>
      </c>
      <c r="AM71" s="126">
        <v>6</v>
      </c>
      <c r="AN71" s="126">
        <v>2026</v>
      </c>
    </row>
    <row r="72" spans="3:40" ht="20.100000000000001" customHeight="1">
      <c r="C72" s="126">
        <v>65</v>
      </c>
      <c r="E72" s="126">
        <v>61</v>
      </c>
      <c r="Y72" s="162">
        <v>46194</v>
      </c>
      <c r="Z72" s="126" t="s">
        <v>1641</v>
      </c>
      <c r="AA72" s="126">
        <v>0</v>
      </c>
      <c r="AC72" s="235">
        <v>46226.885972222219</v>
      </c>
      <c r="AD72" s="149">
        <v>1</v>
      </c>
      <c r="AG72" s="126">
        <v>1</v>
      </c>
      <c r="AH72" s="126">
        <v>0</v>
      </c>
      <c r="AI72" s="126">
        <v>0</v>
      </c>
      <c r="AJ72" s="126">
        <v>0</v>
      </c>
      <c r="AK72" s="126">
        <v>1</v>
      </c>
      <c r="AL72" s="126">
        <v>3</v>
      </c>
      <c r="AM72" s="126">
        <v>6</v>
      </c>
      <c r="AN72" s="126">
        <v>2026</v>
      </c>
    </row>
    <row r="73" spans="3:40" ht="20.100000000000001" customHeight="1">
      <c r="C73" s="126">
        <v>66</v>
      </c>
      <c r="E73" s="126">
        <v>62</v>
      </c>
      <c r="Y73" s="162">
        <v>46195</v>
      </c>
      <c r="Z73" s="126" t="s">
        <v>1653</v>
      </c>
      <c r="AA73" s="126">
        <v>0</v>
      </c>
      <c r="AC73" s="235">
        <v>46226.899259259262</v>
      </c>
      <c r="AD73" s="149">
        <v>1</v>
      </c>
      <c r="AG73" s="126">
        <v>1</v>
      </c>
      <c r="AH73" s="126">
        <v>0</v>
      </c>
      <c r="AI73" s="126">
        <v>0</v>
      </c>
      <c r="AJ73" s="126">
        <v>0</v>
      </c>
      <c r="AK73" s="126">
        <v>1</v>
      </c>
      <c r="AL73" s="126">
        <v>4</v>
      </c>
      <c r="AM73" s="126">
        <v>6</v>
      </c>
      <c r="AN73" s="126">
        <v>2026</v>
      </c>
    </row>
    <row r="74" spans="3:40" ht="20.100000000000001" customHeight="1">
      <c r="C74" s="126">
        <v>67</v>
      </c>
      <c r="E74" s="126">
        <v>63</v>
      </c>
      <c r="Y74" s="162">
        <v>46195</v>
      </c>
      <c r="Z74" s="126" t="s">
        <v>1661</v>
      </c>
      <c r="AA74" s="126">
        <v>0</v>
      </c>
      <c r="AC74" s="235">
        <v>46226.902592592596</v>
      </c>
      <c r="AD74" s="149">
        <v>1</v>
      </c>
      <c r="AG74" s="126">
        <v>1</v>
      </c>
      <c r="AH74" s="126">
        <v>0</v>
      </c>
      <c r="AI74" s="126">
        <v>0</v>
      </c>
      <c r="AJ74" s="126">
        <v>0</v>
      </c>
      <c r="AK74" s="126">
        <v>1</v>
      </c>
      <c r="AL74" s="126">
        <v>4</v>
      </c>
      <c r="AM74" s="126">
        <v>6</v>
      </c>
      <c r="AN74" s="126">
        <v>2026</v>
      </c>
    </row>
    <row r="75" spans="3:40" ht="20.100000000000001" customHeight="1">
      <c r="C75" s="126">
        <v>68</v>
      </c>
      <c r="E75" s="126">
        <v>64</v>
      </c>
      <c r="Y75" s="162">
        <v>46195</v>
      </c>
      <c r="Z75" s="126" t="s">
        <v>1669</v>
      </c>
      <c r="AA75" s="126">
        <v>0</v>
      </c>
      <c r="AC75" s="235">
        <v>46226.922083333331</v>
      </c>
      <c r="AD75" s="149">
        <v>1</v>
      </c>
      <c r="AG75" s="126">
        <v>1</v>
      </c>
      <c r="AH75" s="126">
        <v>0</v>
      </c>
      <c r="AI75" s="126">
        <v>0</v>
      </c>
      <c r="AJ75" s="126">
        <v>0</v>
      </c>
      <c r="AK75" s="126">
        <v>1</v>
      </c>
      <c r="AL75" s="126">
        <v>4</v>
      </c>
      <c r="AM75" s="126">
        <v>6</v>
      </c>
      <c r="AN75" s="126">
        <v>2026</v>
      </c>
    </row>
    <row r="76" spans="3:40" ht="20.100000000000001" customHeight="1">
      <c r="C76" s="126">
        <v>69</v>
      </c>
      <c r="E76" s="126">
        <v>65</v>
      </c>
      <c r="Y76" s="162">
        <v>46195</v>
      </c>
      <c r="Z76" s="126" t="s">
        <v>1683</v>
      </c>
      <c r="AA76" s="126">
        <v>0</v>
      </c>
      <c r="AC76" s="235">
        <v>46226.923055555555</v>
      </c>
      <c r="AD76" s="149">
        <v>1</v>
      </c>
      <c r="AG76" s="126">
        <v>1</v>
      </c>
      <c r="AH76" s="126">
        <v>0</v>
      </c>
      <c r="AI76" s="126">
        <v>0</v>
      </c>
      <c r="AJ76" s="126">
        <v>0</v>
      </c>
      <c r="AK76" s="126">
        <v>1</v>
      </c>
      <c r="AL76" s="126">
        <v>4</v>
      </c>
      <c r="AM76" s="126">
        <v>6</v>
      </c>
      <c r="AN76" s="126">
        <v>2026</v>
      </c>
    </row>
    <row r="77" spans="3:40" ht="20.100000000000001" customHeight="1">
      <c r="C77" s="126">
        <v>70</v>
      </c>
      <c r="E77" s="126">
        <v>66</v>
      </c>
      <c r="Y77" s="162">
        <v>46195</v>
      </c>
      <c r="Z77" s="126" t="s">
        <v>1688</v>
      </c>
      <c r="AA77" s="126">
        <v>0</v>
      </c>
      <c r="AC77" s="235">
        <v>46226.932488425926</v>
      </c>
      <c r="AD77" s="149">
        <v>1</v>
      </c>
      <c r="AG77" s="126">
        <v>1</v>
      </c>
      <c r="AH77" s="126">
        <v>0</v>
      </c>
      <c r="AI77" s="126">
        <v>0</v>
      </c>
      <c r="AJ77" s="126">
        <v>0</v>
      </c>
      <c r="AK77" s="126">
        <v>1</v>
      </c>
      <c r="AL77" s="126">
        <v>4</v>
      </c>
      <c r="AM77" s="126">
        <v>6</v>
      </c>
      <c r="AN77" s="126">
        <v>2026</v>
      </c>
    </row>
    <row r="78" spans="3:40" ht="20.100000000000001" customHeight="1">
      <c r="C78" s="126">
        <v>71</v>
      </c>
      <c r="E78" s="126">
        <v>67</v>
      </c>
      <c r="Y78" s="162">
        <v>46196</v>
      </c>
      <c r="Z78" s="126" t="s">
        <v>1700</v>
      </c>
      <c r="AA78" s="126">
        <v>0</v>
      </c>
      <c r="AC78" s="235">
        <v>46226.942037037035</v>
      </c>
      <c r="AD78" s="149">
        <v>1</v>
      </c>
      <c r="AG78" s="126">
        <v>1</v>
      </c>
      <c r="AH78" s="126">
        <v>0</v>
      </c>
      <c r="AI78" s="126">
        <v>0</v>
      </c>
      <c r="AJ78" s="126">
        <v>0</v>
      </c>
      <c r="AK78" s="126">
        <v>1</v>
      </c>
      <c r="AL78" s="126">
        <v>4</v>
      </c>
      <c r="AM78" s="126">
        <v>6</v>
      </c>
      <c r="AN78" s="126">
        <v>2026</v>
      </c>
    </row>
    <row r="79" spans="3:40" ht="20.100000000000001" customHeight="1">
      <c r="C79" s="126">
        <v>72</v>
      </c>
      <c r="E79" s="126">
        <v>68</v>
      </c>
      <c r="Y79" s="162">
        <v>46196</v>
      </c>
      <c r="Z79" s="126" t="s">
        <v>1716</v>
      </c>
      <c r="AA79" s="126">
        <v>0</v>
      </c>
      <c r="AC79" s="235">
        <v>46226.947048611109</v>
      </c>
      <c r="AD79" s="149">
        <v>1</v>
      </c>
      <c r="AG79" s="126">
        <v>1</v>
      </c>
      <c r="AH79" s="126">
        <v>0</v>
      </c>
      <c r="AI79" s="126">
        <v>0</v>
      </c>
      <c r="AJ79" s="126">
        <v>0</v>
      </c>
      <c r="AK79" s="126">
        <v>1</v>
      </c>
      <c r="AL79" s="126">
        <v>4</v>
      </c>
      <c r="AM79" s="126">
        <v>6</v>
      </c>
      <c r="AN79" s="126">
        <v>2026</v>
      </c>
    </row>
    <row r="80" spans="3:40" ht="20.100000000000001" customHeight="1">
      <c r="C80" s="126">
        <v>73</v>
      </c>
      <c r="E80" s="126">
        <v>69</v>
      </c>
      <c r="Y80" s="162">
        <v>46197</v>
      </c>
      <c r="Z80" s="126" t="s">
        <v>1722</v>
      </c>
      <c r="AA80" s="126">
        <v>0</v>
      </c>
      <c r="AC80" s="235">
        <v>46226.956666666665</v>
      </c>
      <c r="AD80" s="149">
        <v>1</v>
      </c>
      <c r="AG80" s="126">
        <v>1</v>
      </c>
      <c r="AH80" s="126">
        <v>0</v>
      </c>
      <c r="AI80" s="126">
        <v>0</v>
      </c>
      <c r="AJ80" s="126">
        <v>0</v>
      </c>
      <c r="AK80" s="126">
        <v>1</v>
      </c>
      <c r="AL80" s="126">
        <v>4</v>
      </c>
      <c r="AM80" s="126">
        <v>6</v>
      </c>
      <c r="AN80" s="126">
        <v>2026</v>
      </c>
    </row>
    <row r="81" spans="3:40" ht="20.100000000000001" customHeight="1">
      <c r="C81" s="126">
        <v>74</v>
      </c>
      <c r="E81" s="126">
        <v>70</v>
      </c>
      <c r="Y81" s="162">
        <v>46197</v>
      </c>
      <c r="Z81" s="126" t="s">
        <v>1730</v>
      </c>
      <c r="AA81" s="126">
        <v>0</v>
      </c>
      <c r="AC81" s="235">
        <v>46226.960601851853</v>
      </c>
      <c r="AD81" s="149">
        <v>1</v>
      </c>
      <c r="AG81" s="126">
        <v>1</v>
      </c>
      <c r="AH81" s="126">
        <v>0</v>
      </c>
      <c r="AI81" s="126">
        <v>0</v>
      </c>
      <c r="AJ81" s="126">
        <v>0</v>
      </c>
      <c r="AK81" s="126">
        <v>1</v>
      </c>
      <c r="AL81" s="126">
        <v>4</v>
      </c>
      <c r="AM81" s="126">
        <v>6</v>
      </c>
      <c r="AN81" s="126">
        <v>2026</v>
      </c>
    </row>
    <row r="82" spans="3:40" ht="20.100000000000001" customHeight="1">
      <c r="C82" s="126">
        <v>75</v>
      </c>
      <c r="E82" s="126">
        <v>71</v>
      </c>
      <c r="Y82" s="162">
        <v>46197</v>
      </c>
      <c r="Z82" s="126" t="s">
        <v>1738</v>
      </c>
      <c r="AA82" s="126">
        <v>0</v>
      </c>
      <c r="AC82" s="235">
        <v>46226.967905092592</v>
      </c>
      <c r="AD82" s="149">
        <v>1</v>
      </c>
      <c r="AG82" s="126">
        <v>1</v>
      </c>
      <c r="AH82" s="126">
        <v>0</v>
      </c>
      <c r="AI82" s="126">
        <v>0</v>
      </c>
      <c r="AJ82" s="126">
        <v>0</v>
      </c>
      <c r="AK82" s="126">
        <v>1</v>
      </c>
      <c r="AL82" s="126">
        <v>4</v>
      </c>
      <c r="AM82" s="126">
        <v>6</v>
      </c>
      <c r="AN82" s="126">
        <v>2026</v>
      </c>
    </row>
    <row r="83" spans="3:40" ht="20.100000000000001" customHeight="1">
      <c r="C83" s="126">
        <v>76</v>
      </c>
      <c r="E83" s="126">
        <v>72</v>
      </c>
      <c r="Y83" s="162">
        <v>46197</v>
      </c>
      <c r="Z83" s="126" t="s">
        <v>1756</v>
      </c>
      <c r="AA83" s="126">
        <v>0</v>
      </c>
      <c r="AC83" s="235">
        <v>46226.975428240738</v>
      </c>
      <c r="AD83" s="149">
        <v>1</v>
      </c>
      <c r="AG83" s="126">
        <v>1</v>
      </c>
      <c r="AH83" s="126">
        <v>0</v>
      </c>
      <c r="AI83" s="126">
        <v>0</v>
      </c>
      <c r="AJ83" s="126">
        <v>0</v>
      </c>
      <c r="AK83" s="126">
        <v>1</v>
      </c>
      <c r="AL83" s="126">
        <v>4</v>
      </c>
      <c r="AM83" s="126">
        <v>6</v>
      </c>
      <c r="AN83" s="126">
        <v>2026</v>
      </c>
    </row>
    <row r="84" spans="3:40" ht="20.100000000000001" customHeight="1">
      <c r="C84" s="126">
        <v>77</v>
      </c>
      <c r="E84" s="126">
        <v>73</v>
      </c>
      <c r="Y84" s="162">
        <v>46198</v>
      </c>
      <c r="Z84" s="126" t="s">
        <v>1771</v>
      </c>
      <c r="AA84" s="126">
        <v>0</v>
      </c>
      <c r="AC84" s="235">
        <v>46226.983715277776</v>
      </c>
      <c r="AD84" s="149">
        <v>1</v>
      </c>
      <c r="AG84" s="126">
        <v>1</v>
      </c>
      <c r="AH84" s="126">
        <v>0</v>
      </c>
      <c r="AI84" s="126">
        <v>0</v>
      </c>
      <c r="AJ84" s="126">
        <v>0</v>
      </c>
      <c r="AK84" s="126">
        <v>1</v>
      </c>
      <c r="AL84" s="126">
        <v>4</v>
      </c>
      <c r="AM84" s="126">
        <v>6</v>
      </c>
      <c r="AN84" s="126">
        <v>2026</v>
      </c>
    </row>
    <row r="85" spans="3:40" ht="20.100000000000001" customHeight="1">
      <c r="C85" s="126">
        <v>78</v>
      </c>
      <c r="E85" s="126">
        <v>74</v>
      </c>
      <c r="Y85" s="162">
        <v>46198</v>
      </c>
      <c r="Z85" s="126" t="s">
        <v>1782</v>
      </c>
      <c r="AA85" s="126">
        <v>0</v>
      </c>
      <c r="AC85" s="235">
        <v>46227.027627314812</v>
      </c>
      <c r="AD85" s="149">
        <v>1</v>
      </c>
      <c r="AG85" s="126">
        <v>1</v>
      </c>
      <c r="AH85" s="126">
        <v>0</v>
      </c>
      <c r="AI85" s="126">
        <v>0</v>
      </c>
      <c r="AJ85" s="126">
        <v>0</v>
      </c>
      <c r="AK85" s="126">
        <v>1</v>
      </c>
      <c r="AL85" s="126">
        <v>4</v>
      </c>
      <c r="AM85" s="126">
        <v>6</v>
      </c>
      <c r="AN85" s="126">
        <v>2026</v>
      </c>
    </row>
    <row r="86" spans="3:40" ht="20.100000000000001" customHeight="1">
      <c r="C86" s="126">
        <v>79</v>
      </c>
      <c r="E86" s="126">
        <v>75</v>
      </c>
      <c r="Y86" s="162">
        <v>46198</v>
      </c>
      <c r="Z86" s="126" t="s">
        <v>1799</v>
      </c>
      <c r="AA86" s="126">
        <v>0</v>
      </c>
      <c r="AC86" s="235">
        <v>46227.038923611108</v>
      </c>
      <c r="AD86" s="149">
        <v>1</v>
      </c>
      <c r="AG86" s="126">
        <v>1</v>
      </c>
      <c r="AH86" s="126">
        <v>0</v>
      </c>
      <c r="AI86" s="126">
        <v>0</v>
      </c>
      <c r="AJ86" s="126">
        <v>0</v>
      </c>
      <c r="AK86" s="126">
        <v>1</v>
      </c>
      <c r="AL86" s="126">
        <v>4</v>
      </c>
      <c r="AM86" s="126">
        <v>6</v>
      </c>
      <c r="AN86" s="126">
        <v>2026</v>
      </c>
    </row>
    <row r="87" spans="3:40" ht="20.100000000000001" customHeight="1">
      <c r="C87" s="126">
        <v>80</v>
      </c>
      <c r="E87" s="126">
        <v>76</v>
      </c>
      <c r="Y87" s="162">
        <v>46198</v>
      </c>
      <c r="Z87" s="126" t="s">
        <v>1827</v>
      </c>
      <c r="AA87" s="126">
        <v>0</v>
      </c>
      <c r="AC87" s="235">
        <v>46227.066759259258</v>
      </c>
      <c r="AD87" s="149">
        <v>1</v>
      </c>
      <c r="AG87" s="126">
        <v>1</v>
      </c>
      <c r="AH87" s="126">
        <v>0</v>
      </c>
      <c r="AI87" s="126">
        <v>0</v>
      </c>
      <c r="AJ87" s="126">
        <v>0</v>
      </c>
      <c r="AK87" s="126">
        <v>1</v>
      </c>
      <c r="AL87" s="126">
        <v>4</v>
      </c>
      <c r="AM87" s="126">
        <v>6</v>
      </c>
      <c r="AN87" s="126">
        <v>2026</v>
      </c>
    </row>
    <row r="88" spans="3:40" ht="20.100000000000001" customHeight="1">
      <c r="C88" s="126">
        <v>81</v>
      </c>
      <c r="E88" s="126">
        <v>77</v>
      </c>
      <c r="Y88" s="162">
        <v>46199</v>
      </c>
      <c r="Z88" s="126" t="s">
        <v>1857</v>
      </c>
      <c r="AA88" s="126">
        <v>0</v>
      </c>
      <c r="AC88" s="235">
        <v>46227.073946759258</v>
      </c>
      <c r="AD88" s="149">
        <v>1</v>
      </c>
      <c r="AG88" s="126">
        <v>1</v>
      </c>
      <c r="AH88" s="126">
        <v>0</v>
      </c>
      <c r="AI88" s="126">
        <v>0</v>
      </c>
      <c r="AJ88" s="126">
        <v>0</v>
      </c>
      <c r="AK88" s="126">
        <v>1</v>
      </c>
      <c r="AL88" s="126">
        <v>4</v>
      </c>
      <c r="AM88" s="126">
        <v>6</v>
      </c>
      <c r="AN88" s="126">
        <v>2026</v>
      </c>
    </row>
    <row r="89" spans="3:40" ht="20.100000000000001" customHeight="1">
      <c r="C89" s="126">
        <v>82</v>
      </c>
      <c r="E89" s="126">
        <v>78</v>
      </c>
      <c r="Y89" s="162">
        <v>46199</v>
      </c>
      <c r="Z89" s="126" t="s">
        <v>1874</v>
      </c>
      <c r="AA89" s="126">
        <v>0</v>
      </c>
      <c r="AC89" s="235">
        <v>46227.075613425928</v>
      </c>
      <c r="AD89" s="149">
        <v>1</v>
      </c>
      <c r="AG89" s="126">
        <v>1</v>
      </c>
      <c r="AH89" s="126">
        <v>0</v>
      </c>
      <c r="AI89" s="126">
        <v>0</v>
      </c>
      <c r="AJ89" s="126">
        <v>0</v>
      </c>
      <c r="AK89" s="126">
        <v>1</v>
      </c>
      <c r="AL89" s="126">
        <v>4</v>
      </c>
      <c r="AM89" s="126">
        <v>6</v>
      </c>
      <c r="AN89" s="126">
        <v>2026</v>
      </c>
    </row>
    <row r="90" spans="3:40" ht="20.100000000000001" customHeight="1">
      <c r="C90" s="126">
        <v>83</v>
      </c>
      <c r="E90" s="126">
        <v>79</v>
      </c>
      <c r="Y90" s="162">
        <v>46199</v>
      </c>
      <c r="Z90" s="126" t="s">
        <v>1879</v>
      </c>
      <c r="AA90" s="126">
        <v>0</v>
      </c>
      <c r="AC90" s="235">
        <v>46227.084236111114</v>
      </c>
      <c r="AD90" s="149">
        <v>1</v>
      </c>
      <c r="AG90" s="126">
        <v>1</v>
      </c>
      <c r="AH90" s="126">
        <v>0</v>
      </c>
      <c r="AI90" s="126">
        <v>0</v>
      </c>
      <c r="AJ90" s="126">
        <v>0</v>
      </c>
      <c r="AK90" s="126">
        <v>1</v>
      </c>
      <c r="AL90" s="126">
        <v>4</v>
      </c>
      <c r="AM90" s="126">
        <v>6</v>
      </c>
      <c r="AN90" s="126">
        <v>2026</v>
      </c>
    </row>
    <row r="91" spans="3:40" ht="20.100000000000001" customHeight="1">
      <c r="C91" s="126">
        <v>84</v>
      </c>
      <c r="E91" s="126">
        <v>80</v>
      </c>
      <c r="Y91" s="162">
        <v>46200</v>
      </c>
      <c r="Z91" s="126" t="s">
        <v>1891</v>
      </c>
      <c r="AA91" s="126">
        <v>0</v>
      </c>
      <c r="AC91" s="235">
        <v>46227.27244212963</v>
      </c>
      <c r="AD91" s="149">
        <v>1</v>
      </c>
      <c r="AG91" s="126">
        <v>1</v>
      </c>
      <c r="AH91" s="126">
        <v>0</v>
      </c>
      <c r="AI91" s="126">
        <v>0</v>
      </c>
      <c r="AJ91" s="126">
        <v>0</v>
      </c>
      <c r="AK91" s="126">
        <v>1</v>
      </c>
      <c r="AL91" s="126">
        <v>4</v>
      </c>
      <c r="AM91" s="126">
        <v>6</v>
      </c>
      <c r="AN91" s="126">
        <v>2026</v>
      </c>
    </row>
    <row r="92" spans="3:40" ht="20.100000000000001" customHeight="1">
      <c r="C92" s="126">
        <v>85</v>
      </c>
      <c r="E92" s="126">
        <v>81</v>
      </c>
      <c r="Y92" s="162">
        <v>46200</v>
      </c>
      <c r="Z92" s="126" t="s">
        <v>1896</v>
      </c>
      <c r="AA92" s="126">
        <v>0</v>
      </c>
      <c r="AC92" s="235">
        <v>46227.276273148149</v>
      </c>
      <c r="AD92" s="149">
        <v>1</v>
      </c>
      <c r="AG92" s="126">
        <v>1</v>
      </c>
      <c r="AH92" s="126">
        <v>0</v>
      </c>
      <c r="AI92" s="126">
        <v>0</v>
      </c>
      <c r="AJ92" s="126">
        <v>0</v>
      </c>
      <c r="AK92" s="126">
        <v>1</v>
      </c>
      <c r="AL92" s="126">
        <v>4</v>
      </c>
      <c r="AM92" s="126">
        <v>6</v>
      </c>
      <c r="AN92" s="126">
        <v>2026</v>
      </c>
    </row>
    <row r="93" spans="3:40" ht="20.100000000000001" customHeight="1">
      <c r="C93" s="126">
        <v>86</v>
      </c>
      <c r="E93" s="126">
        <v>82</v>
      </c>
      <c r="Y93" s="162">
        <v>46200</v>
      </c>
      <c r="Z93" s="126" t="s">
        <v>1910</v>
      </c>
      <c r="AA93" s="126">
        <v>0</v>
      </c>
      <c r="AC93" s="235">
        <v>46227.278680555559</v>
      </c>
      <c r="AD93" s="149">
        <v>1</v>
      </c>
      <c r="AG93" s="126">
        <v>1</v>
      </c>
      <c r="AH93" s="126">
        <v>0</v>
      </c>
      <c r="AI93" s="126">
        <v>0</v>
      </c>
      <c r="AJ93" s="126">
        <v>0</v>
      </c>
      <c r="AK93" s="126">
        <v>1</v>
      </c>
      <c r="AL93" s="126">
        <v>4</v>
      </c>
      <c r="AM93" s="126">
        <v>6</v>
      </c>
      <c r="AN93" s="126">
        <v>2026</v>
      </c>
    </row>
    <row r="94" spans="3:40" ht="20.100000000000001" customHeight="1">
      <c r="C94" s="126">
        <v>87</v>
      </c>
      <c r="E94" s="126">
        <v>83</v>
      </c>
      <c r="Y94" s="162">
        <v>46201</v>
      </c>
      <c r="Z94" s="126" t="s">
        <v>1919</v>
      </c>
      <c r="AA94" s="126">
        <v>0</v>
      </c>
      <c r="AC94" s="235">
        <v>46227.298263888886</v>
      </c>
      <c r="AD94" s="149">
        <v>1</v>
      </c>
      <c r="AG94" s="126">
        <v>1</v>
      </c>
      <c r="AH94" s="126">
        <v>0</v>
      </c>
      <c r="AI94" s="126">
        <v>0</v>
      </c>
      <c r="AJ94" s="126">
        <v>0</v>
      </c>
      <c r="AK94" s="126">
        <v>1</v>
      </c>
      <c r="AL94" s="126">
        <v>4</v>
      </c>
      <c r="AM94" s="126">
        <v>6</v>
      </c>
      <c r="AN94" s="126">
        <v>2026</v>
      </c>
    </row>
    <row r="95" spans="3:40" ht="20.100000000000001" customHeight="1">
      <c r="C95" s="126">
        <v>88</v>
      </c>
      <c r="E95" s="126">
        <v>84</v>
      </c>
      <c r="Y95" s="162">
        <v>46201</v>
      </c>
      <c r="Z95" s="126" t="s">
        <v>1934</v>
      </c>
      <c r="AA95" s="126">
        <v>0</v>
      </c>
      <c r="AC95" s="235">
        <v>46227.418321759258</v>
      </c>
      <c r="AD95" s="149">
        <v>1</v>
      </c>
      <c r="AG95" s="126">
        <v>1</v>
      </c>
      <c r="AH95" s="126">
        <v>0</v>
      </c>
      <c r="AI95" s="126">
        <v>0</v>
      </c>
      <c r="AJ95" s="126">
        <v>0</v>
      </c>
      <c r="AK95" s="126">
        <v>1</v>
      </c>
      <c r="AL95" s="126">
        <v>4</v>
      </c>
      <c r="AM95" s="126">
        <v>6</v>
      </c>
      <c r="AN95" s="126">
        <v>2026</v>
      </c>
    </row>
    <row r="96" spans="3:40" ht="20.100000000000001" customHeight="1">
      <c r="C96" s="126">
        <v>89</v>
      </c>
      <c r="E96" s="126">
        <v>85</v>
      </c>
      <c r="Y96" s="162">
        <v>46201</v>
      </c>
      <c r="Z96" s="126" t="s">
        <v>1987</v>
      </c>
      <c r="AA96" s="126">
        <v>0</v>
      </c>
      <c r="AC96" s="235">
        <v>46227.447060185186</v>
      </c>
      <c r="AD96" s="149">
        <v>1</v>
      </c>
      <c r="AG96" s="126">
        <v>1</v>
      </c>
      <c r="AH96" s="126">
        <v>0</v>
      </c>
      <c r="AI96" s="126">
        <v>0</v>
      </c>
      <c r="AJ96" s="126">
        <v>0</v>
      </c>
      <c r="AK96" s="126">
        <v>1</v>
      </c>
      <c r="AL96" s="126">
        <v>4</v>
      </c>
      <c r="AM96" s="126">
        <v>6</v>
      </c>
      <c r="AN96" s="126">
        <v>2026</v>
      </c>
    </row>
    <row r="97" spans="3:40" ht="20.100000000000001" customHeight="1">
      <c r="C97" s="126">
        <v>90</v>
      </c>
      <c r="E97" s="126">
        <v>86</v>
      </c>
      <c r="Y97" s="162">
        <v>46202</v>
      </c>
      <c r="Z97" s="126" t="s">
        <v>2042</v>
      </c>
      <c r="AA97" s="126">
        <v>0</v>
      </c>
      <c r="AC97" s="235">
        <v>46227.454108796293</v>
      </c>
      <c r="AD97" s="149">
        <v>1</v>
      </c>
      <c r="AG97" s="126">
        <v>1</v>
      </c>
      <c r="AH97" s="126">
        <v>0</v>
      </c>
      <c r="AI97" s="126">
        <v>0</v>
      </c>
      <c r="AJ97" s="126">
        <v>0</v>
      </c>
      <c r="AK97" s="126">
        <v>1</v>
      </c>
      <c r="AL97" s="126">
        <v>4</v>
      </c>
      <c r="AM97" s="126">
        <v>6</v>
      </c>
      <c r="AN97" s="126">
        <v>2026</v>
      </c>
    </row>
    <row r="98" spans="3:40" ht="20.100000000000001" customHeight="1">
      <c r="C98" s="126">
        <v>91</v>
      </c>
      <c r="E98" s="126">
        <v>87</v>
      </c>
      <c r="Y98" s="162">
        <v>46202</v>
      </c>
      <c r="Z98" s="126" t="s">
        <v>2047</v>
      </c>
      <c r="AA98" s="126">
        <v>0</v>
      </c>
      <c r="AC98" s="235">
        <v>46227.458807870367</v>
      </c>
      <c r="AD98" s="149">
        <v>1</v>
      </c>
      <c r="AG98" s="126">
        <v>1</v>
      </c>
      <c r="AH98" s="126">
        <v>0</v>
      </c>
      <c r="AI98" s="126">
        <v>0</v>
      </c>
      <c r="AJ98" s="126">
        <v>0</v>
      </c>
      <c r="AK98" s="126">
        <v>1</v>
      </c>
      <c r="AL98" s="126">
        <v>4</v>
      </c>
      <c r="AM98" s="126">
        <v>6</v>
      </c>
      <c r="AN98" s="126">
        <v>2026</v>
      </c>
    </row>
    <row r="99" spans="3:40" ht="20.100000000000001" customHeight="1">
      <c r="C99" s="126">
        <v>92</v>
      </c>
      <c r="E99" s="126">
        <v>88</v>
      </c>
      <c r="Y99" s="162">
        <v>46202</v>
      </c>
      <c r="Z99" s="126" t="s">
        <v>2058</v>
      </c>
      <c r="AA99" s="126">
        <v>0</v>
      </c>
      <c r="AC99" s="235">
        <v>46227.464999999997</v>
      </c>
      <c r="AD99" s="149">
        <v>1</v>
      </c>
      <c r="AG99" s="126">
        <v>1</v>
      </c>
      <c r="AH99" s="126">
        <v>0</v>
      </c>
      <c r="AI99" s="126">
        <v>0</v>
      </c>
      <c r="AJ99" s="126">
        <v>0</v>
      </c>
      <c r="AK99" s="126">
        <v>1</v>
      </c>
      <c r="AL99" s="126">
        <v>4</v>
      </c>
      <c r="AM99" s="126">
        <v>6</v>
      </c>
      <c r="AN99" s="126">
        <v>2026</v>
      </c>
    </row>
    <row r="100" spans="3:40" ht="20.100000000000001" customHeight="1">
      <c r="C100" s="126">
        <v>93</v>
      </c>
      <c r="E100" s="126">
        <v>89</v>
      </c>
      <c r="Y100" s="162">
        <v>46203</v>
      </c>
      <c r="Z100" s="126" t="s">
        <v>2091</v>
      </c>
      <c r="AA100" s="126">
        <v>0</v>
      </c>
      <c r="AC100" s="235">
        <v>46227.474745370368</v>
      </c>
      <c r="AD100" s="149">
        <v>1</v>
      </c>
      <c r="AG100" s="126">
        <v>1</v>
      </c>
      <c r="AH100" s="126">
        <v>0</v>
      </c>
      <c r="AI100" s="126">
        <v>0</v>
      </c>
      <c r="AJ100" s="126">
        <v>0</v>
      </c>
      <c r="AK100" s="126">
        <v>1</v>
      </c>
      <c r="AL100" s="126">
        <v>4</v>
      </c>
      <c r="AM100" s="126">
        <v>6</v>
      </c>
      <c r="AN100" s="126">
        <v>2026</v>
      </c>
    </row>
    <row r="101" spans="3:40" ht="20.100000000000001" customHeight="1">
      <c r="C101" s="126">
        <v>94</v>
      </c>
      <c r="E101" s="126">
        <v>90</v>
      </c>
      <c r="Y101" s="162">
        <v>46203</v>
      </c>
      <c r="Z101" s="126" t="s">
        <v>2114</v>
      </c>
      <c r="AA101" s="126">
        <v>0</v>
      </c>
      <c r="AC101" s="235">
        <v>46227.47934027778</v>
      </c>
      <c r="AD101" s="149">
        <v>1</v>
      </c>
      <c r="AG101" s="126">
        <v>1</v>
      </c>
      <c r="AH101" s="126">
        <v>0</v>
      </c>
      <c r="AI101" s="126">
        <v>0</v>
      </c>
      <c r="AJ101" s="126">
        <v>0</v>
      </c>
      <c r="AK101" s="126">
        <v>1</v>
      </c>
      <c r="AL101" s="126">
        <v>4</v>
      </c>
      <c r="AM101" s="126">
        <v>6</v>
      </c>
      <c r="AN101" s="126">
        <v>2026</v>
      </c>
    </row>
    <row r="102" spans="3:40" ht="20.100000000000001" customHeight="1">
      <c r="C102" s="126">
        <v>95</v>
      </c>
      <c r="K102" s="126">
        <v>4</v>
      </c>
      <c r="Y102" s="162">
        <v>46174</v>
      </c>
      <c r="Z102" s="126" t="s">
        <v>2142</v>
      </c>
      <c r="AA102" s="126">
        <v>0</v>
      </c>
      <c r="AC102" s="235">
        <v>46227.616331018522</v>
      </c>
      <c r="AD102" s="149">
        <v>1</v>
      </c>
      <c r="AG102" s="126">
        <v>1</v>
      </c>
      <c r="AH102" s="126">
        <v>0</v>
      </c>
      <c r="AI102" s="126">
        <v>0</v>
      </c>
      <c r="AJ102" s="126">
        <v>0</v>
      </c>
      <c r="AK102" s="126">
        <v>1</v>
      </c>
      <c r="AL102" s="126">
        <v>1</v>
      </c>
      <c r="AM102" s="126">
        <v>6</v>
      </c>
      <c r="AN102" s="126">
        <v>2026</v>
      </c>
    </row>
    <row r="103" spans="3:40" ht="20.100000000000001" customHeight="1">
      <c r="C103" s="126">
        <v>96</v>
      </c>
      <c r="K103" s="126">
        <v>5</v>
      </c>
      <c r="Y103" s="162">
        <v>46174</v>
      </c>
      <c r="Z103" s="126" t="s">
        <v>2158</v>
      </c>
      <c r="AA103" s="126">
        <v>0</v>
      </c>
      <c r="AC103" s="235">
        <v>46227.645428240743</v>
      </c>
      <c r="AD103" s="149">
        <v>1</v>
      </c>
      <c r="AG103" s="126">
        <v>1</v>
      </c>
      <c r="AH103" s="126">
        <v>0</v>
      </c>
      <c r="AI103" s="126">
        <v>0</v>
      </c>
      <c r="AJ103" s="126">
        <v>0</v>
      </c>
      <c r="AK103" s="126">
        <v>1</v>
      </c>
      <c r="AL103" s="126">
        <v>1</v>
      </c>
      <c r="AM103" s="126">
        <v>6</v>
      </c>
      <c r="AN103" s="126">
        <v>2026</v>
      </c>
    </row>
    <row r="104" spans="3:40" ht="20.100000000000001" customHeight="1">
      <c r="C104" s="126">
        <v>97</v>
      </c>
      <c r="K104" s="126">
        <v>6</v>
      </c>
      <c r="Y104" s="162">
        <v>46176</v>
      </c>
      <c r="Z104" s="126" t="s">
        <v>2174</v>
      </c>
      <c r="AA104" s="126">
        <v>0</v>
      </c>
      <c r="AC104" s="235">
        <v>46227.67759259259</v>
      </c>
      <c r="AD104" s="149">
        <v>1</v>
      </c>
      <c r="AG104" s="126">
        <v>1</v>
      </c>
      <c r="AH104" s="126">
        <v>0</v>
      </c>
      <c r="AI104" s="126">
        <v>0</v>
      </c>
      <c r="AJ104" s="126">
        <v>0</v>
      </c>
      <c r="AK104" s="126">
        <v>1</v>
      </c>
      <c r="AL104" s="126">
        <v>1</v>
      </c>
      <c r="AM104" s="126">
        <v>6</v>
      </c>
      <c r="AN104" s="126">
        <v>2026</v>
      </c>
    </row>
    <row r="105" spans="3:40" ht="20.100000000000001" customHeight="1">
      <c r="C105" s="126">
        <v>98</v>
      </c>
      <c r="K105" s="126">
        <v>7</v>
      </c>
      <c r="Y105" s="162">
        <v>46176</v>
      </c>
      <c r="Z105" s="126" t="s">
        <v>2190</v>
      </c>
      <c r="AA105" s="126">
        <v>0</v>
      </c>
      <c r="AC105" s="235">
        <v>46227.690370370372</v>
      </c>
      <c r="AD105" s="149">
        <v>1</v>
      </c>
      <c r="AG105" s="126">
        <v>1</v>
      </c>
      <c r="AH105" s="126">
        <v>0</v>
      </c>
      <c r="AI105" s="126">
        <v>0</v>
      </c>
      <c r="AJ105" s="126">
        <v>0</v>
      </c>
      <c r="AK105" s="126">
        <v>1</v>
      </c>
      <c r="AL105" s="126">
        <v>1</v>
      </c>
      <c r="AM105" s="126">
        <v>6</v>
      </c>
      <c r="AN105" s="126">
        <v>2026</v>
      </c>
    </row>
    <row r="106" spans="3:40" ht="20.100000000000001" customHeight="1">
      <c r="C106" s="126">
        <v>99</v>
      </c>
      <c r="K106" s="126">
        <v>8</v>
      </c>
      <c r="Y106" s="162">
        <v>46179</v>
      </c>
      <c r="Z106" s="126" t="s">
        <v>2208</v>
      </c>
      <c r="AA106" s="126">
        <v>0</v>
      </c>
      <c r="AC106" s="235">
        <v>46227.702025462961</v>
      </c>
      <c r="AD106" s="149">
        <v>1</v>
      </c>
      <c r="AG106" s="126">
        <v>1</v>
      </c>
      <c r="AH106" s="126">
        <v>0</v>
      </c>
      <c r="AI106" s="126">
        <v>0</v>
      </c>
      <c r="AJ106" s="126">
        <v>0</v>
      </c>
      <c r="AK106" s="126">
        <v>1</v>
      </c>
      <c r="AL106" s="126">
        <v>1</v>
      </c>
      <c r="AM106" s="126">
        <v>6</v>
      </c>
      <c r="AN106" s="126">
        <v>2026</v>
      </c>
    </row>
    <row r="107" spans="3:40" ht="20.100000000000001" customHeight="1">
      <c r="C107" s="126">
        <v>100</v>
      </c>
      <c r="K107" s="126">
        <v>9</v>
      </c>
      <c r="Y107" s="162">
        <v>46179</v>
      </c>
      <c r="Z107" s="126" t="s">
        <v>2232</v>
      </c>
      <c r="AA107" s="126">
        <v>0</v>
      </c>
      <c r="AC107" s="235">
        <v>46227.724502314813</v>
      </c>
      <c r="AD107" s="149">
        <v>1</v>
      </c>
      <c r="AG107" s="126">
        <v>1</v>
      </c>
      <c r="AH107" s="126">
        <v>0</v>
      </c>
      <c r="AI107" s="126">
        <v>0</v>
      </c>
      <c r="AJ107" s="126">
        <v>0</v>
      </c>
      <c r="AK107" s="126">
        <v>1</v>
      </c>
      <c r="AL107" s="126">
        <v>1</v>
      </c>
      <c r="AM107" s="126">
        <v>6</v>
      </c>
      <c r="AN107" s="126">
        <v>2026</v>
      </c>
    </row>
    <row r="108" spans="3:40" ht="20.100000000000001" customHeight="1">
      <c r="C108" s="126">
        <v>101</v>
      </c>
      <c r="E108" s="126">
        <v>91</v>
      </c>
      <c r="Y108" s="162">
        <v>46204</v>
      </c>
      <c r="Z108" s="126" t="s">
        <v>2284</v>
      </c>
      <c r="AA108" s="126">
        <v>0</v>
      </c>
      <c r="AC108" s="235">
        <v>46255.4297337963</v>
      </c>
      <c r="AD108" s="149">
        <v>1</v>
      </c>
      <c r="AG108" s="126">
        <v>1</v>
      </c>
      <c r="AH108" s="126">
        <v>0</v>
      </c>
      <c r="AI108" s="126">
        <v>0</v>
      </c>
      <c r="AJ108" s="126">
        <v>0</v>
      </c>
      <c r="AK108" s="126">
        <v>1</v>
      </c>
      <c r="AL108" s="126">
        <v>1</v>
      </c>
      <c r="AM108" s="126">
        <v>7</v>
      </c>
      <c r="AN108" s="126">
        <v>2026</v>
      </c>
    </row>
    <row r="109" spans="3:40" ht="20.100000000000001" customHeight="1">
      <c r="C109" s="126">
        <v>102</v>
      </c>
      <c r="E109" s="126">
        <v>92</v>
      </c>
      <c r="Y109" s="162">
        <v>46204</v>
      </c>
      <c r="Z109" s="126" t="s">
        <v>2313</v>
      </c>
      <c r="AA109" s="126">
        <v>0</v>
      </c>
      <c r="AC109" s="235">
        <v>46255.443240740744</v>
      </c>
      <c r="AD109" s="149">
        <v>1</v>
      </c>
      <c r="AG109" s="126">
        <v>1</v>
      </c>
      <c r="AH109" s="126">
        <v>0</v>
      </c>
      <c r="AI109" s="126">
        <v>0</v>
      </c>
      <c r="AJ109" s="126">
        <v>0</v>
      </c>
      <c r="AK109" s="126">
        <v>1</v>
      </c>
      <c r="AL109" s="126">
        <v>1</v>
      </c>
      <c r="AM109" s="126">
        <v>7</v>
      </c>
      <c r="AN109" s="126">
        <v>2026</v>
      </c>
    </row>
    <row r="110" spans="3:40" ht="20.100000000000001" customHeight="1">
      <c r="C110" s="126">
        <v>103</v>
      </c>
      <c r="E110" s="126">
        <v>93</v>
      </c>
      <c r="Y110" s="162">
        <v>46204</v>
      </c>
      <c r="Z110" s="126" t="s">
        <v>2324</v>
      </c>
      <c r="AA110" s="126">
        <v>0</v>
      </c>
      <c r="AC110" s="235">
        <v>46255.458796296298</v>
      </c>
      <c r="AD110" s="149">
        <v>1</v>
      </c>
      <c r="AG110" s="126">
        <v>1</v>
      </c>
      <c r="AH110" s="126">
        <v>0</v>
      </c>
      <c r="AI110" s="126">
        <v>0</v>
      </c>
      <c r="AJ110" s="126">
        <v>0</v>
      </c>
      <c r="AK110" s="126">
        <v>1</v>
      </c>
      <c r="AL110" s="126">
        <v>1</v>
      </c>
      <c r="AM110" s="126">
        <v>7</v>
      </c>
      <c r="AN110" s="126">
        <v>2026</v>
      </c>
    </row>
    <row r="111" spans="3:40" ht="20.100000000000001" customHeight="1">
      <c r="C111" s="126">
        <v>104</v>
      </c>
      <c r="E111" s="126">
        <v>94</v>
      </c>
      <c r="Y111" s="162">
        <v>46204</v>
      </c>
      <c r="Z111" s="126" t="s">
        <v>2335</v>
      </c>
      <c r="AA111" s="126">
        <v>0</v>
      </c>
      <c r="AC111" s="235">
        <v>46255.46361111111</v>
      </c>
      <c r="AD111" s="149">
        <v>1</v>
      </c>
      <c r="AG111" s="126">
        <v>1</v>
      </c>
      <c r="AH111" s="126">
        <v>0</v>
      </c>
      <c r="AI111" s="126">
        <v>0</v>
      </c>
      <c r="AJ111" s="126">
        <v>0</v>
      </c>
      <c r="AK111" s="126">
        <v>1</v>
      </c>
      <c r="AL111" s="126">
        <v>1</v>
      </c>
      <c r="AM111" s="126">
        <v>7</v>
      </c>
      <c r="AN111" s="126">
        <v>2026</v>
      </c>
    </row>
    <row r="112" spans="3:40" ht="20.100000000000001" customHeight="1">
      <c r="C112" s="126">
        <v>105</v>
      </c>
      <c r="E112" s="126">
        <v>95</v>
      </c>
      <c r="Y112" s="162">
        <v>46205</v>
      </c>
      <c r="Z112" s="126" t="s">
        <v>2353</v>
      </c>
      <c r="AA112" s="126">
        <v>0</v>
      </c>
      <c r="AC112" s="235">
        <v>46255.482870370368</v>
      </c>
      <c r="AD112" s="149">
        <v>1</v>
      </c>
      <c r="AG112" s="126">
        <v>1</v>
      </c>
      <c r="AH112" s="126">
        <v>0</v>
      </c>
      <c r="AI112" s="126">
        <v>0</v>
      </c>
      <c r="AJ112" s="126">
        <v>0</v>
      </c>
      <c r="AK112" s="126">
        <v>1</v>
      </c>
      <c r="AL112" s="126">
        <v>1</v>
      </c>
      <c r="AM112" s="126">
        <v>7</v>
      </c>
      <c r="AN112" s="126">
        <v>2026</v>
      </c>
    </row>
    <row r="113" spans="29:29" ht="20.100000000000001" customHeight="1">
      <c r="AC113" s="235"/>
    </row>
    <row r="114" spans="29:29" ht="20.100000000000001" customHeight="1">
      <c r="AC114" s="235"/>
    </row>
    <row r="115" spans="29:29" ht="20.100000000000001" customHeight="1">
      <c r="AC115" s="235"/>
    </row>
    <row r="116" spans="29:29" ht="20.100000000000001" customHeight="1">
      <c r="AC116" s="235"/>
    </row>
    <row r="117" spans="29:29" ht="20.100000000000001" customHeight="1">
      <c r="AC117" s="235"/>
    </row>
  </sheetData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1C6A1-691D-46FE-8DB7-0BBAC288D7F2}">
  <sheetPr codeName="Sheet52"/>
  <dimension ref="B1:AF1375"/>
  <sheetViews>
    <sheetView topLeftCell="A5" zoomScale="80" zoomScaleNormal="80" workbookViewId="0">
      <pane ySplit="3" topLeftCell="A1332" activePane="bottomLeft" state="frozen"/>
      <selection activeCell="L28" sqref="L28"/>
      <selection pane="bottomLeft" activeCell="U1348" sqref="U1348"/>
    </sheetView>
  </sheetViews>
  <sheetFormatPr defaultRowHeight="23.25"/>
  <cols>
    <col min="1" max="1" width="2.42578125" customWidth="1"/>
    <col min="2" max="2" width="4.140625" style="121" customWidth="1"/>
    <col min="3" max="3" width="9.42578125" style="126" customWidth="1"/>
    <col min="4" max="4" width="4.7109375" style="126" customWidth="1"/>
    <col min="5" max="5" width="5.5703125" style="126" bestFit="1" customWidth="1"/>
    <col min="6" max="9" width="4.7109375" style="126" customWidth="1"/>
    <col min="10" max="10" width="5.5703125" style="126" bestFit="1" customWidth="1"/>
    <col min="11" max="12" width="4.7109375" style="130" customWidth="1"/>
    <col min="13" max="16" width="4.7109375" style="126" customWidth="1"/>
    <col min="17" max="17" width="4.42578125" style="130" bestFit="1" customWidth="1"/>
    <col min="18" max="18" width="17.85546875" style="126" customWidth="1"/>
    <col min="19" max="19" width="18.85546875" style="259" customWidth="1"/>
    <col min="20" max="20" width="18.140625" style="259" customWidth="1"/>
    <col min="21" max="21" width="95" style="68" bestFit="1" customWidth="1"/>
    <col min="22" max="29" width="5.5703125" style="126" bestFit="1" customWidth="1"/>
    <col min="30" max="30" width="7.42578125" style="126" customWidth="1"/>
  </cols>
  <sheetData>
    <row r="1" spans="2:30" ht="15" hidden="1">
      <c r="C1" s="13"/>
      <c r="D1" s="13"/>
      <c r="E1" s="13"/>
      <c r="F1" s="13"/>
      <c r="G1" s="13"/>
      <c r="H1" s="13"/>
      <c r="I1" s="13"/>
      <c r="J1" s="13"/>
      <c r="K1"/>
      <c r="L1"/>
      <c r="M1" s="13"/>
      <c r="N1" s="13"/>
      <c r="O1" s="13"/>
      <c r="P1" s="13"/>
      <c r="Q1"/>
      <c r="R1" s="13"/>
      <c r="S1" s="257"/>
      <c r="T1" s="257"/>
      <c r="U1"/>
      <c r="V1" s="2"/>
      <c r="W1" s="2"/>
      <c r="X1" s="2"/>
      <c r="Y1" s="2"/>
      <c r="Z1" s="2"/>
      <c r="AA1" s="2"/>
      <c r="AB1" s="2"/>
      <c r="AC1" s="2"/>
      <c r="AD1" s="2"/>
    </row>
    <row r="2" spans="2:30" ht="15" hidden="1">
      <c r="C2" s="13"/>
      <c r="D2" s="13"/>
      <c r="E2" s="13"/>
      <c r="F2" s="13"/>
      <c r="G2" s="13"/>
      <c r="H2" s="13"/>
      <c r="I2" s="13"/>
      <c r="J2" s="13"/>
      <c r="K2"/>
      <c r="L2"/>
      <c r="M2" s="13"/>
      <c r="N2" s="13"/>
      <c r="O2" s="13"/>
      <c r="P2" s="13"/>
      <c r="Q2"/>
      <c r="R2" s="13"/>
      <c r="S2" s="257"/>
      <c r="T2" s="257"/>
      <c r="U2"/>
      <c r="V2" s="2"/>
      <c r="W2" s="2"/>
      <c r="X2" s="2"/>
      <c r="Y2" s="2"/>
      <c r="Z2" s="2"/>
      <c r="AA2" s="2"/>
      <c r="AB2" s="2"/>
      <c r="AC2" s="2"/>
      <c r="AD2" s="2"/>
    </row>
    <row r="3" spans="2:30" ht="15" hidden="1">
      <c r="C3" s="13"/>
      <c r="D3" s="13"/>
      <c r="E3" s="13"/>
      <c r="F3" s="13"/>
      <c r="G3" s="13"/>
      <c r="H3" s="13"/>
      <c r="I3" s="13"/>
      <c r="J3" s="13"/>
      <c r="K3"/>
      <c r="L3"/>
      <c r="M3" s="13"/>
      <c r="N3" s="13"/>
      <c r="O3" s="13"/>
      <c r="P3" s="13"/>
      <c r="Q3"/>
      <c r="R3" s="13"/>
      <c r="S3" s="257"/>
      <c r="T3" s="257"/>
      <c r="U3"/>
      <c r="V3" s="2"/>
      <c r="W3" s="2"/>
      <c r="X3" s="2"/>
      <c r="Y3" s="2"/>
      <c r="Z3" s="2"/>
      <c r="AA3" s="2"/>
      <c r="AB3" s="2"/>
      <c r="AC3" s="2"/>
      <c r="AD3" s="2"/>
    </row>
    <row r="4" spans="2:30" ht="15" hidden="1">
      <c r="C4" s="13"/>
      <c r="D4" s="13"/>
      <c r="E4" s="13"/>
      <c r="F4" s="13"/>
      <c r="G4" s="13"/>
      <c r="H4" s="13"/>
      <c r="I4" s="13"/>
      <c r="J4" s="13"/>
      <c r="K4"/>
      <c r="L4"/>
      <c r="M4" s="13"/>
      <c r="N4" s="13"/>
      <c r="O4" s="13"/>
      <c r="P4" s="13"/>
      <c r="Q4"/>
      <c r="R4" s="13"/>
      <c r="S4" s="257"/>
      <c r="T4" s="257"/>
      <c r="U4"/>
      <c r="V4" s="2"/>
      <c r="W4" s="2"/>
      <c r="X4" s="2"/>
      <c r="Y4" s="2"/>
      <c r="Z4" s="2"/>
      <c r="AA4" s="2"/>
      <c r="AB4" s="2"/>
      <c r="AC4" s="2"/>
      <c r="AD4" s="2"/>
    </row>
    <row r="5" spans="2:30" ht="61.5" customHeight="1">
      <c r="C5" s="231" t="s">
        <v>455</v>
      </c>
      <c r="D5" s="232"/>
      <c r="E5" s="232"/>
      <c r="F5" s="232"/>
      <c r="G5" s="232"/>
      <c r="H5" s="232"/>
      <c r="I5" s="232"/>
      <c r="J5" s="232"/>
      <c r="K5" s="233"/>
      <c r="L5" s="233"/>
      <c r="M5" s="232"/>
      <c r="N5" s="232"/>
      <c r="O5" s="232"/>
      <c r="P5" s="232"/>
      <c r="Q5" s="233"/>
      <c r="R5" s="232"/>
      <c r="S5" s="258"/>
      <c r="T5" s="258"/>
      <c r="U5" s="233"/>
      <c r="V5" s="233"/>
      <c r="W5" s="233"/>
      <c r="X5" s="233"/>
      <c r="Y5" s="233"/>
      <c r="Z5" s="233"/>
      <c r="AA5" s="233"/>
      <c r="AB5" s="233"/>
      <c r="AC5" s="233"/>
      <c r="AD5" s="233"/>
    </row>
    <row r="6" spans="2:30" ht="7.5" customHeight="1">
      <c r="C6" s="13"/>
      <c r="D6" s="13"/>
      <c r="E6" s="13"/>
      <c r="F6" s="13"/>
      <c r="G6" s="13"/>
      <c r="H6" s="13"/>
      <c r="I6" s="13"/>
      <c r="J6" s="13"/>
      <c r="K6"/>
      <c r="L6"/>
      <c r="M6" s="13"/>
      <c r="N6" s="13"/>
      <c r="O6" s="13"/>
      <c r="P6" s="13"/>
      <c r="Q6"/>
      <c r="R6" s="13"/>
      <c r="S6" s="257"/>
      <c r="T6" s="257"/>
      <c r="U6"/>
      <c r="V6" s="2"/>
      <c r="W6" s="2"/>
      <c r="X6" s="2"/>
      <c r="Y6" s="2"/>
      <c r="Z6" s="2"/>
      <c r="AA6" s="2"/>
      <c r="AB6" s="2"/>
      <c r="AC6" s="2"/>
      <c r="AD6" s="2"/>
    </row>
    <row r="7" spans="2:30" s="13" customFormat="1" ht="114" customHeight="1">
      <c r="B7" s="121" t="s">
        <v>111</v>
      </c>
      <c r="C7" s="295" t="s">
        <v>295</v>
      </c>
      <c r="D7" s="295" t="s">
        <v>468</v>
      </c>
      <c r="E7" s="295" t="s">
        <v>328</v>
      </c>
      <c r="F7" s="295" t="s">
        <v>329</v>
      </c>
      <c r="G7" s="295" t="s">
        <v>330</v>
      </c>
      <c r="H7" s="295" t="s">
        <v>469</v>
      </c>
      <c r="I7" s="295" t="s">
        <v>470</v>
      </c>
      <c r="J7" s="295" t="s">
        <v>331</v>
      </c>
      <c r="K7" s="295" t="s">
        <v>332</v>
      </c>
      <c r="L7" s="295" t="s">
        <v>333</v>
      </c>
      <c r="M7" s="295" t="s">
        <v>334</v>
      </c>
      <c r="N7" s="295" t="s">
        <v>335</v>
      </c>
      <c r="O7" s="295" t="s">
        <v>450</v>
      </c>
      <c r="P7" s="295" t="s">
        <v>337</v>
      </c>
      <c r="Q7" s="295" t="s">
        <v>338</v>
      </c>
      <c r="R7" s="296" t="s">
        <v>159</v>
      </c>
      <c r="S7" s="297" t="s">
        <v>471</v>
      </c>
      <c r="T7" s="297" t="s">
        <v>472</v>
      </c>
      <c r="U7" s="297" t="s">
        <v>473</v>
      </c>
      <c r="V7" s="295" t="s">
        <v>339</v>
      </c>
      <c r="W7" s="295" t="s">
        <v>340</v>
      </c>
      <c r="X7" s="295" t="s">
        <v>341</v>
      </c>
      <c r="Y7" s="295" t="s">
        <v>342</v>
      </c>
      <c r="Z7" s="295" t="s">
        <v>474</v>
      </c>
      <c r="AA7" s="295" t="s">
        <v>327</v>
      </c>
      <c r="AB7" s="295" t="s">
        <v>475</v>
      </c>
      <c r="AC7" s="295" t="s">
        <v>365</v>
      </c>
      <c r="AD7" s="295" t="s">
        <v>366</v>
      </c>
    </row>
    <row r="8" spans="2:30">
      <c r="C8" s="126">
        <v>1</v>
      </c>
      <c r="D8" s="126">
        <v>1</v>
      </c>
      <c r="E8" s="126">
        <v>2</v>
      </c>
      <c r="F8" s="126">
        <v>1</v>
      </c>
      <c r="G8" s="126">
        <v>1</v>
      </c>
      <c r="H8" s="126">
        <v>1</v>
      </c>
      <c r="I8" s="126">
        <v>1</v>
      </c>
      <c r="R8" s="126" t="s">
        <v>549</v>
      </c>
      <c r="S8" s="259">
        <v>40.5</v>
      </c>
      <c r="T8" s="259">
        <v>0</v>
      </c>
      <c r="U8" s="68" t="s">
        <v>550</v>
      </c>
      <c r="V8" s="126">
        <v>1</v>
      </c>
      <c r="Z8" s="126">
        <v>1</v>
      </c>
      <c r="AA8" s="126">
        <v>1</v>
      </c>
      <c r="AB8" s="126">
        <v>3</v>
      </c>
      <c r="AC8" s="126">
        <v>7</v>
      </c>
      <c r="AD8" s="126">
        <v>2026</v>
      </c>
    </row>
    <row r="9" spans="2:30">
      <c r="C9" s="126">
        <v>2</v>
      </c>
      <c r="D9" s="126">
        <v>1</v>
      </c>
      <c r="E9" s="126">
        <v>3</v>
      </c>
      <c r="F9" s="126">
        <v>1</v>
      </c>
      <c r="G9" s="126">
        <v>1</v>
      </c>
      <c r="H9" s="126">
        <v>1</v>
      </c>
      <c r="I9" s="126">
        <v>1</v>
      </c>
      <c r="J9" s="126">
        <v>153</v>
      </c>
      <c r="M9" s="126">
        <v>1</v>
      </c>
      <c r="N9" s="126">
        <v>0</v>
      </c>
      <c r="P9" s="126">
        <v>1</v>
      </c>
      <c r="R9" s="126" t="s">
        <v>549</v>
      </c>
      <c r="S9" s="259">
        <v>0</v>
      </c>
      <c r="T9" s="259">
        <v>3.3</v>
      </c>
      <c r="U9" s="68" t="s">
        <v>556</v>
      </c>
      <c r="V9" s="126">
        <v>1</v>
      </c>
      <c r="Z9" s="126">
        <v>1</v>
      </c>
      <c r="AA9" s="126">
        <v>1</v>
      </c>
      <c r="AB9" s="126">
        <v>3</v>
      </c>
      <c r="AC9" s="126">
        <v>7</v>
      </c>
      <c r="AD9" s="126">
        <v>2026</v>
      </c>
    </row>
    <row r="10" spans="2:30">
      <c r="C10" s="126">
        <v>3</v>
      </c>
      <c r="D10" s="126">
        <v>1</v>
      </c>
      <c r="E10" s="126">
        <v>11</v>
      </c>
      <c r="F10" s="126">
        <v>1</v>
      </c>
      <c r="G10" s="126">
        <v>1</v>
      </c>
      <c r="H10" s="126">
        <v>1</v>
      </c>
      <c r="I10" s="126">
        <v>1</v>
      </c>
      <c r="J10" s="126">
        <v>153</v>
      </c>
      <c r="M10" s="126">
        <v>1</v>
      </c>
      <c r="N10" s="126">
        <v>1</v>
      </c>
      <c r="P10" s="126">
        <v>1</v>
      </c>
      <c r="R10" s="126" t="s">
        <v>549</v>
      </c>
      <c r="S10" s="259">
        <v>3.3</v>
      </c>
      <c r="T10" s="259">
        <v>0</v>
      </c>
      <c r="U10" s="68" t="s">
        <v>557</v>
      </c>
      <c r="V10" s="126">
        <v>1</v>
      </c>
      <c r="Z10" s="126">
        <v>1</v>
      </c>
      <c r="AA10" s="126">
        <v>1</v>
      </c>
      <c r="AB10" s="126">
        <v>3</v>
      </c>
      <c r="AC10" s="126">
        <v>7</v>
      </c>
      <c r="AD10" s="126">
        <v>2026</v>
      </c>
    </row>
    <row r="11" spans="2:30">
      <c r="C11" s="126">
        <v>4</v>
      </c>
      <c r="D11" s="126">
        <v>1</v>
      </c>
      <c r="E11" s="126">
        <v>10</v>
      </c>
      <c r="F11" s="126">
        <v>1</v>
      </c>
      <c r="G11" s="126">
        <v>1</v>
      </c>
      <c r="H11" s="126">
        <v>1</v>
      </c>
      <c r="I11" s="126">
        <v>1</v>
      </c>
      <c r="J11" s="126">
        <v>153</v>
      </c>
      <c r="P11" s="126">
        <v>1</v>
      </c>
      <c r="R11" s="126" t="s">
        <v>549</v>
      </c>
      <c r="S11" s="259">
        <v>0</v>
      </c>
      <c r="T11" s="259">
        <v>5.5</v>
      </c>
      <c r="U11" s="68" t="s">
        <v>558</v>
      </c>
      <c r="V11" s="126">
        <v>1</v>
      </c>
      <c r="Z11" s="126">
        <v>1</v>
      </c>
      <c r="AA11" s="126">
        <v>1</v>
      </c>
      <c r="AB11" s="126">
        <v>3</v>
      </c>
      <c r="AC11" s="126">
        <v>7</v>
      </c>
      <c r="AD11" s="126">
        <v>2026</v>
      </c>
    </row>
    <row r="12" spans="2:30">
      <c r="C12" s="126">
        <v>5</v>
      </c>
      <c r="D12" s="126">
        <v>1</v>
      </c>
      <c r="E12" s="126">
        <v>3</v>
      </c>
      <c r="F12" s="126">
        <v>1</v>
      </c>
      <c r="G12" s="126">
        <v>1</v>
      </c>
      <c r="H12" s="126">
        <v>1</v>
      </c>
      <c r="I12" s="126">
        <v>1</v>
      </c>
      <c r="J12" s="126">
        <v>6</v>
      </c>
      <c r="M12" s="126">
        <v>2</v>
      </c>
      <c r="N12" s="126">
        <v>0</v>
      </c>
      <c r="P12" s="126">
        <v>2</v>
      </c>
      <c r="R12" s="126" t="s">
        <v>549</v>
      </c>
      <c r="S12" s="259">
        <v>0</v>
      </c>
      <c r="T12" s="259">
        <v>28.900000000000002</v>
      </c>
      <c r="U12" s="68" t="s">
        <v>561</v>
      </c>
      <c r="V12" s="126">
        <v>1</v>
      </c>
      <c r="Z12" s="126">
        <v>1</v>
      </c>
      <c r="AA12" s="126">
        <v>1</v>
      </c>
      <c r="AB12" s="126">
        <v>3</v>
      </c>
      <c r="AC12" s="126">
        <v>7</v>
      </c>
      <c r="AD12" s="126">
        <v>2026</v>
      </c>
    </row>
    <row r="13" spans="2:30">
      <c r="C13" s="126">
        <v>6</v>
      </c>
      <c r="D13" s="126">
        <v>1</v>
      </c>
      <c r="E13" s="126">
        <v>11</v>
      </c>
      <c r="F13" s="126">
        <v>1</v>
      </c>
      <c r="G13" s="126">
        <v>1</v>
      </c>
      <c r="H13" s="126">
        <v>1</v>
      </c>
      <c r="I13" s="126">
        <v>1</v>
      </c>
      <c r="J13" s="126">
        <v>6</v>
      </c>
      <c r="M13" s="126">
        <v>2</v>
      </c>
      <c r="N13" s="126">
        <v>1</v>
      </c>
      <c r="P13" s="126">
        <v>2</v>
      </c>
      <c r="R13" s="126" t="s">
        <v>549</v>
      </c>
      <c r="S13" s="259">
        <v>28.900000000000002</v>
      </c>
      <c r="T13" s="259">
        <v>0</v>
      </c>
      <c r="U13" s="68" t="s">
        <v>562</v>
      </c>
      <c r="V13" s="126">
        <v>1</v>
      </c>
      <c r="Z13" s="126">
        <v>1</v>
      </c>
      <c r="AA13" s="126">
        <v>1</v>
      </c>
      <c r="AB13" s="126">
        <v>3</v>
      </c>
      <c r="AC13" s="126">
        <v>7</v>
      </c>
      <c r="AD13" s="126">
        <v>2026</v>
      </c>
    </row>
    <row r="14" spans="2:30">
      <c r="C14" s="126">
        <v>7</v>
      </c>
      <c r="D14" s="126">
        <v>1</v>
      </c>
      <c r="E14" s="126">
        <v>10</v>
      </c>
      <c r="F14" s="126">
        <v>1</v>
      </c>
      <c r="G14" s="126">
        <v>1</v>
      </c>
      <c r="H14" s="126">
        <v>1</v>
      </c>
      <c r="I14" s="126">
        <v>1</v>
      </c>
      <c r="J14" s="126">
        <v>6</v>
      </c>
      <c r="P14" s="126">
        <v>2</v>
      </c>
      <c r="R14" s="126" t="s">
        <v>549</v>
      </c>
      <c r="S14" s="259">
        <v>0</v>
      </c>
      <c r="T14" s="259">
        <v>35</v>
      </c>
      <c r="U14" s="68" t="s">
        <v>563</v>
      </c>
      <c r="V14" s="126">
        <v>1</v>
      </c>
      <c r="Z14" s="126">
        <v>1</v>
      </c>
      <c r="AA14" s="126">
        <v>1</v>
      </c>
      <c r="AB14" s="126">
        <v>3</v>
      </c>
      <c r="AC14" s="126">
        <v>7</v>
      </c>
      <c r="AD14" s="126">
        <v>2026</v>
      </c>
    </row>
    <row r="15" spans="2:30">
      <c r="C15" s="126">
        <v>8</v>
      </c>
      <c r="D15" s="126">
        <v>2</v>
      </c>
      <c r="E15" s="126">
        <v>2</v>
      </c>
      <c r="F15" s="126">
        <v>1</v>
      </c>
      <c r="G15" s="126">
        <v>1</v>
      </c>
      <c r="H15" s="126">
        <v>1</v>
      </c>
      <c r="I15" s="126">
        <v>1</v>
      </c>
      <c r="R15" s="126" t="s">
        <v>549</v>
      </c>
      <c r="S15" s="259">
        <v>40.5</v>
      </c>
      <c r="T15" s="259">
        <v>0</v>
      </c>
      <c r="U15" s="68" t="s">
        <v>550</v>
      </c>
      <c r="V15" s="126">
        <v>1</v>
      </c>
      <c r="Z15" s="126">
        <v>1</v>
      </c>
      <c r="AA15" s="126">
        <v>1</v>
      </c>
      <c r="AB15" s="126">
        <v>1</v>
      </c>
      <c r="AC15" s="126">
        <v>6</v>
      </c>
      <c r="AD15" s="126">
        <v>2026</v>
      </c>
    </row>
    <row r="16" spans="2:30">
      <c r="C16" s="126">
        <v>9</v>
      </c>
      <c r="D16" s="126">
        <v>2</v>
      </c>
      <c r="E16" s="126">
        <v>3</v>
      </c>
      <c r="F16" s="126">
        <v>1</v>
      </c>
      <c r="G16" s="126">
        <v>1</v>
      </c>
      <c r="H16" s="126">
        <v>1</v>
      </c>
      <c r="I16" s="126">
        <v>1</v>
      </c>
      <c r="J16" s="126">
        <v>6</v>
      </c>
      <c r="M16" s="126">
        <v>1</v>
      </c>
      <c r="N16" s="126">
        <v>0</v>
      </c>
      <c r="P16" s="126">
        <v>1</v>
      </c>
      <c r="R16" s="126" t="s">
        <v>549</v>
      </c>
      <c r="S16" s="259">
        <v>0</v>
      </c>
      <c r="T16" s="259">
        <v>28.900000000000002</v>
      </c>
      <c r="U16" s="68" t="s">
        <v>561</v>
      </c>
      <c r="V16" s="126">
        <v>1</v>
      </c>
      <c r="Z16" s="126">
        <v>1</v>
      </c>
      <c r="AA16" s="126">
        <v>1</v>
      </c>
      <c r="AB16" s="126">
        <v>1</v>
      </c>
      <c r="AC16" s="126">
        <v>6</v>
      </c>
      <c r="AD16" s="126">
        <v>2026</v>
      </c>
    </row>
    <row r="17" spans="3:32">
      <c r="C17" s="126">
        <v>10</v>
      </c>
      <c r="D17" s="126">
        <v>2</v>
      </c>
      <c r="E17" s="126">
        <v>11</v>
      </c>
      <c r="F17" s="126">
        <v>1</v>
      </c>
      <c r="G17" s="126">
        <v>1</v>
      </c>
      <c r="H17" s="126">
        <v>1</v>
      </c>
      <c r="I17" s="126">
        <v>1</v>
      </c>
      <c r="J17" s="126">
        <v>6</v>
      </c>
      <c r="M17" s="126">
        <v>1</v>
      </c>
      <c r="N17" s="126">
        <v>1</v>
      </c>
      <c r="P17" s="126">
        <v>1</v>
      </c>
      <c r="R17" s="126" t="s">
        <v>549</v>
      </c>
      <c r="S17" s="259">
        <v>28.900000000000002</v>
      </c>
      <c r="T17" s="259">
        <v>0</v>
      </c>
      <c r="U17" s="68" t="s">
        <v>562</v>
      </c>
      <c r="V17" s="126">
        <v>1</v>
      </c>
      <c r="Z17" s="126">
        <v>1</v>
      </c>
      <c r="AA17" s="126">
        <v>1</v>
      </c>
      <c r="AB17" s="126">
        <v>1</v>
      </c>
      <c r="AC17" s="126">
        <v>6</v>
      </c>
      <c r="AD17" s="126">
        <v>2026</v>
      </c>
    </row>
    <row r="18" spans="3:32">
      <c r="C18" s="126">
        <v>11</v>
      </c>
      <c r="D18" s="126">
        <v>2</v>
      </c>
      <c r="E18" s="126">
        <v>10</v>
      </c>
      <c r="F18" s="126">
        <v>1</v>
      </c>
      <c r="G18" s="126">
        <v>1</v>
      </c>
      <c r="H18" s="126">
        <v>1</v>
      </c>
      <c r="I18" s="126">
        <v>1</v>
      </c>
      <c r="J18" s="126">
        <v>6</v>
      </c>
      <c r="P18" s="126">
        <v>1</v>
      </c>
      <c r="R18" s="126" t="s">
        <v>549</v>
      </c>
      <c r="S18" s="259">
        <v>0</v>
      </c>
      <c r="T18" s="259">
        <v>35</v>
      </c>
      <c r="U18" s="68" t="s">
        <v>563</v>
      </c>
      <c r="V18" s="126">
        <v>1</v>
      </c>
      <c r="Z18" s="126">
        <v>1</v>
      </c>
      <c r="AA18" s="126">
        <v>1</v>
      </c>
      <c r="AB18" s="126">
        <v>1</v>
      </c>
      <c r="AC18" s="126">
        <v>6</v>
      </c>
      <c r="AD18" s="126">
        <v>2026</v>
      </c>
    </row>
    <row r="19" spans="3:32">
      <c r="C19" s="126">
        <v>12</v>
      </c>
      <c r="D19" s="126">
        <v>2</v>
      </c>
      <c r="E19" s="126">
        <v>3</v>
      </c>
      <c r="F19" s="126">
        <v>1</v>
      </c>
      <c r="G19" s="126">
        <v>1</v>
      </c>
      <c r="H19" s="126">
        <v>1</v>
      </c>
      <c r="I19" s="126">
        <v>1</v>
      </c>
      <c r="J19" s="126">
        <v>153</v>
      </c>
      <c r="M19" s="126">
        <v>2</v>
      </c>
      <c r="N19" s="126">
        <v>0</v>
      </c>
      <c r="P19" s="126">
        <v>2</v>
      </c>
      <c r="R19" s="126" t="s">
        <v>549</v>
      </c>
      <c r="S19" s="259">
        <v>0</v>
      </c>
      <c r="T19" s="259">
        <v>3.3</v>
      </c>
      <c r="U19" s="68" t="s">
        <v>556</v>
      </c>
      <c r="V19" s="126">
        <v>1</v>
      </c>
      <c r="Z19" s="126">
        <v>1</v>
      </c>
      <c r="AA19" s="126">
        <v>1</v>
      </c>
      <c r="AB19" s="126">
        <v>1</v>
      </c>
      <c r="AC19" s="126">
        <v>6</v>
      </c>
      <c r="AD19" s="126">
        <v>2026</v>
      </c>
    </row>
    <row r="20" spans="3:32">
      <c r="C20" s="126">
        <v>13</v>
      </c>
      <c r="D20" s="126">
        <v>2</v>
      </c>
      <c r="E20" s="126">
        <v>11</v>
      </c>
      <c r="F20" s="126">
        <v>1</v>
      </c>
      <c r="G20" s="126">
        <v>1</v>
      </c>
      <c r="H20" s="126">
        <v>1</v>
      </c>
      <c r="I20" s="126">
        <v>1</v>
      </c>
      <c r="J20" s="126">
        <v>153</v>
      </c>
      <c r="M20" s="126">
        <v>2</v>
      </c>
      <c r="N20" s="126">
        <v>1</v>
      </c>
      <c r="P20" s="126">
        <v>2</v>
      </c>
      <c r="R20" s="126" t="s">
        <v>549</v>
      </c>
      <c r="S20" s="259">
        <v>3.3</v>
      </c>
      <c r="T20" s="259">
        <v>0</v>
      </c>
      <c r="U20" s="68" t="s">
        <v>557</v>
      </c>
      <c r="V20" s="126">
        <v>1</v>
      </c>
      <c r="Z20" s="126">
        <v>1</v>
      </c>
      <c r="AA20" s="126">
        <v>1</v>
      </c>
      <c r="AB20" s="126">
        <v>1</v>
      </c>
      <c r="AC20" s="126">
        <v>6</v>
      </c>
      <c r="AD20" s="126">
        <v>2026</v>
      </c>
    </row>
    <row r="21" spans="3:32">
      <c r="C21" s="126">
        <v>14</v>
      </c>
      <c r="D21" s="126">
        <v>2</v>
      </c>
      <c r="E21" s="126">
        <v>10</v>
      </c>
      <c r="F21" s="126">
        <v>1</v>
      </c>
      <c r="G21" s="126">
        <v>1</v>
      </c>
      <c r="H21" s="126">
        <v>1</v>
      </c>
      <c r="I21" s="126">
        <v>1</v>
      </c>
      <c r="J21" s="126">
        <v>153</v>
      </c>
      <c r="P21" s="126">
        <v>2</v>
      </c>
      <c r="R21" s="126" t="s">
        <v>549</v>
      </c>
      <c r="S21" s="259">
        <v>0</v>
      </c>
      <c r="T21" s="259">
        <v>5.5</v>
      </c>
      <c r="U21" s="68" t="s">
        <v>558</v>
      </c>
      <c r="V21" s="126">
        <v>1</v>
      </c>
      <c r="Z21" s="126">
        <v>1</v>
      </c>
      <c r="AA21" s="126">
        <v>1</v>
      </c>
      <c r="AB21" s="126">
        <v>1</v>
      </c>
      <c r="AC21" s="126">
        <v>6</v>
      </c>
      <c r="AD21" s="126">
        <v>2026</v>
      </c>
      <c r="AF21" s="261"/>
    </row>
    <row r="22" spans="3:32">
      <c r="C22" s="126">
        <v>15</v>
      </c>
      <c r="D22" s="126">
        <v>3</v>
      </c>
      <c r="E22" s="126">
        <v>2</v>
      </c>
      <c r="F22" s="126">
        <v>1</v>
      </c>
      <c r="G22" s="126">
        <v>1</v>
      </c>
      <c r="H22" s="126">
        <v>1</v>
      </c>
      <c r="I22" s="126">
        <v>1</v>
      </c>
      <c r="R22" s="126" t="s">
        <v>549</v>
      </c>
      <c r="S22" s="259">
        <v>43.26</v>
      </c>
      <c r="T22" s="259">
        <v>0</v>
      </c>
      <c r="U22" s="68" t="s">
        <v>553</v>
      </c>
      <c r="V22" s="126">
        <v>1</v>
      </c>
      <c r="Z22" s="126">
        <v>1</v>
      </c>
      <c r="AA22" s="126">
        <v>1</v>
      </c>
      <c r="AB22" s="126">
        <v>1</v>
      </c>
      <c r="AC22" s="126">
        <v>6</v>
      </c>
      <c r="AD22" s="126">
        <v>2026</v>
      </c>
    </row>
    <row r="23" spans="3:32">
      <c r="C23" s="126">
        <v>16</v>
      </c>
      <c r="D23" s="126">
        <v>3</v>
      </c>
      <c r="E23" s="126">
        <v>3</v>
      </c>
      <c r="F23" s="126">
        <v>1</v>
      </c>
      <c r="G23" s="126">
        <v>1</v>
      </c>
      <c r="H23" s="126">
        <v>1</v>
      </c>
      <c r="I23" s="126">
        <v>1</v>
      </c>
      <c r="J23" s="126">
        <v>179</v>
      </c>
      <c r="M23" s="126">
        <v>3</v>
      </c>
      <c r="N23" s="126">
        <v>0</v>
      </c>
      <c r="P23" s="126">
        <v>3</v>
      </c>
      <c r="R23" s="126" t="s">
        <v>549</v>
      </c>
      <c r="S23" s="259">
        <v>0</v>
      </c>
      <c r="T23" s="259">
        <v>1.5</v>
      </c>
      <c r="U23" s="68" t="s">
        <v>567</v>
      </c>
      <c r="V23" s="126">
        <v>1</v>
      </c>
      <c r="Z23" s="126">
        <v>1</v>
      </c>
      <c r="AA23" s="126">
        <v>1</v>
      </c>
      <c r="AB23" s="126">
        <v>1</v>
      </c>
      <c r="AC23" s="126">
        <v>6</v>
      </c>
      <c r="AD23" s="126">
        <v>2026</v>
      </c>
    </row>
    <row r="24" spans="3:32">
      <c r="C24" s="126">
        <v>17</v>
      </c>
      <c r="D24" s="126">
        <v>3</v>
      </c>
      <c r="E24" s="126">
        <v>11</v>
      </c>
      <c r="F24" s="126">
        <v>1</v>
      </c>
      <c r="G24" s="126">
        <v>1</v>
      </c>
      <c r="H24" s="126">
        <v>1</v>
      </c>
      <c r="I24" s="126">
        <v>1</v>
      </c>
      <c r="J24" s="126">
        <v>179</v>
      </c>
      <c r="M24" s="126">
        <v>3</v>
      </c>
      <c r="N24" s="126">
        <v>1</v>
      </c>
      <c r="P24" s="126">
        <v>3</v>
      </c>
      <c r="R24" s="126" t="s">
        <v>549</v>
      </c>
      <c r="S24" s="259">
        <v>1.5</v>
      </c>
      <c r="T24" s="259">
        <v>0</v>
      </c>
      <c r="U24" s="68" t="s">
        <v>568</v>
      </c>
      <c r="V24" s="126">
        <v>1</v>
      </c>
      <c r="Z24" s="126">
        <v>1</v>
      </c>
      <c r="AA24" s="126">
        <v>1</v>
      </c>
      <c r="AB24" s="126">
        <v>1</v>
      </c>
      <c r="AC24" s="126">
        <v>6</v>
      </c>
      <c r="AD24" s="126">
        <v>2026</v>
      </c>
    </row>
    <row r="25" spans="3:32">
      <c r="C25" s="126">
        <v>18</v>
      </c>
      <c r="D25" s="126">
        <v>3</v>
      </c>
      <c r="E25" s="126">
        <v>10</v>
      </c>
      <c r="F25" s="126">
        <v>1</v>
      </c>
      <c r="G25" s="126">
        <v>1</v>
      </c>
      <c r="H25" s="126">
        <v>1</v>
      </c>
      <c r="I25" s="126">
        <v>1</v>
      </c>
      <c r="J25" s="126">
        <v>179</v>
      </c>
      <c r="P25" s="126">
        <v>3</v>
      </c>
      <c r="R25" s="126" t="s">
        <v>549</v>
      </c>
      <c r="S25" s="259">
        <v>0</v>
      </c>
      <c r="T25" s="259">
        <v>2.7</v>
      </c>
      <c r="U25" s="68" t="s">
        <v>569</v>
      </c>
      <c r="V25" s="126">
        <v>1</v>
      </c>
      <c r="Z25" s="126">
        <v>1</v>
      </c>
      <c r="AA25" s="126">
        <v>1</v>
      </c>
      <c r="AB25" s="126">
        <v>1</v>
      </c>
      <c r="AC25" s="126">
        <v>6</v>
      </c>
      <c r="AD25" s="126">
        <v>2026</v>
      </c>
    </row>
    <row r="26" spans="3:32">
      <c r="C26" s="126">
        <v>19</v>
      </c>
      <c r="D26" s="126">
        <v>3</v>
      </c>
      <c r="E26" s="126">
        <v>3</v>
      </c>
      <c r="F26" s="126">
        <v>1</v>
      </c>
      <c r="G26" s="126">
        <v>1</v>
      </c>
      <c r="H26" s="126">
        <v>1</v>
      </c>
      <c r="I26" s="126">
        <v>1</v>
      </c>
      <c r="J26" s="126">
        <v>192</v>
      </c>
      <c r="M26" s="126">
        <v>4</v>
      </c>
      <c r="N26" s="126">
        <v>0</v>
      </c>
      <c r="P26" s="126">
        <v>4</v>
      </c>
      <c r="R26" s="126" t="s">
        <v>549</v>
      </c>
      <c r="S26" s="259">
        <v>0</v>
      </c>
      <c r="T26" s="259">
        <v>6.03</v>
      </c>
      <c r="U26" s="68" t="s">
        <v>573</v>
      </c>
      <c r="V26" s="126">
        <v>1</v>
      </c>
      <c r="Z26" s="126">
        <v>1</v>
      </c>
      <c r="AA26" s="126">
        <v>1</v>
      </c>
      <c r="AB26" s="126">
        <v>1</v>
      </c>
      <c r="AC26" s="126">
        <v>6</v>
      </c>
      <c r="AD26" s="126">
        <v>2026</v>
      </c>
    </row>
    <row r="27" spans="3:32">
      <c r="C27" s="126">
        <v>20</v>
      </c>
      <c r="D27" s="126">
        <v>3</v>
      </c>
      <c r="E27" s="126">
        <v>11</v>
      </c>
      <c r="F27" s="126">
        <v>1</v>
      </c>
      <c r="G27" s="126">
        <v>1</v>
      </c>
      <c r="H27" s="126">
        <v>1</v>
      </c>
      <c r="I27" s="126">
        <v>1</v>
      </c>
      <c r="J27" s="126">
        <v>192</v>
      </c>
      <c r="M27" s="126">
        <v>4</v>
      </c>
      <c r="N27" s="126">
        <v>1</v>
      </c>
      <c r="P27" s="126">
        <v>4</v>
      </c>
      <c r="R27" s="126" t="s">
        <v>549</v>
      </c>
      <c r="S27" s="259">
        <v>6.03</v>
      </c>
      <c r="T27" s="259">
        <v>0</v>
      </c>
      <c r="U27" s="68" t="s">
        <v>574</v>
      </c>
      <c r="V27" s="126">
        <v>1</v>
      </c>
      <c r="Z27" s="126">
        <v>1</v>
      </c>
      <c r="AA27" s="126">
        <v>1</v>
      </c>
      <c r="AB27" s="126">
        <v>1</v>
      </c>
      <c r="AC27" s="126">
        <v>6</v>
      </c>
      <c r="AD27" s="126">
        <v>2026</v>
      </c>
    </row>
    <row r="28" spans="3:32">
      <c r="C28" s="126">
        <v>21</v>
      </c>
      <c r="D28" s="126">
        <v>3</v>
      </c>
      <c r="E28" s="126">
        <v>10</v>
      </c>
      <c r="F28" s="126">
        <v>1</v>
      </c>
      <c r="G28" s="126">
        <v>1</v>
      </c>
      <c r="H28" s="126">
        <v>1</v>
      </c>
      <c r="I28" s="126">
        <v>1</v>
      </c>
      <c r="J28" s="126">
        <v>192</v>
      </c>
      <c r="P28" s="126">
        <v>4</v>
      </c>
      <c r="R28" s="126" t="s">
        <v>549</v>
      </c>
      <c r="S28" s="259">
        <v>0</v>
      </c>
      <c r="T28" s="259">
        <v>6.5</v>
      </c>
      <c r="U28" s="68" t="s">
        <v>575</v>
      </c>
      <c r="V28" s="126">
        <v>1</v>
      </c>
      <c r="Z28" s="126">
        <v>1</v>
      </c>
      <c r="AA28" s="126">
        <v>1</v>
      </c>
      <c r="AB28" s="126">
        <v>1</v>
      </c>
      <c r="AC28" s="126">
        <v>6</v>
      </c>
      <c r="AD28" s="126">
        <v>2026</v>
      </c>
    </row>
    <row r="29" spans="3:32">
      <c r="C29" s="126">
        <v>22</v>
      </c>
      <c r="D29" s="126">
        <v>3</v>
      </c>
      <c r="E29" s="126">
        <v>3</v>
      </c>
      <c r="F29" s="126">
        <v>1</v>
      </c>
      <c r="G29" s="126">
        <v>1</v>
      </c>
      <c r="H29" s="126">
        <v>1</v>
      </c>
      <c r="I29" s="126">
        <v>1</v>
      </c>
      <c r="J29" s="126">
        <v>187</v>
      </c>
      <c r="M29" s="126">
        <v>5</v>
      </c>
      <c r="N29" s="126">
        <v>0</v>
      </c>
      <c r="P29" s="126">
        <v>5</v>
      </c>
      <c r="R29" s="126" t="s">
        <v>549</v>
      </c>
      <c r="S29" s="259">
        <v>0</v>
      </c>
      <c r="T29" s="259">
        <v>10.11</v>
      </c>
      <c r="U29" s="68" t="s">
        <v>578</v>
      </c>
      <c r="V29" s="126">
        <v>1</v>
      </c>
      <c r="Z29" s="126">
        <v>1</v>
      </c>
      <c r="AA29" s="126">
        <v>1</v>
      </c>
      <c r="AB29" s="126">
        <v>1</v>
      </c>
      <c r="AC29" s="126">
        <v>6</v>
      </c>
      <c r="AD29" s="126">
        <v>2026</v>
      </c>
    </row>
    <row r="30" spans="3:32">
      <c r="C30" s="126">
        <v>23</v>
      </c>
      <c r="D30" s="126">
        <v>3</v>
      </c>
      <c r="E30" s="126">
        <v>11</v>
      </c>
      <c r="F30" s="126">
        <v>1</v>
      </c>
      <c r="G30" s="126">
        <v>1</v>
      </c>
      <c r="H30" s="126">
        <v>1</v>
      </c>
      <c r="I30" s="126">
        <v>1</v>
      </c>
      <c r="J30" s="126">
        <v>187</v>
      </c>
      <c r="M30" s="126">
        <v>5</v>
      </c>
      <c r="N30" s="126">
        <v>1</v>
      </c>
      <c r="P30" s="126">
        <v>5</v>
      </c>
      <c r="R30" s="126" t="s">
        <v>549</v>
      </c>
      <c r="S30" s="259">
        <v>10.11</v>
      </c>
      <c r="T30" s="259">
        <v>0</v>
      </c>
      <c r="U30" s="68" t="s">
        <v>579</v>
      </c>
      <c r="V30" s="126">
        <v>1</v>
      </c>
      <c r="Z30" s="126">
        <v>1</v>
      </c>
      <c r="AA30" s="126">
        <v>1</v>
      </c>
      <c r="AB30" s="126">
        <v>1</v>
      </c>
      <c r="AC30" s="126">
        <v>6</v>
      </c>
      <c r="AD30" s="126">
        <v>2026</v>
      </c>
    </row>
    <row r="31" spans="3:32">
      <c r="C31" s="126">
        <v>24</v>
      </c>
      <c r="D31" s="126">
        <v>3</v>
      </c>
      <c r="E31" s="126">
        <v>10</v>
      </c>
      <c r="F31" s="126">
        <v>1</v>
      </c>
      <c r="G31" s="126">
        <v>1</v>
      </c>
      <c r="H31" s="126">
        <v>1</v>
      </c>
      <c r="I31" s="126">
        <v>1</v>
      </c>
      <c r="J31" s="126">
        <v>187</v>
      </c>
      <c r="P31" s="126">
        <v>5</v>
      </c>
      <c r="R31" s="126" t="s">
        <v>549</v>
      </c>
      <c r="S31" s="259">
        <v>0</v>
      </c>
      <c r="T31" s="259">
        <v>10.5</v>
      </c>
      <c r="U31" s="68" t="s">
        <v>580</v>
      </c>
      <c r="V31" s="126">
        <v>1</v>
      </c>
      <c r="Z31" s="126">
        <v>1</v>
      </c>
      <c r="AA31" s="126">
        <v>1</v>
      </c>
      <c r="AB31" s="126">
        <v>1</v>
      </c>
      <c r="AC31" s="126">
        <v>6</v>
      </c>
      <c r="AD31" s="126">
        <v>2026</v>
      </c>
    </row>
    <row r="32" spans="3:32">
      <c r="C32" s="126">
        <v>25</v>
      </c>
      <c r="D32" s="126">
        <v>3</v>
      </c>
      <c r="E32" s="126">
        <v>3</v>
      </c>
      <c r="F32" s="126">
        <v>1</v>
      </c>
      <c r="G32" s="126">
        <v>1</v>
      </c>
      <c r="H32" s="126">
        <v>1</v>
      </c>
      <c r="I32" s="126">
        <v>1</v>
      </c>
      <c r="J32" s="126">
        <v>4</v>
      </c>
      <c r="M32" s="126">
        <v>6</v>
      </c>
      <c r="N32" s="126">
        <v>0</v>
      </c>
      <c r="P32" s="126">
        <v>6</v>
      </c>
      <c r="R32" s="126" t="s">
        <v>549</v>
      </c>
      <c r="S32" s="259">
        <v>0</v>
      </c>
      <c r="T32" s="259">
        <v>5.8</v>
      </c>
      <c r="U32" s="68" t="s">
        <v>583</v>
      </c>
      <c r="V32" s="126">
        <v>1</v>
      </c>
      <c r="Z32" s="126">
        <v>1</v>
      </c>
      <c r="AA32" s="126">
        <v>1</v>
      </c>
      <c r="AB32" s="126">
        <v>1</v>
      </c>
      <c r="AC32" s="126">
        <v>6</v>
      </c>
      <c r="AD32" s="126">
        <v>2026</v>
      </c>
    </row>
    <row r="33" spans="3:30">
      <c r="C33" s="126">
        <v>26</v>
      </c>
      <c r="D33" s="126">
        <v>3</v>
      </c>
      <c r="E33" s="126">
        <v>11</v>
      </c>
      <c r="F33" s="126">
        <v>1</v>
      </c>
      <c r="G33" s="126">
        <v>1</v>
      </c>
      <c r="H33" s="126">
        <v>1</v>
      </c>
      <c r="I33" s="126">
        <v>1</v>
      </c>
      <c r="J33" s="126">
        <v>4</v>
      </c>
      <c r="M33" s="126">
        <v>6</v>
      </c>
      <c r="N33" s="126">
        <v>1</v>
      </c>
      <c r="P33" s="126">
        <v>6</v>
      </c>
      <c r="R33" s="126" t="s">
        <v>549</v>
      </c>
      <c r="S33" s="259">
        <v>5.8</v>
      </c>
      <c r="T33" s="259">
        <v>0</v>
      </c>
      <c r="U33" s="68" t="s">
        <v>584</v>
      </c>
      <c r="V33" s="126">
        <v>1</v>
      </c>
      <c r="Z33" s="126">
        <v>1</v>
      </c>
      <c r="AA33" s="126">
        <v>1</v>
      </c>
      <c r="AB33" s="126">
        <v>1</v>
      </c>
      <c r="AC33" s="126">
        <v>6</v>
      </c>
      <c r="AD33" s="126">
        <v>2026</v>
      </c>
    </row>
    <row r="34" spans="3:30">
      <c r="C34" s="126">
        <v>27</v>
      </c>
      <c r="D34" s="126">
        <v>3</v>
      </c>
      <c r="E34" s="126">
        <v>10</v>
      </c>
      <c r="F34" s="126">
        <v>1</v>
      </c>
      <c r="G34" s="126">
        <v>1</v>
      </c>
      <c r="H34" s="126">
        <v>1</v>
      </c>
      <c r="I34" s="126">
        <v>1</v>
      </c>
      <c r="J34" s="126">
        <v>4</v>
      </c>
      <c r="P34" s="126">
        <v>6</v>
      </c>
      <c r="R34" s="126" t="s">
        <v>549</v>
      </c>
      <c r="S34" s="259">
        <v>0</v>
      </c>
      <c r="T34" s="259">
        <v>6</v>
      </c>
      <c r="U34" s="68" t="s">
        <v>585</v>
      </c>
      <c r="V34" s="126">
        <v>1</v>
      </c>
      <c r="Z34" s="126">
        <v>1</v>
      </c>
      <c r="AA34" s="126">
        <v>1</v>
      </c>
      <c r="AB34" s="126">
        <v>1</v>
      </c>
      <c r="AC34" s="126">
        <v>6</v>
      </c>
      <c r="AD34" s="126">
        <v>2026</v>
      </c>
    </row>
    <row r="35" spans="3:30">
      <c r="C35" s="126">
        <v>28</v>
      </c>
      <c r="D35" s="126">
        <v>3</v>
      </c>
      <c r="E35" s="126">
        <v>3</v>
      </c>
      <c r="F35" s="126">
        <v>1</v>
      </c>
      <c r="G35" s="126">
        <v>1</v>
      </c>
      <c r="H35" s="126">
        <v>1</v>
      </c>
      <c r="I35" s="126">
        <v>1</v>
      </c>
      <c r="J35" s="126">
        <v>10</v>
      </c>
      <c r="M35" s="126">
        <v>7</v>
      </c>
      <c r="N35" s="126">
        <v>0</v>
      </c>
      <c r="P35" s="126">
        <v>7</v>
      </c>
      <c r="R35" s="126" t="s">
        <v>549</v>
      </c>
      <c r="S35" s="259">
        <v>0</v>
      </c>
      <c r="T35" s="259">
        <v>14.85</v>
      </c>
      <c r="U35" s="68" t="s">
        <v>588</v>
      </c>
      <c r="V35" s="126">
        <v>1</v>
      </c>
      <c r="Z35" s="126">
        <v>1</v>
      </c>
      <c r="AA35" s="126">
        <v>1</v>
      </c>
      <c r="AB35" s="126">
        <v>1</v>
      </c>
      <c r="AC35" s="126">
        <v>6</v>
      </c>
      <c r="AD35" s="126">
        <v>2026</v>
      </c>
    </row>
    <row r="36" spans="3:30">
      <c r="C36" s="126">
        <v>29</v>
      </c>
      <c r="D36" s="126">
        <v>3</v>
      </c>
      <c r="E36" s="126">
        <v>11</v>
      </c>
      <c r="F36" s="126">
        <v>1</v>
      </c>
      <c r="G36" s="126">
        <v>1</v>
      </c>
      <c r="H36" s="126">
        <v>1</v>
      </c>
      <c r="I36" s="126">
        <v>1</v>
      </c>
      <c r="J36" s="126">
        <v>10</v>
      </c>
      <c r="M36" s="126">
        <v>7</v>
      </c>
      <c r="N36" s="126">
        <v>1</v>
      </c>
      <c r="P36" s="126">
        <v>7</v>
      </c>
      <c r="R36" s="126" t="s">
        <v>549</v>
      </c>
      <c r="S36" s="259">
        <v>14.85</v>
      </c>
      <c r="T36" s="259">
        <v>0</v>
      </c>
      <c r="U36" s="68" t="s">
        <v>589</v>
      </c>
      <c r="V36" s="126">
        <v>1</v>
      </c>
      <c r="Z36" s="126">
        <v>1</v>
      </c>
      <c r="AA36" s="126">
        <v>1</v>
      </c>
      <c r="AB36" s="126">
        <v>1</v>
      </c>
      <c r="AC36" s="126">
        <v>6</v>
      </c>
      <c r="AD36" s="126">
        <v>2026</v>
      </c>
    </row>
    <row r="37" spans="3:30">
      <c r="C37" s="126">
        <v>30</v>
      </c>
      <c r="D37" s="126">
        <v>3</v>
      </c>
      <c r="E37" s="126">
        <v>10</v>
      </c>
      <c r="F37" s="126">
        <v>1</v>
      </c>
      <c r="G37" s="126">
        <v>1</v>
      </c>
      <c r="H37" s="126">
        <v>1</v>
      </c>
      <c r="I37" s="126">
        <v>1</v>
      </c>
      <c r="J37" s="126">
        <v>10</v>
      </c>
      <c r="P37" s="126">
        <v>7</v>
      </c>
      <c r="R37" s="126" t="s">
        <v>549</v>
      </c>
      <c r="S37" s="259">
        <v>0</v>
      </c>
      <c r="T37" s="259">
        <v>15</v>
      </c>
      <c r="U37" s="68" t="s">
        <v>590</v>
      </c>
      <c r="V37" s="126">
        <v>1</v>
      </c>
      <c r="Z37" s="126">
        <v>1</v>
      </c>
      <c r="AA37" s="126">
        <v>1</v>
      </c>
      <c r="AB37" s="126">
        <v>1</v>
      </c>
      <c r="AC37" s="126">
        <v>6</v>
      </c>
      <c r="AD37" s="126">
        <v>2026</v>
      </c>
    </row>
    <row r="38" spans="3:30">
      <c r="C38" s="126">
        <v>31</v>
      </c>
      <c r="D38" s="126">
        <v>3</v>
      </c>
      <c r="E38" s="126">
        <v>3</v>
      </c>
      <c r="F38" s="126">
        <v>1</v>
      </c>
      <c r="G38" s="126">
        <v>1</v>
      </c>
      <c r="H38" s="126">
        <v>1</v>
      </c>
      <c r="I38" s="126">
        <v>1</v>
      </c>
      <c r="J38" s="126">
        <v>105</v>
      </c>
      <c r="M38" s="126">
        <v>8</v>
      </c>
      <c r="N38" s="126">
        <v>0</v>
      </c>
      <c r="P38" s="126">
        <v>8</v>
      </c>
      <c r="R38" s="126" t="s">
        <v>549</v>
      </c>
      <c r="S38" s="259">
        <v>0</v>
      </c>
      <c r="T38" s="259">
        <v>1.1000000000000001</v>
      </c>
      <c r="U38" s="68" t="s">
        <v>593</v>
      </c>
      <c r="V38" s="126">
        <v>1</v>
      </c>
      <c r="Z38" s="126">
        <v>1</v>
      </c>
      <c r="AA38" s="126">
        <v>1</v>
      </c>
      <c r="AB38" s="126">
        <v>1</v>
      </c>
      <c r="AC38" s="126">
        <v>6</v>
      </c>
      <c r="AD38" s="126">
        <v>2026</v>
      </c>
    </row>
    <row r="39" spans="3:30">
      <c r="C39" s="126">
        <v>32</v>
      </c>
      <c r="D39" s="126">
        <v>3</v>
      </c>
      <c r="E39" s="126">
        <v>11</v>
      </c>
      <c r="F39" s="126">
        <v>1</v>
      </c>
      <c r="G39" s="126">
        <v>1</v>
      </c>
      <c r="H39" s="126">
        <v>1</v>
      </c>
      <c r="I39" s="126">
        <v>1</v>
      </c>
      <c r="J39" s="126">
        <v>105</v>
      </c>
      <c r="M39" s="126">
        <v>8</v>
      </c>
      <c r="N39" s="126">
        <v>1</v>
      </c>
      <c r="P39" s="126">
        <v>8</v>
      </c>
      <c r="R39" s="126" t="s">
        <v>549</v>
      </c>
      <c r="S39" s="259">
        <v>1.1000000000000001</v>
      </c>
      <c r="T39" s="259">
        <v>0</v>
      </c>
      <c r="U39" s="68" t="s">
        <v>594</v>
      </c>
      <c r="V39" s="126">
        <v>1</v>
      </c>
      <c r="Z39" s="126">
        <v>1</v>
      </c>
      <c r="AA39" s="126">
        <v>1</v>
      </c>
      <c r="AB39" s="126">
        <v>1</v>
      </c>
      <c r="AC39" s="126">
        <v>6</v>
      </c>
      <c r="AD39" s="126">
        <v>2026</v>
      </c>
    </row>
    <row r="40" spans="3:30">
      <c r="C40" s="126">
        <v>33</v>
      </c>
      <c r="D40" s="126">
        <v>3</v>
      </c>
      <c r="E40" s="126">
        <v>10</v>
      </c>
      <c r="F40" s="126">
        <v>1</v>
      </c>
      <c r="G40" s="126">
        <v>1</v>
      </c>
      <c r="H40" s="126">
        <v>1</v>
      </c>
      <c r="I40" s="126">
        <v>1</v>
      </c>
      <c r="J40" s="126">
        <v>105</v>
      </c>
      <c r="P40" s="126">
        <v>8</v>
      </c>
      <c r="R40" s="126" t="s">
        <v>549</v>
      </c>
      <c r="S40" s="259">
        <v>0</v>
      </c>
      <c r="T40" s="259">
        <v>1.25</v>
      </c>
      <c r="U40" s="68" t="s">
        <v>595</v>
      </c>
      <c r="V40" s="126">
        <v>1</v>
      </c>
      <c r="Z40" s="126">
        <v>1</v>
      </c>
      <c r="AA40" s="126">
        <v>1</v>
      </c>
      <c r="AB40" s="126">
        <v>1</v>
      </c>
      <c r="AC40" s="126">
        <v>6</v>
      </c>
      <c r="AD40" s="126">
        <v>2026</v>
      </c>
    </row>
    <row r="41" spans="3:30">
      <c r="C41" s="126">
        <v>34</v>
      </c>
      <c r="D41" s="126">
        <v>3</v>
      </c>
      <c r="E41" s="126">
        <v>3</v>
      </c>
      <c r="F41" s="126">
        <v>1</v>
      </c>
      <c r="G41" s="126">
        <v>1</v>
      </c>
      <c r="H41" s="126">
        <v>1</v>
      </c>
      <c r="I41" s="126">
        <v>1</v>
      </c>
      <c r="J41" s="126">
        <v>48</v>
      </c>
      <c r="M41" s="126">
        <v>9</v>
      </c>
      <c r="N41" s="126">
        <v>0</v>
      </c>
      <c r="P41" s="126">
        <v>9</v>
      </c>
      <c r="R41" s="126" t="s">
        <v>549</v>
      </c>
      <c r="S41" s="259">
        <v>0</v>
      </c>
      <c r="T41" s="259">
        <v>0.36</v>
      </c>
      <c r="U41" s="68" t="s">
        <v>598</v>
      </c>
      <c r="V41" s="126">
        <v>1</v>
      </c>
      <c r="Z41" s="126">
        <v>1</v>
      </c>
      <c r="AA41" s="126">
        <v>1</v>
      </c>
      <c r="AB41" s="126">
        <v>1</v>
      </c>
      <c r="AC41" s="126">
        <v>6</v>
      </c>
      <c r="AD41" s="126">
        <v>2026</v>
      </c>
    </row>
    <row r="42" spans="3:30">
      <c r="C42" s="126">
        <v>35</v>
      </c>
      <c r="D42" s="126">
        <v>3</v>
      </c>
      <c r="E42" s="126">
        <v>11</v>
      </c>
      <c r="F42" s="126">
        <v>1</v>
      </c>
      <c r="G42" s="126">
        <v>1</v>
      </c>
      <c r="H42" s="126">
        <v>1</v>
      </c>
      <c r="I42" s="126">
        <v>1</v>
      </c>
      <c r="J42" s="126">
        <v>48</v>
      </c>
      <c r="M42" s="126">
        <v>9</v>
      </c>
      <c r="N42" s="126">
        <v>1</v>
      </c>
      <c r="P42" s="126">
        <v>9</v>
      </c>
      <c r="R42" s="126" t="s">
        <v>549</v>
      </c>
      <c r="S42" s="259">
        <v>0.36</v>
      </c>
      <c r="T42" s="259">
        <v>0</v>
      </c>
      <c r="U42" s="68" t="s">
        <v>599</v>
      </c>
      <c r="V42" s="126">
        <v>1</v>
      </c>
      <c r="Z42" s="126">
        <v>1</v>
      </c>
      <c r="AA42" s="126">
        <v>1</v>
      </c>
      <c r="AB42" s="126">
        <v>1</v>
      </c>
      <c r="AC42" s="126">
        <v>6</v>
      </c>
      <c r="AD42" s="126">
        <v>2026</v>
      </c>
    </row>
    <row r="43" spans="3:30">
      <c r="C43" s="126">
        <v>36</v>
      </c>
      <c r="D43" s="126">
        <v>3</v>
      </c>
      <c r="E43" s="126">
        <v>10</v>
      </c>
      <c r="F43" s="126">
        <v>1</v>
      </c>
      <c r="G43" s="126">
        <v>1</v>
      </c>
      <c r="H43" s="126">
        <v>1</v>
      </c>
      <c r="I43" s="126">
        <v>1</v>
      </c>
      <c r="J43" s="126">
        <v>48</v>
      </c>
      <c r="P43" s="126">
        <v>9</v>
      </c>
      <c r="R43" s="126" t="s">
        <v>549</v>
      </c>
      <c r="S43" s="259">
        <v>0</v>
      </c>
      <c r="T43" s="259">
        <v>0.75</v>
      </c>
      <c r="U43" s="68" t="s">
        <v>600</v>
      </c>
      <c r="V43" s="126">
        <v>1</v>
      </c>
      <c r="Z43" s="126">
        <v>1</v>
      </c>
      <c r="AA43" s="126">
        <v>1</v>
      </c>
      <c r="AB43" s="126">
        <v>1</v>
      </c>
      <c r="AC43" s="126">
        <v>6</v>
      </c>
      <c r="AD43" s="126">
        <v>2026</v>
      </c>
    </row>
    <row r="44" spans="3:30">
      <c r="C44" s="126">
        <v>37</v>
      </c>
      <c r="D44" s="126">
        <v>3</v>
      </c>
      <c r="E44" s="126">
        <v>3</v>
      </c>
      <c r="F44" s="126">
        <v>1</v>
      </c>
      <c r="G44" s="126">
        <v>1</v>
      </c>
      <c r="H44" s="126">
        <v>1</v>
      </c>
      <c r="I44" s="126">
        <v>1</v>
      </c>
      <c r="J44" s="126">
        <v>169</v>
      </c>
      <c r="M44" s="126">
        <v>10</v>
      </c>
      <c r="N44" s="126">
        <v>0</v>
      </c>
      <c r="P44" s="126">
        <v>10</v>
      </c>
      <c r="R44" s="126" t="s">
        <v>549</v>
      </c>
      <c r="S44" s="259">
        <v>0</v>
      </c>
      <c r="T44" s="259">
        <v>0.5</v>
      </c>
      <c r="U44" s="68" t="s">
        <v>603</v>
      </c>
      <c r="V44" s="126">
        <v>1</v>
      </c>
      <c r="Z44" s="126">
        <v>1</v>
      </c>
      <c r="AA44" s="126">
        <v>1</v>
      </c>
      <c r="AB44" s="126">
        <v>1</v>
      </c>
      <c r="AC44" s="126">
        <v>6</v>
      </c>
      <c r="AD44" s="126">
        <v>2026</v>
      </c>
    </row>
    <row r="45" spans="3:30">
      <c r="C45" s="126">
        <v>38</v>
      </c>
      <c r="D45" s="126">
        <v>3</v>
      </c>
      <c r="E45" s="126">
        <v>11</v>
      </c>
      <c r="F45" s="126">
        <v>1</v>
      </c>
      <c r="G45" s="126">
        <v>1</v>
      </c>
      <c r="H45" s="126">
        <v>1</v>
      </c>
      <c r="I45" s="126">
        <v>1</v>
      </c>
      <c r="J45" s="126">
        <v>169</v>
      </c>
      <c r="M45" s="126">
        <v>10</v>
      </c>
      <c r="N45" s="126">
        <v>1</v>
      </c>
      <c r="P45" s="126">
        <v>10</v>
      </c>
      <c r="R45" s="126" t="s">
        <v>549</v>
      </c>
      <c r="S45" s="259">
        <v>0.5</v>
      </c>
      <c r="T45" s="259">
        <v>0</v>
      </c>
      <c r="U45" s="68" t="s">
        <v>604</v>
      </c>
      <c r="V45" s="126">
        <v>1</v>
      </c>
      <c r="Z45" s="126">
        <v>1</v>
      </c>
      <c r="AA45" s="126">
        <v>1</v>
      </c>
      <c r="AB45" s="126">
        <v>1</v>
      </c>
      <c r="AC45" s="126">
        <v>6</v>
      </c>
      <c r="AD45" s="126">
        <v>2026</v>
      </c>
    </row>
    <row r="46" spans="3:30">
      <c r="C46" s="126">
        <v>39</v>
      </c>
      <c r="D46" s="126">
        <v>3</v>
      </c>
      <c r="E46" s="126">
        <v>10</v>
      </c>
      <c r="F46" s="126">
        <v>1</v>
      </c>
      <c r="G46" s="126">
        <v>1</v>
      </c>
      <c r="H46" s="126">
        <v>1</v>
      </c>
      <c r="I46" s="126">
        <v>1</v>
      </c>
      <c r="J46" s="126">
        <v>169</v>
      </c>
      <c r="P46" s="126">
        <v>10</v>
      </c>
      <c r="R46" s="126" t="s">
        <v>549</v>
      </c>
      <c r="S46" s="259">
        <v>0</v>
      </c>
      <c r="T46" s="259">
        <v>0.63</v>
      </c>
      <c r="U46" s="68" t="s">
        <v>605</v>
      </c>
      <c r="V46" s="126">
        <v>1</v>
      </c>
      <c r="Z46" s="126">
        <v>1</v>
      </c>
      <c r="AA46" s="126">
        <v>1</v>
      </c>
      <c r="AB46" s="126">
        <v>1</v>
      </c>
      <c r="AC46" s="126">
        <v>6</v>
      </c>
      <c r="AD46" s="126">
        <v>2026</v>
      </c>
    </row>
    <row r="47" spans="3:30">
      <c r="C47" s="126">
        <v>40</v>
      </c>
      <c r="D47" s="126">
        <v>4</v>
      </c>
      <c r="E47" s="126">
        <v>2</v>
      </c>
      <c r="F47" s="126">
        <v>1</v>
      </c>
      <c r="G47" s="126">
        <v>1</v>
      </c>
      <c r="H47" s="126">
        <v>1</v>
      </c>
      <c r="I47" s="126">
        <v>1</v>
      </c>
      <c r="R47" s="126" t="s">
        <v>549</v>
      </c>
      <c r="S47" s="259">
        <v>58</v>
      </c>
      <c r="T47" s="259">
        <v>0</v>
      </c>
      <c r="U47" s="68" t="s">
        <v>607</v>
      </c>
      <c r="V47" s="126">
        <v>1</v>
      </c>
      <c r="Z47" s="126">
        <v>1</v>
      </c>
      <c r="AA47" s="126">
        <v>1</v>
      </c>
      <c r="AB47" s="126">
        <v>1</v>
      </c>
      <c r="AC47" s="126">
        <v>6</v>
      </c>
      <c r="AD47" s="126">
        <v>2026</v>
      </c>
    </row>
    <row r="48" spans="3:30">
      <c r="C48" s="126">
        <v>41</v>
      </c>
      <c r="D48" s="126">
        <v>4</v>
      </c>
      <c r="E48" s="126">
        <v>3</v>
      </c>
      <c r="F48" s="126">
        <v>1</v>
      </c>
      <c r="G48" s="126">
        <v>1</v>
      </c>
      <c r="H48" s="126">
        <v>1</v>
      </c>
      <c r="I48" s="126">
        <v>1</v>
      </c>
      <c r="J48" s="126">
        <v>195</v>
      </c>
      <c r="M48" s="126">
        <v>11</v>
      </c>
      <c r="N48" s="126">
        <v>0</v>
      </c>
      <c r="P48" s="126">
        <v>11</v>
      </c>
      <c r="R48" s="126" t="s">
        <v>549</v>
      </c>
      <c r="S48" s="259">
        <v>0</v>
      </c>
      <c r="T48" s="259">
        <v>18.84</v>
      </c>
      <c r="U48" s="68" t="s">
        <v>610</v>
      </c>
      <c r="V48" s="126">
        <v>1</v>
      </c>
      <c r="Z48" s="126">
        <v>1</v>
      </c>
      <c r="AA48" s="126">
        <v>1</v>
      </c>
      <c r="AB48" s="126">
        <v>1</v>
      </c>
      <c r="AC48" s="126">
        <v>6</v>
      </c>
      <c r="AD48" s="126">
        <v>2026</v>
      </c>
    </row>
    <row r="49" spans="3:30">
      <c r="C49" s="126">
        <v>42</v>
      </c>
      <c r="D49" s="126">
        <v>4</v>
      </c>
      <c r="E49" s="126">
        <v>11</v>
      </c>
      <c r="F49" s="126">
        <v>1</v>
      </c>
      <c r="G49" s="126">
        <v>1</v>
      </c>
      <c r="H49" s="126">
        <v>1</v>
      </c>
      <c r="I49" s="126">
        <v>1</v>
      </c>
      <c r="J49" s="126">
        <v>195</v>
      </c>
      <c r="M49" s="126">
        <v>11</v>
      </c>
      <c r="N49" s="126">
        <v>1</v>
      </c>
      <c r="P49" s="126">
        <v>11</v>
      </c>
      <c r="R49" s="126" t="s">
        <v>549</v>
      </c>
      <c r="S49" s="259">
        <v>18.84</v>
      </c>
      <c r="T49" s="259">
        <v>0</v>
      </c>
      <c r="U49" s="68" t="s">
        <v>611</v>
      </c>
      <c r="V49" s="126">
        <v>1</v>
      </c>
      <c r="Z49" s="126">
        <v>1</v>
      </c>
      <c r="AA49" s="126">
        <v>1</v>
      </c>
      <c r="AB49" s="126">
        <v>1</v>
      </c>
      <c r="AC49" s="126">
        <v>6</v>
      </c>
      <c r="AD49" s="126">
        <v>2026</v>
      </c>
    </row>
    <row r="50" spans="3:30">
      <c r="C50" s="126">
        <v>43</v>
      </c>
      <c r="D50" s="126">
        <v>4</v>
      </c>
      <c r="E50" s="126">
        <v>10</v>
      </c>
      <c r="F50" s="126">
        <v>1</v>
      </c>
      <c r="G50" s="126">
        <v>1</v>
      </c>
      <c r="H50" s="126">
        <v>1</v>
      </c>
      <c r="I50" s="126">
        <v>1</v>
      </c>
      <c r="J50" s="126">
        <v>195</v>
      </c>
      <c r="P50" s="126">
        <v>11</v>
      </c>
      <c r="R50" s="126" t="s">
        <v>549</v>
      </c>
      <c r="S50" s="259">
        <v>0</v>
      </c>
      <c r="T50" s="259">
        <v>18</v>
      </c>
      <c r="U50" s="68" t="s">
        <v>612</v>
      </c>
      <c r="V50" s="126">
        <v>1</v>
      </c>
      <c r="Z50" s="126">
        <v>1</v>
      </c>
      <c r="AA50" s="126">
        <v>1</v>
      </c>
      <c r="AB50" s="126">
        <v>1</v>
      </c>
      <c r="AC50" s="126">
        <v>6</v>
      </c>
      <c r="AD50" s="126">
        <v>2026</v>
      </c>
    </row>
    <row r="51" spans="3:30">
      <c r="C51" s="126">
        <v>44</v>
      </c>
      <c r="D51" s="126">
        <v>4</v>
      </c>
      <c r="E51" s="126">
        <v>3</v>
      </c>
      <c r="F51" s="126">
        <v>1</v>
      </c>
      <c r="G51" s="126">
        <v>1</v>
      </c>
      <c r="H51" s="126">
        <v>1</v>
      </c>
      <c r="I51" s="126">
        <v>1</v>
      </c>
      <c r="J51" s="126">
        <v>187</v>
      </c>
      <c r="M51" s="126">
        <v>12</v>
      </c>
      <c r="N51" s="126">
        <v>0</v>
      </c>
      <c r="P51" s="126">
        <v>12</v>
      </c>
      <c r="R51" s="126" t="s">
        <v>549</v>
      </c>
      <c r="S51" s="259">
        <v>0</v>
      </c>
      <c r="T51" s="259">
        <v>6.74</v>
      </c>
      <c r="U51" s="68" t="s">
        <v>613</v>
      </c>
      <c r="V51" s="126">
        <v>1</v>
      </c>
      <c r="Z51" s="126">
        <v>1</v>
      </c>
      <c r="AA51" s="126">
        <v>1</v>
      </c>
      <c r="AB51" s="126">
        <v>1</v>
      </c>
      <c r="AC51" s="126">
        <v>6</v>
      </c>
      <c r="AD51" s="126">
        <v>2026</v>
      </c>
    </row>
    <row r="52" spans="3:30">
      <c r="C52" s="126">
        <v>45</v>
      </c>
      <c r="D52" s="126">
        <v>4</v>
      </c>
      <c r="E52" s="126">
        <v>11</v>
      </c>
      <c r="F52" s="126">
        <v>1</v>
      </c>
      <c r="G52" s="126">
        <v>1</v>
      </c>
      <c r="H52" s="126">
        <v>1</v>
      </c>
      <c r="I52" s="126">
        <v>1</v>
      </c>
      <c r="J52" s="126">
        <v>187</v>
      </c>
      <c r="M52" s="126">
        <v>12</v>
      </c>
      <c r="N52" s="126">
        <v>1</v>
      </c>
      <c r="P52" s="126">
        <v>12</v>
      </c>
      <c r="R52" s="126" t="s">
        <v>549</v>
      </c>
      <c r="S52" s="259">
        <v>6.74</v>
      </c>
      <c r="T52" s="259">
        <v>0</v>
      </c>
      <c r="U52" s="68" t="s">
        <v>614</v>
      </c>
      <c r="V52" s="126">
        <v>1</v>
      </c>
      <c r="Z52" s="126">
        <v>1</v>
      </c>
      <c r="AA52" s="126">
        <v>1</v>
      </c>
      <c r="AB52" s="126">
        <v>1</v>
      </c>
      <c r="AC52" s="126">
        <v>6</v>
      </c>
      <c r="AD52" s="126">
        <v>2026</v>
      </c>
    </row>
    <row r="53" spans="3:30">
      <c r="C53" s="126">
        <v>46</v>
      </c>
      <c r="D53" s="126">
        <v>4</v>
      </c>
      <c r="E53" s="126">
        <v>10</v>
      </c>
      <c r="F53" s="126">
        <v>1</v>
      </c>
      <c r="G53" s="126">
        <v>1</v>
      </c>
      <c r="H53" s="126">
        <v>1</v>
      </c>
      <c r="I53" s="126">
        <v>1</v>
      </c>
      <c r="J53" s="126">
        <v>187</v>
      </c>
      <c r="P53" s="126">
        <v>12</v>
      </c>
      <c r="R53" s="126" t="s">
        <v>549</v>
      </c>
      <c r="S53" s="259">
        <v>0</v>
      </c>
      <c r="T53" s="259">
        <v>7</v>
      </c>
      <c r="U53" s="68" t="s">
        <v>615</v>
      </c>
      <c r="V53" s="126">
        <v>1</v>
      </c>
      <c r="Z53" s="126">
        <v>1</v>
      </c>
      <c r="AA53" s="126">
        <v>1</v>
      </c>
      <c r="AB53" s="126">
        <v>1</v>
      </c>
      <c r="AC53" s="126">
        <v>6</v>
      </c>
      <c r="AD53" s="126">
        <v>2026</v>
      </c>
    </row>
    <row r="54" spans="3:30">
      <c r="C54" s="126">
        <v>47</v>
      </c>
      <c r="D54" s="126">
        <v>4</v>
      </c>
      <c r="E54" s="126">
        <v>3</v>
      </c>
      <c r="F54" s="126">
        <v>1</v>
      </c>
      <c r="G54" s="126">
        <v>1</v>
      </c>
      <c r="H54" s="126">
        <v>1</v>
      </c>
      <c r="I54" s="126">
        <v>1</v>
      </c>
      <c r="J54" s="126">
        <v>186</v>
      </c>
      <c r="M54" s="126">
        <v>13</v>
      </c>
      <c r="N54" s="126">
        <v>0</v>
      </c>
      <c r="P54" s="126">
        <v>13</v>
      </c>
      <c r="R54" s="126" t="s">
        <v>549</v>
      </c>
      <c r="S54" s="259">
        <v>0</v>
      </c>
      <c r="T54" s="259">
        <v>12</v>
      </c>
      <c r="U54" s="68" t="s">
        <v>619</v>
      </c>
      <c r="V54" s="126">
        <v>1</v>
      </c>
      <c r="Z54" s="126">
        <v>1</v>
      </c>
      <c r="AA54" s="126">
        <v>1</v>
      </c>
      <c r="AB54" s="126">
        <v>1</v>
      </c>
      <c r="AC54" s="126">
        <v>6</v>
      </c>
      <c r="AD54" s="126">
        <v>2026</v>
      </c>
    </row>
    <row r="55" spans="3:30">
      <c r="C55" s="126">
        <v>48</v>
      </c>
      <c r="D55" s="126">
        <v>4</v>
      </c>
      <c r="E55" s="126">
        <v>11</v>
      </c>
      <c r="F55" s="126">
        <v>1</v>
      </c>
      <c r="G55" s="126">
        <v>1</v>
      </c>
      <c r="H55" s="126">
        <v>1</v>
      </c>
      <c r="I55" s="126">
        <v>1</v>
      </c>
      <c r="J55" s="126">
        <v>186</v>
      </c>
      <c r="M55" s="126">
        <v>13</v>
      </c>
      <c r="N55" s="126">
        <v>1</v>
      </c>
      <c r="P55" s="126">
        <v>13</v>
      </c>
      <c r="R55" s="126" t="s">
        <v>549</v>
      </c>
      <c r="S55" s="259">
        <v>12</v>
      </c>
      <c r="T55" s="259">
        <v>0</v>
      </c>
      <c r="U55" s="68" t="s">
        <v>620</v>
      </c>
      <c r="V55" s="126">
        <v>1</v>
      </c>
      <c r="Z55" s="126">
        <v>1</v>
      </c>
      <c r="AA55" s="126">
        <v>1</v>
      </c>
      <c r="AB55" s="126">
        <v>1</v>
      </c>
      <c r="AC55" s="126">
        <v>6</v>
      </c>
      <c r="AD55" s="126">
        <v>2026</v>
      </c>
    </row>
    <row r="56" spans="3:30">
      <c r="C56" s="126">
        <v>49</v>
      </c>
      <c r="D56" s="126">
        <v>4</v>
      </c>
      <c r="E56" s="126">
        <v>10</v>
      </c>
      <c r="F56" s="126">
        <v>1</v>
      </c>
      <c r="G56" s="126">
        <v>1</v>
      </c>
      <c r="H56" s="126">
        <v>1</v>
      </c>
      <c r="I56" s="126">
        <v>1</v>
      </c>
      <c r="J56" s="126">
        <v>186</v>
      </c>
      <c r="P56" s="126">
        <v>13</v>
      </c>
      <c r="R56" s="126" t="s">
        <v>549</v>
      </c>
      <c r="S56" s="259">
        <v>0</v>
      </c>
      <c r="T56" s="259">
        <v>12</v>
      </c>
      <c r="U56" s="68" t="s">
        <v>621</v>
      </c>
      <c r="V56" s="126">
        <v>1</v>
      </c>
      <c r="Z56" s="126">
        <v>1</v>
      </c>
      <c r="AA56" s="126">
        <v>1</v>
      </c>
      <c r="AB56" s="126">
        <v>1</v>
      </c>
      <c r="AC56" s="126">
        <v>6</v>
      </c>
      <c r="AD56" s="126">
        <v>2026</v>
      </c>
    </row>
    <row r="57" spans="3:30">
      <c r="C57" s="126">
        <v>50</v>
      </c>
      <c r="D57" s="126">
        <v>4</v>
      </c>
      <c r="E57" s="126">
        <v>3</v>
      </c>
      <c r="F57" s="126">
        <v>1</v>
      </c>
      <c r="G57" s="126">
        <v>1</v>
      </c>
      <c r="H57" s="126">
        <v>1</v>
      </c>
      <c r="I57" s="126">
        <v>1</v>
      </c>
      <c r="J57" s="126">
        <v>195</v>
      </c>
      <c r="M57" s="126">
        <v>14</v>
      </c>
      <c r="N57" s="126">
        <v>0</v>
      </c>
      <c r="P57" s="126">
        <v>14</v>
      </c>
      <c r="R57" s="126" t="s">
        <v>549</v>
      </c>
      <c r="S57" s="259">
        <v>0</v>
      </c>
      <c r="T57" s="259">
        <v>18.84</v>
      </c>
      <c r="U57" s="68" t="s">
        <v>610</v>
      </c>
      <c r="V57" s="126">
        <v>1</v>
      </c>
      <c r="Z57" s="126">
        <v>1</v>
      </c>
      <c r="AA57" s="126">
        <v>1</v>
      </c>
      <c r="AB57" s="126">
        <v>1</v>
      </c>
      <c r="AC57" s="126">
        <v>6</v>
      </c>
      <c r="AD57" s="126">
        <v>2026</v>
      </c>
    </row>
    <row r="58" spans="3:30">
      <c r="C58" s="126">
        <v>51</v>
      </c>
      <c r="D58" s="126">
        <v>4</v>
      </c>
      <c r="E58" s="126">
        <v>11</v>
      </c>
      <c r="F58" s="126">
        <v>1</v>
      </c>
      <c r="G58" s="126">
        <v>1</v>
      </c>
      <c r="H58" s="126">
        <v>1</v>
      </c>
      <c r="I58" s="126">
        <v>1</v>
      </c>
      <c r="J58" s="126">
        <v>195</v>
      </c>
      <c r="M58" s="126">
        <v>14</v>
      </c>
      <c r="N58" s="126">
        <v>1</v>
      </c>
      <c r="P58" s="126">
        <v>14</v>
      </c>
      <c r="R58" s="126" t="s">
        <v>549</v>
      </c>
      <c r="S58" s="259">
        <v>18.84</v>
      </c>
      <c r="T58" s="259">
        <v>0</v>
      </c>
      <c r="U58" s="68" t="s">
        <v>611</v>
      </c>
      <c r="V58" s="126">
        <v>1</v>
      </c>
      <c r="Z58" s="126">
        <v>1</v>
      </c>
      <c r="AA58" s="126">
        <v>1</v>
      </c>
      <c r="AB58" s="126">
        <v>1</v>
      </c>
      <c r="AC58" s="126">
        <v>6</v>
      </c>
      <c r="AD58" s="126">
        <v>2026</v>
      </c>
    </row>
    <row r="59" spans="3:30">
      <c r="C59" s="126">
        <v>52</v>
      </c>
      <c r="D59" s="126">
        <v>4</v>
      </c>
      <c r="E59" s="126">
        <v>10</v>
      </c>
      <c r="F59" s="126">
        <v>1</v>
      </c>
      <c r="G59" s="126">
        <v>1</v>
      </c>
      <c r="H59" s="126">
        <v>1</v>
      </c>
      <c r="I59" s="126">
        <v>1</v>
      </c>
      <c r="J59" s="126">
        <v>195</v>
      </c>
      <c r="P59" s="126">
        <v>14</v>
      </c>
      <c r="R59" s="126" t="s">
        <v>549</v>
      </c>
      <c r="S59" s="259">
        <v>0</v>
      </c>
      <c r="T59" s="259">
        <v>21</v>
      </c>
      <c r="U59" s="68" t="s">
        <v>612</v>
      </c>
      <c r="V59" s="126">
        <v>1</v>
      </c>
      <c r="Z59" s="126">
        <v>1</v>
      </c>
      <c r="AA59" s="126">
        <v>1</v>
      </c>
      <c r="AB59" s="126">
        <v>1</v>
      </c>
      <c r="AC59" s="126">
        <v>6</v>
      </c>
      <c r="AD59" s="126">
        <v>2026</v>
      </c>
    </row>
    <row r="60" spans="3:30">
      <c r="C60" s="126">
        <v>53</v>
      </c>
      <c r="D60" s="126">
        <v>5</v>
      </c>
      <c r="E60" s="126">
        <v>2</v>
      </c>
      <c r="F60" s="126">
        <v>1</v>
      </c>
      <c r="G60" s="126">
        <v>1</v>
      </c>
      <c r="H60" s="126">
        <v>1</v>
      </c>
      <c r="I60" s="126">
        <v>1</v>
      </c>
      <c r="R60" s="126" t="s">
        <v>549</v>
      </c>
      <c r="S60" s="259">
        <v>54.5</v>
      </c>
      <c r="T60" s="259">
        <v>0</v>
      </c>
      <c r="U60" s="68" t="s">
        <v>623</v>
      </c>
      <c r="V60" s="126">
        <v>1</v>
      </c>
      <c r="Z60" s="126">
        <v>1</v>
      </c>
      <c r="AA60" s="126">
        <v>1</v>
      </c>
      <c r="AB60" s="126">
        <v>1</v>
      </c>
      <c r="AC60" s="126">
        <v>6</v>
      </c>
      <c r="AD60" s="126">
        <v>2026</v>
      </c>
    </row>
    <row r="61" spans="3:30">
      <c r="C61" s="126">
        <v>54</v>
      </c>
      <c r="D61" s="126">
        <v>5</v>
      </c>
      <c r="E61" s="126">
        <v>3</v>
      </c>
      <c r="F61" s="126">
        <v>1</v>
      </c>
      <c r="G61" s="126">
        <v>1</v>
      </c>
      <c r="H61" s="126">
        <v>1</v>
      </c>
      <c r="I61" s="126">
        <v>1</v>
      </c>
      <c r="J61" s="126">
        <v>187</v>
      </c>
      <c r="M61" s="126">
        <v>15</v>
      </c>
      <c r="N61" s="126">
        <v>0</v>
      </c>
      <c r="P61" s="126">
        <v>15</v>
      </c>
      <c r="R61" s="126" t="s">
        <v>549</v>
      </c>
      <c r="S61" s="259">
        <v>0</v>
      </c>
      <c r="T61" s="259">
        <v>20.22</v>
      </c>
      <c r="U61" s="68" t="s">
        <v>624</v>
      </c>
      <c r="V61" s="126">
        <v>1</v>
      </c>
      <c r="Z61" s="126">
        <v>1</v>
      </c>
      <c r="AA61" s="126">
        <v>1</v>
      </c>
      <c r="AB61" s="126">
        <v>1</v>
      </c>
      <c r="AC61" s="126">
        <v>6</v>
      </c>
      <c r="AD61" s="126">
        <v>2026</v>
      </c>
    </row>
    <row r="62" spans="3:30">
      <c r="C62" s="126">
        <v>55</v>
      </c>
      <c r="D62" s="126">
        <v>5</v>
      </c>
      <c r="E62" s="126">
        <v>11</v>
      </c>
      <c r="F62" s="126">
        <v>1</v>
      </c>
      <c r="G62" s="126">
        <v>1</v>
      </c>
      <c r="H62" s="126">
        <v>1</v>
      </c>
      <c r="I62" s="126">
        <v>1</v>
      </c>
      <c r="J62" s="126">
        <v>187</v>
      </c>
      <c r="M62" s="126">
        <v>15</v>
      </c>
      <c r="N62" s="126">
        <v>1</v>
      </c>
      <c r="P62" s="126">
        <v>15</v>
      </c>
      <c r="R62" s="126" t="s">
        <v>549</v>
      </c>
      <c r="S62" s="259">
        <v>20.22</v>
      </c>
      <c r="T62" s="259">
        <v>0</v>
      </c>
      <c r="U62" s="68" t="s">
        <v>625</v>
      </c>
      <c r="V62" s="126">
        <v>1</v>
      </c>
      <c r="Z62" s="126">
        <v>1</v>
      </c>
      <c r="AA62" s="126">
        <v>1</v>
      </c>
      <c r="AB62" s="126">
        <v>1</v>
      </c>
      <c r="AC62" s="126">
        <v>6</v>
      </c>
      <c r="AD62" s="126">
        <v>2026</v>
      </c>
    </row>
    <row r="63" spans="3:30">
      <c r="C63" s="126">
        <v>56</v>
      </c>
      <c r="D63" s="126">
        <v>5</v>
      </c>
      <c r="E63" s="126">
        <v>10</v>
      </c>
      <c r="F63" s="126">
        <v>1</v>
      </c>
      <c r="G63" s="126">
        <v>1</v>
      </c>
      <c r="H63" s="126">
        <v>1</v>
      </c>
      <c r="I63" s="126">
        <v>1</v>
      </c>
      <c r="J63" s="126">
        <v>187</v>
      </c>
      <c r="P63" s="126">
        <v>15</v>
      </c>
      <c r="R63" s="126" t="s">
        <v>549</v>
      </c>
      <c r="S63" s="259">
        <v>0</v>
      </c>
      <c r="T63" s="259">
        <v>21</v>
      </c>
      <c r="U63" s="68" t="s">
        <v>626</v>
      </c>
      <c r="V63" s="126">
        <v>1</v>
      </c>
      <c r="Z63" s="126">
        <v>1</v>
      </c>
      <c r="AA63" s="126">
        <v>1</v>
      </c>
      <c r="AB63" s="126">
        <v>1</v>
      </c>
      <c r="AC63" s="126">
        <v>6</v>
      </c>
      <c r="AD63" s="126">
        <v>2026</v>
      </c>
    </row>
    <row r="64" spans="3:30">
      <c r="C64" s="126">
        <v>57</v>
      </c>
      <c r="D64" s="126">
        <v>5</v>
      </c>
      <c r="E64" s="126">
        <v>3</v>
      </c>
      <c r="F64" s="126">
        <v>1</v>
      </c>
      <c r="G64" s="126">
        <v>1</v>
      </c>
      <c r="H64" s="126">
        <v>1</v>
      </c>
      <c r="I64" s="126">
        <v>1</v>
      </c>
      <c r="J64" s="126">
        <v>182</v>
      </c>
      <c r="M64" s="126">
        <v>16</v>
      </c>
      <c r="N64" s="126">
        <v>0</v>
      </c>
      <c r="P64" s="126">
        <v>16</v>
      </c>
      <c r="R64" s="126" t="s">
        <v>549</v>
      </c>
      <c r="S64" s="259">
        <v>0</v>
      </c>
      <c r="T64" s="259">
        <v>10</v>
      </c>
      <c r="U64" s="68" t="s">
        <v>629</v>
      </c>
      <c r="V64" s="126">
        <v>1</v>
      </c>
      <c r="Z64" s="126">
        <v>1</v>
      </c>
      <c r="AA64" s="126">
        <v>1</v>
      </c>
      <c r="AB64" s="126">
        <v>1</v>
      </c>
      <c r="AC64" s="126">
        <v>6</v>
      </c>
      <c r="AD64" s="126">
        <v>2026</v>
      </c>
    </row>
    <row r="65" spans="3:30">
      <c r="C65" s="126">
        <v>58</v>
      </c>
      <c r="D65" s="126">
        <v>5</v>
      </c>
      <c r="E65" s="126">
        <v>11</v>
      </c>
      <c r="F65" s="126">
        <v>1</v>
      </c>
      <c r="G65" s="126">
        <v>1</v>
      </c>
      <c r="H65" s="126">
        <v>1</v>
      </c>
      <c r="I65" s="126">
        <v>1</v>
      </c>
      <c r="J65" s="126">
        <v>182</v>
      </c>
      <c r="M65" s="126">
        <v>16</v>
      </c>
      <c r="N65" s="126">
        <v>1</v>
      </c>
      <c r="P65" s="126">
        <v>16</v>
      </c>
      <c r="R65" s="126" t="s">
        <v>549</v>
      </c>
      <c r="S65" s="259">
        <v>10</v>
      </c>
      <c r="T65" s="259">
        <v>0</v>
      </c>
      <c r="U65" s="68" t="s">
        <v>630</v>
      </c>
      <c r="V65" s="126">
        <v>1</v>
      </c>
      <c r="Z65" s="126">
        <v>1</v>
      </c>
      <c r="AA65" s="126">
        <v>1</v>
      </c>
      <c r="AB65" s="126">
        <v>1</v>
      </c>
      <c r="AC65" s="126">
        <v>6</v>
      </c>
      <c r="AD65" s="126">
        <v>2026</v>
      </c>
    </row>
    <row r="66" spans="3:30">
      <c r="C66" s="126">
        <v>59</v>
      </c>
      <c r="D66" s="126">
        <v>5</v>
      </c>
      <c r="E66" s="126">
        <v>10</v>
      </c>
      <c r="F66" s="126">
        <v>1</v>
      </c>
      <c r="G66" s="126">
        <v>1</v>
      </c>
      <c r="H66" s="126">
        <v>1</v>
      </c>
      <c r="I66" s="126">
        <v>1</v>
      </c>
      <c r="J66" s="126">
        <v>182</v>
      </c>
      <c r="P66" s="126">
        <v>16</v>
      </c>
      <c r="R66" s="126" t="s">
        <v>549</v>
      </c>
      <c r="S66" s="259">
        <v>0</v>
      </c>
      <c r="T66" s="259">
        <v>15</v>
      </c>
      <c r="U66" s="68" t="s">
        <v>631</v>
      </c>
      <c r="V66" s="126">
        <v>1</v>
      </c>
      <c r="Z66" s="126">
        <v>1</v>
      </c>
      <c r="AA66" s="126">
        <v>1</v>
      </c>
      <c r="AB66" s="126">
        <v>1</v>
      </c>
      <c r="AC66" s="126">
        <v>6</v>
      </c>
      <c r="AD66" s="126">
        <v>2026</v>
      </c>
    </row>
    <row r="67" spans="3:30">
      <c r="C67" s="126">
        <v>60</v>
      </c>
      <c r="D67" s="126">
        <v>5</v>
      </c>
      <c r="E67" s="126">
        <v>3</v>
      </c>
      <c r="F67" s="126">
        <v>1</v>
      </c>
      <c r="G67" s="126">
        <v>1</v>
      </c>
      <c r="H67" s="126">
        <v>1</v>
      </c>
      <c r="I67" s="126">
        <v>1</v>
      </c>
      <c r="J67" s="126">
        <v>96</v>
      </c>
      <c r="M67" s="126">
        <v>17</v>
      </c>
      <c r="N67" s="126">
        <v>0</v>
      </c>
      <c r="P67" s="126">
        <v>17</v>
      </c>
      <c r="R67" s="126" t="s">
        <v>549</v>
      </c>
      <c r="S67" s="259">
        <v>0</v>
      </c>
      <c r="T67" s="259">
        <v>0.54</v>
      </c>
      <c r="U67" s="68" t="s">
        <v>634</v>
      </c>
      <c r="V67" s="126">
        <v>1</v>
      </c>
      <c r="Z67" s="126">
        <v>1</v>
      </c>
      <c r="AA67" s="126">
        <v>1</v>
      </c>
      <c r="AB67" s="126">
        <v>1</v>
      </c>
      <c r="AC67" s="126">
        <v>6</v>
      </c>
      <c r="AD67" s="126">
        <v>2026</v>
      </c>
    </row>
    <row r="68" spans="3:30">
      <c r="C68" s="126">
        <v>61</v>
      </c>
      <c r="D68" s="126">
        <v>5</v>
      </c>
      <c r="E68" s="126">
        <v>11</v>
      </c>
      <c r="F68" s="126">
        <v>1</v>
      </c>
      <c r="G68" s="126">
        <v>1</v>
      </c>
      <c r="H68" s="126">
        <v>1</v>
      </c>
      <c r="I68" s="126">
        <v>1</v>
      </c>
      <c r="J68" s="126">
        <v>96</v>
      </c>
      <c r="M68" s="126">
        <v>17</v>
      </c>
      <c r="N68" s="126">
        <v>1</v>
      </c>
      <c r="P68" s="126">
        <v>17</v>
      </c>
      <c r="R68" s="126" t="s">
        <v>549</v>
      </c>
      <c r="S68" s="259">
        <v>0.54</v>
      </c>
      <c r="T68" s="259">
        <v>0</v>
      </c>
      <c r="U68" s="68" t="s">
        <v>635</v>
      </c>
      <c r="V68" s="126">
        <v>1</v>
      </c>
      <c r="Z68" s="126">
        <v>1</v>
      </c>
      <c r="AA68" s="126">
        <v>1</v>
      </c>
      <c r="AB68" s="126">
        <v>1</v>
      </c>
      <c r="AC68" s="126">
        <v>6</v>
      </c>
      <c r="AD68" s="126">
        <v>2026</v>
      </c>
    </row>
    <row r="69" spans="3:30">
      <c r="C69" s="126">
        <v>62</v>
      </c>
      <c r="D69" s="126">
        <v>5</v>
      </c>
      <c r="E69" s="126">
        <v>10</v>
      </c>
      <c r="F69" s="126">
        <v>1</v>
      </c>
      <c r="G69" s="126">
        <v>1</v>
      </c>
      <c r="H69" s="126">
        <v>1</v>
      </c>
      <c r="I69" s="126">
        <v>1</v>
      </c>
      <c r="J69" s="126">
        <v>96</v>
      </c>
      <c r="P69" s="126">
        <v>17</v>
      </c>
      <c r="R69" s="126" t="s">
        <v>549</v>
      </c>
      <c r="S69" s="259">
        <v>0</v>
      </c>
      <c r="T69" s="259">
        <v>0.76</v>
      </c>
      <c r="U69" s="68" t="s">
        <v>636</v>
      </c>
      <c r="V69" s="126">
        <v>1</v>
      </c>
      <c r="Z69" s="126">
        <v>1</v>
      </c>
      <c r="AA69" s="126">
        <v>1</v>
      </c>
      <c r="AB69" s="126">
        <v>1</v>
      </c>
      <c r="AC69" s="126">
        <v>6</v>
      </c>
      <c r="AD69" s="126">
        <v>2026</v>
      </c>
    </row>
    <row r="70" spans="3:30">
      <c r="C70" s="126">
        <v>63</v>
      </c>
      <c r="D70" s="126">
        <v>5</v>
      </c>
      <c r="E70" s="126">
        <v>3</v>
      </c>
      <c r="F70" s="126">
        <v>1</v>
      </c>
      <c r="G70" s="126">
        <v>1</v>
      </c>
      <c r="H70" s="126">
        <v>1</v>
      </c>
      <c r="I70" s="126">
        <v>1</v>
      </c>
      <c r="J70" s="126">
        <v>97</v>
      </c>
      <c r="M70" s="126">
        <v>18</v>
      </c>
      <c r="N70" s="126">
        <v>0</v>
      </c>
      <c r="P70" s="126">
        <v>18</v>
      </c>
      <c r="R70" s="126" t="s">
        <v>549</v>
      </c>
      <c r="S70" s="259">
        <v>0</v>
      </c>
      <c r="T70" s="259">
        <v>0.6</v>
      </c>
      <c r="U70" s="68" t="s">
        <v>639</v>
      </c>
      <c r="V70" s="126">
        <v>1</v>
      </c>
      <c r="Z70" s="126">
        <v>1</v>
      </c>
      <c r="AA70" s="126">
        <v>1</v>
      </c>
      <c r="AB70" s="126">
        <v>1</v>
      </c>
      <c r="AC70" s="126">
        <v>6</v>
      </c>
      <c r="AD70" s="126">
        <v>2026</v>
      </c>
    </row>
    <row r="71" spans="3:30">
      <c r="C71" s="126">
        <v>64</v>
      </c>
      <c r="D71" s="126">
        <v>5</v>
      </c>
      <c r="E71" s="126">
        <v>11</v>
      </c>
      <c r="F71" s="126">
        <v>1</v>
      </c>
      <c r="G71" s="126">
        <v>1</v>
      </c>
      <c r="H71" s="126">
        <v>1</v>
      </c>
      <c r="I71" s="126">
        <v>1</v>
      </c>
      <c r="J71" s="126">
        <v>97</v>
      </c>
      <c r="M71" s="126">
        <v>18</v>
      </c>
      <c r="N71" s="126">
        <v>1</v>
      </c>
      <c r="P71" s="126">
        <v>18</v>
      </c>
      <c r="R71" s="126" t="s">
        <v>549</v>
      </c>
      <c r="S71" s="259">
        <v>0.6</v>
      </c>
      <c r="T71" s="259">
        <v>0</v>
      </c>
      <c r="U71" s="68" t="s">
        <v>640</v>
      </c>
      <c r="V71" s="126">
        <v>1</v>
      </c>
      <c r="Z71" s="126">
        <v>1</v>
      </c>
      <c r="AA71" s="126">
        <v>1</v>
      </c>
      <c r="AB71" s="126">
        <v>1</v>
      </c>
      <c r="AC71" s="126">
        <v>6</v>
      </c>
      <c r="AD71" s="126">
        <v>2026</v>
      </c>
    </row>
    <row r="72" spans="3:30">
      <c r="C72" s="126">
        <v>65</v>
      </c>
      <c r="D72" s="126">
        <v>5</v>
      </c>
      <c r="E72" s="126">
        <v>10</v>
      </c>
      <c r="F72" s="126">
        <v>1</v>
      </c>
      <c r="G72" s="126">
        <v>1</v>
      </c>
      <c r="H72" s="126">
        <v>1</v>
      </c>
      <c r="I72" s="126">
        <v>1</v>
      </c>
      <c r="J72" s="126">
        <v>97</v>
      </c>
      <c r="P72" s="126">
        <v>18</v>
      </c>
      <c r="R72" s="126" t="s">
        <v>549</v>
      </c>
      <c r="S72" s="259">
        <v>0</v>
      </c>
      <c r="T72" s="259">
        <v>2.74</v>
      </c>
      <c r="U72" s="68" t="s">
        <v>641</v>
      </c>
      <c r="V72" s="126">
        <v>1</v>
      </c>
      <c r="Z72" s="126">
        <v>1</v>
      </c>
      <c r="AA72" s="126">
        <v>1</v>
      </c>
      <c r="AB72" s="126">
        <v>1</v>
      </c>
      <c r="AC72" s="126">
        <v>6</v>
      </c>
      <c r="AD72" s="126">
        <v>2026</v>
      </c>
    </row>
    <row r="73" spans="3:30">
      <c r="C73" s="126">
        <v>66</v>
      </c>
      <c r="D73" s="126">
        <v>5</v>
      </c>
      <c r="E73" s="126">
        <v>3</v>
      </c>
      <c r="F73" s="126">
        <v>1</v>
      </c>
      <c r="G73" s="126">
        <v>1</v>
      </c>
      <c r="H73" s="126">
        <v>1</v>
      </c>
      <c r="I73" s="126">
        <v>1</v>
      </c>
      <c r="J73" s="126">
        <v>22</v>
      </c>
      <c r="M73" s="126">
        <v>19</v>
      </c>
      <c r="N73" s="126">
        <v>0</v>
      </c>
      <c r="P73" s="126">
        <v>19</v>
      </c>
      <c r="R73" s="126" t="s">
        <v>549</v>
      </c>
      <c r="S73" s="259">
        <v>0</v>
      </c>
      <c r="T73" s="259">
        <v>2.9</v>
      </c>
      <c r="U73" s="68" t="s">
        <v>644</v>
      </c>
      <c r="V73" s="126">
        <v>1</v>
      </c>
      <c r="Z73" s="126">
        <v>1</v>
      </c>
      <c r="AA73" s="126">
        <v>1</v>
      </c>
      <c r="AB73" s="126">
        <v>1</v>
      </c>
      <c r="AC73" s="126">
        <v>6</v>
      </c>
      <c r="AD73" s="126">
        <v>2026</v>
      </c>
    </row>
    <row r="74" spans="3:30">
      <c r="C74" s="126">
        <v>67</v>
      </c>
      <c r="D74" s="126">
        <v>5</v>
      </c>
      <c r="E74" s="126">
        <v>11</v>
      </c>
      <c r="F74" s="126">
        <v>1</v>
      </c>
      <c r="G74" s="126">
        <v>1</v>
      </c>
      <c r="H74" s="126">
        <v>1</v>
      </c>
      <c r="I74" s="126">
        <v>1</v>
      </c>
      <c r="J74" s="126">
        <v>22</v>
      </c>
      <c r="M74" s="126">
        <v>19</v>
      </c>
      <c r="N74" s="126">
        <v>1</v>
      </c>
      <c r="P74" s="126">
        <v>19</v>
      </c>
      <c r="R74" s="126" t="s">
        <v>549</v>
      </c>
      <c r="S74" s="259">
        <v>2.9</v>
      </c>
      <c r="T74" s="259">
        <v>0</v>
      </c>
      <c r="U74" s="68" t="s">
        <v>645</v>
      </c>
      <c r="V74" s="126">
        <v>1</v>
      </c>
      <c r="Z74" s="126">
        <v>1</v>
      </c>
      <c r="AA74" s="126">
        <v>1</v>
      </c>
      <c r="AB74" s="126">
        <v>1</v>
      </c>
      <c r="AC74" s="126">
        <v>6</v>
      </c>
      <c r="AD74" s="126">
        <v>2026</v>
      </c>
    </row>
    <row r="75" spans="3:30">
      <c r="C75" s="126">
        <v>68</v>
      </c>
      <c r="D75" s="126">
        <v>5</v>
      </c>
      <c r="E75" s="126">
        <v>10</v>
      </c>
      <c r="F75" s="126">
        <v>1</v>
      </c>
      <c r="G75" s="126">
        <v>1</v>
      </c>
      <c r="H75" s="126">
        <v>1</v>
      </c>
      <c r="I75" s="126">
        <v>1</v>
      </c>
      <c r="J75" s="126">
        <v>22</v>
      </c>
      <c r="P75" s="126">
        <v>19</v>
      </c>
      <c r="R75" s="126" t="s">
        <v>549</v>
      </c>
      <c r="S75" s="259">
        <v>0</v>
      </c>
      <c r="T75" s="259">
        <v>3.25</v>
      </c>
      <c r="U75" s="68" t="s">
        <v>646</v>
      </c>
      <c r="V75" s="126">
        <v>1</v>
      </c>
      <c r="Z75" s="126">
        <v>1</v>
      </c>
      <c r="AA75" s="126">
        <v>1</v>
      </c>
      <c r="AB75" s="126">
        <v>1</v>
      </c>
      <c r="AC75" s="126">
        <v>6</v>
      </c>
      <c r="AD75" s="126">
        <v>2026</v>
      </c>
    </row>
    <row r="76" spans="3:30">
      <c r="C76" s="126">
        <v>69</v>
      </c>
      <c r="D76" s="126">
        <v>5</v>
      </c>
      <c r="E76" s="126">
        <v>3</v>
      </c>
      <c r="F76" s="126">
        <v>1</v>
      </c>
      <c r="G76" s="126">
        <v>1</v>
      </c>
      <c r="H76" s="126">
        <v>1</v>
      </c>
      <c r="I76" s="126">
        <v>1</v>
      </c>
      <c r="J76" s="126">
        <v>46</v>
      </c>
      <c r="M76" s="126">
        <v>20</v>
      </c>
      <c r="N76" s="126">
        <v>0</v>
      </c>
      <c r="P76" s="126">
        <v>20</v>
      </c>
      <c r="R76" s="126" t="s">
        <v>549</v>
      </c>
      <c r="S76" s="259">
        <v>0</v>
      </c>
      <c r="T76" s="259">
        <v>1.5</v>
      </c>
      <c r="U76" s="68" t="s">
        <v>649</v>
      </c>
      <c r="V76" s="126">
        <v>1</v>
      </c>
      <c r="Z76" s="126">
        <v>1</v>
      </c>
      <c r="AA76" s="126">
        <v>1</v>
      </c>
      <c r="AB76" s="126">
        <v>1</v>
      </c>
      <c r="AC76" s="126">
        <v>6</v>
      </c>
      <c r="AD76" s="126">
        <v>2026</v>
      </c>
    </row>
    <row r="77" spans="3:30">
      <c r="C77" s="126">
        <v>70</v>
      </c>
      <c r="D77" s="126">
        <v>5</v>
      </c>
      <c r="E77" s="126">
        <v>11</v>
      </c>
      <c r="F77" s="126">
        <v>1</v>
      </c>
      <c r="G77" s="126">
        <v>1</v>
      </c>
      <c r="H77" s="126">
        <v>1</v>
      </c>
      <c r="I77" s="126">
        <v>1</v>
      </c>
      <c r="J77" s="126">
        <v>46</v>
      </c>
      <c r="M77" s="126">
        <v>20</v>
      </c>
      <c r="N77" s="126">
        <v>1</v>
      </c>
      <c r="P77" s="126">
        <v>20</v>
      </c>
      <c r="R77" s="126" t="s">
        <v>549</v>
      </c>
      <c r="S77" s="259">
        <v>1.5</v>
      </c>
      <c r="T77" s="259">
        <v>0</v>
      </c>
      <c r="U77" s="68" t="s">
        <v>650</v>
      </c>
      <c r="V77" s="126">
        <v>1</v>
      </c>
      <c r="Z77" s="126">
        <v>1</v>
      </c>
      <c r="AA77" s="126">
        <v>1</v>
      </c>
      <c r="AB77" s="126">
        <v>1</v>
      </c>
      <c r="AC77" s="126">
        <v>6</v>
      </c>
      <c r="AD77" s="126">
        <v>2026</v>
      </c>
    </row>
    <row r="78" spans="3:30">
      <c r="C78" s="126">
        <v>71</v>
      </c>
      <c r="D78" s="126">
        <v>5</v>
      </c>
      <c r="E78" s="126">
        <v>10</v>
      </c>
      <c r="F78" s="126">
        <v>1</v>
      </c>
      <c r="G78" s="126">
        <v>1</v>
      </c>
      <c r="H78" s="126">
        <v>1</v>
      </c>
      <c r="I78" s="126">
        <v>1</v>
      </c>
      <c r="J78" s="126">
        <v>46</v>
      </c>
      <c r="P78" s="126">
        <v>20</v>
      </c>
      <c r="R78" s="126" t="s">
        <v>549</v>
      </c>
      <c r="S78" s="259">
        <v>0</v>
      </c>
      <c r="T78" s="259">
        <v>3</v>
      </c>
      <c r="U78" s="68" t="s">
        <v>651</v>
      </c>
      <c r="V78" s="126">
        <v>1</v>
      </c>
      <c r="Z78" s="126">
        <v>1</v>
      </c>
      <c r="AA78" s="126">
        <v>1</v>
      </c>
      <c r="AB78" s="126">
        <v>1</v>
      </c>
      <c r="AC78" s="126">
        <v>6</v>
      </c>
      <c r="AD78" s="126">
        <v>2026</v>
      </c>
    </row>
    <row r="79" spans="3:30">
      <c r="C79" s="126">
        <v>72</v>
      </c>
      <c r="D79" s="126">
        <v>5</v>
      </c>
      <c r="E79" s="126">
        <v>3</v>
      </c>
      <c r="F79" s="126">
        <v>1</v>
      </c>
      <c r="G79" s="126">
        <v>1</v>
      </c>
      <c r="H79" s="126">
        <v>1</v>
      </c>
      <c r="I79" s="126">
        <v>1</v>
      </c>
      <c r="J79" s="126">
        <v>197</v>
      </c>
      <c r="M79" s="126">
        <v>21</v>
      </c>
      <c r="N79" s="126">
        <v>0</v>
      </c>
      <c r="P79" s="126">
        <v>21</v>
      </c>
      <c r="R79" s="126" t="s">
        <v>549</v>
      </c>
      <c r="S79" s="259">
        <v>0</v>
      </c>
      <c r="T79" s="259">
        <v>8.36</v>
      </c>
      <c r="U79" s="68" t="s">
        <v>654</v>
      </c>
      <c r="V79" s="126">
        <v>1</v>
      </c>
      <c r="Z79" s="126">
        <v>1</v>
      </c>
      <c r="AA79" s="126">
        <v>1</v>
      </c>
      <c r="AB79" s="126">
        <v>1</v>
      </c>
      <c r="AC79" s="126">
        <v>6</v>
      </c>
      <c r="AD79" s="126">
        <v>2026</v>
      </c>
    </row>
    <row r="80" spans="3:30">
      <c r="C80" s="126">
        <v>73</v>
      </c>
      <c r="D80" s="126">
        <v>5</v>
      </c>
      <c r="E80" s="126">
        <v>11</v>
      </c>
      <c r="F80" s="126">
        <v>1</v>
      </c>
      <c r="G80" s="126">
        <v>1</v>
      </c>
      <c r="H80" s="126">
        <v>1</v>
      </c>
      <c r="I80" s="126">
        <v>1</v>
      </c>
      <c r="J80" s="126">
        <v>197</v>
      </c>
      <c r="M80" s="126">
        <v>21</v>
      </c>
      <c r="N80" s="126">
        <v>1</v>
      </c>
      <c r="P80" s="126">
        <v>21</v>
      </c>
      <c r="R80" s="126" t="s">
        <v>549</v>
      </c>
      <c r="S80" s="259">
        <v>8.36</v>
      </c>
      <c r="T80" s="259">
        <v>0</v>
      </c>
      <c r="U80" s="68" t="s">
        <v>655</v>
      </c>
      <c r="V80" s="126">
        <v>1</v>
      </c>
      <c r="Z80" s="126">
        <v>1</v>
      </c>
      <c r="AA80" s="126">
        <v>1</v>
      </c>
      <c r="AB80" s="126">
        <v>1</v>
      </c>
      <c r="AC80" s="126">
        <v>6</v>
      </c>
      <c r="AD80" s="126">
        <v>2026</v>
      </c>
    </row>
    <row r="81" spans="3:30">
      <c r="C81" s="126">
        <v>74</v>
      </c>
      <c r="D81" s="126">
        <v>5</v>
      </c>
      <c r="E81" s="126">
        <v>10</v>
      </c>
      <c r="F81" s="126">
        <v>1</v>
      </c>
      <c r="G81" s="126">
        <v>1</v>
      </c>
      <c r="H81" s="126">
        <v>1</v>
      </c>
      <c r="I81" s="126">
        <v>1</v>
      </c>
      <c r="J81" s="126">
        <v>197</v>
      </c>
      <c r="P81" s="126">
        <v>21</v>
      </c>
      <c r="R81" s="126" t="s">
        <v>549</v>
      </c>
      <c r="S81" s="259">
        <v>0</v>
      </c>
      <c r="T81" s="259">
        <v>8.75</v>
      </c>
      <c r="U81" s="68" t="s">
        <v>656</v>
      </c>
      <c r="V81" s="126">
        <v>1</v>
      </c>
      <c r="Z81" s="126">
        <v>1</v>
      </c>
      <c r="AA81" s="126">
        <v>1</v>
      </c>
      <c r="AB81" s="126">
        <v>1</v>
      </c>
      <c r="AC81" s="126">
        <v>6</v>
      </c>
      <c r="AD81" s="126">
        <v>2026</v>
      </c>
    </row>
    <row r="82" spans="3:30">
      <c r="C82" s="126">
        <v>75</v>
      </c>
      <c r="D82" s="126">
        <v>6</v>
      </c>
      <c r="E82" s="126">
        <v>2</v>
      </c>
      <c r="F82" s="126">
        <v>1</v>
      </c>
      <c r="G82" s="126">
        <v>1</v>
      </c>
      <c r="H82" s="126">
        <v>1</v>
      </c>
      <c r="I82" s="126">
        <v>1</v>
      </c>
      <c r="R82" s="126" t="s">
        <v>549</v>
      </c>
      <c r="S82" s="259">
        <v>27.75</v>
      </c>
      <c r="T82" s="259">
        <v>0</v>
      </c>
      <c r="U82" s="68" t="s">
        <v>658</v>
      </c>
      <c r="V82" s="126">
        <v>1</v>
      </c>
      <c r="Z82" s="126">
        <v>1</v>
      </c>
      <c r="AA82" s="126">
        <v>1</v>
      </c>
      <c r="AB82" s="126">
        <v>1</v>
      </c>
      <c r="AC82" s="126">
        <v>6</v>
      </c>
      <c r="AD82" s="126">
        <v>2026</v>
      </c>
    </row>
    <row r="83" spans="3:30">
      <c r="C83" s="126">
        <v>76</v>
      </c>
      <c r="D83" s="126">
        <v>6</v>
      </c>
      <c r="E83" s="126">
        <v>3</v>
      </c>
      <c r="F83" s="126">
        <v>1</v>
      </c>
      <c r="G83" s="126">
        <v>1</v>
      </c>
      <c r="H83" s="126">
        <v>1</v>
      </c>
      <c r="I83" s="126">
        <v>1</v>
      </c>
      <c r="J83" s="126">
        <v>187</v>
      </c>
      <c r="M83" s="126">
        <v>22</v>
      </c>
      <c r="N83" s="126">
        <v>0</v>
      </c>
      <c r="P83" s="126">
        <v>22</v>
      </c>
      <c r="R83" s="126" t="s">
        <v>549</v>
      </c>
      <c r="S83" s="259">
        <v>0</v>
      </c>
      <c r="T83" s="259">
        <v>10.11</v>
      </c>
      <c r="U83" s="68" t="s">
        <v>659</v>
      </c>
      <c r="V83" s="126">
        <v>1</v>
      </c>
      <c r="Z83" s="126">
        <v>1</v>
      </c>
      <c r="AA83" s="126">
        <v>1</v>
      </c>
      <c r="AB83" s="126">
        <v>1</v>
      </c>
      <c r="AC83" s="126">
        <v>6</v>
      </c>
      <c r="AD83" s="126">
        <v>2026</v>
      </c>
    </row>
    <row r="84" spans="3:30">
      <c r="C84" s="126">
        <v>77</v>
      </c>
      <c r="D84" s="126">
        <v>6</v>
      </c>
      <c r="E84" s="126">
        <v>11</v>
      </c>
      <c r="F84" s="126">
        <v>1</v>
      </c>
      <c r="G84" s="126">
        <v>1</v>
      </c>
      <c r="H84" s="126">
        <v>1</v>
      </c>
      <c r="I84" s="126">
        <v>1</v>
      </c>
      <c r="J84" s="126">
        <v>187</v>
      </c>
      <c r="M84" s="126">
        <v>22</v>
      </c>
      <c r="N84" s="126">
        <v>1</v>
      </c>
      <c r="P84" s="126">
        <v>22</v>
      </c>
      <c r="R84" s="126" t="s">
        <v>549</v>
      </c>
      <c r="S84" s="259">
        <v>10.11</v>
      </c>
      <c r="T84" s="259">
        <v>0</v>
      </c>
      <c r="U84" s="68" t="s">
        <v>660</v>
      </c>
      <c r="V84" s="126">
        <v>1</v>
      </c>
      <c r="Z84" s="126">
        <v>1</v>
      </c>
      <c r="AA84" s="126">
        <v>1</v>
      </c>
      <c r="AB84" s="126">
        <v>1</v>
      </c>
      <c r="AC84" s="126">
        <v>6</v>
      </c>
      <c r="AD84" s="126">
        <v>2026</v>
      </c>
    </row>
    <row r="85" spans="3:30">
      <c r="C85" s="126">
        <v>78</v>
      </c>
      <c r="D85" s="126">
        <v>6</v>
      </c>
      <c r="E85" s="126">
        <v>10</v>
      </c>
      <c r="F85" s="126">
        <v>1</v>
      </c>
      <c r="G85" s="126">
        <v>1</v>
      </c>
      <c r="H85" s="126">
        <v>1</v>
      </c>
      <c r="I85" s="126">
        <v>1</v>
      </c>
      <c r="J85" s="126">
        <v>187</v>
      </c>
      <c r="P85" s="126">
        <v>22</v>
      </c>
      <c r="R85" s="126" t="s">
        <v>549</v>
      </c>
      <c r="S85" s="259">
        <v>0</v>
      </c>
      <c r="T85" s="259">
        <v>10.5</v>
      </c>
      <c r="U85" s="68" t="s">
        <v>661</v>
      </c>
      <c r="V85" s="126">
        <v>1</v>
      </c>
      <c r="Z85" s="126">
        <v>1</v>
      </c>
      <c r="AA85" s="126">
        <v>1</v>
      </c>
      <c r="AB85" s="126">
        <v>1</v>
      </c>
      <c r="AC85" s="126">
        <v>6</v>
      </c>
      <c r="AD85" s="126">
        <v>2026</v>
      </c>
    </row>
    <row r="86" spans="3:30">
      <c r="C86" s="126">
        <v>79</v>
      </c>
      <c r="D86" s="126">
        <v>6</v>
      </c>
      <c r="E86" s="126">
        <v>3</v>
      </c>
      <c r="F86" s="126">
        <v>1</v>
      </c>
      <c r="G86" s="126">
        <v>1</v>
      </c>
      <c r="H86" s="126">
        <v>1</v>
      </c>
      <c r="I86" s="126">
        <v>1</v>
      </c>
      <c r="J86" s="126">
        <v>17</v>
      </c>
      <c r="M86" s="126">
        <v>23</v>
      </c>
      <c r="N86" s="126">
        <v>0</v>
      </c>
      <c r="P86" s="126">
        <v>23</v>
      </c>
      <c r="R86" s="126" t="s">
        <v>549</v>
      </c>
      <c r="S86" s="259">
        <v>0</v>
      </c>
      <c r="T86" s="259">
        <v>1.63</v>
      </c>
      <c r="U86" s="68" t="s">
        <v>664</v>
      </c>
      <c r="V86" s="126">
        <v>1</v>
      </c>
      <c r="Z86" s="126">
        <v>1</v>
      </c>
      <c r="AA86" s="126">
        <v>1</v>
      </c>
      <c r="AB86" s="126">
        <v>1</v>
      </c>
      <c r="AC86" s="126">
        <v>6</v>
      </c>
      <c r="AD86" s="126">
        <v>2026</v>
      </c>
    </row>
    <row r="87" spans="3:30">
      <c r="C87" s="126">
        <v>80</v>
      </c>
      <c r="D87" s="126">
        <v>6</v>
      </c>
      <c r="E87" s="126">
        <v>11</v>
      </c>
      <c r="F87" s="126">
        <v>1</v>
      </c>
      <c r="G87" s="126">
        <v>1</v>
      </c>
      <c r="H87" s="126">
        <v>1</v>
      </c>
      <c r="I87" s="126">
        <v>1</v>
      </c>
      <c r="J87" s="126">
        <v>17</v>
      </c>
      <c r="M87" s="126">
        <v>23</v>
      </c>
      <c r="N87" s="126">
        <v>1</v>
      </c>
      <c r="P87" s="126">
        <v>23</v>
      </c>
      <c r="R87" s="126" t="s">
        <v>549</v>
      </c>
      <c r="S87" s="259">
        <v>1.63</v>
      </c>
      <c r="T87" s="259">
        <v>0</v>
      </c>
      <c r="U87" s="68" t="s">
        <v>665</v>
      </c>
      <c r="V87" s="126">
        <v>1</v>
      </c>
      <c r="Z87" s="126">
        <v>1</v>
      </c>
      <c r="AA87" s="126">
        <v>1</v>
      </c>
      <c r="AB87" s="126">
        <v>1</v>
      </c>
      <c r="AC87" s="126">
        <v>6</v>
      </c>
      <c r="AD87" s="126">
        <v>2026</v>
      </c>
    </row>
    <row r="88" spans="3:30">
      <c r="C88" s="126">
        <v>81</v>
      </c>
      <c r="D88" s="126">
        <v>6</v>
      </c>
      <c r="E88" s="126">
        <v>10</v>
      </c>
      <c r="F88" s="126">
        <v>1</v>
      </c>
      <c r="G88" s="126">
        <v>1</v>
      </c>
      <c r="H88" s="126">
        <v>1</v>
      </c>
      <c r="I88" s="126">
        <v>1</v>
      </c>
      <c r="J88" s="126">
        <v>17</v>
      </c>
      <c r="P88" s="126">
        <v>23</v>
      </c>
      <c r="R88" s="126" t="s">
        <v>549</v>
      </c>
      <c r="S88" s="259">
        <v>0</v>
      </c>
      <c r="T88" s="259">
        <v>2.25</v>
      </c>
      <c r="U88" s="68" t="s">
        <v>666</v>
      </c>
      <c r="V88" s="126">
        <v>1</v>
      </c>
      <c r="Z88" s="126">
        <v>1</v>
      </c>
      <c r="AA88" s="126">
        <v>1</v>
      </c>
      <c r="AB88" s="126">
        <v>1</v>
      </c>
      <c r="AC88" s="126">
        <v>6</v>
      </c>
      <c r="AD88" s="126">
        <v>2026</v>
      </c>
    </row>
    <row r="89" spans="3:30">
      <c r="C89" s="126">
        <v>82</v>
      </c>
      <c r="D89" s="126">
        <v>6</v>
      </c>
      <c r="E89" s="126">
        <v>3</v>
      </c>
      <c r="F89" s="126">
        <v>1</v>
      </c>
      <c r="G89" s="126">
        <v>1</v>
      </c>
      <c r="H89" s="126">
        <v>1</v>
      </c>
      <c r="I89" s="126">
        <v>1</v>
      </c>
      <c r="J89" s="126">
        <v>155</v>
      </c>
      <c r="M89" s="126">
        <v>24</v>
      </c>
      <c r="N89" s="126">
        <v>0</v>
      </c>
      <c r="P89" s="126">
        <v>24</v>
      </c>
      <c r="R89" s="126" t="s">
        <v>549</v>
      </c>
      <c r="S89" s="259">
        <v>0</v>
      </c>
      <c r="T89" s="259">
        <v>14.5</v>
      </c>
      <c r="U89" s="68" t="s">
        <v>670</v>
      </c>
      <c r="V89" s="126">
        <v>1</v>
      </c>
      <c r="Z89" s="126">
        <v>1</v>
      </c>
      <c r="AA89" s="126">
        <v>1</v>
      </c>
      <c r="AB89" s="126">
        <v>1</v>
      </c>
      <c r="AC89" s="126">
        <v>6</v>
      </c>
      <c r="AD89" s="126">
        <v>2026</v>
      </c>
    </row>
    <row r="90" spans="3:30">
      <c r="C90" s="126">
        <v>83</v>
      </c>
      <c r="D90" s="126">
        <v>6</v>
      </c>
      <c r="E90" s="126">
        <v>11</v>
      </c>
      <c r="F90" s="126">
        <v>1</v>
      </c>
      <c r="G90" s="126">
        <v>1</v>
      </c>
      <c r="H90" s="126">
        <v>1</v>
      </c>
      <c r="I90" s="126">
        <v>1</v>
      </c>
      <c r="J90" s="126">
        <v>155</v>
      </c>
      <c r="M90" s="126">
        <v>24</v>
      </c>
      <c r="N90" s="126">
        <v>1</v>
      </c>
      <c r="P90" s="126">
        <v>24</v>
      </c>
      <c r="R90" s="126" t="s">
        <v>549</v>
      </c>
      <c r="S90" s="259">
        <v>14.5</v>
      </c>
      <c r="T90" s="259">
        <v>0</v>
      </c>
      <c r="U90" s="68" t="s">
        <v>671</v>
      </c>
      <c r="V90" s="126">
        <v>1</v>
      </c>
      <c r="Z90" s="126">
        <v>1</v>
      </c>
      <c r="AA90" s="126">
        <v>1</v>
      </c>
      <c r="AB90" s="126">
        <v>1</v>
      </c>
      <c r="AC90" s="126">
        <v>6</v>
      </c>
      <c r="AD90" s="126">
        <v>2026</v>
      </c>
    </row>
    <row r="91" spans="3:30">
      <c r="C91" s="126">
        <v>84</v>
      </c>
      <c r="D91" s="126">
        <v>6</v>
      </c>
      <c r="E91" s="126">
        <v>10</v>
      </c>
      <c r="F91" s="126">
        <v>1</v>
      </c>
      <c r="G91" s="126">
        <v>1</v>
      </c>
      <c r="H91" s="126">
        <v>1</v>
      </c>
      <c r="I91" s="126">
        <v>1</v>
      </c>
      <c r="J91" s="126">
        <v>155</v>
      </c>
      <c r="P91" s="126">
        <v>24</v>
      </c>
      <c r="R91" s="126" t="s">
        <v>549</v>
      </c>
      <c r="S91" s="259">
        <v>0</v>
      </c>
      <c r="T91" s="259">
        <v>15</v>
      </c>
      <c r="U91" s="68" t="s">
        <v>672</v>
      </c>
      <c r="V91" s="126">
        <v>1</v>
      </c>
      <c r="Z91" s="126">
        <v>1</v>
      </c>
      <c r="AA91" s="126">
        <v>1</v>
      </c>
      <c r="AB91" s="126">
        <v>1</v>
      </c>
      <c r="AC91" s="126">
        <v>6</v>
      </c>
      <c r="AD91" s="126">
        <v>2026</v>
      </c>
    </row>
    <row r="92" spans="3:30">
      <c r="C92" s="126">
        <v>85</v>
      </c>
      <c r="D92" s="126">
        <v>7</v>
      </c>
      <c r="E92" s="126">
        <v>6</v>
      </c>
      <c r="F92" s="126">
        <v>1</v>
      </c>
      <c r="G92" s="126">
        <v>1</v>
      </c>
      <c r="H92" s="126">
        <v>1</v>
      </c>
      <c r="I92" s="126">
        <v>1</v>
      </c>
      <c r="R92" s="126" t="s">
        <v>675</v>
      </c>
      <c r="S92" s="259">
        <v>0</v>
      </c>
      <c r="T92" s="259">
        <v>715.94</v>
      </c>
      <c r="U92" s="68" t="s">
        <v>676</v>
      </c>
      <c r="V92" s="126">
        <v>2</v>
      </c>
      <c r="Z92" s="126">
        <v>1</v>
      </c>
      <c r="AA92" s="126">
        <v>1</v>
      </c>
      <c r="AB92" s="126">
        <v>1</v>
      </c>
      <c r="AC92" s="126">
        <v>5</v>
      </c>
      <c r="AD92" s="126">
        <v>2026</v>
      </c>
    </row>
    <row r="93" spans="3:30">
      <c r="C93" s="126">
        <v>86</v>
      </c>
      <c r="D93" s="126">
        <v>7</v>
      </c>
      <c r="E93" s="126">
        <v>3</v>
      </c>
      <c r="F93" s="126">
        <v>1</v>
      </c>
      <c r="G93" s="126">
        <v>1</v>
      </c>
      <c r="H93" s="126">
        <v>1</v>
      </c>
      <c r="I93" s="126">
        <v>1</v>
      </c>
      <c r="J93" s="126">
        <v>1</v>
      </c>
      <c r="M93" s="126">
        <v>25</v>
      </c>
      <c r="N93" s="126">
        <v>0</v>
      </c>
      <c r="O93" s="126">
        <v>1</v>
      </c>
      <c r="R93" s="126" t="s">
        <v>675</v>
      </c>
      <c r="S93" s="259">
        <v>109.36</v>
      </c>
      <c r="T93" s="259">
        <v>0</v>
      </c>
      <c r="U93" s="68" t="s">
        <v>680</v>
      </c>
      <c r="V93" s="126">
        <v>2</v>
      </c>
      <c r="Z93" s="126">
        <v>1</v>
      </c>
      <c r="AA93" s="126">
        <v>1</v>
      </c>
      <c r="AB93" s="126">
        <v>1</v>
      </c>
      <c r="AC93" s="126">
        <v>5</v>
      </c>
      <c r="AD93" s="126">
        <v>2026</v>
      </c>
    </row>
    <row r="94" spans="3:30">
      <c r="C94" s="126">
        <v>87</v>
      </c>
      <c r="D94" s="126">
        <v>7</v>
      </c>
      <c r="E94" s="126">
        <v>3</v>
      </c>
      <c r="F94" s="126">
        <v>1</v>
      </c>
      <c r="G94" s="126">
        <v>1</v>
      </c>
      <c r="H94" s="126">
        <v>1</v>
      </c>
      <c r="I94" s="126">
        <v>1</v>
      </c>
      <c r="J94" s="126">
        <v>2</v>
      </c>
      <c r="M94" s="126">
        <v>26</v>
      </c>
      <c r="N94" s="126">
        <v>0</v>
      </c>
      <c r="O94" s="126">
        <v>2</v>
      </c>
      <c r="R94" s="126" t="s">
        <v>675</v>
      </c>
      <c r="S94" s="259">
        <v>56.6</v>
      </c>
      <c r="T94" s="259">
        <v>0</v>
      </c>
      <c r="U94" s="68" t="s">
        <v>684</v>
      </c>
      <c r="V94" s="126">
        <v>2</v>
      </c>
      <c r="Z94" s="126">
        <v>1</v>
      </c>
      <c r="AA94" s="126">
        <v>1</v>
      </c>
      <c r="AB94" s="126">
        <v>1</v>
      </c>
      <c r="AC94" s="126">
        <v>5</v>
      </c>
      <c r="AD94" s="126">
        <v>2026</v>
      </c>
    </row>
    <row r="95" spans="3:30">
      <c r="C95" s="126">
        <v>88</v>
      </c>
      <c r="D95" s="126">
        <v>7</v>
      </c>
      <c r="E95" s="126">
        <v>3</v>
      </c>
      <c r="F95" s="126">
        <v>1</v>
      </c>
      <c r="G95" s="126">
        <v>1</v>
      </c>
      <c r="H95" s="126">
        <v>1</v>
      </c>
      <c r="I95" s="126">
        <v>1</v>
      </c>
      <c r="J95" s="126">
        <v>4</v>
      </c>
      <c r="M95" s="126">
        <v>27</v>
      </c>
      <c r="N95" s="126">
        <v>0</v>
      </c>
      <c r="O95" s="126">
        <v>3</v>
      </c>
      <c r="R95" s="126" t="s">
        <v>675</v>
      </c>
      <c r="S95" s="259">
        <v>40.6</v>
      </c>
      <c r="T95" s="259">
        <v>0</v>
      </c>
      <c r="U95" s="68" t="s">
        <v>685</v>
      </c>
      <c r="V95" s="126">
        <v>2</v>
      </c>
      <c r="Z95" s="126">
        <v>1</v>
      </c>
      <c r="AA95" s="126">
        <v>1</v>
      </c>
      <c r="AB95" s="126">
        <v>1</v>
      </c>
      <c r="AC95" s="126">
        <v>5</v>
      </c>
      <c r="AD95" s="126">
        <v>2026</v>
      </c>
    </row>
    <row r="96" spans="3:30">
      <c r="C96" s="126">
        <v>89</v>
      </c>
      <c r="D96" s="126">
        <v>7</v>
      </c>
      <c r="E96" s="126">
        <v>3</v>
      </c>
      <c r="F96" s="126">
        <v>1</v>
      </c>
      <c r="G96" s="126">
        <v>1</v>
      </c>
      <c r="H96" s="126">
        <v>1</v>
      </c>
      <c r="I96" s="126">
        <v>1</v>
      </c>
      <c r="J96" s="126">
        <v>5</v>
      </c>
      <c r="M96" s="126">
        <v>28</v>
      </c>
      <c r="N96" s="126">
        <v>0</v>
      </c>
      <c r="O96" s="126">
        <v>4</v>
      </c>
      <c r="R96" s="126" t="s">
        <v>675</v>
      </c>
      <c r="S96" s="259">
        <v>22.44</v>
      </c>
      <c r="T96" s="259">
        <v>0</v>
      </c>
      <c r="U96" s="68" t="s">
        <v>688</v>
      </c>
      <c r="V96" s="126">
        <v>2</v>
      </c>
      <c r="Z96" s="126">
        <v>1</v>
      </c>
      <c r="AA96" s="126">
        <v>1</v>
      </c>
      <c r="AB96" s="126">
        <v>1</v>
      </c>
      <c r="AC96" s="126">
        <v>5</v>
      </c>
      <c r="AD96" s="126">
        <v>2026</v>
      </c>
    </row>
    <row r="97" spans="3:30">
      <c r="C97" s="126">
        <v>90</v>
      </c>
      <c r="D97" s="126">
        <v>7</v>
      </c>
      <c r="E97" s="126">
        <v>3</v>
      </c>
      <c r="F97" s="126">
        <v>1</v>
      </c>
      <c r="G97" s="126">
        <v>1</v>
      </c>
      <c r="H97" s="126">
        <v>1</v>
      </c>
      <c r="I97" s="126">
        <v>1</v>
      </c>
      <c r="J97" s="126">
        <v>10</v>
      </c>
      <c r="M97" s="126">
        <v>29</v>
      </c>
      <c r="N97" s="126">
        <v>0</v>
      </c>
      <c r="O97" s="126">
        <v>5</v>
      </c>
      <c r="R97" s="126" t="s">
        <v>675</v>
      </c>
      <c r="S97" s="259">
        <v>148.5</v>
      </c>
      <c r="T97" s="259">
        <v>0</v>
      </c>
      <c r="U97" s="68" t="s">
        <v>689</v>
      </c>
      <c r="V97" s="126">
        <v>2</v>
      </c>
      <c r="Z97" s="126">
        <v>1</v>
      </c>
      <c r="AA97" s="126">
        <v>1</v>
      </c>
      <c r="AB97" s="126">
        <v>1</v>
      </c>
      <c r="AC97" s="126">
        <v>5</v>
      </c>
      <c r="AD97" s="126">
        <v>2026</v>
      </c>
    </row>
    <row r="98" spans="3:30">
      <c r="C98" s="126">
        <v>91</v>
      </c>
      <c r="D98" s="126">
        <v>7</v>
      </c>
      <c r="E98" s="126">
        <v>3</v>
      </c>
      <c r="F98" s="126">
        <v>1</v>
      </c>
      <c r="G98" s="126">
        <v>1</v>
      </c>
      <c r="H98" s="126">
        <v>1</v>
      </c>
      <c r="I98" s="126">
        <v>1</v>
      </c>
      <c r="J98" s="126">
        <v>11</v>
      </c>
      <c r="M98" s="126">
        <v>30</v>
      </c>
      <c r="N98" s="126">
        <v>0</v>
      </c>
      <c r="O98" s="126">
        <v>6</v>
      </c>
      <c r="R98" s="126" t="s">
        <v>675</v>
      </c>
      <c r="S98" s="259">
        <v>95.2</v>
      </c>
      <c r="T98" s="259">
        <v>0</v>
      </c>
      <c r="U98" s="68" t="s">
        <v>692</v>
      </c>
      <c r="V98" s="126">
        <v>2</v>
      </c>
      <c r="Z98" s="126">
        <v>1</v>
      </c>
      <c r="AA98" s="126">
        <v>1</v>
      </c>
      <c r="AB98" s="126">
        <v>1</v>
      </c>
      <c r="AC98" s="126">
        <v>5</v>
      </c>
      <c r="AD98" s="126">
        <v>2026</v>
      </c>
    </row>
    <row r="99" spans="3:30">
      <c r="C99" s="126">
        <v>92</v>
      </c>
      <c r="D99" s="126">
        <v>7</v>
      </c>
      <c r="E99" s="126">
        <v>3</v>
      </c>
      <c r="F99" s="126">
        <v>1</v>
      </c>
      <c r="G99" s="126">
        <v>1</v>
      </c>
      <c r="H99" s="126">
        <v>1</v>
      </c>
      <c r="I99" s="126">
        <v>1</v>
      </c>
      <c r="J99" s="126">
        <v>13</v>
      </c>
      <c r="M99" s="126">
        <v>31</v>
      </c>
      <c r="N99" s="126">
        <v>0</v>
      </c>
      <c r="O99" s="126">
        <v>7</v>
      </c>
      <c r="R99" s="126" t="s">
        <v>675</v>
      </c>
      <c r="S99" s="259">
        <v>42.4</v>
      </c>
      <c r="T99" s="259">
        <v>0</v>
      </c>
      <c r="U99" s="68" t="s">
        <v>695</v>
      </c>
      <c r="V99" s="126">
        <v>2</v>
      </c>
      <c r="Z99" s="126">
        <v>1</v>
      </c>
      <c r="AA99" s="126">
        <v>1</v>
      </c>
      <c r="AB99" s="126">
        <v>1</v>
      </c>
      <c r="AC99" s="126">
        <v>5</v>
      </c>
      <c r="AD99" s="126">
        <v>2026</v>
      </c>
    </row>
    <row r="100" spans="3:30">
      <c r="C100" s="126">
        <v>93</v>
      </c>
      <c r="D100" s="126">
        <v>7</v>
      </c>
      <c r="E100" s="126">
        <v>3</v>
      </c>
      <c r="F100" s="126">
        <v>1</v>
      </c>
      <c r="G100" s="126">
        <v>1</v>
      </c>
      <c r="H100" s="126">
        <v>1</v>
      </c>
      <c r="I100" s="126">
        <v>1</v>
      </c>
      <c r="J100" s="126">
        <v>14</v>
      </c>
      <c r="M100" s="126">
        <v>32</v>
      </c>
      <c r="N100" s="126">
        <v>0</v>
      </c>
      <c r="O100" s="126">
        <v>8</v>
      </c>
      <c r="R100" s="126" t="s">
        <v>675</v>
      </c>
      <c r="S100" s="259">
        <v>39.6</v>
      </c>
      <c r="T100" s="259">
        <v>0</v>
      </c>
      <c r="U100" s="68" t="s">
        <v>698</v>
      </c>
      <c r="V100" s="126">
        <v>2</v>
      </c>
      <c r="Z100" s="126">
        <v>1</v>
      </c>
      <c r="AA100" s="126">
        <v>1</v>
      </c>
      <c r="AB100" s="126">
        <v>1</v>
      </c>
      <c r="AC100" s="126">
        <v>5</v>
      </c>
      <c r="AD100" s="126">
        <v>2026</v>
      </c>
    </row>
    <row r="101" spans="3:30">
      <c r="C101" s="126">
        <v>94</v>
      </c>
      <c r="D101" s="126">
        <v>7</v>
      </c>
      <c r="E101" s="126">
        <v>3</v>
      </c>
      <c r="F101" s="126">
        <v>1</v>
      </c>
      <c r="G101" s="126">
        <v>1</v>
      </c>
      <c r="H101" s="126">
        <v>1</v>
      </c>
      <c r="I101" s="126">
        <v>1</v>
      </c>
      <c r="J101" s="126">
        <v>16</v>
      </c>
      <c r="M101" s="126">
        <v>33</v>
      </c>
      <c r="N101" s="126">
        <v>0</v>
      </c>
      <c r="O101" s="126">
        <v>9</v>
      </c>
      <c r="R101" s="126" t="s">
        <v>675</v>
      </c>
      <c r="S101" s="259">
        <v>31.5</v>
      </c>
      <c r="T101" s="259">
        <v>0</v>
      </c>
      <c r="U101" s="68" t="s">
        <v>701</v>
      </c>
      <c r="V101" s="126">
        <v>2</v>
      </c>
      <c r="Z101" s="126">
        <v>1</v>
      </c>
      <c r="AA101" s="126">
        <v>1</v>
      </c>
      <c r="AB101" s="126">
        <v>1</v>
      </c>
      <c r="AC101" s="126">
        <v>5</v>
      </c>
      <c r="AD101" s="126">
        <v>2026</v>
      </c>
    </row>
    <row r="102" spans="3:30">
      <c r="C102" s="126">
        <v>95</v>
      </c>
      <c r="D102" s="126">
        <v>7</v>
      </c>
      <c r="E102" s="126">
        <v>3</v>
      </c>
      <c r="F102" s="126">
        <v>1</v>
      </c>
      <c r="G102" s="126">
        <v>1</v>
      </c>
      <c r="H102" s="126">
        <v>1</v>
      </c>
      <c r="I102" s="126">
        <v>1</v>
      </c>
      <c r="J102" s="126">
        <v>17</v>
      </c>
      <c r="M102" s="126">
        <v>34</v>
      </c>
      <c r="N102" s="126">
        <v>0</v>
      </c>
      <c r="O102" s="126">
        <v>10</v>
      </c>
      <c r="R102" s="126" t="s">
        <v>675</v>
      </c>
      <c r="S102" s="259">
        <v>32.6</v>
      </c>
      <c r="T102" s="259">
        <v>0</v>
      </c>
      <c r="U102" s="68" t="s">
        <v>702</v>
      </c>
      <c r="V102" s="126">
        <v>2</v>
      </c>
      <c r="Z102" s="126">
        <v>1</v>
      </c>
      <c r="AA102" s="126">
        <v>1</v>
      </c>
      <c r="AB102" s="126">
        <v>1</v>
      </c>
      <c r="AC102" s="126">
        <v>5</v>
      </c>
      <c r="AD102" s="126">
        <v>2026</v>
      </c>
    </row>
    <row r="103" spans="3:30">
      <c r="C103" s="126">
        <v>96</v>
      </c>
      <c r="D103" s="126">
        <v>7</v>
      </c>
      <c r="E103" s="126">
        <v>3</v>
      </c>
      <c r="F103" s="126">
        <v>1</v>
      </c>
      <c r="G103" s="126">
        <v>1</v>
      </c>
      <c r="H103" s="126">
        <v>1</v>
      </c>
      <c r="I103" s="126">
        <v>1</v>
      </c>
      <c r="J103" s="126">
        <v>18</v>
      </c>
      <c r="M103" s="126">
        <v>35</v>
      </c>
      <c r="N103" s="126">
        <v>0</v>
      </c>
      <c r="O103" s="126">
        <v>11</v>
      </c>
      <c r="R103" s="126" t="s">
        <v>675</v>
      </c>
      <c r="S103" s="259">
        <v>24.3</v>
      </c>
      <c r="T103" s="259">
        <v>0</v>
      </c>
      <c r="U103" s="68" t="s">
        <v>705</v>
      </c>
      <c r="V103" s="126">
        <v>2</v>
      </c>
      <c r="Z103" s="126">
        <v>1</v>
      </c>
      <c r="AA103" s="126">
        <v>1</v>
      </c>
      <c r="AB103" s="126">
        <v>1</v>
      </c>
      <c r="AC103" s="126">
        <v>5</v>
      </c>
      <c r="AD103" s="126">
        <v>2026</v>
      </c>
    </row>
    <row r="104" spans="3:30">
      <c r="C104" s="126">
        <v>97</v>
      </c>
      <c r="D104" s="126">
        <v>7</v>
      </c>
      <c r="E104" s="126">
        <v>3</v>
      </c>
      <c r="F104" s="126">
        <v>1</v>
      </c>
      <c r="G104" s="126">
        <v>1</v>
      </c>
      <c r="H104" s="126">
        <v>1</v>
      </c>
      <c r="I104" s="126">
        <v>1</v>
      </c>
      <c r="J104" s="126">
        <v>19</v>
      </c>
      <c r="M104" s="126">
        <v>36</v>
      </c>
      <c r="N104" s="126">
        <v>0</v>
      </c>
      <c r="O104" s="126">
        <v>12</v>
      </c>
      <c r="R104" s="126" t="s">
        <v>675</v>
      </c>
      <c r="S104" s="259">
        <v>37.450000000000003</v>
      </c>
      <c r="T104" s="259">
        <v>0</v>
      </c>
      <c r="U104" s="68" t="s">
        <v>708</v>
      </c>
      <c r="V104" s="126">
        <v>2</v>
      </c>
      <c r="Z104" s="126">
        <v>1</v>
      </c>
      <c r="AA104" s="126">
        <v>1</v>
      </c>
      <c r="AB104" s="126">
        <v>1</v>
      </c>
      <c r="AC104" s="126">
        <v>5</v>
      </c>
      <c r="AD104" s="126">
        <v>2026</v>
      </c>
    </row>
    <row r="105" spans="3:30">
      <c r="C105" s="126">
        <v>98</v>
      </c>
      <c r="D105" s="126">
        <v>7</v>
      </c>
      <c r="E105" s="126">
        <v>3</v>
      </c>
      <c r="F105" s="126">
        <v>1</v>
      </c>
      <c r="G105" s="126">
        <v>1</v>
      </c>
      <c r="H105" s="126">
        <v>1</v>
      </c>
      <c r="I105" s="126">
        <v>1</v>
      </c>
      <c r="J105" s="126">
        <v>20</v>
      </c>
      <c r="M105" s="126">
        <v>37</v>
      </c>
      <c r="N105" s="126">
        <v>0</v>
      </c>
      <c r="O105" s="126">
        <v>13</v>
      </c>
      <c r="R105" s="126" t="s">
        <v>675</v>
      </c>
      <c r="S105" s="259">
        <v>15.09</v>
      </c>
      <c r="T105" s="259">
        <v>0</v>
      </c>
      <c r="U105" s="68" t="s">
        <v>711</v>
      </c>
      <c r="V105" s="126">
        <v>2</v>
      </c>
      <c r="Z105" s="126">
        <v>1</v>
      </c>
      <c r="AA105" s="126">
        <v>1</v>
      </c>
      <c r="AB105" s="126">
        <v>1</v>
      </c>
      <c r="AC105" s="126">
        <v>5</v>
      </c>
      <c r="AD105" s="126">
        <v>2026</v>
      </c>
    </row>
    <row r="106" spans="3:30">
      <c r="C106" s="126">
        <v>99</v>
      </c>
      <c r="D106" s="126">
        <v>7</v>
      </c>
      <c r="E106" s="126">
        <v>3</v>
      </c>
      <c r="F106" s="126">
        <v>1</v>
      </c>
      <c r="G106" s="126">
        <v>1</v>
      </c>
      <c r="H106" s="126">
        <v>1</v>
      </c>
      <c r="I106" s="126">
        <v>1</v>
      </c>
      <c r="J106" s="126">
        <v>22</v>
      </c>
      <c r="M106" s="126">
        <v>38</v>
      </c>
      <c r="N106" s="126">
        <v>0</v>
      </c>
      <c r="O106" s="126">
        <v>14</v>
      </c>
      <c r="R106" s="126" t="s">
        <v>675</v>
      </c>
      <c r="S106" s="259">
        <v>20.3</v>
      </c>
      <c r="T106" s="259">
        <v>0</v>
      </c>
      <c r="U106" s="68" t="s">
        <v>712</v>
      </c>
      <c r="V106" s="126">
        <v>2</v>
      </c>
      <c r="Z106" s="126">
        <v>1</v>
      </c>
      <c r="AA106" s="126">
        <v>1</v>
      </c>
      <c r="AB106" s="126">
        <v>1</v>
      </c>
      <c r="AC106" s="126">
        <v>5</v>
      </c>
      <c r="AD106" s="126">
        <v>2026</v>
      </c>
    </row>
    <row r="107" spans="3:30">
      <c r="C107" s="126">
        <v>100</v>
      </c>
      <c r="D107" s="126">
        <v>8</v>
      </c>
      <c r="E107" s="126">
        <v>6</v>
      </c>
      <c r="F107" s="126">
        <v>1</v>
      </c>
      <c r="G107" s="126">
        <v>1</v>
      </c>
      <c r="H107" s="126">
        <v>1</v>
      </c>
      <c r="I107" s="126">
        <v>1</v>
      </c>
      <c r="R107" s="126" t="s">
        <v>675</v>
      </c>
      <c r="S107" s="259">
        <v>0</v>
      </c>
      <c r="T107" s="259">
        <v>2711.37</v>
      </c>
      <c r="U107" s="68" t="s">
        <v>714</v>
      </c>
      <c r="V107" s="126">
        <v>2</v>
      </c>
      <c r="Z107" s="126">
        <v>1</v>
      </c>
      <c r="AA107" s="126">
        <v>1</v>
      </c>
      <c r="AB107" s="126">
        <v>1</v>
      </c>
      <c r="AC107" s="126">
        <v>5</v>
      </c>
      <c r="AD107" s="126">
        <v>2026</v>
      </c>
    </row>
    <row r="108" spans="3:30">
      <c r="C108" s="126">
        <v>101</v>
      </c>
      <c r="D108" s="126">
        <v>8</v>
      </c>
      <c r="E108" s="126">
        <v>3</v>
      </c>
      <c r="F108" s="126">
        <v>1</v>
      </c>
      <c r="G108" s="126">
        <v>1</v>
      </c>
      <c r="H108" s="126">
        <v>1</v>
      </c>
      <c r="I108" s="126">
        <v>1</v>
      </c>
      <c r="J108" s="126">
        <v>26</v>
      </c>
      <c r="M108" s="126">
        <v>39</v>
      </c>
      <c r="N108" s="126">
        <v>0</v>
      </c>
      <c r="O108" s="126">
        <v>15</v>
      </c>
      <c r="R108" s="126" t="s">
        <v>675</v>
      </c>
      <c r="S108" s="259">
        <v>15.07</v>
      </c>
      <c r="T108" s="259">
        <v>0</v>
      </c>
      <c r="U108" s="68" t="s">
        <v>717</v>
      </c>
      <c r="V108" s="126">
        <v>2</v>
      </c>
      <c r="Z108" s="126">
        <v>1</v>
      </c>
      <c r="AA108" s="126">
        <v>1</v>
      </c>
      <c r="AB108" s="126">
        <v>1</v>
      </c>
      <c r="AC108" s="126">
        <v>5</v>
      </c>
      <c r="AD108" s="126">
        <v>2026</v>
      </c>
    </row>
    <row r="109" spans="3:30">
      <c r="C109" s="126">
        <v>102</v>
      </c>
      <c r="D109" s="126">
        <v>8</v>
      </c>
      <c r="E109" s="126">
        <v>3</v>
      </c>
      <c r="F109" s="126">
        <v>1</v>
      </c>
      <c r="G109" s="126">
        <v>1</v>
      </c>
      <c r="H109" s="126">
        <v>1</v>
      </c>
      <c r="I109" s="126">
        <v>1</v>
      </c>
      <c r="J109" s="126">
        <v>101</v>
      </c>
      <c r="M109" s="126">
        <v>40</v>
      </c>
      <c r="N109" s="126">
        <v>0</v>
      </c>
      <c r="O109" s="126">
        <v>16</v>
      </c>
      <c r="R109" s="126" t="s">
        <v>675</v>
      </c>
      <c r="S109" s="259">
        <v>25</v>
      </c>
      <c r="T109" s="259">
        <v>0</v>
      </c>
      <c r="U109" s="68" t="s">
        <v>721</v>
      </c>
      <c r="V109" s="126">
        <v>2</v>
      </c>
      <c r="Z109" s="126">
        <v>1</v>
      </c>
      <c r="AA109" s="126">
        <v>1</v>
      </c>
      <c r="AB109" s="126">
        <v>1</v>
      </c>
      <c r="AC109" s="126">
        <v>5</v>
      </c>
      <c r="AD109" s="126">
        <v>2026</v>
      </c>
    </row>
    <row r="110" spans="3:30">
      <c r="C110" s="126">
        <v>103</v>
      </c>
      <c r="D110" s="126">
        <v>8</v>
      </c>
      <c r="E110" s="126">
        <v>3</v>
      </c>
      <c r="F110" s="126">
        <v>1</v>
      </c>
      <c r="G110" s="126">
        <v>1</v>
      </c>
      <c r="H110" s="126">
        <v>1</v>
      </c>
      <c r="I110" s="126">
        <v>1</v>
      </c>
      <c r="J110" s="126">
        <v>102</v>
      </c>
      <c r="M110" s="126">
        <v>41</v>
      </c>
      <c r="N110" s="126">
        <v>0</v>
      </c>
      <c r="O110" s="126">
        <v>17</v>
      </c>
      <c r="R110" s="126" t="s">
        <v>675</v>
      </c>
      <c r="S110" s="259">
        <v>18</v>
      </c>
      <c r="T110" s="259">
        <v>0</v>
      </c>
      <c r="U110" s="68" t="s">
        <v>725</v>
      </c>
      <c r="V110" s="126">
        <v>2</v>
      </c>
      <c r="Z110" s="126">
        <v>1</v>
      </c>
      <c r="AA110" s="126">
        <v>1</v>
      </c>
      <c r="AB110" s="126">
        <v>1</v>
      </c>
      <c r="AC110" s="126">
        <v>5</v>
      </c>
      <c r="AD110" s="126">
        <v>2026</v>
      </c>
    </row>
    <row r="111" spans="3:30">
      <c r="C111" s="126">
        <v>104</v>
      </c>
      <c r="D111" s="126">
        <v>8</v>
      </c>
      <c r="E111" s="126">
        <v>3</v>
      </c>
      <c r="F111" s="126">
        <v>1</v>
      </c>
      <c r="G111" s="126">
        <v>1</v>
      </c>
      <c r="H111" s="126">
        <v>1</v>
      </c>
      <c r="I111" s="126">
        <v>1</v>
      </c>
      <c r="J111" s="126">
        <v>125</v>
      </c>
      <c r="M111" s="126">
        <v>42</v>
      </c>
      <c r="N111" s="126">
        <v>0</v>
      </c>
      <c r="O111" s="126">
        <v>18</v>
      </c>
      <c r="R111" s="126" t="s">
        <v>675</v>
      </c>
      <c r="S111" s="259">
        <v>28</v>
      </c>
      <c r="T111" s="259">
        <v>0</v>
      </c>
      <c r="U111" s="262" t="s">
        <v>729</v>
      </c>
      <c r="V111" s="126">
        <v>2</v>
      </c>
      <c r="Z111" s="126">
        <v>1</v>
      </c>
      <c r="AA111" s="126">
        <v>1</v>
      </c>
      <c r="AB111" s="126">
        <v>1</v>
      </c>
      <c r="AC111" s="126">
        <v>5</v>
      </c>
      <c r="AD111" s="126">
        <v>2026</v>
      </c>
    </row>
    <row r="112" spans="3:30">
      <c r="C112" s="126">
        <v>105</v>
      </c>
      <c r="D112" s="126">
        <v>8</v>
      </c>
      <c r="E112" s="126">
        <v>3</v>
      </c>
      <c r="F112" s="126">
        <v>1</v>
      </c>
      <c r="G112" s="126">
        <v>1</v>
      </c>
      <c r="H112" s="126">
        <v>1</v>
      </c>
      <c r="I112" s="126">
        <v>1</v>
      </c>
      <c r="J112" s="126">
        <v>152</v>
      </c>
      <c r="M112" s="126">
        <v>43</v>
      </c>
      <c r="N112" s="126">
        <v>0</v>
      </c>
      <c r="O112" s="126">
        <v>19</v>
      </c>
      <c r="R112" s="126" t="s">
        <v>675</v>
      </c>
      <c r="S112" s="259">
        <v>33.75</v>
      </c>
      <c r="T112" s="259">
        <v>0</v>
      </c>
      <c r="U112" s="68" t="s">
        <v>732</v>
      </c>
      <c r="V112" s="126">
        <v>2</v>
      </c>
      <c r="Z112" s="126">
        <v>1</v>
      </c>
      <c r="AA112" s="126">
        <v>1</v>
      </c>
      <c r="AB112" s="126">
        <v>1</v>
      </c>
      <c r="AC112" s="126">
        <v>5</v>
      </c>
      <c r="AD112" s="126">
        <v>2026</v>
      </c>
    </row>
    <row r="113" spans="3:30">
      <c r="C113" s="126">
        <v>106</v>
      </c>
      <c r="D113" s="126">
        <v>8</v>
      </c>
      <c r="E113" s="126">
        <v>3</v>
      </c>
      <c r="F113" s="126">
        <v>1</v>
      </c>
      <c r="G113" s="126">
        <v>1</v>
      </c>
      <c r="H113" s="126">
        <v>1</v>
      </c>
      <c r="I113" s="126">
        <v>1</v>
      </c>
      <c r="J113" s="126">
        <v>155</v>
      </c>
      <c r="M113" s="126">
        <v>44</v>
      </c>
      <c r="N113" s="126">
        <v>0</v>
      </c>
      <c r="O113" s="126">
        <v>20</v>
      </c>
      <c r="R113" s="126" t="s">
        <v>675</v>
      </c>
      <c r="S113" s="259">
        <v>43.5</v>
      </c>
      <c r="T113" s="259">
        <v>0</v>
      </c>
      <c r="U113" s="68" t="s">
        <v>734</v>
      </c>
      <c r="V113" s="126">
        <v>2</v>
      </c>
      <c r="Z113" s="126">
        <v>1</v>
      </c>
      <c r="AA113" s="126">
        <v>1</v>
      </c>
      <c r="AB113" s="126">
        <v>1</v>
      </c>
      <c r="AC113" s="126">
        <v>5</v>
      </c>
      <c r="AD113" s="126">
        <v>2026</v>
      </c>
    </row>
    <row r="114" spans="3:30">
      <c r="C114" s="126">
        <v>107</v>
      </c>
      <c r="D114" s="126">
        <v>8</v>
      </c>
      <c r="E114" s="126">
        <v>3</v>
      </c>
      <c r="F114" s="126">
        <v>1</v>
      </c>
      <c r="G114" s="126">
        <v>1</v>
      </c>
      <c r="H114" s="126">
        <v>1</v>
      </c>
      <c r="I114" s="126">
        <v>1</v>
      </c>
      <c r="J114" s="126">
        <v>156</v>
      </c>
      <c r="M114" s="126">
        <v>45</v>
      </c>
      <c r="N114" s="126">
        <v>0</v>
      </c>
      <c r="O114" s="126">
        <v>21</v>
      </c>
      <c r="R114" s="126" t="s">
        <v>675</v>
      </c>
      <c r="S114" s="259">
        <v>22.05</v>
      </c>
      <c r="T114" s="259">
        <v>0</v>
      </c>
      <c r="U114" s="68" t="s">
        <v>737</v>
      </c>
      <c r="V114" s="126">
        <v>2</v>
      </c>
      <c r="Z114" s="126">
        <v>1</v>
      </c>
      <c r="AA114" s="126">
        <v>1</v>
      </c>
      <c r="AB114" s="126">
        <v>1</v>
      </c>
      <c r="AC114" s="126">
        <v>5</v>
      </c>
      <c r="AD114" s="126">
        <v>2026</v>
      </c>
    </row>
    <row r="115" spans="3:30">
      <c r="C115" s="126">
        <v>108</v>
      </c>
      <c r="D115" s="126">
        <v>8</v>
      </c>
      <c r="E115" s="126">
        <v>3</v>
      </c>
      <c r="F115" s="126">
        <v>1</v>
      </c>
      <c r="G115" s="126">
        <v>1</v>
      </c>
      <c r="H115" s="126">
        <v>1</v>
      </c>
      <c r="I115" s="126">
        <v>1</v>
      </c>
      <c r="J115" s="126">
        <v>160</v>
      </c>
      <c r="M115" s="126">
        <v>46</v>
      </c>
      <c r="N115" s="126">
        <v>0</v>
      </c>
      <c r="O115" s="126">
        <v>22</v>
      </c>
      <c r="R115" s="126" t="s">
        <v>675</v>
      </c>
      <c r="S115" s="259">
        <v>23.5</v>
      </c>
      <c r="T115" s="259">
        <v>0</v>
      </c>
      <c r="U115" s="68" t="s">
        <v>740</v>
      </c>
      <c r="V115" s="126">
        <v>2</v>
      </c>
      <c r="Z115" s="126">
        <v>1</v>
      </c>
      <c r="AA115" s="126">
        <v>1</v>
      </c>
      <c r="AB115" s="126">
        <v>1</v>
      </c>
      <c r="AC115" s="126">
        <v>5</v>
      </c>
      <c r="AD115" s="126">
        <v>2026</v>
      </c>
    </row>
    <row r="116" spans="3:30">
      <c r="C116" s="126">
        <v>109</v>
      </c>
      <c r="D116" s="126">
        <v>8</v>
      </c>
      <c r="E116" s="126">
        <v>3</v>
      </c>
      <c r="F116" s="126">
        <v>1</v>
      </c>
      <c r="G116" s="126">
        <v>1</v>
      </c>
      <c r="H116" s="126">
        <v>1</v>
      </c>
      <c r="I116" s="126">
        <v>1</v>
      </c>
      <c r="J116" s="126">
        <v>162</v>
      </c>
      <c r="M116" s="126">
        <v>47</v>
      </c>
      <c r="N116" s="126">
        <v>0</v>
      </c>
      <c r="O116" s="126">
        <v>23</v>
      </c>
      <c r="R116" s="126" t="s">
        <v>675</v>
      </c>
      <c r="S116" s="259">
        <v>106</v>
      </c>
      <c r="T116" s="259">
        <v>0</v>
      </c>
      <c r="U116" s="68" t="s">
        <v>744</v>
      </c>
      <c r="V116" s="126">
        <v>2</v>
      </c>
      <c r="Z116" s="126">
        <v>1</v>
      </c>
      <c r="AA116" s="126">
        <v>1</v>
      </c>
      <c r="AB116" s="126">
        <v>1</v>
      </c>
      <c r="AC116" s="126">
        <v>5</v>
      </c>
      <c r="AD116" s="126">
        <v>2026</v>
      </c>
    </row>
    <row r="117" spans="3:30">
      <c r="C117" s="126">
        <v>110</v>
      </c>
      <c r="D117" s="126">
        <v>8</v>
      </c>
      <c r="E117" s="126">
        <v>3</v>
      </c>
      <c r="F117" s="126">
        <v>1</v>
      </c>
      <c r="G117" s="126">
        <v>1</v>
      </c>
      <c r="H117" s="126">
        <v>1</v>
      </c>
      <c r="I117" s="126">
        <v>1</v>
      </c>
      <c r="J117" s="126">
        <v>163</v>
      </c>
      <c r="M117" s="126">
        <v>48</v>
      </c>
      <c r="N117" s="126">
        <v>0</v>
      </c>
      <c r="O117" s="126">
        <v>24</v>
      </c>
      <c r="R117" s="126" t="s">
        <v>675</v>
      </c>
      <c r="S117" s="259">
        <v>25.5</v>
      </c>
      <c r="T117" s="259">
        <v>0</v>
      </c>
      <c r="U117" s="68" t="s">
        <v>747</v>
      </c>
      <c r="V117" s="126">
        <v>2</v>
      </c>
      <c r="Z117" s="126">
        <v>1</v>
      </c>
      <c r="AA117" s="126">
        <v>1</v>
      </c>
      <c r="AB117" s="126">
        <v>1</v>
      </c>
      <c r="AC117" s="126">
        <v>5</v>
      </c>
      <c r="AD117" s="126">
        <v>2026</v>
      </c>
    </row>
    <row r="118" spans="3:30">
      <c r="C118" s="126">
        <v>111</v>
      </c>
      <c r="D118" s="126">
        <v>8</v>
      </c>
      <c r="E118" s="126">
        <v>3</v>
      </c>
      <c r="F118" s="126">
        <v>1</v>
      </c>
      <c r="G118" s="126">
        <v>1</v>
      </c>
      <c r="H118" s="126">
        <v>1</v>
      </c>
      <c r="I118" s="126">
        <v>1</v>
      </c>
      <c r="J118" s="126">
        <v>176</v>
      </c>
      <c r="M118" s="126">
        <v>49</v>
      </c>
      <c r="N118" s="126">
        <v>0</v>
      </c>
      <c r="O118" s="126">
        <v>25</v>
      </c>
      <c r="R118" s="126" t="s">
        <v>675</v>
      </c>
      <c r="S118" s="259">
        <v>425</v>
      </c>
      <c r="T118" s="259">
        <v>0</v>
      </c>
      <c r="U118" s="68" t="s">
        <v>751</v>
      </c>
      <c r="V118" s="126">
        <v>2</v>
      </c>
      <c r="Z118" s="126">
        <v>1</v>
      </c>
      <c r="AA118" s="126">
        <v>1</v>
      </c>
      <c r="AB118" s="126">
        <v>1</v>
      </c>
      <c r="AC118" s="126">
        <v>5</v>
      </c>
      <c r="AD118" s="126">
        <v>2026</v>
      </c>
    </row>
    <row r="119" spans="3:30">
      <c r="C119" s="126">
        <v>112</v>
      </c>
      <c r="D119" s="126">
        <v>8</v>
      </c>
      <c r="E119" s="126">
        <v>3</v>
      </c>
      <c r="F119" s="126">
        <v>1</v>
      </c>
      <c r="G119" s="126">
        <v>1</v>
      </c>
      <c r="H119" s="126">
        <v>1</v>
      </c>
      <c r="I119" s="126">
        <v>1</v>
      </c>
      <c r="J119" s="126">
        <v>177</v>
      </c>
      <c r="M119" s="126">
        <v>50</v>
      </c>
      <c r="N119" s="126">
        <v>0</v>
      </c>
      <c r="O119" s="126">
        <v>26</v>
      </c>
      <c r="R119" s="126" t="s">
        <v>675</v>
      </c>
      <c r="S119" s="259">
        <v>996</v>
      </c>
      <c r="T119" s="259">
        <v>0</v>
      </c>
      <c r="U119" s="68" t="s">
        <v>754</v>
      </c>
      <c r="V119" s="126">
        <v>2</v>
      </c>
      <c r="Z119" s="126">
        <v>1</v>
      </c>
      <c r="AA119" s="126">
        <v>1</v>
      </c>
      <c r="AB119" s="126">
        <v>1</v>
      </c>
      <c r="AC119" s="126">
        <v>5</v>
      </c>
      <c r="AD119" s="126">
        <v>2026</v>
      </c>
    </row>
    <row r="120" spans="3:30">
      <c r="C120" s="126">
        <v>113</v>
      </c>
      <c r="D120" s="126">
        <v>8</v>
      </c>
      <c r="E120" s="126">
        <v>3</v>
      </c>
      <c r="F120" s="126">
        <v>1</v>
      </c>
      <c r="G120" s="126">
        <v>1</v>
      </c>
      <c r="H120" s="126">
        <v>1</v>
      </c>
      <c r="I120" s="126">
        <v>1</v>
      </c>
      <c r="J120" s="126">
        <v>178</v>
      </c>
      <c r="M120" s="126">
        <v>51</v>
      </c>
      <c r="N120" s="126">
        <v>0</v>
      </c>
      <c r="O120" s="126">
        <v>27</v>
      </c>
      <c r="R120" s="126" t="s">
        <v>675</v>
      </c>
      <c r="S120" s="259">
        <v>570</v>
      </c>
      <c r="T120" s="259">
        <v>0</v>
      </c>
      <c r="U120" s="68" t="s">
        <v>757</v>
      </c>
      <c r="V120" s="126">
        <v>2</v>
      </c>
      <c r="Z120" s="126">
        <v>1</v>
      </c>
      <c r="AA120" s="126">
        <v>1</v>
      </c>
      <c r="AB120" s="126">
        <v>1</v>
      </c>
      <c r="AC120" s="126">
        <v>5</v>
      </c>
      <c r="AD120" s="126">
        <v>2026</v>
      </c>
    </row>
    <row r="121" spans="3:30">
      <c r="C121" s="126">
        <v>114</v>
      </c>
      <c r="D121" s="126">
        <v>8</v>
      </c>
      <c r="E121" s="126">
        <v>3</v>
      </c>
      <c r="F121" s="126">
        <v>1</v>
      </c>
      <c r="G121" s="126">
        <v>1</v>
      </c>
      <c r="H121" s="126">
        <v>1</v>
      </c>
      <c r="I121" s="126">
        <v>1</v>
      </c>
      <c r="J121" s="126">
        <v>179</v>
      </c>
      <c r="M121" s="126">
        <v>52</v>
      </c>
      <c r="N121" s="126">
        <v>0</v>
      </c>
      <c r="O121" s="126">
        <v>28</v>
      </c>
      <c r="R121" s="126" t="s">
        <v>675</v>
      </c>
      <c r="S121" s="259">
        <v>380</v>
      </c>
      <c r="T121" s="259">
        <v>0</v>
      </c>
      <c r="U121" s="68" t="s">
        <v>758</v>
      </c>
      <c r="V121" s="126">
        <v>2</v>
      </c>
      <c r="Z121" s="126">
        <v>1</v>
      </c>
      <c r="AA121" s="126">
        <v>1</v>
      </c>
      <c r="AB121" s="126">
        <v>1</v>
      </c>
      <c r="AC121" s="126">
        <v>5</v>
      </c>
      <c r="AD121" s="126">
        <v>2026</v>
      </c>
    </row>
    <row r="122" spans="3:30">
      <c r="C122" s="126">
        <v>115</v>
      </c>
      <c r="D122" s="126">
        <v>9</v>
      </c>
      <c r="E122" s="126">
        <v>6</v>
      </c>
      <c r="F122" s="126">
        <v>1</v>
      </c>
      <c r="G122" s="126">
        <v>1</v>
      </c>
      <c r="H122" s="126">
        <v>1</v>
      </c>
      <c r="I122" s="126">
        <v>1</v>
      </c>
      <c r="R122" s="126" t="s">
        <v>675</v>
      </c>
      <c r="S122" s="259">
        <v>0</v>
      </c>
      <c r="T122" s="259">
        <v>880.41000000000008</v>
      </c>
      <c r="U122" s="68" t="s">
        <v>760</v>
      </c>
      <c r="V122" s="126">
        <v>2</v>
      </c>
      <c r="Z122" s="126">
        <v>1</v>
      </c>
      <c r="AA122" s="126">
        <v>1</v>
      </c>
      <c r="AB122" s="126">
        <v>1</v>
      </c>
      <c r="AC122" s="126">
        <v>5</v>
      </c>
      <c r="AD122" s="126">
        <v>2026</v>
      </c>
    </row>
    <row r="123" spans="3:30">
      <c r="C123" s="126">
        <v>116</v>
      </c>
      <c r="D123" s="126">
        <v>9</v>
      </c>
      <c r="E123" s="126">
        <v>3</v>
      </c>
      <c r="F123" s="126">
        <v>1</v>
      </c>
      <c r="G123" s="126">
        <v>1</v>
      </c>
      <c r="H123" s="126">
        <v>1</v>
      </c>
      <c r="I123" s="126">
        <v>1</v>
      </c>
      <c r="J123" s="126">
        <v>181</v>
      </c>
      <c r="M123" s="126">
        <v>53</v>
      </c>
      <c r="N123" s="126">
        <v>0</v>
      </c>
      <c r="O123" s="126">
        <v>29</v>
      </c>
      <c r="R123" s="126" t="s">
        <v>675</v>
      </c>
      <c r="S123" s="259">
        <v>15</v>
      </c>
      <c r="T123" s="259">
        <v>0</v>
      </c>
      <c r="U123" s="68" t="s">
        <v>764</v>
      </c>
      <c r="V123" s="126">
        <v>2</v>
      </c>
      <c r="Z123" s="126">
        <v>1</v>
      </c>
      <c r="AA123" s="126">
        <v>1</v>
      </c>
      <c r="AB123" s="126">
        <v>1</v>
      </c>
      <c r="AC123" s="126">
        <v>5</v>
      </c>
      <c r="AD123" s="126">
        <v>2026</v>
      </c>
    </row>
    <row r="124" spans="3:30">
      <c r="C124" s="126">
        <v>117</v>
      </c>
      <c r="D124" s="126">
        <v>9</v>
      </c>
      <c r="E124" s="126">
        <v>3</v>
      </c>
      <c r="F124" s="126">
        <v>1</v>
      </c>
      <c r="G124" s="126">
        <v>1</v>
      </c>
      <c r="H124" s="126">
        <v>1</v>
      </c>
      <c r="I124" s="126">
        <v>1</v>
      </c>
      <c r="J124" s="126">
        <v>182</v>
      </c>
      <c r="M124" s="126">
        <v>54</v>
      </c>
      <c r="N124" s="126">
        <v>0</v>
      </c>
      <c r="O124" s="126">
        <v>30</v>
      </c>
      <c r="R124" s="126" t="s">
        <v>675</v>
      </c>
      <c r="S124" s="259">
        <v>20</v>
      </c>
      <c r="T124" s="259">
        <v>0</v>
      </c>
      <c r="U124" s="68" t="s">
        <v>765</v>
      </c>
      <c r="V124" s="126">
        <v>2</v>
      </c>
      <c r="Z124" s="126">
        <v>1</v>
      </c>
      <c r="AA124" s="126">
        <v>1</v>
      </c>
      <c r="AB124" s="126">
        <v>1</v>
      </c>
      <c r="AC124" s="126">
        <v>5</v>
      </c>
      <c r="AD124" s="126">
        <v>2026</v>
      </c>
    </row>
    <row r="125" spans="3:30">
      <c r="C125" s="126">
        <v>118</v>
      </c>
      <c r="D125" s="126">
        <v>9</v>
      </c>
      <c r="E125" s="126">
        <v>3</v>
      </c>
      <c r="F125" s="126">
        <v>1</v>
      </c>
      <c r="G125" s="126">
        <v>1</v>
      </c>
      <c r="H125" s="126">
        <v>1</v>
      </c>
      <c r="I125" s="126">
        <v>1</v>
      </c>
      <c r="J125" s="126">
        <v>183</v>
      </c>
      <c r="M125" s="126">
        <v>55</v>
      </c>
      <c r="N125" s="126">
        <v>0</v>
      </c>
      <c r="O125" s="126">
        <v>31</v>
      </c>
      <c r="R125" s="126" t="s">
        <v>675</v>
      </c>
      <c r="S125" s="259">
        <v>80</v>
      </c>
      <c r="T125" s="259">
        <v>0</v>
      </c>
      <c r="U125" s="68" t="s">
        <v>768</v>
      </c>
      <c r="V125" s="126">
        <v>2</v>
      </c>
      <c r="Z125" s="126">
        <v>1</v>
      </c>
      <c r="AA125" s="126">
        <v>1</v>
      </c>
      <c r="AB125" s="126">
        <v>1</v>
      </c>
      <c r="AC125" s="126">
        <v>5</v>
      </c>
      <c r="AD125" s="126">
        <v>2026</v>
      </c>
    </row>
    <row r="126" spans="3:30">
      <c r="C126" s="126">
        <v>119</v>
      </c>
      <c r="D126" s="126">
        <v>9</v>
      </c>
      <c r="E126" s="126">
        <v>3</v>
      </c>
      <c r="F126" s="126">
        <v>1</v>
      </c>
      <c r="G126" s="126">
        <v>1</v>
      </c>
      <c r="H126" s="126">
        <v>1</v>
      </c>
      <c r="I126" s="126">
        <v>1</v>
      </c>
      <c r="J126" s="126">
        <v>184</v>
      </c>
      <c r="M126" s="126">
        <v>56</v>
      </c>
      <c r="N126" s="126">
        <v>0</v>
      </c>
      <c r="O126" s="126">
        <v>32</v>
      </c>
      <c r="R126" s="126" t="s">
        <v>675</v>
      </c>
      <c r="S126" s="259">
        <v>84</v>
      </c>
      <c r="T126" s="259">
        <v>0</v>
      </c>
      <c r="U126" s="68" t="s">
        <v>771</v>
      </c>
      <c r="V126" s="126">
        <v>2</v>
      </c>
      <c r="Z126" s="126">
        <v>1</v>
      </c>
      <c r="AA126" s="126">
        <v>1</v>
      </c>
      <c r="AB126" s="126">
        <v>1</v>
      </c>
      <c r="AC126" s="126">
        <v>5</v>
      </c>
      <c r="AD126" s="126">
        <v>2026</v>
      </c>
    </row>
    <row r="127" spans="3:30">
      <c r="C127" s="126">
        <v>120</v>
      </c>
      <c r="D127" s="126">
        <v>9</v>
      </c>
      <c r="E127" s="126">
        <v>3</v>
      </c>
      <c r="F127" s="126">
        <v>1</v>
      </c>
      <c r="G127" s="126">
        <v>1</v>
      </c>
      <c r="H127" s="126">
        <v>1</v>
      </c>
      <c r="I127" s="126">
        <v>1</v>
      </c>
      <c r="J127" s="126">
        <v>185</v>
      </c>
      <c r="M127" s="126">
        <v>57</v>
      </c>
      <c r="N127" s="126">
        <v>0</v>
      </c>
      <c r="O127" s="126">
        <v>33</v>
      </c>
      <c r="R127" s="126" t="s">
        <v>675</v>
      </c>
      <c r="S127" s="259">
        <v>40</v>
      </c>
      <c r="T127" s="259">
        <v>0</v>
      </c>
      <c r="U127" s="68" t="s">
        <v>774</v>
      </c>
      <c r="V127" s="126">
        <v>2</v>
      </c>
      <c r="Z127" s="126">
        <v>1</v>
      </c>
      <c r="AA127" s="126">
        <v>1</v>
      </c>
      <c r="AB127" s="126">
        <v>1</v>
      </c>
      <c r="AC127" s="126">
        <v>5</v>
      </c>
      <c r="AD127" s="126">
        <v>2026</v>
      </c>
    </row>
    <row r="128" spans="3:30">
      <c r="C128" s="126">
        <v>121</v>
      </c>
      <c r="D128" s="126">
        <v>9</v>
      </c>
      <c r="E128" s="126">
        <v>3</v>
      </c>
      <c r="F128" s="126">
        <v>1</v>
      </c>
      <c r="G128" s="126">
        <v>1</v>
      </c>
      <c r="H128" s="126">
        <v>1</v>
      </c>
      <c r="I128" s="126">
        <v>1</v>
      </c>
      <c r="J128" s="126">
        <v>186</v>
      </c>
      <c r="M128" s="126">
        <v>58</v>
      </c>
      <c r="N128" s="126">
        <v>0</v>
      </c>
      <c r="O128" s="126">
        <v>34</v>
      </c>
      <c r="R128" s="126" t="s">
        <v>675</v>
      </c>
      <c r="S128" s="259">
        <v>36</v>
      </c>
      <c r="T128" s="259">
        <v>0</v>
      </c>
      <c r="U128" s="68" t="s">
        <v>775</v>
      </c>
      <c r="V128" s="126">
        <v>2</v>
      </c>
      <c r="Z128" s="126">
        <v>1</v>
      </c>
      <c r="AA128" s="126">
        <v>1</v>
      </c>
      <c r="AB128" s="126">
        <v>1</v>
      </c>
      <c r="AC128" s="126">
        <v>5</v>
      </c>
      <c r="AD128" s="126">
        <v>2026</v>
      </c>
    </row>
    <row r="129" spans="3:30">
      <c r="C129" s="126">
        <v>122</v>
      </c>
      <c r="D129" s="126">
        <v>9</v>
      </c>
      <c r="E129" s="126">
        <v>3</v>
      </c>
      <c r="F129" s="126">
        <v>1</v>
      </c>
      <c r="G129" s="126">
        <v>1</v>
      </c>
      <c r="H129" s="126">
        <v>1</v>
      </c>
      <c r="I129" s="126">
        <v>1</v>
      </c>
      <c r="J129" s="126">
        <v>187</v>
      </c>
      <c r="M129" s="126">
        <v>59</v>
      </c>
      <c r="N129" s="126">
        <v>0</v>
      </c>
      <c r="O129" s="126">
        <v>35</v>
      </c>
      <c r="R129" s="126" t="s">
        <v>675</v>
      </c>
      <c r="S129" s="259">
        <v>107.84</v>
      </c>
      <c r="T129" s="259">
        <v>0</v>
      </c>
      <c r="U129" s="68" t="s">
        <v>777</v>
      </c>
      <c r="V129" s="126">
        <v>2</v>
      </c>
      <c r="Z129" s="126">
        <v>1</v>
      </c>
      <c r="AA129" s="126">
        <v>1</v>
      </c>
      <c r="AB129" s="126">
        <v>1</v>
      </c>
      <c r="AC129" s="126">
        <v>5</v>
      </c>
      <c r="AD129" s="126">
        <v>2026</v>
      </c>
    </row>
    <row r="130" spans="3:30">
      <c r="C130" s="126">
        <v>123</v>
      </c>
      <c r="D130" s="126">
        <v>9</v>
      </c>
      <c r="E130" s="126">
        <v>3</v>
      </c>
      <c r="F130" s="126">
        <v>1</v>
      </c>
      <c r="G130" s="126">
        <v>1</v>
      </c>
      <c r="H130" s="126">
        <v>1</v>
      </c>
      <c r="I130" s="126">
        <v>1</v>
      </c>
      <c r="J130" s="126">
        <v>189</v>
      </c>
      <c r="M130" s="126">
        <v>60</v>
      </c>
      <c r="N130" s="126">
        <v>0</v>
      </c>
      <c r="O130" s="126">
        <v>36</v>
      </c>
      <c r="R130" s="126" t="s">
        <v>675</v>
      </c>
      <c r="S130" s="259">
        <v>53.17</v>
      </c>
      <c r="T130" s="259">
        <v>0</v>
      </c>
      <c r="U130" s="68" t="s">
        <v>780</v>
      </c>
      <c r="V130" s="126">
        <v>2</v>
      </c>
      <c r="Z130" s="126">
        <v>1</v>
      </c>
      <c r="AA130" s="126">
        <v>1</v>
      </c>
      <c r="AB130" s="126">
        <v>1</v>
      </c>
      <c r="AC130" s="126">
        <v>5</v>
      </c>
      <c r="AD130" s="126">
        <v>2026</v>
      </c>
    </row>
    <row r="131" spans="3:30">
      <c r="C131" s="126">
        <v>124</v>
      </c>
      <c r="D131" s="126">
        <v>9</v>
      </c>
      <c r="E131" s="126">
        <v>3</v>
      </c>
      <c r="F131" s="126">
        <v>1</v>
      </c>
      <c r="G131" s="126">
        <v>1</v>
      </c>
      <c r="H131" s="126">
        <v>1</v>
      </c>
      <c r="I131" s="126">
        <v>1</v>
      </c>
      <c r="J131" s="126">
        <v>191</v>
      </c>
      <c r="M131" s="126">
        <v>61</v>
      </c>
      <c r="N131" s="126">
        <v>0</v>
      </c>
      <c r="O131" s="126">
        <v>37</v>
      </c>
      <c r="R131" s="126" t="s">
        <v>675</v>
      </c>
      <c r="S131" s="259">
        <v>78.72</v>
      </c>
      <c r="T131" s="259">
        <v>0</v>
      </c>
      <c r="U131" s="68" t="s">
        <v>783</v>
      </c>
      <c r="V131" s="126">
        <v>2</v>
      </c>
      <c r="Z131" s="126">
        <v>1</v>
      </c>
      <c r="AA131" s="126">
        <v>1</v>
      </c>
      <c r="AB131" s="126">
        <v>1</v>
      </c>
      <c r="AC131" s="126">
        <v>5</v>
      </c>
      <c r="AD131" s="126">
        <v>2026</v>
      </c>
    </row>
    <row r="132" spans="3:30">
      <c r="C132" s="126">
        <v>125</v>
      </c>
      <c r="D132" s="126">
        <v>9</v>
      </c>
      <c r="E132" s="126">
        <v>3</v>
      </c>
      <c r="F132" s="126">
        <v>1</v>
      </c>
      <c r="G132" s="126">
        <v>1</v>
      </c>
      <c r="H132" s="126">
        <v>1</v>
      </c>
      <c r="I132" s="126">
        <v>1</v>
      </c>
      <c r="J132" s="126">
        <v>193</v>
      </c>
      <c r="M132" s="126">
        <v>62</v>
      </c>
      <c r="N132" s="126">
        <v>0</v>
      </c>
      <c r="O132" s="126">
        <v>38</v>
      </c>
      <c r="R132" s="126" t="s">
        <v>675</v>
      </c>
      <c r="S132" s="259">
        <v>58.2</v>
      </c>
      <c r="T132" s="259">
        <v>0</v>
      </c>
      <c r="U132" s="68" t="s">
        <v>786</v>
      </c>
      <c r="V132" s="126">
        <v>2</v>
      </c>
      <c r="Z132" s="126">
        <v>1</v>
      </c>
      <c r="AA132" s="126">
        <v>1</v>
      </c>
      <c r="AB132" s="126">
        <v>1</v>
      </c>
      <c r="AC132" s="126">
        <v>5</v>
      </c>
      <c r="AD132" s="126">
        <v>2026</v>
      </c>
    </row>
    <row r="133" spans="3:30">
      <c r="C133" s="126">
        <v>126</v>
      </c>
      <c r="D133" s="126">
        <v>9</v>
      </c>
      <c r="E133" s="126">
        <v>3</v>
      </c>
      <c r="F133" s="126">
        <v>1</v>
      </c>
      <c r="G133" s="126">
        <v>1</v>
      </c>
      <c r="H133" s="126">
        <v>1</v>
      </c>
      <c r="I133" s="126">
        <v>1</v>
      </c>
      <c r="J133" s="126">
        <v>195</v>
      </c>
      <c r="M133" s="126">
        <v>63</v>
      </c>
      <c r="N133" s="126">
        <v>0</v>
      </c>
      <c r="O133" s="126">
        <v>39</v>
      </c>
      <c r="R133" s="126" t="s">
        <v>675</v>
      </c>
      <c r="S133" s="259">
        <v>157</v>
      </c>
      <c r="T133" s="259">
        <v>0</v>
      </c>
      <c r="U133" s="68" t="s">
        <v>787</v>
      </c>
      <c r="V133" s="126">
        <v>2</v>
      </c>
      <c r="Z133" s="126">
        <v>1</v>
      </c>
      <c r="AA133" s="126">
        <v>1</v>
      </c>
      <c r="AB133" s="126">
        <v>1</v>
      </c>
      <c r="AC133" s="126">
        <v>5</v>
      </c>
      <c r="AD133" s="126">
        <v>2026</v>
      </c>
    </row>
    <row r="134" spans="3:30">
      <c r="C134" s="126">
        <v>127</v>
      </c>
      <c r="D134" s="126">
        <v>9</v>
      </c>
      <c r="E134" s="126">
        <v>3</v>
      </c>
      <c r="F134" s="126">
        <v>1</v>
      </c>
      <c r="G134" s="126">
        <v>1</v>
      </c>
      <c r="H134" s="126">
        <v>1</v>
      </c>
      <c r="I134" s="126">
        <v>1</v>
      </c>
      <c r="J134" s="126">
        <v>197</v>
      </c>
      <c r="M134" s="126">
        <v>64</v>
      </c>
      <c r="N134" s="126">
        <v>0</v>
      </c>
      <c r="O134" s="126">
        <v>40</v>
      </c>
      <c r="R134" s="126" t="s">
        <v>675</v>
      </c>
      <c r="S134" s="259">
        <v>150.47999999999999</v>
      </c>
      <c r="T134" s="259">
        <v>0</v>
      </c>
      <c r="U134" s="68" t="s">
        <v>788</v>
      </c>
      <c r="V134" s="126">
        <v>2</v>
      </c>
      <c r="Z134" s="126">
        <v>1</v>
      </c>
      <c r="AA134" s="126">
        <v>1</v>
      </c>
      <c r="AB134" s="126">
        <v>1</v>
      </c>
      <c r="AC134" s="126">
        <v>5</v>
      </c>
      <c r="AD134" s="126">
        <v>2026</v>
      </c>
    </row>
    <row r="135" spans="3:30">
      <c r="C135" s="126">
        <v>128</v>
      </c>
      <c r="D135" s="126">
        <v>10</v>
      </c>
      <c r="E135" s="126">
        <v>2</v>
      </c>
      <c r="F135" s="126">
        <v>1</v>
      </c>
      <c r="G135" s="126">
        <v>1</v>
      </c>
      <c r="H135" s="126">
        <v>1</v>
      </c>
      <c r="I135" s="126">
        <v>1</v>
      </c>
      <c r="R135" s="126" t="s">
        <v>549</v>
      </c>
      <c r="S135" s="259">
        <v>52.26</v>
      </c>
      <c r="T135" s="259">
        <v>0</v>
      </c>
      <c r="U135" s="68" t="s">
        <v>793</v>
      </c>
      <c r="V135" s="126">
        <v>1</v>
      </c>
      <c r="Z135" s="126">
        <v>1</v>
      </c>
      <c r="AA135" s="126">
        <v>1</v>
      </c>
      <c r="AB135" s="126">
        <v>1</v>
      </c>
      <c r="AC135" s="126">
        <v>6</v>
      </c>
      <c r="AD135" s="126">
        <v>2026</v>
      </c>
    </row>
    <row r="136" spans="3:30">
      <c r="C136" s="126">
        <v>129</v>
      </c>
      <c r="D136" s="126">
        <v>10</v>
      </c>
      <c r="E136" s="126">
        <v>3</v>
      </c>
      <c r="F136" s="126">
        <v>1</v>
      </c>
      <c r="G136" s="126">
        <v>1</v>
      </c>
      <c r="H136" s="126">
        <v>1</v>
      </c>
      <c r="I136" s="126">
        <v>1</v>
      </c>
      <c r="J136" s="126">
        <v>176</v>
      </c>
      <c r="M136" s="126">
        <v>65</v>
      </c>
      <c r="N136" s="126">
        <v>0</v>
      </c>
      <c r="P136" s="126">
        <v>25</v>
      </c>
      <c r="R136" s="126" t="s">
        <v>549</v>
      </c>
      <c r="S136" s="259">
        <v>0</v>
      </c>
      <c r="T136" s="259">
        <v>42.5</v>
      </c>
      <c r="U136" s="68" t="s">
        <v>795</v>
      </c>
      <c r="V136" s="126">
        <v>1</v>
      </c>
      <c r="Z136" s="126">
        <v>1</v>
      </c>
      <c r="AA136" s="126">
        <v>1</v>
      </c>
      <c r="AB136" s="126">
        <v>1</v>
      </c>
      <c r="AC136" s="126">
        <v>6</v>
      </c>
      <c r="AD136" s="126">
        <v>2026</v>
      </c>
    </row>
    <row r="137" spans="3:30">
      <c r="C137" s="126">
        <v>130</v>
      </c>
      <c r="D137" s="126">
        <v>10</v>
      </c>
      <c r="E137" s="126">
        <v>11</v>
      </c>
      <c r="F137" s="126">
        <v>1</v>
      </c>
      <c r="G137" s="126">
        <v>1</v>
      </c>
      <c r="H137" s="126">
        <v>1</v>
      </c>
      <c r="I137" s="126">
        <v>1</v>
      </c>
      <c r="J137" s="126">
        <v>176</v>
      </c>
      <c r="M137" s="126">
        <v>65</v>
      </c>
      <c r="N137" s="126">
        <v>1</v>
      </c>
      <c r="P137" s="126">
        <v>25</v>
      </c>
      <c r="R137" s="126" t="s">
        <v>549</v>
      </c>
      <c r="S137" s="259">
        <v>42.5</v>
      </c>
      <c r="T137" s="259">
        <v>0</v>
      </c>
      <c r="U137" s="68" t="s">
        <v>796</v>
      </c>
      <c r="V137" s="126">
        <v>1</v>
      </c>
      <c r="Z137" s="126">
        <v>1</v>
      </c>
      <c r="AA137" s="126">
        <v>1</v>
      </c>
      <c r="AB137" s="126">
        <v>1</v>
      </c>
      <c r="AC137" s="126">
        <v>6</v>
      </c>
      <c r="AD137" s="126">
        <v>2026</v>
      </c>
    </row>
    <row r="138" spans="3:30">
      <c r="C138" s="126">
        <v>131</v>
      </c>
      <c r="D138" s="126">
        <v>10</v>
      </c>
      <c r="E138" s="126">
        <v>10</v>
      </c>
      <c r="F138" s="126">
        <v>1</v>
      </c>
      <c r="G138" s="126">
        <v>1</v>
      </c>
      <c r="H138" s="126">
        <v>1</v>
      </c>
      <c r="I138" s="126">
        <v>1</v>
      </c>
      <c r="J138" s="126">
        <v>176</v>
      </c>
      <c r="P138" s="126">
        <v>25</v>
      </c>
      <c r="R138" s="126" t="s">
        <v>549</v>
      </c>
      <c r="S138" s="259">
        <v>0</v>
      </c>
      <c r="T138" s="259">
        <v>45</v>
      </c>
      <c r="U138" s="68" t="s">
        <v>797</v>
      </c>
      <c r="V138" s="126">
        <v>1</v>
      </c>
      <c r="Z138" s="126">
        <v>1</v>
      </c>
      <c r="AA138" s="126">
        <v>1</v>
      </c>
      <c r="AB138" s="126">
        <v>1</v>
      </c>
      <c r="AC138" s="126">
        <v>6</v>
      </c>
      <c r="AD138" s="126">
        <v>2026</v>
      </c>
    </row>
    <row r="139" spans="3:30">
      <c r="C139" s="126">
        <v>132</v>
      </c>
      <c r="D139" s="126">
        <v>10</v>
      </c>
      <c r="E139" s="126">
        <v>3</v>
      </c>
      <c r="F139" s="126">
        <v>1</v>
      </c>
      <c r="G139" s="126">
        <v>1</v>
      </c>
      <c r="H139" s="126">
        <v>1</v>
      </c>
      <c r="I139" s="126">
        <v>1</v>
      </c>
      <c r="J139" s="126">
        <v>142</v>
      </c>
      <c r="M139" s="126">
        <v>66</v>
      </c>
      <c r="N139" s="126">
        <v>0</v>
      </c>
      <c r="P139" s="126">
        <v>26</v>
      </c>
      <c r="R139" s="126" t="s">
        <v>549</v>
      </c>
      <c r="S139" s="259">
        <v>0</v>
      </c>
      <c r="T139" s="259">
        <v>0.34</v>
      </c>
      <c r="U139" s="68" t="s">
        <v>800</v>
      </c>
      <c r="V139" s="126">
        <v>1</v>
      </c>
      <c r="Z139" s="126">
        <v>1</v>
      </c>
      <c r="AA139" s="126">
        <v>1</v>
      </c>
      <c r="AB139" s="126">
        <v>1</v>
      </c>
      <c r="AC139" s="126">
        <v>6</v>
      </c>
      <c r="AD139" s="126">
        <v>2026</v>
      </c>
    </row>
    <row r="140" spans="3:30">
      <c r="C140" s="126">
        <v>133</v>
      </c>
      <c r="D140" s="126">
        <v>10</v>
      </c>
      <c r="E140" s="126">
        <v>11</v>
      </c>
      <c r="F140" s="126">
        <v>1</v>
      </c>
      <c r="G140" s="126">
        <v>1</v>
      </c>
      <c r="H140" s="126">
        <v>1</v>
      </c>
      <c r="I140" s="126">
        <v>1</v>
      </c>
      <c r="J140" s="126">
        <v>142</v>
      </c>
      <c r="M140" s="126">
        <v>66</v>
      </c>
      <c r="N140" s="126">
        <v>1</v>
      </c>
      <c r="P140" s="126">
        <v>26</v>
      </c>
      <c r="R140" s="126" t="s">
        <v>549</v>
      </c>
      <c r="S140" s="259">
        <v>0.34</v>
      </c>
      <c r="T140" s="259">
        <v>0</v>
      </c>
      <c r="U140" s="68" t="s">
        <v>801</v>
      </c>
      <c r="V140" s="126">
        <v>1</v>
      </c>
      <c r="Z140" s="126">
        <v>1</v>
      </c>
      <c r="AA140" s="126">
        <v>1</v>
      </c>
      <c r="AB140" s="126">
        <v>1</v>
      </c>
      <c r="AC140" s="126">
        <v>6</v>
      </c>
      <c r="AD140" s="126">
        <v>2026</v>
      </c>
    </row>
    <row r="141" spans="3:30">
      <c r="C141" s="126">
        <v>134</v>
      </c>
      <c r="D141" s="126">
        <v>10</v>
      </c>
      <c r="E141" s="126">
        <v>10</v>
      </c>
      <c r="F141" s="126">
        <v>1</v>
      </c>
      <c r="G141" s="126">
        <v>1</v>
      </c>
      <c r="H141" s="126">
        <v>1</v>
      </c>
      <c r="I141" s="126">
        <v>1</v>
      </c>
      <c r="J141" s="126">
        <v>142</v>
      </c>
      <c r="P141" s="126">
        <v>26</v>
      </c>
      <c r="R141" s="126" t="s">
        <v>549</v>
      </c>
      <c r="S141" s="259">
        <v>0</v>
      </c>
      <c r="T141" s="259">
        <v>0.88</v>
      </c>
      <c r="U141" s="68" t="s">
        <v>802</v>
      </c>
      <c r="V141" s="126">
        <v>1</v>
      </c>
      <c r="Z141" s="126">
        <v>1</v>
      </c>
      <c r="AA141" s="126">
        <v>1</v>
      </c>
      <c r="AB141" s="126">
        <v>1</v>
      </c>
      <c r="AC141" s="126">
        <v>6</v>
      </c>
      <c r="AD141" s="126">
        <v>2026</v>
      </c>
    </row>
    <row r="142" spans="3:30">
      <c r="C142" s="126">
        <v>135</v>
      </c>
      <c r="D142" s="126">
        <v>10</v>
      </c>
      <c r="E142" s="126">
        <v>3</v>
      </c>
      <c r="F142" s="126">
        <v>1</v>
      </c>
      <c r="G142" s="126">
        <v>1</v>
      </c>
      <c r="H142" s="126">
        <v>1</v>
      </c>
      <c r="I142" s="126">
        <v>1</v>
      </c>
      <c r="J142" s="126">
        <v>50</v>
      </c>
      <c r="M142" s="126">
        <v>67</v>
      </c>
      <c r="N142" s="126">
        <v>0</v>
      </c>
      <c r="P142" s="126">
        <v>27</v>
      </c>
      <c r="R142" s="126" t="s">
        <v>549</v>
      </c>
      <c r="S142" s="259">
        <v>0</v>
      </c>
      <c r="T142" s="259">
        <v>0.48</v>
      </c>
      <c r="U142" s="68" t="s">
        <v>805</v>
      </c>
      <c r="V142" s="126">
        <v>1</v>
      </c>
      <c r="Z142" s="126">
        <v>1</v>
      </c>
      <c r="AA142" s="126">
        <v>1</v>
      </c>
      <c r="AB142" s="126">
        <v>1</v>
      </c>
      <c r="AC142" s="126">
        <v>6</v>
      </c>
      <c r="AD142" s="126">
        <v>2026</v>
      </c>
    </row>
    <row r="143" spans="3:30">
      <c r="C143" s="126">
        <v>136</v>
      </c>
      <c r="D143" s="126">
        <v>10</v>
      </c>
      <c r="E143" s="126">
        <v>11</v>
      </c>
      <c r="F143" s="126">
        <v>1</v>
      </c>
      <c r="G143" s="126">
        <v>1</v>
      </c>
      <c r="H143" s="126">
        <v>1</v>
      </c>
      <c r="I143" s="126">
        <v>1</v>
      </c>
      <c r="J143" s="126">
        <v>50</v>
      </c>
      <c r="M143" s="126">
        <v>67</v>
      </c>
      <c r="N143" s="126">
        <v>1</v>
      </c>
      <c r="P143" s="126">
        <v>27</v>
      </c>
      <c r="R143" s="126" t="s">
        <v>549</v>
      </c>
      <c r="S143" s="259">
        <v>0.48</v>
      </c>
      <c r="T143" s="259">
        <v>0</v>
      </c>
      <c r="U143" s="68" t="s">
        <v>806</v>
      </c>
      <c r="V143" s="126">
        <v>1</v>
      </c>
      <c r="Z143" s="126">
        <v>1</v>
      </c>
      <c r="AA143" s="126">
        <v>1</v>
      </c>
      <c r="AB143" s="126">
        <v>1</v>
      </c>
      <c r="AC143" s="126">
        <v>6</v>
      </c>
      <c r="AD143" s="126">
        <v>2026</v>
      </c>
    </row>
    <row r="144" spans="3:30">
      <c r="C144" s="126">
        <v>137</v>
      </c>
      <c r="D144" s="126">
        <v>10</v>
      </c>
      <c r="E144" s="126">
        <v>10</v>
      </c>
      <c r="F144" s="126">
        <v>1</v>
      </c>
      <c r="G144" s="126">
        <v>1</v>
      </c>
      <c r="H144" s="126">
        <v>1</v>
      </c>
      <c r="I144" s="126">
        <v>1</v>
      </c>
      <c r="J144" s="126">
        <v>50</v>
      </c>
      <c r="P144" s="126">
        <v>27</v>
      </c>
      <c r="R144" s="126" t="s">
        <v>549</v>
      </c>
      <c r="S144" s="259">
        <v>0</v>
      </c>
      <c r="T144" s="259">
        <v>1</v>
      </c>
      <c r="U144" s="68" t="s">
        <v>807</v>
      </c>
      <c r="V144" s="126">
        <v>1</v>
      </c>
      <c r="Z144" s="126">
        <v>1</v>
      </c>
      <c r="AA144" s="126">
        <v>1</v>
      </c>
      <c r="AB144" s="126">
        <v>1</v>
      </c>
      <c r="AC144" s="126">
        <v>6</v>
      </c>
      <c r="AD144" s="126">
        <v>2026</v>
      </c>
    </row>
    <row r="145" spans="3:30">
      <c r="C145" s="126">
        <v>138</v>
      </c>
      <c r="D145" s="126">
        <v>10</v>
      </c>
      <c r="E145" s="126">
        <v>3</v>
      </c>
      <c r="F145" s="126">
        <v>1</v>
      </c>
      <c r="G145" s="126">
        <v>1</v>
      </c>
      <c r="H145" s="126">
        <v>1</v>
      </c>
      <c r="I145" s="126">
        <v>1</v>
      </c>
      <c r="J145" s="126">
        <v>41</v>
      </c>
      <c r="M145" s="126">
        <v>68</v>
      </c>
      <c r="N145" s="126">
        <v>0</v>
      </c>
      <c r="P145" s="126">
        <v>28</v>
      </c>
      <c r="R145" s="126" t="s">
        <v>549</v>
      </c>
      <c r="S145" s="259">
        <v>0</v>
      </c>
      <c r="T145" s="259">
        <v>1.06</v>
      </c>
      <c r="U145" s="68" t="s">
        <v>810</v>
      </c>
      <c r="V145" s="126">
        <v>1</v>
      </c>
      <c r="Z145" s="126">
        <v>1</v>
      </c>
      <c r="AA145" s="126">
        <v>1</v>
      </c>
      <c r="AB145" s="126">
        <v>1</v>
      </c>
      <c r="AC145" s="126">
        <v>6</v>
      </c>
      <c r="AD145" s="126">
        <v>2026</v>
      </c>
    </row>
    <row r="146" spans="3:30">
      <c r="C146" s="126">
        <v>139</v>
      </c>
      <c r="D146" s="126">
        <v>10</v>
      </c>
      <c r="E146" s="126">
        <v>11</v>
      </c>
      <c r="F146" s="126">
        <v>1</v>
      </c>
      <c r="G146" s="126">
        <v>1</v>
      </c>
      <c r="H146" s="126">
        <v>1</v>
      </c>
      <c r="I146" s="126">
        <v>1</v>
      </c>
      <c r="J146" s="126">
        <v>41</v>
      </c>
      <c r="M146" s="126">
        <v>68</v>
      </c>
      <c r="N146" s="126">
        <v>1</v>
      </c>
      <c r="P146" s="126">
        <v>28</v>
      </c>
      <c r="R146" s="126" t="s">
        <v>549</v>
      </c>
      <c r="S146" s="259">
        <v>1.06</v>
      </c>
      <c r="T146" s="259">
        <v>0</v>
      </c>
      <c r="U146" s="68" t="s">
        <v>811</v>
      </c>
      <c r="V146" s="126">
        <v>1</v>
      </c>
      <c r="Z146" s="126">
        <v>1</v>
      </c>
      <c r="AA146" s="126">
        <v>1</v>
      </c>
      <c r="AB146" s="126">
        <v>1</v>
      </c>
      <c r="AC146" s="126">
        <v>6</v>
      </c>
      <c r="AD146" s="126">
        <v>2026</v>
      </c>
    </row>
    <row r="147" spans="3:30">
      <c r="C147" s="126">
        <v>140</v>
      </c>
      <c r="D147" s="126">
        <v>10</v>
      </c>
      <c r="E147" s="126">
        <v>10</v>
      </c>
      <c r="F147" s="126">
        <v>1</v>
      </c>
      <c r="G147" s="126">
        <v>1</v>
      </c>
      <c r="H147" s="126">
        <v>1</v>
      </c>
      <c r="I147" s="126">
        <v>1</v>
      </c>
      <c r="J147" s="126">
        <v>41</v>
      </c>
      <c r="P147" s="126">
        <v>28</v>
      </c>
      <c r="R147" s="126" t="s">
        <v>549</v>
      </c>
      <c r="S147" s="259">
        <v>0</v>
      </c>
      <c r="T147" s="259">
        <v>1.5</v>
      </c>
      <c r="U147" s="68" t="s">
        <v>812</v>
      </c>
      <c r="V147" s="126">
        <v>1</v>
      </c>
      <c r="Z147" s="126">
        <v>1</v>
      </c>
      <c r="AA147" s="126">
        <v>1</v>
      </c>
      <c r="AB147" s="126">
        <v>1</v>
      </c>
      <c r="AC147" s="126">
        <v>6</v>
      </c>
      <c r="AD147" s="126">
        <v>2026</v>
      </c>
    </row>
    <row r="148" spans="3:30">
      <c r="C148" s="126">
        <v>141</v>
      </c>
      <c r="D148" s="126">
        <v>10</v>
      </c>
      <c r="E148" s="126">
        <v>3</v>
      </c>
      <c r="F148" s="126">
        <v>1</v>
      </c>
      <c r="G148" s="126">
        <v>1</v>
      </c>
      <c r="H148" s="126">
        <v>1</v>
      </c>
      <c r="I148" s="126">
        <v>1</v>
      </c>
      <c r="J148" s="126">
        <v>49</v>
      </c>
      <c r="M148" s="126">
        <v>69</v>
      </c>
      <c r="N148" s="126">
        <v>0</v>
      </c>
      <c r="P148" s="126">
        <v>29</v>
      </c>
      <c r="R148" s="126" t="s">
        <v>549</v>
      </c>
      <c r="S148" s="259">
        <v>0</v>
      </c>
      <c r="T148" s="259">
        <v>0.28000000000000003</v>
      </c>
      <c r="U148" s="68" t="s">
        <v>815</v>
      </c>
      <c r="V148" s="126">
        <v>1</v>
      </c>
      <c r="Z148" s="126">
        <v>1</v>
      </c>
      <c r="AA148" s="126">
        <v>1</v>
      </c>
      <c r="AB148" s="126">
        <v>1</v>
      </c>
      <c r="AC148" s="126">
        <v>6</v>
      </c>
      <c r="AD148" s="126">
        <v>2026</v>
      </c>
    </row>
    <row r="149" spans="3:30">
      <c r="C149" s="126">
        <v>142</v>
      </c>
      <c r="D149" s="126">
        <v>10</v>
      </c>
      <c r="E149" s="126">
        <v>11</v>
      </c>
      <c r="F149" s="126">
        <v>1</v>
      </c>
      <c r="G149" s="126">
        <v>1</v>
      </c>
      <c r="H149" s="126">
        <v>1</v>
      </c>
      <c r="I149" s="126">
        <v>1</v>
      </c>
      <c r="J149" s="126">
        <v>49</v>
      </c>
      <c r="M149" s="126">
        <v>69</v>
      </c>
      <c r="N149" s="126">
        <v>1</v>
      </c>
      <c r="P149" s="126">
        <v>29</v>
      </c>
      <c r="R149" s="126" t="s">
        <v>549</v>
      </c>
      <c r="S149" s="259">
        <v>0.28000000000000003</v>
      </c>
      <c r="T149" s="259">
        <v>0</v>
      </c>
      <c r="U149" s="68" t="s">
        <v>816</v>
      </c>
      <c r="V149" s="126">
        <v>1</v>
      </c>
      <c r="Z149" s="126">
        <v>1</v>
      </c>
      <c r="AA149" s="126">
        <v>1</v>
      </c>
      <c r="AB149" s="126">
        <v>1</v>
      </c>
      <c r="AC149" s="126">
        <v>6</v>
      </c>
      <c r="AD149" s="126">
        <v>2026</v>
      </c>
    </row>
    <row r="150" spans="3:30">
      <c r="C150" s="126">
        <v>143</v>
      </c>
      <c r="D150" s="126">
        <v>10</v>
      </c>
      <c r="E150" s="126">
        <v>10</v>
      </c>
      <c r="F150" s="126">
        <v>1</v>
      </c>
      <c r="G150" s="126">
        <v>1</v>
      </c>
      <c r="H150" s="126">
        <v>1</v>
      </c>
      <c r="I150" s="126">
        <v>1</v>
      </c>
      <c r="J150" s="126">
        <v>49</v>
      </c>
      <c r="P150" s="126">
        <v>29</v>
      </c>
      <c r="R150" s="126" t="s">
        <v>549</v>
      </c>
      <c r="S150" s="259">
        <v>0</v>
      </c>
      <c r="T150" s="259">
        <v>0.38</v>
      </c>
      <c r="U150" s="68" t="s">
        <v>817</v>
      </c>
      <c r="V150" s="126">
        <v>1</v>
      </c>
      <c r="Z150" s="126">
        <v>1</v>
      </c>
      <c r="AA150" s="126">
        <v>1</v>
      </c>
      <c r="AB150" s="126">
        <v>1</v>
      </c>
      <c r="AC150" s="126">
        <v>6</v>
      </c>
      <c r="AD150" s="126">
        <v>2026</v>
      </c>
    </row>
    <row r="151" spans="3:30">
      <c r="C151" s="126">
        <v>144</v>
      </c>
      <c r="D151" s="126">
        <v>10</v>
      </c>
      <c r="E151" s="126">
        <v>3</v>
      </c>
      <c r="F151" s="126">
        <v>1</v>
      </c>
      <c r="G151" s="126">
        <v>1</v>
      </c>
      <c r="H151" s="126">
        <v>1</v>
      </c>
      <c r="I151" s="126">
        <v>1</v>
      </c>
      <c r="J151" s="126">
        <v>7</v>
      </c>
      <c r="M151" s="126">
        <v>70</v>
      </c>
      <c r="N151" s="126">
        <v>0</v>
      </c>
      <c r="P151" s="126">
        <v>30</v>
      </c>
      <c r="R151" s="126" t="s">
        <v>549</v>
      </c>
      <c r="S151" s="259">
        <v>0</v>
      </c>
      <c r="T151" s="259">
        <v>1.79</v>
      </c>
      <c r="U151" s="68" t="s">
        <v>820</v>
      </c>
      <c r="V151" s="126">
        <v>1</v>
      </c>
      <c r="Z151" s="126">
        <v>1</v>
      </c>
      <c r="AA151" s="126">
        <v>1</v>
      </c>
      <c r="AB151" s="126">
        <v>1</v>
      </c>
      <c r="AC151" s="126">
        <v>6</v>
      </c>
      <c r="AD151" s="126">
        <v>2026</v>
      </c>
    </row>
    <row r="152" spans="3:30">
      <c r="C152" s="126">
        <v>145</v>
      </c>
      <c r="D152" s="126">
        <v>10</v>
      </c>
      <c r="E152" s="126">
        <v>11</v>
      </c>
      <c r="F152" s="126">
        <v>1</v>
      </c>
      <c r="G152" s="126">
        <v>1</v>
      </c>
      <c r="H152" s="126">
        <v>1</v>
      </c>
      <c r="I152" s="126">
        <v>1</v>
      </c>
      <c r="J152" s="126">
        <v>7</v>
      </c>
      <c r="M152" s="126">
        <v>70</v>
      </c>
      <c r="N152" s="126">
        <v>1</v>
      </c>
      <c r="P152" s="126">
        <v>30</v>
      </c>
      <c r="R152" s="126" t="s">
        <v>549</v>
      </c>
      <c r="S152" s="259">
        <v>1.79</v>
      </c>
      <c r="T152" s="259">
        <v>0</v>
      </c>
      <c r="U152" s="68" t="s">
        <v>821</v>
      </c>
      <c r="V152" s="126">
        <v>1</v>
      </c>
      <c r="Z152" s="126">
        <v>1</v>
      </c>
      <c r="AA152" s="126">
        <v>1</v>
      </c>
      <c r="AB152" s="126">
        <v>1</v>
      </c>
      <c r="AC152" s="126">
        <v>6</v>
      </c>
      <c r="AD152" s="126">
        <v>2026</v>
      </c>
    </row>
    <row r="153" spans="3:30">
      <c r="C153" s="126">
        <v>146</v>
      </c>
      <c r="D153" s="126">
        <v>10</v>
      </c>
      <c r="E153" s="126">
        <v>10</v>
      </c>
      <c r="F153" s="126">
        <v>1</v>
      </c>
      <c r="G153" s="126">
        <v>1</v>
      </c>
      <c r="H153" s="126">
        <v>1</v>
      </c>
      <c r="I153" s="126">
        <v>1</v>
      </c>
      <c r="J153" s="126">
        <v>7</v>
      </c>
      <c r="P153" s="126">
        <v>30</v>
      </c>
      <c r="R153" s="126" t="s">
        <v>549</v>
      </c>
      <c r="S153" s="259">
        <v>0</v>
      </c>
      <c r="T153" s="259">
        <v>2.5</v>
      </c>
      <c r="U153" s="68" t="s">
        <v>822</v>
      </c>
      <c r="V153" s="126">
        <v>1</v>
      </c>
      <c r="Z153" s="126">
        <v>1</v>
      </c>
      <c r="AA153" s="126">
        <v>1</v>
      </c>
      <c r="AB153" s="126">
        <v>1</v>
      </c>
      <c r="AC153" s="126">
        <v>6</v>
      </c>
      <c r="AD153" s="126">
        <v>2026</v>
      </c>
    </row>
    <row r="154" spans="3:30">
      <c r="C154" s="126">
        <v>147</v>
      </c>
      <c r="D154" s="126">
        <v>10</v>
      </c>
      <c r="E154" s="126">
        <v>3</v>
      </c>
      <c r="F154" s="126">
        <v>1</v>
      </c>
      <c r="G154" s="126">
        <v>1</v>
      </c>
      <c r="H154" s="126">
        <v>1</v>
      </c>
      <c r="I154" s="126">
        <v>1</v>
      </c>
      <c r="J154" s="126">
        <v>145</v>
      </c>
      <c r="M154" s="126">
        <v>71</v>
      </c>
      <c r="N154" s="126">
        <v>0</v>
      </c>
      <c r="P154" s="126">
        <v>31</v>
      </c>
      <c r="R154" s="126" t="s">
        <v>549</v>
      </c>
      <c r="S154" s="259">
        <v>0</v>
      </c>
      <c r="T154" s="259">
        <v>0.57999999999999996</v>
      </c>
      <c r="U154" s="68" t="s">
        <v>825</v>
      </c>
      <c r="V154" s="126">
        <v>1</v>
      </c>
      <c r="Z154" s="126">
        <v>1</v>
      </c>
      <c r="AA154" s="126">
        <v>1</v>
      </c>
      <c r="AB154" s="126">
        <v>1</v>
      </c>
      <c r="AC154" s="126">
        <v>6</v>
      </c>
      <c r="AD154" s="126">
        <v>2026</v>
      </c>
    </row>
    <row r="155" spans="3:30">
      <c r="C155" s="126">
        <v>148</v>
      </c>
      <c r="D155" s="126">
        <v>10</v>
      </c>
      <c r="E155" s="126">
        <v>11</v>
      </c>
      <c r="F155" s="126">
        <v>1</v>
      </c>
      <c r="G155" s="126">
        <v>1</v>
      </c>
      <c r="H155" s="126">
        <v>1</v>
      </c>
      <c r="I155" s="126">
        <v>1</v>
      </c>
      <c r="J155" s="126">
        <v>145</v>
      </c>
      <c r="M155" s="126">
        <v>71</v>
      </c>
      <c r="N155" s="126">
        <v>1</v>
      </c>
      <c r="P155" s="126">
        <v>31</v>
      </c>
      <c r="R155" s="126" t="s">
        <v>549</v>
      </c>
      <c r="S155" s="259">
        <v>0.57999999999999996</v>
      </c>
      <c r="T155" s="259">
        <v>0</v>
      </c>
      <c r="U155" s="68" t="s">
        <v>826</v>
      </c>
      <c r="V155" s="126">
        <v>1</v>
      </c>
      <c r="Z155" s="126">
        <v>1</v>
      </c>
      <c r="AA155" s="126">
        <v>1</v>
      </c>
      <c r="AB155" s="126">
        <v>1</v>
      </c>
      <c r="AC155" s="126">
        <v>6</v>
      </c>
      <c r="AD155" s="126">
        <v>2026</v>
      </c>
    </row>
    <row r="156" spans="3:30">
      <c r="C156" s="126">
        <v>149</v>
      </c>
      <c r="D156" s="126">
        <v>10</v>
      </c>
      <c r="E156" s="126">
        <v>10</v>
      </c>
      <c r="F156" s="126">
        <v>1</v>
      </c>
      <c r="G156" s="126">
        <v>1</v>
      </c>
      <c r="H156" s="126">
        <v>1</v>
      </c>
      <c r="I156" s="126">
        <v>1</v>
      </c>
      <c r="J156" s="126">
        <v>145</v>
      </c>
      <c r="P156" s="126">
        <v>31</v>
      </c>
      <c r="R156" s="126" t="s">
        <v>549</v>
      </c>
      <c r="S156" s="259">
        <v>0</v>
      </c>
      <c r="T156" s="259">
        <v>1</v>
      </c>
      <c r="U156" s="68" t="s">
        <v>827</v>
      </c>
      <c r="V156" s="126">
        <v>1</v>
      </c>
      <c r="Z156" s="126">
        <v>1</v>
      </c>
      <c r="AA156" s="126">
        <v>1</v>
      </c>
      <c r="AB156" s="126">
        <v>1</v>
      </c>
      <c r="AC156" s="126">
        <v>6</v>
      </c>
      <c r="AD156" s="126">
        <v>2026</v>
      </c>
    </row>
    <row r="157" spans="3:30">
      <c r="C157" s="126">
        <v>150</v>
      </c>
      <c r="D157" s="126">
        <v>11</v>
      </c>
      <c r="E157" s="126">
        <v>2</v>
      </c>
      <c r="F157" s="126">
        <v>1</v>
      </c>
      <c r="G157" s="126">
        <v>1</v>
      </c>
      <c r="H157" s="126">
        <v>1</v>
      </c>
      <c r="I157" s="126">
        <v>1</v>
      </c>
      <c r="R157" s="126" t="s">
        <v>549</v>
      </c>
      <c r="S157" s="259">
        <v>52</v>
      </c>
      <c r="T157" s="259">
        <v>0</v>
      </c>
      <c r="U157" s="68" t="s">
        <v>829</v>
      </c>
      <c r="V157" s="126">
        <v>1</v>
      </c>
      <c r="Z157" s="126">
        <v>1</v>
      </c>
      <c r="AA157" s="126">
        <v>1</v>
      </c>
      <c r="AB157" s="126">
        <v>1</v>
      </c>
      <c r="AC157" s="126">
        <v>6</v>
      </c>
      <c r="AD157" s="126">
        <v>2026</v>
      </c>
    </row>
    <row r="158" spans="3:30">
      <c r="C158" s="126">
        <v>151</v>
      </c>
      <c r="D158" s="126">
        <v>11</v>
      </c>
      <c r="E158" s="126">
        <v>3</v>
      </c>
      <c r="F158" s="126">
        <v>1</v>
      </c>
      <c r="G158" s="126">
        <v>1</v>
      </c>
      <c r="H158" s="126">
        <v>1</v>
      </c>
      <c r="I158" s="126">
        <v>1</v>
      </c>
      <c r="J158" s="126">
        <v>163</v>
      </c>
      <c r="M158" s="126">
        <v>72</v>
      </c>
      <c r="N158" s="126">
        <v>0</v>
      </c>
      <c r="P158" s="126">
        <v>32</v>
      </c>
      <c r="R158" s="126" t="s">
        <v>549</v>
      </c>
      <c r="S158" s="259">
        <v>0</v>
      </c>
      <c r="T158" s="259">
        <v>51</v>
      </c>
      <c r="U158" s="68" t="s">
        <v>830</v>
      </c>
      <c r="V158" s="126">
        <v>1</v>
      </c>
      <c r="Z158" s="126">
        <v>1</v>
      </c>
      <c r="AA158" s="126">
        <v>1</v>
      </c>
      <c r="AB158" s="126">
        <v>1</v>
      </c>
      <c r="AC158" s="126">
        <v>6</v>
      </c>
      <c r="AD158" s="126">
        <v>2026</v>
      </c>
    </row>
    <row r="159" spans="3:30">
      <c r="C159" s="126">
        <v>152</v>
      </c>
      <c r="D159" s="126">
        <v>11</v>
      </c>
      <c r="E159" s="126">
        <v>11</v>
      </c>
      <c r="F159" s="126">
        <v>1</v>
      </c>
      <c r="G159" s="126">
        <v>1</v>
      </c>
      <c r="H159" s="126">
        <v>1</v>
      </c>
      <c r="I159" s="126">
        <v>1</v>
      </c>
      <c r="J159" s="126">
        <v>163</v>
      </c>
      <c r="M159" s="126">
        <v>72</v>
      </c>
      <c r="N159" s="126">
        <v>1</v>
      </c>
      <c r="P159" s="126">
        <v>32</v>
      </c>
      <c r="R159" s="126" t="s">
        <v>549</v>
      </c>
      <c r="S159" s="259">
        <v>51</v>
      </c>
      <c r="T159" s="259">
        <v>0</v>
      </c>
      <c r="U159" s="68" t="s">
        <v>831</v>
      </c>
      <c r="V159" s="126">
        <v>1</v>
      </c>
      <c r="Z159" s="126">
        <v>1</v>
      </c>
      <c r="AA159" s="126">
        <v>1</v>
      </c>
      <c r="AB159" s="126">
        <v>1</v>
      </c>
      <c r="AC159" s="126">
        <v>6</v>
      </c>
      <c r="AD159" s="126">
        <v>2026</v>
      </c>
    </row>
    <row r="160" spans="3:30">
      <c r="C160" s="126">
        <v>153</v>
      </c>
      <c r="D160" s="126">
        <v>11</v>
      </c>
      <c r="E160" s="126">
        <v>10</v>
      </c>
      <c r="F160" s="126">
        <v>1</v>
      </c>
      <c r="G160" s="126">
        <v>1</v>
      </c>
      <c r="H160" s="126">
        <v>1</v>
      </c>
      <c r="I160" s="126">
        <v>1</v>
      </c>
      <c r="J160" s="126">
        <v>163</v>
      </c>
      <c r="P160" s="126">
        <v>32</v>
      </c>
      <c r="R160" s="126" t="s">
        <v>549</v>
      </c>
      <c r="S160" s="259">
        <v>0</v>
      </c>
      <c r="T160" s="259">
        <v>52</v>
      </c>
      <c r="U160" s="68" t="s">
        <v>832</v>
      </c>
      <c r="V160" s="126">
        <v>1</v>
      </c>
      <c r="Z160" s="126">
        <v>1</v>
      </c>
      <c r="AA160" s="126">
        <v>1</v>
      </c>
      <c r="AB160" s="126">
        <v>1</v>
      </c>
      <c r="AC160" s="126">
        <v>6</v>
      </c>
      <c r="AD160" s="126">
        <v>2026</v>
      </c>
    </row>
    <row r="161" spans="3:30">
      <c r="C161" s="126">
        <v>154</v>
      </c>
      <c r="D161" s="126">
        <v>12</v>
      </c>
      <c r="E161" s="126">
        <v>2</v>
      </c>
      <c r="F161" s="126">
        <v>1</v>
      </c>
      <c r="G161" s="126">
        <v>1</v>
      </c>
      <c r="H161" s="126">
        <v>1</v>
      </c>
      <c r="I161" s="126">
        <v>1</v>
      </c>
      <c r="R161" s="126" t="s">
        <v>549</v>
      </c>
      <c r="S161" s="259">
        <v>93.75</v>
      </c>
      <c r="T161" s="259">
        <v>0</v>
      </c>
      <c r="U161" s="68" t="s">
        <v>835</v>
      </c>
      <c r="V161" s="126">
        <v>1</v>
      </c>
      <c r="Z161" s="126">
        <v>1</v>
      </c>
      <c r="AA161" s="126">
        <v>1</v>
      </c>
      <c r="AB161" s="126">
        <v>1</v>
      </c>
      <c r="AC161" s="126">
        <v>6</v>
      </c>
      <c r="AD161" s="126">
        <v>2026</v>
      </c>
    </row>
    <row r="162" spans="3:30">
      <c r="C162" s="126">
        <v>155</v>
      </c>
      <c r="D162" s="126">
        <v>12</v>
      </c>
      <c r="E162" s="126">
        <v>3</v>
      </c>
      <c r="F162" s="126">
        <v>1</v>
      </c>
      <c r="G162" s="126">
        <v>1</v>
      </c>
      <c r="H162" s="126">
        <v>1</v>
      </c>
      <c r="I162" s="126">
        <v>1</v>
      </c>
      <c r="J162" s="126">
        <v>177</v>
      </c>
      <c r="M162" s="126">
        <v>73</v>
      </c>
      <c r="N162" s="126">
        <v>0</v>
      </c>
      <c r="P162" s="126">
        <v>33</v>
      </c>
      <c r="R162" s="126" t="s">
        <v>549</v>
      </c>
      <c r="S162" s="259">
        <v>0</v>
      </c>
      <c r="T162" s="259">
        <v>20.75</v>
      </c>
      <c r="U162" s="68" t="s">
        <v>836</v>
      </c>
      <c r="V162" s="126">
        <v>1</v>
      </c>
      <c r="Z162" s="126">
        <v>1</v>
      </c>
      <c r="AA162" s="126">
        <v>1</v>
      </c>
      <c r="AB162" s="126">
        <v>1</v>
      </c>
      <c r="AC162" s="126">
        <v>6</v>
      </c>
      <c r="AD162" s="126">
        <v>2026</v>
      </c>
    </row>
    <row r="163" spans="3:30">
      <c r="C163" s="126">
        <v>156</v>
      </c>
      <c r="D163" s="126">
        <v>12</v>
      </c>
      <c r="E163" s="126">
        <v>11</v>
      </c>
      <c r="F163" s="126">
        <v>1</v>
      </c>
      <c r="G163" s="126">
        <v>1</v>
      </c>
      <c r="H163" s="126">
        <v>1</v>
      </c>
      <c r="I163" s="126">
        <v>1</v>
      </c>
      <c r="J163" s="126">
        <v>177</v>
      </c>
      <c r="M163" s="126">
        <v>73</v>
      </c>
      <c r="N163" s="126">
        <v>1</v>
      </c>
      <c r="P163" s="126">
        <v>33</v>
      </c>
      <c r="R163" s="126" t="s">
        <v>549</v>
      </c>
      <c r="S163" s="259">
        <v>20.75</v>
      </c>
      <c r="T163" s="259">
        <v>0</v>
      </c>
      <c r="U163" s="68" t="s">
        <v>837</v>
      </c>
      <c r="V163" s="126">
        <v>1</v>
      </c>
      <c r="Z163" s="126">
        <v>1</v>
      </c>
      <c r="AA163" s="126">
        <v>1</v>
      </c>
      <c r="AB163" s="126">
        <v>1</v>
      </c>
      <c r="AC163" s="126">
        <v>6</v>
      </c>
      <c r="AD163" s="126">
        <v>2026</v>
      </c>
    </row>
    <row r="164" spans="3:30">
      <c r="C164" s="126">
        <v>157</v>
      </c>
      <c r="D164" s="126">
        <v>12</v>
      </c>
      <c r="E164" s="126">
        <v>10</v>
      </c>
      <c r="F164" s="126">
        <v>1</v>
      </c>
      <c r="G164" s="126">
        <v>1</v>
      </c>
      <c r="H164" s="126">
        <v>1</v>
      </c>
      <c r="I164" s="126">
        <v>1</v>
      </c>
      <c r="J164" s="126">
        <v>177</v>
      </c>
      <c r="P164" s="126">
        <v>33</v>
      </c>
      <c r="R164" s="126" t="s">
        <v>549</v>
      </c>
      <c r="S164" s="259">
        <v>0</v>
      </c>
      <c r="T164" s="259">
        <v>23.75</v>
      </c>
      <c r="U164" s="68" t="s">
        <v>838</v>
      </c>
      <c r="V164" s="126">
        <v>1</v>
      </c>
      <c r="Z164" s="126">
        <v>1</v>
      </c>
      <c r="AA164" s="126">
        <v>1</v>
      </c>
      <c r="AB164" s="126">
        <v>1</v>
      </c>
      <c r="AC164" s="126">
        <v>6</v>
      </c>
      <c r="AD164" s="126">
        <v>2026</v>
      </c>
    </row>
    <row r="165" spans="3:30">
      <c r="C165" s="126">
        <v>158</v>
      </c>
      <c r="D165" s="126">
        <v>12</v>
      </c>
      <c r="E165" s="126">
        <v>3</v>
      </c>
      <c r="F165" s="126">
        <v>1</v>
      </c>
      <c r="G165" s="126">
        <v>1</v>
      </c>
      <c r="H165" s="126">
        <v>1</v>
      </c>
      <c r="I165" s="126">
        <v>1</v>
      </c>
      <c r="J165" s="126">
        <v>179</v>
      </c>
      <c r="M165" s="126">
        <v>74</v>
      </c>
      <c r="N165" s="126">
        <v>0</v>
      </c>
      <c r="P165" s="126">
        <v>34</v>
      </c>
      <c r="R165" s="126" t="s">
        <v>549</v>
      </c>
      <c r="S165" s="259">
        <v>0</v>
      </c>
      <c r="T165" s="259">
        <v>23.75</v>
      </c>
      <c r="U165" s="68" t="s">
        <v>839</v>
      </c>
      <c r="V165" s="126">
        <v>1</v>
      </c>
      <c r="Z165" s="126">
        <v>1</v>
      </c>
      <c r="AA165" s="126">
        <v>1</v>
      </c>
      <c r="AB165" s="126">
        <v>1</v>
      </c>
      <c r="AC165" s="126">
        <v>6</v>
      </c>
      <c r="AD165" s="126">
        <v>2026</v>
      </c>
    </row>
    <row r="166" spans="3:30">
      <c r="C166" s="126">
        <v>159</v>
      </c>
      <c r="D166" s="126">
        <v>12</v>
      </c>
      <c r="E166" s="126">
        <v>11</v>
      </c>
      <c r="F166" s="126">
        <v>1</v>
      </c>
      <c r="G166" s="126">
        <v>1</v>
      </c>
      <c r="H166" s="126">
        <v>1</v>
      </c>
      <c r="I166" s="126">
        <v>1</v>
      </c>
      <c r="J166" s="126">
        <v>179</v>
      </c>
      <c r="M166" s="126">
        <v>74</v>
      </c>
      <c r="N166" s="126">
        <v>1</v>
      </c>
      <c r="P166" s="126">
        <v>34</v>
      </c>
      <c r="R166" s="126" t="s">
        <v>549</v>
      </c>
      <c r="S166" s="259">
        <v>23.75</v>
      </c>
      <c r="T166" s="259">
        <v>0</v>
      </c>
      <c r="U166" s="68" t="s">
        <v>840</v>
      </c>
      <c r="V166" s="126">
        <v>1</v>
      </c>
      <c r="Z166" s="126">
        <v>1</v>
      </c>
      <c r="AA166" s="126">
        <v>1</v>
      </c>
      <c r="AB166" s="126">
        <v>1</v>
      </c>
      <c r="AC166" s="126">
        <v>6</v>
      </c>
      <c r="AD166" s="126">
        <v>2026</v>
      </c>
    </row>
    <row r="167" spans="3:30">
      <c r="C167" s="126">
        <v>160</v>
      </c>
      <c r="D167" s="126">
        <v>12</v>
      </c>
      <c r="E167" s="126">
        <v>10</v>
      </c>
      <c r="F167" s="126">
        <v>1</v>
      </c>
      <c r="G167" s="126">
        <v>1</v>
      </c>
      <c r="H167" s="126">
        <v>1</v>
      </c>
      <c r="I167" s="126">
        <v>1</v>
      </c>
      <c r="J167" s="126">
        <v>179</v>
      </c>
      <c r="P167" s="126">
        <v>34</v>
      </c>
      <c r="R167" s="126" t="s">
        <v>549</v>
      </c>
      <c r="S167" s="259">
        <v>0</v>
      </c>
      <c r="T167" s="259">
        <v>25</v>
      </c>
      <c r="U167" s="68" t="s">
        <v>841</v>
      </c>
      <c r="V167" s="126">
        <v>1</v>
      </c>
      <c r="Z167" s="126">
        <v>1</v>
      </c>
      <c r="AA167" s="126">
        <v>1</v>
      </c>
      <c r="AB167" s="126">
        <v>1</v>
      </c>
      <c r="AC167" s="126">
        <v>6</v>
      </c>
      <c r="AD167" s="126">
        <v>2026</v>
      </c>
    </row>
    <row r="168" spans="3:30">
      <c r="C168" s="126">
        <v>161</v>
      </c>
      <c r="D168" s="126">
        <v>12</v>
      </c>
      <c r="E168" s="126">
        <v>3</v>
      </c>
      <c r="F168" s="126">
        <v>1</v>
      </c>
      <c r="G168" s="126">
        <v>1</v>
      </c>
      <c r="H168" s="126">
        <v>1</v>
      </c>
      <c r="I168" s="126">
        <v>1</v>
      </c>
      <c r="J168" s="126">
        <v>11</v>
      </c>
      <c r="M168" s="126">
        <v>75</v>
      </c>
      <c r="N168" s="126">
        <v>0</v>
      </c>
      <c r="P168" s="126">
        <v>35</v>
      </c>
      <c r="R168" s="126" t="s">
        <v>549</v>
      </c>
      <c r="S168" s="259">
        <v>0</v>
      </c>
      <c r="T168" s="259">
        <v>19.04</v>
      </c>
      <c r="U168" s="68" t="s">
        <v>842</v>
      </c>
      <c r="V168" s="126">
        <v>1</v>
      </c>
      <c r="Z168" s="126">
        <v>1</v>
      </c>
      <c r="AA168" s="126">
        <v>1</v>
      </c>
      <c r="AB168" s="126">
        <v>1</v>
      </c>
      <c r="AC168" s="126">
        <v>6</v>
      </c>
      <c r="AD168" s="126">
        <v>2026</v>
      </c>
    </row>
    <row r="169" spans="3:30">
      <c r="C169" s="126">
        <v>162</v>
      </c>
      <c r="D169" s="126">
        <v>12</v>
      </c>
      <c r="E169" s="126">
        <v>11</v>
      </c>
      <c r="F169" s="126">
        <v>1</v>
      </c>
      <c r="G169" s="126">
        <v>1</v>
      </c>
      <c r="H169" s="126">
        <v>1</v>
      </c>
      <c r="I169" s="126">
        <v>1</v>
      </c>
      <c r="J169" s="126">
        <v>11</v>
      </c>
      <c r="M169" s="126">
        <v>75</v>
      </c>
      <c r="N169" s="126">
        <v>1</v>
      </c>
      <c r="P169" s="126">
        <v>35</v>
      </c>
      <c r="R169" s="126" t="s">
        <v>549</v>
      </c>
      <c r="S169" s="259">
        <v>19.04</v>
      </c>
      <c r="T169" s="259">
        <v>0</v>
      </c>
      <c r="U169" s="68" t="s">
        <v>843</v>
      </c>
      <c r="V169" s="126">
        <v>1</v>
      </c>
      <c r="Z169" s="126">
        <v>1</v>
      </c>
      <c r="AA169" s="126">
        <v>1</v>
      </c>
      <c r="AB169" s="126">
        <v>1</v>
      </c>
      <c r="AC169" s="126">
        <v>6</v>
      </c>
      <c r="AD169" s="126">
        <v>2026</v>
      </c>
    </row>
    <row r="170" spans="3:30">
      <c r="C170" s="126">
        <v>163</v>
      </c>
      <c r="D170" s="126">
        <v>12</v>
      </c>
      <c r="E170" s="126">
        <v>10</v>
      </c>
      <c r="F170" s="126">
        <v>1</v>
      </c>
      <c r="G170" s="126">
        <v>1</v>
      </c>
      <c r="H170" s="126">
        <v>1</v>
      </c>
      <c r="I170" s="126">
        <v>1</v>
      </c>
      <c r="J170" s="126">
        <v>11</v>
      </c>
      <c r="P170" s="126">
        <v>35</v>
      </c>
      <c r="R170" s="126" t="s">
        <v>549</v>
      </c>
      <c r="S170" s="259">
        <v>0</v>
      </c>
      <c r="T170" s="259">
        <v>20</v>
      </c>
      <c r="U170" s="68" t="s">
        <v>844</v>
      </c>
      <c r="V170" s="126">
        <v>1</v>
      </c>
      <c r="Z170" s="126">
        <v>1</v>
      </c>
      <c r="AA170" s="126">
        <v>1</v>
      </c>
      <c r="AB170" s="126">
        <v>1</v>
      </c>
      <c r="AC170" s="126">
        <v>6</v>
      </c>
      <c r="AD170" s="126">
        <v>2026</v>
      </c>
    </row>
    <row r="171" spans="3:30">
      <c r="C171" s="126">
        <v>164</v>
      </c>
      <c r="D171" s="126">
        <v>12</v>
      </c>
      <c r="E171" s="126">
        <v>3</v>
      </c>
      <c r="F171" s="126">
        <v>1</v>
      </c>
      <c r="G171" s="126">
        <v>1</v>
      </c>
      <c r="H171" s="126">
        <v>1</v>
      </c>
      <c r="I171" s="126">
        <v>1</v>
      </c>
      <c r="J171" s="126">
        <v>18</v>
      </c>
      <c r="M171" s="126">
        <v>76</v>
      </c>
      <c r="N171" s="126">
        <v>0</v>
      </c>
      <c r="P171" s="126">
        <v>36</v>
      </c>
      <c r="R171" s="126" t="s">
        <v>549</v>
      </c>
      <c r="S171" s="259">
        <v>0</v>
      </c>
      <c r="T171" s="259">
        <v>13.5</v>
      </c>
      <c r="U171" s="68" t="s">
        <v>845</v>
      </c>
      <c r="V171" s="126">
        <v>1</v>
      </c>
      <c r="Z171" s="126">
        <v>1</v>
      </c>
      <c r="AA171" s="126">
        <v>1</v>
      </c>
      <c r="AB171" s="126">
        <v>1</v>
      </c>
      <c r="AC171" s="126">
        <v>6</v>
      </c>
      <c r="AD171" s="126">
        <v>2026</v>
      </c>
    </row>
    <row r="172" spans="3:30">
      <c r="C172" s="126">
        <v>165</v>
      </c>
      <c r="D172" s="126">
        <v>12</v>
      </c>
      <c r="E172" s="126">
        <v>11</v>
      </c>
      <c r="F172" s="126">
        <v>1</v>
      </c>
      <c r="G172" s="126">
        <v>1</v>
      </c>
      <c r="H172" s="126">
        <v>1</v>
      </c>
      <c r="I172" s="126">
        <v>1</v>
      </c>
      <c r="J172" s="126">
        <v>18</v>
      </c>
      <c r="M172" s="126">
        <v>76</v>
      </c>
      <c r="N172" s="126">
        <v>1</v>
      </c>
      <c r="P172" s="126">
        <v>36</v>
      </c>
      <c r="R172" s="126" t="s">
        <v>549</v>
      </c>
      <c r="S172" s="259">
        <v>13.5</v>
      </c>
      <c r="T172" s="259">
        <v>0</v>
      </c>
      <c r="U172" s="68" t="s">
        <v>846</v>
      </c>
      <c r="V172" s="126">
        <v>1</v>
      </c>
      <c r="Z172" s="126">
        <v>1</v>
      </c>
      <c r="AA172" s="126">
        <v>1</v>
      </c>
      <c r="AB172" s="126">
        <v>1</v>
      </c>
      <c r="AC172" s="126">
        <v>6</v>
      </c>
      <c r="AD172" s="126">
        <v>2026</v>
      </c>
    </row>
    <row r="173" spans="3:30">
      <c r="C173" s="126">
        <v>166</v>
      </c>
      <c r="D173" s="126">
        <v>12</v>
      </c>
      <c r="E173" s="126">
        <v>10</v>
      </c>
      <c r="F173" s="126">
        <v>1</v>
      </c>
      <c r="G173" s="126">
        <v>1</v>
      </c>
      <c r="H173" s="126">
        <v>1</v>
      </c>
      <c r="I173" s="126">
        <v>1</v>
      </c>
      <c r="J173" s="126">
        <v>18</v>
      </c>
      <c r="P173" s="126">
        <v>36</v>
      </c>
      <c r="R173" s="126" t="s">
        <v>549</v>
      </c>
      <c r="S173" s="259">
        <v>0</v>
      </c>
      <c r="T173" s="259">
        <v>25</v>
      </c>
      <c r="U173" s="68" t="s">
        <v>847</v>
      </c>
      <c r="V173" s="126">
        <v>1</v>
      </c>
      <c r="Z173" s="126">
        <v>1</v>
      </c>
      <c r="AA173" s="126">
        <v>1</v>
      </c>
      <c r="AB173" s="126">
        <v>1</v>
      </c>
      <c r="AC173" s="126">
        <v>6</v>
      </c>
      <c r="AD173" s="126">
        <v>2026</v>
      </c>
    </row>
    <row r="174" spans="3:30">
      <c r="C174" s="126">
        <v>167</v>
      </c>
      <c r="D174" s="126">
        <v>13</v>
      </c>
      <c r="E174" s="126">
        <v>2</v>
      </c>
      <c r="F174" s="126">
        <v>1</v>
      </c>
      <c r="G174" s="126">
        <v>1</v>
      </c>
      <c r="H174" s="126">
        <v>1</v>
      </c>
      <c r="I174" s="126">
        <v>1</v>
      </c>
      <c r="R174" s="126" t="s">
        <v>549</v>
      </c>
      <c r="S174" s="259">
        <v>59</v>
      </c>
      <c r="T174" s="259">
        <v>0</v>
      </c>
      <c r="U174" s="68" t="s">
        <v>850</v>
      </c>
      <c r="V174" s="126">
        <v>1</v>
      </c>
      <c r="Z174" s="126">
        <v>1</v>
      </c>
      <c r="AA174" s="126">
        <v>1</v>
      </c>
      <c r="AB174" s="126">
        <v>1</v>
      </c>
      <c r="AC174" s="126">
        <v>6</v>
      </c>
      <c r="AD174" s="126">
        <v>2026</v>
      </c>
    </row>
    <row r="175" spans="3:30">
      <c r="C175" s="126">
        <v>168</v>
      </c>
      <c r="D175" s="126">
        <v>13</v>
      </c>
      <c r="E175" s="126">
        <v>3</v>
      </c>
      <c r="F175" s="126">
        <v>1</v>
      </c>
      <c r="G175" s="126">
        <v>1</v>
      </c>
      <c r="H175" s="126">
        <v>1</v>
      </c>
      <c r="I175" s="126">
        <v>1</v>
      </c>
      <c r="J175" s="126">
        <v>195</v>
      </c>
      <c r="M175" s="126">
        <v>77</v>
      </c>
      <c r="N175" s="126">
        <v>0</v>
      </c>
      <c r="P175" s="126">
        <v>37</v>
      </c>
      <c r="R175" s="126" t="s">
        <v>549</v>
      </c>
      <c r="S175" s="259">
        <v>0</v>
      </c>
      <c r="T175" s="259">
        <v>12.56</v>
      </c>
      <c r="U175" s="68" t="s">
        <v>851</v>
      </c>
      <c r="V175" s="126">
        <v>1</v>
      </c>
      <c r="Z175" s="126">
        <v>1</v>
      </c>
      <c r="AA175" s="126">
        <v>1</v>
      </c>
      <c r="AB175" s="126">
        <v>1</v>
      </c>
      <c r="AC175" s="126">
        <v>6</v>
      </c>
      <c r="AD175" s="126">
        <v>2026</v>
      </c>
    </row>
    <row r="176" spans="3:30">
      <c r="C176" s="126">
        <v>169</v>
      </c>
      <c r="D176" s="126">
        <v>13</v>
      </c>
      <c r="E176" s="126">
        <v>11</v>
      </c>
      <c r="F176" s="126">
        <v>1</v>
      </c>
      <c r="G176" s="126">
        <v>1</v>
      </c>
      <c r="H176" s="126">
        <v>1</v>
      </c>
      <c r="I176" s="126">
        <v>1</v>
      </c>
      <c r="J176" s="126">
        <v>195</v>
      </c>
      <c r="M176" s="126">
        <v>77</v>
      </c>
      <c r="N176" s="126">
        <v>1</v>
      </c>
      <c r="P176" s="126">
        <v>37</v>
      </c>
      <c r="R176" s="126" t="s">
        <v>549</v>
      </c>
      <c r="S176" s="259">
        <v>12.56</v>
      </c>
      <c r="T176" s="259">
        <v>0</v>
      </c>
      <c r="U176" s="68" t="s">
        <v>852</v>
      </c>
      <c r="V176" s="126">
        <v>1</v>
      </c>
      <c r="Z176" s="126">
        <v>1</v>
      </c>
      <c r="AA176" s="126">
        <v>1</v>
      </c>
      <c r="AB176" s="126">
        <v>1</v>
      </c>
      <c r="AC176" s="126">
        <v>6</v>
      </c>
      <c r="AD176" s="126">
        <v>2026</v>
      </c>
    </row>
    <row r="177" spans="3:30">
      <c r="C177" s="126">
        <v>170</v>
      </c>
      <c r="D177" s="126">
        <v>13</v>
      </c>
      <c r="E177" s="126">
        <v>10</v>
      </c>
      <c r="F177" s="126">
        <v>1</v>
      </c>
      <c r="G177" s="126">
        <v>1</v>
      </c>
      <c r="H177" s="126">
        <v>1</v>
      </c>
      <c r="I177" s="126">
        <v>1</v>
      </c>
      <c r="J177" s="126">
        <v>195</v>
      </c>
      <c r="P177" s="126">
        <v>37</v>
      </c>
      <c r="R177" s="126" t="s">
        <v>549</v>
      </c>
      <c r="S177" s="259">
        <v>0</v>
      </c>
      <c r="T177" s="259">
        <v>15</v>
      </c>
      <c r="U177" s="68" t="s">
        <v>853</v>
      </c>
      <c r="V177" s="126">
        <v>1</v>
      </c>
      <c r="Z177" s="126">
        <v>1</v>
      </c>
      <c r="AA177" s="126">
        <v>1</v>
      </c>
      <c r="AB177" s="126">
        <v>1</v>
      </c>
      <c r="AC177" s="126">
        <v>6</v>
      </c>
      <c r="AD177" s="126">
        <v>2026</v>
      </c>
    </row>
    <row r="178" spans="3:30">
      <c r="C178" s="126">
        <v>171</v>
      </c>
      <c r="D178" s="126">
        <v>13</v>
      </c>
      <c r="E178" s="126">
        <v>3</v>
      </c>
      <c r="F178" s="126">
        <v>1</v>
      </c>
      <c r="G178" s="126">
        <v>1</v>
      </c>
      <c r="H178" s="126">
        <v>1</v>
      </c>
      <c r="I178" s="126">
        <v>1</v>
      </c>
      <c r="J178" s="126">
        <v>11</v>
      </c>
      <c r="M178" s="126">
        <v>78</v>
      </c>
      <c r="N178" s="126">
        <v>0</v>
      </c>
      <c r="P178" s="126">
        <v>38</v>
      </c>
      <c r="R178" s="126" t="s">
        <v>549</v>
      </c>
      <c r="S178" s="259">
        <v>0</v>
      </c>
      <c r="T178" s="259">
        <v>38.08</v>
      </c>
      <c r="U178" s="68" t="s">
        <v>854</v>
      </c>
      <c r="V178" s="126">
        <v>1</v>
      </c>
      <c r="Z178" s="126">
        <v>1</v>
      </c>
      <c r="AA178" s="126">
        <v>1</v>
      </c>
      <c r="AB178" s="126">
        <v>1</v>
      </c>
      <c r="AC178" s="126">
        <v>6</v>
      </c>
      <c r="AD178" s="126">
        <v>2026</v>
      </c>
    </row>
    <row r="179" spans="3:30">
      <c r="C179" s="126">
        <v>172</v>
      </c>
      <c r="D179" s="126">
        <v>13</v>
      </c>
      <c r="E179" s="126">
        <v>11</v>
      </c>
      <c r="F179" s="126">
        <v>1</v>
      </c>
      <c r="G179" s="126">
        <v>1</v>
      </c>
      <c r="H179" s="126">
        <v>1</v>
      </c>
      <c r="I179" s="126">
        <v>1</v>
      </c>
      <c r="J179" s="126">
        <v>11</v>
      </c>
      <c r="M179" s="126">
        <v>78</v>
      </c>
      <c r="N179" s="126">
        <v>1</v>
      </c>
      <c r="P179" s="126">
        <v>38</v>
      </c>
      <c r="R179" s="126" t="s">
        <v>549</v>
      </c>
      <c r="S179" s="259">
        <v>38.08</v>
      </c>
      <c r="T179" s="259">
        <v>0</v>
      </c>
      <c r="U179" s="68" t="s">
        <v>855</v>
      </c>
      <c r="V179" s="126">
        <v>1</v>
      </c>
      <c r="Z179" s="126">
        <v>1</v>
      </c>
      <c r="AA179" s="126">
        <v>1</v>
      </c>
      <c r="AB179" s="126">
        <v>1</v>
      </c>
      <c r="AC179" s="126">
        <v>6</v>
      </c>
      <c r="AD179" s="126">
        <v>2026</v>
      </c>
    </row>
    <row r="180" spans="3:30">
      <c r="C180" s="126">
        <v>173</v>
      </c>
      <c r="D180" s="126">
        <v>13</v>
      </c>
      <c r="E180" s="126">
        <v>10</v>
      </c>
      <c r="F180" s="126">
        <v>1</v>
      </c>
      <c r="G180" s="126">
        <v>1</v>
      </c>
      <c r="H180" s="126">
        <v>1</v>
      </c>
      <c r="I180" s="126">
        <v>1</v>
      </c>
      <c r="J180" s="126">
        <v>11</v>
      </c>
      <c r="P180" s="126">
        <v>38</v>
      </c>
      <c r="R180" s="126" t="s">
        <v>549</v>
      </c>
      <c r="S180" s="259">
        <v>0</v>
      </c>
      <c r="T180" s="259">
        <v>44</v>
      </c>
      <c r="U180" s="68" t="s">
        <v>856</v>
      </c>
      <c r="V180" s="126">
        <v>1</v>
      </c>
      <c r="Z180" s="126">
        <v>1</v>
      </c>
      <c r="AA180" s="126">
        <v>1</v>
      </c>
      <c r="AB180" s="126">
        <v>1</v>
      </c>
      <c r="AC180" s="126">
        <v>6</v>
      </c>
      <c r="AD180" s="126">
        <v>2026</v>
      </c>
    </row>
    <row r="181" spans="3:30">
      <c r="C181" s="126">
        <v>174</v>
      </c>
      <c r="D181" s="126">
        <v>14</v>
      </c>
      <c r="E181" s="126">
        <v>2</v>
      </c>
      <c r="F181" s="126">
        <v>1</v>
      </c>
      <c r="G181" s="126">
        <v>1</v>
      </c>
      <c r="H181" s="126">
        <v>1</v>
      </c>
      <c r="I181" s="126">
        <v>1</v>
      </c>
      <c r="R181" s="126" t="s">
        <v>549</v>
      </c>
      <c r="S181" s="259">
        <v>56.3</v>
      </c>
      <c r="T181" s="259">
        <v>0</v>
      </c>
      <c r="U181" s="68" t="s">
        <v>867</v>
      </c>
      <c r="V181" s="126">
        <v>1</v>
      </c>
      <c r="Z181" s="126">
        <v>1</v>
      </c>
      <c r="AA181" s="126">
        <v>1</v>
      </c>
      <c r="AB181" s="126">
        <v>1</v>
      </c>
      <c r="AC181" s="126">
        <v>6</v>
      </c>
      <c r="AD181" s="126">
        <v>2026</v>
      </c>
    </row>
    <row r="182" spans="3:30">
      <c r="C182" s="126">
        <v>175</v>
      </c>
      <c r="D182" s="126">
        <v>14</v>
      </c>
      <c r="E182" s="126">
        <v>3</v>
      </c>
      <c r="F182" s="126">
        <v>1</v>
      </c>
      <c r="G182" s="126">
        <v>1</v>
      </c>
      <c r="H182" s="126">
        <v>1</v>
      </c>
      <c r="I182" s="126">
        <v>1</v>
      </c>
      <c r="J182" s="126">
        <v>102</v>
      </c>
      <c r="M182" s="126">
        <v>79</v>
      </c>
      <c r="N182" s="126">
        <v>0</v>
      </c>
      <c r="P182" s="126">
        <v>39</v>
      </c>
      <c r="R182" s="126" t="s">
        <v>549</v>
      </c>
      <c r="S182" s="259">
        <v>0</v>
      </c>
      <c r="T182" s="259">
        <v>4.5</v>
      </c>
      <c r="U182" s="68" t="s">
        <v>869</v>
      </c>
      <c r="V182" s="126">
        <v>1</v>
      </c>
      <c r="Z182" s="126">
        <v>1</v>
      </c>
      <c r="AA182" s="126">
        <v>1</v>
      </c>
      <c r="AB182" s="126">
        <v>1</v>
      </c>
      <c r="AC182" s="126">
        <v>6</v>
      </c>
      <c r="AD182" s="126">
        <v>2026</v>
      </c>
    </row>
    <row r="183" spans="3:30">
      <c r="C183" s="126">
        <v>176</v>
      </c>
      <c r="D183" s="126">
        <v>14</v>
      </c>
      <c r="E183" s="126">
        <v>11</v>
      </c>
      <c r="F183" s="126">
        <v>1</v>
      </c>
      <c r="G183" s="126">
        <v>1</v>
      </c>
      <c r="H183" s="126">
        <v>1</v>
      </c>
      <c r="I183" s="126">
        <v>1</v>
      </c>
      <c r="J183" s="126">
        <v>102</v>
      </c>
      <c r="M183" s="126">
        <v>79</v>
      </c>
      <c r="N183" s="126">
        <v>1</v>
      </c>
      <c r="P183" s="126">
        <v>39</v>
      </c>
      <c r="R183" s="126" t="s">
        <v>549</v>
      </c>
      <c r="S183" s="259">
        <v>4.5</v>
      </c>
      <c r="T183" s="259">
        <v>0</v>
      </c>
      <c r="U183" s="68" t="s">
        <v>870</v>
      </c>
      <c r="V183" s="126">
        <v>1</v>
      </c>
      <c r="Z183" s="126">
        <v>1</v>
      </c>
      <c r="AA183" s="126">
        <v>1</v>
      </c>
      <c r="AB183" s="126">
        <v>1</v>
      </c>
      <c r="AC183" s="126">
        <v>6</v>
      </c>
      <c r="AD183" s="126">
        <v>2026</v>
      </c>
    </row>
    <row r="184" spans="3:30">
      <c r="C184" s="126">
        <v>177</v>
      </c>
      <c r="D184" s="126">
        <v>14</v>
      </c>
      <c r="E184" s="126">
        <v>10</v>
      </c>
      <c r="F184" s="126">
        <v>1</v>
      </c>
      <c r="G184" s="126">
        <v>1</v>
      </c>
      <c r="H184" s="126">
        <v>1</v>
      </c>
      <c r="I184" s="126">
        <v>1</v>
      </c>
      <c r="J184" s="126">
        <v>102</v>
      </c>
      <c r="P184" s="126">
        <v>39</v>
      </c>
      <c r="R184" s="126" t="s">
        <v>549</v>
      </c>
      <c r="S184" s="259">
        <v>0</v>
      </c>
      <c r="T184" s="259">
        <v>5</v>
      </c>
      <c r="U184" s="68" t="s">
        <v>871</v>
      </c>
      <c r="V184" s="126">
        <v>1</v>
      </c>
      <c r="Z184" s="126">
        <v>1</v>
      </c>
      <c r="AA184" s="126">
        <v>1</v>
      </c>
      <c r="AB184" s="126">
        <v>1</v>
      </c>
      <c r="AC184" s="126">
        <v>6</v>
      </c>
      <c r="AD184" s="126">
        <v>2026</v>
      </c>
    </row>
    <row r="185" spans="3:30">
      <c r="C185" s="126">
        <v>178</v>
      </c>
      <c r="D185" s="126">
        <v>14</v>
      </c>
      <c r="E185" s="126">
        <v>3</v>
      </c>
      <c r="F185" s="126">
        <v>1</v>
      </c>
      <c r="G185" s="126">
        <v>1</v>
      </c>
      <c r="H185" s="126">
        <v>1</v>
      </c>
      <c r="I185" s="126">
        <v>1</v>
      </c>
      <c r="J185" s="126">
        <v>185</v>
      </c>
      <c r="M185" s="126">
        <v>80</v>
      </c>
      <c r="N185" s="126">
        <v>0</v>
      </c>
      <c r="P185" s="126">
        <v>40</v>
      </c>
      <c r="R185" s="126" t="s">
        <v>549</v>
      </c>
      <c r="S185" s="259">
        <v>0</v>
      </c>
      <c r="T185" s="259">
        <v>48</v>
      </c>
      <c r="U185" s="68" t="s">
        <v>872</v>
      </c>
      <c r="V185" s="126">
        <v>1</v>
      </c>
      <c r="Z185" s="126">
        <v>1</v>
      </c>
      <c r="AA185" s="126">
        <v>1</v>
      </c>
      <c r="AB185" s="126">
        <v>1</v>
      </c>
      <c r="AC185" s="126">
        <v>6</v>
      </c>
      <c r="AD185" s="126">
        <v>2026</v>
      </c>
    </row>
    <row r="186" spans="3:30">
      <c r="C186" s="126">
        <v>179</v>
      </c>
      <c r="D186" s="126">
        <v>14</v>
      </c>
      <c r="E186" s="126">
        <v>11</v>
      </c>
      <c r="F186" s="126">
        <v>1</v>
      </c>
      <c r="G186" s="126">
        <v>1</v>
      </c>
      <c r="H186" s="126">
        <v>1</v>
      </c>
      <c r="I186" s="126">
        <v>1</v>
      </c>
      <c r="J186" s="126">
        <v>185</v>
      </c>
      <c r="M186" s="126">
        <v>80</v>
      </c>
      <c r="N186" s="126">
        <v>1</v>
      </c>
      <c r="P186" s="126">
        <v>40</v>
      </c>
      <c r="R186" s="126" t="s">
        <v>549</v>
      </c>
      <c r="S186" s="259">
        <v>48</v>
      </c>
      <c r="T186" s="259">
        <v>0</v>
      </c>
      <c r="U186" s="68" t="s">
        <v>873</v>
      </c>
      <c r="V186" s="126">
        <v>1</v>
      </c>
      <c r="Z186" s="126">
        <v>1</v>
      </c>
      <c r="AA186" s="126">
        <v>1</v>
      </c>
      <c r="AB186" s="126">
        <v>1</v>
      </c>
      <c r="AC186" s="126">
        <v>6</v>
      </c>
      <c r="AD186" s="126">
        <v>2026</v>
      </c>
    </row>
    <row r="187" spans="3:30">
      <c r="C187" s="126">
        <v>180</v>
      </c>
      <c r="D187" s="126">
        <v>14</v>
      </c>
      <c r="E187" s="126">
        <v>10</v>
      </c>
      <c r="F187" s="126">
        <v>1</v>
      </c>
      <c r="G187" s="126">
        <v>1</v>
      </c>
      <c r="H187" s="126">
        <v>1</v>
      </c>
      <c r="I187" s="126">
        <v>1</v>
      </c>
      <c r="J187" s="126">
        <v>185</v>
      </c>
      <c r="P187" s="126">
        <v>40</v>
      </c>
      <c r="R187" s="126" t="s">
        <v>549</v>
      </c>
      <c r="S187" s="259">
        <v>0</v>
      </c>
      <c r="T187" s="259">
        <v>51.3</v>
      </c>
      <c r="U187" s="68" t="s">
        <v>874</v>
      </c>
      <c r="V187" s="126">
        <v>1</v>
      </c>
      <c r="Z187" s="126">
        <v>1</v>
      </c>
      <c r="AA187" s="126">
        <v>1</v>
      </c>
      <c r="AB187" s="126">
        <v>1</v>
      </c>
      <c r="AC187" s="126">
        <v>6</v>
      </c>
      <c r="AD187" s="126">
        <v>2026</v>
      </c>
    </row>
    <row r="188" spans="3:30">
      <c r="C188" s="126">
        <v>181</v>
      </c>
      <c r="D188" s="126">
        <v>15</v>
      </c>
      <c r="E188" s="126">
        <v>2</v>
      </c>
      <c r="F188" s="126">
        <v>1</v>
      </c>
      <c r="G188" s="126">
        <v>1</v>
      </c>
      <c r="H188" s="126">
        <v>1</v>
      </c>
      <c r="I188" s="126">
        <v>1</v>
      </c>
      <c r="R188" s="126" t="s">
        <v>549</v>
      </c>
      <c r="S188" s="259">
        <v>47.5</v>
      </c>
      <c r="T188" s="259">
        <v>0</v>
      </c>
      <c r="U188" s="68" t="s">
        <v>876</v>
      </c>
      <c r="V188" s="126">
        <v>1</v>
      </c>
      <c r="Z188" s="126">
        <v>1</v>
      </c>
      <c r="AA188" s="126">
        <v>1</v>
      </c>
      <c r="AB188" s="126">
        <v>1</v>
      </c>
      <c r="AC188" s="126">
        <v>6</v>
      </c>
      <c r="AD188" s="126">
        <v>2026</v>
      </c>
    </row>
    <row r="189" spans="3:30">
      <c r="C189" s="126">
        <v>182</v>
      </c>
      <c r="D189" s="126">
        <v>15</v>
      </c>
      <c r="E189" s="126">
        <v>3</v>
      </c>
      <c r="F189" s="126">
        <v>1</v>
      </c>
      <c r="G189" s="126">
        <v>1</v>
      </c>
      <c r="H189" s="126">
        <v>1</v>
      </c>
      <c r="I189" s="126">
        <v>1</v>
      </c>
      <c r="J189" s="126">
        <v>176</v>
      </c>
      <c r="M189" s="126">
        <v>81</v>
      </c>
      <c r="N189" s="126">
        <v>0</v>
      </c>
      <c r="P189" s="126">
        <v>41</v>
      </c>
      <c r="R189" s="126" t="s">
        <v>549</v>
      </c>
      <c r="S189" s="259">
        <v>0</v>
      </c>
      <c r="T189" s="259">
        <v>42.5</v>
      </c>
      <c r="U189" s="68" t="s">
        <v>877</v>
      </c>
      <c r="V189" s="126">
        <v>1</v>
      </c>
      <c r="Z189" s="126">
        <v>1</v>
      </c>
      <c r="AA189" s="126">
        <v>1</v>
      </c>
      <c r="AB189" s="126">
        <v>1</v>
      </c>
      <c r="AC189" s="126">
        <v>6</v>
      </c>
      <c r="AD189" s="126">
        <v>2026</v>
      </c>
    </row>
    <row r="190" spans="3:30">
      <c r="C190" s="126">
        <v>183</v>
      </c>
      <c r="D190" s="126">
        <v>15</v>
      </c>
      <c r="E190" s="126">
        <v>11</v>
      </c>
      <c r="F190" s="126">
        <v>1</v>
      </c>
      <c r="G190" s="126">
        <v>1</v>
      </c>
      <c r="H190" s="126">
        <v>1</v>
      </c>
      <c r="I190" s="126">
        <v>1</v>
      </c>
      <c r="J190" s="126">
        <v>176</v>
      </c>
      <c r="M190" s="126">
        <v>81</v>
      </c>
      <c r="N190" s="126">
        <v>1</v>
      </c>
      <c r="P190" s="126">
        <v>41</v>
      </c>
      <c r="R190" s="126" t="s">
        <v>549</v>
      </c>
      <c r="S190" s="259">
        <v>42.5</v>
      </c>
      <c r="T190" s="259">
        <v>0</v>
      </c>
      <c r="U190" s="68" t="s">
        <v>878</v>
      </c>
      <c r="V190" s="126">
        <v>1</v>
      </c>
      <c r="Z190" s="126">
        <v>1</v>
      </c>
      <c r="AA190" s="126">
        <v>1</v>
      </c>
      <c r="AB190" s="126">
        <v>1</v>
      </c>
      <c r="AC190" s="126">
        <v>6</v>
      </c>
      <c r="AD190" s="126">
        <v>2026</v>
      </c>
    </row>
    <row r="191" spans="3:30">
      <c r="C191" s="126">
        <v>184</v>
      </c>
      <c r="D191" s="126">
        <v>15</v>
      </c>
      <c r="E191" s="126">
        <v>10</v>
      </c>
      <c r="F191" s="126">
        <v>1</v>
      </c>
      <c r="G191" s="126">
        <v>1</v>
      </c>
      <c r="H191" s="126">
        <v>1</v>
      </c>
      <c r="I191" s="126">
        <v>1</v>
      </c>
      <c r="J191" s="126">
        <v>176</v>
      </c>
      <c r="P191" s="126">
        <v>41</v>
      </c>
      <c r="R191" s="126" t="s">
        <v>549</v>
      </c>
      <c r="S191" s="259">
        <v>0</v>
      </c>
      <c r="T191" s="259">
        <v>47.5</v>
      </c>
      <c r="U191" s="68" t="s">
        <v>879</v>
      </c>
      <c r="V191" s="126">
        <v>1</v>
      </c>
      <c r="Z191" s="126">
        <v>1</v>
      </c>
      <c r="AA191" s="126">
        <v>1</v>
      </c>
      <c r="AB191" s="126">
        <v>1</v>
      </c>
      <c r="AC191" s="126">
        <v>6</v>
      </c>
      <c r="AD191" s="126">
        <v>2026</v>
      </c>
    </row>
    <row r="192" spans="3:30">
      <c r="C192" s="126">
        <v>185</v>
      </c>
      <c r="D192" s="126">
        <v>16</v>
      </c>
      <c r="E192" s="126">
        <v>2</v>
      </c>
      <c r="F192" s="126">
        <v>1</v>
      </c>
      <c r="G192" s="126">
        <v>1</v>
      </c>
      <c r="H192" s="126">
        <v>1</v>
      </c>
      <c r="I192" s="126">
        <v>1</v>
      </c>
      <c r="R192" s="126" t="s">
        <v>549</v>
      </c>
      <c r="S192" s="259">
        <v>38.25</v>
      </c>
      <c r="T192" s="259">
        <v>0</v>
      </c>
      <c r="U192" s="68" t="s">
        <v>882</v>
      </c>
      <c r="V192" s="126">
        <v>1</v>
      </c>
      <c r="Z192" s="126">
        <v>1</v>
      </c>
      <c r="AA192" s="126">
        <v>1</v>
      </c>
      <c r="AB192" s="126">
        <v>1</v>
      </c>
      <c r="AC192" s="126">
        <v>6</v>
      </c>
      <c r="AD192" s="126">
        <v>2026</v>
      </c>
    </row>
    <row r="193" spans="3:30">
      <c r="C193" s="126">
        <v>186</v>
      </c>
      <c r="D193" s="126">
        <v>16</v>
      </c>
      <c r="E193" s="126">
        <v>3</v>
      </c>
      <c r="F193" s="126">
        <v>1</v>
      </c>
      <c r="G193" s="126">
        <v>1</v>
      </c>
      <c r="H193" s="126">
        <v>1</v>
      </c>
      <c r="I193" s="126">
        <v>1</v>
      </c>
      <c r="J193" s="126">
        <v>99</v>
      </c>
      <c r="M193" s="126">
        <v>82</v>
      </c>
      <c r="N193" s="126">
        <v>0</v>
      </c>
      <c r="P193" s="126">
        <v>42</v>
      </c>
      <c r="R193" s="126" t="s">
        <v>549</v>
      </c>
      <c r="S193" s="259">
        <v>0</v>
      </c>
      <c r="T193" s="259">
        <v>0.24</v>
      </c>
      <c r="U193" s="68" t="s">
        <v>885</v>
      </c>
      <c r="V193" s="126">
        <v>1</v>
      </c>
      <c r="Z193" s="126">
        <v>1</v>
      </c>
      <c r="AA193" s="126">
        <v>1</v>
      </c>
      <c r="AB193" s="126">
        <v>1</v>
      </c>
      <c r="AC193" s="126">
        <v>6</v>
      </c>
      <c r="AD193" s="126">
        <v>2026</v>
      </c>
    </row>
    <row r="194" spans="3:30">
      <c r="C194" s="126">
        <v>187</v>
      </c>
      <c r="D194" s="126">
        <v>16</v>
      </c>
      <c r="E194" s="126">
        <v>11</v>
      </c>
      <c r="F194" s="126">
        <v>1</v>
      </c>
      <c r="G194" s="126">
        <v>1</v>
      </c>
      <c r="H194" s="126">
        <v>1</v>
      </c>
      <c r="I194" s="126">
        <v>1</v>
      </c>
      <c r="J194" s="126">
        <v>99</v>
      </c>
      <c r="M194" s="126">
        <v>82</v>
      </c>
      <c r="N194" s="126">
        <v>1</v>
      </c>
      <c r="P194" s="126">
        <v>42</v>
      </c>
      <c r="R194" s="126" t="s">
        <v>549</v>
      </c>
      <c r="S194" s="259">
        <v>0.24</v>
      </c>
      <c r="T194" s="259">
        <v>0</v>
      </c>
      <c r="U194" s="68" t="s">
        <v>886</v>
      </c>
      <c r="V194" s="126">
        <v>1</v>
      </c>
      <c r="Z194" s="126">
        <v>1</v>
      </c>
      <c r="AA194" s="126">
        <v>1</v>
      </c>
      <c r="AB194" s="126">
        <v>1</v>
      </c>
      <c r="AC194" s="126">
        <v>6</v>
      </c>
      <c r="AD194" s="126">
        <v>2026</v>
      </c>
    </row>
    <row r="195" spans="3:30">
      <c r="C195" s="126">
        <v>188</v>
      </c>
      <c r="D195" s="126">
        <v>16</v>
      </c>
      <c r="E195" s="126">
        <v>10</v>
      </c>
      <c r="F195" s="126">
        <v>1</v>
      </c>
      <c r="G195" s="126">
        <v>1</v>
      </c>
      <c r="H195" s="126">
        <v>1</v>
      </c>
      <c r="I195" s="126">
        <v>1</v>
      </c>
      <c r="J195" s="126">
        <v>99</v>
      </c>
      <c r="P195" s="126">
        <v>42</v>
      </c>
      <c r="R195" s="126" t="s">
        <v>549</v>
      </c>
      <c r="S195" s="259">
        <v>0</v>
      </c>
      <c r="T195" s="259">
        <v>0.74</v>
      </c>
      <c r="U195" s="68" t="s">
        <v>887</v>
      </c>
      <c r="V195" s="126">
        <v>1</v>
      </c>
      <c r="Z195" s="126">
        <v>1</v>
      </c>
      <c r="AA195" s="126">
        <v>1</v>
      </c>
      <c r="AB195" s="126">
        <v>1</v>
      </c>
      <c r="AC195" s="126">
        <v>6</v>
      </c>
      <c r="AD195" s="126">
        <v>2026</v>
      </c>
    </row>
    <row r="196" spans="3:30">
      <c r="C196" s="126">
        <v>189</v>
      </c>
      <c r="D196" s="126">
        <v>16</v>
      </c>
      <c r="E196" s="126">
        <v>3</v>
      </c>
      <c r="F196" s="126">
        <v>1</v>
      </c>
      <c r="G196" s="126">
        <v>1</v>
      </c>
      <c r="H196" s="126">
        <v>1</v>
      </c>
      <c r="I196" s="126">
        <v>1</v>
      </c>
      <c r="J196" s="126">
        <v>14</v>
      </c>
      <c r="M196" s="126">
        <v>83</v>
      </c>
      <c r="N196" s="126">
        <v>0</v>
      </c>
      <c r="P196" s="126">
        <v>43</v>
      </c>
      <c r="R196" s="126" t="s">
        <v>549</v>
      </c>
      <c r="S196" s="259">
        <v>0</v>
      </c>
      <c r="T196" s="259">
        <v>3.3</v>
      </c>
      <c r="U196" s="68" t="s">
        <v>888</v>
      </c>
      <c r="V196" s="126">
        <v>1</v>
      </c>
      <c r="Z196" s="126">
        <v>1</v>
      </c>
      <c r="AA196" s="126">
        <v>1</v>
      </c>
      <c r="AB196" s="126">
        <v>1</v>
      </c>
      <c r="AC196" s="126">
        <v>6</v>
      </c>
      <c r="AD196" s="126">
        <v>2026</v>
      </c>
    </row>
    <row r="197" spans="3:30">
      <c r="C197" s="126">
        <v>190</v>
      </c>
      <c r="D197" s="126">
        <v>16</v>
      </c>
      <c r="E197" s="126">
        <v>11</v>
      </c>
      <c r="F197" s="126">
        <v>1</v>
      </c>
      <c r="G197" s="126">
        <v>1</v>
      </c>
      <c r="H197" s="126">
        <v>1</v>
      </c>
      <c r="I197" s="126">
        <v>1</v>
      </c>
      <c r="J197" s="126">
        <v>14</v>
      </c>
      <c r="M197" s="126">
        <v>83</v>
      </c>
      <c r="N197" s="126">
        <v>1</v>
      </c>
      <c r="P197" s="126">
        <v>43</v>
      </c>
      <c r="R197" s="126" t="s">
        <v>549</v>
      </c>
      <c r="S197" s="259">
        <v>3.3</v>
      </c>
      <c r="T197" s="259">
        <v>0</v>
      </c>
      <c r="U197" s="68" t="s">
        <v>889</v>
      </c>
      <c r="V197" s="126">
        <v>1</v>
      </c>
      <c r="Z197" s="126">
        <v>1</v>
      </c>
      <c r="AA197" s="126">
        <v>1</v>
      </c>
      <c r="AB197" s="126">
        <v>1</v>
      </c>
      <c r="AC197" s="126">
        <v>6</v>
      </c>
      <c r="AD197" s="126">
        <v>2026</v>
      </c>
    </row>
    <row r="198" spans="3:30">
      <c r="C198" s="126">
        <v>191</v>
      </c>
      <c r="D198" s="126">
        <v>16</v>
      </c>
      <c r="E198" s="126">
        <v>10</v>
      </c>
      <c r="F198" s="126">
        <v>1</v>
      </c>
      <c r="G198" s="126">
        <v>1</v>
      </c>
      <c r="H198" s="126">
        <v>1</v>
      </c>
      <c r="I198" s="126">
        <v>1</v>
      </c>
      <c r="J198" s="126">
        <v>14</v>
      </c>
      <c r="P198" s="126">
        <v>43</v>
      </c>
      <c r="R198" s="126" t="s">
        <v>549</v>
      </c>
      <c r="S198" s="259">
        <v>0</v>
      </c>
      <c r="T198" s="259">
        <v>3.75</v>
      </c>
      <c r="U198" s="68" t="s">
        <v>890</v>
      </c>
      <c r="V198" s="126">
        <v>1</v>
      </c>
      <c r="Z198" s="126">
        <v>1</v>
      </c>
      <c r="AA198" s="126">
        <v>1</v>
      </c>
      <c r="AB198" s="126">
        <v>1</v>
      </c>
      <c r="AC198" s="126">
        <v>6</v>
      </c>
      <c r="AD198" s="126">
        <v>2026</v>
      </c>
    </row>
    <row r="199" spans="3:30">
      <c r="C199" s="126">
        <v>192</v>
      </c>
      <c r="D199" s="126">
        <v>16</v>
      </c>
      <c r="E199" s="126">
        <v>3</v>
      </c>
      <c r="F199" s="126">
        <v>1</v>
      </c>
      <c r="G199" s="126">
        <v>1</v>
      </c>
      <c r="H199" s="126">
        <v>1</v>
      </c>
      <c r="I199" s="126">
        <v>1</v>
      </c>
      <c r="J199" s="126">
        <v>182</v>
      </c>
      <c r="M199" s="126">
        <v>84</v>
      </c>
      <c r="N199" s="126">
        <v>0</v>
      </c>
      <c r="P199" s="126">
        <v>44</v>
      </c>
      <c r="R199" s="126" t="s">
        <v>549</v>
      </c>
      <c r="S199" s="259">
        <v>0</v>
      </c>
      <c r="T199" s="259">
        <v>2</v>
      </c>
      <c r="U199" s="68" t="s">
        <v>891</v>
      </c>
      <c r="V199" s="126">
        <v>1</v>
      </c>
      <c r="Z199" s="126">
        <v>1</v>
      </c>
      <c r="AA199" s="126">
        <v>1</v>
      </c>
      <c r="AB199" s="126">
        <v>1</v>
      </c>
      <c r="AC199" s="126">
        <v>6</v>
      </c>
      <c r="AD199" s="126">
        <v>2026</v>
      </c>
    </row>
    <row r="200" spans="3:30">
      <c r="C200" s="126">
        <v>193</v>
      </c>
      <c r="D200" s="126">
        <v>16</v>
      </c>
      <c r="E200" s="126">
        <v>11</v>
      </c>
      <c r="F200" s="126">
        <v>1</v>
      </c>
      <c r="G200" s="126">
        <v>1</v>
      </c>
      <c r="H200" s="126">
        <v>1</v>
      </c>
      <c r="I200" s="126">
        <v>1</v>
      </c>
      <c r="J200" s="126">
        <v>182</v>
      </c>
      <c r="M200" s="126">
        <v>84</v>
      </c>
      <c r="N200" s="126">
        <v>1</v>
      </c>
      <c r="P200" s="126">
        <v>44</v>
      </c>
      <c r="R200" s="126" t="s">
        <v>549</v>
      </c>
      <c r="S200" s="259">
        <v>2</v>
      </c>
      <c r="T200" s="259">
        <v>0</v>
      </c>
      <c r="U200" s="68" t="s">
        <v>892</v>
      </c>
      <c r="V200" s="126">
        <v>1</v>
      </c>
      <c r="Z200" s="126">
        <v>1</v>
      </c>
      <c r="AA200" s="126">
        <v>1</v>
      </c>
      <c r="AB200" s="126">
        <v>1</v>
      </c>
      <c r="AC200" s="126">
        <v>6</v>
      </c>
      <c r="AD200" s="126">
        <v>2026</v>
      </c>
    </row>
    <row r="201" spans="3:30">
      <c r="C201" s="126">
        <v>194</v>
      </c>
      <c r="D201" s="126">
        <v>16</v>
      </c>
      <c r="E201" s="126">
        <v>10</v>
      </c>
      <c r="F201" s="126">
        <v>1</v>
      </c>
      <c r="G201" s="126">
        <v>1</v>
      </c>
      <c r="H201" s="126">
        <v>1</v>
      </c>
      <c r="I201" s="126">
        <v>1</v>
      </c>
      <c r="J201" s="126">
        <v>182</v>
      </c>
      <c r="P201" s="126">
        <v>44</v>
      </c>
      <c r="R201" s="126" t="s">
        <v>549</v>
      </c>
      <c r="S201" s="259">
        <v>0</v>
      </c>
      <c r="T201" s="259">
        <v>2.5</v>
      </c>
      <c r="U201" s="68" t="s">
        <v>893</v>
      </c>
      <c r="V201" s="126">
        <v>1</v>
      </c>
      <c r="Z201" s="126">
        <v>1</v>
      </c>
      <c r="AA201" s="126">
        <v>1</v>
      </c>
      <c r="AB201" s="126">
        <v>1</v>
      </c>
      <c r="AC201" s="126">
        <v>6</v>
      </c>
      <c r="AD201" s="126">
        <v>2026</v>
      </c>
    </row>
    <row r="202" spans="3:30">
      <c r="C202" s="126">
        <v>195</v>
      </c>
      <c r="D202" s="126">
        <v>16</v>
      </c>
      <c r="E202" s="126">
        <v>3</v>
      </c>
      <c r="F202" s="126">
        <v>1</v>
      </c>
      <c r="G202" s="126">
        <v>1</v>
      </c>
      <c r="H202" s="126">
        <v>1</v>
      </c>
      <c r="I202" s="126">
        <v>1</v>
      </c>
      <c r="J202" s="126">
        <v>160</v>
      </c>
      <c r="M202" s="126">
        <v>85</v>
      </c>
      <c r="N202" s="126">
        <v>0</v>
      </c>
      <c r="P202" s="126">
        <v>45</v>
      </c>
      <c r="R202" s="126" t="s">
        <v>549</v>
      </c>
      <c r="S202" s="259">
        <v>0</v>
      </c>
      <c r="T202" s="259">
        <v>23.5</v>
      </c>
      <c r="U202" s="68" t="s">
        <v>894</v>
      </c>
      <c r="V202" s="126">
        <v>1</v>
      </c>
      <c r="Z202" s="126">
        <v>1</v>
      </c>
      <c r="AA202" s="126">
        <v>1</v>
      </c>
      <c r="AB202" s="126">
        <v>1</v>
      </c>
      <c r="AC202" s="126">
        <v>6</v>
      </c>
      <c r="AD202" s="126">
        <v>2026</v>
      </c>
    </row>
    <row r="203" spans="3:30">
      <c r="C203" s="126">
        <v>196</v>
      </c>
      <c r="D203" s="126">
        <v>16</v>
      </c>
      <c r="E203" s="126">
        <v>11</v>
      </c>
      <c r="F203" s="126">
        <v>1</v>
      </c>
      <c r="G203" s="126">
        <v>1</v>
      </c>
      <c r="H203" s="126">
        <v>1</v>
      </c>
      <c r="I203" s="126">
        <v>1</v>
      </c>
      <c r="J203" s="126">
        <v>160</v>
      </c>
      <c r="M203" s="126">
        <v>85</v>
      </c>
      <c r="N203" s="126">
        <v>1</v>
      </c>
      <c r="P203" s="126">
        <v>45</v>
      </c>
      <c r="R203" s="126" t="s">
        <v>549</v>
      </c>
      <c r="S203" s="259">
        <v>23.5</v>
      </c>
      <c r="T203" s="259">
        <v>0</v>
      </c>
      <c r="U203" s="68" t="s">
        <v>895</v>
      </c>
      <c r="V203" s="126">
        <v>1</v>
      </c>
      <c r="Z203" s="126">
        <v>1</v>
      </c>
      <c r="AA203" s="126">
        <v>1</v>
      </c>
      <c r="AB203" s="126">
        <v>1</v>
      </c>
      <c r="AC203" s="126">
        <v>6</v>
      </c>
      <c r="AD203" s="126">
        <v>2026</v>
      </c>
    </row>
    <row r="204" spans="3:30">
      <c r="C204" s="126">
        <v>197</v>
      </c>
      <c r="D204" s="126">
        <v>16</v>
      </c>
      <c r="E204" s="126">
        <v>10</v>
      </c>
      <c r="F204" s="126">
        <v>1</v>
      </c>
      <c r="G204" s="126">
        <v>1</v>
      </c>
      <c r="H204" s="126">
        <v>1</v>
      </c>
      <c r="I204" s="126">
        <v>1</v>
      </c>
      <c r="J204" s="126">
        <v>160</v>
      </c>
      <c r="P204" s="126">
        <v>45</v>
      </c>
      <c r="R204" s="126" t="s">
        <v>549</v>
      </c>
      <c r="S204" s="259">
        <v>0</v>
      </c>
      <c r="T204" s="259">
        <v>24</v>
      </c>
      <c r="U204" s="68" t="s">
        <v>896</v>
      </c>
      <c r="V204" s="126">
        <v>1</v>
      </c>
      <c r="Z204" s="126">
        <v>1</v>
      </c>
      <c r="AA204" s="126">
        <v>1</v>
      </c>
      <c r="AB204" s="126">
        <v>1</v>
      </c>
      <c r="AC204" s="126">
        <v>6</v>
      </c>
      <c r="AD204" s="126">
        <v>2026</v>
      </c>
    </row>
    <row r="205" spans="3:30">
      <c r="C205" s="126">
        <v>198</v>
      </c>
      <c r="D205" s="126">
        <v>16</v>
      </c>
      <c r="E205" s="126">
        <v>3</v>
      </c>
      <c r="F205" s="126">
        <v>1</v>
      </c>
      <c r="G205" s="126">
        <v>1</v>
      </c>
      <c r="H205" s="126">
        <v>1</v>
      </c>
      <c r="I205" s="126">
        <v>1</v>
      </c>
      <c r="J205" s="126">
        <v>46</v>
      </c>
      <c r="M205" s="126">
        <v>86</v>
      </c>
      <c r="N205" s="126">
        <v>0</v>
      </c>
      <c r="P205" s="126">
        <v>46</v>
      </c>
      <c r="R205" s="126" t="s">
        <v>549</v>
      </c>
      <c r="S205" s="259">
        <v>0</v>
      </c>
      <c r="T205" s="259">
        <v>0.15</v>
      </c>
      <c r="U205" s="68" t="s">
        <v>897</v>
      </c>
      <c r="V205" s="126">
        <v>1</v>
      </c>
      <c r="Z205" s="126">
        <v>1</v>
      </c>
      <c r="AA205" s="126">
        <v>1</v>
      </c>
      <c r="AB205" s="126">
        <v>1</v>
      </c>
      <c r="AC205" s="126">
        <v>6</v>
      </c>
      <c r="AD205" s="126">
        <v>2026</v>
      </c>
    </row>
    <row r="206" spans="3:30">
      <c r="C206" s="126">
        <v>199</v>
      </c>
      <c r="D206" s="126">
        <v>16</v>
      </c>
      <c r="E206" s="126">
        <v>11</v>
      </c>
      <c r="F206" s="126">
        <v>1</v>
      </c>
      <c r="G206" s="126">
        <v>1</v>
      </c>
      <c r="H206" s="126">
        <v>1</v>
      </c>
      <c r="I206" s="126">
        <v>1</v>
      </c>
      <c r="J206" s="126">
        <v>46</v>
      </c>
      <c r="M206" s="126">
        <v>86</v>
      </c>
      <c r="N206" s="126">
        <v>1</v>
      </c>
      <c r="P206" s="126">
        <v>46</v>
      </c>
      <c r="R206" s="126" t="s">
        <v>549</v>
      </c>
      <c r="S206" s="259">
        <v>0.15</v>
      </c>
      <c r="T206" s="259">
        <v>0</v>
      </c>
      <c r="U206" s="68" t="s">
        <v>898</v>
      </c>
      <c r="V206" s="126">
        <v>1</v>
      </c>
      <c r="Z206" s="126">
        <v>1</v>
      </c>
      <c r="AA206" s="126">
        <v>1</v>
      </c>
      <c r="AB206" s="126">
        <v>1</v>
      </c>
      <c r="AC206" s="126">
        <v>6</v>
      </c>
      <c r="AD206" s="126">
        <v>2026</v>
      </c>
    </row>
    <row r="207" spans="3:30">
      <c r="C207" s="126">
        <v>200</v>
      </c>
      <c r="D207" s="126">
        <v>16</v>
      </c>
      <c r="E207" s="126">
        <v>10</v>
      </c>
      <c r="F207" s="126">
        <v>1</v>
      </c>
      <c r="G207" s="126">
        <v>1</v>
      </c>
      <c r="H207" s="126">
        <v>1</v>
      </c>
      <c r="I207" s="126">
        <v>1</v>
      </c>
      <c r="J207" s="126">
        <v>46</v>
      </c>
      <c r="P207" s="126">
        <v>46</v>
      </c>
      <c r="R207" s="126" t="s">
        <v>549</v>
      </c>
      <c r="S207" s="259">
        <v>0</v>
      </c>
      <c r="T207" s="259">
        <v>0.38</v>
      </c>
      <c r="U207" s="68" t="s">
        <v>899</v>
      </c>
      <c r="V207" s="126">
        <v>1</v>
      </c>
      <c r="Z207" s="126">
        <v>1</v>
      </c>
      <c r="AA207" s="126">
        <v>1</v>
      </c>
      <c r="AB207" s="126">
        <v>1</v>
      </c>
      <c r="AC207" s="126">
        <v>6</v>
      </c>
      <c r="AD207" s="126">
        <v>2026</v>
      </c>
    </row>
    <row r="208" spans="3:30">
      <c r="C208" s="126">
        <v>201</v>
      </c>
      <c r="D208" s="126">
        <v>16</v>
      </c>
      <c r="E208" s="126">
        <v>3</v>
      </c>
      <c r="F208" s="126">
        <v>1</v>
      </c>
      <c r="G208" s="126">
        <v>1</v>
      </c>
      <c r="H208" s="126">
        <v>1</v>
      </c>
      <c r="I208" s="126">
        <v>1</v>
      </c>
      <c r="J208" s="126">
        <v>97</v>
      </c>
      <c r="M208" s="126">
        <v>87</v>
      </c>
      <c r="N208" s="126">
        <v>0</v>
      </c>
      <c r="P208" s="126">
        <v>47</v>
      </c>
      <c r="R208" s="126" t="s">
        <v>549</v>
      </c>
      <c r="S208" s="259">
        <v>0</v>
      </c>
      <c r="T208" s="259">
        <v>0.6</v>
      </c>
      <c r="U208" s="68" t="s">
        <v>900</v>
      </c>
      <c r="V208" s="126">
        <v>1</v>
      </c>
      <c r="Z208" s="126">
        <v>1</v>
      </c>
      <c r="AA208" s="126">
        <v>1</v>
      </c>
      <c r="AB208" s="126">
        <v>1</v>
      </c>
      <c r="AC208" s="126">
        <v>6</v>
      </c>
      <c r="AD208" s="126">
        <v>2026</v>
      </c>
    </row>
    <row r="209" spans="3:30">
      <c r="C209" s="126">
        <v>202</v>
      </c>
      <c r="D209" s="126">
        <v>16</v>
      </c>
      <c r="E209" s="126">
        <v>11</v>
      </c>
      <c r="F209" s="126">
        <v>1</v>
      </c>
      <c r="G209" s="126">
        <v>1</v>
      </c>
      <c r="H209" s="126">
        <v>1</v>
      </c>
      <c r="I209" s="126">
        <v>1</v>
      </c>
      <c r="J209" s="126">
        <v>97</v>
      </c>
      <c r="M209" s="126">
        <v>87</v>
      </c>
      <c r="N209" s="126">
        <v>1</v>
      </c>
      <c r="P209" s="126">
        <v>47</v>
      </c>
      <c r="R209" s="126" t="s">
        <v>549</v>
      </c>
      <c r="S209" s="259">
        <v>0.6</v>
      </c>
      <c r="T209" s="259">
        <v>0</v>
      </c>
      <c r="U209" s="68" t="s">
        <v>901</v>
      </c>
      <c r="V209" s="126">
        <v>1</v>
      </c>
      <c r="Z209" s="126">
        <v>1</v>
      </c>
      <c r="AA209" s="126">
        <v>1</v>
      </c>
      <c r="AB209" s="126">
        <v>1</v>
      </c>
      <c r="AC209" s="126">
        <v>6</v>
      </c>
      <c r="AD209" s="126">
        <v>2026</v>
      </c>
    </row>
    <row r="210" spans="3:30">
      <c r="C210" s="126">
        <v>203</v>
      </c>
      <c r="D210" s="126">
        <v>16</v>
      </c>
      <c r="E210" s="126">
        <v>10</v>
      </c>
      <c r="F210" s="126">
        <v>1</v>
      </c>
      <c r="G210" s="126">
        <v>1</v>
      </c>
      <c r="H210" s="126">
        <v>1</v>
      </c>
      <c r="I210" s="126">
        <v>1</v>
      </c>
      <c r="J210" s="126">
        <v>97</v>
      </c>
      <c r="P210" s="126">
        <v>47</v>
      </c>
      <c r="R210" s="126" t="s">
        <v>549</v>
      </c>
      <c r="S210" s="259">
        <v>0</v>
      </c>
      <c r="T210" s="259">
        <v>1</v>
      </c>
      <c r="U210" s="68" t="s">
        <v>902</v>
      </c>
      <c r="V210" s="126">
        <v>1</v>
      </c>
      <c r="Z210" s="126">
        <v>1</v>
      </c>
      <c r="AA210" s="126">
        <v>1</v>
      </c>
      <c r="AB210" s="126">
        <v>1</v>
      </c>
      <c r="AC210" s="126">
        <v>6</v>
      </c>
      <c r="AD210" s="126">
        <v>2026</v>
      </c>
    </row>
    <row r="211" spans="3:30">
      <c r="C211" s="126">
        <v>204</v>
      </c>
      <c r="D211" s="126">
        <v>16</v>
      </c>
      <c r="E211" s="126">
        <v>3</v>
      </c>
      <c r="F211" s="126">
        <v>1</v>
      </c>
      <c r="G211" s="126">
        <v>1</v>
      </c>
      <c r="H211" s="126">
        <v>1</v>
      </c>
      <c r="I211" s="126">
        <v>1</v>
      </c>
      <c r="J211" s="126">
        <v>96</v>
      </c>
      <c r="M211" s="126">
        <v>88</v>
      </c>
      <c r="N211" s="126">
        <v>0</v>
      </c>
      <c r="P211" s="126">
        <v>48</v>
      </c>
      <c r="R211" s="126" t="s">
        <v>549</v>
      </c>
      <c r="S211" s="259">
        <v>0</v>
      </c>
      <c r="T211" s="259">
        <v>4.0500000000000007</v>
      </c>
      <c r="U211" s="68" t="s">
        <v>903</v>
      </c>
      <c r="V211" s="126">
        <v>1</v>
      </c>
      <c r="Z211" s="126">
        <v>1</v>
      </c>
      <c r="AA211" s="126">
        <v>1</v>
      </c>
      <c r="AB211" s="126">
        <v>1</v>
      </c>
      <c r="AC211" s="126">
        <v>6</v>
      </c>
      <c r="AD211" s="126">
        <v>2026</v>
      </c>
    </row>
    <row r="212" spans="3:30">
      <c r="C212" s="126">
        <v>205</v>
      </c>
      <c r="D212" s="126">
        <v>16</v>
      </c>
      <c r="E212" s="126">
        <v>11</v>
      </c>
      <c r="F212" s="126">
        <v>1</v>
      </c>
      <c r="G212" s="126">
        <v>1</v>
      </c>
      <c r="H212" s="126">
        <v>1</v>
      </c>
      <c r="I212" s="126">
        <v>1</v>
      </c>
      <c r="J212" s="126">
        <v>96</v>
      </c>
      <c r="M212" s="126">
        <v>88</v>
      </c>
      <c r="N212" s="126">
        <v>1</v>
      </c>
      <c r="P212" s="126">
        <v>48</v>
      </c>
      <c r="R212" s="126" t="s">
        <v>549</v>
      </c>
      <c r="S212" s="259">
        <v>4.0500000000000007</v>
      </c>
      <c r="T212" s="259">
        <v>0</v>
      </c>
      <c r="U212" s="68" t="s">
        <v>904</v>
      </c>
      <c r="V212" s="126">
        <v>1</v>
      </c>
      <c r="Z212" s="126">
        <v>1</v>
      </c>
      <c r="AA212" s="126">
        <v>1</v>
      </c>
      <c r="AB212" s="126">
        <v>1</v>
      </c>
      <c r="AC212" s="126">
        <v>6</v>
      </c>
      <c r="AD212" s="126">
        <v>2026</v>
      </c>
    </row>
    <row r="213" spans="3:30">
      <c r="C213" s="126">
        <v>206</v>
      </c>
      <c r="D213" s="126">
        <v>16</v>
      </c>
      <c r="E213" s="126">
        <v>10</v>
      </c>
      <c r="F213" s="126">
        <v>1</v>
      </c>
      <c r="G213" s="126">
        <v>1</v>
      </c>
      <c r="H213" s="126">
        <v>1</v>
      </c>
      <c r="I213" s="126">
        <v>1</v>
      </c>
      <c r="J213" s="126">
        <v>96</v>
      </c>
      <c r="P213" s="126">
        <v>48</v>
      </c>
      <c r="R213" s="126" t="s">
        <v>549</v>
      </c>
      <c r="S213" s="259">
        <v>0</v>
      </c>
      <c r="T213" s="259">
        <v>5.7</v>
      </c>
      <c r="U213" s="68" t="s">
        <v>905</v>
      </c>
      <c r="V213" s="126">
        <v>1</v>
      </c>
      <c r="Z213" s="126">
        <v>1</v>
      </c>
      <c r="AA213" s="126">
        <v>1</v>
      </c>
      <c r="AB213" s="126">
        <v>1</v>
      </c>
      <c r="AC213" s="126">
        <v>6</v>
      </c>
      <c r="AD213" s="126">
        <v>2026</v>
      </c>
    </row>
    <row r="214" spans="3:30">
      <c r="C214" s="126">
        <v>207</v>
      </c>
      <c r="D214" s="126">
        <v>16</v>
      </c>
      <c r="E214" s="126">
        <v>3</v>
      </c>
      <c r="F214" s="126">
        <v>1</v>
      </c>
      <c r="G214" s="126">
        <v>1</v>
      </c>
      <c r="H214" s="126">
        <v>1</v>
      </c>
      <c r="I214" s="126">
        <v>1</v>
      </c>
      <c r="J214" s="126">
        <v>70</v>
      </c>
      <c r="M214" s="126">
        <v>89</v>
      </c>
      <c r="N214" s="126">
        <v>0</v>
      </c>
      <c r="P214" s="126">
        <v>49</v>
      </c>
      <c r="R214" s="126" t="s">
        <v>549</v>
      </c>
      <c r="S214" s="259">
        <v>0</v>
      </c>
      <c r="T214" s="259">
        <v>0.15</v>
      </c>
      <c r="U214" s="68" t="s">
        <v>908</v>
      </c>
      <c r="V214" s="126">
        <v>1</v>
      </c>
      <c r="Z214" s="126">
        <v>1</v>
      </c>
      <c r="AA214" s="126">
        <v>1</v>
      </c>
      <c r="AB214" s="126">
        <v>1</v>
      </c>
      <c r="AC214" s="126">
        <v>6</v>
      </c>
      <c r="AD214" s="126">
        <v>2026</v>
      </c>
    </row>
    <row r="215" spans="3:30">
      <c r="C215" s="126">
        <v>208</v>
      </c>
      <c r="D215" s="126">
        <v>16</v>
      </c>
      <c r="E215" s="126">
        <v>11</v>
      </c>
      <c r="F215" s="126">
        <v>1</v>
      </c>
      <c r="G215" s="126">
        <v>1</v>
      </c>
      <c r="H215" s="126">
        <v>1</v>
      </c>
      <c r="I215" s="126">
        <v>1</v>
      </c>
      <c r="J215" s="126">
        <v>70</v>
      </c>
      <c r="M215" s="126">
        <v>89</v>
      </c>
      <c r="N215" s="126">
        <v>1</v>
      </c>
      <c r="P215" s="126">
        <v>49</v>
      </c>
      <c r="R215" s="126" t="s">
        <v>549</v>
      </c>
      <c r="S215" s="259">
        <v>0.15</v>
      </c>
      <c r="T215" s="259">
        <v>0</v>
      </c>
      <c r="U215" s="68" t="s">
        <v>909</v>
      </c>
      <c r="V215" s="126">
        <v>1</v>
      </c>
      <c r="Z215" s="126">
        <v>1</v>
      </c>
      <c r="AA215" s="126">
        <v>1</v>
      </c>
      <c r="AB215" s="126">
        <v>1</v>
      </c>
      <c r="AC215" s="126">
        <v>6</v>
      </c>
      <c r="AD215" s="126">
        <v>2026</v>
      </c>
    </row>
    <row r="216" spans="3:30">
      <c r="C216" s="126">
        <v>209</v>
      </c>
      <c r="D216" s="126">
        <v>16</v>
      </c>
      <c r="E216" s="126">
        <v>10</v>
      </c>
      <c r="F216" s="126">
        <v>1</v>
      </c>
      <c r="G216" s="126">
        <v>1</v>
      </c>
      <c r="H216" s="126">
        <v>1</v>
      </c>
      <c r="I216" s="126">
        <v>1</v>
      </c>
      <c r="J216" s="126">
        <v>70</v>
      </c>
      <c r="P216" s="126">
        <v>49</v>
      </c>
      <c r="R216" s="126" t="s">
        <v>549</v>
      </c>
      <c r="S216" s="259">
        <v>0</v>
      </c>
      <c r="T216" s="259">
        <v>0.25</v>
      </c>
      <c r="U216" s="68" t="s">
        <v>910</v>
      </c>
      <c r="V216" s="126">
        <v>1</v>
      </c>
      <c r="Z216" s="126">
        <v>1</v>
      </c>
      <c r="AA216" s="126">
        <v>1</v>
      </c>
      <c r="AB216" s="126">
        <v>1</v>
      </c>
      <c r="AC216" s="126">
        <v>6</v>
      </c>
      <c r="AD216" s="126">
        <v>2026</v>
      </c>
    </row>
    <row r="217" spans="3:30">
      <c r="C217" s="126">
        <v>210</v>
      </c>
      <c r="D217" s="126">
        <v>17</v>
      </c>
      <c r="E217" s="126">
        <v>2</v>
      </c>
      <c r="F217" s="126">
        <v>1</v>
      </c>
      <c r="G217" s="126">
        <v>1</v>
      </c>
      <c r="H217" s="126">
        <v>1</v>
      </c>
      <c r="I217" s="126">
        <v>1</v>
      </c>
      <c r="R217" s="126" t="s">
        <v>549</v>
      </c>
      <c r="S217" s="259">
        <v>45</v>
      </c>
      <c r="T217" s="259">
        <v>0</v>
      </c>
      <c r="U217" s="68" t="s">
        <v>912</v>
      </c>
      <c r="V217" s="126">
        <v>1</v>
      </c>
      <c r="Z217" s="126">
        <v>1</v>
      </c>
      <c r="AA217" s="126">
        <v>1</v>
      </c>
      <c r="AB217" s="126">
        <v>1</v>
      </c>
      <c r="AC217" s="126">
        <v>6</v>
      </c>
      <c r="AD217" s="126">
        <v>2026</v>
      </c>
    </row>
    <row r="218" spans="3:30">
      <c r="C218" s="126">
        <v>211</v>
      </c>
      <c r="D218" s="126">
        <v>17</v>
      </c>
      <c r="E218" s="126">
        <v>3</v>
      </c>
      <c r="F218" s="126">
        <v>1</v>
      </c>
      <c r="G218" s="126">
        <v>1</v>
      </c>
      <c r="H218" s="126">
        <v>1</v>
      </c>
      <c r="I218" s="126">
        <v>1</v>
      </c>
      <c r="J218" s="126">
        <v>178</v>
      </c>
      <c r="M218" s="126">
        <v>90</v>
      </c>
      <c r="N218" s="126">
        <v>0</v>
      </c>
      <c r="P218" s="126">
        <v>50</v>
      </c>
      <c r="R218" s="126" t="s">
        <v>549</v>
      </c>
      <c r="S218" s="259">
        <v>0</v>
      </c>
      <c r="T218" s="259">
        <v>42.75</v>
      </c>
      <c r="U218" s="68" t="s">
        <v>913</v>
      </c>
      <c r="V218" s="126">
        <v>1</v>
      </c>
      <c r="Z218" s="126">
        <v>1</v>
      </c>
      <c r="AA218" s="126">
        <v>1</v>
      </c>
      <c r="AB218" s="126">
        <v>1</v>
      </c>
      <c r="AC218" s="126">
        <v>6</v>
      </c>
      <c r="AD218" s="126">
        <v>2026</v>
      </c>
    </row>
    <row r="219" spans="3:30">
      <c r="C219" s="126">
        <v>212</v>
      </c>
      <c r="D219" s="126">
        <v>17</v>
      </c>
      <c r="E219" s="126">
        <v>11</v>
      </c>
      <c r="F219" s="126">
        <v>1</v>
      </c>
      <c r="G219" s="126">
        <v>1</v>
      </c>
      <c r="H219" s="126">
        <v>1</v>
      </c>
      <c r="I219" s="126">
        <v>1</v>
      </c>
      <c r="J219" s="126">
        <v>178</v>
      </c>
      <c r="M219" s="126">
        <v>90</v>
      </c>
      <c r="N219" s="126">
        <v>1</v>
      </c>
      <c r="P219" s="126">
        <v>50</v>
      </c>
      <c r="R219" s="126" t="s">
        <v>549</v>
      </c>
      <c r="S219" s="259">
        <v>42.75</v>
      </c>
      <c r="T219" s="259">
        <v>0</v>
      </c>
      <c r="U219" s="68" t="s">
        <v>914</v>
      </c>
      <c r="V219" s="126">
        <v>1</v>
      </c>
      <c r="Z219" s="126">
        <v>1</v>
      </c>
      <c r="AA219" s="126">
        <v>1</v>
      </c>
      <c r="AB219" s="126">
        <v>1</v>
      </c>
      <c r="AC219" s="126">
        <v>6</v>
      </c>
      <c r="AD219" s="126">
        <v>2026</v>
      </c>
    </row>
    <row r="220" spans="3:30">
      <c r="C220" s="126">
        <v>213</v>
      </c>
      <c r="D220" s="126">
        <v>17</v>
      </c>
      <c r="E220" s="126">
        <v>10</v>
      </c>
      <c r="F220" s="126">
        <v>1</v>
      </c>
      <c r="G220" s="126">
        <v>1</v>
      </c>
      <c r="H220" s="126">
        <v>1</v>
      </c>
      <c r="I220" s="126">
        <v>1</v>
      </c>
      <c r="J220" s="126">
        <v>178</v>
      </c>
      <c r="P220" s="126">
        <v>50</v>
      </c>
      <c r="R220" s="126" t="s">
        <v>549</v>
      </c>
      <c r="S220" s="259">
        <v>0</v>
      </c>
      <c r="T220" s="259">
        <v>45</v>
      </c>
      <c r="U220" s="68" t="s">
        <v>915</v>
      </c>
      <c r="V220" s="126">
        <v>1</v>
      </c>
      <c r="Z220" s="126">
        <v>1</v>
      </c>
      <c r="AA220" s="126">
        <v>1</v>
      </c>
      <c r="AB220" s="126">
        <v>1</v>
      </c>
      <c r="AC220" s="126">
        <v>6</v>
      </c>
      <c r="AD220" s="126">
        <v>2026</v>
      </c>
    </row>
    <row r="221" spans="3:30">
      <c r="C221" s="126">
        <v>214</v>
      </c>
      <c r="D221" s="126">
        <v>18</v>
      </c>
      <c r="E221" s="126">
        <v>2</v>
      </c>
      <c r="F221" s="126">
        <v>1</v>
      </c>
      <c r="G221" s="126">
        <v>1</v>
      </c>
      <c r="H221" s="126">
        <v>1</v>
      </c>
      <c r="I221" s="126">
        <v>1</v>
      </c>
      <c r="R221" s="126" t="s">
        <v>549</v>
      </c>
      <c r="S221" s="259">
        <v>44.25</v>
      </c>
      <c r="T221" s="259">
        <v>0</v>
      </c>
      <c r="U221" s="68" t="s">
        <v>917</v>
      </c>
      <c r="V221" s="126">
        <v>1</v>
      </c>
      <c r="Z221" s="126">
        <v>1</v>
      </c>
      <c r="AA221" s="126">
        <v>1</v>
      </c>
      <c r="AB221" s="126">
        <v>1</v>
      </c>
      <c r="AC221" s="126">
        <v>6</v>
      </c>
      <c r="AD221" s="126">
        <v>2026</v>
      </c>
    </row>
    <row r="222" spans="3:30">
      <c r="C222" s="126">
        <v>215</v>
      </c>
      <c r="D222" s="126">
        <v>18</v>
      </c>
      <c r="E222" s="126">
        <v>3</v>
      </c>
      <c r="F222" s="126">
        <v>1</v>
      </c>
      <c r="G222" s="126">
        <v>1</v>
      </c>
      <c r="H222" s="126">
        <v>1</v>
      </c>
      <c r="I222" s="126">
        <v>1</v>
      </c>
      <c r="J222" s="126">
        <v>177</v>
      </c>
      <c r="M222" s="126">
        <v>91</v>
      </c>
      <c r="N222" s="126">
        <v>0</v>
      </c>
      <c r="P222" s="126">
        <v>51</v>
      </c>
      <c r="R222" s="126" t="s">
        <v>549</v>
      </c>
      <c r="S222" s="259">
        <v>0</v>
      </c>
      <c r="T222" s="259">
        <v>12.450000000000001</v>
      </c>
      <c r="U222" s="68" t="s">
        <v>918</v>
      </c>
      <c r="V222" s="126">
        <v>1</v>
      </c>
      <c r="Z222" s="126">
        <v>1</v>
      </c>
      <c r="AA222" s="126">
        <v>1</v>
      </c>
      <c r="AB222" s="126">
        <v>1</v>
      </c>
      <c r="AC222" s="126">
        <v>6</v>
      </c>
      <c r="AD222" s="126">
        <v>2026</v>
      </c>
    </row>
    <row r="223" spans="3:30">
      <c r="C223" s="126">
        <v>216</v>
      </c>
      <c r="D223" s="126">
        <v>18</v>
      </c>
      <c r="E223" s="126">
        <v>11</v>
      </c>
      <c r="F223" s="126">
        <v>1</v>
      </c>
      <c r="G223" s="126">
        <v>1</v>
      </c>
      <c r="H223" s="126">
        <v>1</v>
      </c>
      <c r="I223" s="126">
        <v>1</v>
      </c>
      <c r="J223" s="126">
        <v>177</v>
      </c>
      <c r="M223" s="126">
        <v>91</v>
      </c>
      <c r="N223" s="126">
        <v>1</v>
      </c>
      <c r="P223" s="126">
        <v>51</v>
      </c>
      <c r="R223" s="126" t="s">
        <v>549</v>
      </c>
      <c r="S223" s="259">
        <v>12.450000000000001</v>
      </c>
      <c r="T223" s="259">
        <v>0</v>
      </c>
      <c r="U223" s="68" t="s">
        <v>919</v>
      </c>
      <c r="V223" s="126">
        <v>1</v>
      </c>
      <c r="Z223" s="126">
        <v>1</v>
      </c>
      <c r="AA223" s="126">
        <v>1</v>
      </c>
      <c r="AB223" s="126">
        <v>1</v>
      </c>
      <c r="AC223" s="126">
        <v>6</v>
      </c>
      <c r="AD223" s="126">
        <v>2026</v>
      </c>
    </row>
    <row r="224" spans="3:30">
      <c r="C224" s="126">
        <v>217</v>
      </c>
      <c r="D224" s="126">
        <v>18</v>
      </c>
      <c r="E224" s="126">
        <v>10</v>
      </c>
      <c r="F224" s="126">
        <v>1</v>
      </c>
      <c r="G224" s="126">
        <v>1</v>
      </c>
      <c r="H224" s="126">
        <v>1</v>
      </c>
      <c r="I224" s="126">
        <v>1</v>
      </c>
      <c r="J224" s="126">
        <v>177</v>
      </c>
      <c r="P224" s="126">
        <v>51</v>
      </c>
      <c r="R224" s="126" t="s">
        <v>549</v>
      </c>
      <c r="S224" s="259">
        <v>0</v>
      </c>
      <c r="T224" s="259">
        <v>14.25</v>
      </c>
      <c r="U224" s="68" t="s">
        <v>920</v>
      </c>
      <c r="V224" s="126">
        <v>1</v>
      </c>
      <c r="Z224" s="126">
        <v>1</v>
      </c>
      <c r="AA224" s="126">
        <v>1</v>
      </c>
      <c r="AB224" s="126">
        <v>1</v>
      </c>
      <c r="AC224" s="126">
        <v>6</v>
      </c>
      <c r="AD224" s="126">
        <v>2026</v>
      </c>
    </row>
    <row r="225" spans="3:30">
      <c r="C225" s="126">
        <v>218</v>
      </c>
      <c r="D225" s="126">
        <v>18</v>
      </c>
      <c r="E225" s="126">
        <v>3</v>
      </c>
      <c r="F225" s="126">
        <v>1</v>
      </c>
      <c r="G225" s="126">
        <v>1</v>
      </c>
      <c r="H225" s="126">
        <v>1</v>
      </c>
      <c r="I225" s="126">
        <v>1</v>
      </c>
      <c r="J225" s="126">
        <v>179</v>
      </c>
      <c r="M225" s="126">
        <v>92</v>
      </c>
      <c r="N225" s="126">
        <v>0</v>
      </c>
      <c r="P225" s="126">
        <v>52</v>
      </c>
      <c r="R225" s="126" t="s">
        <v>549</v>
      </c>
      <c r="S225" s="259">
        <v>0</v>
      </c>
      <c r="T225" s="259">
        <v>28.5</v>
      </c>
      <c r="U225" s="68" t="s">
        <v>921</v>
      </c>
      <c r="V225" s="126">
        <v>1</v>
      </c>
      <c r="Z225" s="126">
        <v>1</v>
      </c>
      <c r="AA225" s="126">
        <v>1</v>
      </c>
      <c r="AB225" s="126">
        <v>1</v>
      </c>
      <c r="AC225" s="126">
        <v>6</v>
      </c>
      <c r="AD225" s="126">
        <v>2026</v>
      </c>
    </row>
    <row r="226" spans="3:30">
      <c r="C226" s="126">
        <v>219</v>
      </c>
      <c r="D226" s="126">
        <v>18</v>
      </c>
      <c r="E226" s="126">
        <v>11</v>
      </c>
      <c r="F226" s="126">
        <v>1</v>
      </c>
      <c r="G226" s="126">
        <v>1</v>
      </c>
      <c r="H226" s="126">
        <v>1</v>
      </c>
      <c r="I226" s="126">
        <v>1</v>
      </c>
      <c r="J226" s="126">
        <v>179</v>
      </c>
      <c r="M226" s="126">
        <v>92</v>
      </c>
      <c r="N226" s="126">
        <v>1</v>
      </c>
      <c r="P226" s="126">
        <v>52</v>
      </c>
      <c r="R226" s="126" t="s">
        <v>549</v>
      </c>
      <c r="S226" s="259">
        <v>28.5</v>
      </c>
      <c r="T226" s="259">
        <v>0</v>
      </c>
      <c r="U226" s="68" t="s">
        <v>922</v>
      </c>
      <c r="V226" s="126">
        <v>1</v>
      </c>
      <c r="Z226" s="126">
        <v>1</v>
      </c>
      <c r="AA226" s="126">
        <v>1</v>
      </c>
      <c r="AB226" s="126">
        <v>1</v>
      </c>
      <c r="AC226" s="126">
        <v>6</v>
      </c>
      <c r="AD226" s="126">
        <v>2026</v>
      </c>
    </row>
    <row r="227" spans="3:30">
      <c r="C227" s="126">
        <v>220</v>
      </c>
      <c r="D227" s="126">
        <v>18</v>
      </c>
      <c r="E227" s="126">
        <v>10</v>
      </c>
      <c r="F227" s="126">
        <v>1</v>
      </c>
      <c r="G227" s="126">
        <v>1</v>
      </c>
      <c r="H227" s="126">
        <v>1</v>
      </c>
      <c r="I227" s="126">
        <v>1</v>
      </c>
      <c r="J227" s="126">
        <v>179</v>
      </c>
      <c r="P227" s="126">
        <v>52</v>
      </c>
      <c r="R227" s="126" t="s">
        <v>549</v>
      </c>
      <c r="S227" s="259">
        <v>0</v>
      </c>
      <c r="T227" s="259">
        <v>30</v>
      </c>
      <c r="U227" s="68" t="s">
        <v>923</v>
      </c>
      <c r="V227" s="126">
        <v>1</v>
      </c>
      <c r="Z227" s="126">
        <v>1</v>
      </c>
      <c r="AA227" s="126">
        <v>1</v>
      </c>
      <c r="AB227" s="126">
        <v>1</v>
      </c>
      <c r="AC227" s="126">
        <v>6</v>
      </c>
      <c r="AD227" s="126">
        <v>2026</v>
      </c>
    </row>
    <row r="228" spans="3:30">
      <c r="C228" s="126">
        <v>221</v>
      </c>
      <c r="D228" s="126">
        <v>19</v>
      </c>
      <c r="E228" s="126">
        <v>2</v>
      </c>
      <c r="F228" s="126">
        <v>1</v>
      </c>
      <c r="G228" s="126">
        <v>1</v>
      </c>
      <c r="H228" s="126">
        <v>1</v>
      </c>
      <c r="I228" s="126">
        <v>1</v>
      </c>
      <c r="R228" s="126" t="s">
        <v>549</v>
      </c>
      <c r="S228" s="259">
        <v>75.55</v>
      </c>
      <c r="T228" s="259">
        <v>0</v>
      </c>
      <c r="U228" s="68" t="s">
        <v>926</v>
      </c>
      <c r="V228" s="126">
        <v>1</v>
      </c>
      <c r="Z228" s="126">
        <v>1</v>
      </c>
      <c r="AA228" s="126">
        <v>1</v>
      </c>
      <c r="AB228" s="126">
        <v>1</v>
      </c>
      <c r="AC228" s="126">
        <v>6</v>
      </c>
      <c r="AD228" s="126">
        <v>2026</v>
      </c>
    </row>
    <row r="229" spans="3:30">
      <c r="C229" s="126">
        <v>222</v>
      </c>
      <c r="D229" s="126">
        <v>19</v>
      </c>
      <c r="E229" s="126">
        <v>3</v>
      </c>
      <c r="F229" s="126">
        <v>1</v>
      </c>
      <c r="G229" s="126">
        <v>1</v>
      </c>
      <c r="H229" s="126">
        <v>1</v>
      </c>
      <c r="I229" s="126">
        <v>1</v>
      </c>
      <c r="J229" s="126">
        <v>178</v>
      </c>
      <c r="M229" s="126">
        <v>93</v>
      </c>
      <c r="N229" s="126">
        <v>0</v>
      </c>
      <c r="P229" s="126">
        <v>53</v>
      </c>
      <c r="R229" s="126" t="s">
        <v>549</v>
      </c>
      <c r="S229" s="259">
        <v>0</v>
      </c>
      <c r="T229" s="259">
        <v>23.75</v>
      </c>
      <c r="U229" s="68" t="s">
        <v>927</v>
      </c>
      <c r="V229" s="126">
        <v>1</v>
      </c>
      <c r="Z229" s="126">
        <v>1</v>
      </c>
      <c r="AA229" s="126">
        <v>1</v>
      </c>
      <c r="AB229" s="126">
        <v>1</v>
      </c>
      <c r="AC229" s="126">
        <v>6</v>
      </c>
      <c r="AD229" s="126">
        <v>2026</v>
      </c>
    </row>
    <row r="230" spans="3:30">
      <c r="C230" s="126">
        <v>223</v>
      </c>
      <c r="D230" s="126">
        <v>19</v>
      </c>
      <c r="E230" s="126">
        <v>11</v>
      </c>
      <c r="F230" s="126">
        <v>1</v>
      </c>
      <c r="G230" s="126">
        <v>1</v>
      </c>
      <c r="H230" s="126">
        <v>1</v>
      </c>
      <c r="I230" s="126">
        <v>1</v>
      </c>
      <c r="J230" s="126">
        <v>178</v>
      </c>
      <c r="M230" s="126">
        <v>93</v>
      </c>
      <c r="N230" s="126">
        <v>1</v>
      </c>
      <c r="P230" s="126">
        <v>53</v>
      </c>
      <c r="R230" s="126" t="s">
        <v>549</v>
      </c>
      <c r="S230" s="259">
        <v>23.75</v>
      </c>
      <c r="T230" s="259">
        <v>0</v>
      </c>
      <c r="U230" s="68" t="s">
        <v>928</v>
      </c>
      <c r="V230" s="126">
        <v>1</v>
      </c>
      <c r="Z230" s="126">
        <v>1</v>
      </c>
      <c r="AA230" s="126">
        <v>1</v>
      </c>
      <c r="AB230" s="126">
        <v>1</v>
      </c>
      <c r="AC230" s="126">
        <v>6</v>
      </c>
      <c r="AD230" s="126">
        <v>2026</v>
      </c>
    </row>
    <row r="231" spans="3:30">
      <c r="C231" s="126">
        <v>224</v>
      </c>
      <c r="D231" s="126">
        <v>19</v>
      </c>
      <c r="E231" s="126">
        <v>10</v>
      </c>
      <c r="F231" s="126">
        <v>1</v>
      </c>
      <c r="G231" s="126">
        <v>1</v>
      </c>
      <c r="H231" s="126">
        <v>1</v>
      </c>
      <c r="I231" s="126">
        <v>1</v>
      </c>
      <c r="J231" s="126">
        <v>178</v>
      </c>
      <c r="P231" s="126">
        <v>53</v>
      </c>
      <c r="R231" s="126" t="s">
        <v>549</v>
      </c>
      <c r="S231" s="259">
        <v>0</v>
      </c>
      <c r="T231" s="259">
        <v>23.75</v>
      </c>
      <c r="U231" s="68" t="s">
        <v>929</v>
      </c>
      <c r="V231" s="126">
        <v>1</v>
      </c>
      <c r="Z231" s="126">
        <v>1</v>
      </c>
      <c r="AA231" s="126">
        <v>1</v>
      </c>
      <c r="AB231" s="126">
        <v>1</v>
      </c>
      <c r="AC231" s="126">
        <v>6</v>
      </c>
      <c r="AD231" s="126">
        <v>2026</v>
      </c>
    </row>
    <row r="232" spans="3:30">
      <c r="C232" s="126">
        <v>225</v>
      </c>
      <c r="D232" s="126">
        <v>19</v>
      </c>
      <c r="E232" s="126">
        <v>3</v>
      </c>
      <c r="F232" s="126">
        <v>1</v>
      </c>
      <c r="G232" s="126">
        <v>1</v>
      </c>
      <c r="H232" s="126">
        <v>1</v>
      </c>
      <c r="I232" s="126">
        <v>1</v>
      </c>
      <c r="J232" s="126">
        <v>197</v>
      </c>
      <c r="M232" s="126">
        <v>94</v>
      </c>
      <c r="N232" s="126">
        <v>0</v>
      </c>
      <c r="P232" s="126">
        <v>54</v>
      </c>
      <c r="R232" s="126" t="s">
        <v>549</v>
      </c>
      <c r="S232" s="259">
        <v>0</v>
      </c>
      <c r="T232" s="259">
        <v>25.08</v>
      </c>
      <c r="U232" s="68" t="s">
        <v>930</v>
      </c>
      <c r="V232" s="126">
        <v>1</v>
      </c>
      <c r="Z232" s="126">
        <v>1</v>
      </c>
      <c r="AA232" s="126">
        <v>1</v>
      </c>
      <c r="AB232" s="126">
        <v>1</v>
      </c>
      <c r="AC232" s="126">
        <v>6</v>
      </c>
      <c r="AD232" s="126">
        <v>2026</v>
      </c>
    </row>
    <row r="233" spans="3:30">
      <c r="C233" s="126">
        <v>226</v>
      </c>
      <c r="D233" s="126">
        <v>19</v>
      </c>
      <c r="E233" s="126">
        <v>11</v>
      </c>
      <c r="F233" s="126">
        <v>1</v>
      </c>
      <c r="G233" s="126">
        <v>1</v>
      </c>
      <c r="H233" s="126">
        <v>1</v>
      </c>
      <c r="I233" s="126">
        <v>1</v>
      </c>
      <c r="J233" s="126">
        <v>197</v>
      </c>
      <c r="M233" s="126">
        <v>94</v>
      </c>
      <c r="N233" s="126">
        <v>1</v>
      </c>
      <c r="P233" s="126">
        <v>54</v>
      </c>
      <c r="R233" s="126" t="s">
        <v>549</v>
      </c>
      <c r="S233" s="259">
        <v>25.08</v>
      </c>
      <c r="T233" s="259">
        <v>0</v>
      </c>
      <c r="U233" s="68" t="s">
        <v>931</v>
      </c>
      <c r="V233" s="126">
        <v>1</v>
      </c>
      <c r="Z233" s="126">
        <v>1</v>
      </c>
      <c r="AA233" s="126">
        <v>1</v>
      </c>
      <c r="AB233" s="126">
        <v>1</v>
      </c>
      <c r="AC233" s="126">
        <v>6</v>
      </c>
      <c r="AD233" s="126">
        <v>2026</v>
      </c>
    </row>
    <row r="234" spans="3:30">
      <c r="C234" s="126">
        <v>227</v>
      </c>
      <c r="D234" s="126">
        <v>19</v>
      </c>
      <c r="E234" s="126">
        <v>10</v>
      </c>
      <c r="F234" s="126">
        <v>1</v>
      </c>
      <c r="G234" s="126">
        <v>1</v>
      </c>
      <c r="H234" s="126">
        <v>1</v>
      </c>
      <c r="I234" s="126">
        <v>1</v>
      </c>
      <c r="J234" s="126">
        <v>197</v>
      </c>
      <c r="P234" s="126">
        <v>54</v>
      </c>
      <c r="R234" s="126" t="s">
        <v>549</v>
      </c>
      <c r="S234" s="259">
        <v>0</v>
      </c>
      <c r="T234" s="259">
        <v>24.3</v>
      </c>
      <c r="U234" s="68" t="s">
        <v>932</v>
      </c>
      <c r="V234" s="126">
        <v>1</v>
      </c>
      <c r="Z234" s="126">
        <v>1</v>
      </c>
      <c r="AA234" s="126">
        <v>1</v>
      </c>
      <c r="AB234" s="126">
        <v>1</v>
      </c>
      <c r="AC234" s="126">
        <v>6</v>
      </c>
      <c r="AD234" s="126">
        <v>2026</v>
      </c>
    </row>
    <row r="235" spans="3:30">
      <c r="C235" s="126">
        <v>228</v>
      </c>
      <c r="D235" s="126">
        <v>19</v>
      </c>
      <c r="E235" s="126">
        <v>3</v>
      </c>
      <c r="F235" s="126">
        <v>1</v>
      </c>
      <c r="G235" s="126">
        <v>1</v>
      </c>
      <c r="H235" s="126">
        <v>1</v>
      </c>
      <c r="I235" s="126">
        <v>1</v>
      </c>
      <c r="J235" s="126">
        <v>52</v>
      </c>
      <c r="M235" s="126">
        <v>95</v>
      </c>
      <c r="N235" s="126">
        <v>0</v>
      </c>
      <c r="P235" s="126">
        <v>55</v>
      </c>
      <c r="R235" s="126" t="s">
        <v>549</v>
      </c>
      <c r="S235" s="259">
        <v>0</v>
      </c>
      <c r="T235" s="259">
        <v>21.009999999999998</v>
      </c>
      <c r="U235" s="68" t="s">
        <v>935</v>
      </c>
      <c r="V235" s="126">
        <v>1</v>
      </c>
      <c r="Z235" s="126">
        <v>1</v>
      </c>
      <c r="AA235" s="126">
        <v>1</v>
      </c>
      <c r="AB235" s="126">
        <v>1</v>
      </c>
      <c r="AC235" s="126">
        <v>6</v>
      </c>
      <c r="AD235" s="126">
        <v>2026</v>
      </c>
    </row>
    <row r="236" spans="3:30">
      <c r="C236" s="126">
        <v>229</v>
      </c>
      <c r="D236" s="126">
        <v>19</v>
      </c>
      <c r="E236" s="126">
        <v>11</v>
      </c>
      <c r="F236" s="126">
        <v>1</v>
      </c>
      <c r="G236" s="126">
        <v>1</v>
      </c>
      <c r="H236" s="126">
        <v>1</v>
      </c>
      <c r="I236" s="126">
        <v>1</v>
      </c>
      <c r="J236" s="126">
        <v>52</v>
      </c>
      <c r="M236" s="126">
        <v>95</v>
      </c>
      <c r="N236" s="126">
        <v>1</v>
      </c>
      <c r="P236" s="126">
        <v>55</v>
      </c>
      <c r="R236" s="126" t="s">
        <v>549</v>
      </c>
      <c r="S236" s="259">
        <v>21.009999999999998</v>
      </c>
      <c r="T236" s="259">
        <v>0</v>
      </c>
      <c r="U236" s="68" t="s">
        <v>936</v>
      </c>
      <c r="V236" s="126">
        <v>1</v>
      </c>
      <c r="Z236" s="126">
        <v>1</v>
      </c>
      <c r="AA236" s="126">
        <v>1</v>
      </c>
      <c r="AB236" s="126">
        <v>1</v>
      </c>
      <c r="AC236" s="126">
        <v>6</v>
      </c>
      <c r="AD236" s="126">
        <v>2026</v>
      </c>
    </row>
    <row r="237" spans="3:30">
      <c r="C237" s="126">
        <v>230</v>
      </c>
      <c r="D237" s="126">
        <v>19</v>
      </c>
      <c r="E237" s="126">
        <v>10</v>
      </c>
      <c r="F237" s="126">
        <v>1</v>
      </c>
      <c r="G237" s="126">
        <v>1</v>
      </c>
      <c r="H237" s="126">
        <v>1</v>
      </c>
      <c r="I237" s="126">
        <v>1</v>
      </c>
      <c r="J237" s="126">
        <v>52</v>
      </c>
      <c r="P237" s="126">
        <v>55</v>
      </c>
      <c r="R237" s="126" t="s">
        <v>549</v>
      </c>
      <c r="S237" s="259">
        <v>0</v>
      </c>
      <c r="T237" s="259">
        <v>27.5</v>
      </c>
      <c r="U237" s="68" t="s">
        <v>937</v>
      </c>
      <c r="V237" s="126">
        <v>1</v>
      </c>
      <c r="Z237" s="126">
        <v>1</v>
      </c>
      <c r="AA237" s="126">
        <v>1</v>
      </c>
      <c r="AB237" s="126">
        <v>1</v>
      </c>
      <c r="AC237" s="126">
        <v>6</v>
      </c>
      <c r="AD237" s="126">
        <v>2026</v>
      </c>
    </row>
    <row r="238" spans="3:30">
      <c r="C238" s="126">
        <v>231</v>
      </c>
      <c r="D238" s="126">
        <v>20</v>
      </c>
      <c r="E238" s="126">
        <v>2</v>
      </c>
      <c r="F238" s="126">
        <v>1</v>
      </c>
      <c r="G238" s="126">
        <v>1</v>
      </c>
      <c r="H238" s="126">
        <v>1</v>
      </c>
      <c r="I238" s="126">
        <v>1</v>
      </c>
      <c r="R238" s="126" t="s">
        <v>549</v>
      </c>
      <c r="S238" s="259">
        <v>90</v>
      </c>
      <c r="T238" s="259">
        <v>0</v>
      </c>
      <c r="U238" s="68" t="s">
        <v>939</v>
      </c>
      <c r="V238" s="126">
        <v>1</v>
      </c>
      <c r="Z238" s="126">
        <v>1</v>
      </c>
      <c r="AA238" s="126">
        <v>1</v>
      </c>
      <c r="AB238" s="126">
        <v>1</v>
      </c>
      <c r="AC238" s="126">
        <v>6</v>
      </c>
      <c r="AD238" s="126">
        <v>2026</v>
      </c>
    </row>
    <row r="239" spans="3:30">
      <c r="C239" s="126">
        <v>232</v>
      </c>
      <c r="D239" s="126">
        <v>20</v>
      </c>
      <c r="E239" s="126">
        <v>3</v>
      </c>
      <c r="F239" s="126">
        <v>1</v>
      </c>
      <c r="G239" s="126">
        <v>1</v>
      </c>
      <c r="H239" s="126">
        <v>1</v>
      </c>
      <c r="I239" s="126">
        <v>1</v>
      </c>
      <c r="J239" s="126">
        <v>177</v>
      </c>
      <c r="M239" s="126">
        <v>96</v>
      </c>
      <c r="N239" s="126">
        <v>0</v>
      </c>
      <c r="P239" s="126">
        <v>56</v>
      </c>
      <c r="R239" s="126" t="s">
        <v>549</v>
      </c>
      <c r="S239" s="259">
        <v>0</v>
      </c>
      <c r="T239" s="259">
        <v>83</v>
      </c>
      <c r="U239" s="68" t="s">
        <v>941</v>
      </c>
      <c r="V239" s="126">
        <v>1</v>
      </c>
      <c r="Z239" s="126">
        <v>1</v>
      </c>
      <c r="AA239" s="126">
        <v>1</v>
      </c>
      <c r="AB239" s="126">
        <v>1</v>
      </c>
      <c r="AC239" s="126">
        <v>6</v>
      </c>
      <c r="AD239" s="126">
        <v>2026</v>
      </c>
    </row>
    <row r="240" spans="3:30">
      <c r="C240" s="126">
        <v>233</v>
      </c>
      <c r="D240" s="126">
        <v>20</v>
      </c>
      <c r="E240" s="126">
        <v>11</v>
      </c>
      <c r="F240" s="126">
        <v>1</v>
      </c>
      <c r="G240" s="126">
        <v>1</v>
      </c>
      <c r="H240" s="126">
        <v>1</v>
      </c>
      <c r="I240" s="126">
        <v>1</v>
      </c>
      <c r="J240" s="126">
        <v>177</v>
      </c>
      <c r="M240" s="126">
        <v>96</v>
      </c>
      <c r="N240" s="126">
        <v>1</v>
      </c>
      <c r="P240" s="126">
        <v>56</v>
      </c>
      <c r="R240" s="126" t="s">
        <v>549</v>
      </c>
      <c r="S240" s="259">
        <v>83</v>
      </c>
      <c r="T240" s="259">
        <v>0</v>
      </c>
      <c r="U240" s="68" t="s">
        <v>942</v>
      </c>
      <c r="V240" s="126">
        <v>1</v>
      </c>
      <c r="Z240" s="126">
        <v>1</v>
      </c>
      <c r="AA240" s="126">
        <v>1</v>
      </c>
      <c r="AB240" s="126">
        <v>1</v>
      </c>
      <c r="AC240" s="126">
        <v>6</v>
      </c>
      <c r="AD240" s="126">
        <v>2026</v>
      </c>
    </row>
    <row r="241" spans="3:30">
      <c r="C241" s="126">
        <v>234</v>
      </c>
      <c r="D241" s="126">
        <v>20</v>
      </c>
      <c r="E241" s="126">
        <v>10</v>
      </c>
      <c r="F241" s="126">
        <v>1</v>
      </c>
      <c r="G241" s="126">
        <v>1</v>
      </c>
      <c r="H241" s="126">
        <v>1</v>
      </c>
      <c r="I241" s="126">
        <v>1</v>
      </c>
      <c r="J241" s="126">
        <v>177</v>
      </c>
      <c r="P241" s="126">
        <v>56</v>
      </c>
      <c r="R241" s="126" t="s">
        <v>549</v>
      </c>
      <c r="S241" s="259">
        <v>0</v>
      </c>
      <c r="T241" s="259">
        <v>90</v>
      </c>
      <c r="U241" s="68" t="s">
        <v>943</v>
      </c>
      <c r="V241" s="126">
        <v>1</v>
      </c>
      <c r="Z241" s="126">
        <v>1</v>
      </c>
      <c r="AA241" s="126">
        <v>1</v>
      </c>
      <c r="AB241" s="126">
        <v>1</v>
      </c>
      <c r="AC241" s="126">
        <v>6</v>
      </c>
      <c r="AD241" s="126">
        <v>2026</v>
      </c>
    </row>
    <row r="242" spans="3:30">
      <c r="C242" s="126">
        <v>235</v>
      </c>
      <c r="D242" s="126">
        <v>21</v>
      </c>
      <c r="E242" s="126">
        <v>2</v>
      </c>
      <c r="F242" s="126">
        <v>1</v>
      </c>
      <c r="G242" s="126">
        <v>1</v>
      </c>
      <c r="H242" s="126">
        <v>1</v>
      </c>
      <c r="I242" s="126">
        <v>1</v>
      </c>
      <c r="R242" s="126" t="s">
        <v>549</v>
      </c>
      <c r="S242" s="259">
        <v>44</v>
      </c>
      <c r="T242" s="259">
        <v>0</v>
      </c>
      <c r="U242" s="68" t="s">
        <v>946</v>
      </c>
      <c r="V242" s="126">
        <v>1</v>
      </c>
      <c r="Z242" s="126">
        <v>1</v>
      </c>
      <c r="AA242" s="126">
        <v>1</v>
      </c>
      <c r="AB242" s="126">
        <v>1</v>
      </c>
      <c r="AC242" s="126">
        <v>6</v>
      </c>
      <c r="AD242" s="126">
        <v>2026</v>
      </c>
    </row>
    <row r="243" spans="3:30">
      <c r="C243" s="126">
        <v>236</v>
      </c>
      <c r="D243" s="126">
        <v>21</v>
      </c>
      <c r="E243" s="126">
        <v>3</v>
      </c>
      <c r="F243" s="126">
        <v>1</v>
      </c>
      <c r="G243" s="126">
        <v>1</v>
      </c>
      <c r="H243" s="126">
        <v>1</v>
      </c>
      <c r="I243" s="126">
        <v>1</v>
      </c>
      <c r="J243" s="126">
        <v>177</v>
      </c>
      <c r="M243" s="126">
        <v>97</v>
      </c>
      <c r="N243" s="126">
        <v>0</v>
      </c>
      <c r="P243" s="126">
        <v>57</v>
      </c>
      <c r="R243" s="126" t="s">
        <v>549</v>
      </c>
      <c r="S243" s="259">
        <v>0</v>
      </c>
      <c r="T243" s="259">
        <v>16.600000000000001</v>
      </c>
      <c r="U243" s="68" t="s">
        <v>947</v>
      </c>
      <c r="V243" s="126">
        <v>1</v>
      </c>
      <c r="Z243" s="126">
        <v>1</v>
      </c>
      <c r="AA243" s="126">
        <v>1</v>
      </c>
      <c r="AB243" s="126">
        <v>1</v>
      </c>
      <c r="AC243" s="126">
        <v>6</v>
      </c>
      <c r="AD243" s="126">
        <v>2026</v>
      </c>
    </row>
    <row r="244" spans="3:30">
      <c r="C244" s="126">
        <v>237</v>
      </c>
      <c r="D244" s="126">
        <v>21</v>
      </c>
      <c r="E244" s="126">
        <v>11</v>
      </c>
      <c r="F244" s="126">
        <v>1</v>
      </c>
      <c r="G244" s="126">
        <v>1</v>
      </c>
      <c r="H244" s="126">
        <v>1</v>
      </c>
      <c r="I244" s="126">
        <v>1</v>
      </c>
      <c r="J244" s="126">
        <v>177</v>
      </c>
      <c r="M244" s="126">
        <v>97</v>
      </c>
      <c r="N244" s="126">
        <v>1</v>
      </c>
      <c r="P244" s="126">
        <v>57</v>
      </c>
      <c r="R244" s="126" t="s">
        <v>549</v>
      </c>
      <c r="S244" s="259">
        <v>16.600000000000001</v>
      </c>
      <c r="T244" s="259">
        <v>0</v>
      </c>
      <c r="U244" s="68" t="s">
        <v>948</v>
      </c>
      <c r="V244" s="126">
        <v>1</v>
      </c>
      <c r="Z244" s="126">
        <v>1</v>
      </c>
      <c r="AA244" s="126">
        <v>1</v>
      </c>
      <c r="AB244" s="126">
        <v>1</v>
      </c>
      <c r="AC244" s="126">
        <v>6</v>
      </c>
      <c r="AD244" s="126">
        <v>2026</v>
      </c>
    </row>
    <row r="245" spans="3:30">
      <c r="C245" s="126">
        <v>238</v>
      </c>
      <c r="D245" s="126">
        <v>21</v>
      </c>
      <c r="E245" s="126">
        <v>10</v>
      </c>
      <c r="F245" s="126">
        <v>1</v>
      </c>
      <c r="G245" s="126">
        <v>1</v>
      </c>
      <c r="H245" s="126">
        <v>1</v>
      </c>
      <c r="I245" s="126">
        <v>1</v>
      </c>
      <c r="J245" s="126">
        <v>177</v>
      </c>
      <c r="P245" s="126">
        <v>57</v>
      </c>
      <c r="R245" s="126" t="s">
        <v>549</v>
      </c>
      <c r="S245" s="259">
        <v>0</v>
      </c>
      <c r="T245" s="259">
        <v>19</v>
      </c>
      <c r="U245" s="68" t="s">
        <v>949</v>
      </c>
      <c r="V245" s="126">
        <v>1</v>
      </c>
      <c r="Z245" s="126">
        <v>1</v>
      </c>
      <c r="AA245" s="126">
        <v>1</v>
      </c>
      <c r="AB245" s="126">
        <v>1</v>
      </c>
      <c r="AC245" s="126">
        <v>6</v>
      </c>
      <c r="AD245" s="126">
        <v>2026</v>
      </c>
    </row>
    <row r="246" spans="3:30">
      <c r="C246" s="126">
        <v>239</v>
      </c>
      <c r="D246" s="126">
        <v>21</v>
      </c>
      <c r="E246" s="126">
        <v>3</v>
      </c>
      <c r="F246" s="126">
        <v>1</v>
      </c>
      <c r="G246" s="126">
        <v>1</v>
      </c>
      <c r="H246" s="126">
        <v>1</v>
      </c>
      <c r="I246" s="126">
        <v>1</v>
      </c>
      <c r="J246" s="126">
        <v>183</v>
      </c>
      <c r="M246" s="126">
        <v>98</v>
      </c>
      <c r="N246" s="126">
        <v>0</v>
      </c>
      <c r="P246" s="126">
        <v>58</v>
      </c>
      <c r="R246" s="126" t="s">
        <v>549</v>
      </c>
      <c r="S246" s="259">
        <v>0</v>
      </c>
      <c r="T246" s="259">
        <v>20</v>
      </c>
      <c r="U246" s="68" t="s">
        <v>950</v>
      </c>
      <c r="V246" s="126">
        <v>1</v>
      </c>
      <c r="Z246" s="126">
        <v>1</v>
      </c>
      <c r="AA246" s="126">
        <v>1</v>
      </c>
      <c r="AB246" s="126">
        <v>1</v>
      </c>
      <c r="AC246" s="126">
        <v>6</v>
      </c>
      <c r="AD246" s="126">
        <v>2026</v>
      </c>
    </row>
    <row r="247" spans="3:30">
      <c r="C247" s="126">
        <v>240</v>
      </c>
      <c r="D247" s="126">
        <v>21</v>
      </c>
      <c r="E247" s="126">
        <v>11</v>
      </c>
      <c r="F247" s="126">
        <v>1</v>
      </c>
      <c r="G247" s="126">
        <v>1</v>
      </c>
      <c r="H247" s="126">
        <v>1</v>
      </c>
      <c r="I247" s="126">
        <v>1</v>
      </c>
      <c r="J247" s="126">
        <v>183</v>
      </c>
      <c r="M247" s="126">
        <v>98</v>
      </c>
      <c r="N247" s="126">
        <v>1</v>
      </c>
      <c r="P247" s="126">
        <v>58</v>
      </c>
      <c r="R247" s="126" t="s">
        <v>549</v>
      </c>
      <c r="S247" s="259">
        <v>20</v>
      </c>
      <c r="T247" s="259">
        <v>0</v>
      </c>
      <c r="U247" s="68" t="s">
        <v>951</v>
      </c>
      <c r="V247" s="126">
        <v>1</v>
      </c>
      <c r="Z247" s="126">
        <v>1</v>
      </c>
      <c r="AA247" s="126">
        <v>1</v>
      </c>
      <c r="AB247" s="126">
        <v>1</v>
      </c>
      <c r="AC247" s="126">
        <v>6</v>
      </c>
      <c r="AD247" s="126">
        <v>2026</v>
      </c>
    </row>
    <row r="248" spans="3:30">
      <c r="C248" s="126">
        <v>241</v>
      </c>
      <c r="D248" s="126">
        <v>21</v>
      </c>
      <c r="E248" s="126">
        <v>10</v>
      </c>
      <c r="F248" s="126">
        <v>1</v>
      </c>
      <c r="G248" s="126">
        <v>1</v>
      </c>
      <c r="H248" s="126">
        <v>1</v>
      </c>
      <c r="I248" s="126">
        <v>1</v>
      </c>
      <c r="J248" s="126">
        <v>183</v>
      </c>
      <c r="P248" s="126">
        <v>58</v>
      </c>
      <c r="R248" s="126" t="s">
        <v>549</v>
      </c>
      <c r="S248" s="259">
        <v>0</v>
      </c>
      <c r="T248" s="259">
        <v>25</v>
      </c>
      <c r="U248" s="68" t="s">
        <v>952</v>
      </c>
      <c r="V248" s="126">
        <v>1</v>
      </c>
      <c r="Z248" s="126">
        <v>1</v>
      </c>
      <c r="AA248" s="126">
        <v>1</v>
      </c>
      <c r="AB248" s="126">
        <v>1</v>
      </c>
      <c r="AC248" s="126">
        <v>6</v>
      </c>
      <c r="AD248" s="126">
        <v>2026</v>
      </c>
    </row>
    <row r="249" spans="3:30">
      <c r="C249" s="126">
        <v>242</v>
      </c>
      <c r="D249" s="126">
        <v>22</v>
      </c>
      <c r="E249" s="126">
        <v>2</v>
      </c>
      <c r="F249" s="126">
        <v>1</v>
      </c>
      <c r="G249" s="126">
        <v>1</v>
      </c>
      <c r="H249" s="126">
        <v>1</v>
      </c>
      <c r="I249" s="126">
        <v>1</v>
      </c>
      <c r="R249" s="126" t="s">
        <v>549</v>
      </c>
      <c r="S249" s="259">
        <v>47.5</v>
      </c>
      <c r="T249" s="259">
        <v>0</v>
      </c>
      <c r="U249" s="68" t="s">
        <v>954</v>
      </c>
      <c r="V249" s="126">
        <v>1</v>
      </c>
      <c r="Z249" s="126">
        <v>1</v>
      </c>
      <c r="AA249" s="126">
        <v>1</v>
      </c>
      <c r="AB249" s="126">
        <v>1</v>
      </c>
      <c r="AC249" s="126">
        <v>6</v>
      </c>
      <c r="AD249" s="126">
        <v>2026</v>
      </c>
    </row>
    <row r="250" spans="3:30">
      <c r="C250" s="126">
        <v>243</v>
      </c>
      <c r="D250" s="126">
        <v>22</v>
      </c>
      <c r="E250" s="126">
        <v>3</v>
      </c>
      <c r="F250" s="126">
        <v>1</v>
      </c>
      <c r="G250" s="126">
        <v>1</v>
      </c>
      <c r="H250" s="126">
        <v>1</v>
      </c>
      <c r="I250" s="126">
        <v>1</v>
      </c>
      <c r="J250" s="126">
        <v>177</v>
      </c>
      <c r="M250" s="126">
        <v>99</v>
      </c>
      <c r="N250" s="126">
        <v>0</v>
      </c>
      <c r="P250" s="126">
        <v>59</v>
      </c>
      <c r="R250" s="126" t="s">
        <v>549</v>
      </c>
      <c r="S250" s="259">
        <v>0</v>
      </c>
      <c r="T250" s="259">
        <v>41.5</v>
      </c>
      <c r="U250" s="68" t="s">
        <v>955</v>
      </c>
      <c r="V250" s="126">
        <v>1</v>
      </c>
      <c r="Z250" s="126">
        <v>1</v>
      </c>
      <c r="AA250" s="126">
        <v>1</v>
      </c>
      <c r="AB250" s="126">
        <v>1</v>
      </c>
      <c r="AC250" s="126">
        <v>6</v>
      </c>
      <c r="AD250" s="126">
        <v>2026</v>
      </c>
    </row>
    <row r="251" spans="3:30">
      <c r="C251" s="126">
        <v>244</v>
      </c>
      <c r="D251" s="126">
        <v>22</v>
      </c>
      <c r="E251" s="126">
        <v>11</v>
      </c>
      <c r="F251" s="126">
        <v>1</v>
      </c>
      <c r="G251" s="126">
        <v>1</v>
      </c>
      <c r="H251" s="126">
        <v>1</v>
      </c>
      <c r="I251" s="126">
        <v>1</v>
      </c>
      <c r="J251" s="126">
        <v>177</v>
      </c>
      <c r="M251" s="126">
        <v>99</v>
      </c>
      <c r="N251" s="126">
        <v>1</v>
      </c>
      <c r="P251" s="126">
        <v>59</v>
      </c>
      <c r="R251" s="126" t="s">
        <v>549</v>
      </c>
      <c r="S251" s="259">
        <v>41.5</v>
      </c>
      <c r="T251" s="259">
        <v>0</v>
      </c>
      <c r="U251" s="68" t="s">
        <v>956</v>
      </c>
      <c r="V251" s="126">
        <v>1</v>
      </c>
      <c r="Z251" s="126">
        <v>1</v>
      </c>
      <c r="AA251" s="126">
        <v>1</v>
      </c>
      <c r="AB251" s="126">
        <v>1</v>
      </c>
      <c r="AC251" s="126">
        <v>6</v>
      </c>
      <c r="AD251" s="126">
        <v>2026</v>
      </c>
    </row>
    <row r="252" spans="3:30">
      <c r="C252" s="126">
        <v>245</v>
      </c>
      <c r="D252" s="126">
        <v>22</v>
      </c>
      <c r="E252" s="126">
        <v>10</v>
      </c>
      <c r="F252" s="126">
        <v>1</v>
      </c>
      <c r="G252" s="126">
        <v>1</v>
      </c>
      <c r="H252" s="126">
        <v>1</v>
      </c>
      <c r="I252" s="126">
        <v>1</v>
      </c>
      <c r="J252" s="126">
        <v>177</v>
      </c>
      <c r="P252" s="126">
        <v>59</v>
      </c>
      <c r="R252" s="126" t="s">
        <v>549</v>
      </c>
      <c r="S252" s="259">
        <v>0</v>
      </c>
      <c r="T252" s="259">
        <v>47.5</v>
      </c>
      <c r="U252" s="68" t="s">
        <v>957</v>
      </c>
      <c r="V252" s="126">
        <v>1</v>
      </c>
      <c r="Z252" s="126">
        <v>1</v>
      </c>
      <c r="AA252" s="126">
        <v>1</v>
      </c>
      <c r="AB252" s="126">
        <v>1</v>
      </c>
      <c r="AC252" s="126">
        <v>6</v>
      </c>
      <c r="AD252" s="126">
        <v>2026</v>
      </c>
    </row>
    <row r="253" spans="3:30">
      <c r="C253" s="126">
        <v>246</v>
      </c>
      <c r="D253" s="126">
        <v>23</v>
      </c>
      <c r="E253" s="126">
        <v>2</v>
      </c>
      <c r="F253" s="126">
        <v>1</v>
      </c>
      <c r="G253" s="126">
        <v>1</v>
      </c>
      <c r="H253" s="126">
        <v>1</v>
      </c>
      <c r="I253" s="126">
        <v>1</v>
      </c>
      <c r="R253" s="126" t="s">
        <v>549</v>
      </c>
      <c r="S253" s="259">
        <v>69.75</v>
      </c>
      <c r="T253" s="259">
        <v>0</v>
      </c>
      <c r="U253" s="68" t="s">
        <v>959</v>
      </c>
      <c r="V253" s="126">
        <v>1</v>
      </c>
      <c r="Z253" s="126">
        <v>1</v>
      </c>
      <c r="AA253" s="126">
        <v>1</v>
      </c>
      <c r="AB253" s="126">
        <v>1</v>
      </c>
      <c r="AC253" s="126">
        <v>6</v>
      </c>
      <c r="AD253" s="126">
        <v>2026</v>
      </c>
    </row>
    <row r="254" spans="3:30">
      <c r="C254" s="126">
        <v>247</v>
      </c>
      <c r="D254" s="126">
        <v>23</v>
      </c>
      <c r="E254" s="126">
        <v>3</v>
      </c>
      <c r="F254" s="126">
        <v>1</v>
      </c>
      <c r="G254" s="126">
        <v>1</v>
      </c>
      <c r="H254" s="126">
        <v>1</v>
      </c>
      <c r="I254" s="126">
        <v>1</v>
      </c>
      <c r="J254" s="126">
        <v>177</v>
      </c>
      <c r="M254" s="126">
        <v>100</v>
      </c>
      <c r="N254" s="126">
        <v>0</v>
      </c>
      <c r="P254" s="126">
        <v>60</v>
      </c>
      <c r="R254" s="126" t="s">
        <v>549</v>
      </c>
      <c r="S254" s="259">
        <v>0</v>
      </c>
      <c r="T254" s="259">
        <v>4.1500000000000004</v>
      </c>
      <c r="U254" s="68" t="s">
        <v>960</v>
      </c>
      <c r="V254" s="126">
        <v>1</v>
      </c>
      <c r="Z254" s="126">
        <v>1</v>
      </c>
      <c r="AA254" s="126">
        <v>1</v>
      </c>
      <c r="AB254" s="126">
        <v>1</v>
      </c>
      <c r="AC254" s="126">
        <v>6</v>
      </c>
      <c r="AD254" s="126">
        <v>2026</v>
      </c>
    </row>
    <row r="255" spans="3:30">
      <c r="C255" s="126">
        <v>248</v>
      </c>
      <c r="D255" s="126">
        <v>23</v>
      </c>
      <c r="E255" s="126">
        <v>11</v>
      </c>
      <c r="F255" s="126">
        <v>1</v>
      </c>
      <c r="G255" s="126">
        <v>1</v>
      </c>
      <c r="H255" s="126">
        <v>1</v>
      </c>
      <c r="I255" s="126">
        <v>1</v>
      </c>
      <c r="J255" s="126">
        <v>177</v>
      </c>
      <c r="M255" s="126">
        <v>100</v>
      </c>
      <c r="N255" s="126">
        <v>1</v>
      </c>
      <c r="P255" s="126">
        <v>60</v>
      </c>
      <c r="R255" s="126" t="s">
        <v>549</v>
      </c>
      <c r="S255" s="259">
        <v>4.1500000000000004</v>
      </c>
      <c r="T255" s="259">
        <v>0</v>
      </c>
      <c r="U255" s="68" t="s">
        <v>961</v>
      </c>
      <c r="V255" s="126">
        <v>1</v>
      </c>
      <c r="Z255" s="126">
        <v>1</v>
      </c>
      <c r="AA255" s="126">
        <v>1</v>
      </c>
      <c r="AB255" s="126">
        <v>1</v>
      </c>
      <c r="AC255" s="126">
        <v>6</v>
      </c>
      <c r="AD255" s="126">
        <v>2026</v>
      </c>
    </row>
    <row r="256" spans="3:30">
      <c r="C256" s="126">
        <v>249</v>
      </c>
      <c r="D256" s="126">
        <v>23</v>
      </c>
      <c r="E256" s="126">
        <v>10</v>
      </c>
      <c r="F256" s="126">
        <v>1</v>
      </c>
      <c r="G256" s="126">
        <v>1</v>
      </c>
      <c r="H256" s="126">
        <v>1</v>
      </c>
      <c r="I256" s="126">
        <v>1</v>
      </c>
      <c r="J256" s="126">
        <v>177</v>
      </c>
      <c r="P256" s="126">
        <v>60</v>
      </c>
      <c r="R256" s="126" t="s">
        <v>549</v>
      </c>
      <c r="S256" s="259">
        <v>0</v>
      </c>
      <c r="T256" s="259">
        <v>4.75</v>
      </c>
      <c r="U256" s="68" t="s">
        <v>962</v>
      </c>
      <c r="V256" s="126">
        <v>1</v>
      </c>
      <c r="Z256" s="126">
        <v>1</v>
      </c>
      <c r="AA256" s="126">
        <v>1</v>
      </c>
      <c r="AB256" s="126">
        <v>1</v>
      </c>
      <c r="AC256" s="126">
        <v>6</v>
      </c>
      <c r="AD256" s="126">
        <v>2026</v>
      </c>
    </row>
    <row r="257" spans="3:30">
      <c r="C257" s="126">
        <v>250</v>
      </c>
      <c r="D257" s="126">
        <v>23</v>
      </c>
      <c r="E257" s="126">
        <v>3</v>
      </c>
      <c r="F257" s="126">
        <v>1</v>
      </c>
      <c r="G257" s="126">
        <v>1</v>
      </c>
      <c r="H257" s="126">
        <v>1</v>
      </c>
      <c r="I257" s="126">
        <v>1</v>
      </c>
      <c r="J257" s="126">
        <v>10</v>
      </c>
      <c r="M257" s="126">
        <v>101</v>
      </c>
      <c r="N257" s="126">
        <v>0</v>
      </c>
      <c r="P257" s="126">
        <v>61</v>
      </c>
      <c r="R257" s="126" t="s">
        <v>549</v>
      </c>
      <c r="S257" s="259">
        <v>0</v>
      </c>
      <c r="T257" s="259">
        <v>14.85</v>
      </c>
      <c r="U257" s="68" t="s">
        <v>963</v>
      </c>
      <c r="V257" s="126">
        <v>1</v>
      </c>
      <c r="Z257" s="126">
        <v>1</v>
      </c>
      <c r="AA257" s="126">
        <v>1</v>
      </c>
      <c r="AB257" s="126">
        <v>1</v>
      </c>
      <c r="AC257" s="126">
        <v>6</v>
      </c>
      <c r="AD257" s="126">
        <v>2026</v>
      </c>
    </row>
    <row r="258" spans="3:30">
      <c r="C258" s="126">
        <v>251</v>
      </c>
      <c r="D258" s="126">
        <v>23</v>
      </c>
      <c r="E258" s="126">
        <v>11</v>
      </c>
      <c r="F258" s="126">
        <v>1</v>
      </c>
      <c r="G258" s="126">
        <v>1</v>
      </c>
      <c r="H258" s="126">
        <v>1</v>
      </c>
      <c r="I258" s="126">
        <v>1</v>
      </c>
      <c r="J258" s="126">
        <v>10</v>
      </c>
      <c r="M258" s="126">
        <v>101</v>
      </c>
      <c r="N258" s="126">
        <v>1</v>
      </c>
      <c r="P258" s="126">
        <v>61</v>
      </c>
      <c r="R258" s="126" t="s">
        <v>549</v>
      </c>
      <c r="S258" s="259">
        <v>14.85</v>
      </c>
      <c r="T258" s="259">
        <v>0</v>
      </c>
      <c r="U258" s="68" t="s">
        <v>964</v>
      </c>
      <c r="V258" s="126">
        <v>1</v>
      </c>
      <c r="Z258" s="126">
        <v>1</v>
      </c>
      <c r="AA258" s="126">
        <v>1</v>
      </c>
      <c r="AB258" s="126">
        <v>1</v>
      </c>
      <c r="AC258" s="126">
        <v>6</v>
      </c>
      <c r="AD258" s="126">
        <v>2026</v>
      </c>
    </row>
    <row r="259" spans="3:30">
      <c r="C259" s="126">
        <v>252</v>
      </c>
      <c r="D259" s="126">
        <v>23</v>
      </c>
      <c r="E259" s="126">
        <v>10</v>
      </c>
      <c r="F259" s="126">
        <v>1</v>
      </c>
      <c r="G259" s="126">
        <v>1</v>
      </c>
      <c r="H259" s="126">
        <v>1</v>
      </c>
      <c r="I259" s="126">
        <v>1</v>
      </c>
      <c r="J259" s="126">
        <v>10</v>
      </c>
      <c r="P259" s="126">
        <v>61</v>
      </c>
      <c r="R259" s="126" t="s">
        <v>549</v>
      </c>
      <c r="S259" s="259">
        <v>0</v>
      </c>
      <c r="T259" s="259">
        <v>15</v>
      </c>
      <c r="U259" s="68" t="s">
        <v>965</v>
      </c>
      <c r="V259" s="126">
        <v>1</v>
      </c>
      <c r="Z259" s="126">
        <v>1</v>
      </c>
      <c r="AA259" s="126">
        <v>1</v>
      </c>
      <c r="AB259" s="126">
        <v>1</v>
      </c>
      <c r="AC259" s="126">
        <v>6</v>
      </c>
      <c r="AD259" s="126">
        <v>2026</v>
      </c>
    </row>
    <row r="260" spans="3:30">
      <c r="C260" s="126">
        <v>253</v>
      </c>
      <c r="D260" s="126">
        <v>23</v>
      </c>
      <c r="E260" s="126">
        <v>3</v>
      </c>
      <c r="F260" s="126">
        <v>1</v>
      </c>
      <c r="G260" s="126">
        <v>1</v>
      </c>
      <c r="H260" s="126">
        <v>1</v>
      </c>
      <c r="I260" s="126">
        <v>1</v>
      </c>
      <c r="J260" s="126">
        <v>11</v>
      </c>
      <c r="M260" s="126">
        <v>102</v>
      </c>
      <c r="N260" s="126">
        <v>0</v>
      </c>
      <c r="P260" s="126">
        <v>62</v>
      </c>
      <c r="R260" s="126" t="s">
        <v>549</v>
      </c>
      <c r="S260" s="259">
        <v>0</v>
      </c>
      <c r="T260" s="259">
        <v>47.599999999999994</v>
      </c>
      <c r="U260" s="68" t="s">
        <v>966</v>
      </c>
      <c r="V260" s="126">
        <v>1</v>
      </c>
      <c r="Z260" s="126">
        <v>1</v>
      </c>
      <c r="AA260" s="126">
        <v>1</v>
      </c>
      <c r="AB260" s="126">
        <v>1</v>
      </c>
      <c r="AC260" s="126">
        <v>6</v>
      </c>
      <c r="AD260" s="126">
        <v>2026</v>
      </c>
    </row>
    <row r="261" spans="3:30">
      <c r="C261" s="126">
        <v>254</v>
      </c>
      <c r="D261" s="126">
        <v>23</v>
      </c>
      <c r="E261" s="126">
        <v>11</v>
      </c>
      <c r="F261" s="126">
        <v>1</v>
      </c>
      <c r="G261" s="126">
        <v>1</v>
      </c>
      <c r="H261" s="126">
        <v>1</v>
      </c>
      <c r="I261" s="126">
        <v>1</v>
      </c>
      <c r="J261" s="126">
        <v>11</v>
      </c>
      <c r="M261" s="126">
        <v>102</v>
      </c>
      <c r="N261" s="126">
        <v>1</v>
      </c>
      <c r="P261" s="126">
        <v>62</v>
      </c>
      <c r="R261" s="126" t="s">
        <v>549</v>
      </c>
      <c r="S261" s="259">
        <v>47.599999999999994</v>
      </c>
      <c r="T261" s="259">
        <v>0</v>
      </c>
      <c r="U261" s="68" t="s">
        <v>967</v>
      </c>
      <c r="V261" s="126">
        <v>1</v>
      </c>
      <c r="Z261" s="126">
        <v>1</v>
      </c>
      <c r="AA261" s="126">
        <v>1</v>
      </c>
      <c r="AB261" s="126">
        <v>1</v>
      </c>
      <c r="AC261" s="126">
        <v>6</v>
      </c>
      <c r="AD261" s="126">
        <v>2026</v>
      </c>
    </row>
    <row r="262" spans="3:30">
      <c r="C262" s="126">
        <v>255</v>
      </c>
      <c r="D262" s="126">
        <v>23</v>
      </c>
      <c r="E262" s="126">
        <v>10</v>
      </c>
      <c r="F262" s="126">
        <v>1</v>
      </c>
      <c r="G262" s="126">
        <v>1</v>
      </c>
      <c r="H262" s="126">
        <v>1</v>
      </c>
      <c r="I262" s="126">
        <v>1</v>
      </c>
      <c r="J262" s="126">
        <v>11</v>
      </c>
      <c r="P262" s="126">
        <v>62</v>
      </c>
      <c r="R262" s="126" t="s">
        <v>549</v>
      </c>
      <c r="S262" s="259">
        <v>0</v>
      </c>
      <c r="T262" s="259">
        <v>50</v>
      </c>
      <c r="U262" s="68" t="s">
        <v>968</v>
      </c>
      <c r="V262" s="126">
        <v>1</v>
      </c>
      <c r="Z262" s="126">
        <v>1</v>
      </c>
      <c r="AA262" s="126">
        <v>1</v>
      </c>
      <c r="AB262" s="126">
        <v>1</v>
      </c>
      <c r="AC262" s="126">
        <v>6</v>
      </c>
      <c r="AD262" s="126">
        <v>2026</v>
      </c>
    </row>
    <row r="263" spans="3:30">
      <c r="C263" s="126">
        <v>256</v>
      </c>
      <c r="D263" s="126">
        <v>24</v>
      </c>
      <c r="E263" s="126">
        <v>2</v>
      </c>
      <c r="F263" s="126">
        <v>1</v>
      </c>
      <c r="G263" s="126">
        <v>1</v>
      </c>
      <c r="H263" s="126">
        <v>1</v>
      </c>
      <c r="I263" s="126">
        <v>1</v>
      </c>
      <c r="R263" s="126" t="s">
        <v>549</v>
      </c>
      <c r="S263" s="259">
        <v>64.5</v>
      </c>
      <c r="T263" s="259">
        <v>0</v>
      </c>
      <c r="U263" s="68" t="s">
        <v>971</v>
      </c>
      <c r="V263" s="126">
        <v>1</v>
      </c>
      <c r="Z263" s="126">
        <v>1</v>
      </c>
      <c r="AA263" s="126">
        <v>1</v>
      </c>
      <c r="AB263" s="126">
        <v>2</v>
      </c>
      <c r="AC263" s="126">
        <v>6</v>
      </c>
      <c r="AD263" s="126">
        <v>2026</v>
      </c>
    </row>
    <row r="264" spans="3:30">
      <c r="C264" s="126">
        <v>257</v>
      </c>
      <c r="D264" s="126">
        <v>24</v>
      </c>
      <c r="E264" s="126">
        <v>3</v>
      </c>
      <c r="F264" s="126">
        <v>1</v>
      </c>
      <c r="G264" s="126">
        <v>1</v>
      </c>
      <c r="H264" s="126">
        <v>1</v>
      </c>
      <c r="I264" s="126">
        <v>1</v>
      </c>
      <c r="J264" s="126">
        <v>19</v>
      </c>
      <c r="M264" s="126">
        <v>103</v>
      </c>
      <c r="N264" s="126">
        <v>0</v>
      </c>
      <c r="P264" s="126">
        <v>63</v>
      </c>
      <c r="R264" s="126" t="s">
        <v>549</v>
      </c>
      <c r="S264" s="259">
        <v>0</v>
      </c>
      <c r="T264" s="259">
        <v>7.49</v>
      </c>
      <c r="U264" s="68" t="s">
        <v>972</v>
      </c>
      <c r="V264" s="126">
        <v>1</v>
      </c>
      <c r="Z264" s="126">
        <v>1</v>
      </c>
      <c r="AA264" s="126">
        <v>1</v>
      </c>
      <c r="AB264" s="126">
        <v>2</v>
      </c>
      <c r="AC264" s="126">
        <v>6</v>
      </c>
      <c r="AD264" s="126">
        <v>2026</v>
      </c>
    </row>
    <row r="265" spans="3:30">
      <c r="C265" s="126">
        <v>258</v>
      </c>
      <c r="D265" s="126">
        <v>24</v>
      </c>
      <c r="E265" s="126">
        <v>11</v>
      </c>
      <c r="F265" s="126">
        <v>1</v>
      </c>
      <c r="G265" s="126">
        <v>1</v>
      </c>
      <c r="H265" s="126">
        <v>1</v>
      </c>
      <c r="I265" s="126">
        <v>1</v>
      </c>
      <c r="J265" s="126">
        <v>19</v>
      </c>
      <c r="M265" s="126">
        <v>103</v>
      </c>
      <c r="N265" s="126">
        <v>1</v>
      </c>
      <c r="P265" s="126">
        <v>63</v>
      </c>
      <c r="R265" s="126" t="s">
        <v>549</v>
      </c>
      <c r="S265" s="259">
        <v>7.49</v>
      </c>
      <c r="T265" s="259">
        <v>0</v>
      </c>
      <c r="U265" s="68" t="s">
        <v>973</v>
      </c>
      <c r="V265" s="126">
        <v>1</v>
      </c>
      <c r="Z265" s="126">
        <v>1</v>
      </c>
      <c r="AA265" s="126">
        <v>1</v>
      </c>
      <c r="AB265" s="126">
        <v>2</v>
      </c>
      <c r="AC265" s="126">
        <v>6</v>
      </c>
      <c r="AD265" s="126">
        <v>2026</v>
      </c>
    </row>
    <row r="266" spans="3:30">
      <c r="C266" s="126">
        <v>259</v>
      </c>
      <c r="D266" s="126">
        <v>24</v>
      </c>
      <c r="E266" s="126">
        <v>10</v>
      </c>
      <c r="F266" s="126">
        <v>1</v>
      </c>
      <c r="G266" s="126">
        <v>1</v>
      </c>
      <c r="H266" s="126">
        <v>1</v>
      </c>
      <c r="I266" s="126">
        <v>1</v>
      </c>
      <c r="J266" s="126">
        <v>19</v>
      </c>
      <c r="P266" s="126">
        <v>63</v>
      </c>
      <c r="R266" s="126" t="s">
        <v>549</v>
      </c>
      <c r="S266" s="259">
        <v>0</v>
      </c>
      <c r="T266" s="259">
        <v>8</v>
      </c>
      <c r="U266" s="68" t="s">
        <v>974</v>
      </c>
      <c r="V266" s="126">
        <v>1</v>
      </c>
      <c r="Z266" s="126">
        <v>1</v>
      </c>
      <c r="AA266" s="126">
        <v>1</v>
      </c>
      <c r="AB266" s="126">
        <v>2</v>
      </c>
      <c r="AC266" s="126">
        <v>6</v>
      </c>
      <c r="AD266" s="126">
        <v>2026</v>
      </c>
    </row>
    <row r="267" spans="3:30">
      <c r="C267" s="126">
        <v>260</v>
      </c>
      <c r="D267" s="126">
        <v>24</v>
      </c>
      <c r="E267" s="126">
        <v>3</v>
      </c>
      <c r="F267" s="126">
        <v>1</v>
      </c>
      <c r="G267" s="126">
        <v>1</v>
      </c>
      <c r="H267" s="126">
        <v>1</v>
      </c>
      <c r="I267" s="126">
        <v>1</v>
      </c>
      <c r="J267" s="126">
        <v>42</v>
      </c>
      <c r="M267" s="126">
        <v>104</v>
      </c>
      <c r="N267" s="126">
        <v>0</v>
      </c>
      <c r="P267" s="126">
        <v>64</v>
      </c>
      <c r="R267" s="126" t="s">
        <v>549</v>
      </c>
      <c r="S267" s="259">
        <v>0</v>
      </c>
      <c r="T267" s="259">
        <v>0.24</v>
      </c>
      <c r="U267" s="68" t="s">
        <v>977</v>
      </c>
      <c r="V267" s="126">
        <v>1</v>
      </c>
      <c r="Z267" s="126">
        <v>1</v>
      </c>
      <c r="AA267" s="126">
        <v>1</v>
      </c>
      <c r="AB267" s="126">
        <v>2</v>
      </c>
      <c r="AC267" s="126">
        <v>6</v>
      </c>
      <c r="AD267" s="126">
        <v>2026</v>
      </c>
    </row>
    <row r="268" spans="3:30">
      <c r="C268" s="126">
        <v>261</v>
      </c>
      <c r="D268" s="126">
        <v>24</v>
      </c>
      <c r="E268" s="126">
        <v>11</v>
      </c>
      <c r="F268" s="126">
        <v>1</v>
      </c>
      <c r="G268" s="126">
        <v>1</v>
      </c>
      <c r="H268" s="126">
        <v>1</v>
      </c>
      <c r="I268" s="126">
        <v>1</v>
      </c>
      <c r="J268" s="126">
        <v>42</v>
      </c>
      <c r="M268" s="126">
        <v>104</v>
      </c>
      <c r="N268" s="126">
        <v>1</v>
      </c>
      <c r="P268" s="126">
        <v>64</v>
      </c>
      <c r="R268" s="126" t="s">
        <v>549</v>
      </c>
      <c r="S268" s="259">
        <v>0.24</v>
      </c>
      <c r="T268" s="259">
        <v>0</v>
      </c>
      <c r="U268" s="68" t="s">
        <v>978</v>
      </c>
      <c r="V268" s="126">
        <v>1</v>
      </c>
      <c r="Z268" s="126">
        <v>1</v>
      </c>
      <c r="AA268" s="126">
        <v>1</v>
      </c>
      <c r="AB268" s="126">
        <v>2</v>
      </c>
      <c r="AC268" s="126">
        <v>6</v>
      </c>
      <c r="AD268" s="126">
        <v>2026</v>
      </c>
    </row>
    <row r="269" spans="3:30">
      <c r="C269" s="126">
        <v>262</v>
      </c>
      <c r="D269" s="126">
        <v>24</v>
      </c>
      <c r="E269" s="126">
        <v>10</v>
      </c>
      <c r="F269" s="126">
        <v>1</v>
      </c>
      <c r="G269" s="126">
        <v>1</v>
      </c>
      <c r="H269" s="126">
        <v>1</v>
      </c>
      <c r="I269" s="126">
        <v>1</v>
      </c>
      <c r="J269" s="126">
        <v>42</v>
      </c>
      <c r="P269" s="126">
        <v>64</v>
      </c>
      <c r="R269" s="126" t="s">
        <v>549</v>
      </c>
      <c r="S269" s="259">
        <v>0</v>
      </c>
      <c r="T269" s="259">
        <v>0.5</v>
      </c>
      <c r="U269" s="68" t="s">
        <v>979</v>
      </c>
      <c r="V269" s="126">
        <v>1</v>
      </c>
      <c r="Z269" s="126">
        <v>1</v>
      </c>
      <c r="AA269" s="126">
        <v>1</v>
      </c>
      <c r="AB269" s="126">
        <v>2</v>
      </c>
      <c r="AC269" s="126">
        <v>6</v>
      </c>
      <c r="AD269" s="126">
        <v>2026</v>
      </c>
    </row>
    <row r="270" spans="3:30">
      <c r="C270" s="126">
        <v>263</v>
      </c>
      <c r="D270" s="126">
        <v>24</v>
      </c>
      <c r="E270" s="126">
        <v>3</v>
      </c>
      <c r="F270" s="126">
        <v>1</v>
      </c>
      <c r="G270" s="126">
        <v>1</v>
      </c>
      <c r="H270" s="126">
        <v>1</v>
      </c>
      <c r="I270" s="126">
        <v>1</v>
      </c>
      <c r="J270" s="126">
        <v>45</v>
      </c>
      <c r="M270" s="126">
        <v>105</v>
      </c>
      <c r="N270" s="126">
        <v>0</v>
      </c>
      <c r="P270" s="126">
        <v>65</v>
      </c>
      <c r="R270" s="126" t="s">
        <v>549</v>
      </c>
      <c r="S270" s="259">
        <v>0</v>
      </c>
      <c r="T270" s="259">
        <v>4.08</v>
      </c>
      <c r="U270" s="68" t="s">
        <v>982</v>
      </c>
      <c r="V270" s="126">
        <v>1</v>
      </c>
      <c r="Z270" s="126">
        <v>1</v>
      </c>
      <c r="AA270" s="126">
        <v>1</v>
      </c>
      <c r="AB270" s="126">
        <v>2</v>
      </c>
      <c r="AC270" s="126">
        <v>6</v>
      </c>
      <c r="AD270" s="126">
        <v>2026</v>
      </c>
    </row>
    <row r="271" spans="3:30">
      <c r="C271" s="126">
        <v>264</v>
      </c>
      <c r="D271" s="126">
        <v>24</v>
      </c>
      <c r="E271" s="126">
        <v>11</v>
      </c>
      <c r="F271" s="126">
        <v>1</v>
      </c>
      <c r="G271" s="126">
        <v>1</v>
      </c>
      <c r="H271" s="126">
        <v>1</v>
      </c>
      <c r="I271" s="126">
        <v>1</v>
      </c>
      <c r="J271" s="126">
        <v>45</v>
      </c>
      <c r="M271" s="126">
        <v>105</v>
      </c>
      <c r="N271" s="126">
        <v>1</v>
      </c>
      <c r="P271" s="126">
        <v>65</v>
      </c>
      <c r="R271" s="126" t="s">
        <v>549</v>
      </c>
      <c r="S271" s="259">
        <v>4.08</v>
      </c>
      <c r="T271" s="259">
        <v>0</v>
      </c>
      <c r="U271" s="68" t="s">
        <v>983</v>
      </c>
      <c r="V271" s="126">
        <v>1</v>
      </c>
      <c r="Z271" s="126">
        <v>1</v>
      </c>
      <c r="AA271" s="126">
        <v>1</v>
      </c>
      <c r="AB271" s="126">
        <v>2</v>
      </c>
      <c r="AC271" s="126">
        <v>6</v>
      </c>
      <c r="AD271" s="126">
        <v>2026</v>
      </c>
    </row>
    <row r="272" spans="3:30">
      <c r="C272" s="126">
        <v>265</v>
      </c>
      <c r="D272" s="126">
        <v>24</v>
      </c>
      <c r="E272" s="126">
        <v>10</v>
      </c>
      <c r="F272" s="126">
        <v>1</v>
      </c>
      <c r="G272" s="126">
        <v>1</v>
      </c>
      <c r="H272" s="126">
        <v>1</v>
      </c>
      <c r="I272" s="126">
        <v>1</v>
      </c>
      <c r="J272" s="126">
        <v>45</v>
      </c>
      <c r="P272" s="126">
        <v>65</v>
      </c>
      <c r="R272" s="126" t="s">
        <v>549</v>
      </c>
      <c r="S272" s="259">
        <v>0</v>
      </c>
      <c r="T272" s="259">
        <v>6</v>
      </c>
      <c r="U272" s="68" t="s">
        <v>984</v>
      </c>
      <c r="V272" s="126">
        <v>1</v>
      </c>
      <c r="Z272" s="126">
        <v>1</v>
      </c>
      <c r="AA272" s="126">
        <v>1</v>
      </c>
      <c r="AB272" s="126">
        <v>2</v>
      </c>
      <c r="AC272" s="126">
        <v>6</v>
      </c>
      <c r="AD272" s="126">
        <v>2026</v>
      </c>
    </row>
    <row r="273" spans="3:30">
      <c r="C273" s="126">
        <v>266</v>
      </c>
      <c r="D273" s="126">
        <v>24</v>
      </c>
      <c r="E273" s="126">
        <v>3</v>
      </c>
      <c r="F273" s="126">
        <v>1</v>
      </c>
      <c r="G273" s="126">
        <v>1</v>
      </c>
      <c r="H273" s="126">
        <v>1</v>
      </c>
      <c r="I273" s="126">
        <v>1</v>
      </c>
      <c r="J273" s="126">
        <v>183</v>
      </c>
      <c r="M273" s="126">
        <v>106</v>
      </c>
      <c r="N273" s="126">
        <v>0</v>
      </c>
      <c r="P273" s="126">
        <v>66</v>
      </c>
      <c r="R273" s="126" t="s">
        <v>549</v>
      </c>
      <c r="S273" s="259">
        <v>0</v>
      </c>
      <c r="T273" s="259">
        <v>40</v>
      </c>
      <c r="U273" s="68" t="s">
        <v>985</v>
      </c>
      <c r="V273" s="126">
        <v>1</v>
      </c>
      <c r="Z273" s="126">
        <v>1</v>
      </c>
      <c r="AA273" s="126">
        <v>1</v>
      </c>
      <c r="AB273" s="126">
        <v>2</v>
      </c>
      <c r="AC273" s="126">
        <v>6</v>
      </c>
      <c r="AD273" s="126">
        <v>2026</v>
      </c>
    </row>
    <row r="274" spans="3:30">
      <c r="C274" s="126">
        <v>267</v>
      </c>
      <c r="D274" s="126">
        <v>24</v>
      </c>
      <c r="E274" s="126">
        <v>11</v>
      </c>
      <c r="F274" s="126">
        <v>1</v>
      </c>
      <c r="G274" s="126">
        <v>1</v>
      </c>
      <c r="H274" s="126">
        <v>1</v>
      </c>
      <c r="I274" s="126">
        <v>1</v>
      </c>
      <c r="J274" s="126">
        <v>183</v>
      </c>
      <c r="M274" s="126">
        <v>106</v>
      </c>
      <c r="N274" s="126">
        <v>1</v>
      </c>
      <c r="P274" s="126">
        <v>66</v>
      </c>
      <c r="R274" s="126" t="s">
        <v>549</v>
      </c>
      <c r="S274" s="259">
        <v>40</v>
      </c>
      <c r="T274" s="259">
        <v>0</v>
      </c>
      <c r="U274" s="68" t="s">
        <v>986</v>
      </c>
      <c r="V274" s="126">
        <v>1</v>
      </c>
      <c r="Z274" s="126">
        <v>1</v>
      </c>
      <c r="AA274" s="126">
        <v>1</v>
      </c>
      <c r="AB274" s="126">
        <v>2</v>
      </c>
      <c r="AC274" s="126">
        <v>6</v>
      </c>
      <c r="AD274" s="126">
        <v>2026</v>
      </c>
    </row>
    <row r="275" spans="3:30">
      <c r="C275" s="126">
        <v>268</v>
      </c>
      <c r="D275" s="126">
        <v>24</v>
      </c>
      <c r="E275" s="126">
        <v>10</v>
      </c>
      <c r="F275" s="126">
        <v>1</v>
      </c>
      <c r="G275" s="126">
        <v>1</v>
      </c>
      <c r="H275" s="126">
        <v>1</v>
      </c>
      <c r="I275" s="126">
        <v>1</v>
      </c>
      <c r="J275" s="126">
        <v>183</v>
      </c>
      <c r="P275" s="126">
        <v>66</v>
      </c>
      <c r="R275" s="126" t="s">
        <v>549</v>
      </c>
      <c r="S275" s="259">
        <v>0</v>
      </c>
      <c r="T275" s="259">
        <v>50</v>
      </c>
      <c r="U275" s="68" t="s">
        <v>987</v>
      </c>
      <c r="V275" s="126">
        <v>1</v>
      </c>
      <c r="Z275" s="126">
        <v>1</v>
      </c>
      <c r="AA275" s="126">
        <v>1</v>
      </c>
      <c r="AB275" s="126">
        <v>2</v>
      </c>
      <c r="AC275" s="126">
        <v>6</v>
      </c>
      <c r="AD275" s="126">
        <v>2026</v>
      </c>
    </row>
    <row r="276" spans="3:30">
      <c r="C276" s="126">
        <v>269</v>
      </c>
      <c r="D276" s="126">
        <v>25</v>
      </c>
      <c r="E276" s="126">
        <v>2</v>
      </c>
      <c r="F276" s="126">
        <v>1</v>
      </c>
      <c r="G276" s="126">
        <v>1</v>
      </c>
      <c r="H276" s="126">
        <v>1</v>
      </c>
      <c r="I276" s="126">
        <v>1</v>
      </c>
      <c r="R276" s="126" t="s">
        <v>549</v>
      </c>
      <c r="S276" s="259">
        <v>60.6</v>
      </c>
      <c r="T276" s="259">
        <v>0</v>
      </c>
      <c r="U276" s="68" t="s">
        <v>989</v>
      </c>
      <c r="V276" s="126">
        <v>1</v>
      </c>
      <c r="Z276" s="126">
        <v>1</v>
      </c>
      <c r="AA276" s="126">
        <v>1</v>
      </c>
      <c r="AB276" s="126">
        <v>2</v>
      </c>
      <c r="AC276" s="126">
        <v>6</v>
      </c>
      <c r="AD276" s="126">
        <v>2026</v>
      </c>
    </row>
    <row r="277" spans="3:30">
      <c r="C277" s="126">
        <v>270</v>
      </c>
      <c r="D277" s="126">
        <v>25</v>
      </c>
      <c r="E277" s="126">
        <v>3</v>
      </c>
      <c r="F277" s="126">
        <v>1</v>
      </c>
      <c r="G277" s="126">
        <v>1</v>
      </c>
      <c r="H277" s="126">
        <v>1</v>
      </c>
      <c r="I277" s="126">
        <v>1</v>
      </c>
      <c r="J277" s="126">
        <v>16</v>
      </c>
      <c r="M277" s="126">
        <v>107</v>
      </c>
      <c r="N277" s="126">
        <v>0</v>
      </c>
      <c r="P277" s="126">
        <v>67</v>
      </c>
      <c r="R277" s="126" t="s">
        <v>549</v>
      </c>
      <c r="S277" s="259">
        <v>0</v>
      </c>
      <c r="T277" s="259">
        <v>16.8</v>
      </c>
      <c r="U277" s="68" t="s">
        <v>990</v>
      </c>
      <c r="V277" s="126">
        <v>1</v>
      </c>
      <c r="Z277" s="126">
        <v>1</v>
      </c>
      <c r="AA277" s="126">
        <v>1</v>
      </c>
      <c r="AB277" s="126">
        <v>2</v>
      </c>
      <c r="AC277" s="126">
        <v>6</v>
      </c>
      <c r="AD277" s="126">
        <v>2026</v>
      </c>
    </row>
    <row r="278" spans="3:30">
      <c r="C278" s="126">
        <v>271</v>
      </c>
      <c r="D278" s="126">
        <v>25</v>
      </c>
      <c r="E278" s="126">
        <v>11</v>
      </c>
      <c r="F278" s="126">
        <v>1</v>
      </c>
      <c r="G278" s="126">
        <v>1</v>
      </c>
      <c r="H278" s="126">
        <v>1</v>
      </c>
      <c r="I278" s="126">
        <v>1</v>
      </c>
      <c r="J278" s="126">
        <v>16</v>
      </c>
      <c r="M278" s="126">
        <v>107</v>
      </c>
      <c r="N278" s="126">
        <v>1</v>
      </c>
      <c r="P278" s="126">
        <v>67</v>
      </c>
      <c r="R278" s="126" t="s">
        <v>549</v>
      </c>
      <c r="S278" s="259">
        <v>16.8</v>
      </c>
      <c r="T278" s="259">
        <v>0</v>
      </c>
      <c r="U278" s="68" t="s">
        <v>991</v>
      </c>
      <c r="V278" s="126">
        <v>1</v>
      </c>
      <c r="Z278" s="126">
        <v>1</v>
      </c>
      <c r="AA278" s="126">
        <v>1</v>
      </c>
      <c r="AB278" s="126">
        <v>2</v>
      </c>
      <c r="AC278" s="126">
        <v>6</v>
      </c>
      <c r="AD278" s="126">
        <v>2026</v>
      </c>
    </row>
    <row r="279" spans="3:30">
      <c r="C279" s="126">
        <v>272</v>
      </c>
      <c r="D279" s="126">
        <v>25</v>
      </c>
      <c r="E279" s="126">
        <v>10</v>
      </c>
      <c r="F279" s="126">
        <v>1</v>
      </c>
      <c r="G279" s="126">
        <v>1</v>
      </c>
      <c r="H279" s="126">
        <v>1</v>
      </c>
      <c r="I279" s="126">
        <v>1</v>
      </c>
      <c r="J279" s="126">
        <v>16</v>
      </c>
      <c r="P279" s="126">
        <v>67</v>
      </c>
      <c r="R279" s="126" t="s">
        <v>549</v>
      </c>
      <c r="S279" s="259">
        <v>0</v>
      </c>
      <c r="T279" s="259">
        <v>24</v>
      </c>
      <c r="U279" s="68" t="s">
        <v>992</v>
      </c>
      <c r="V279" s="126">
        <v>1</v>
      </c>
      <c r="Z279" s="126">
        <v>1</v>
      </c>
      <c r="AA279" s="126">
        <v>1</v>
      </c>
      <c r="AB279" s="126">
        <v>2</v>
      </c>
      <c r="AC279" s="126">
        <v>6</v>
      </c>
      <c r="AD279" s="126">
        <v>2026</v>
      </c>
    </row>
    <row r="280" spans="3:30">
      <c r="C280" s="126">
        <v>273</v>
      </c>
      <c r="D280" s="126">
        <v>25</v>
      </c>
      <c r="E280" s="126">
        <v>3</v>
      </c>
      <c r="F280" s="126">
        <v>1</v>
      </c>
      <c r="G280" s="126">
        <v>1</v>
      </c>
      <c r="H280" s="126">
        <v>1</v>
      </c>
      <c r="I280" s="126">
        <v>1</v>
      </c>
      <c r="J280" s="126">
        <v>41</v>
      </c>
      <c r="M280" s="126">
        <v>108</v>
      </c>
      <c r="N280" s="126">
        <v>0</v>
      </c>
      <c r="P280" s="126">
        <v>68</v>
      </c>
      <c r="R280" s="126" t="s">
        <v>549</v>
      </c>
      <c r="S280" s="259">
        <v>0</v>
      </c>
      <c r="T280" s="259">
        <v>1.06</v>
      </c>
      <c r="U280" s="68" t="s">
        <v>993</v>
      </c>
      <c r="V280" s="126">
        <v>1</v>
      </c>
      <c r="Z280" s="126">
        <v>1</v>
      </c>
      <c r="AA280" s="126">
        <v>1</v>
      </c>
      <c r="AB280" s="126">
        <v>2</v>
      </c>
      <c r="AC280" s="126">
        <v>6</v>
      </c>
      <c r="AD280" s="126">
        <v>2026</v>
      </c>
    </row>
    <row r="281" spans="3:30">
      <c r="C281" s="126">
        <v>274</v>
      </c>
      <c r="D281" s="126">
        <v>25</v>
      </c>
      <c r="E281" s="126">
        <v>11</v>
      </c>
      <c r="F281" s="126">
        <v>1</v>
      </c>
      <c r="G281" s="126">
        <v>1</v>
      </c>
      <c r="H281" s="126">
        <v>1</v>
      </c>
      <c r="I281" s="126">
        <v>1</v>
      </c>
      <c r="J281" s="126">
        <v>41</v>
      </c>
      <c r="M281" s="126">
        <v>108</v>
      </c>
      <c r="N281" s="126">
        <v>1</v>
      </c>
      <c r="P281" s="126">
        <v>68</v>
      </c>
      <c r="R281" s="126" t="s">
        <v>549</v>
      </c>
      <c r="S281" s="259">
        <v>1.06</v>
      </c>
      <c r="T281" s="259">
        <v>0</v>
      </c>
      <c r="U281" s="68" t="s">
        <v>994</v>
      </c>
      <c r="V281" s="126">
        <v>1</v>
      </c>
      <c r="Z281" s="126">
        <v>1</v>
      </c>
      <c r="AA281" s="126">
        <v>1</v>
      </c>
      <c r="AB281" s="126">
        <v>2</v>
      </c>
      <c r="AC281" s="126">
        <v>6</v>
      </c>
      <c r="AD281" s="126">
        <v>2026</v>
      </c>
    </row>
    <row r="282" spans="3:30">
      <c r="C282" s="126">
        <v>275</v>
      </c>
      <c r="D282" s="126">
        <v>25</v>
      </c>
      <c r="E282" s="126">
        <v>10</v>
      </c>
      <c r="F282" s="126">
        <v>1</v>
      </c>
      <c r="G282" s="126">
        <v>1</v>
      </c>
      <c r="H282" s="126">
        <v>1</v>
      </c>
      <c r="I282" s="126">
        <v>1</v>
      </c>
      <c r="J282" s="126">
        <v>41</v>
      </c>
      <c r="P282" s="126">
        <v>68</v>
      </c>
      <c r="R282" s="126" t="s">
        <v>549</v>
      </c>
      <c r="S282" s="259">
        <v>0</v>
      </c>
      <c r="T282" s="259">
        <v>1.6</v>
      </c>
      <c r="U282" s="68" t="s">
        <v>995</v>
      </c>
      <c r="V282" s="126">
        <v>1</v>
      </c>
      <c r="Z282" s="126">
        <v>1</v>
      </c>
      <c r="AA282" s="126">
        <v>1</v>
      </c>
      <c r="AB282" s="126">
        <v>2</v>
      </c>
      <c r="AC282" s="126">
        <v>6</v>
      </c>
      <c r="AD282" s="126">
        <v>2026</v>
      </c>
    </row>
    <row r="283" spans="3:30">
      <c r="C283" s="126">
        <v>276</v>
      </c>
      <c r="D283" s="126">
        <v>25</v>
      </c>
      <c r="E283" s="126">
        <v>3</v>
      </c>
      <c r="F283" s="126">
        <v>1</v>
      </c>
      <c r="G283" s="126">
        <v>1</v>
      </c>
      <c r="H283" s="126">
        <v>1</v>
      </c>
      <c r="I283" s="126">
        <v>1</v>
      </c>
      <c r="J283" s="126">
        <v>144</v>
      </c>
      <c r="M283" s="126">
        <v>109</v>
      </c>
      <c r="N283" s="126">
        <v>0</v>
      </c>
      <c r="P283" s="126">
        <v>69</v>
      </c>
      <c r="R283" s="126" t="s">
        <v>549</v>
      </c>
      <c r="S283" s="259">
        <v>0</v>
      </c>
      <c r="T283" s="259">
        <v>2.4</v>
      </c>
      <c r="U283" s="68" t="s">
        <v>998</v>
      </c>
      <c r="V283" s="126">
        <v>1</v>
      </c>
      <c r="Z283" s="126">
        <v>1</v>
      </c>
      <c r="AA283" s="126">
        <v>1</v>
      </c>
      <c r="AB283" s="126">
        <v>2</v>
      </c>
      <c r="AC283" s="126">
        <v>6</v>
      </c>
      <c r="AD283" s="126">
        <v>2026</v>
      </c>
    </row>
    <row r="284" spans="3:30">
      <c r="C284" s="126">
        <v>277</v>
      </c>
      <c r="D284" s="126">
        <v>25</v>
      </c>
      <c r="E284" s="126">
        <v>11</v>
      </c>
      <c r="F284" s="126">
        <v>1</v>
      </c>
      <c r="G284" s="126">
        <v>1</v>
      </c>
      <c r="H284" s="126">
        <v>1</v>
      </c>
      <c r="I284" s="126">
        <v>1</v>
      </c>
      <c r="J284" s="126">
        <v>144</v>
      </c>
      <c r="M284" s="126">
        <v>109</v>
      </c>
      <c r="N284" s="126">
        <v>1</v>
      </c>
      <c r="P284" s="126">
        <v>69</v>
      </c>
      <c r="R284" s="126" t="s">
        <v>549</v>
      </c>
      <c r="S284" s="259">
        <v>2.4</v>
      </c>
      <c r="T284" s="259">
        <v>0</v>
      </c>
      <c r="U284" s="68" t="s">
        <v>999</v>
      </c>
      <c r="V284" s="126">
        <v>1</v>
      </c>
      <c r="Z284" s="126">
        <v>1</v>
      </c>
      <c r="AA284" s="126">
        <v>1</v>
      </c>
      <c r="AB284" s="126">
        <v>2</v>
      </c>
      <c r="AC284" s="126">
        <v>6</v>
      </c>
      <c r="AD284" s="126">
        <v>2026</v>
      </c>
    </row>
    <row r="285" spans="3:30">
      <c r="C285" s="126">
        <v>278</v>
      </c>
      <c r="D285" s="126">
        <v>25</v>
      </c>
      <c r="E285" s="126">
        <v>10</v>
      </c>
      <c r="F285" s="126">
        <v>1</v>
      </c>
      <c r="G285" s="126">
        <v>1</v>
      </c>
      <c r="H285" s="126">
        <v>1</v>
      </c>
      <c r="I285" s="126">
        <v>1</v>
      </c>
      <c r="J285" s="126">
        <v>144</v>
      </c>
      <c r="P285" s="126">
        <v>69</v>
      </c>
      <c r="R285" s="126" t="s">
        <v>549</v>
      </c>
      <c r="S285" s="259">
        <v>0</v>
      </c>
      <c r="T285" s="259">
        <v>5.04</v>
      </c>
      <c r="U285" s="68" t="s">
        <v>1000</v>
      </c>
      <c r="V285" s="126">
        <v>1</v>
      </c>
      <c r="Z285" s="126">
        <v>1</v>
      </c>
      <c r="AA285" s="126">
        <v>1</v>
      </c>
      <c r="AB285" s="126">
        <v>2</v>
      </c>
      <c r="AC285" s="126">
        <v>6</v>
      </c>
      <c r="AD285" s="126">
        <v>2026</v>
      </c>
    </row>
    <row r="286" spans="3:30">
      <c r="C286" s="126">
        <v>279</v>
      </c>
      <c r="D286" s="126">
        <v>25</v>
      </c>
      <c r="E286" s="126">
        <v>3</v>
      </c>
      <c r="F286" s="126">
        <v>1</v>
      </c>
      <c r="G286" s="126">
        <v>1</v>
      </c>
      <c r="H286" s="126">
        <v>1</v>
      </c>
      <c r="I286" s="126">
        <v>1</v>
      </c>
      <c r="J286" s="126">
        <v>155</v>
      </c>
      <c r="M286" s="126">
        <v>110</v>
      </c>
      <c r="N286" s="126">
        <v>0</v>
      </c>
      <c r="P286" s="126">
        <v>70</v>
      </c>
      <c r="R286" s="126" t="s">
        <v>549</v>
      </c>
      <c r="S286" s="259">
        <v>0</v>
      </c>
      <c r="T286" s="259">
        <v>29</v>
      </c>
      <c r="U286" s="68" t="s">
        <v>1001</v>
      </c>
      <c r="V286" s="126">
        <v>1</v>
      </c>
      <c r="Z286" s="126">
        <v>1</v>
      </c>
      <c r="AA286" s="126">
        <v>1</v>
      </c>
      <c r="AB286" s="126">
        <v>2</v>
      </c>
      <c r="AC286" s="126">
        <v>6</v>
      </c>
      <c r="AD286" s="126">
        <v>2026</v>
      </c>
    </row>
    <row r="287" spans="3:30">
      <c r="C287" s="126">
        <v>280</v>
      </c>
      <c r="D287" s="126">
        <v>25</v>
      </c>
      <c r="E287" s="126">
        <v>11</v>
      </c>
      <c r="F287" s="126">
        <v>1</v>
      </c>
      <c r="G287" s="126">
        <v>1</v>
      </c>
      <c r="H287" s="126">
        <v>1</v>
      </c>
      <c r="I287" s="126">
        <v>1</v>
      </c>
      <c r="J287" s="126">
        <v>155</v>
      </c>
      <c r="M287" s="126">
        <v>110</v>
      </c>
      <c r="N287" s="126">
        <v>1</v>
      </c>
      <c r="P287" s="126">
        <v>70</v>
      </c>
      <c r="R287" s="126" t="s">
        <v>549</v>
      </c>
      <c r="S287" s="259">
        <v>29</v>
      </c>
      <c r="T287" s="259">
        <v>0</v>
      </c>
      <c r="U287" s="68" t="s">
        <v>1002</v>
      </c>
      <c r="V287" s="126">
        <v>1</v>
      </c>
      <c r="Z287" s="126">
        <v>1</v>
      </c>
      <c r="AA287" s="126">
        <v>1</v>
      </c>
      <c r="AB287" s="126">
        <v>2</v>
      </c>
      <c r="AC287" s="126">
        <v>6</v>
      </c>
      <c r="AD287" s="126">
        <v>2026</v>
      </c>
    </row>
    <row r="288" spans="3:30">
      <c r="C288" s="126">
        <v>281</v>
      </c>
      <c r="D288" s="126">
        <v>25</v>
      </c>
      <c r="E288" s="126">
        <v>10</v>
      </c>
      <c r="F288" s="126">
        <v>1</v>
      </c>
      <c r="G288" s="126">
        <v>1</v>
      </c>
      <c r="H288" s="126">
        <v>1</v>
      </c>
      <c r="I288" s="126">
        <v>1</v>
      </c>
      <c r="J288" s="126">
        <v>155</v>
      </c>
      <c r="P288" s="126">
        <v>70</v>
      </c>
      <c r="R288" s="126" t="s">
        <v>549</v>
      </c>
      <c r="S288" s="259">
        <v>0</v>
      </c>
      <c r="T288" s="259">
        <v>30</v>
      </c>
      <c r="U288" s="68" t="s">
        <v>1003</v>
      </c>
      <c r="V288" s="126">
        <v>1</v>
      </c>
      <c r="Z288" s="126">
        <v>1</v>
      </c>
      <c r="AA288" s="126">
        <v>1</v>
      </c>
      <c r="AB288" s="126">
        <v>2</v>
      </c>
      <c r="AC288" s="126">
        <v>6</v>
      </c>
      <c r="AD288" s="126">
        <v>2026</v>
      </c>
    </row>
    <row r="289" spans="3:30">
      <c r="C289" s="126">
        <v>282</v>
      </c>
      <c r="D289" s="126">
        <v>26</v>
      </c>
      <c r="E289" s="126">
        <v>2</v>
      </c>
      <c r="F289" s="126">
        <v>1</v>
      </c>
      <c r="G289" s="126">
        <v>1</v>
      </c>
      <c r="H289" s="126">
        <v>1</v>
      </c>
      <c r="I289" s="126">
        <v>1</v>
      </c>
      <c r="R289" s="126" t="s">
        <v>549</v>
      </c>
      <c r="S289" s="259">
        <v>48</v>
      </c>
      <c r="T289" s="259">
        <v>0</v>
      </c>
      <c r="U289" s="68" t="s">
        <v>1005</v>
      </c>
      <c r="V289" s="126">
        <v>1</v>
      </c>
      <c r="Z289" s="126">
        <v>1</v>
      </c>
      <c r="AA289" s="126">
        <v>1</v>
      </c>
      <c r="AB289" s="126">
        <v>2</v>
      </c>
      <c r="AC289" s="126">
        <v>6</v>
      </c>
      <c r="AD289" s="126">
        <v>2026</v>
      </c>
    </row>
    <row r="290" spans="3:30">
      <c r="C290" s="126">
        <v>283</v>
      </c>
      <c r="D290" s="126">
        <v>26</v>
      </c>
      <c r="E290" s="126">
        <v>3</v>
      </c>
      <c r="F290" s="126">
        <v>1</v>
      </c>
      <c r="G290" s="126">
        <v>1</v>
      </c>
      <c r="H290" s="126">
        <v>1</v>
      </c>
      <c r="I290" s="126">
        <v>1</v>
      </c>
      <c r="J290" s="126">
        <v>189</v>
      </c>
      <c r="M290" s="126">
        <v>111</v>
      </c>
      <c r="N290" s="126">
        <v>0</v>
      </c>
      <c r="P290" s="126">
        <v>71</v>
      </c>
      <c r="R290" s="126" t="s">
        <v>549</v>
      </c>
      <c r="S290" s="259">
        <v>0</v>
      </c>
      <c r="T290" s="259">
        <v>32.72</v>
      </c>
      <c r="U290" s="68" t="s">
        <v>1006</v>
      </c>
      <c r="V290" s="126">
        <v>1</v>
      </c>
      <c r="Z290" s="126">
        <v>1</v>
      </c>
      <c r="AA290" s="126">
        <v>1</v>
      </c>
      <c r="AB290" s="126">
        <v>2</v>
      </c>
      <c r="AC290" s="126">
        <v>6</v>
      </c>
      <c r="AD290" s="126">
        <v>2026</v>
      </c>
    </row>
    <row r="291" spans="3:30">
      <c r="C291" s="126">
        <v>284</v>
      </c>
      <c r="D291" s="126">
        <v>26</v>
      </c>
      <c r="E291" s="126">
        <v>11</v>
      </c>
      <c r="F291" s="126">
        <v>1</v>
      </c>
      <c r="G291" s="126">
        <v>1</v>
      </c>
      <c r="H291" s="126">
        <v>1</v>
      </c>
      <c r="I291" s="126">
        <v>1</v>
      </c>
      <c r="J291" s="126">
        <v>189</v>
      </c>
      <c r="M291" s="126">
        <v>111</v>
      </c>
      <c r="N291" s="126">
        <v>1</v>
      </c>
      <c r="P291" s="126">
        <v>71</v>
      </c>
      <c r="R291" s="126" t="s">
        <v>549</v>
      </c>
      <c r="S291" s="259">
        <v>32.72</v>
      </c>
      <c r="T291" s="259">
        <v>0</v>
      </c>
      <c r="U291" s="68" t="s">
        <v>1007</v>
      </c>
      <c r="V291" s="126">
        <v>1</v>
      </c>
      <c r="Z291" s="126">
        <v>1</v>
      </c>
      <c r="AA291" s="126">
        <v>1</v>
      </c>
      <c r="AB291" s="126">
        <v>2</v>
      </c>
      <c r="AC291" s="126">
        <v>6</v>
      </c>
      <c r="AD291" s="126">
        <v>2026</v>
      </c>
    </row>
    <row r="292" spans="3:30">
      <c r="C292" s="126">
        <v>285</v>
      </c>
      <c r="D292" s="126">
        <v>26</v>
      </c>
      <c r="E292" s="126">
        <v>10</v>
      </c>
      <c r="F292" s="126">
        <v>1</v>
      </c>
      <c r="G292" s="126">
        <v>1</v>
      </c>
      <c r="H292" s="126">
        <v>1</v>
      </c>
      <c r="I292" s="126">
        <v>1</v>
      </c>
      <c r="J292" s="126">
        <v>189</v>
      </c>
      <c r="P292" s="126">
        <v>71</v>
      </c>
      <c r="R292" s="126" t="s">
        <v>549</v>
      </c>
      <c r="S292" s="259">
        <v>0</v>
      </c>
      <c r="T292" s="259">
        <v>36</v>
      </c>
      <c r="U292" s="68" t="s">
        <v>1008</v>
      </c>
      <c r="V292" s="126">
        <v>1</v>
      </c>
      <c r="Z292" s="126">
        <v>1</v>
      </c>
      <c r="AA292" s="126">
        <v>1</v>
      </c>
      <c r="AB292" s="126">
        <v>2</v>
      </c>
      <c r="AC292" s="126">
        <v>6</v>
      </c>
      <c r="AD292" s="126">
        <v>2026</v>
      </c>
    </row>
    <row r="293" spans="3:30">
      <c r="C293" s="126">
        <v>286</v>
      </c>
      <c r="D293" s="126">
        <v>26</v>
      </c>
      <c r="E293" s="126">
        <v>3</v>
      </c>
      <c r="F293" s="126">
        <v>1</v>
      </c>
      <c r="G293" s="126">
        <v>1</v>
      </c>
      <c r="H293" s="126">
        <v>1</v>
      </c>
      <c r="I293" s="126">
        <v>1</v>
      </c>
      <c r="J293" s="126">
        <v>108</v>
      </c>
      <c r="M293" s="126">
        <v>112</v>
      </c>
      <c r="N293" s="126">
        <v>0</v>
      </c>
      <c r="P293" s="126">
        <v>72</v>
      </c>
      <c r="R293" s="126" t="s">
        <v>549</v>
      </c>
      <c r="S293" s="259">
        <v>0</v>
      </c>
      <c r="T293" s="259">
        <v>10.8</v>
      </c>
      <c r="U293" s="68" t="s">
        <v>1011</v>
      </c>
      <c r="V293" s="126">
        <v>1</v>
      </c>
      <c r="Z293" s="126">
        <v>1</v>
      </c>
      <c r="AA293" s="126">
        <v>1</v>
      </c>
      <c r="AB293" s="126">
        <v>2</v>
      </c>
      <c r="AC293" s="126">
        <v>6</v>
      </c>
      <c r="AD293" s="126">
        <v>2026</v>
      </c>
    </row>
    <row r="294" spans="3:30">
      <c r="C294" s="126">
        <v>287</v>
      </c>
      <c r="D294" s="126">
        <v>26</v>
      </c>
      <c r="E294" s="126">
        <v>11</v>
      </c>
      <c r="F294" s="126">
        <v>1</v>
      </c>
      <c r="G294" s="126">
        <v>1</v>
      </c>
      <c r="H294" s="126">
        <v>1</v>
      </c>
      <c r="I294" s="126">
        <v>1</v>
      </c>
      <c r="J294" s="126">
        <v>108</v>
      </c>
      <c r="M294" s="126">
        <v>112</v>
      </c>
      <c r="N294" s="126">
        <v>1</v>
      </c>
      <c r="P294" s="126">
        <v>72</v>
      </c>
      <c r="R294" s="126" t="s">
        <v>549</v>
      </c>
      <c r="S294" s="259">
        <v>10.8</v>
      </c>
      <c r="T294" s="259">
        <v>0</v>
      </c>
      <c r="U294" s="68" t="s">
        <v>1012</v>
      </c>
      <c r="V294" s="126">
        <v>1</v>
      </c>
      <c r="Z294" s="126">
        <v>1</v>
      </c>
      <c r="AA294" s="126">
        <v>1</v>
      </c>
      <c r="AB294" s="126">
        <v>2</v>
      </c>
      <c r="AC294" s="126">
        <v>6</v>
      </c>
      <c r="AD294" s="126">
        <v>2026</v>
      </c>
    </row>
    <row r="295" spans="3:30">
      <c r="C295" s="126">
        <v>288</v>
      </c>
      <c r="D295" s="126">
        <v>26</v>
      </c>
      <c r="E295" s="126">
        <v>10</v>
      </c>
      <c r="F295" s="126">
        <v>1</v>
      </c>
      <c r="G295" s="126">
        <v>1</v>
      </c>
      <c r="H295" s="126">
        <v>1</v>
      </c>
      <c r="I295" s="126">
        <v>1</v>
      </c>
      <c r="J295" s="126">
        <v>108</v>
      </c>
      <c r="P295" s="126">
        <v>72</v>
      </c>
      <c r="R295" s="126" t="s">
        <v>549</v>
      </c>
      <c r="S295" s="259">
        <v>0</v>
      </c>
      <c r="T295" s="259">
        <v>12</v>
      </c>
      <c r="U295" s="68" t="s">
        <v>1013</v>
      </c>
      <c r="V295" s="126">
        <v>1</v>
      </c>
      <c r="Z295" s="126">
        <v>1</v>
      </c>
      <c r="AA295" s="126">
        <v>1</v>
      </c>
      <c r="AB295" s="126">
        <v>2</v>
      </c>
      <c r="AC295" s="126">
        <v>6</v>
      </c>
      <c r="AD295" s="126">
        <v>2026</v>
      </c>
    </row>
    <row r="296" spans="3:30">
      <c r="C296" s="126">
        <v>289</v>
      </c>
      <c r="D296" s="126">
        <v>27</v>
      </c>
      <c r="E296" s="126">
        <v>2</v>
      </c>
      <c r="F296" s="126">
        <v>1</v>
      </c>
      <c r="G296" s="126">
        <v>1</v>
      </c>
      <c r="H296" s="126">
        <v>1</v>
      </c>
      <c r="I296" s="126">
        <v>1</v>
      </c>
      <c r="R296" s="126" t="s">
        <v>549</v>
      </c>
      <c r="S296" s="259">
        <v>91</v>
      </c>
      <c r="T296" s="259">
        <v>0</v>
      </c>
      <c r="U296" s="68" t="s">
        <v>1005</v>
      </c>
      <c r="V296" s="126">
        <v>1</v>
      </c>
      <c r="Z296" s="126">
        <v>1</v>
      </c>
      <c r="AA296" s="126">
        <v>1</v>
      </c>
      <c r="AB296" s="126">
        <v>2</v>
      </c>
      <c r="AC296" s="126">
        <v>6</v>
      </c>
      <c r="AD296" s="126">
        <v>2026</v>
      </c>
    </row>
    <row r="297" spans="3:30">
      <c r="C297" s="126">
        <v>290</v>
      </c>
      <c r="D297" s="126">
        <v>27</v>
      </c>
      <c r="E297" s="126">
        <v>3</v>
      </c>
      <c r="F297" s="126">
        <v>1</v>
      </c>
      <c r="G297" s="126">
        <v>1</v>
      </c>
      <c r="H297" s="126">
        <v>1</v>
      </c>
      <c r="I297" s="126">
        <v>1</v>
      </c>
      <c r="J297" s="126">
        <v>177</v>
      </c>
      <c r="M297" s="126">
        <v>113</v>
      </c>
      <c r="N297" s="126">
        <v>0</v>
      </c>
      <c r="P297" s="126">
        <v>73</v>
      </c>
      <c r="R297" s="126" t="s">
        <v>549</v>
      </c>
      <c r="S297" s="259">
        <v>0</v>
      </c>
      <c r="T297" s="259">
        <v>41.5</v>
      </c>
      <c r="U297" s="68" t="s">
        <v>1018</v>
      </c>
      <c r="V297" s="126">
        <v>1</v>
      </c>
      <c r="Z297" s="126">
        <v>1</v>
      </c>
      <c r="AA297" s="126">
        <v>1</v>
      </c>
      <c r="AB297" s="126">
        <v>2</v>
      </c>
      <c r="AC297" s="126">
        <v>6</v>
      </c>
      <c r="AD297" s="126">
        <v>2026</v>
      </c>
    </row>
    <row r="298" spans="3:30">
      <c r="C298" s="126">
        <v>291</v>
      </c>
      <c r="D298" s="126">
        <v>27</v>
      </c>
      <c r="E298" s="126">
        <v>11</v>
      </c>
      <c r="F298" s="126">
        <v>1</v>
      </c>
      <c r="G298" s="126">
        <v>1</v>
      </c>
      <c r="H298" s="126">
        <v>1</v>
      </c>
      <c r="I298" s="126">
        <v>1</v>
      </c>
      <c r="J298" s="126">
        <v>177</v>
      </c>
      <c r="M298" s="126">
        <v>113</v>
      </c>
      <c r="N298" s="126">
        <v>1</v>
      </c>
      <c r="P298" s="126">
        <v>73</v>
      </c>
      <c r="R298" s="126" t="s">
        <v>549</v>
      </c>
      <c r="S298" s="259">
        <v>41.5</v>
      </c>
      <c r="T298" s="259">
        <v>0</v>
      </c>
      <c r="U298" s="68" t="s">
        <v>1019</v>
      </c>
      <c r="V298" s="126">
        <v>1</v>
      </c>
      <c r="Z298" s="126">
        <v>1</v>
      </c>
      <c r="AA298" s="126">
        <v>1</v>
      </c>
      <c r="AB298" s="126">
        <v>2</v>
      </c>
      <c r="AC298" s="126">
        <v>6</v>
      </c>
      <c r="AD298" s="126">
        <v>2026</v>
      </c>
    </row>
    <row r="299" spans="3:30">
      <c r="C299" s="126">
        <v>292</v>
      </c>
      <c r="D299" s="126">
        <v>27</v>
      </c>
      <c r="E299" s="126">
        <v>10</v>
      </c>
      <c r="F299" s="126">
        <v>1</v>
      </c>
      <c r="G299" s="126">
        <v>1</v>
      </c>
      <c r="H299" s="126">
        <v>1</v>
      </c>
      <c r="I299" s="126">
        <v>1</v>
      </c>
      <c r="J299" s="126">
        <v>177</v>
      </c>
      <c r="P299" s="126">
        <v>73</v>
      </c>
      <c r="R299" s="126" t="s">
        <v>549</v>
      </c>
      <c r="S299" s="259">
        <v>0</v>
      </c>
      <c r="T299" s="259">
        <v>45</v>
      </c>
      <c r="U299" s="68" t="s">
        <v>1020</v>
      </c>
      <c r="V299" s="126">
        <v>1</v>
      </c>
      <c r="Z299" s="126">
        <v>1</v>
      </c>
      <c r="AA299" s="126">
        <v>1</v>
      </c>
      <c r="AB299" s="126">
        <v>2</v>
      </c>
      <c r="AC299" s="126">
        <v>6</v>
      </c>
      <c r="AD299" s="126">
        <v>2026</v>
      </c>
    </row>
    <row r="300" spans="3:30">
      <c r="C300" s="126">
        <v>293</v>
      </c>
      <c r="D300" s="126">
        <v>27</v>
      </c>
      <c r="E300" s="126">
        <v>3</v>
      </c>
      <c r="F300" s="126">
        <v>1</v>
      </c>
      <c r="G300" s="126">
        <v>1</v>
      </c>
      <c r="H300" s="126">
        <v>1</v>
      </c>
      <c r="I300" s="126">
        <v>1</v>
      </c>
      <c r="J300" s="126">
        <v>193</v>
      </c>
      <c r="M300" s="126">
        <v>114</v>
      </c>
      <c r="N300" s="126">
        <v>0</v>
      </c>
      <c r="P300" s="126">
        <v>74</v>
      </c>
      <c r="R300" s="126" t="s">
        <v>549</v>
      </c>
      <c r="S300" s="259">
        <v>0</v>
      </c>
      <c r="T300" s="259">
        <v>15.52</v>
      </c>
      <c r="U300" s="68" t="s">
        <v>1021</v>
      </c>
      <c r="V300" s="126">
        <v>1</v>
      </c>
      <c r="Z300" s="126">
        <v>1</v>
      </c>
      <c r="AA300" s="126">
        <v>1</v>
      </c>
      <c r="AB300" s="126">
        <v>2</v>
      </c>
      <c r="AC300" s="126">
        <v>6</v>
      </c>
      <c r="AD300" s="126">
        <v>2026</v>
      </c>
    </row>
    <row r="301" spans="3:30">
      <c r="C301" s="126">
        <v>294</v>
      </c>
      <c r="D301" s="126">
        <v>27</v>
      </c>
      <c r="E301" s="126">
        <v>11</v>
      </c>
      <c r="F301" s="126">
        <v>1</v>
      </c>
      <c r="G301" s="126">
        <v>1</v>
      </c>
      <c r="H301" s="126">
        <v>1</v>
      </c>
      <c r="I301" s="126">
        <v>1</v>
      </c>
      <c r="J301" s="126">
        <v>193</v>
      </c>
      <c r="M301" s="126">
        <v>114</v>
      </c>
      <c r="N301" s="126">
        <v>1</v>
      </c>
      <c r="P301" s="126">
        <v>74</v>
      </c>
      <c r="R301" s="126" t="s">
        <v>549</v>
      </c>
      <c r="S301" s="259">
        <v>15.52</v>
      </c>
      <c r="T301" s="259">
        <v>0</v>
      </c>
      <c r="U301" s="68" t="s">
        <v>1022</v>
      </c>
      <c r="V301" s="126">
        <v>1</v>
      </c>
      <c r="Z301" s="126">
        <v>1</v>
      </c>
      <c r="AA301" s="126">
        <v>1</v>
      </c>
      <c r="AB301" s="126">
        <v>2</v>
      </c>
      <c r="AC301" s="126">
        <v>6</v>
      </c>
      <c r="AD301" s="126">
        <v>2026</v>
      </c>
    </row>
    <row r="302" spans="3:30">
      <c r="C302" s="126">
        <v>295</v>
      </c>
      <c r="D302" s="126">
        <v>27</v>
      </c>
      <c r="E302" s="126">
        <v>10</v>
      </c>
      <c r="F302" s="126">
        <v>1</v>
      </c>
      <c r="G302" s="126">
        <v>1</v>
      </c>
      <c r="H302" s="126">
        <v>1</v>
      </c>
      <c r="I302" s="126">
        <v>1</v>
      </c>
      <c r="J302" s="126">
        <v>193</v>
      </c>
      <c r="P302" s="126">
        <v>74</v>
      </c>
      <c r="R302" s="126" t="s">
        <v>549</v>
      </c>
      <c r="S302" s="259">
        <v>0</v>
      </c>
      <c r="T302" s="259">
        <v>18</v>
      </c>
      <c r="U302" s="68" t="s">
        <v>1023</v>
      </c>
      <c r="V302" s="126">
        <v>1</v>
      </c>
      <c r="Z302" s="126">
        <v>1</v>
      </c>
      <c r="AA302" s="126">
        <v>1</v>
      </c>
      <c r="AB302" s="126">
        <v>2</v>
      </c>
      <c r="AC302" s="126">
        <v>6</v>
      </c>
      <c r="AD302" s="126">
        <v>2026</v>
      </c>
    </row>
    <row r="303" spans="3:30">
      <c r="C303" s="126">
        <v>296</v>
      </c>
      <c r="D303" s="126">
        <v>27</v>
      </c>
      <c r="E303" s="126">
        <v>3</v>
      </c>
      <c r="F303" s="126">
        <v>1</v>
      </c>
      <c r="G303" s="126">
        <v>1</v>
      </c>
      <c r="H303" s="126">
        <v>1</v>
      </c>
      <c r="I303" s="126">
        <v>1</v>
      </c>
      <c r="J303" s="126">
        <v>103</v>
      </c>
      <c r="M303" s="126">
        <v>115</v>
      </c>
      <c r="N303" s="126">
        <v>0</v>
      </c>
      <c r="P303" s="126">
        <v>75</v>
      </c>
      <c r="R303" s="126" t="s">
        <v>549</v>
      </c>
      <c r="S303" s="259">
        <v>0</v>
      </c>
      <c r="T303" s="259">
        <v>1.5</v>
      </c>
      <c r="U303" s="68" t="s">
        <v>1026</v>
      </c>
      <c r="V303" s="126">
        <v>1</v>
      </c>
      <c r="Z303" s="126">
        <v>1</v>
      </c>
      <c r="AA303" s="126">
        <v>1</v>
      </c>
      <c r="AB303" s="126">
        <v>2</v>
      </c>
      <c r="AC303" s="126">
        <v>6</v>
      </c>
      <c r="AD303" s="126">
        <v>2026</v>
      </c>
    </row>
    <row r="304" spans="3:30">
      <c r="C304" s="126">
        <v>297</v>
      </c>
      <c r="D304" s="126">
        <v>27</v>
      </c>
      <c r="E304" s="126">
        <v>11</v>
      </c>
      <c r="F304" s="126">
        <v>1</v>
      </c>
      <c r="G304" s="126">
        <v>1</v>
      </c>
      <c r="H304" s="126">
        <v>1</v>
      </c>
      <c r="I304" s="126">
        <v>1</v>
      </c>
      <c r="J304" s="126">
        <v>103</v>
      </c>
      <c r="M304" s="126">
        <v>115</v>
      </c>
      <c r="N304" s="126">
        <v>1</v>
      </c>
      <c r="P304" s="126">
        <v>75</v>
      </c>
      <c r="R304" s="126" t="s">
        <v>549</v>
      </c>
      <c r="S304" s="259">
        <v>1.5</v>
      </c>
      <c r="T304" s="259">
        <v>0</v>
      </c>
      <c r="U304" s="68" t="s">
        <v>1027</v>
      </c>
      <c r="V304" s="126">
        <v>1</v>
      </c>
      <c r="Z304" s="126">
        <v>1</v>
      </c>
      <c r="AA304" s="126">
        <v>1</v>
      </c>
      <c r="AB304" s="126">
        <v>2</v>
      </c>
      <c r="AC304" s="126">
        <v>6</v>
      </c>
      <c r="AD304" s="126">
        <v>2026</v>
      </c>
    </row>
    <row r="305" spans="3:30">
      <c r="C305" s="126">
        <v>298</v>
      </c>
      <c r="D305" s="126">
        <v>27</v>
      </c>
      <c r="E305" s="126">
        <v>10</v>
      </c>
      <c r="F305" s="126">
        <v>1</v>
      </c>
      <c r="G305" s="126">
        <v>1</v>
      </c>
      <c r="H305" s="126">
        <v>1</v>
      </c>
      <c r="I305" s="126">
        <v>1</v>
      </c>
      <c r="J305" s="126">
        <v>103</v>
      </c>
      <c r="P305" s="126">
        <v>75</v>
      </c>
      <c r="R305" s="126" t="s">
        <v>549</v>
      </c>
      <c r="S305" s="259">
        <v>0</v>
      </c>
      <c r="T305" s="259">
        <v>2</v>
      </c>
      <c r="U305" s="68" t="s">
        <v>1028</v>
      </c>
      <c r="V305" s="126">
        <v>1</v>
      </c>
      <c r="Z305" s="126">
        <v>1</v>
      </c>
      <c r="AA305" s="126">
        <v>1</v>
      </c>
      <c r="AB305" s="126">
        <v>2</v>
      </c>
      <c r="AC305" s="126">
        <v>6</v>
      </c>
      <c r="AD305" s="126">
        <v>2026</v>
      </c>
    </row>
    <row r="306" spans="3:30">
      <c r="C306" s="126">
        <v>299</v>
      </c>
      <c r="D306" s="126">
        <v>27</v>
      </c>
      <c r="E306" s="126">
        <v>3</v>
      </c>
      <c r="F306" s="126">
        <v>1</v>
      </c>
      <c r="G306" s="126">
        <v>1</v>
      </c>
      <c r="H306" s="126">
        <v>1</v>
      </c>
      <c r="I306" s="126">
        <v>1</v>
      </c>
      <c r="J306" s="126">
        <v>167</v>
      </c>
      <c r="M306" s="126">
        <v>116</v>
      </c>
      <c r="N306" s="126">
        <v>0</v>
      </c>
      <c r="P306" s="126">
        <v>76</v>
      </c>
      <c r="R306" s="126" t="s">
        <v>549</v>
      </c>
      <c r="S306" s="259">
        <v>0</v>
      </c>
      <c r="T306" s="259">
        <v>1.7</v>
      </c>
      <c r="U306" s="68" t="s">
        <v>1031</v>
      </c>
      <c r="V306" s="126">
        <v>1</v>
      </c>
      <c r="Z306" s="126">
        <v>1</v>
      </c>
      <c r="AA306" s="126">
        <v>1</v>
      </c>
      <c r="AB306" s="126">
        <v>2</v>
      </c>
      <c r="AC306" s="126">
        <v>6</v>
      </c>
      <c r="AD306" s="126">
        <v>2026</v>
      </c>
    </row>
    <row r="307" spans="3:30">
      <c r="C307" s="126">
        <v>300</v>
      </c>
      <c r="D307" s="126">
        <v>27</v>
      </c>
      <c r="E307" s="126">
        <v>11</v>
      </c>
      <c r="F307" s="126">
        <v>1</v>
      </c>
      <c r="G307" s="126">
        <v>1</v>
      </c>
      <c r="H307" s="126">
        <v>1</v>
      </c>
      <c r="I307" s="126">
        <v>1</v>
      </c>
      <c r="J307" s="126">
        <v>167</v>
      </c>
      <c r="M307" s="126">
        <v>116</v>
      </c>
      <c r="N307" s="126">
        <v>1</v>
      </c>
      <c r="P307" s="126">
        <v>76</v>
      </c>
      <c r="R307" s="126" t="s">
        <v>549</v>
      </c>
      <c r="S307" s="259">
        <v>1.7</v>
      </c>
      <c r="T307" s="259">
        <v>0</v>
      </c>
      <c r="U307" s="68" t="s">
        <v>1032</v>
      </c>
      <c r="V307" s="126">
        <v>1</v>
      </c>
      <c r="Z307" s="126">
        <v>1</v>
      </c>
      <c r="AA307" s="126">
        <v>1</v>
      </c>
      <c r="AB307" s="126">
        <v>2</v>
      </c>
      <c r="AC307" s="126">
        <v>6</v>
      </c>
      <c r="AD307" s="126">
        <v>2026</v>
      </c>
    </row>
    <row r="308" spans="3:30">
      <c r="C308" s="126">
        <v>301</v>
      </c>
      <c r="D308" s="126">
        <v>27</v>
      </c>
      <c r="E308" s="126">
        <v>10</v>
      </c>
      <c r="F308" s="126">
        <v>1</v>
      </c>
      <c r="G308" s="126">
        <v>1</v>
      </c>
      <c r="H308" s="126">
        <v>1</v>
      </c>
      <c r="I308" s="126">
        <v>1</v>
      </c>
      <c r="J308" s="126">
        <v>167</v>
      </c>
      <c r="P308" s="126">
        <v>76</v>
      </c>
      <c r="R308" s="126" t="s">
        <v>549</v>
      </c>
      <c r="S308" s="259">
        <v>0</v>
      </c>
      <c r="T308" s="259">
        <v>2</v>
      </c>
      <c r="U308" s="68" t="s">
        <v>1033</v>
      </c>
      <c r="V308" s="126">
        <v>1</v>
      </c>
      <c r="Z308" s="126">
        <v>1</v>
      </c>
      <c r="AA308" s="126">
        <v>1</v>
      </c>
      <c r="AB308" s="126">
        <v>2</v>
      </c>
      <c r="AC308" s="126">
        <v>6</v>
      </c>
      <c r="AD308" s="126">
        <v>2026</v>
      </c>
    </row>
    <row r="309" spans="3:30">
      <c r="C309" s="126">
        <v>302</v>
      </c>
      <c r="D309" s="126">
        <v>27</v>
      </c>
      <c r="E309" s="126">
        <v>3</v>
      </c>
      <c r="F309" s="126">
        <v>1</v>
      </c>
      <c r="G309" s="126">
        <v>1</v>
      </c>
      <c r="H309" s="126">
        <v>1</v>
      </c>
      <c r="I309" s="126">
        <v>1</v>
      </c>
      <c r="J309" s="126">
        <v>184</v>
      </c>
      <c r="M309" s="126">
        <v>117</v>
      </c>
      <c r="N309" s="126">
        <v>0</v>
      </c>
      <c r="P309" s="126">
        <v>77</v>
      </c>
      <c r="R309" s="126" t="s">
        <v>549</v>
      </c>
      <c r="S309" s="259">
        <v>0</v>
      </c>
      <c r="T309" s="259">
        <v>12</v>
      </c>
      <c r="U309" s="68" t="s">
        <v>1034</v>
      </c>
      <c r="V309" s="126">
        <v>1</v>
      </c>
      <c r="Z309" s="126">
        <v>1</v>
      </c>
      <c r="AA309" s="126">
        <v>1</v>
      </c>
      <c r="AB309" s="126">
        <v>2</v>
      </c>
      <c r="AC309" s="126">
        <v>6</v>
      </c>
      <c r="AD309" s="126">
        <v>2026</v>
      </c>
    </row>
    <row r="310" spans="3:30">
      <c r="C310" s="126">
        <v>303</v>
      </c>
      <c r="D310" s="126">
        <v>27</v>
      </c>
      <c r="E310" s="126">
        <v>11</v>
      </c>
      <c r="F310" s="126">
        <v>1</v>
      </c>
      <c r="G310" s="126">
        <v>1</v>
      </c>
      <c r="H310" s="126">
        <v>1</v>
      </c>
      <c r="I310" s="126">
        <v>1</v>
      </c>
      <c r="J310" s="126">
        <v>184</v>
      </c>
      <c r="M310" s="126">
        <v>117</v>
      </c>
      <c r="N310" s="126">
        <v>1</v>
      </c>
      <c r="P310" s="126">
        <v>77</v>
      </c>
      <c r="R310" s="126" t="s">
        <v>549</v>
      </c>
      <c r="S310" s="259">
        <v>12</v>
      </c>
      <c r="T310" s="259">
        <v>0</v>
      </c>
      <c r="U310" s="68" t="s">
        <v>1035</v>
      </c>
      <c r="V310" s="126">
        <v>1</v>
      </c>
      <c r="Z310" s="126">
        <v>1</v>
      </c>
      <c r="AA310" s="126">
        <v>1</v>
      </c>
      <c r="AB310" s="126">
        <v>2</v>
      </c>
      <c r="AC310" s="126">
        <v>6</v>
      </c>
      <c r="AD310" s="126">
        <v>2026</v>
      </c>
    </row>
    <row r="311" spans="3:30">
      <c r="C311" s="126">
        <v>304</v>
      </c>
      <c r="D311" s="126">
        <v>27</v>
      </c>
      <c r="E311" s="126">
        <v>10</v>
      </c>
      <c r="F311" s="126">
        <v>1</v>
      </c>
      <c r="G311" s="126">
        <v>1</v>
      </c>
      <c r="H311" s="126">
        <v>1</v>
      </c>
      <c r="I311" s="126">
        <v>1</v>
      </c>
      <c r="J311" s="126">
        <v>184</v>
      </c>
      <c r="P311" s="126">
        <v>77</v>
      </c>
      <c r="R311" s="126" t="s">
        <v>549</v>
      </c>
      <c r="S311" s="259">
        <v>0</v>
      </c>
      <c r="T311" s="259">
        <v>13</v>
      </c>
      <c r="U311" s="68" t="s">
        <v>1036</v>
      </c>
      <c r="V311" s="126">
        <v>1</v>
      </c>
      <c r="Z311" s="126">
        <v>1</v>
      </c>
      <c r="AA311" s="126">
        <v>1</v>
      </c>
      <c r="AB311" s="126">
        <v>2</v>
      </c>
      <c r="AC311" s="126">
        <v>6</v>
      </c>
      <c r="AD311" s="126">
        <v>2026</v>
      </c>
    </row>
    <row r="312" spans="3:30">
      <c r="C312" s="126">
        <v>305</v>
      </c>
      <c r="D312" s="126">
        <v>27</v>
      </c>
      <c r="E312" s="126">
        <v>3</v>
      </c>
      <c r="F312" s="126">
        <v>1</v>
      </c>
      <c r="G312" s="126">
        <v>1</v>
      </c>
      <c r="H312" s="126">
        <v>1</v>
      </c>
      <c r="I312" s="126">
        <v>1</v>
      </c>
      <c r="J312" s="126">
        <v>63</v>
      </c>
      <c r="M312" s="126">
        <v>118</v>
      </c>
      <c r="N312" s="126">
        <v>0</v>
      </c>
      <c r="P312" s="126">
        <v>78</v>
      </c>
      <c r="R312" s="126" t="s">
        <v>549</v>
      </c>
      <c r="S312" s="259">
        <v>0</v>
      </c>
      <c r="T312" s="259">
        <v>4.33</v>
      </c>
      <c r="U312" s="68" t="s">
        <v>1039</v>
      </c>
      <c r="V312" s="126">
        <v>1</v>
      </c>
      <c r="Z312" s="126">
        <v>1</v>
      </c>
      <c r="AA312" s="126">
        <v>1</v>
      </c>
      <c r="AB312" s="126">
        <v>2</v>
      </c>
      <c r="AC312" s="126">
        <v>6</v>
      </c>
      <c r="AD312" s="126">
        <v>2026</v>
      </c>
    </row>
    <row r="313" spans="3:30">
      <c r="C313" s="126">
        <v>306</v>
      </c>
      <c r="D313" s="126">
        <v>27</v>
      </c>
      <c r="E313" s="126">
        <v>11</v>
      </c>
      <c r="F313" s="126">
        <v>1</v>
      </c>
      <c r="G313" s="126">
        <v>1</v>
      </c>
      <c r="H313" s="126">
        <v>1</v>
      </c>
      <c r="I313" s="126">
        <v>1</v>
      </c>
      <c r="J313" s="126">
        <v>63</v>
      </c>
      <c r="M313" s="126">
        <v>118</v>
      </c>
      <c r="N313" s="126">
        <v>1</v>
      </c>
      <c r="P313" s="126">
        <v>78</v>
      </c>
      <c r="R313" s="126" t="s">
        <v>549</v>
      </c>
      <c r="S313" s="259">
        <v>4.33</v>
      </c>
      <c r="T313" s="259">
        <v>0</v>
      </c>
      <c r="U313" s="68" t="s">
        <v>1040</v>
      </c>
      <c r="V313" s="126">
        <v>1</v>
      </c>
      <c r="Z313" s="126">
        <v>1</v>
      </c>
      <c r="AA313" s="126">
        <v>1</v>
      </c>
      <c r="AB313" s="126">
        <v>2</v>
      </c>
      <c r="AC313" s="126">
        <v>6</v>
      </c>
      <c r="AD313" s="126">
        <v>2026</v>
      </c>
    </row>
    <row r="314" spans="3:30">
      <c r="C314" s="126">
        <v>307</v>
      </c>
      <c r="D314" s="126">
        <v>27</v>
      </c>
      <c r="E314" s="126">
        <v>10</v>
      </c>
      <c r="F314" s="126">
        <v>1</v>
      </c>
      <c r="G314" s="126">
        <v>1</v>
      </c>
      <c r="H314" s="126">
        <v>1</v>
      </c>
      <c r="I314" s="126">
        <v>1</v>
      </c>
      <c r="J314" s="126">
        <v>63</v>
      </c>
      <c r="P314" s="126">
        <v>78</v>
      </c>
      <c r="R314" s="126" t="s">
        <v>549</v>
      </c>
      <c r="S314" s="259">
        <v>0</v>
      </c>
      <c r="T314" s="259">
        <v>6</v>
      </c>
      <c r="U314" s="68" t="s">
        <v>1041</v>
      </c>
      <c r="V314" s="126">
        <v>1</v>
      </c>
      <c r="Z314" s="126">
        <v>1</v>
      </c>
      <c r="AA314" s="126">
        <v>1</v>
      </c>
      <c r="AB314" s="126">
        <v>2</v>
      </c>
      <c r="AC314" s="126">
        <v>6</v>
      </c>
      <c r="AD314" s="126">
        <v>2026</v>
      </c>
    </row>
    <row r="315" spans="3:30">
      <c r="C315" s="126">
        <v>308</v>
      </c>
      <c r="D315" s="126">
        <v>27</v>
      </c>
      <c r="E315" s="126">
        <v>3</v>
      </c>
      <c r="F315" s="126">
        <v>1</v>
      </c>
      <c r="G315" s="126">
        <v>1</v>
      </c>
      <c r="H315" s="126">
        <v>1</v>
      </c>
      <c r="I315" s="126">
        <v>1</v>
      </c>
      <c r="J315" s="126">
        <v>182</v>
      </c>
      <c r="M315" s="126">
        <v>119</v>
      </c>
      <c r="N315" s="126">
        <v>0</v>
      </c>
      <c r="P315" s="126">
        <v>79</v>
      </c>
      <c r="R315" s="126" t="s">
        <v>549</v>
      </c>
      <c r="S315" s="259">
        <v>0</v>
      </c>
      <c r="T315" s="259">
        <v>4</v>
      </c>
      <c r="U315" s="68" t="s">
        <v>1042</v>
      </c>
      <c r="V315" s="126">
        <v>1</v>
      </c>
      <c r="Z315" s="126">
        <v>1</v>
      </c>
      <c r="AA315" s="126">
        <v>1</v>
      </c>
      <c r="AB315" s="126">
        <v>2</v>
      </c>
      <c r="AC315" s="126">
        <v>6</v>
      </c>
      <c r="AD315" s="126">
        <v>2026</v>
      </c>
    </row>
    <row r="316" spans="3:30">
      <c r="C316" s="126">
        <v>309</v>
      </c>
      <c r="D316" s="126">
        <v>27</v>
      </c>
      <c r="E316" s="126">
        <v>11</v>
      </c>
      <c r="F316" s="126">
        <v>1</v>
      </c>
      <c r="G316" s="126">
        <v>1</v>
      </c>
      <c r="H316" s="126">
        <v>1</v>
      </c>
      <c r="I316" s="126">
        <v>1</v>
      </c>
      <c r="J316" s="126">
        <v>182</v>
      </c>
      <c r="M316" s="126">
        <v>119</v>
      </c>
      <c r="N316" s="126">
        <v>1</v>
      </c>
      <c r="P316" s="126">
        <v>79</v>
      </c>
      <c r="R316" s="126" t="s">
        <v>549</v>
      </c>
      <c r="S316" s="259">
        <v>4</v>
      </c>
      <c r="T316" s="259">
        <v>0</v>
      </c>
      <c r="U316" s="68" t="s">
        <v>1043</v>
      </c>
      <c r="V316" s="126">
        <v>1</v>
      </c>
      <c r="Z316" s="126">
        <v>1</v>
      </c>
      <c r="AA316" s="126">
        <v>1</v>
      </c>
      <c r="AB316" s="126">
        <v>2</v>
      </c>
      <c r="AC316" s="126">
        <v>6</v>
      </c>
      <c r="AD316" s="126">
        <v>2026</v>
      </c>
    </row>
    <row r="317" spans="3:30">
      <c r="C317" s="126">
        <v>310</v>
      </c>
      <c r="D317" s="126">
        <v>27</v>
      </c>
      <c r="E317" s="126">
        <v>10</v>
      </c>
      <c r="F317" s="126">
        <v>1</v>
      </c>
      <c r="G317" s="126">
        <v>1</v>
      </c>
      <c r="H317" s="126">
        <v>1</v>
      </c>
      <c r="I317" s="126">
        <v>1</v>
      </c>
      <c r="J317" s="126">
        <v>182</v>
      </c>
      <c r="P317" s="126">
        <v>79</v>
      </c>
      <c r="R317" s="126" t="s">
        <v>549</v>
      </c>
      <c r="S317" s="259">
        <v>0</v>
      </c>
      <c r="T317" s="259">
        <v>5</v>
      </c>
      <c r="U317" s="68" t="s">
        <v>1044</v>
      </c>
      <c r="V317" s="126">
        <v>1</v>
      </c>
      <c r="Z317" s="126">
        <v>1</v>
      </c>
      <c r="AA317" s="126">
        <v>1</v>
      </c>
      <c r="AB317" s="126">
        <v>2</v>
      </c>
      <c r="AC317" s="126">
        <v>6</v>
      </c>
      <c r="AD317" s="126">
        <v>2026</v>
      </c>
    </row>
    <row r="318" spans="3:30">
      <c r="C318" s="126">
        <v>311</v>
      </c>
      <c r="D318" s="126">
        <v>28</v>
      </c>
      <c r="E318" s="126">
        <v>2</v>
      </c>
      <c r="F318" s="126">
        <v>1</v>
      </c>
      <c r="G318" s="126">
        <v>1</v>
      </c>
      <c r="H318" s="126">
        <v>1</v>
      </c>
      <c r="I318" s="126">
        <v>1</v>
      </c>
      <c r="R318" s="126" t="s">
        <v>549</v>
      </c>
      <c r="S318" s="259">
        <v>84</v>
      </c>
      <c r="T318" s="259">
        <v>0</v>
      </c>
      <c r="U318" s="68" t="s">
        <v>1046</v>
      </c>
      <c r="V318" s="126">
        <v>1</v>
      </c>
      <c r="Z318" s="126">
        <v>1</v>
      </c>
      <c r="AA318" s="126">
        <v>1</v>
      </c>
      <c r="AB318" s="126">
        <v>2</v>
      </c>
      <c r="AC318" s="126">
        <v>6</v>
      </c>
      <c r="AD318" s="126">
        <v>2026</v>
      </c>
    </row>
    <row r="319" spans="3:30">
      <c r="C319" s="126">
        <v>312</v>
      </c>
      <c r="D319" s="126">
        <v>28</v>
      </c>
      <c r="E319" s="126">
        <v>3</v>
      </c>
      <c r="F319" s="126">
        <v>1</v>
      </c>
      <c r="G319" s="126">
        <v>1</v>
      </c>
      <c r="H319" s="126">
        <v>1</v>
      </c>
      <c r="I319" s="126">
        <v>1</v>
      </c>
      <c r="J319" s="126">
        <v>187</v>
      </c>
      <c r="M319" s="126">
        <v>120</v>
      </c>
      <c r="N319" s="126">
        <v>0</v>
      </c>
      <c r="P319" s="126">
        <v>80</v>
      </c>
      <c r="R319" s="126" t="s">
        <v>549</v>
      </c>
      <c r="S319" s="259">
        <v>0</v>
      </c>
      <c r="T319" s="259">
        <v>6.74</v>
      </c>
      <c r="U319" s="68" t="s">
        <v>1047</v>
      </c>
      <c r="V319" s="126">
        <v>1</v>
      </c>
      <c r="Z319" s="126">
        <v>1</v>
      </c>
      <c r="AA319" s="126">
        <v>1</v>
      </c>
      <c r="AB319" s="126">
        <v>2</v>
      </c>
      <c r="AC319" s="126">
        <v>6</v>
      </c>
      <c r="AD319" s="126">
        <v>2026</v>
      </c>
    </row>
    <row r="320" spans="3:30">
      <c r="C320" s="126">
        <v>313</v>
      </c>
      <c r="D320" s="126">
        <v>28</v>
      </c>
      <c r="E320" s="126">
        <v>11</v>
      </c>
      <c r="F320" s="126">
        <v>1</v>
      </c>
      <c r="G320" s="126">
        <v>1</v>
      </c>
      <c r="H320" s="126">
        <v>1</v>
      </c>
      <c r="I320" s="126">
        <v>1</v>
      </c>
      <c r="J320" s="126">
        <v>187</v>
      </c>
      <c r="M320" s="126">
        <v>120</v>
      </c>
      <c r="N320" s="126">
        <v>1</v>
      </c>
      <c r="P320" s="126">
        <v>80</v>
      </c>
      <c r="R320" s="126" t="s">
        <v>549</v>
      </c>
      <c r="S320" s="259">
        <v>6.74</v>
      </c>
      <c r="T320" s="259">
        <v>0</v>
      </c>
      <c r="U320" s="68" t="s">
        <v>1048</v>
      </c>
      <c r="V320" s="126">
        <v>1</v>
      </c>
      <c r="Z320" s="126">
        <v>1</v>
      </c>
      <c r="AA320" s="126">
        <v>1</v>
      </c>
      <c r="AB320" s="126">
        <v>2</v>
      </c>
      <c r="AC320" s="126">
        <v>6</v>
      </c>
      <c r="AD320" s="126">
        <v>2026</v>
      </c>
    </row>
    <row r="321" spans="3:30">
      <c r="C321" s="126">
        <v>314</v>
      </c>
      <c r="D321" s="126">
        <v>28</v>
      </c>
      <c r="E321" s="126">
        <v>10</v>
      </c>
      <c r="F321" s="126">
        <v>1</v>
      </c>
      <c r="G321" s="126">
        <v>1</v>
      </c>
      <c r="H321" s="126">
        <v>1</v>
      </c>
      <c r="I321" s="126">
        <v>1</v>
      </c>
      <c r="J321" s="126">
        <v>187</v>
      </c>
      <c r="P321" s="126">
        <v>80</v>
      </c>
      <c r="R321" s="126" t="s">
        <v>549</v>
      </c>
      <c r="S321" s="259">
        <v>0</v>
      </c>
      <c r="T321" s="259">
        <v>7</v>
      </c>
      <c r="U321" s="68" t="s">
        <v>1049</v>
      </c>
      <c r="V321" s="126">
        <v>1</v>
      </c>
      <c r="Z321" s="126">
        <v>1</v>
      </c>
      <c r="AA321" s="126">
        <v>1</v>
      </c>
      <c r="AB321" s="126">
        <v>2</v>
      </c>
      <c r="AC321" s="126">
        <v>6</v>
      </c>
      <c r="AD321" s="126">
        <v>2026</v>
      </c>
    </row>
    <row r="322" spans="3:30">
      <c r="C322" s="126">
        <v>315</v>
      </c>
      <c r="D322" s="126">
        <v>28</v>
      </c>
      <c r="E322" s="126">
        <v>3</v>
      </c>
      <c r="F322" s="126">
        <v>1</v>
      </c>
      <c r="G322" s="126">
        <v>1</v>
      </c>
      <c r="H322" s="126">
        <v>1</v>
      </c>
      <c r="I322" s="126">
        <v>1</v>
      </c>
      <c r="J322" s="126">
        <v>193</v>
      </c>
      <c r="M322" s="126">
        <v>121</v>
      </c>
      <c r="N322" s="126">
        <v>0</v>
      </c>
      <c r="P322" s="126">
        <v>81</v>
      </c>
      <c r="R322" s="126" t="s">
        <v>549</v>
      </c>
      <c r="S322" s="259">
        <v>0</v>
      </c>
      <c r="T322" s="259">
        <v>3.88</v>
      </c>
      <c r="U322" s="68" t="s">
        <v>1050</v>
      </c>
      <c r="V322" s="126">
        <v>1</v>
      </c>
      <c r="Z322" s="126">
        <v>1</v>
      </c>
      <c r="AA322" s="126">
        <v>1</v>
      </c>
      <c r="AB322" s="126">
        <v>2</v>
      </c>
      <c r="AC322" s="126">
        <v>6</v>
      </c>
      <c r="AD322" s="126">
        <v>2026</v>
      </c>
    </row>
    <row r="323" spans="3:30">
      <c r="C323" s="126">
        <v>316</v>
      </c>
      <c r="D323" s="126">
        <v>28</v>
      </c>
      <c r="E323" s="126">
        <v>11</v>
      </c>
      <c r="F323" s="126">
        <v>1</v>
      </c>
      <c r="G323" s="126">
        <v>1</v>
      </c>
      <c r="H323" s="126">
        <v>1</v>
      </c>
      <c r="I323" s="126">
        <v>1</v>
      </c>
      <c r="J323" s="126">
        <v>193</v>
      </c>
      <c r="M323" s="126">
        <v>121</v>
      </c>
      <c r="N323" s="126">
        <v>1</v>
      </c>
      <c r="P323" s="126">
        <v>81</v>
      </c>
      <c r="R323" s="126" t="s">
        <v>549</v>
      </c>
      <c r="S323" s="259">
        <v>3.88</v>
      </c>
      <c r="T323" s="259">
        <v>0</v>
      </c>
      <c r="U323" s="68" t="s">
        <v>1051</v>
      </c>
      <c r="V323" s="126">
        <v>1</v>
      </c>
      <c r="Z323" s="126">
        <v>1</v>
      </c>
      <c r="AA323" s="126">
        <v>1</v>
      </c>
      <c r="AB323" s="126">
        <v>2</v>
      </c>
      <c r="AC323" s="126">
        <v>6</v>
      </c>
      <c r="AD323" s="126">
        <v>2026</v>
      </c>
    </row>
    <row r="324" spans="3:30">
      <c r="C324" s="126">
        <v>317</v>
      </c>
      <c r="D324" s="126">
        <v>28</v>
      </c>
      <c r="E324" s="126">
        <v>10</v>
      </c>
      <c r="F324" s="126">
        <v>1</v>
      </c>
      <c r="G324" s="126">
        <v>1</v>
      </c>
      <c r="H324" s="126">
        <v>1</v>
      </c>
      <c r="I324" s="126">
        <v>1</v>
      </c>
      <c r="J324" s="126">
        <v>193</v>
      </c>
      <c r="P324" s="126">
        <v>81</v>
      </c>
      <c r="R324" s="126" t="s">
        <v>549</v>
      </c>
      <c r="S324" s="259">
        <v>0</v>
      </c>
      <c r="T324" s="259">
        <v>4.3</v>
      </c>
      <c r="U324" s="68" t="s">
        <v>1052</v>
      </c>
      <c r="V324" s="126">
        <v>1</v>
      </c>
      <c r="Z324" s="126">
        <v>1</v>
      </c>
      <c r="AA324" s="126">
        <v>1</v>
      </c>
      <c r="AB324" s="126">
        <v>2</v>
      </c>
      <c r="AC324" s="126">
        <v>6</v>
      </c>
      <c r="AD324" s="126">
        <v>2026</v>
      </c>
    </row>
    <row r="325" spans="3:30">
      <c r="C325" s="126">
        <v>318</v>
      </c>
      <c r="D325" s="126">
        <v>28</v>
      </c>
      <c r="E325" s="126">
        <v>3</v>
      </c>
      <c r="F325" s="126">
        <v>1</v>
      </c>
      <c r="G325" s="126">
        <v>1</v>
      </c>
      <c r="H325" s="126">
        <v>1</v>
      </c>
      <c r="I325" s="126">
        <v>1</v>
      </c>
      <c r="J325" s="126">
        <v>195</v>
      </c>
      <c r="M325" s="126">
        <v>122</v>
      </c>
      <c r="N325" s="126">
        <v>0</v>
      </c>
      <c r="P325" s="126">
        <v>82</v>
      </c>
      <c r="R325" s="126" t="s">
        <v>549</v>
      </c>
      <c r="S325" s="259">
        <v>0</v>
      </c>
      <c r="T325" s="259">
        <v>6.28</v>
      </c>
      <c r="U325" s="68" t="s">
        <v>1053</v>
      </c>
      <c r="V325" s="126">
        <v>1</v>
      </c>
      <c r="Z325" s="126">
        <v>1</v>
      </c>
      <c r="AA325" s="126">
        <v>1</v>
      </c>
      <c r="AB325" s="126">
        <v>2</v>
      </c>
      <c r="AC325" s="126">
        <v>6</v>
      </c>
      <c r="AD325" s="126">
        <v>2026</v>
      </c>
    </row>
    <row r="326" spans="3:30">
      <c r="C326" s="126">
        <v>319</v>
      </c>
      <c r="D326" s="126">
        <v>28</v>
      </c>
      <c r="E326" s="126">
        <v>11</v>
      </c>
      <c r="F326" s="126">
        <v>1</v>
      </c>
      <c r="G326" s="126">
        <v>1</v>
      </c>
      <c r="H326" s="126">
        <v>1</v>
      </c>
      <c r="I326" s="126">
        <v>1</v>
      </c>
      <c r="J326" s="126">
        <v>195</v>
      </c>
      <c r="M326" s="126">
        <v>122</v>
      </c>
      <c r="N326" s="126">
        <v>1</v>
      </c>
      <c r="P326" s="126">
        <v>82</v>
      </c>
      <c r="R326" s="126" t="s">
        <v>549</v>
      </c>
      <c r="S326" s="259">
        <v>6.28</v>
      </c>
      <c r="T326" s="259">
        <v>0</v>
      </c>
      <c r="U326" s="68" t="s">
        <v>1054</v>
      </c>
      <c r="V326" s="126">
        <v>1</v>
      </c>
      <c r="Z326" s="126">
        <v>1</v>
      </c>
      <c r="AA326" s="126">
        <v>1</v>
      </c>
      <c r="AB326" s="126">
        <v>2</v>
      </c>
      <c r="AC326" s="126">
        <v>6</v>
      </c>
      <c r="AD326" s="126">
        <v>2026</v>
      </c>
    </row>
    <row r="327" spans="3:30">
      <c r="C327" s="126">
        <v>320</v>
      </c>
      <c r="D327" s="126">
        <v>28</v>
      </c>
      <c r="E327" s="126">
        <v>10</v>
      </c>
      <c r="F327" s="126">
        <v>1</v>
      </c>
      <c r="G327" s="126">
        <v>1</v>
      </c>
      <c r="H327" s="126">
        <v>1</v>
      </c>
      <c r="I327" s="126">
        <v>1</v>
      </c>
      <c r="J327" s="126">
        <v>195</v>
      </c>
      <c r="P327" s="126">
        <v>82</v>
      </c>
      <c r="R327" s="126" t="s">
        <v>549</v>
      </c>
      <c r="S327" s="259">
        <v>0</v>
      </c>
      <c r="T327" s="259">
        <v>6.7</v>
      </c>
      <c r="U327" s="68" t="s">
        <v>1055</v>
      </c>
      <c r="V327" s="126">
        <v>1</v>
      </c>
      <c r="Z327" s="126">
        <v>1</v>
      </c>
      <c r="AA327" s="126">
        <v>1</v>
      </c>
      <c r="AB327" s="126">
        <v>2</v>
      </c>
      <c r="AC327" s="126">
        <v>6</v>
      </c>
      <c r="AD327" s="126">
        <v>2026</v>
      </c>
    </row>
    <row r="328" spans="3:30">
      <c r="C328" s="126">
        <v>321</v>
      </c>
      <c r="D328" s="126">
        <v>28</v>
      </c>
      <c r="E328" s="126">
        <v>3</v>
      </c>
      <c r="F328" s="126">
        <v>1</v>
      </c>
      <c r="G328" s="126">
        <v>1</v>
      </c>
      <c r="H328" s="126">
        <v>1</v>
      </c>
      <c r="I328" s="126">
        <v>1</v>
      </c>
      <c r="J328" s="126">
        <v>177</v>
      </c>
      <c r="M328" s="126">
        <v>123</v>
      </c>
      <c r="N328" s="126">
        <v>0</v>
      </c>
      <c r="P328" s="126">
        <v>83</v>
      </c>
      <c r="R328" s="126" t="s">
        <v>549</v>
      </c>
      <c r="S328" s="259">
        <v>0</v>
      </c>
      <c r="T328" s="259">
        <v>58.100000000000009</v>
      </c>
      <c r="U328" s="68" t="s">
        <v>1056</v>
      </c>
      <c r="V328" s="126">
        <v>1</v>
      </c>
      <c r="Z328" s="126">
        <v>1</v>
      </c>
      <c r="AA328" s="126">
        <v>1</v>
      </c>
      <c r="AB328" s="126">
        <v>2</v>
      </c>
      <c r="AC328" s="126">
        <v>6</v>
      </c>
      <c r="AD328" s="126">
        <v>2026</v>
      </c>
    </row>
    <row r="329" spans="3:30">
      <c r="C329" s="126">
        <v>322</v>
      </c>
      <c r="D329" s="126">
        <v>28</v>
      </c>
      <c r="E329" s="126">
        <v>11</v>
      </c>
      <c r="F329" s="126">
        <v>1</v>
      </c>
      <c r="G329" s="126">
        <v>1</v>
      </c>
      <c r="H329" s="126">
        <v>1</v>
      </c>
      <c r="I329" s="126">
        <v>1</v>
      </c>
      <c r="J329" s="126">
        <v>177</v>
      </c>
      <c r="M329" s="126">
        <v>123</v>
      </c>
      <c r="N329" s="126">
        <v>1</v>
      </c>
      <c r="P329" s="126">
        <v>83</v>
      </c>
      <c r="R329" s="126" t="s">
        <v>549</v>
      </c>
      <c r="S329" s="259">
        <v>58.100000000000009</v>
      </c>
      <c r="T329" s="259">
        <v>0</v>
      </c>
      <c r="U329" s="68" t="s">
        <v>1057</v>
      </c>
      <c r="V329" s="126">
        <v>1</v>
      </c>
      <c r="Z329" s="126">
        <v>1</v>
      </c>
      <c r="AA329" s="126">
        <v>1</v>
      </c>
      <c r="AB329" s="126">
        <v>2</v>
      </c>
      <c r="AC329" s="126">
        <v>6</v>
      </c>
      <c r="AD329" s="126">
        <v>2026</v>
      </c>
    </row>
    <row r="330" spans="3:30">
      <c r="C330" s="126">
        <v>323</v>
      </c>
      <c r="D330" s="126">
        <v>28</v>
      </c>
      <c r="E330" s="126">
        <v>10</v>
      </c>
      <c r="F330" s="126">
        <v>1</v>
      </c>
      <c r="G330" s="126">
        <v>1</v>
      </c>
      <c r="H330" s="126">
        <v>1</v>
      </c>
      <c r="I330" s="126">
        <v>1</v>
      </c>
      <c r="J330" s="126">
        <v>177</v>
      </c>
      <c r="P330" s="126">
        <v>83</v>
      </c>
      <c r="R330" s="126" t="s">
        <v>549</v>
      </c>
      <c r="S330" s="259">
        <v>0</v>
      </c>
      <c r="T330" s="259">
        <v>63</v>
      </c>
      <c r="U330" s="68" t="s">
        <v>1058</v>
      </c>
      <c r="V330" s="126">
        <v>1</v>
      </c>
      <c r="Z330" s="126">
        <v>1</v>
      </c>
      <c r="AA330" s="126">
        <v>1</v>
      </c>
      <c r="AB330" s="126">
        <v>2</v>
      </c>
      <c r="AC330" s="126">
        <v>6</v>
      </c>
      <c r="AD330" s="126">
        <v>2026</v>
      </c>
    </row>
    <row r="331" spans="3:30">
      <c r="C331" s="126">
        <v>324</v>
      </c>
      <c r="D331" s="126">
        <v>28</v>
      </c>
      <c r="E331" s="126">
        <v>3</v>
      </c>
      <c r="F331" s="126">
        <v>1</v>
      </c>
      <c r="G331" s="126">
        <v>1</v>
      </c>
      <c r="H331" s="126">
        <v>1</v>
      </c>
      <c r="I331" s="126">
        <v>1</v>
      </c>
      <c r="J331" s="126">
        <v>22</v>
      </c>
      <c r="M331" s="126">
        <v>124</v>
      </c>
      <c r="N331" s="126">
        <v>0</v>
      </c>
      <c r="P331" s="126">
        <v>84</v>
      </c>
      <c r="R331" s="126" t="s">
        <v>549</v>
      </c>
      <c r="S331" s="259">
        <v>0</v>
      </c>
      <c r="T331" s="259">
        <v>2.9</v>
      </c>
      <c r="U331" s="68" t="s">
        <v>1059</v>
      </c>
      <c r="V331" s="126">
        <v>1</v>
      </c>
      <c r="Z331" s="126">
        <v>1</v>
      </c>
      <c r="AA331" s="126">
        <v>1</v>
      </c>
      <c r="AB331" s="126">
        <v>2</v>
      </c>
      <c r="AC331" s="126">
        <v>6</v>
      </c>
      <c r="AD331" s="126">
        <v>2026</v>
      </c>
    </row>
    <row r="332" spans="3:30">
      <c r="C332" s="126">
        <v>325</v>
      </c>
      <c r="D332" s="126">
        <v>28</v>
      </c>
      <c r="E332" s="126">
        <v>11</v>
      </c>
      <c r="F332" s="126">
        <v>1</v>
      </c>
      <c r="G332" s="126">
        <v>1</v>
      </c>
      <c r="H332" s="126">
        <v>1</v>
      </c>
      <c r="I332" s="126">
        <v>1</v>
      </c>
      <c r="J332" s="126">
        <v>22</v>
      </c>
      <c r="M332" s="126">
        <v>124</v>
      </c>
      <c r="N332" s="126">
        <v>1</v>
      </c>
      <c r="P332" s="126">
        <v>84</v>
      </c>
      <c r="R332" s="126" t="s">
        <v>549</v>
      </c>
      <c r="S332" s="259">
        <v>2.9</v>
      </c>
      <c r="T332" s="259">
        <v>0</v>
      </c>
      <c r="U332" s="68" t="s">
        <v>1060</v>
      </c>
      <c r="V332" s="126">
        <v>1</v>
      </c>
      <c r="Z332" s="126">
        <v>1</v>
      </c>
      <c r="AA332" s="126">
        <v>1</v>
      </c>
      <c r="AB332" s="126">
        <v>2</v>
      </c>
      <c r="AC332" s="126">
        <v>6</v>
      </c>
      <c r="AD332" s="126">
        <v>2026</v>
      </c>
    </row>
    <row r="333" spans="3:30">
      <c r="C333" s="126">
        <v>326</v>
      </c>
      <c r="D333" s="126">
        <v>28</v>
      </c>
      <c r="E333" s="126">
        <v>10</v>
      </c>
      <c r="F333" s="126">
        <v>1</v>
      </c>
      <c r="G333" s="126">
        <v>1</v>
      </c>
      <c r="H333" s="126">
        <v>1</v>
      </c>
      <c r="I333" s="126">
        <v>1</v>
      </c>
      <c r="J333" s="126">
        <v>22</v>
      </c>
      <c r="P333" s="126">
        <v>84</v>
      </c>
      <c r="R333" s="126" t="s">
        <v>549</v>
      </c>
      <c r="S333" s="259">
        <v>0</v>
      </c>
      <c r="T333" s="259">
        <v>3</v>
      </c>
      <c r="U333" s="68" t="s">
        <v>1061</v>
      </c>
      <c r="V333" s="126">
        <v>1</v>
      </c>
      <c r="Z333" s="126">
        <v>1</v>
      </c>
      <c r="AA333" s="126">
        <v>1</v>
      </c>
      <c r="AB333" s="126">
        <v>2</v>
      </c>
      <c r="AC333" s="126">
        <v>6</v>
      </c>
      <c r="AD333" s="126">
        <v>2026</v>
      </c>
    </row>
    <row r="334" spans="3:30">
      <c r="C334" s="126">
        <v>327</v>
      </c>
      <c r="D334" s="126">
        <v>29</v>
      </c>
      <c r="E334" s="126">
        <v>2</v>
      </c>
      <c r="F334" s="126">
        <v>1</v>
      </c>
      <c r="G334" s="126">
        <v>1</v>
      </c>
      <c r="H334" s="126">
        <v>1</v>
      </c>
      <c r="I334" s="126">
        <v>1</v>
      </c>
      <c r="R334" s="126" t="s">
        <v>549</v>
      </c>
      <c r="S334" s="259">
        <v>77.5</v>
      </c>
      <c r="T334" s="259">
        <v>0</v>
      </c>
      <c r="U334" s="68" t="s">
        <v>1064</v>
      </c>
      <c r="V334" s="126">
        <v>1</v>
      </c>
      <c r="Z334" s="126">
        <v>1</v>
      </c>
      <c r="AA334" s="126">
        <v>1</v>
      </c>
      <c r="AB334" s="126">
        <v>2</v>
      </c>
      <c r="AC334" s="126">
        <v>6</v>
      </c>
      <c r="AD334" s="126">
        <v>2026</v>
      </c>
    </row>
    <row r="335" spans="3:30">
      <c r="C335" s="126">
        <v>328</v>
      </c>
      <c r="D335" s="126">
        <v>29</v>
      </c>
      <c r="E335" s="126">
        <v>3</v>
      </c>
      <c r="F335" s="126">
        <v>1</v>
      </c>
      <c r="G335" s="126">
        <v>1</v>
      </c>
      <c r="H335" s="126">
        <v>1</v>
      </c>
      <c r="I335" s="126">
        <v>1</v>
      </c>
      <c r="J335" s="126">
        <v>177</v>
      </c>
      <c r="M335" s="126">
        <v>125</v>
      </c>
      <c r="N335" s="126">
        <v>0</v>
      </c>
      <c r="P335" s="126">
        <v>85</v>
      </c>
      <c r="R335" s="126" t="s">
        <v>549</v>
      </c>
      <c r="S335" s="259">
        <v>0</v>
      </c>
      <c r="T335" s="259">
        <v>41.5</v>
      </c>
      <c r="U335" s="68" t="s">
        <v>1065</v>
      </c>
      <c r="V335" s="126">
        <v>1</v>
      </c>
      <c r="Z335" s="126">
        <v>1</v>
      </c>
      <c r="AA335" s="126">
        <v>1</v>
      </c>
      <c r="AB335" s="126">
        <v>2</v>
      </c>
      <c r="AC335" s="126">
        <v>6</v>
      </c>
      <c r="AD335" s="126">
        <v>2026</v>
      </c>
    </row>
    <row r="336" spans="3:30">
      <c r="C336" s="126">
        <v>329</v>
      </c>
      <c r="D336" s="126">
        <v>29</v>
      </c>
      <c r="E336" s="126">
        <v>11</v>
      </c>
      <c r="F336" s="126">
        <v>1</v>
      </c>
      <c r="G336" s="126">
        <v>1</v>
      </c>
      <c r="H336" s="126">
        <v>1</v>
      </c>
      <c r="I336" s="126">
        <v>1</v>
      </c>
      <c r="J336" s="126">
        <v>177</v>
      </c>
      <c r="M336" s="126">
        <v>125</v>
      </c>
      <c r="N336" s="126">
        <v>1</v>
      </c>
      <c r="P336" s="126">
        <v>85</v>
      </c>
      <c r="R336" s="126" t="s">
        <v>549</v>
      </c>
      <c r="S336" s="259">
        <v>41.5</v>
      </c>
      <c r="T336" s="259">
        <v>0</v>
      </c>
      <c r="U336" s="68" t="s">
        <v>1066</v>
      </c>
      <c r="V336" s="126">
        <v>1</v>
      </c>
      <c r="Z336" s="126">
        <v>1</v>
      </c>
      <c r="AA336" s="126">
        <v>1</v>
      </c>
      <c r="AB336" s="126">
        <v>2</v>
      </c>
      <c r="AC336" s="126">
        <v>6</v>
      </c>
      <c r="AD336" s="126">
        <v>2026</v>
      </c>
    </row>
    <row r="337" spans="3:30">
      <c r="C337" s="126">
        <v>330</v>
      </c>
      <c r="D337" s="126">
        <v>29</v>
      </c>
      <c r="E337" s="126">
        <v>10</v>
      </c>
      <c r="F337" s="126">
        <v>1</v>
      </c>
      <c r="G337" s="126">
        <v>1</v>
      </c>
      <c r="H337" s="126">
        <v>1</v>
      </c>
      <c r="I337" s="126">
        <v>1</v>
      </c>
      <c r="J337" s="126">
        <v>177</v>
      </c>
      <c r="P337" s="126">
        <v>85</v>
      </c>
      <c r="R337" s="126" t="s">
        <v>549</v>
      </c>
      <c r="S337" s="259">
        <v>0</v>
      </c>
      <c r="T337" s="259">
        <v>47.5</v>
      </c>
      <c r="U337" s="68" t="s">
        <v>1067</v>
      </c>
      <c r="V337" s="126">
        <v>1</v>
      </c>
      <c r="Z337" s="126">
        <v>1</v>
      </c>
      <c r="AA337" s="126">
        <v>1</v>
      </c>
      <c r="AB337" s="126">
        <v>2</v>
      </c>
      <c r="AC337" s="126">
        <v>6</v>
      </c>
      <c r="AD337" s="126">
        <v>2026</v>
      </c>
    </row>
    <row r="338" spans="3:30">
      <c r="C338" s="126">
        <v>331</v>
      </c>
      <c r="D338" s="126">
        <v>29</v>
      </c>
      <c r="E338" s="126">
        <v>3</v>
      </c>
      <c r="F338" s="126">
        <v>1</v>
      </c>
      <c r="G338" s="126">
        <v>1</v>
      </c>
      <c r="H338" s="126">
        <v>1</v>
      </c>
      <c r="I338" s="126">
        <v>1</v>
      </c>
      <c r="J338" s="126">
        <v>178</v>
      </c>
      <c r="M338" s="126">
        <v>126</v>
      </c>
      <c r="N338" s="126">
        <v>0</v>
      </c>
      <c r="P338" s="126">
        <v>86</v>
      </c>
      <c r="R338" s="126" t="s">
        <v>549</v>
      </c>
      <c r="S338" s="259">
        <v>0</v>
      </c>
      <c r="T338" s="259">
        <v>28.5</v>
      </c>
      <c r="U338" s="68" t="s">
        <v>1068</v>
      </c>
      <c r="V338" s="126">
        <v>1</v>
      </c>
      <c r="Z338" s="126">
        <v>1</v>
      </c>
      <c r="AA338" s="126">
        <v>1</v>
      </c>
      <c r="AB338" s="126">
        <v>2</v>
      </c>
      <c r="AC338" s="126">
        <v>6</v>
      </c>
      <c r="AD338" s="126">
        <v>2026</v>
      </c>
    </row>
    <row r="339" spans="3:30">
      <c r="C339" s="126">
        <v>332</v>
      </c>
      <c r="D339" s="126">
        <v>29</v>
      </c>
      <c r="E339" s="126">
        <v>11</v>
      </c>
      <c r="F339" s="126">
        <v>1</v>
      </c>
      <c r="G339" s="126">
        <v>1</v>
      </c>
      <c r="H339" s="126">
        <v>1</v>
      </c>
      <c r="I339" s="126">
        <v>1</v>
      </c>
      <c r="J339" s="126">
        <v>178</v>
      </c>
      <c r="M339" s="126">
        <v>126</v>
      </c>
      <c r="N339" s="126">
        <v>1</v>
      </c>
      <c r="P339" s="126">
        <v>86</v>
      </c>
      <c r="R339" s="126" t="s">
        <v>549</v>
      </c>
      <c r="S339" s="259">
        <v>28.5</v>
      </c>
      <c r="T339" s="259">
        <v>0</v>
      </c>
      <c r="U339" s="68" t="s">
        <v>1069</v>
      </c>
      <c r="V339" s="126">
        <v>1</v>
      </c>
      <c r="Z339" s="126">
        <v>1</v>
      </c>
      <c r="AA339" s="126">
        <v>1</v>
      </c>
      <c r="AB339" s="126">
        <v>2</v>
      </c>
      <c r="AC339" s="126">
        <v>6</v>
      </c>
      <c r="AD339" s="126">
        <v>2026</v>
      </c>
    </row>
    <row r="340" spans="3:30">
      <c r="C340" s="126">
        <v>333</v>
      </c>
      <c r="D340" s="126">
        <v>29</v>
      </c>
      <c r="E340" s="126">
        <v>10</v>
      </c>
      <c r="F340" s="126">
        <v>1</v>
      </c>
      <c r="G340" s="126">
        <v>1</v>
      </c>
      <c r="H340" s="126">
        <v>1</v>
      </c>
      <c r="I340" s="126">
        <v>1</v>
      </c>
      <c r="J340" s="126">
        <v>178</v>
      </c>
      <c r="P340" s="126">
        <v>86</v>
      </c>
      <c r="R340" s="126" t="s">
        <v>549</v>
      </c>
      <c r="S340" s="259">
        <v>0</v>
      </c>
      <c r="T340" s="259">
        <v>30</v>
      </c>
      <c r="U340" s="68" t="s">
        <v>1070</v>
      </c>
      <c r="V340" s="126">
        <v>1</v>
      </c>
      <c r="Z340" s="126">
        <v>1</v>
      </c>
      <c r="AA340" s="126">
        <v>1</v>
      </c>
      <c r="AB340" s="126">
        <v>2</v>
      </c>
      <c r="AC340" s="126">
        <v>6</v>
      </c>
      <c r="AD340" s="126">
        <v>2026</v>
      </c>
    </row>
    <row r="341" spans="3:30">
      <c r="C341" s="126">
        <v>334</v>
      </c>
      <c r="D341" s="126">
        <v>30</v>
      </c>
      <c r="E341" s="126">
        <v>2</v>
      </c>
      <c r="F341" s="126">
        <v>1</v>
      </c>
      <c r="G341" s="126">
        <v>1</v>
      </c>
      <c r="H341" s="126">
        <v>1</v>
      </c>
      <c r="I341" s="126">
        <v>1</v>
      </c>
      <c r="R341" s="126" t="s">
        <v>549</v>
      </c>
      <c r="S341" s="259">
        <v>30.4</v>
      </c>
      <c r="T341" s="259">
        <v>0</v>
      </c>
      <c r="U341" s="68" t="s">
        <v>1072</v>
      </c>
      <c r="V341" s="126">
        <v>1</v>
      </c>
      <c r="Z341" s="126">
        <v>1</v>
      </c>
      <c r="AA341" s="126">
        <v>1</v>
      </c>
      <c r="AB341" s="126">
        <v>2</v>
      </c>
      <c r="AC341" s="126">
        <v>6</v>
      </c>
      <c r="AD341" s="126">
        <v>2026</v>
      </c>
    </row>
    <row r="342" spans="3:30">
      <c r="C342" s="126">
        <v>335</v>
      </c>
      <c r="D342" s="126">
        <v>30</v>
      </c>
      <c r="E342" s="126">
        <v>3</v>
      </c>
      <c r="F342" s="126">
        <v>1</v>
      </c>
      <c r="G342" s="126">
        <v>1</v>
      </c>
      <c r="H342" s="126">
        <v>1</v>
      </c>
      <c r="I342" s="126">
        <v>1</v>
      </c>
      <c r="J342" s="126">
        <v>183</v>
      </c>
      <c r="M342" s="126">
        <v>127</v>
      </c>
      <c r="N342" s="126">
        <v>0</v>
      </c>
      <c r="P342" s="126">
        <v>87</v>
      </c>
      <c r="R342" s="126" t="s">
        <v>549</v>
      </c>
      <c r="S342" s="259">
        <v>0</v>
      </c>
      <c r="T342" s="259">
        <v>8</v>
      </c>
      <c r="U342" s="68" t="s">
        <v>1073</v>
      </c>
      <c r="V342" s="126">
        <v>1</v>
      </c>
      <c r="Z342" s="126">
        <v>1</v>
      </c>
      <c r="AA342" s="126">
        <v>1</v>
      </c>
      <c r="AB342" s="126">
        <v>2</v>
      </c>
      <c r="AC342" s="126">
        <v>6</v>
      </c>
      <c r="AD342" s="126">
        <v>2026</v>
      </c>
    </row>
    <row r="343" spans="3:30">
      <c r="C343" s="126">
        <v>336</v>
      </c>
      <c r="D343" s="126">
        <v>30</v>
      </c>
      <c r="E343" s="126">
        <v>11</v>
      </c>
      <c r="F343" s="126">
        <v>1</v>
      </c>
      <c r="G343" s="126">
        <v>1</v>
      </c>
      <c r="H343" s="126">
        <v>1</v>
      </c>
      <c r="I343" s="126">
        <v>1</v>
      </c>
      <c r="J343" s="126">
        <v>183</v>
      </c>
      <c r="M343" s="126">
        <v>127</v>
      </c>
      <c r="N343" s="126">
        <v>1</v>
      </c>
      <c r="P343" s="126">
        <v>87</v>
      </c>
      <c r="R343" s="126" t="s">
        <v>549</v>
      </c>
      <c r="S343" s="259">
        <v>8</v>
      </c>
      <c r="T343" s="259">
        <v>0</v>
      </c>
      <c r="U343" s="68" t="s">
        <v>1074</v>
      </c>
      <c r="V343" s="126">
        <v>1</v>
      </c>
      <c r="Z343" s="126">
        <v>1</v>
      </c>
      <c r="AA343" s="126">
        <v>1</v>
      </c>
      <c r="AB343" s="126">
        <v>2</v>
      </c>
      <c r="AC343" s="126">
        <v>6</v>
      </c>
      <c r="AD343" s="126">
        <v>2026</v>
      </c>
    </row>
    <row r="344" spans="3:30">
      <c r="C344" s="126">
        <v>337</v>
      </c>
      <c r="D344" s="126">
        <v>30</v>
      </c>
      <c r="E344" s="126">
        <v>10</v>
      </c>
      <c r="F344" s="126">
        <v>1</v>
      </c>
      <c r="G344" s="126">
        <v>1</v>
      </c>
      <c r="H344" s="126">
        <v>1</v>
      </c>
      <c r="I344" s="126">
        <v>1</v>
      </c>
      <c r="J344" s="126">
        <v>183</v>
      </c>
      <c r="P344" s="126">
        <v>87</v>
      </c>
      <c r="R344" s="126" t="s">
        <v>549</v>
      </c>
      <c r="S344" s="259">
        <v>0</v>
      </c>
      <c r="T344" s="259">
        <v>10</v>
      </c>
      <c r="U344" s="68" t="s">
        <v>1075</v>
      </c>
      <c r="V344" s="126">
        <v>1</v>
      </c>
      <c r="Z344" s="126">
        <v>1</v>
      </c>
      <c r="AA344" s="126">
        <v>1</v>
      </c>
      <c r="AB344" s="126">
        <v>2</v>
      </c>
      <c r="AC344" s="126">
        <v>6</v>
      </c>
      <c r="AD344" s="126">
        <v>2026</v>
      </c>
    </row>
    <row r="345" spans="3:30">
      <c r="C345" s="126">
        <v>338</v>
      </c>
      <c r="D345" s="126">
        <v>30</v>
      </c>
      <c r="E345" s="126">
        <v>3</v>
      </c>
      <c r="F345" s="126">
        <v>1</v>
      </c>
      <c r="G345" s="126">
        <v>1</v>
      </c>
      <c r="H345" s="126">
        <v>1</v>
      </c>
      <c r="I345" s="126">
        <v>1</v>
      </c>
      <c r="J345" s="126">
        <v>184</v>
      </c>
      <c r="M345" s="126">
        <v>128</v>
      </c>
      <c r="N345" s="126">
        <v>0</v>
      </c>
      <c r="P345" s="126">
        <v>88</v>
      </c>
      <c r="R345" s="126" t="s">
        <v>549</v>
      </c>
      <c r="S345" s="259">
        <v>0</v>
      </c>
      <c r="T345" s="259">
        <v>18</v>
      </c>
      <c r="U345" s="68" t="s">
        <v>1076</v>
      </c>
      <c r="V345" s="126">
        <v>1</v>
      </c>
      <c r="Z345" s="126">
        <v>1</v>
      </c>
      <c r="AA345" s="126">
        <v>1</v>
      </c>
      <c r="AB345" s="126">
        <v>2</v>
      </c>
      <c r="AC345" s="126">
        <v>6</v>
      </c>
      <c r="AD345" s="126">
        <v>2026</v>
      </c>
    </row>
    <row r="346" spans="3:30">
      <c r="C346" s="126">
        <v>339</v>
      </c>
      <c r="D346" s="126">
        <v>30</v>
      </c>
      <c r="E346" s="126">
        <v>11</v>
      </c>
      <c r="F346" s="126">
        <v>1</v>
      </c>
      <c r="G346" s="126">
        <v>1</v>
      </c>
      <c r="H346" s="126">
        <v>1</v>
      </c>
      <c r="I346" s="126">
        <v>1</v>
      </c>
      <c r="J346" s="126">
        <v>184</v>
      </c>
      <c r="M346" s="126">
        <v>128</v>
      </c>
      <c r="N346" s="126">
        <v>1</v>
      </c>
      <c r="P346" s="126">
        <v>88</v>
      </c>
      <c r="R346" s="126" t="s">
        <v>549</v>
      </c>
      <c r="S346" s="259">
        <v>18</v>
      </c>
      <c r="T346" s="259">
        <v>0</v>
      </c>
      <c r="U346" s="68" t="s">
        <v>1077</v>
      </c>
      <c r="V346" s="126">
        <v>1</v>
      </c>
      <c r="Z346" s="126">
        <v>1</v>
      </c>
      <c r="AA346" s="126">
        <v>1</v>
      </c>
      <c r="AB346" s="126">
        <v>2</v>
      </c>
      <c r="AC346" s="126">
        <v>6</v>
      </c>
      <c r="AD346" s="126">
        <v>2026</v>
      </c>
    </row>
    <row r="347" spans="3:30">
      <c r="C347" s="126">
        <v>340</v>
      </c>
      <c r="D347" s="126">
        <v>30</v>
      </c>
      <c r="E347" s="126">
        <v>10</v>
      </c>
      <c r="F347" s="126">
        <v>1</v>
      </c>
      <c r="G347" s="126">
        <v>1</v>
      </c>
      <c r="H347" s="126">
        <v>1</v>
      </c>
      <c r="I347" s="126">
        <v>1</v>
      </c>
      <c r="J347" s="126">
        <v>184</v>
      </c>
      <c r="P347" s="126">
        <v>88</v>
      </c>
      <c r="R347" s="126" t="s">
        <v>549</v>
      </c>
      <c r="S347" s="259">
        <v>0</v>
      </c>
      <c r="T347" s="259">
        <v>20.399999999999999</v>
      </c>
      <c r="U347" s="68" t="s">
        <v>1078</v>
      </c>
      <c r="V347" s="126">
        <v>1</v>
      </c>
      <c r="Z347" s="126">
        <v>1</v>
      </c>
      <c r="AA347" s="126">
        <v>1</v>
      </c>
      <c r="AB347" s="126">
        <v>2</v>
      </c>
      <c r="AC347" s="126">
        <v>6</v>
      </c>
      <c r="AD347" s="126">
        <v>2026</v>
      </c>
    </row>
    <row r="348" spans="3:30">
      <c r="C348" s="126">
        <v>341</v>
      </c>
      <c r="D348" s="126">
        <v>31</v>
      </c>
      <c r="E348" s="126">
        <v>2</v>
      </c>
      <c r="F348" s="126">
        <v>1</v>
      </c>
      <c r="G348" s="126">
        <v>1</v>
      </c>
      <c r="H348" s="126">
        <v>1</v>
      </c>
      <c r="I348" s="126">
        <v>1</v>
      </c>
      <c r="R348" s="126" t="s">
        <v>549</v>
      </c>
      <c r="S348" s="259">
        <v>68.75</v>
      </c>
      <c r="T348" s="259">
        <v>0</v>
      </c>
      <c r="U348" s="68" t="s">
        <v>1080</v>
      </c>
      <c r="V348" s="126">
        <v>1</v>
      </c>
      <c r="Z348" s="126">
        <v>1</v>
      </c>
      <c r="AA348" s="126">
        <v>1</v>
      </c>
      <c r="AB348" s="126">
        <v>2</v>
      </c>
      <c r="AC348" s="126">
        <v>6</v>
      </c>
      <c r="AD348" s="126">
        <v>2026</v>
      </c>
    </row>
    <row r="349" spans="3:30">
      <c r="C349" s="126">
        <v>342</v>
      </c>
      <c r="D349" s="126">
        <v>31</v>
      </c>
      <c r="E349" s="126">
        <v>3</v>
      </c>
      <c r="F349" s="126">
        <v>1</v>
      </c>
      <c r="G349" s="126">
        <v>1</v>
      </c>
      <c r="H349" s="126">
        <v>1</v>
      </c>
      <c r="I349" s="126">
        <v>1</v>
      </c>
      <c r="J349" s="126">
        <v>19</v>
      </c>
      <c r="M349" s="126">
        <v>129</v>
      </c>
      <c r="N349" s="126">
        <v>0</v>
      </c>
      <c r="P349" s="126">
        <v>89</v>
      </c>
      <c r="R349" s="126" t="s">
        <v>549</v>
      </c>
      <c r="S349" s="259">
        <v>0</v>
      </c>
      <c r="T349" s="259">
        <v>14.98</v>
      </c>
      <c r="U349" s="68" t="s">
        <v>1081</v>
      </c>
      <c r="V349" s="126">
        <v>1</v>
      </c>
      <c r="Z349" s="126">
        <v>1</v>
      </c>
      <c r="AA349" s="126">
        <v>1</v>
      </c>
      <c r="AB349" s="126">
        <v>2</v>
      </c>
      <c r="AC349" s="126">
        <v>6</v>
      </c>
      <c r="AD349" s="126">
        <v>2026</v>
      </c>
    </row>
    <row r="350" spans="3:30">
      <c r="C350" s="126">
        <v>343</v>
      </c>
      <c r="D350" s="126">
        <v>31</v>
      </c>
      <c r="E350" s="126">
        <v>11</v>
      </c>
      <c r="F350" s="126">
        <v>1</v>
      </c>
      <c r="G350" s="126">
        <v>1</v>
      </c>
      <c r="H350" s="126">
        <v>1</v>
      </c>
      <c r="I350" s="126">
        <v>1</v>
      </c>
      <c r="J350" s="126">
        <v>19</v>
      </c>
      <c r="M350" s="126">
        <v>129</v>
      </c>
      <c r="N350" s="126">
        <v>1</v>
      </c>
      <c r="P350" s="126">
        <v>89</v>
      </c>
      <c r="R350" s="126" t="s">
        <v>549</v>
      </c>
      <c r="S350" s="259">
        <v>14.98</v>
      </c>
      <c r="T350" s="259">
        <v>0</v>
      </c>
      <c r="U350" s="68" t="s">
        <v>1082</v>
      </c>
      <c r="V350" s="126">
        <v>1</v>
      </c>
      <c r="Z350" s="126">
        <v>1</v>
      </c>
      <c r="AA350" s="126">
        <v>1</v>
      </c>
      <c r="AB350" s="126">
        <v>2</v>
      </c>
      <c r="AC350" s="126">
        <v>6</v>
      </c>
      <c r="AD350" s="126">
        <v>2026</v>
      </c>
    </row>
    <row r="351" spans="3:30">
      <c r="C351" s="126">
        <v>344</v>
      </c>
      <c r="D351" s="126">
        <v>31</v>
      </c>
      <c r="E351" s="126">
        <v>10</v>
      </c>
      <c r="F351" s="126">
        <v>1</v>
      </c>
      <c r="G351" s="126">
        <v>1</v>
      </c>
      <c r="H351" s="126">
        <v>1</v>
      </c>
      <c r="I351" s="126">
        <v>1</v>
      </c>
      <c r="J351" s="126">
        <v>19</v>
      </c>
      <c r="P351" s="126">
        <v>89</v>
      </c>
      <c r="R351" s="126" t="s">
        <v>549</v>
      </c>
      <c r="S351" s="259">
        <v>0</v>
      </c>
      <c r="T351" s="259">
        <v>16</v>
      </c>
      <c r="U351" s="68" t="s">
        <v>1083</v>
      </c>
      <c r="V351" s="126">
        <v>1</v>
      </c>
      <c r="Z351" s="126">
        <v>1</v>
      </c>
      <c r="AA351" s="126">
        <v>1</v>
      </c>
      <c r="AB351" s="126">
        <v>2</v>
      </c>
      <c r="AC351" s="126">
        <v>6</v>
      </c>
      <c r="AD351" s="126">
        <v>2026</v>
      </c>
    </row>
    <row r="352" spans="3:30">
      <c r="C352" s="126">
        <v>345</v>
      </c>
      <c r="D352" s="126">
        <v>31</v>
      </c>
      <c r="E352" s="126">
        <v>3</v>
      </c>
      <c r="F352" s="126">
        <v>1</v>
      </c>
      <c r="G352" s="126">
        <v>1</v>
      </c>
      <c r="H352" s="126">
        <v>1</v>
      </c>
      <c r="I352" s="126">
        <v>1</v>
      </c>
      <c r="J352" s="126">
        <v>14</v>
      </c>
      <c r="M352" s="126">
        <v>130</v>
      </c>
      <c r="N352" s="126">
        <v>0</v>
      </c>
      <c r="P352" s="126">
        <v>90</v>
      </c>
      <c r="R352" s="126" t="s">
        <v>549</v>
      </c>
      <c r="S352" s="259">
        <v>0</v>
      </c>
      <c r="T352" s="259">
        <v>3.3</v>
      </c>
      <c r="U352" s="68" t="s">
        <v>1084</v>
      </c>
      <c r="V352" s="126">
        <v>1</v>
      </c>
      <c r="Z352" s="126">
        <v>1</v>
      </c>
      <c r="AA352" s="126">
        <v>1</v>
      </c>
      <c r="AB352" s="126">
        <v>2</v>
      </c>
      <c r="AC352" s="126">
        <v>6</v>
      </c>
      <c r="AD352" s="126">
        <v>2026</v>
      </c>
    </row>
    <row r="353" spans="3:30">
      <c r="C353" s="126">
        <v>346</v>
      </c>
      <c r="D353" s="126">
        <v>31</v>
      </c>
      <c r="E353" s="126">
        <v>11</v>
      </c>
      <c r="F353" s="126">
        <v>1</v>
      </c>
      <c r="G353" s="126">
        <v>1</v>
      </c>
      <c r="H353" s="126">
        <v>1</v>
      </c>
      <c r="I353" s="126">
        <v>1</v>
      </c>
      <c r="J353" s="126">
        <v>14</v>
      </c>
      <c r="M353" s="126">
        <v>130</v>
      </c>
      <c r="N353" s="126">
        <v>1</v>
      </c>
      <c r="P353" s="126">
        <v>90</v>
      </c>
      <c r="R353" s="126" t="s">
        <v>549</v>
      </c>
      <c r="S353" s="259">
        <v>3.3</v>
      </c>
      <c r="T353" s="259">
        <v>0</v>
      </c>
      <c r="U353" s="68" t="s">
        <v>1085</v>
      </c>
      <c r="V353" s="126">
        <v>1</v>
      </c>
      <c r="Z353" s="126">
        <v>1</v>
      </c>
      <c r="AA353" s="126">
        <v>1</v>
      </c>
      <c r="AB353" s="126">
        <v>2</v>
      </c>
      <c r="AC353" s="126">
        <v>6</v>
      </c>
      <c r="AD353" s="126">
        <v>2026</v>
      </c>
    </row>
    <row r="354" spans="3:30">
      <c r="C354" s="126">
        <v>347</v>
      </c>
      <c r="D354" s="126">
        <v>31</v>
      </c>
      <c r="E354" s="126">
        <v>10</v>
      </c>
      <c r="F354" s="126">
        <v>1</v>
      </c>
      <c r="G354" s="126">
        <v>1</v>
      </c>
      <c r="H354" s="126">
        <v>1</v>
      </c>
      <c r="I354" s="126">
        <v>1</v>
      </c>
      <c r="J354" s="126">
        <v>14</v>
      </c>
      <c r="P354" s="126">
        <v>90</v>
      </c>
      <c r="R354" s="126" t="s">
        <v>549</v>
      </c>
      <c r="S354" s="259">
        <v>0</v>
      </c>
      <c r="T354" s="259">
        <v>3.75</v>
      </c>
      <c r="U354" s="68" t="s">
        <v>1086</v>
      </c>
      <c r="V354" s="126">
        <v>1</v>
      </c>
      <c r="Z354" s="126">
        <v>1</v>
      </c>
      <c r="AA354" s="126">
        <v>1</v>
      </c>
      <c r="AB354" s="126">
        <v>2</v>
      </c>
      <c r="AC354" s="126">
        <v>6</v>
      </c>
      <c r="AD354" s="126">
        <v>2026</v>
      </c>
    </row>
    <row r="355" spans="3:30">
      <c r="C355" s="126">
        <v>348</v>
      </c>
      <c r="D355" s="126">
        <v>31</v>
      </c>
      <c r="E355" s="126">
        <v>3</v>
      </c>
      <c r="F355" s="126">
        <v>1</v>
      </c>
      <c r="G355" s="126">
        <v>1</v>
      </c>
      <c r="H355" s="126">
        <v>1</v>
      </c>
      <c r="I355" s="126">
        <v>1</v>
      </c>
      <c r="J355" s="126">
        <v>184</v>
      </c>
      <c r="M355" s="126">
        <v>131</v>
      </c>
      <c r="N355" s="126">
        <v>0</v>
      </c>
      <c r="P355" s="126">
        <v>91</v>
      </c>
      <c r="R355" s="126" t="s">
        <v>549</v>
      </c>
      <c r="S355" s="259">
        <v>0</v>
      </c>
      <c r="T355" s="259">
        <v>42</v>
      </c>
      <c r="U355" s="68" t="s">
        <v>1087</v>
      </c>
      <c r="V355" s="126">
        <v>1</v>
      </c>
      <c r="Z355" s="126">
        <v>1</v>
      </c>
      <c r="AA355" s="126">
        <v>1</v>
      </c>
      <c r="AB355" s="126">
        <v>2</v>
      </c>
      <c r="AC355" s="126">
        <v>6</v>
      </c>
      <c r="AD355" s="126">
        <v>2026</v>
      </c>
    </row>
    <row r="356" spans="3:30">
      <c r="C356" s="126">
        <v>349</v>
      </c>
      <c r="D356" s="126">
        <v>31</v>
      </c>
      <c r="E356" s="126">
        <v>11</v>
      </c>
      <c r="F356" s="126">
        <v>1</v>
      </c>
      <c r="G356" s="126">
        <v>1</v>
      </c>
      <c r="H356" s="126">
        <v>1</v>
      </c>
      <c r="I356" s="126">
        <v>1</v>
      </c>
      <c r="J356" s="126">
        <v>184</v>
      </c>
      <c r="M356" s="126">
        <v>131</v>
      </c>
      <c r="N356" s="126">
        <v>1</v>
      </c>
      <c r="P356" s="126">
        <v>91</v>
      </c>
      <c r="R356" s="126" t="s">
        <v>549</v>
      </c>
      <c r="S356" s="259">
        <v>42</v>
      </c>
      <c r="T356" s="259">
        <v>0</v>
      </c>
      <c r="U356" s="68" t="s">
        <v>1088</v>
      </c>
      <c r="V356" s="126">
        <v>1</v>
      </c>
      <c r="Z356" s="126">
        <v>1</v>
      </c>
      <c r="AA356" s="126">
        <v>1</v>
      </c>
      <c r="AB356" s="126">
        <v>2</v>
      </c>
      <c r="AC356" s="126">
        <v>6</v>
      </c>
      <c r="AD356" s="126">
        <v>2026</v>
      </c>
    </row>
    <row r="357" spans="3:30">
      <c r="C357" s="126">
        <v>350</v>
      </c>
      <c r="D357" s="126">
        <v>31</v>
      </c>
      <c r="E357" s="126">
        <v>10</v>
      </c>
      <c r="F357" s="126">
        <v>1</v>
      </c>
      <c r="G357" s="126">
        <v>1</v>
      </c>
      <c r="H357" s="126">
        <v>1</v>
      </c>
      <c r="I357" s="126">
        <v>1</v>
      </c>
      <c r="J357" s="126">
        <v>184</v>
      </c>
      <c r="P357" s="126">
        <v>91</v>
      </c>
      <c r="R357" s="126" t="s">
        <v>549</v>
      </c>
      <c r="S357" s="259">
        <v>0</v>
      </c>
      <c r="T357" s="259">
        <v>49</v>
      </c>
      <c r="U357" s="68" t="s">
        <v>1089</v>
      </c>
      <c r="V357" s="126">
        <v>1</v>
      </c>
      <c r="Z357" s="126">
        <v>1</v>
      </c>
      <c r="AA357" s="126">
        <v>1</v>
      </c>
      <c r="AB357" s="126">
        <v>2</v>
      </c>
      <c r="AC357" s="126">
        <v>6</v>
      </c>
      <c r="AD357" s="126">
        <v>2026</v>
      </c>
    </row>
    <row r="358" spans="3:30">
      <c r="C358" s="126">
        <v>351</v>
      </c>
      <c r="D358" s="126">
        <v>32</v>
      </c>
      <c r="E358" s="126">
        <v>2</v>
      </c>
      <c r="F358" s="126">
        <v>1</v>
      </c>
      <c r="G358" s="126">
        <v>1</v>
      </c>
      <c r="H358" s="126">
        <v>1</v>
      </c>
      <c r="I358" s="126">
        <v>1</v>
      </c>
      <c r="R358" s="126" t="s">
        <v>549</v>
      </c>
      <c r="S358" s="259">
        <v>32.5</v>
      </c>
      <c r="T358" s="259">
        <v>0</v>
      </c>
      <c r="U358" s="68" t="s">
        <v>1093</v>
      </c>
      <c r="V358" s="126">
        <v>1</v>
      </c>
      <c r="Z358" s="126">
        <v>1</v>
      </c>
      <c r="AA358" s="126">
        <v>1</v>
      </c>
      <c r="AB358" s="126">
        <v>2</v>
      </c>
      <c r="AC358" s="126">
        <v>6</v>
      </c>
      <c r="AD358" s="126">
        <v>2026</v>
      </c>
    </row>
    <row r="359" spans="3:30">
      <c r="C359" s="126">
        <v>352</v>
      </c>
      <c r="D359" s="126">
        <v>32</v>
      </c>
      <c r="E359" s="126">
        <v>3</v>
      </c>
      <c r="F359" s="126">
        <v>1</v>
      </c>
      <c r="G359" s="126">
        <v>1</v>
      </c>
      <c r="H359" s="126">
        <v>1</v>
      </c>
      <c r="I359" s="126">
        <v>1</v>
      </c>
      <c r="J359" s="126">
        <v>178</v>
      </c>
      <c r="M359" s="126">
        <v>132</v>
      </c>
      <c r="N359" s="126">
        <v>0</v>
      </c>
      <c r="P359" s="126">
        <v>92</v>
      </c>
      <c r="R359" s="126" t="s">
        <v>549</v>
      </c>
      <c r="S359" s="259">
        <v>0</v>
      </c>
      <c r="T359" s="259">
        <v>19</v>
      </c>
      <c r="U359" s="68" t="s">
        <v>1094</v>
      </c>
      <c r="V359" s="126">
        <v>1</v>
      </c>
      <c r="Z359" s="126">
        <v>1</v>
      </c>
      <c r="AA359" s="126">
        <v>1</v>
      </c>
      <c r="AB359" s="126">
        <v>2</v>
      </c>
      <c r="AC359" s="126">
        <v>6</v>
      </c>
      <c r="AD359" s="126">
        <v>2026</v>
      </c>
    </row>
    <row r="360" spans="3:30">
      <c r="C360" s="126">
        <v>353</v>
      </c>
      <c r="D360" s="126">
        <v>32</v>
      </c>
      <c r="E360" s="126">
        <v>11</v>
      </c>
      <c r="F360" s="126">
        <v>1</v>
      </c>
      <c r="G360" s="126">
        <v>1</v>
      </c>
      <c r="H360" s="126">
        <v>1</v>
      </c>
      <c r="I360" s="126">
        <v>1</v>
      </c>
      <c r="J360" s="126">
        <v>178</v>
      </c>
      <c r="M360" s="126">
        <v>132</v>
      </c>
      <c r="N360" s="126">
        <v>1</v>
      </c>
      <c r="P360" s="126">
        <v>92</v>
      </c>
      <c r="R360" s="126" t="s">
        <v>549</v>
      </c>
      <c r="S360" s="259">
        <v>19</v>
      </c>
      <c r="T360" s="259">
        <v>0</v>
      </c>
      <c r="U360" s="68" t="s">
        <v>1095</v>
      </c>
      <c r="V360" s="126">
        <v>1</v>
      </c>
      <c r="Z360" s="126">
        <v>1</v>
      </c>
      <c r="AA360" s="126">
        <v>1</v>
      </c>
      <c r="AB360" s="126">
        <v>2</v>
      </c>
      <c r="AC360" s="126">
        <v>6</v>
      </c>
      <c r="AD360" s="126">
        <v>2026</v>
      </c>
    </row>
    <row r="361" spans="3:30">
      <c r="C361" s="126">
        <v>354</v>
      </c>
      <c r="D361" s="126">
        <v>32</v>
      </c>
      <c r="E361" s="126">
        <v>10</v>
      </c>
      <c r="F361" s="126">
        <v>1</v>
      </c>
      <c r="G361" s="126">
        <v>1</v>
      </c>
      <c r="H361" s="126">
        <v>1</v>
      </c>
      <c r="I361" s="126">
        <v>1</v>
      </c>
      <c r="J361" s="126">
        <v>178</v>
      </c>
      <c r="P361" s="126">
        <v>92</v>
      </c>
      <c r="R361" s="126" t="s">
        <v>549</v>
      </c>
      <c r="S361" s="259">
        <v>0</v>
      </c>
      <c r="T361" s="259">
        <v>21</v>
      </c>
      <c r="U361" s="68" t="s">
        <v>1096</v>
      </c>
      <c r="V361" s="126">
        <v>1</v>
      </c>
      <c r="Z361" s="126">
        <v>1</v>
      </c>
      <c r="AA361" s="126">
        <v>1</v>
      </c>
      <c r="AB361" s="126">
        <v>2</v>
      </c>
      <c r="AC361" s="126">
        <v>6</v>
      </c>
      <c r="AD361" s="126">
        <v>2026</v>
      </c>
    </row>
    <row r="362" spans="3:30">
      <c r="C362" s="126">
        <v>355</v>
      </c>
      <c r="D362" s="126">
        <v>32</v>
      </c>
      <c r="E362" s="126">
        <v>3</v>
      </c>
      <c r="F362" s="126">
        <v>1</v>
      </c>
      <c r="G362" s="126">
        <v>1</v>
      </c>
      <c r="H362" s="126">
        <v>1</v>
      </c>
      <c r="I362" s="126">
        <v>1</v>
      </c>
      <c r="J362" s="126">
        <v>17</v>
      </c>
      <c r="M362" s="126">
        <v>133</v>
      </c>
      <c r="N362" s="126">
        <v>0</v>
      </c>
      <c r="P362" s="126">
        <v>93</v>
      </c>
      <c r="R362" s="126" t="s">
        <v>549</v>
      </c>
      <c r="S362" s="259">
        <v>0</v>
      </c>
      <c r="T362" s="259">
        <v>4.8899999999999997</v>
      </c>
      <c r="U362" s="68" t="s">
        <v>1097</v>
      </c>
      <c r="V362" s="126">
        <v>1</v>
      </c>
      <c r="Z362" s="126">
        <v>1</v>
      </c>
      <c r="AA362" s="126">
        <v>1</v>
      </c>
      <c r="AB362" s="126">
        <v>2</v>
      </c>
      <c r="AC362" s="126">
        <v>6</v>
      </c>
      <c r="AD362" s="126">
        <v>2026</v>
      </c>
    </row>
    <row r="363" spans="3:30">
      <c r="C363" s="126">
        <v>356</v>
      </c>
      <c r="D363" s="126">
        <v>32</v>
      </c>
      <c r="E363" s="126">
        <v>11</v>
      </c>
      <c r="F363" s="126">
        <v>1</v>
      </c>
      <c r="G363" s="126">
        <v>1</v>
      </c>
      <c r="H363" s="126">
        <v>1</v>
      </c>
      <c r="I363" s="126">
        <v>1</v>
      </c>
      <c r="J363" s="126">
        <v>17</v>
      </c>
      <c r="M363" s="126">
        <v>133</v>
      </c>
      <c r="N363" s="126">
        <v>1</v>
      </c>
      <c r="P363" s="126">
        <v>93</v>
      </c>
      <c r="R363" s="126" t="s">
        <v>549</v>
      </c>
      <c r="S363" s="259">
        <v>4.8899999999999997</v>
      </c>
      <c r="T363" s="259">
        <v>0</v>
      </c>
      <c r="U363" s="68" t="s">
        <v>1098</v>
      </c>
      <c r="V363" s="126">
        <v>1</v>
      </c>
      <c r="Z363" s="126">
        <v>1</v>
      </c>
      <c r="AA363" s="126">
        <v>1</v>
      </c>
      <c r="AB363" s="126">
        <v>2</v>
      </c>
      <c r="AC363" s="126">
        <v>6</v>
      </c>
      <c r="AD363" s="126">
        <v>2026</v>
      </c>
    </row>
    <row r="364" spans="3:30">
      <c r="C364" s="126">
        <v>357</v>
      </c>
      <c r="D364" s="126">
        <v>32</v>
      </c>
      <c r="E364" s="126">
        <v>10</v>
      </c>
      <c r="F364" s="126">
        <v>1</v>
      </c>
      <c r="G364" s="126">
        <v>1</v>
      </c>
      <c r="H364" s="126">
        <v>1</v>
      </c>
      <c r="I364" s="126">
        <v>1</v>
      </c>
      <c r="J364" s="126">
        <v>17</v>
      </c>
      <c r="P364" s="126">
        <v>93</v>
      </c>
      <c r="R364" s="126" t="s">
        <v>549</v>
      </c>
      <c r="S364" s="259">
        <v>0</v>
      </c>
      <c r="T364" s="259">
        <v>6.75</v>
      </c>
      <c r="U364" s="68" t="s">
        <v>1099</v>
      </c>
      <c r="V364" s="126">
        <v>1</v>
      </c>
      <c r="Z364" s="126">
        <v>1</v>
      </c>
      <c r="AA364" s="126">
        <v>1</v>
      </c>
      <c r="AB364" s="126">
        <v>2</v>
      </c>
      <c r="AC364" s="126">
        <v>6</v>
      </c>
      <c r="AD364" s="126">
        <v>2026</v>
      </c>
    </row>
    <row r="365" spans="3:30">
      <c r="C365" s="126">
        <v>358</v>
      </c>
      <c r="D365" s="126">
        <v>32</v>
      </c>
      <c r="E365" s="126">
        <v>3</v>
      </c>
      <c r="F365" s="126">
        <v>1</v>
      </c>
      <c r="G365" s="126">
        <v>1</v>
      </c>
      <c r="H365" s="126">
        <v>1</v>
      </c>
      <c r="I365" s="126">
        <v>1</v>
      </c>
      <c r="J365" s="126">
        <v>70</v>
      </c>
      <c r="M365" s="126">
        <v>134</v>
      </c>
      <c r="N365" s="126">
        <v>0</v>
      </c>
      <c r="P365" s="126">
        <v>94</v>
      </c>
      <c r="R365" s="126" t="s">
        <v>549</v>
      </c>
      <c r="S365" s="259">
        <v>0</v>
      </c>
      <c r="T365" s="259">
        <v>0.15</v>
      </c>
      <c r="U365" s="68" t="s">
        <v>1100</v>
      </c>
      <c r="V365" s="126">
        <v>1</v>
      </c>
      <c r="Z365" s="126">
        <v>1</v>
      </c>
      <c r="AA365" s="126">
        <v>1</v>
      </c>
      <c r="AB365" s="126">
        <v>2</v>
      </c>
      <c r="AC365" s="126">
        <v>6</v>
      </c>
      <c r="AD365" s="126">
        <v>2026</v>
      </c>
    </row>
    <row r="366" spans="3:30">
      <c r="C366" s="126">
        <v>359</v>
      </c>
      <c r="D366" s="126">
        <v>32</v>
      </c>
      <c r="E366" s="126">
        <v>11</v>
      </c>
      <c r="F366" s="126">
        <v>1</v>
      </c>
      <c r="G366" s="126">
        <v>1</v>
      </c>
      <c r="H366" s="126">
        <v>1</v>
      </c>
      <c r="I366" s="126">
        <v>1</v>
      </c>
      <c r="J366" s="126">
        <v>70</v>
      </c>
      <c r="M366" s="126">
        <v>134</v>
      </c>
      <c r="N366" s="126">
        <v>1</v>
      </c>
      <c r="P366" s="126">
        <v>94</v>
      </c>
      <c r="R366" s="126" t="s">
        <v>549</v>
      </c>
      <c r="S366" s="259">
        <v>0.15</v>
      </c>
      <c r="T366" s="259">
        <v>0</v>
      </c>
      <c r="U366" s="68" t="s">
        <v>1101</v>
      </c>
      <c r="V366" s="126">
        <v>1</v>
      </c>
      <c r="Z366" s="126">
        <v>1</v>
      </c>
      <c r="AA366" s="126">
        <v>1</v>
      </c>
      <c r="AB366" s="126">
        <v>2</v>
      </c>
      <c r="AC366" s="126">
        <v>6</v>
      </c>
      <c r="AD366" s="126">
        <v>2026</v>
      </c>
    </row>
    <row r="367" spans="3:30">
      <c r="C367" s="126">
        <v>360</v>
      </c>
      <c r="D367" s="126">
        <v>32</v>
      </c>
      <c r="E367" s="126">
        <v>10</v>
      </c>
      <c r="F367" s="126">
        <v>1</v>
      </c>
      <c r="G367" s="126">
        <v>1</v>
      </c>
      <c r="H367" s="126">
        <v>1</v>
      </c>
      <c r="I367" s="126">
        <v>1</v>
      </c>
      <c r="J367" s="126">
        <v>70</v>
      </c>
      <c r="P367" s="126">
        <v>94</v>
      </c>
      <c r="R367" s="126" t="s">
        <v>549</v>
      </c>
      <c r="S367" s="259">
        <v>0</v>
      </c>
      <c r="T367" s="259">
        <v>0.25</v>
      </c>
      <c r="U367" s="68" t="s">
        <v>1102</v>
      </c>
      <c r="V367" s="126">
        <v>1</v>
      </c>
      <c r="Z367" s="126">
        <v>1</v>
      </c>
      <c r="AA367" s="126">
        <v>1</v>
      </c>
      <c r="AB367" s="126">
        <v>2</v>
      </c>
      <c r="AC367" s="126">
        <v>6</v>
      </c>
      <c r="AD367" s="126">
        <v>2026</v>
      </c>
    </row>
    <row r="368" spans="3:30">
      <c r="C368" s="126">
        <v>361</v>
      </c>
      <c r="D368" s="126">
        <v>32</v>
      </c>
      <c r="E368" s="126">
        <v>3</v>
      </c>
      <c r="F368" s="126">
        <v>1</v>
      </c>
      <c r="G368" s="126">
        <v>1</v>
      </c>
      <c r="H368" s="126">
        <v>1</v>
      </c>
      <c r="I368" s="126">
        <v>1</v>
      </c>
      <c r="J368" s="126">
        <v>181</v>
      </c>
      <c r="M368" s="126">
        <v>135</v>
      </c>
      <c r="N368" s="126">
        <v>0</v>
      </c>
      <c r="P368" s="126">
        <v>95</v>
      </c>
      <c r="R368" s="126" t="s">
        <v>549</v>
      </c>
      <c r="S368" s="259">
        <v>0</v>
      </c>
      <c r="T368" s="259">
        <v>3</v>
      </c>
      <c r="U368" s="68" t="s">
        <v>1103</v>
      </c>
      <c r="V368" s="126">
        <v>1</v>
      </c>
      <c r="Z368" s="126">
        <v>1</v>
      </c>
      <c r="AA368" s="126">
        <v>1</v>
      </c>
      <c r="AB368" s="126">
        <v>2</v>
      </c>
      <c r="AC368" s="126">
        <v>6</v>
      </c>
      <c r="AD368" s="126">
        <v>2026</v>
      </c>
    </row>
    <row r="369" spans="3:30">
      <c r="C369" s="126">
        <v>362</v>
      </c>
      <c r="D369" s="126">
        <v>32</v>
      </c>
      <c r="E369" s="126">
        <v>11</v>
      </c>
      <c r="F369" s="126">
        <v>1</v>
      </c>
      <c r="G369" s="126">
        <v>1</v>
      </c>
      <c r="H369" s="126">
        <v>1</v>
      </c>
      <c r="I369" s="126">
        <v>1</v>
      </c>
      <c r="J369" s="126">
        <v>181</v>
      </c>
      <c r="M369" s="126">
        <v>135</v>
      </c>
      <c r="N369" s="126">
        <v>1</v>
      </c>
      <c r="P369" s="126">
        <v>95</v>
      </c>
      <c r="R369" s="126" t="s">
        <v>549</v>
      </c>
      <c r="S369" s="259">
        <v>3</v>
      </c>
      <c r="T369" s="259">
        <v>0</v>
      </c>
      <c r="U369" s="68" t="s">
        <v>1104</v>
      </c>
      <c r="V369" s="126">
        <v>1</v>
      </c>
      <c r="Z369" s="126">
        <v>1</v>
      </c>
      <c r="AA369" s="126">
        <v>1</v>
      </c>
      <c r="AB369" s="126">
        <v>2</v>
      </c>
      <c r="AC369" s="126">
        <v>6</v>
      </c>
      <c r="AD369" s="126">
        <v>2026</v>
      </c>
    </row>
    <row r="370" spans="3:30">
      <c r="C370" s="126">
        <v>363</v>
      </c>
      <c r="D370" s="126">
        <v>32</v>
      </c>
      <c r="E370" s="126">
        <v>10</v>
      </c>
      <c r="F370" s="126">
        <v>1</v>
      </c>
      <c r="G370" s="126">
        <v>1</v>
      </c>
      <c r="H370" s="126">
        <v>1</v>
      </c>
      <c r="I370" s="126">
        <v>1</v>
      </c>
      <c r="J370" s="126">
        <v>181</v>
      </c>
      <c r="P370" s="126">
        <v>95</v>
      </c>
      <c r="R370" s="126" t="s">
        <v>549</v>
      </c>
      <c r="S370" s="259">
        <v>0</v>
      </c>
      <c r="T370" s="259">
        <v>4.5</v>
      </c>
      <c r="U370" s="68" t="s">
        <v>1105</v>
      </c>
      <c r="V370" s="126">
        <v>1</v>
      </c>
      <c r="Z370" s="126">
        <v>1</v>
      </c>
      <c r="AA370" s="126">
        <v>1</v>
      </c>
      <c r="AB370" s="126">
        <v>2</v>
      </c>
      <c r="AC370" s="126">
        <v>6</v>
      </c>
      <c r="AD370" s="126">
        <v>2026</v>
      </c>
    </row>
    <row r="371" spans="3:30">
      <c r="C371" s="126">
        <v>364</v>
      </c>
      <c r="D371" s="126">
        <v>33</v>
      </c>
      <c r="E371" s="126">
        <v>2</v>
      </c>
      <c r="F371" s="126">
        <v>1</v>
      </c>
      <c r="G371" s="126">
        <v>1</v>
      </c>
      <c r="H371" s="126">
        <v>1</v>
      </c>
      <c r="I371" s="126">
        <v>1</v>
      </c>
      <c r="R371" s="126" t="s">
        <v>549</v>
      </c>
      <c r="S371" s="259">
        <v>42.13</v>
      </c>
      <c r="T371" s="259">
        <v>0</v>
      </c>
      <c r="U371" s="68" t="s">
        <v>1107</v>
      </c>
      <c r="V371" s="126">
        <v>1</v>
      </c>
      <c r="Z371" s="126">
        <v>1</v>
      </c>
      <c r="AA371" s="126">
        <v>1</v>
      </c>
      <c r="AB371" s="126">
        <v>2</v>
      </c>
      <c r="AC371" s="126">
        <v>6</v>
      </c>
      <c r="AD371" s="126">
        <v>2026</v>
      </c>
    </row>
    <row r="372" spans="3:30">
      <c r="C372" s="126">
        <v>365</v>
      </c>
      <c r="D372" s="126">
        <v>33</v>
      </c>
      <c r="E372" s="126">
        <v>3</v>
      </c>
      <c r="F372" s="126">
        <v>1</v>
      </c>
      <c r="G372" s="126">
        <v>1</v>
      </c>
      <c r="H372" s="126">
        <v>1</v>
      </c>
      <c r="I372" s="126">
        <v>1</v>
      </c>
      <c r="J372" s="126">
        <v>40</v>
      </c>
      <c r="M372" s="126">
        <v>136</v>
      </c>
      <c r="N372" s="126">
        <v>0</v>
      </c>
      <c r="P372" s="126">
        <v>96</v>
      </c>
      <c r="R372" s="126" t="s">
        <v>549</v>
      </c>
      <c r="S372" s="259">
        <v>0</v>
      </c>
      <c r="T372" s="259">
        <v>0.46</v>
      </c>
      <c r="U372" s="68" t="s">
        <v>1110</v>
      </c>
      <c r="V372" s="126">
        <v>1</v>
      </c>
      <c r="Z372" s="126">
        <v>1</v>
      </c>
      <c r="AA372" s="126">
        <v>1</v>
      </c>
      <c r="AB372" s="126">
        <v>2</v>
      </c>
      <c r="AC372" s="126">
        <v>6</v>
      </c>
      <c r="AD372" s="126">
        <v>2026</v>
      </c>
    </row>
    <row r="373" spans="3:30">
      <c r="C373" s="126">
        <v>366</v>
      </c>
      <c r="D373" s="126">
        <v>33</v>
      </c>
      <c r="E373" s="126">
        <v>11</v>
      </c>
      <c r="F373" s="126">
        <v>1</v>
      </c>
      <c r="G373" s="126">
        <v>1</v>
      </c>
      <c r="H373" s="126">
        <v>1</v>
      </c>
      <c r="I373" s="126">
        <v>1</v>
      </c>
      <c r="J373" s="126">
        <v>40</v>
      </c>
      <c r="M373" s="126">
        <v>136</v>
      </c>
      <c r="N373" s="126">
        <v>1</v>
      </c>
      <c r="P373" s="126">
        <v>96</v>
      </c>
      <c r="R373" s="126" t="s">
        <v>549</v>
      </c>
      <c r="S373" s="259">
        <v>0.46</v>
      </c>
      <c r="T373" s="259">
        <v>0</v>
      </c>
      <c r="U373" s="68" t="s">
        <v>1111</v>
      </c>
      <c r="V373" s="126">
        <v>1</v>
      </c>
      <c r="Z373" s="126">
        <v>1</v>
      </c>
      <c r="AA373" s="126">
        <v>1</v>
      </c>
      <c r="AB373" s="126">
        <v>2</v>
      </c>
      <c r="AC373" s="126">
        <v>6</v>
      </c>
      <c r="AD373" s="126">
        <v>2026</v>
      </c>
    </row>
    <row r="374" spans="3:30">
      <c r="C374" s="126">
        <v>367</v>
      </c>
      <c r="D374" s="126">
        <v>33</v>
      </c>
      <c r="E374" s="126">
        <v>10</v>
      </c>
      <c r="F374" s="126">
        <v>1</v>
      </c>
      <c r="G374" s="126">
        <v>1</v>
      </c>
      <c r="H374" s="126">
        <v>1</v>
      </c>
      <c r="I374" s="126">
        <v>1</v>
      </c>
      <c r="J374" s="126">
        <v>40</v>
      </c>
      <c r="P374" s="126">
        <v>96</v>
      </c>
      <c r="R374" s="126" t="s">
        <v>549</v>
      </c>
      <c r="S374" s="259">
        <v>0</v>
      </c>
      <c r="T374" s="259">
        <v>2</v>
      </c>
      <c r="U374" s="68" t="s">
        <v>1112</v>
      </c>
      <c r="V374" s="126">
        <v>1</v>
      </c>
      <c r="Z374" s="126">
        <v>1</v>
      </c>
      <c r="AA374" s="126">
        <v>1</v>
      </c>
      <c r="AB374" s="126">
        <v>2</v>
      </c>
      <c r="AC374" s="126">
        <v>6</v>
      </c>
      <c r="AD374" s="126">
        <v>2026</v>
      </c>
    </row>
    <row r="375" spans="3:30">
      <c r="C375" s="126">
        <v>368</v>
      </c>
      <c r="D375" s="126">
        <v>33</v>
      </c>
      <c r="E375" s="126">
        <v>3</v>
      </c>
      <c r="F375" s="126">
        <v>1</v>
      </c>
      <c r="G375" s="126">
        <v>1</v>
      </c>
      <c r="H375" s="126">
        <v>1</v>
      </c>
      <c r="I375" s="126">
        <v>1</v>
      </c>
      <c r="J375" s="126">
        <v>38</v>
      </c>
      <c r="M375" s="126">
        <v>137</v>
      </c>
      <c r="N375" s="126">
        <v>0</v>
      </c>
      <c r="P375" s="126">
        <v>97</v>
      </c>
      <c r="R375" s="126" t="s">
        <v>549</v>
      </c>
      <c r="S375" s="259">
        <v>0</v>
      </c>
      <c r="T375" s="259">
        <v>0.57999999999999996</v>
      </c>
      <c r="U375" s="68" t="s">
        <v>1115</v>
      </c>
      <c r="V375" s="126">
        <v>1</v>
      </c>
      <c r="Z375" s="126">
        <v>1</v>
      </c>
      <c r="AA375" s="126">
        <v>1</v>
      </c>
      <c r="AB375" s="126">
        <v>2</v>
      </c>
      <c r="AC375" s="126">
        <v>6</v>
      </c>
      <c r="AD375" s="126">
        <v>2026</v>
      </c>
    </row>
    <row r="376" spans="3:30">
      <c r="C376" s="126">
        <v>369</v>
      </c>
      <c r="D376" s="126">
        <v>33</v>
      </c>
      <c r="E376" s="126">
        <v>11</v>
      </c>
      <c r="F376" s="126">
        <v>1</v>
      </c>
      <c r="G376" s="126">
        <v>1</v>
      </c>
      <c r="H376" s="126">
        <v>1</v>
      </c>
      <c r="I376" s="126">
        <v>1</v>
      </c>
      <c r="J376" s="126">
        <v>38</v>
      </c>
      <c r="M376" s="126">
        <v>137</v>
      </c>
      <c r="N376" s="126">
        <v>1</v>
      </c>
      <c r="P376" s="126">
        <v>97</v>
      </c>
      <c r="R376" s="126" t="s">
        <v>549</v>
      </c>
      <c r="S376" s="259">
        <v>0.57999999999999996</v>
      </c>
      <c r="T376" s="259">
        <v>0</v>
      </c>
      <c r="U376" s="68" t="s">
        <v>1116</v>
      </c>
      <c r="V376" s="126">
        <v>1</v>
      </c>
      <c r="Z376" s="126">
        <v>1</v>
      </c>
      <c r="AA376" s="126">
        <v>1</v>
      </c>
      <c r="AB376" s="126">
        <v>2</v>
      </c>
      <c r="AC376" s="126">
        <v>6</v>
      </c>
      <c r="AD376" s="126">
        <v>2026</v>
      </c>
    </row>
    <row r="377" spans="3:30">
      <c r="C377" s="126">
        <v>370</v>
      </c>
      <c r="D377" s="126">
        <v>33</v>
      </c>
      <c r="E377" s="126">
        <v>10</v>
      </c>
      <c r="F377" s="126">
        <v>1</v>
      </c>
      <c r="G377" s="126">
        <v>1</v>
      </c>
      <c r="H377" s="126">
        <v>1</v>
      </c>
      <c r="I377" s="126">
        <v>1</v>
      </c>
      <c r="J377" s="126">
        <v>38</v>
      </c>
      <c r="P377" s="126">
        <v>97</v>
      </c>
      <c r="R377" s="126" t="s">
        <v>549</v>
      </c>
      <c r="S377" s="259">
        <v>0</v>
      </c>
      <c r="T377" s="259">
        <v>2</v>
      </c>
      <c r="U377" s="68" t="s">
        <v>1117</v>
      </c>
      <c r="V377" s="126">
        <v>1</v>
      </c>
      <c r="Z377" s="126">
        <v>1</v>
      </c>
      <c r="AA377" s="126">
        <v>1</v>
      </c>
      <c r="AB377" s="126">
        <v>2</v>
      </c>
      <c r="AC377" s="126">
        <v>6</v>
      </c>
      <c r="AD377" s="126">
        <v>2026</v>
      </c>
    </row>
    <row r="378" spans="3:30">
      <c r="C378" s="126">
        <v>371</v>
      </c>
      <c r="D378" s="126">
        <v>33</v>
      </c>
      <c r="E378" s="126">
        <v>3</v>
      </c>
      <c r="F378" s="126">
        <v>1</v>
      </c>
      <c r="G378" s="126">
        <v>1</v>
      </c>
      <c r="H378" s="126">
        <v>1</v>
      </c>
      <c r="I378" s="126">
        <v>1</v>
      </c>
      <c r="J378" s="126">
        <v>5</v>
      </c>
      <c r="M378" s="126">
        <v>138</v>
      </c>
      <c r="N378" s="126">
        <v>0</v>
      </c>
      <c r="P378" s="126">
        <v>98</v>
      </c>
      <c r="R378" s="126" t="s">
        <v>549</v>
      </c>
      <c r="S378" s="259">
        <v>0</v>
      </c>
      <c r="T378" s="259">
        <v>3.74</v>
      </c>
      <c r="U378" s="68" t="s">
        <v>1119</v>
      </c>
      <c r="V378" s="126">
        <v>1</v>
      </c>
      <c r="Z378" s="126">
        <v>1</v>
      </c>
      <c r="AA378" s="126">
        <v>1</v>
      </c>
      <c r="AB378" s="126">
        <v>2</v>
      </c>
      <c r="AC378" s="126">
        <v>6</v>
      </c>
      <c r="AD378" s="126">
        <v>2026</v>
      </c>
    </row>
    <row r="379" spans="3:30">
      <c r="C379" s="126">
        <v>372</v>
      </c>
      <c r="D379" s="126">
        <v>33</v>
      </c>
      <c r="E379" s="126">
        <v>11</v>
      </c>
      <c r="F379" s="126">
        <v>1</v>
      </c>
      <c r="G379" s="126">
        <v>1</v>
      </c>
      <c r="H379" s="126">
        <v>1</v>
      </c>
      <c r="I379" s="126">
        <v>1</v>
      </c>
      <c r="J379" s="126">
        <v>5</v>
      </c>
      <c r="M379" s="126">
        <v>138</v>
      </c>
      <c r="N379" s="126">
        <v>1</v>
      </c>
      <c r="P379" s="126">
        <v>98</v>
      </c>
      <c r="R379" s="126" t="s">
        <v>549</v>
      </c>
      <c r="S379" s="259">
        <v>3.74</v>
      </c>
      <c r="T379" s="259">
        <v>0</v>
      </c>
      <c r="U379" s="68" t="s">
        <v>1120</v>
      </c>
      <c r="V379" s="126">
        <v>1</v>
      </c>
      <c r="Z379" s="126">
        <v>1</v>
      </c>
      <c r="AA379" s="126">
        <v>1</v>
      </c>
      <c r="AB379" s="126">
        <v>2</v>
      </c>
      <c r="AC379" s="126">
        <v>6</v>
      </c>
      <c r="AD379" s="126">
        <v>2026</v>
      </c>
    </row>
    <row r="380" spans="3:30">
      <c r="C380" s="126">
        <v>373</v>
      </c>
      <c r="D380" s="126">
        <v>33</v>
      </c>
      <c r="E380" s="126">
        <v>10</v>
      </c>
      <c r="F380" s="126">
        <v>1</v>
      </c>
      <c r="G380" s="126">
        <v>1</v>
      </c>
      <c r="H380" s="126">
        <v>1</v>
      </c>
      <c r="I380" s="126">
        <v>1</v>
      </c>
      <c r="J380" s="126">
        <v>5</v>
      </c>
      <c r="P380" s="126">
        <v>98</v>
      </c>
      <c r="R380" s="126" t="s">
        <v>549</v>
      </c>
      <c r="S380" s="259">
        <v>0</v>
      </c>
      <c r="T380" s="259">
        <v>1</v>
      </c>
      <c r="U380" s="68" t="s">
        <v>1121</v>
      </c>
      <c r="V380" s="126">
        <v>1</v>
      </c>
      <c r="Z380" s="126">
        <v>1</v>
      </c>
      <c r="AA380" s="126">
        <v>1</v>
      </c>
      <c r="AB380" s="126">
        <v>2</v>
      </c>
      <c r="AC380" s="126">
        <v>6</v>
      </c>
      <c r="AD380" s="126">
        <v>2026</v>
      </c>
    </row>
    <row r="381" spans="3:30">
      <c r="C381" s="126">
        <v>374</v>
      </c>
      <c r="D381" s="126">
        <v>33</v>
      </c>
      <c r="E381" s="126">
        <v>3</v>
      </c>
      <c r="F381" s="126">
        <v>1</v>
      </c>
      <c r="G381" s="126">
        <v>1</v>
      </c>
      <c r="H381" s="126">
        <v>1</v>
      </c>
      <c r="I381" s="126">
        <v>1</v>
      </c>
      <c r="J381" s="126">
        <v>182</v>
      </c>
      <c r="M381" s="126">
        <v>139</v>
      </c>
      <c r="N381" s="126">
        <v>0</v>
      </c>
      <c r="P381" s="126">
        <v>99</v>
      </c>
      <c r="R381" s="126" t="s">
        <v>549</v>
      </c>
      <c r="S381" s="259">
        <v>0</v>
      </c>
      <c r="T381" s="259">
        <v>6</v>
      </c>
      <c r="U381" s="68" t="s">
        <v>1122</v>
      </c>
      <c r="V381" s="126">
        <v>1</v>
      </c>
      <c r="Z381" s="126">
        <v>1</v>
      </c>
      <c r="AA381" s="126">
        <v>1</v>
      </c>
      <c r="AB381" s="126">
        <v>2</v>
      </c>
      <c r="AC381" s="126">
        <v>6</v>
      </c>
      <c r="AD381" s="126">
        <v>2026</v>
      </c>
    </row>
    <row r="382" spans="3:30">
      <c r="C382" s="126">
        <v>375</v>
      </c>
      <c r="D382" s="126">
        <v>33</v>
      </c>
      <c r="E382" s="126">
        <v>11</v>
      </c>
      <c r="F382" s="126">
        <v>1</v>
      </c>
      <c r="G382" s="126">
        <v>1</v>
      </c>
      <c r="H382" s="126">
        <v>1</v>
      </c>
      <c r="I382" s="126">
        <v>1</v>
      </c>
      <c r="J382" s="126">
        <v>182</v>
      </c>
      <c r="M382" s="126">
        <v>139</v>
      </c>
      <c r="N382" s="126">
        <v>1</v>
      </c>
      <c r="P382" s="126">
        <v>99</v>
      </c>
      <c r="R382" s="126" t="s">
        <v>549</v>
      </c>
      <c r="S382" s="259">
        <v>6</v>
      </c>
      <c r="T382" s="259">
        <v>0</v>
      </c>
      <c r="U382" s="68" t="s">
        <v>1123</v>
      </c>
      <c r="V382" s="126">
        <v>1</v>
      </c>
      <c r="Z382" s="126">
        <v>1</v>
      </c>
      <c r="AA382" s="126">
        <v>1</v>
      </c>
      <c r="AB382" s="126">
        <v>2</v>
      </c>
      <c r="AC382" s="126">
        <v>6</v>
      </c>
      <c r="AD382" s="126">
        <v>2026</v>
      </c>
    </row>
    <row r="383" spans="3:30">
      <c r="C383" s="126">
        <v>376</v>
      </c>
      <c r="D383" s="126">
        <v>33</v>
      </c>
      <c r="E383" s="126">
        <v>10</v>
      </c>
      <c r="F383" s="126">
        <v>1</v>
      </c>
      <c r="G383" s="126">
        <v>1</v>
      </c>
      <c r="H383" s="126">
        <v>1</v>
      </c>
      <c r="I383" s="126">
        <v>1</v>
      </c>
      <c r="J383" s="126">
        <v>182</v>
      </c>
      <c r="P383" s="126">
        <v>99</v>
      </c>
      <c r="R383" s="126" t="s">
        <v>549</v>
      </c>
      <c r="S383" s="259">
        <v>0</v>
      </c>
      <c r="T383" s="259">
        <v>7.5</v>
      </c>
      <c r="U383" s="68" t="s">
        <v>1124</v>
      </c>
      <c r="V383" s="126">
        <v>1</v>
      </c>
      <c r="Z383" s="126">
        <v>1</v>
      </c>
      <c r="AA383" s="126">
        <v>1</v>
      </c>
      <c r="AB383" s="126">
        <v>2</v>
      </c>
      <c r="AC383" s="126">
        <v>6</v>
      </c>
      <c r="AD383" s="126">
        <v>2026</v>
      </c>
    </row>
    <row r="384" spans="3:30">
      <c r="C384" s="126">
        <v>377</v>
      </c>
      <c r="D384" s="126">
        <v>33</v>
      </c>
      <c r="E384" s="126">
        <v>3</v>
      </c>
      <c r="F384" s="126">
        <v>1</v>
      </c>
      <c r="G384" s="126">
        <v>1</v>
      </c>
      <c r="H384" s="126">
        <v>1</v>
      </c>
      <c r="I384" s="126">
        <v>1</v>
      </c>
      <c r="J384" s="126">
        <v>8</v>
      </c>
      <c r="M384" s="126">
        <v>140</v>
      </c>
      <c r="N384" s="126">
        <v>0</v>
      </c>
      <c r="P384" s="126">
        <v>100</v>
      </c>
      <c r="R384" s="126" t="s">
        <v>549</v>
      </c>
      <c r="S384" s="259">
        <v>0</v>
      </c>
      <c r="T384" s="259">
        <v>1.32</v>
      </c>
      <c r="U384" s="68" t="s">
        <v>1127</v>
      </c>
      <c r="V384" s="126">
        <v>1</v>
      </c>
      <c r="Z384" s="126">
        <v>1</v>
      </c>
      <c r="AA384" s="126">
        <v>1</v>
      </c>
      <c r="AB384" s="126">
        <v>2</v>
      </c>
      <c r="AC384" s="126">
        <v>6</v>
      </c>
      <c r="AD384" s="126">
        <v>2026</v>
      </c>
    </row>
    <row r="385" spans="3:30">
      <c r="C385" s="126">
        <v>378</v>
      </c>
      <c r="D385" s="126">
        <v>33</v>
      </c>
      <c r="E385" s="126">
        <v>11</v>
      </c>
      <c r="F385" s="126">
        <v>1</v>
      </c>
      <c r="G385" s="126">
        <v>1</v>
      </c>
      <c r="H385" s="126">
        <v>1</v>
      </c>
      <c r="I385" s="126">
        <v>1</v>
      </c>
      <c r="J385" s="126">
        <v>8</v>
      </c>
      <c r="M385" s="126">
        <v>140</v>
      </c>
      <c r="N385" s="126">
        <v>1</v>
      </c>
      <c r="P385" s="126">
        <v>100</v>
      </c>
      <c r="R385" s="126" t="s">
        <v>549</v>
      </c>
      <c r="S385" s="259">
        <v>1.32</v>
      </c>
      <c r="T385" s="259">
        <v>0</v>
      </c>
      <c r="U385" s="68" t="s">
        <v>1128</v>
      </c>
      <c r="V385" s="126">
        <v>1</v>
      </c>
      <c r="Z385" s="126">
        <v>1</v>
      </c>
      <c r="AA385" s="126">
        <v>1</v>
      </c>
      <c r="AB385" s="126">
        <v>2</v>
      </c>
      <c r="AC385" s="126">
        <v>6</v>
      </c>
      <c r="AD385" s="126">
        <v>2026</v>
      </c>
    </row>
    <row r="386" spans="3:30">
      <c r="C386" s="126">
        <v>379</v>
      </c>
      <c r="D386" s="126">
        <v>33</v>
      </c>
      <c r="E386" s="126">
        <v>10</v>
      </c>
      <c r="F386" s="126">
        <v>1</v>
      </c>
      <c r="G386" s="126">
        <v>1</v>
      </c>
      <c r="H386" s="126">
        <v>1</v>
      </c>
      <c r="I386" s="126">
        <v>1</v>
      </c>
      <c r="J386" s="126">
        <v>8</v>
      </c>
      <c r="P386" s="126">
        <v>100</v>
      </c>
      <c r="R386" s="126" t="s">
        <v>549</v>
      </c>
      <c r="S386" s="259">
        <v>0</v>
      </c>
      <c r="T386" s="259">
        <v>1.75</v>
      </c>
      <c r="U386" s="68" t="s">
        <v>1129</v>
      </c>
      <c r="V386" s="126">
        <v>1</v>
      </c>
      <c r="Z386" s="126">
        <v>1</v>
      </c>
      <c r="AA386" s="126">
        <v>1</v>
      </c>
      <c r="AB386" s="126">
        <v>2</v>
      </c>
      <c r="AC386" s="126">
        <v>6</v>
      </c>
      <c r="AD386" s="126">
        <v>2026</v>
      </c>
    </row>
    <row r="387" spans="3:30">
      <c r="C387" s="126">
        <v>380</v>
      </c>
      <c r="D387" s="126">
        <v>33</v>
      </c>
      <c r="E387" s="126">
        <v>3</v>
      </c>
      <c r="F387" s="126">
        <v>1</v>
      </c>
      <c r="G387" s="126">
        <v>1</v>
      </c>
      <c r="H387" s="126">
        <v>1</v>
      </c>
      <c r="I387" s="126">
        <v>1</v>
      </c>
      <c r="J387" s="126">
        <v>26</v>
      </c>
      <c r="M387" s="126">
        <v>141</v>
      </c>
      <c r="N387" s="126">
        <v>0</v>
      </c>
      <c r="P387" s="126">
        <v>101</v>
      </c>
      <c r="R387" s="126" t="s">
        <v>549</v>
      </c>
      <c r="S387" s="259">
        <v>0</v>
      </c>
      <c r="T387" s="259">
        <v>3.01</v>
      </c>
      <c r="U387" s="68" t="s">
        <v>1130</v>
      </c>
      <c r="V387" s="126">
        <v>1</v>
      </c>
      <c r="Z387" s="126">
        <v>1</v>
      </c>
      <c r="AA387" s="126">
        <v>1</v>
      </c>
      <c r="AB387" s="126">
        <v>2</v>
      </c>
      <c r="AC387" s="126">
        <v>6</v>
      </c>
      <c r="AD387" s="126">
        <v>2026</v>
      </c>
    </row>
    <row r="388" spans="3:30">
      <c r="C388" s="126">
        <v>381</v>
      </c>
      <c r="D388" s="126">
        <v>33</v>
      </c>
      <c r="E388" s="126">
        <v>11</v>
      </c>
      <c r="F388" s="126">
        <v>1</v>
      </c>
      <c r="G388" s="126">
        <v>1</v>
      </c>
      <c r="H388" s="126">
        <v>1</v>
      </c>
      <c r="I388" s="126">
        <v>1</v>
      </c>
      <c r="J388" s="126">
        <v>26</v>
      </c>
      <c r="M388" s="126">
        <v>141</v>
      </c>
      <c r="N388" s="126">
        <v>1</v>
      </c>
      <c r="P388" s="126">
        <v>101</v>
      </c>
      <c r="R388" s="126" t="s">
        <v>549</v>
      </c>
      <c r="S388" s="259">
        <v>3.01</v>
      </c>
      <c r="T388" s="259">
        <v>0</v>
      </c>
      <c r="U388" s="68" t="s">
        <v>1131</v>
      </c>
      <c r="V388" s="126">
        <v>1</v>
      </c>
      <c r="Z388" s="126">
        <v>1</v>
      </c>
      <c r="AA388" s="126">
        <v>1</v>
      </c>
      <c r="AB388" s="126">
        <v>2</v>
      </c>
      <c r="AC388" s="126">
        <v>6</v>
      </c>
      <c r="AD388" s="126">
        <v>2026</v>
      </c>
    </row>
    <row r="389" spans="3:30">
      <c r="C389" s="126">
        <v>382</v>
      </c>
      <c r="D389" s="126">
        <v>33</v>
      </c>
      <c r="E389" s="126">
        <v>10</v>
      </c>
      <c r="F389" s="126">
        <v>1</v>
      </c>
      <c r="G389" s="126">
        <v>1</v>
      </c>
      <c r="H389" s="126">
        <v>1</v>
      </c>
      <c r="I389" s="126">
        <v>1</v>
      </c>
      <c r="J389" s="126">
        <v>26</v>
      </c>
      <c r="P389" s="126">
        <v>101</v>
      </c>
      <c r="R389" s="126" t="s">
        <v>549</v>
      </c>
      <c r="S389" s="259">
        <v>0</v>
      </c>
      <c r="T389" s="259">
        <v>3.5</v>
      </c>
      <c r="U389" s="68" t="s">
        <v>1132</v>
      </c>
      <c r="V389" s="126">
        <v>1</v>
      </c>
      <c r="Z389" s="126">
        <v>1</v>
      </c>
      <c r="AA389" s="126">
        <v>1</v>
      </c>
      <c r="AB389" s="126">
        <v>2</v>
      </c>
      <c r="AC389" s="126">
        <v>6</v>
      </c>
      <c r="AD389" s="126">
        <v>2026</v>
      </c>
    </row>
    <row r="390" spans="3:30">
      <c r="C390" s="126">
        <v>383</v>
      </c>
      <c r="D390" s="126">
        <v>33</v>
      </c>
      <c r="E390" s="126">
        <v>3</v>
      </c>
      <c r="F390" s="126">
        <v>1</v>
      </c>
      <c r="G390" s="126">
        <v>1</v>
      </c>
      <c r="H390" s="126">
        <v>1</v>
      </c>
      <c r="I390" s="126">
        <v>1</v>
      </c>
      <c r="J390" s="126">
        <v>76</v>
      </c>
      <c r="M390" s="126">
        <v>142</v>
      </c>
      <c r="N390" s="126">
        <v>0</v>
      </c>
      <c r="P390" s="126">
        <v>102</v>
      </c>
      <c r="R390" s="126" t="s">
        <v>549</v>
      </c>
      <c r="S390" s="259">
        <v>0</v>
      </c>
      <c r="T390" s="259">
        <v>6.75</v>
      </c>
      <c r="U390" s="68" t="s">
        <v>1136</v>
      </c>
      <c r="V390" s="126">
        <v>1</v>
      </c>
      <c r="Z390" s="126">
        <v>1</v>
      </c>
      <c r="AA390" s="126">
        <v>1</v>
      </c>
      <c r="AB390" s="126">
        <v>2</v>
      </c>
      <c r="AC390" s="126">
        <v>6</v>
      </c>
      <c r="AD390" s="126">
        <v>2026</v>
      </c>
    </row>
    <row r="391" spans="3:30">
      <c r="C391" s="126">
        <v>384</v>
      </c>
      <c r="D391" s="126">
        <v>33</v>
      </c>
      <c r="E391" s="126">
        <v>11</v>
      </c>
      <c r="F391" s="126">
        <v>1</v>
      </c>
      <c r="G391" s="126">
        <v>1</v>
      </c>
      <c r="H391" s="126">
        <v>1</v>
      </c>
      <c r="I391" s="126">
        <v>1</v>
      </c>
      <c r="J391" s="126">
        <v>76</v>
      </c>
      <c r="M391" s="126">
        <v>142</v>
      </c>
      <c r="N391" s="126">
        <v>1</v>
      </c>
      <c r="P391" s="126">
        <v>102</v>
      </c>
      <c r="R391" s="126" t="s">
        <v>549</v>
      </c>
      <c r="S391" s="259">
        <v>6.75</v>
      </c>
      <c r="T391" s="259">
        <v>0</v>
      </c>
      <c r="U391" s="68" t="s">
        <v>1137</v>
      </c>
      <c r="V391" s="126">
        <v>1</v>
      </c>
      <c r="Z391" s="126">
        <v>1</v>
      </c>
      <c r="AA391" s="126">
        <v>1</v>
      </c>
      <c r="AB391" s="126">
        <v>2</v>
      </c>
      <c r="AC391" s="126">
        <v>6</v>
      </c>
      <c r="AD391" s="126">
        <v>2026</v>
      </c>
    </row>
    <row r="392" spans="3:30">
      <c r="C392" s="126">
        <v>385</v>
      </c>
      <c r="D392" s="126">
        <v>33</v>
      </c>
      <c r="E392" s="126">
        <v>10</v>
      </c>
      <c r="F392" s="126">
        <v>1</v>
      </c>
      <c r="G392" s="126">
        <v>1</v>
      </c>
      <c r="H392" s="126">
        <v>1</v>
      </c>
      <c r="I392" s="126">
        <v>1</v>
      </c>
      <c r="J392" s="126">
        <v>76</v>
      </c>
      <c r="P392" s="126">
        <v>102</v>
      </c>
      <c r="R392" s="126" t="s">
        <v>549</v>
      </c>
      <c r="S392" s="259">
        <v>0</v>
      </c>
      <c r="T392" s="259">
        <v>8.75</v>
      </c>
      <c r="U392" s="68" t="s">
        <v>1138</v>
      </c>
      <c r="V392" s="126">
        <v>1</v>
      </c>
      <c r="Z392" s="126">
        <v>1</v>
      </c>
      <c r="AA392" s="126">
        <v>1</v>
      </c>
      <c r="AB392" s="126">
        <v>2</v>
      </c>
      <c r="AC392" s="126">
        <v>6</v>
      </c>
      <c r="AD392" s="126">
        <v>2026</v>
      </c>
    </row>
    <row r="393" spans="3:30">
      <c r="C393" s="126">
        <v>386</v>
      </c>
      <c r="D393" s="126">
        <v>33</v>
      </c>
      <c r="E393" s="126">
        <v>3</v>
      </c>
      <c r="F393" s="126">
        <v>1</v>
      </c>
      <c r="G393" s="126">
        <v>1</v>
      </c>
      <c r="H393" s="126">
        <v>1</v>
      </c>
      <c r="I393" s="126">
        <v>1</v>
      </c>
      <c r="J393" s="126">
        <v>90</v>
      </c>
      <c r="M393" s="126">
        <v>143</v>
      </c>
      <c r="N393" s="126">
        <v>0</v>
      </c>
      <c r="P393" s="126">
        <v>103</v>
      </c>
      <c r="R393" s="126" t="s">
        <v>549</v>
      </c>
      <c r="S393" s="259">
        <v>0</v>
      </c>
      <c r="T393" s="259">
        <v>0.72</v>
      </c>
      <c r="U393" s="68" t="s">
        <v>1141</v>
      </c>
      <c r="V393" s="126">
        <v>1</v>
      </c>
      <c r="Z393" s="126">
        <v>1</v>
      </c>
      <c r="AA393" s="126">
        <v>1</v>
      </c>
      <c r="AB393" s="126">
        <v>2</v>
      </c>
      <c r="AC393" s="126">
        <v>6</v>
      </c>
      <c r="AD393" s="126">
        <v>2026</v>
      </c>
    </row>
    <row r="394" spans="3:30">
      <c r="C394" s="126">
        <v>387</v>
      </c>
      <c r="D394" s="126">
        <v>33</v>
      </c>
      <c r="E394" s="126">
        <v>11</v>
      </c>
      <c r="F394" s="126">
        <v>1</v>
      </c>
      <c r="G394" s="126">
        <v>1</v>
      </c>
      <c r="H394" s="126">
        <v>1</v>
      </c>
      <c r="I394" s="126">
        <v>1</v>
      </c>
      <c r="J394" s="126">
        <v>90</v>
      </c>
      <c r="M394" s="126">
        <v>143</v>
      </c>
      <c r="N394" s="126">
        <v>1</v>
      </c>
      <c r="P394" s="126">
        <v>103</v>
      </c>
      <c r="R394" s="126" t="s">
        <v>549</v>
      </c>
      <c r="S394" s="259">
        <v>0.72</v>
      </c>
      <c r="T394" s="259">
        <v>0</v>
      </c>
      <c r="U394" s="68" t="s">
        <v>1142</v>
      </c>
      <c r="V394" s="126">
        <v>1</v>
      </c>
      <c r="Z394" s="126">
        <v>1</v>
      </c>
      <c r="AA394" s="126">
        <v>1</v>
      </c>
      <c r="AB394" s="126">
        <v>2</v>
      </c>
      <c r="AC394" s="126">
        <v>6</v>
      </c>
      <c r="AD394" s="126">
        <v>2026</v>
      </c>
    </row>
    <row r="395" spans="3:30">
      <c r="C395" s="126">
        <v>388</v>
      </c>
      <c r="D395" s="126">
        <v>33</v>
      </c>
      <c r="E395" s="126">
        <v>10</v>
      </c>
      <c r="F395" s="126">
        <v>1</v>
      </c>
      <c r="G395" s="126">
        <v>1</v>
      </c>
      <c r="H395" s="126">
        <v>1</v>
      </c>
      <c r="I395" s="126">
        <v>1</v>
      </c>
      <c r="J395" s="126">
        <v>90</v>
      </c>
      <c r="P395" s="126">
        <v>103</v>
      </c>
      <c r="R395" s="126" t="s">
        <v>549</v>
      </c>
      <c r="S395" s="259">
        <v>0</v>
      </c>
      <c r="T395" s="259">
        <v>2</v>
      </c>
      <c r="U395" s="68" t="s">
        <v>1143</v>
      </c>
      <c r="V395" s="126">
        <v>1</v>
      </c>
      <c r="Z395" s="126">
        <v>1</v>
      </c>
      <c r="AA395" s="126">
        <v>1</v>
      </c>
      <c r="AB395" s="126">
        <v>2</v>
      </c>
      <c r="AC395" s="126">
        <v>6</v>
      </c>
      <c r="AD395" s="126">
        <v>2026</v>
      </c>
    </row>
    <row r="396" spans="3:30">
      <c r="C396" s="126">
        <v>389</v>
      </c>
      <c r="D396" s="126">
        <v>33</v>
      </c>
      <c r="E396" s="126">
        <v>3</v>
      </c>
      <c r="F396" s="126">
        <v>1</v>
      </c>
      <c r="G396" s="126">
        <v>1</v>
      </c>
      <c r="H396" s="126">
        <v>1</v>
      </c>
      <c r="I396" s="126">
        <v>1</v>
      </c>
      <c r="J396" s="126">
        <v>39</v>
      </c>
      <c r="M396" s="126">
        <v>144</v>
      </c>
      <c r="N396" s="126">
        <v>0</v>
      </c>
      <c r="P396" s="126">
        <v>104</v>
      </c>
      <c r="R396" s="126" t="s">
        <v>549</v>
      </c>
      <c r="S396" s="259">
        <v>0</v>
      </c>
      <c r="T396" s="259">
        <v>0.86999999999999988</v>
      </c>
      <c r="U396" s="68" t="s">
        <v>1146</v>
      </c>
      <c r="V396" s="126">
        <v>1</v>
      </c>
      <c r="Z396" s="126">
        <v>1</v>
      </c>
      <c r="AA396" s="126">
        <v>1</v>
      </c>
      <c r="AB396" s="126">
        <v>2</v>
      </c>
      <c r="AC396" s="126">
        <v>6</v>
      </c>
      <c r="AD396" s="126">
        <v>2026</v>
      </c>
    </row>
    <row r="397" spans="3:30">
      <c r="C397" s="126">
        <v>390</v>
      </c>
      <c r="D397" s="126">
        <v>33</v>
      </c>
      <c r="E397" s="126">
        <v>11</v>
      </c>
      <c r="F397" s="126">
        <v>1</v>
      </c>
      <c r="G397" s="126">
        <v>1</v>
      </c>
      <c r="H397" s="126">
        <v>1</v>
      </c>
      <c r="I397" s="126">
        <v>1</v>
      </c>
      <c r="J397" s="126">
        <v>39</v>
      </c>
      <c r="M397" s="126">
        <v>144</v>
      </c>
      <c r="N397" s="126">
        <v>1</v>
      </c>
      <c r="P397" s="126">
        <v>104</v>
      </c>
      <c r="R397" s="126" t="s">
        <v>549</v>
      </c>
      <c r="S397" s="259">
        <v>0.86999999999999988</v>
      </c>
      <c r="T397" s="259">
        <v>0</v>
      </c>
      <c r="U397" s="68" t="s">
        <v>1147</v>
      </c>
      <c r="V397" s="126">
        <v>1</v>
      </c>
      <c r="Z397" s="126">
        <v>1</v>
      </c>
      <c r="AA397" s="126">
        <v>1</v>
      </c>
      <c r="AB397" s="126">
        <v>2</v>
      </c>
      <c r="AC397" s="126">
        <v>6</v>
      </c>
      <c r="AD397" s="126">
        <v>2026</v>
      </c>
    </row>
    <row r="398" spans="3:30">
      <c r="C398" s="126">
        <v>391</v>
      </c>
      <c r="D398" s="126">
        <v>33</v>
      </c>
      <c r="E398" s="126">
        <v>10</v>
      </c>
      <c r="F398" s="126">
        <v>1</v>
      </c>
      <c r="G398" s="126">
        <v>1</v>
      </c>
      <c r="H398" s="126">
        <v>1</v>
      </c>
      <c r="I398" s="126">
        <v>1</v>
      </c>
      <c r="J398" s="126">
        <v>39</v>
      </c>
      <c r="P398" s="126">
        <v>104</v>
      </c>
      <c r="R398" s="126" t="s">
        <v>549</v>
      </c>
      <c r="S398" s="259">
        <v>0</v>
      </c>
      <c r="T398" s="259">
        <v>1.5</v>
      </c>
      <c r="U398" s="68" t="s">
        <v>1148</v>
      </c>
      <c r="V398" s="126">
        <v>1</v>
      </c>
      <c r="Z398" s="126">
        <v>1</v>
      </c>
      <c r="AA398" s="126">
        <v>1</v>
      </c>
      <c r="AB398" s="126">
        <v>2</v>
      </c>
      <c r="AC398" s="126">
        <v>6</v>
      </c>
      <c r="AD398" s="126">
        <v>2026</v>
      </c>
    </row>
    <row r="399" spans="3:30">
      <c r="C399" s="126">
        <v>392</v>
      </c>
      <c r="D399" s="126">
        <v>33</v>
      </c>
      <c r="E399" s="126">
        <v>3</v>
      </c>
      <c r="F399" s="126">
        <v>1</v>
      </c>
      <c r="G399" s="126">
        <v>1</v>
      </c>
      <c r="H399" s="126">
        <v>1</v>
      </c>
      <c r="I399" s="126">
        <v>1</v>
      </c>
      <c r="J399" s="126">
        <v>42</v>
      </c>
      <c r="M399" s="126">
        <v>145</v>
      </c>
      <c r="N399" s="126">
        <v>0</v>
      </c>
      <c r="P399" s="126">
        <v>105</v>
      </c>
      <c r="R399" s="126" t="s">
        <v>549</v>
      </c>
      <c r="S399" s="259">
        <v>0</v>
      </c>
      <c r="T399" s="259">
        <v>0.72</v>
      </c>
      <c r="U399" s="68" t="s">
        <v>1149</v>
      </c>
      <c r="V399" s="126">
        <v>1</v>
      </c>
      <c r="Z399" s="126">
        <v>1</v>
      </c>
      <c r="AA399" s="126">
        <v>1</v>
      </c>
      <c r="AB399" s="126">
        <v>2</v>
      </c>
      <c r="AC399" s="126">
        <v>6</v>
      </c>
      <c r="AD399" s="126">
        <v>2026</v>
      </c>
    </row>
    <row r="400" spans="3:30">
      <c r="C400" s="126">
        <v>393</v>
      </c>
      <c r="D400" s="126">
        <v>33</v>
      </c>
      <c r="E400" s="126">
        <v>11</v>
      </c>
      <c r="F400" s="126">
        <v>1</v>
      </c>
      <c r="G400" s="126">
        <v>1</v>
      </c>
      <c r="H400" s="126">
        <v>1</v>
      </c>
      <c r="I400" s="126">
        <v>1</v>
      </c>
      <c r="J400" s="126">
        <v>42</v>
      </c>
      <c r="M400" s="126">
        <v>145</v>
      </c>
      <c r="N400" s="126">
        <v>1</v>
      </c>
      <c r="P400" s="126">
        <v>105</v>
      </c>
      <c r="R400" s="126" t="s">
        <v>549</v>
      </c>
      <c r="S400" s="259">
        <v>0.72</v>
      </c>
      <c r="T400" s="259">
        <v>0</v>
      </c>
      <c r="U400" s="68" t="s">
        <v>1150</v>
      </c>
      <c r="V400" s="126">
        <v>1</v>
      </c>
      <c r="Z400" s="126">
        <v>1</v>
      </c>
      <c r="AA400" s="126">
        <v>1</v>
      </c>
      <c r="AB400" s="126">
        <v>2</v>
      </c>
      <c r="AC400" s="126">
        <v>6</v>
      </c>
      <c r="AD400" s="126">
        <v>2026</v>
      </c>
    </row>
    <row r="401" spans="3:30">
      <c r="C401" s="126">
        <v>394</v>
      </c>
      <c r="D401" s="126">
        <v>33</v>
      </c>
      <c r="E401" s="126">
        <v>10</v>
      </c>
      <c r="F401" s="126">
        <v>1</v>
      </c>
      <c r="G401" s="126">
        <v>1</v>
      </c>
      <c r="H401" s="126">
        <v>1</v>
      </c>
      <c r="I401" s="126">
        <v>1</v>
      </c>
      <c r="J401" s="126">
        <v>42</v>
      </c>
      <c r="P401" s="126">
        <v>105</v>
      </c>
      <c r="R401" s="126" t="s">
        <v>549</v>
      </c>
      <c r="S401" s="259">
        <v>0</v>
      </c>
      <c r="T401" s="259">
        <v>1.5</v>
      </c>
      <c r="U401" s="68" t="s">
        <v>1151</v>
      </c>
      <c r="V401" s="126">
        <v>1</v>
      </c>
      <c r="Z401" s="126">
        <v>1</v>
      </c>
      <c r="AA401" s="126">
        <v>1</v>
      </c>
      <c r="AB401" s="126">
        <v>2</v>
      </c>
      <c r="AC401" s="126">
        <v>6</v>
      </c>
      <c r="AD401" s="126">
        <v>2026</v>
      </c>
    </row>
    <row r="402" spans="3:30">
      <c r="C402" s="126">
        <v>395</v>
      </c>
      <c r="D402" s="126">
        <v>33</v>
      </c>
      <c r="E402" s="126">
        <v>3</v>
      </c>
      <c r="F402" s="126">
        <v>1</v>
      </c>
      <c r="G402" s="126">
        <v>1</v>
      </c>
      <c r="H402" s="126">
        <v>1</v>
      </c>
      <c r="I402" s="126">
        <v>1</v>
      </c>
      <c r="J402" s="126">
        <v>169</v>
      </c>
      <c r="M402" s="126">
        <v>146</v>
      </c>
      <c r="N402" s="126">
        <v>0</v>
      </c>
      <c r="P402" s="126">
        <v>106</v>
      </c>
      <c r="R402" s="126" t="s">
        <v>549</v>
      </c>
      <c r="S402" s="259">
        <v>0</v>
      </c>
      <c r="T402" s="259">
        <v>7.5</v>
      </c>
      <c r="U402" s="68" t="s">
        <v>1152</v>
      </c>
      <c r="V402" s="126">
        <v>1</v>
      </c>
      <c r="Z402" s="126">
        <v>1</v>
      </c>
      <c r="AA402" s="126">
        <v>1</v>
      </c>
      <c r="AB402" s="126">
        <v>2</v>
      </c>
      <c r="AC402" s="126">
        <v>6</v>
      </c>
      <c r="AD402" s="126">
        <v>2026</v>
      </c>
    </row>
    <row r="403" spans="3:30">
      <c r="C403" s="126">
        <v>396</v>
      </c>
      <c r="D403" s="126">
        <v>33</v>
      </c>
      <c r="E403" s="126">
        <v>11</v>
      </c>
      <c r="F403" s="126">
        <v>1</v>
      </c>
      <c r="G403" s="126">
        <v>1</v>
      </c>
      <c r="H403" s="126">
        <v>1</v>
      </c>
      <c r="I403" s="126">
        <v>1</v>
      </c>
      <c r="J403" s="126">
        <v>169</v>
      </c>
      <c r="M403" s="126">
        <v>146</v>
      </c>
      <c r="N403" s="126">
        <v>1</v>
      </c>
      <c r="P403" s="126">
        <v>106</v>
      </c>
      <c r="R403" s="126" t="s">
        <v>549</v>
      </c>
      <c r="S403" s="259">
        <v>7.5</v>
      </c>
      <c r="T403" s="259">
        <v>0</v>
      </c>
      <c r="U403" s="68" t="s">
        <v>1153</v>
      </c>
      <c r="V403" s="126">
        <v>1</v>
      </c>
      <c r="Z403" s="126">
        <v>1</v>
      </c>
      <c r="AA403" s="126">
        <v>1</v>
      </c>
      <c r="AB403" s="126">
        <v>2</v>
      </c>
      <c r="AC403" s="126">
        <v>6</v>
      </c>
      <c r="AD403" s="126">
        <v>2026</v>
      </c>
    </row>
    <row r="404" spans="3:30">
      <c r="C404" s="126">
        <v>397</v>
      </c>
      <c r="D404" s="126">
        <v>33</v>
      </c>
      <c r="E404" s="126">
        <v>10</v>
      </c>
      <c r="F404" s="126">
        <v>1</v>
      </c>
      <c r="G404" s="126">
        <v>1</v>
      </c>
      <c r="H404" s="126">
        <v>1</v>
      </c>
      <c r="I404" s="126">
        <v>1</v>
      </c>
      <c r="J404" s="126">
        <v>169</v>
      </c>
      <c r="P404" s="126">
        <v>106</v>
      </c>
      <c r="R404" s="126" t="s">
        <v>549</v>
      </c>
      <c r="S404" s="259">
        <v>0</v>
      </c>
      <c r="T404" s="259">
        <v>9.4499999999999993</v>
      </c>
      <c r="U404" s="68" t="s">
        <v>1154</v>
      </c>
      <c r="V404" s="126">
        <v>1</v>
      </c>
      <c r="Z404" s="126">
        <v>1</v>
      </c>
      <c r="AA404" s="126">
        <v>1</v>
      </c>
      <c r="AB404" s="126">
        <v>2</v>
      </c>
      <c r="AC404" s="126">
        <v>6</v>
      </c>
      <c r="AD404" s="126">
        <v>2026</v>
      </c>
    </row>
    <row r="405" spans="3:30">
      <c r="C405" s="126">
        <v>398</v>
      </c>
      <c r="D405" s="126">
        <v>33</v>
      </c>
      <c r="E405" s="126">
        <v>3</v>
      </c>
      <c r="F405" s="126">
        <v>1</v>
      </c>
      <c r="G405" s="126">
        <v>1</v>
      </c>
      <c r="H405" s="126">
        <v>1</v>
      </c>
      <c r="I405" s="126">
        <v>1</v>
      </c>
      <c r="J405" s="126">
        <v>131</v>
      </c>
      <c r="M405" s="126">
        <v>147</v>
      </c>
      <c r="N405" s="126">
        <v>0</v>
      </c>
      <c r="P405" s="126">
        <v>107</v>
      </c>
      <c r="R405" s="126" t="s">
        <v>549</v>
      </c>
      <c r="S405" s="259">
        <v>0</v>
      </c>
      <c r="T405" s="259">
        <v>0.7</v>
      </c>
      <c r="U405" s="68" t="s">
        <v>1157</v>
      </c>
      <c r="V405" s="126">
        <v>1</v>
      </c>
      <c r="Z405" s="126">
        <v>1</v>
      </c>
      <c r="AA405" s="126">
        <v>1</v>
      </c>
      <c r="AB405" s="126">
        <v>2</v>
      </c>
      <c r="AC405" s="126">
        <v>6</v>
      </c>
      <c r="AD405" s="126">
        <v>2026</v>
      </c>
    </row>
    <row r="406" spans="3:30">
      <c r="C406" s="126">
        <v>399</v>
      </c>
      <c r="D406" s="126">
        <v>33</v>
      </c>
      <c r="E406" s="126">
        <v>11</v>
      </c>
      <c r="F406" s="126">
        <v>1</v>
      </c>
      <c r="G406" s="126">
        <v>1</v>
      </c>
      <c r="H406" s="126">
        <v>1</v>
      </c>
      <c r="I406" s="126">
        <v>1</v>
      </c>
      <c r="J406" s="126">
        <v>131</v>
      </c>
      <c r="M406" s="126">
        <v>147</v>
      </c>
      <c r="N406" s="126">
        <v>1</v>
      </c>
      <c r="P406" s="126">
        <v>107</v>
      </c>
      <c r="R406" s="126" t="s">
        <v>549</v>
      </c>
      <c r="S406" s="259">
        <v>0.7</v>
      </c>
      <c r="T406" s="259">
        <v>0</v>
      </c>
      <c r="U406" s="68" t="s">
        <v>1158</v>
      </c>
      <c r="V406" s="126">
        <v>1</v>
      </c>
      <c r="Z406" s="126">
        <v>1</v>
      </c>
      <c r="AA406" s="126">
        <v>1</v>
      </c>
      <c r="AB406" s="126">
        <v>2</v>
      </c>
      <c r="AC406" s="126">
        <v>6</v>
      </c>
      <c r="AD406" s="126">
        <v>2026</v>
      </c>
    </row>
    <row r="407" spans="3:30">
      <c r="C407" s="126">
        <v>400</v>
      </c>
      <c r="D407" s="126">
        <v>33</v>
      </c>
      <c r="E407" s="126">
        <v>10</v>
      </c>
      <c r="F407" s="126">
        <v>1</v>
      </c>
      <c r="G407" s="126">
        <v>1</v>
      </c>
      <c r="H407" s="126">
        <v>1</v>
      </c>
      <c r="I407" s="126">
        <v>1</v>
      </c>
      <c r="J407" s="126">
        <v>131</v>
      </c>
      <c r="P407" s="126">
        <v>107</v>
      </c>
      <c r="R407" s="126" t="s">
        <v>549</v>
      </c>
      <c r="S407" s="259">
        <v>0</v>
      </c>
      <c r="T407" s="259">
        <v>1.25</v>
      </c>
      <c r="U407" s="68" t="s">
        <v>1159</v>
      </c>
      <c r="V407" s="126">
        <v>1</v>
      </c>
      <c r="Z407" s="126">
        <v>1</v>
      </c>
      <c r="AA407" s="126">
        <v>1</v>
      </c>
      <c r="AB407" s="126">
        <v>2</v>
      </c>
      <c r="AC407" s="126">
        <v>6</v>
      </c>
      <c r="AD407" s="126">
        <v>2026</v>
      </c>
    </row>
    <row r="408" spans="3:30">
      <c r="C408" s="126">
        <v>401</v>
      </c>
      <c r="D408" s="126">
        <v>34</v>
      </c>
      <c r="E408" s="126">
        <v>2</v>
      </c>
      <c r="F408" s="126">
        <v>1</v>
      </c>
      <c r="G408" s="126">
        <v>1</v>
      </c>
      <c r="H408" s="126">
        <v>1</v>
      </c>
      <c r="I408" s="126">
        <v>1</v>
      </c>
      <c r="R408" s="126" t="s">
        <v>549</v>
      </c>
      <c r="S408" s="259">
        <v>23.75</v>
      </c>
      <c r="T408" s="259">
        <v>0</v>
      </c>
      <c r="U408" s="68" t="s">
        <v>1161</v>
      </c>
      <c r="V408" s="126">
        <v>1</v>
      </c>
      <c r="Z408" s="126">
        <v>1</v>
      </c>
      <c r="AA408" s="126">
        <v>1</v>
      </c>
      <c r="AB408" s="126">
        <v>2</v>
      </c>
      <c r="AC408" s="126">
        <v>6</v>
      </c>
      <c r="AD408" s="126">
        <v>2026</v>
      </c>
    </row>
    <row r="409" spans="3:30">
      <c r="C409" s="126">
        <v>402</v>
      </c>
      <c r="D409" s="126">
        <v>34</v>
      </c>
      <c r="E409" s="126">
        <v>3</v>
      </c>
      <c r="F409" s="126">
        <v>1</v>
      </c>
      <c r="G409" s="126">
        <v>1</v>
      </c>
      <c r="H409" s="126">
        <v>1</v>
      </c>
      <c r="I409" s="126">
        <v>1</v>
      </c>
      <c r="J409" s="126">
        <v>177</v>
      </c>
      <c r="M409" s="126">
        <v>148</v>
      </c>
      <c r="N409" s="126">
        <v>0</v>
      </c>
      <c r="P409" s="126">
        <v>108</v>
      </c>
      <c r="R409" s="126" t="s">
        <v>549</v>
      </c>
      <c r="S409" s="259">
        <v>0</v>
      </c>
      <c r="T409" s="259">
        <v>20.75</v>
      </c>
      <c r="U409" s="68" t="s">
        <v>1162</v>
      </c>
      <c r="V409" s="126">
        <v>1</v>
      </c>
      <c r="Z409" s="126">
        <v>1</v>
      </c>
      <c r="AA409" s="126">
        <v>1</v>
      </c>
      <c r="AB409" s="126">
        <v>2</v>
      </c>
      <c r="AC409" s="126">
        <v>6</v>
      </c>
      <c r="AD409" s="126">
        <v>2026</v>
      </c>
    </row>
    <row r="410" spans="3:30">
      <c r="C410" s="126">
        <v>403</v>
      </c>
      <c r="D410" s="126">
        <v>34</v>
      </c>
      <c r="E410" s="126">
        <v>11</v>
      </c>
      <c r="F410" s="126">
        <v>1</v>
      </c>
      <c r="G410" s="126">
        <v>1</v>
      </c>
      <c r="H410" s="126">
        <v>1</v>
      </c>
      <c r="I410" s="126">
        <v>1</v>
      </c>
      <c r="J410" s="126">
        <v>177</v>
      </c>
      <c r="M410" s="126">
        <v>148</v>
      </c>
      <c r="N410" s="126">
        <v>1</v>
      </c>
      <c r="P410" s="126">
        <v>108</v>
      </c>
      <c r="R410" s="126" t="s">
        <v>549</v>
      </c>
      <c r="S410" s="259">
        <v>20.75</v>
      </c>
      <c r="T410" s="259">
        <v>0</v>
      </c>
      <c r="U410" s="68" t="s">
        <v>1163</v>
      </c>
      <c r="V410" s="126">
        <v>1</v>
      </c>
      <c r="Z410" s="126">
        <v>1</v>
      </c>
      <c r="AA410" s="126">
        <v>1</v>
      </c>
      <c r="AB410" s="126">
        <v>2</v>
      </c>
      <c r="AC410" s="126">
        <v>6</v>
      </c>
      <c r="AD410" s="126">
        <v>2026</v>
      </c>
    </row>
    <row r="411" spans="3:30">
      <c r="C411" s="126">
        <v>404</v>
      </c>
      <c r="D411" s="126">
        <v>34</v>
      </c>
      <c r="E411" s="126">
        <v>10</v>
      </c>
      <c r="F411" s="126">
        <v>1</v>
      </c>
      <c r="G411" s="126">
        <v>1</v>
      </c>
      <c r="H411" s="126">
        <v>1</v>
      </c>
      <c r="I411" s="126">
        <v>1</v>
      </c>
      <c r="J411" s="126">
        <v>177</v>
      </c>
      <c r="P411" s="126">
        <v>108</v>
      </c>
      <c r="R411" s="126" t="s">
        <v>549</v>
      </c>
      <c r="S411" s="259">
        <v>0</v>
      </c>
      <c r="T411" s="259">
        <v>23.75</v>
      </c>
      <c r="U411" s="68" t="s">
        <v>1164</v>
      </c>
      <c r="V411" s="126">
        <v>1</v>
      </c>
      <c r="Z411" s="126">
        <v>1</v>
      </c>
      <c r="AA411" s="126">
        <v>1</v>
      </c>
      <c r="AB411" s="126">
        <v>2</v>
      </c>
      <c r="AC411" s="126">
        <v>6</v>
      </c>
      <c r="AD411" s="126">
        <v>2026</v>
      </c>
    </row>
    <row r="412" spans="3:30">
      <c r="C412" s="126">
        <v>405</v>
      </c>
      <c r="D412" s="126">
        <v>35</v>
      </c>
      <c r="E412" s="126">
        <v>2</v>
      </c>
      <c r="F412" s="126">
        <v>1</v>
      </c>
      <c r="G412" s="126">
        <v>1</v>
      </c>
      <c r="H412" s="126">
        <v>1</v>
      </c>
      <c r="I412" s="126">
        <v>1</v>
      </c>
      <c r="R412" s="126" t="s">
        <v>549</v>
      </c>
      <c r="S412" s="259">
        <v>88.5</v>
      </c>
      <c r="T412" s="259">
        <v>0</v>
      </c>
      <c r="U412" s="68" t="s">
        <v>1166</v>
      </c>
      <c r="V412" s="126">
        <v>1</v>
      </c>
      <c r="Z412" s="126">
        <v>1</v>
      </c>
      <c r="AA412" s="126">
        <v>1</v>
      </c>
      <c r="AB412" s="126">
        <v>2</v>
      </c>
      <c r="AC412" s="126">
        <v>6</v>
      </c>
      <c r="AD412" s="126">
        <v>2026</v>
      </c>
    </row>
    <row r="413" spans="3:30">
      <c r="C413" s="126">
        <v>406</v>
      </c>
      <c r="D413" s="126">
        <v>35</v>
      </c>
      <c r="E413" s="126">
        <v>3</v>
      </c>
      <c r="F413" s="126">
        <v>1</v>
      </c>
      <c r="G413" s="126">
        <v>1</v>
      </c>
      <c r="H413" s="126">
        <v>1</v>
      </c>
      <c r="I413" s="126">
        <v>1</v>
      </c>
      <c r="J413" s="126">
        <v>197</v>
      </c>
      <c r="M413" s="126">
        <v>149</v>
      </c>
      <c r="N413" s="126">
        <v>0</v>
      </c>
      <c r="P413" s="126">
        <v>109</v>
      </c>
      <c r="R413" s="126" t="s">
        <v>549</v>
      </c>
      <c r="S413" s="259">
        <v>0</v>
      </c>
      <c r="T413" s="259">
        <v>16.72</v>
      </c>
      <c r="U413" s="68" t="s">
        <v>1167</v>
      </c>
      <c r="V413" s="126">
        <v>1</v>
      </c>
      <c r="Z413" s="126">
        <v>1</v>
      </c>
      <c r="AA413" s="126">
        <v>1</v>
      </c>
      <c r="AB413" s="126">
        <v>2</v>
      </c>
      <c r="AC413" s="126">
        <v>6</v>
      </c>
      <c r="AD413" s="126">
        <v>2026</v>
      </c>
    </row>
    <row r="414" spans="3:30">
      <c r="C414" s="126">
        <v>407</v>
      </c>
      <c r="D414" s="126">
        <v>35</v>
      </c>
      <c r="E414" s="126">
        <v>11</v>
      </c>
      <c r="F414" s="126">
        <v>1</v>
      </c>
      <c r="G414" s="126">
        <v>1</v>
      </c>
      <c r="H414" s="126">
        <v>1</v>
      </c>
      <c r="I414" s="126">
        <v>1</v>
      </c>
      <c r="J414" s="126">
        <v>197</v>
      </c>
      <c r="M414" s="126">
        <v>149</v>
      </c>
      <c r="N414" s="126">
        <v>1</v>
      </c>
      <c r="P414" s="126">
        <v>109</v>
      </c>
      <c r="R414" s="126" t="s">
        <v>549</v>
      </c>
      <c r="S414" s="259">
        <v>16.72</v>
      </c>
      <c r="T414" s="259">
        <v>0</v>
      </c>
      <c r="U414" s="68" t="s">
        <v>1168</v>
      </c>
      <c r="V414" s="126">
        <v>1</v>
      </c>
      <c r="Z414" s="126">
        <v>1</v>
      </c>
      <c r="AA414" s="126">
        <v>1</v>
      </c>
      <c r="AB414" s="126">
        <v>2</v>
      </c>
      <c r="AC414" s="126">
        <v>6</v>
      </c>
      <c r="AD414" s="126">
        <v>2026</v>
      </c>
    </row>
    <row r="415" spans="3:30">
      <c r="C415" s="126">
        <v>408</v>
      </c>
      <c r="D415" s="126">
        <v>35</v>
      </c>
      <c r="E415" s="126">
        <v>10</v>
      </c>
      <c r="F415" s="126">
        <v>1</v>
      </c>
      <c r="G415" s="126">
        <v>1</v>
      </c>
      <c r="H415" s="126">
        <v>1</v>
      </c>
      <c r="I415" s="126">
        <v>1</v>
      </c>
      <c r="J415" s="126">
        <v>197</v>
      </c>
      <c r="P415" s="126">
        <v>109</v>
      </c>
      <c r="R415" s="126" t="s">
        <v>549</v>
      </c>
      <c r="S415" s="259">
        <v>0</v>
      </c>
      <c r="T415" s="259">
        <v>16.5</v>
      </c>
      <c r="U415" s="68" t="s">
        <v>1169</v>
      </c>
      <c r="V415" s="126">
        <v>1</v>
      </c>
      <c r="Z415" s="126">
        <v>1</v>
      </c>
      <c r="AA415" s="126">
        <v>1</v>
      </c>
      <c r="AB415" s="126">
        <v>2</v>
      </c>
      <c r="AC415" s="126">
        <v>6</v>
      </c>
      <c r="AD415" s="126">
        <v>2026</v>
      </c>
    </row>
    <row r="416" spans="3:30">
      <c r="C416" s="126">
        <v>409</v>
      </c>
      <c r="D416" s="126">
        <v>35</v>
      </c>
      <c r="E416" s="126">
        <v>3</v>
      </c>
      <c r="F416" s="126">
        <v>1</v>
      </c>
      <c r="G416" s="126">
        <v>1</v>
      </c>
      <c r="H416" s="126">
        <v>1</v>
      </c>
      <c r="I416" s="126">
        <v>1</v>
      </c>
      <c r="J416" s="126">
        <v>198</v>
      </c>
      <c r="M416" s="126">
        <v>150</v>
      </c>
      <c r="N416" s="126">
        <v>0</v>
      </c>
      <c r="P416" s="126">
        <v>110</v>
      </c>
      <c r="R416" s="126" t="s">
        <v>549</v>
      </c>
      <c r="S416" s="259">
        <v>0</v>
      </c>
      <c r="T416" s="259">
        <v>37.92</v>
      </c>
      <c r="U416" s="68" t="s">
        <v>1172</v>
      </c>
      <c r="V416" s="126">
        <v>1</v>
      </c>
      <c r="Z416" s="126">
        <v>1</v>
      </c>
      <c r="AA416" s="126">
        <v>1</v>
      </c>
      <c r="AB416" s="126">
        <v>2</v>
      </c>
      <c r="AC416" s="126">
        <v>6</v>
      </c>
      <c r="AD416" s="126">
        <v>2026</v>
      </c>
    </row>
    <row r="417" spans="3:30">
      <c r="C417" s="126">
        <v>410</v>
      </c>
      <c r="D417" s="126">
        <v>35</v>
      </c>
      <c r="E417" s="126">
        <v>11</v>
      </c>
      <c r="F417" s="126">
        <v>1</v>
      </c>
      <c r="G417" s="126">
        <v>1</v>
      </c>
      <c r="H417" s="126">
        <v>1</v>
      </c>
      <c r="I417" s="126">
        <v>1</v>
      </c>
      <c r="J417" s="126">
        <v>198</v>
      </c>
      <c r="M417" s="126">
        <v>150</v>
      </c>
      <c r="N417" s="126">
        <v>1</v>
      </c>
      <c r="P417" s="126">
        <v>110</v>
      </c>
      <c r="R417" s="126" t="s">
        <v>549</v>
      </c>
      <c r="S417" s="259">
        <v>37.92</v>
      </c>
      <c r="T417" s="259">
        <v>0</v>
      </c>
      <c r="U417" s="68" t="s">
        <v>1173</v>
      </c>
      <c r="V417" s="126">
        <v>1</v>
      </c>
      <c r="Z417" s="126">
        <v>1</v>
      </c>
      <c r="AA417" s="126">
        <v>1</v>
      </c>
      <c r="AB417" s="126">
        <v>2</v>
      </c>
      <c r="AC417" s="126">
        <v>6</v>
      </c>
      <c r="AD417" s="126">
        <v>2026</v>
      </c>
    </row>
    <row r="418" spans="3:30">
      <c r="C418" s="126">
        <v>411</v>
      </c>
      <c r="D418" s="126">
        <v>35</v>
      </c>
      <c r="E418" s="126">
        <v>10</v>
      </c>
      <c r="F418" s="126">
        <v>1</v>
      </c>
      <c r="G418" s="126">
        <v>1</v>
      </c>
      <c r="H418" s="126">
        <v>1</v>
      </c>
      <c r="I418" s="126">
        <v>1</v>
      </c>
      <c r="J418" s="126">
        <v>198</v>
      </c>
      <c r="P418" s="126">
        <v>110</v>
      </c>
      <c r="R418" s="126" t="s">
        <v>549</v>
      </c>
      <c r="S418" s="259">
        <v>0</v>
      </c>
      <c r="T418" s="259">
        <v>42</v>
      </c>
      <c r="U418" s="68" t="s">
        <v>1174</v>
      </c>
      <c r="V418" s="126">
        <v>1</v>
      </c>
      <c r="Z418" s="126">
        <v>1</v>
      </c>
      <c r="AA418" s="126">
        <v>1</v>
      </c>
      <c r="AB418" s="126">
        <v>2</v>
      </c>
      <c r="AC418" s="126">
        <v>6</v>
      </c>
      <c r="AD418" s="126">
        <v>2026</v>
      </c>
    </row>
    <row r="419" spans="3:30">
      <c r="C419" s="126">
        <v>412</v>
      </c>
      <c r="D419" s="126">
        <v>35</v>
      </c>
      <c r="E419" s="126">
        <v>3</v>
      </c>
      <c r="F419" s="126">
        <v>1</v>
      </c>
      <c r="G419" s="126">
        <v>1</v>
      </c>
      <c r="H419" s="126">
        <v>1</v>
      </c>
      <c r="I419" s="126">
        <v>1</v>
      </c>
      <c r="J419" s="126">
        <v>178</v>
      </c>
      <c r="M419" s="126">
        <v>151</v>
      </c>
      <c r="N419" s="126">
        <v>0</v>
      </c>
      <c r="P419" s="126">
        <v>111</v>
      </c>
      <c r="R419" s="126" t="s">
        <v>549</v>
      </c>
      <c r="S419" s="259">
        <v>0</v>
      </c>
      <c r="T419" s="259">
        <v>28.5</v>
      </c>
      <c r="U419" s="68" t="s">
        <v>1175</v>
      </c>
      <c r="V419" s="126">
        <v>1</v>
      </c>
      <c r="Z419" s="126">
        <v>1</v>
      </c>
      <c r="AA419" s="126">
        <v>1</v>
      </c>
      <c r="AB419" s="126">
        <v>2</v>
      </c>
      <c r="AC419" s="126">
        <v>6</v>
      </c>
      <c r="AD419" s="126">
        <v>2026</v>
      </c>
    </row>
    <row r="420" spans="3:30">
      <c r="C420" s="126">
        <v>413</v>
      </c>
      <c r="D420" s="126">
        <v>35</v>
      </c>
      <c r="E420" s="126">
        <v>11</v>
      </c>
      <c r="F420" s="126">
        <v>1</v>
      </c>
      <c r="G420" s="126">
        <v>1</v>
      </c>
      <c r="H420" s="126">
        <v>1</v>
      </c>
      <c r="I420" s="126">
        <v>1</v>
      </c>
      <c r="J420" s="126">
        <v>178</v>
      </c>
      <c r="M420" s="126">
        <v>151</v>
      </c>
      <c r="N420" s="126">
        <v>1</v>
      </c>
      <c r="P420" s="126">
        <v>111</v>
      </c>
      <c r="R420" s="126" t="s">
        <v>549</v>
      </c>
      <c r="S420" s="259">
        <v>28.5</v>
      </c>
      <c r="T420" s="259">
        <v>0</v>
      </c>
      <c r="U420" s="68" t="s">
        <v>1176</v>
      </c>
      <c r="V420" s="126">
        <v>1</v>
      </c>
      <c r="Z420" s="126">
        <v>1</v>
      </c>
      <c r="AA420" s="126">
        <v>1</v>
      </c>
      <c r="AB420" s="126">
        <v>2</v>
      </c>
      <c r="AC420" s="126">
        <v>6</v>
      </c>
      <c r="AD420" s="126">
        <v>2026</v>
      </c>
    </row>
    <row r="421" spans="3:30">
      <c r="C421" s="126">
        <v>414</v>
      </c>
      <c r="D421" s="126">
        <v>35</v>
      </c>
      <c r="E421" s="126">
        <v>10</v>
      </c>
      <c r="F421" s="126">
        <v>1</v>
      </c>
      <c r="G421" s="126">
        <v>1</v>
      </c>
      <c r="H421" s="126">
        <v>1</v>
      </c>
      <c r="I421" s="126">
        <v>1</v>
      </c>
      <c r="J421" s="126">
        <v>178</v>
      </c>
      <c r="P421" s="126">
        <v>111</v>
      </c>
      <c r="R421" s="126" t="s">
        <v>549</v>
      </c>
      <c r="S421" s="259">
        <v>0</v>
      </c>
      <c r="T421" s="259">
        <v>30</v>
      </c>
      <c r="U421" s="68" t="s">
        <v>1177</v>
      </c>
      <c r="V421" s="126">
        <v>1</v>
      </c>
      <c r="Z421" s="126">
        <v>1</v>
      </c>
      <c r="AA421" s="126">
        <v>1</v>
      </c>
      <c r="AB421" s="126">
        <v>2</v>
      </c>
      <c r="AC421" s="126">
        <v>6</v>
      </c>
      <c r="AD421" s="126">
        <v>2026</v>
      </c>
    </row>
    <row r="422" spans="3:30">
      <c r="C422" s="126">
        <v>415</v>
      </c>
      <c r="D422" s="126">
        <v>36</v>
      </c>
      <c r="E422" s="126">
        <v>2</v>
      </c>
      <c r="F422" s="126">
        <v>1</v>
      </c>
      <c r="G422" s="126">
        <v>1</v>
      </c>
      <c r="H422" s="126">
        <v>1</v>
      </c>
      <c r="I422" s="126">
        <v>1</v>
      </c>
      <c r="R422" s="126" t="s">
        <v>549</v>
      </c>
      <c r="S422" s="259">
        <v>69.540000000000006</v>
      </c>
      <c r="T422" s="259">
        <v>0</v>
      </c>
      <c r="U422" s="68" t="s">
        <v>1180</v>
      </c>
      <c r="V422" s="126">
        <v>1</v>
      </c>
      <c r="Z422" s="126">
        <v>1</v>
      </c>
      <c r="AA422" s="126">
        <v>1</v>
      </c>
      <c r="AB422" s="126">
        <v>2</v>
      </c>
      <c r="AC422" s="126">
        <v>6</v>
      </c>
      <c r="AD422" s="126">
        <v>2026</v>
      </c>
    </row>
    <row r="423" spans="3:30">
      <c r="C423" s="126">
        <v>416</v>
      </c>
      <c r="D423" s="126">
        <v>36</v>
      </c>
      <c r="E423" s="126">
        <v>3</v>
      </c>
      <c r="F423" s="126">
        <v>1</v>
      </c>
      <c r="G423" s="126">
        <v>1</v>
      </c>
      <c r="H423" s="126">
        <v>1</v>
      </c>
      <c r="I423" s="126">
        <v>1</v>
      </c>
      <c r="J423" s="126">
        <v>2</v>
      </c>
      <c r="M423" s="126">
        <v>152</v>
      </c>
      <c r="N423" s="126">
        <v>0</v>
      </c>
      <c r="P423" s="126">
        <v>112</v>
      </c>
      <c r="R423" s="126" t="s">
        <v>549</v>
      </c>
      <c r="S423" s="259">
        <v>0</v>
      </c>
      <c r="T423" s="259">
        <v>22.64</v>
      </c>
      <c r="U423" s="68" t="s">
        <v>1181</v>
      </c>
      <c r="V423" s="126">
        <v>1</v>
      </c>
      <c r="Z423" s="126">
        <v>1</v>
      </c>
      <c r="AA423" s="126">
        <v>1</v>
      </c>
      <c r="AB423" s="126">
        <v>2</v>
      </c>
      <c r="AC423" s="126">
        <v>6</v>
      </c>
      <c r="AD423" s="126">
        <v>2026</v>
      </c>
    </row>
    <row r="424" spans="3:30">
      <c r="C424" s="126">
        <v>417</v>
      </c>
      <c r="D424" s="126">
        <v>36</v>
      </c>
      <c r="E424" s="126">
        <v>11</v>
      </c>
      <c r="F424" s="126">
        <v>1</v>
      </c>
      <c r="G424" s="126">
        <v>1</v>
      </c>
      <c r="H424" s="126">
        <v>1</v>
      </c>
      <c r="I424" s="126">
        <v>1</v>
      </c>
      <c r="J424" s="126">
        <v>2</v>
      </c>
      <c r="M424" s="126">
        <v>152</v>
      </c>
      <c r="N424" s="126">
        <v>1</v>
      </c>
      <c r="P424" s="126">
        <v>112</v>
      </c>
      <c r="R424" s="126" t="s">
        <v>549</v>
      </c>
      <c r="S424" s="259">
        <v>22.64</v>
      </c>
      <c r="T424" s="259">
        <v>0</v>
      </c>
      <c r="U424" s="68" t="s">
        <v>1182</v>
      </c>
      <c r="V424" s="126">
        <v>1</v>
      </c>
      <c r="Z424" s="126">
        <v>1</v>
      </c>
      <c r="AA424" s="126">
        <v>1</v>
      </c>
      <c r="AB424" s="126">
        <v>2</v>
      </c>
      <c r="AC424" s="126">
        <v>6</v>
      </c>
      <c r="AD424" s="126">
        <v>2026</v>
      </c>
    </row>
    <row r="425" spans="3:30">
      <c r="C425" s="126">
        <v>418</v>
      </c>
      <c r="D425" s="126">
        <v>36</v>
      </c>
      <c r="E425" s="126">
        <v>10</v>
      </c>
      <c r="F425" s="126">
        <v>1</v>
      </c>
      <c r="G425" s="126">
        <v>1</v>
      </c>
      <c r="H425" s="126">
        <v>1</v>
      </c>
      <c r="I425" s="126">
        <v>1</v>
      </c>
      <c r="J425" s="126">
        <v>2</v>
      </c>
      <c r="P425" s="126">
        <v>112</v>
      </c>
      <c r="R425" s="126" t="s">
        <v>549</v>
      </c>
      <c r="S425" s="259">
        <v>0</v>
      </c>
      <c r="T425" s="259">
        <v>20</v>
      </c>
      <c r="U425" s="68" t="s">
        <v>1183</v>
      </c>
      <c r="V425" s="126">
        <v>1</v>
      </c>
      <c r="Z425" s="126">
        <v>1</v>
      </c>
      <c r="AA425" s="126">
        <v>1</v>
      </c>
      <c r="AB425" s="126">
        <v>2</v>
      </c>
      <c r="AC425" s="126">
        <v>6</v>
      </c>
      <c r="AD425" s="126">
        <v>2026</v>
      </c>
    </row>
    <row r="426" spans="3:30">
      <c r="C426" s="126">
        <v>419</v>
      </c>
      <c r="D426" s="126">
        <v>36</v>
      </c>
      <c r="E426" s="126">
        <v>3</v>
      </c>
      <c r="F426" s="126">
        <v>1</v>
      </c>
      <c r="G426" s="126">
        <v>1</v>
      </c>
      <c r="H426" s="126">
        <v>1</v>
      </c>
      <c r="I426" s="126">
        <v>1</v>
      </c>
      <c r="J426" s="126">
        <v>7</v>
      </c>
      <c r="M426" s="126">
        <v>153</v>
      </c>
      <c r="N426" s="126">
        <v>0</v>
      </c>
      <c r="P426" s="126">
        <v>113</v>
      </c>
      <c r="R426" s="126" t="s">
        <v>549</v>
      </c>
      <c r="S426" s="259">
        <v>0</v>
      </c>
      <c r="T426" s="259">
        <v>10.74</v>
      </c>
      <c r="U426" s="68" t="s">
        <v>1184</v>
      </c>
      <c r="V426" s="126">
        <v>1</v>
      </c>
      <c r="Z426" s="126">
        <v>1</v>
      </c>
      <c r="AA426" s="126">
        <v>1</v>
      </c>
      <c r="AB426" s="126">
        <v>2</v>
      </c>
      <c r="AC426" s="126">
        <v>6</v>
      </c>
      <c r="AD426" s="126">
        <v>2026</v>
      </c>
    </row>
    <row r="427" spans="3:30">
      <c r="C427" s="126">
        <v>420</v>
      </c>
      <c r="D427" s="126">
        <v>36</v>
      </c>
      <c r="E427" s="126">
        <v>11</v>
      </c>
      <c r="F427" s="126">
        <v>1</v>
      </c>
      <c r="G427" s="126">
        <v>1</v>
      </c>
      <c r="H427" s="126">
        <v>1</v>
      </c>
      <c r="I427" s="126">
        <v>1</v>
      </c>
      <c r="J427" s="126">
        <v>7</v>
      </c>
      <c r="M427" s="126">
        <v>153</v>
      </c>
      <c r="N427" s="126">
        <v>1</v>
      </c>
      <c r="P427" s="126">
        <v>113</v>
      </c>
      <c r="R427" s="126" t="s">
        <v>549</v>
      </c>
      <c r="S427" s="259">
        <v>10.74</v>
      </c>
      <c r="T427" s="259">
        <v>0</v>
      </c>
      <c r="U427" s="68" t="s">
        <v>1185</v>
      </c>
      <c r="V427" s="126">
        <v>1</v>
      </c>
      <c r="Z427" s="126">
        <v>1</v>
      </c>
      <c r="AA427" s="126">
        <v>1</v>
      </c>
      <c r="AB427" s="126">
        <v>2</v>
      </c>
      <c r="AC427" s="126">
        <v>6</v>
      </c>
      <c r="AD427" s="126">
        <v>2026</v>
      </c>
    </row>
    <row r="428" spans="3:30">
      <c r="C428" s="126">
        <v>421</v>
      </c>
      <c r="D428" s="126">
        <v>36</v>
      </c>
      <c r="E428" s="126">
        <v>10</v>
      </c>
      <c r="F428" s="126">
        <v>1</v>
      </c>
      <c r="G428" s="126">
        <v>1</v>
      </c>
      <c r="H428" s="126">
        <v>1</v>
      </c>
      <c r="I428" s="126">
        <v>1</v>
      </c>
      <c r="J428" s="126">
        <v>7</v>
      </c>
      <c r="P428" s="126">
        <v>113</v>
      </c>
      <c r="R428" s="126" t="s">
        <v>549</v>
      </c>
      <c r="S428" s="259">
        <v>0</v>
      </c>
      <c r="T428" s="259">
        <v>21</v>
      </c>
      <c r="U428" s="68" t="s">
        <v>1186</v>
      </c>
      <c r="V428" s="126">
        <v>1</v>
      </c>
      <c r="Z428" s="126">
        <v>1</v>
      </c>
      <c r="AA428" s="126">
        <v>1</v>
      </c>
      <c r="AB428" s="126">
        <v>2</v>
      </c>
      <c r="AC428" s="126">
        <v>6</v>
      </c>
      <c r="AD428" s="126">
        <v>2026</v>
      </c>
    </row>
    <row r="429" spans="3:30">
      <c r="C429" s="126">
        <v>422</v>
      </c>
      <c r="D429" s="126">
        <v>36</v>
      </c>
      <c r="E429" s="126">
        <v>3</v>
      </c>
      <c r="F429" s="126">
        <v>1</v>
      </c>
      <c r="G429" s="126">
        <v>1</v>
      </c>
      <c r="H429" s="126">
        <v>1</v>
      </c>
      <c r="I429" s="126">
        <v>1</v>
      </c>
      <c r="J429" s="126">
        <v>30</v>
      </c>
      <c r="M429" s="126">
        <v>154</v>
      </c>
      <c r="N429" s="126">
        <v>0</v>
      </c>
      <c r="P429" s="126">
        <v>114</v>
      </c>
      <c r="R429" s="126" t="s">
        <v>549</v>
      </c>
      <c r="S429" s="259">
        <v>0</v>
      </c>
      <c r="T429" s="259">
        <v>4.47</v>
      </c>
      <c r="U429" s="68" t="s">
        <v>1190</v>
      </c>
      <c r="V429" s="126">
        <v>1</v>
      </c>
      <c r="Z429" s="126">
        <v>1</v>
      </c>
      <c r="AA429" s="126">
        <v>1</v>
      </c>
      <c r="AB429" s="126">
        <v>2</v>
      </c>
      <c r="AC429" s="126">
        <v>6</v>
      </c>
      <c r="AD429" s="126">
        <v>2026</v>
      </c>
    </row>
    <row r="430" spans="3:30">
      <c r="C430" s="126">
        <v>423</v>
      </c>
      <c r="D430" s="126">
        <v>36</v>
      </c>
      <c r="E430" s="126">
        <v>11</v>
      </c>
      <c r="F430" s="126">
        <v>1</v>
      </c>
      <c r="G430" s="126">
        <v>1</v>
      </c>
      <c r="H430" s="126">
        <v>1</v>
      </c>
      <c r="I430" s="126">
        <v>1</v>
      </c>
      <c r="J430" s="126">
        <v>30</v>
      </c>
      <c r="M430" s="126">
        <v>154</v>
      </c>
      <c r="N430" s="126">
        <v>1</v>
      </c>
      <c r="P430" s="126">
        <v>114</v>
      </c>
      <c r="R430" s="126" t="s">
        <v>549</v>
      </c>
      <c r="S430" s="259">
        <v>4.47</v>
      </c>
      <c r="T430" s="259">
        <v>0</v>
      </c>
      <c r="U430" s="68" t="s">
        <v>1191</v>
      </c>
      <c r="V430" s="126">
        <v>1</v>
      </c>
      <c r="Z430" s="126">
        <v>1</v>
      </c>
      <c r="AA430" s="126">
        <v>1</v>
      </c>
      <c r="AB430" s="126">
        <v>2</v>
      </c>
      <c r="AC430" s="126">
        <v>6</v>
      </c>
      <c r="AD430" s="126">
        <v>2026</v>
      </c>
    </row>
    <row r="431" spans="3:30">
      <c r="C431" s="126">
        <v>424</v>
      </c>
      <c r="D431" s="126">
        <v>36</v>
      </c>
      <c r="E431" s="126">
        <v>10</v>
      </c>
      <c r="F431" s="126">
        <v>1</v>
      </c>
      <c r="G431" s="126">
        <v>1</v>
      </c>
      <c r="H431" s="126">
        <v>1</v>
      </c>
      <c r="I431" s="126">
        <v>1</v>
      </c>
      <c r="J431" s="126">
        <v>30</v>
      </c>
      <c r="P431" s="126">
        <v>114</v>
      </c>
      <c r="R431" s="126" t="s">
        <v>549</v>
      </c>
      <c r="S431" s="259">
        <v>0</v>
      </c>
      <c r="T431" s="259">
        <v>6</v>
      </c>
      <c r="U431" s="68" t="s">
        <v>1192</v>
      </c>
      <c r="V431" s="126">
        <v>1</v>
      </c>
      <c r="Z431" s="126">
        <v>1</v>
      </c>
      <c r="AA431" s="126">
        <v>1</v>
      </c>
      <c r="AB431" s="126">
        <v>2</v>
      </c>
      <c r="AC431" s="126">
        <v>6</v>
      </c>
      <c r="AD431" s="126">
        <v>2026</v>
      </c>
    </row>
    <row r="432" spans="3:30">
      <c r="C432" s="126">
        <v>425</v>
      </c>
      <c r="D432" s="126">
        <v>36</v>
      </c>
      <c r="E432" s="126">
        <v>3</v>
      </c>
      <c r="F432" s="126">
        <v>1</v>
      </c>
      <c r="G432" s="126">
        <v>1</v>
      </c>
      <c r="H432" s="126">
        <v>1</v>
      </c>
      <c r="I432" s="126">
        <v>1</v>
      </c>
      <c r="J432" s="126">
        <v>34</v>
      </c>
      <c r="M432" s="126">
        <v>155</v>
      </c>
      <c r="N432" s="126">
        <v>0</v>
      </c>
      <c r="P432" s="126">
        <v>115</v>
      </c>
      <c r="R432" s="126" t="s">
        <v>549</v>
      </c>
      <c r="S432" s="259">
        <v>0</v>
      </c>
      <c r="T432" s="259">
        <v>1</v>
      </c>
      <c r="U432" s="68" t="s">
        <v>1195</v>
      </c>
      <c r="V432" s="126">
        <v>1</v>
      </c>
      <c r="Z432" s="126">
        <v>1</v>
      </c>
      <c r="AA432" s="126">
        <v>1</v>
      </c>
      <c r="AB432" s="126">
        <v>2</v>
      </c>
      <c r="AC432" s="126">
        <v>6</v>
      </c>
      <c r="AD432" s="126">
        <v>2026</v>
      </c>
    </row>
    <row r="433" spans="3:30">
      <c r="C433" s="126">
        <v>426</v>
      </c>
      <c r="D433" s="126">
        <v>36</v>
      </c>
      <c r="E433" s="126">
        <v>11</v>
      </c>
      <c r="F433" s="126">
        <v>1</v>
      </c>
      <c r="G433" s="126">
        <v>1</v>
      </c>
      <c r="H433" s="126">
        <v>1</v>
      </c>
      <c r="I433" s="126">
        <v>1</v>
      </c>
      <c r="J433" s="126">
        <v>34</v>
      </c>
      <c r="M433" s="126">
        <v>155</v>
      </c>
      <c r="N433" s="126">
        <v>1</v>
      </c>
      <c r="P433" s="126">
        <v>115</v>
      </c>
      <c r="R433" s="126" t="s">
        <v>549</v>
      </c>
      <c r="S433" s="259">
        <v>1</v>
      </c>
      <c r="T433" s="259">
        <v>0</v>
      </c>
      <c r="U433" s="68" t="s">
        <v>1196</v>
      </c>
      <c r="V433" s="126">
        <v>1</v>
      </c>
      <c r="Z433" s="126">
        <v>1</v>
      </c>
      <c r="AA433" s="126">
        <v>1</v>
      </c>
      <c r="AB433" s="126">
        <v>2</v>
      </c>
      <c r="AC433" s="126">
        <v>6</v>
      </c>
      <c r="AD433" s="126">
        <v>2026</v>
      </c>
    </row>
    <row r="434" spans="3:30">
      <c r="C434" s="126">
        <v>427</v>
      </c>
      <c r="D434" s="126">
        <v>36</v>
      </c>
      <c r="E434" s="126">
        <v>10</v>
      </c>
      <c r="F434" s="126">
        <v>1</v>
      </c>
      <c r="G434" s="126">
        <v>1</v>
      </c>
      <c r="H434" s="126">
        <v>1</v>
      </c>
      <c r="I434" s="126">
        <v>1</v>
      </c>
      <c r="J434" s="126">
        <v>34</v>
      </c>
      <c r="P434" s="126">
        <v>115</v>
      </c>
      <c r="R434" s="126" t="s">
        <v>549</v>
      </c>
      <c r="S434" s="259">
        <v>0</v>
      </c>
      <c r="T434" s="259">
        <v>1.26</v>
      </c>
      <c r="U434" s="68" t="s">
        <v>1197</v>
      </c>
      <c r="V434" s="126">
        <v>1</v>
      </c>
      <c r="Z434" s="126">
        <v>1</v>
      </c>
      <c r="AA434" s="126">
        <v>1</v>
      </c>
      <c r="AB434" s="126">
        <v>2</v>
      </c>
      <c r="AC434" s="126">
        <v>6</v>
      </c>
      <c r="AD434" s="126">
        <v>2026</v>
      </c>
    </row>
    <row r="435" spans="3:30">
      <c r="C435" s="126">
        <v>428</v>
      </c>
      <c r="D435" s="126">
        <v>36</v>
      </c>
      <c r="E435" s="126">
        <v>3</v>
      </c>
      <c r="F435" s="126">
        <v>1</v>
      </c>
      <c r="G435" s="126">
        <v>1</v>
      </c>
      <c r="H435" s="126">
        <v>1</v>
      </c>
      <c r="I435" s="126">
        <v>1</v>
      </c>
      <c r="J435" s="126">
        <v>33</v>
      </c>
      <c r="M435" s="126">
        <v>156</v>
      </c>
      <c r="N435" s="126">
        <v>0</v>
      </c>
      <c r="P435" s="126">
        <v>116</v>
      </c>
      <c r="R435" s="126" t="s">
        <v>549</v>
      </c>
      <c r="S435" s="259">
        <v>0</v>
      </c>
      <c r="T435" s="259">
        <v>1.75</v>
      </c>
      <c r="U435" s="68" t="s">
        <v>1200</v>
      </c>
      <c r="V435" s="126">
        <v>1</v>
      </c>
      <c r="Z435" s="126">
        <v>1</v>
      </c>
      <c r="AA435" s="126">
        <v>1</v>
      </c>
      <c r="AB435" s="126">
        <v>2</v>
      </c>
      <c r="AC435" s="126">
        <v>6</v>
      </c>
      <c r="AD435" s="126">
        <v>2026</v>
      </c>
    </row>
    <row r="436" spans="3:30">
      <c r="C436" s="126">
        <v>429</v>
      </c>
      <c r="D436" s="126">
        <v>36</v>
      </c>
      <c r="E436" s="126">
        <v>11</v>
      </c>
      <c r="F436" s="126">
        <v>1</v>
      </c>
      <c r="G436" s="126">
        <v>1</v>
      </c>
      <c r="H436" s="126">
        <v>1</v>
      </c>
      <c r="I436" s="126">
        <v>1</v>
      </c>
      <c r="J436" s="126">
        <v>33</v>
      </c>
      <c r="M436" s="126">
        <v>156</v>
      </c>
      <c r="N436" s="126">
        <v>1</v>
      </c>
      <c r="P436" s="126">
        <v>116</v>
      </c>
      <c r="R436" s="126" t="s">
        <v>549</v>
      </c>
      <c r="S436" s="259">
        <v>1.75</v>
      </c>
      <c r="T436" s="259">
        <v>0</v>
      </c>
      <c r="U436" s="68" t="s">
        <v>1201</v>
      </c>
      <c r="V436" s="126">
        <v>1</v>
      </c>
      <c r="Z436" s="126">
        <v>1</v>
      </c>
      <c r="AA436" s="126">
        <v>1</v>
      </c>
      <c r="AB436" s="126">
        <v>2</v>
      </c>
      <c r="AC436" s="126">
        <v>6</v>
      </c>
      <c r="AD436" s="126">
        <v>2026</v>
      </c>
    </row>
    <row r="437" spans="3:30">
      <c r="C437" s="126">
        <v>430</v>
      </c>
      <c r="D437" s="126">
        <v>36</v>
      </c>
      <c r="E437" s="126">
        <v>10</v>
      </c>
      <c r="F437" s="126">
        <v>1</v>
      </c>
      <c r="G437" s="126">
        <v>1</v>
      </c>
      <c r="H437" s="126">
        <v>1</v>
      </c>
      <c r="I437" s="126">
        <v>1</v>
      </c>
      <c r="J437" s="126">
        <v>33</v>
      </c>
      <c r="P437" s="126">
        <v>116</v>
      </c>
      <c r="R437" s="126" t="s">
        <v>549</v>
      </c>
      <c r="S437" s="259">
        <v>0</v>
      </c>
      <c r="T437" s="259">
        <v>2</v>
      </c>
      <c r="U437" s="68" t="s">
        <v>1202</v>
      </c>
      <c r="V437" s="126">
        <v>1</v>
      </c>
      <c r="Z437" s="126">
        <v>1</v>
      </c>
      <c r="AA437" s="126">
        <v>1</v>
      </c>
      <c r="AB437" s="126">
        <v>2</v>
      </c>
      <c r="AC437" s="126">
        <v>6</v>
      </c>
      <c r="AD437" s="126">
        <v>2026</v>
      </c>
    </row>
    <row r="438" spans="3:30">
      <c r="C438" s="126">
        <v>431</v>
      </c>
      <c r="D438" s="126">
        <v>36</v>
      </c>
      <c r="E438" s="126">
        <v>3</v>
      </c>
      <c r="F438" s="126">
        <v>1</v>
      </c>
      <c r="G438" s="126">
        <v>1</v>
      </c>
      <c r="H438" s="126">
        <v>1</v>
      </c>
      <c r="I438" s="126">
        <v>1</v>
      </c>
      <c r="J438" s="126">
        <v>56</v>
      </c>
      <c r="M438" s="126">
        <v>157</v>
      </c>
      <c r="N438" s="126">
        <v>0</v>
      </c>
      <c r="P438" s="126">
        <v>117</v>
      </c>
      <c r="R438" s="126" t="s">
        <v>549</v>
      </c>
      <c r="S438" s="259">
        <v>0</v>
      </c>
      <c r="T438" s="259">
        <v>0.55000000000000004</v>
      </c>
      <c r="U438" s="68" t="s">
        <v>1205</v>
      </c>
      <c r="V438" s="126">
        <v>1</v>
      </c>
      <c r="Z438" s="126">
        <v>1</v>
      </c>
      <c r="AA438" s="126">
        <v>1</v>
      </c>
      <c r="AB438" s="126">
        <v>2</v>
      </c>
      <c r="AC438" s="126">
        <v>6</v>
      </c>
      <c r="AD438" s="126">
        <v>2026</v>
      </c>
    </row>
    <row r="439" spans="3:30">
      <c r="C439" s="126">
        <v>432</v>
      </c>
      <c r="D439" s="126">
        <v>36</v>
      </c>
      <c r="E439" s="126">
        <v>11</v>
      </c>
      <c r="F439" s="126">
        <v>1</v>
      </c>
      <c r="G439" s="126">
        <v>1</v>
      </c>
      <c r="H439" s="126">
        <v>1</v>
      </c>
      <c r="I439" s="126">
        <v>1</v>
      </c>
      <c r="J439" s="126">
        <v>56</v>
      </c>
      <c r="M439" s="126">
        <v>157</v>
      </c>
      <c r="N439" s="126">
        <v>1</v>
      </c>
      <c r="P439" s="126">
        <v>117</v>
      </c>
      <c r="R439" s="126" t="s">
        <v>549</v>
      </c>
      <c r="S439" s="259">
        <v>0.55000000000000004</v>
      </c>
      <c r="T439" s="259">
        <v>0</v>
      </c>
      <c r="U439" s="68" t="s">
        <v>1206</v>
      </c>
      <c r="V439" s="126">
        <v>1</v>
      </c>
      <c r="Z439" s="126">
        <v>1</v>
      </c>
      <c r="AA439" s="126">
        <v>1</v>
      </c>
      <c r="AB439" s="126">
        <v>2</v>
      </c>
      <c r="AC439" s="126">
        <v>6</v>
      </c>
      <c r="AD439" s="126">
        <v>2026</v>
      </c>
    </row>
    <row r="440" spans="3:30">
      <c r="C440" s="126">
        <v>433</v>
      </c>
      <c r="D440" s="126">
        <v>36</v>
      </c>
      <c r="E440" s="126">
        <v>10</v>
      </c>
      <c r="F440" s="126">
        <v>1</v>
      </c>
      <c r="G440" s="126">
        <v>1</v>
      </c>
      <c r="H440" s="126">
        <v>1</v>
      </c>
      <c r="I440" s="126">
        <v>1</v>
      </c>
      <c r="J440" s="126">
        <v>56</v>
      </c>
      <c r="P440" s="126">
        <v>117</v>
      </c>
      <c r="R440" s="126" t="s">
        <v>549</v>
      </c>
      <c r="S440" s="259">
        <v>0</v>
      </c>
      <c r="T440" s="259">
        <v>1.1299999999999999</v>
      </c>
      <c r="U440" s="68" t="s">
        <v>1207</v>
      </c>
      <c r="V440" s="126">
        <v>1</v>
      </c>
      <c r="Z440" s="126">
        <v>1</v>
      </c>
      <c r="AA440" s="126">
        <v>1</v>
      </c>
      <c r="AB440" s="126">
        <v>2</v>
      </c>
      <c r="AC440" s="126">
        <v>6</v>
      </c>
      <c r="AD440" s="126">
        <v>2026</v>
      </c>
    </row>
    <row r="441" spans="3:30">
      <c r="C441" s="126">
        <v>434</v>
      </c>
      <c r="D441" s="126">
        <v>36</v>
      </c>
      <c r="E441" s="126">
        <v>3</v>
      </c>
      <c r="F441" s="126">
        <v>1</v>
      </c>
      <c r="G441" s="126">
        <v>1</v>
      </c>
      <c r="H441" s="126">
        <v>1</v>
      </c>
      <c r="I441" s="126">
        <v>1</v>
      </c>
      <c r="J441" s="126">
        <v>108</v>
      </c>
      <c r="M441" s="126">
        <v>158</v>
      </c>
      <c r="N441" s="126">
        <v>0</v>
      </c>
      <c r="P441" s="126">
        <v>118</v>
      </c>
      <c r="R441" s="126" t="s">
        <v>549</v>
      </c>
      <c r="S441" s="259">
        <v>0</v>
      </c>
      <c r="T441" s="259">
        <v>2.7</v>
      </c>
      <c r="U441" s="68" t="s">
        <v>1208</v>
      </c>
      <c r="V441" s="126">
        <v>1</v>
      </c>
      <c r="Z441" s="126">
        <v>1</v>
      </c>
      <c r="AA441" s="126">
        <v>1</v>
      </c>
      <c r="AB441" s="126">
        <v>2</v>
      </c>
      <c r="AC441" s="126">
        <v>6</v>
      </c>
      <c r="AD441" s="126">
        <v>2026</v>
      </c>
    </row>
    <row r="442" spans="3:30">
      <c r="C442" s="126">
        <v>435</v>
      </c>
      <c r="D442" s="126">
        <v>36</v>
      </c>
      <c r="E442" s="126">
        <v>11</v>
      </c>
      <c r="F442" s="126">
        <v>1</v>
      </c>
      <c r="G442" s="126">
        <v>1</v>
      </c>
      <c r="H442" s="126">
        <v>1</v>
      </c>
      <c r="I442" s="126">
        <v>1</v>
      </c>
      <c r="J442" s="126">
        <v>108</v>
      </c>
      <c r="M442" s="126">
        <v>158</v>
      </c>
      <c r="N442" s="126">
        <v>1</v>
      </c>
      <c r="P442" s="126">
        <v>118</v>
      </c>
      <c r="R442" s="126" t="s">
        <v>549</v>
      </c>
      <c r="S442" s="259">
        <v>2.7</v>
      </c>
      <c r="T442" s="259">
        <v>0</v>
      </c>
      <c r="U442" s="68" t="s">
        <v>1209</v>
      </c>
      <c r="V442" s="126">
        <v>1</v>
      </c>
      <c r="Z442" s="126">
        <v>1</v>
      </c>
      <c r="AA442" s="126">
        <v>1</v>
      </c>
      <c r="AB442" s="126">
        <v>2</v>
      </c>
      <c r="AC442" s="126">
        <v>6</v>
      </c>
      <c r="AD442" s="126">
        <v>2026</v>
      </c>
    </row>
    <row r="443" spans="3:30">
      <c r="C443" s="126">
        <v>436</v>
      </c>
      <c r="D443" s="126">
        <v>36</v>
      </c>
      <c r="E443" s="126">
        <v>10</v>
      </c>
      <c r="F443" s="126">
        <v>1</v>
      </c>
      <c r="G443" s="126">
        <v>1</v>
      </c>
      <c r="H443" s="126">
        <v>1</v>
      </c>
      <c r="I443" s="126">
        <v>1</v>
      </c>
      <c r="J443" s="126">
        <v>108</v>
      </c>
      <c r="P443" s="126">
        <v>118</v>
      </c>
      <c r="R443" s="126" t="s">
        <v>549</v>
      </c>
      <c r="S443" s="259">
        <v>0</v>
      </c>
      <c r="T443" s="259">
        <v>3</v>
      </c>
      <c r="U443" s="68" t="s">
        <v>1210</v>
      </c>
      <c r="V443" s="126">
        <v>1</v>
      </c>
      <c r="Z443" s="126">
        <v>1</v>
      </c>
      <c r="AA443" s="126">
        <v>1</v>
      </c>
      <c r="AB443" s="126">
        <v>2</v>
      </c>
      <c r="AC443" s="126">
        <v>6</v>
      </c>
      <c r="AD443" s="126">
        <v>2026</v>
      </c>
    </row>
    <row r="444" spans="3:30">
      <c r="C444" s="126">
        <v>437</v>
      </c>
      <c r="D444" s="126">
        <v>36</v>
      </c>
      <c r="E444" s="126">
        <v>3</v>
      </c>
      <c r="F444" s="126">
        <v>1</v>
      </c>
      <c r="G444" s="126">
        <v>1</v>
      </c>
      <c r="H444" s="126">
        <v>1</v>
      </c>
      <c r="I444" s="126">
        <v>1</v>
      </c>
      <c r="J444" s="126">
        <v>53</v>
      </c>
      <c r="M444" s="126">
        <v>159</v>
      </c>
      <c r="N444" s="126">
        <v>0</v>
      </c>
      <c r="P444" s="126">
        <v>119</v>
      </c>
      <c r="R444" s="126" t="s">
        <v>549</v>
      </c>
      <c r="S444" s="259">
        <v>0</v>
      </c>
      <c r="T444" s="259">
        <v>0.95</v>
      </c>
      <c r="U444" s="68" t="s">
        <v>1213</v>
      </c>
      <c r="V444" s="126">
        <v>1</v>
      </c>
      <c r="Z444" s="126">
        <v>1</v>
      </c>
      <c r="AA444" s="126">
        <v>1</v>
      </c>
      <c r="AB444" s="126">
        <v>2</v>
      </c>
      <c r="AC444" s="126">
        <v>6</v>
      </c>
      <c r="AD444" s="126">
        <v>2026</v>
      </c>
    </row>
    <row r="445" spans="3:30">
      <c r="C445" s="126">
        <v>438</v>
      </c>
      <c r="D445" s="126">
        <v>36</v>
      </c>
      <c r="E445" s="126">
        <v>11</v>
      </c>
      <c r="F445" s="126">
        <v>1</v>
      </c>
      <c r="G445" s="126">
        <v>1</v>
      </c>
      <c r="H445" s="126">
        <v>1</v>
      </c>
      <c r="I445" s="126">
        <v>1</v>
      </c>
      <c r="J445" s="126">
        <v>53</v>
      </c>
      <c r="M445" s="126">
        <v>159</v>
      </c>
      <c r="N445" s="126">
        <v>1</v>
      </c>
      <c r="P445" s="126">
        <v>119</v>
      </c>
      <c r="R445" s="126" t="s">
        <v>549</v>
      </c>
      <c r="S445" s="259">
        <v>0.95</v>
      </c>
      <c r="T445" s="259">
        <v>0</v>
      </c>
      <c r="U445" s="68" t="s">
        <v>1214</v>
      </c>
      <c r="V445" s="126">
        <v>1</v>
      </c>
      <c r="Z445" s="126">
        <v>1</v>
      </c>
      <c r="AA445" s="126">
        <v>1</v>
      </c>
      <c r="AB445" s="126">
        <v>2</v>
      </c>
      <c r="AC445" s="126">
        <v>6</v>
      </c>
      <c r="AD445" s="126">
        <v>2026</v>
      </c>
    </row>
    <row r="446" spans="3:30">
      <c r="C446" s="126">
        <v>439</v>
      </c>
      <c r="D446" s="126">
        <v>36</v>
      </c>
      <c r="E446" s="126">
        <v>10</v>
      </c>
      <c r="F446" s="126">
        <v>1</v>
      </c>
      <c r="G446" s="126">
        <v>1</v>
      </c>
      <c r="H446" s="126">
        <v>1</v>
      </c>
      <c r="I446" s="126">
        <v>1</v>
      </c>
      <c r="J446" s="126">
        <v>53</v>
      </c>
      <c r="P446" s="126">
        <v>119</v>
      </c>
      <c r="R446" s="126" t="s">
        <v>549</v>
      </c>
      <c r="S446" s="259">
        <v>0</v>
      </c>
      <c r="T446" s="259">
        <v>1.5</v>
      </c>
      <c r="U446" s="68" t="s">
        <v>1215</v>
      </c>
      <c r="V446" s="126">
        <v>1</v>
      </c>
      <c r="Z446" s="126">
        <v>1</v>
      </c>
      <c r="AA446" s="126">
        <v>1</v>
      </c>
      <c r="AB446" s="126">
        <v>2</v>
      </c>
      <c r="AC446" s="126">
        <v>6</v>
      </c>
      <c r="AD446" s="126">
        <v>2026</v>
      </c>
    </row>
    <row r="447" spans="3:30">
      <c r="C447" s="126">
        <v>440</v>
      </c>
      <c r="D447" s="126">
        <v>36</v>
      </c>
      <c r="E447" s="126">
        <v>3</v>
      </c>
      <c r="F447" s="126">
        <v>1</v>
      </c>
      <c r="G447" s="126">
        <v>1</v>
      </c>
      <c r="H447" s="126">
        <v>1</v>
      </c>
      <c r="I447" s="126">
        <v>1</v>
      </c>
      <c r="J447" s="126">
        <v>66</v>
      </c>
      <c r="M447" s="126">
        <v>160</v>
      </c>
      <c r="N447" s="126">
        <v>0</v>
      </c>
      <c r="P447" s="126">
        <v>120</v>
      </c>
      <c r="R447" s="126" t="s">
        <v>549</v>
      </c>
      <c r="S447" s="259">
        <v>0</v>
      </c>
      <c r="T447" s="259">
        <v>0.41</v>
      </c>
      <c r="U447" s="68" t="s">
        <v>1218</v>
      </c>
      <c r="V447" s="126">
        <v>1</v>
      </c>
      <c r="Z447" s="126">
        <v>1</v>
      </c>
      <c r="AA447" s="126">
        <v>1</v>
      </c>
      <c r="AB447" s="126">
        <v>2</v>
      </c>
      <c r="AC447" s="126">
        <v>6</v>
      </c>
      <c r="AD447" s="126">
        <v>2026</v>
      </c>
    </row>
    <row r="448" spans="3:30">
      <c r="C448" s="126">
        <v>441</v>
      </c>
      <c r="D448" s="126">
        <v>36</v>
      </c>
      <c r="E448" s="126">
        <v>11</v>
      </c>
      <c r="F448" s="126">
        <v>1</v>
      </c>
      <c r="G448" s="126">
        <v>1</v>
      </c>
      <c r="H448" s="126">
        <v>1</v>
      </c>
      <c r="I448" s="126">
        <v>1</v>
      </c>
      <c r="J448" s="126">
        <v>66</v>
      </c>
      <c r="M448" s="126">
        <v>160</v>
      </c>
      <c r="N448" s="126">
        <v>1</v>
      </c>
      <c r="P448" s="126">
        <v>120</v>
      </c>
      <c r="R448" s="126" t="s">
        <v>549</v>
      </c>
      <c r="S448" s="259">
        <v>0.41</v>
      </c>
      <c r="T448" s="259">
        <v>0</v>
      </c>
      <c r="U448" s="68" t="s">
        <v>1219</v>
      </c>
      <c r="V448" s="126">
        <v>1</v>
      </c>
      <c r="Z448" s="126">
        <v>1</v>
      </c>
      <c r="AA448" s="126">
        <v>1</v>
      </c>
      <c r="AB448" s="126">
        <v>2</v>
      </c>
      <c r="AC448" s="126">
        <v>6</v>
      </c>
      <c r="AD448" s="126">
        <v>2026</v>
      </c>
    </row>
    <row r="449" spans="3:30">
      <c r="C449" s="126">
        <v>442</v>
      </c>
      <c r="D449" s="126">
        <v>36</v>
      </c>
      <c r="E449" s="126">
        <v>10</v>
      </c>
      <c r="F449" s="126">
        <v>1</v>
      </c>
      <c r="G449" s="126">
        <v>1</v>
      </c>
      <c r="H449" s="126">
        <v>1</v>
      </c>
      <c r="I449" s="126">
        <v>1</v>
      </c>
      <c r="J449" s="126">
        <v>66</v>
      </c>
      <c r="P449" s="126">
        <v>120</v>
      </c>
      <c r="R449" s="126" t="s">
        <v>549</v>
      </c>
      <c r="S449" s="259">
        <v>0</v>
      </c>
      <c r="T449" s="259">
        <v>0.75</v>
      </c>
      <c r="U449" s="68" t="s">
        <v>1220</v>
      </c>
      <c r="V449" s="126">
        <v>1</v>
      </c>
      <c r="Z449" s="126">
        <v>1</v>
      </c>
      <c r="AA449" s="126">
        <v>1</v>
      </c>
      <c r="AB449" s="126">
        <v>2</v>
      </c>
      <c r="AC449" s="126">
        <v>6</v>
      </c>
      <c r="AD449" s="126">
        <v>2026</v>
      </c>
    </row>
    <row r="450" spans="3:30">
      <c r="C450" s="126">
        <v>443</v>
      </c>
      <c r="D450" s="126">
        <v>36</v>
      </c>
      <c r="E450" s="126">
        <v>3</v>
      </c>
      <c r="F450" s="126">
        <v>1</v>
      </c>
      <c r="G450" s="126">
        <v>1</v>
      </c>
      <c r="H450" s="126">
        <v>1</v>
      </c>
      <c r="I450" s="126">
        <v>1</v>
      </c>
      <c r="J450" s="126">
        <v>64</v>
      </c>
      <c r="M450" s="126">
        <v>161</v>
      </c>
      <c r="N450" s="126">
        <v>0</v>
      </c>
      <c r="P450" s="126">
        <v>121</v>
      </c>
      <c r="R450" s="126" t="s">
        <v>549</v>
      </c>
      <c r="S450" s="259">
        <v>0</v>
      </c>
      <c r="T450" s="259">
        <v>1.9</v>
      </c>
      <c r="U450" s="68" t="s">
        <v>1223</v>
      </c>
      <c r="V450" s="126">
        <v>1</v>
      </c>
      <c r="Z450" s="126">
        <v>1</v>
      </c>
      <c r="AA450" s="126">
        <v>1</v>
      </c>
      <c r="AB450" s="126">
        <v>2</v>
      </c>
      <c r="AC450" s="126">
        <v>6</v>
      </c>
      <c r="AD450" s="126">
        <v>2026</v>
      </c>
    </row>
    <row r="451" spans="3:30">
      <c r="C451" s="126">
        <v>444</v>
      </c>
      <c r="D451" s="126">
        <v>36</v>
      </c>
      <c r="E451" s="126">
        <v>11</v>
      </c>
      <c r="F451" s="126">
        <v>1</v>
      </c>
      <c r="G451" s="126">
        <v>1</v>
      </c>
      <c r="H451" s="126">
        <v>1</v>
      </c>
      <c r="I451" s="126">
        <v>1</v>
      </c>
      <c r="J451" s="126">
        <v>64</v>
      </c>
      <c r="M451" s="126">
        <v>161</v>
      </c>
      <c r="N451" s="126">
        <v>1</v>
      </c>
      <c r="P451" s="126">
        <v>121</v>
      </c>
      <c r="R451" s="126" t="s">
        <v>549</v>
      </c>
      <c r="S451" s="259">
        <v>1.9</v>
      </c>
      <c r="T451" s="259">
        <v>0</v>
      </c>
      <c r="U451" s="68" t="s">
        <v>1224</v>
      </c>
      <c r="V451" s="126">
        <v>1</v>
      </c>
      <c r="Z451" s="126">
        <v>1</v>
      </c>
      <c r="AA451" s="126">
        <v>1</v>
      </c>
      <c r="AB451" s="126">
        <v>2</v>
      </c>
      <c r="AC451" s="126">
        <v>6</v>
      </c>
      <c r="AD451" s="126">
        <v>2026</v>
      </c>
    </row>
    <row r="452" spans="3:30">
      <c r="C452" s="126">
        <v>445</v>
      </c>
      <c r="D452" s="126">
        <v>36</v>
      </c>
      <c r="E452" s="126">
        <v>10</v>
      </c>
      <c r="F452" s="126">
        <v>1</v>
      </c>
      <c r="G452" s="126">
        <v>1</v>
      </c>
      <c r="H452" s="126">
        <v>1</v>
      </c>
      <c r="I452" s="126">
        <v>1</v>
      </c>
      <c r="J452" s="126">
        <v>64</v>
      </c>
      <c r="P452" s="126">
        <v>121</v>
      </c>
      <c r="R452" s="126" t="s">
        <v>549</v>
      </c>
      <c r="S452" s="259">
        <v>0</v>
      </c>
      <c r="T452" s="259">
        <v>2.25</v>
      </c>
      <c r="U452" s="68" t="s">
        <v>1225</v>
      </c>
      <c r="V452" s="126">
        <v>1</v>
      </c>
      <c r="Z452" s="126">
        <v>1</v>
      </c>
      <c r="AA452" s="126">
        <v>1</v>
      </c>
      <c r="AB452" s="126">
        <v>2</v>
      </c>
      <c r="AC452" s="126">
        <v>6</v>
      </c>
      <c r="AD452" s="126">
        <v>2026</v>
      </c>
    </row>
    <row r="453" spans="3:30">
      <c r="C453" s="126">
        <v>446</v>
      </c>
      <c r="D453" s="126">
        <v>36</v>
      </c>
      <c r="E453" s="126">
        <v>3</v>
      </c>
      <c r="F453" s="126">
        <v>1</v>
      </c>
      <c r="G453" s="126">
        <v>1</v>
      </c>
      <c r="H453" s="126">
        <v>1</v>
      </c>
      <c r="I453" s="126">
        <v>1</v>
      </c>
      <c r="J453" s="126">
        <v>46</v>
      </c>
      <c r="M453" s="126">
        <v>162</v>
      </c>
      <c r="N453" s="126">
        <v>0</v>
      </c>
      <c r="P453" s="126">
        <v>122</v>
      </c>
      <c r="R453" s="126" t="s">
        <v>549</v>
      </c>
      <c r="S453" s="259">
        <v>0</v>
      </c>
      <c r="T453" s="259">
        <v>1.05</v>
      </c>
      <c r="U453" s="68" t="s">
        <v>1226</v>
      </c>
      <c r="V453" s="126">
        <v>1</v>
      </c>
      <c r="Z453" s="126">
        <v>1</v>
      </c>
      <c r="AA453" s="126">
        <v>1</v>
      </c>
      <c r="AB453" s="126">
        <v>2</v>
      </c>
      <c r="AC453" s="126">
        <v>6</v>
      </c>
      <c r="AD453" s="126">
        <v>2026</v>
      </c>
    </row>
    <row r="454" spans="3:30">
      <c r="C454" s="126">
        <v>447</v>
      </c>
      <c r="D454" s="126">
        <v>36</v>
      </c>
      <c r="E454" s="126">
        <v>11</v>
      </c>
      <c r="F454" s="126">
        <v>1</v>
      </c>
      <c r="G454" s="126">
        <v>1</v>
      </c>
      <c r="H454" s="126">
        <v>1</v>
      </c>
      <c r="I454" s="126">
        <v>1</v>
      </c>
      <c r="J454" s="126">
        <v>46</v>
      </c>
      <c r="M454" s="126">
        <v>162</v>
      </c>
      <c r="N454" s="126">
        <v>1</v>
      </c>
      <c r="P454" s="126">
        <v>122</v>
      </c>
      <c r="R454" s="126" t="s">
        <v>549</v>
      </c>
      <c r="S454" s="259">
        <v>1.05</v>
      </c>
      <c r="T454" s="259">
        <v>0</v>
      </c>
      <c r="U454" s="68" t="s">
        <v>1227</v>
      </c>
      <c r="V454" s="126">
        <v>1</v>
      </c>
      <c r="Z454" s="126">
        <v>1</v>
      </c>
      <c r="AA454" s="126">
        <v>1</v>
      </c>
      <c r="AB454" s="126">
        <v>2</v>
      </c>
      <c r="AC454" s="126">
        <v>6</v>
      </c>
      <c r="AD454" s="126">
        <v>2026</v>
      </c>
    </row>
    <row r="455" spans="3:30">
      <c r="C455" s="126">
        <v>448</v>
      </c>
      <c r="D455" s="126">
        <v>36</v>
      </c>
      <c r="E455" s="126">
        <v>10</v>
      </c>
      <c r="F455" s="126">
        <v>1</v>
      </c>
      <c r="G455" s="126">
        <v>1</v>
      </c>
      <c r="H455" s="126">
        <v>1</v>
      </c>
      <c r="I455" s="126">
        <v>1</v>
      </c>
      <c r="J455" s="126">
        <v>46</v>
      </c>
      <c r="P455" s="126">
        <v>122</v>
      </c>
      <c r="R455" s="126" t="s">
        <v>549</v>
      </c>
      <c r="S455" s="259">
        <v>0</v>
      </c>
      <c r="T455" s="259">
        <v>2.66</v>
      </c>
      <c r="U455" s="68" t="s">
        <v>1228</v>
      </c>
      <c r="V455" s="126">
        <v>1</v>
      </c>
      <c r="Z455" s="126">
        <v>1</v>
      </c>
      <c r="AA455" s="126">
        <v>1</v>
      </c>
      <c r="AB455" s="126">
        <v>2</v>
      </c>
      <c r="AC455" s="126">
        <v>6</v>
      </c>
      <c r="AD455" s="126">
        <v>2026</v>
      </c>
    </row>
    <row r="456" spans="3:30">
      <c r="C456" s="126">
        <v>449</v>
      </c>
      <c r="D456" s="126">
        <v>36</v>
      </c>
      <c r="E456" s="126">
        <v>3</v>
      </c>
      <c r="F456" s="126">
        <v>1</v>
      </c>
      <c r="G456" s="126">
        <v>1</v>
      </c>
      <c r="H456" s="126">
        <v>1</v>
      </c>
      <c r="I456" s="126">
        <v>1</v>
      </c>
      <c r="J456" s="126">
        <v>44</v>
      </c>
      <c r="M456" s="126">
        <v>163</v>
      </c>
      <c r="N456" s="126">
        <v>0</v>
      </c>
      <c r="P456" s="126">
        <v>123</v>
      </c>
      <c r="R456" s="126" t="s">
        <v>549</v>
      </c>
      <c r="S456" s="259">
        <v>0</v>
      </c>
      <c r="T456" s="259">
        <v>0.44</v>
      </c>
      <c r="U456" s="68" t="s">
        <v>1231</v>
      </c>
      <c r="V456" s="126">
        <v>1</v>
      </c>
      <c r="Z456" s="126">
        <v>1</v>
      </c>
      <c r="AA456" s="126">
        <v>1</v>
      </c>
      <c r="AB456" s="126">
        <v>2</v>
      </c>
      <c r="AC456" s="126">
        <v>6</v>
      </c>
      <c r="AD456" s="126">
        <v>2026</v>
      </c>
    </row>
    <row r="457" spans="3:30">
      <c r="C457" s="126">
        <v>450</v>
      </c>
      <c r="D457" s="126">
        <v>36</v>
      </c>
      <c r="E457" s="126">
        <v>11</v>
      </c>
      <c r="F457" s="126">
        <v>1</v>
      </c>
      <c r="G457" s="126">
        <v>1</v>
      </c>
      <c r="H457" s="126">
        <v>1</v>
      </c>
      <c r="I457" s="126">
        <v>1</v>
      </c>
      <c r="J457" s="126">
        <v>44</v>
      </c>
      <c r="M457" s="126">
        <v>163</v>
      </c>
      <c r="N457" s="126">
        <v>1</v>
      </c>
      <c r="P457" s="126">
        <v>123</v>
      </c>
      <c r="R457" s="126" t="s">
        <v>549</v>
      </c>
      <c r="S457" s="259">
        <v>0.44</v>
      </c>
      <c r="T457" s="259">
        <v>0</v>
      </c>
      <c r="U457" s="68" t="s">
        <v>1232</v>
      </c>
      <c r="V457" s="126">
        <v>1</v>
      </c>
      <c r="Z457" s="126">
        <v>1</v>
      </c>
      <c r="AA457" s="126">
        <v>1</v>
      </c>
      <c r="AB457" s="126">
        <v>2</v>
      </c>
      <c r="AC457" s="126">
        <v>6</v>
      </c>
      <c r="AD457" s="126">
        <v>2026</v>
      </c>
    </row>
    <row r="458" spans="3:30">
      <c r="C458" s="126">
        <v>451</v>
      </c>
      <c r="D458" s="126">
        <v>36</v>
      </c>
      <c r="E458" s="126">
        <v>10</v>
      </c>
      <c r="F458" s="126">
        <v>1</v>
      </c>
      <c r="G458" s="126">
        <v>1</v>
      </c>
      <c r="H458" s="126">
        <v>1</v>
      </c>
      <c r="I458" s="126">
        <v>1</v>
      </c>
      <c r="J458" s="126">
        <v>44</v>
      </c>
      <c r="P458" s="126">
        <v>123</v>
      </c>
      <c r="R458" s="126" t="s">
        <v>549</v>
      </c>
      <c r="S458" s="259">
        <v>0</v>
      </c>
      <c r="T458" s="259">
        <v>0.76</v>
      </c>
      <c r="U458" s="68" t="s">
        <v>1233</v>
      </c>
      <c r="V458" s="126">
        <v>1</v>
      </c>
      <c r="Z458" s="126">
        <v>1</v>
      </c>
      <c r="AA458" s="126">
        <v>1</v>
      </c>
      <c r="AB458" s="126">
        <v>2</v>
      </c>
      <c r="AC458" s="126">
        <v>6</v>
      </c>
      <c r="AD458" s="126">
        <v>2026</v>
      </c>
    </row>
    <row r="459" spans="3:30">
      <c r="C459" s="126">
        <v>452</v>
      </c>
      <c r="D459" s="126">
        <v>36</v>
      </c>
      <c r="E459" s="126">
        <v>3</v>
      </c>
      <c r="F459" s="126">
        <v>1</v>
      </c>
      <c r="G459" s="126">
        <v>1</v>
      </c>
      <c r="H459" s="126">
        <v>1</v>
      </c>
      <c r="I459" s="126">
        <v>1</v>
      </c>
      <c r="J459" s="126">
        <v>69</v>
      </c>
      <c r="M459" s="126">
        <v>164</v>
      </c>
      <c r="N459" s="126">
        <v>0</v>
      </c>
      <c r="P459" s="126">
        <v>124</v>
      </c>
      <c r="R459" s="126" t="s">
        <v>549</v>
      </c>
      <c r="S459" s="259">
        <v>0</v>
      </c>
      <c r="T459" s="259">
        <v>0.5</v>
      </c>
      <c r="U459" s="68" t="s">
        <v>1236</v>
      </c>
      <c r="V459" s="126">
        <v>1</v>
      </c>
      <c r="Z459" s="126">
        <v>1</v>
      </c>
      <c r="AA459" s="126">
        <v>1</v>
      </c>
      <c r="AB459" s="126">
        <v>2</v>
      </c>
      <c r="AC459" s="126">
        <v>6</v>
      </c>
      <c r="AD459" s="126">
        <v>2026</v>
      </c>
    </row>
    <row r="460" spans="3:30">
      <c r="C460" s="126">
        <v>453</v>
      </c>
      <c r="D460" s="126">
        <v>36</v>
      </c>
      <c r="E460" s="126">
        <v>11</v>
      </c>
      <c r="F460" s="126">
        <v>1</v>
      </c>
      <c r="G460" s="126">
        <v>1</v>
      </c>
      <c r="H460" s="126">
        <v>1</v>
      </c>
      <c r="I460" s="126">
        <v>1</v>
      </c>
      <c r="J460" s="126">
        <v>69</v>
      </c>
      <c r="M460" s="126">
        <v>164</v>
      </c>
      <c r="N460" s="126">
        <v>1</v>
      </c>
      <c r="P460" s="126">
        <v>124</v>
      </c>
      <c r="R460" s="126" t="s">
        <v>549</v>
      </c>
      <c r="S460" s="259">
        <v>0.5</v>
      </c>
      <c r="T460" s="259">
        <v>0</v>
      </c>
      <c r="U460" s="68" t="s">
        <v>1237</v>
      </c>
      <c r="V460" s="126">
        <v>1</v>
      </c>
      <c r="Z460" s="126">
        <v>1</v>
      </c>
      <c r="AA460" s="126">
        <v>1</v>
      </c>
      <c r="AB460" s="126">
        <v>2</v>
      </c>
      <c r="AC460" s="126">
        <v>6</v>
      </c>
      <c r="AD460" s="126">
        <v>2026</v>
      </c>
    </row>
    <row r="461" spans="3:30">
      <c r="C461" s="126">
        <v>454</v>
      </c>
      <c r="D461" s="126">
        <v>36</v>
      </c>
      <c r="E461" s="126">
        <v>10</v>
      </c>
      <c r="F461" s="126">
        <v>1</v>
      </c>
      <c r="G461" s="126">
        <v>1</v>
      </c>
      <c r="H461" s="126">
        <v>1</v>
      </c>
      <c r="I461" s="126">
        <v>1</v>
      </c>
      <c r="J461" s="126">
        <v>69</v>
      </c>
      <c r="P461" s="126">
        <v>124</v>
      </c>
      <c r="R461" s="126" t="s">
        <v>549</v>
      </c>
      <c r="S461" s="259">
        <v>0</v>
      </c>
      <c r="T461" s="259">
        <v>1</v>
      </c>
      <c r="U461" s="68" t="s">
        <v>1238</v>
      </c>
      <c r="V461" s="126">
        <v>1</v>
      </c>
      <c r="Z461" s="126">
        <v>1</v>
      </c>
      <c r="AA461" s="126">
        <v>1</v>
      </c>
      <c r="AB461" s="126">
        <v>2</v>
      </c>
      <c r="AC461" s="126">
        <v>6</v>
      </c>
      <c r="AD461" s="126">
        <v>2026</v>
      </c>
    </row>
    <row r="462" spans="3:30">
      <c r="C462" s="126">
        <v>455</v>
      </c>
      <c r="D462" s="126">
        <v>36</v>
      </c>
      <c r="E462" s="126">
        <v>3</v>
      </c>
      <c r="F462" s="126">
        <v>1</v>
      </c>
      <c r="G462" s="126">
        <v>1</v>
      </c>
      <c r="H462" s="126">
        <v>1</v>
      </c>
      <c r="I462" s="126">
        <v>1</v>
      </c>
      <c r="J462" s="126">
        <v>70</v>
      </c>
      <c r="M462" s="126">
        <v>165</v>
      </c>
      <c r="N462" s="126">
        <v>0</v>
      </c>
      <c r="P462" s="126">
        <v>125</v>
      </c>
      <c r="R462" s="126" t="s">
        <v>549</v>
      </c>
      <c r="S462" s="259">
        <v>0</v>
      </c>
      <c r="T462" s="259">
        <v>0.15</v>
      </c>
      <c r="U462" s="68" t="s">
        <v>1239</v>
      </c>
      <c r="V462" s="126">
        <v>1</v>
      </c>
      <c r="Z462" s="126">
        <v>1</v>
      </c>
      <c r="AA462" s="126">
        <v>1</v>
      </c>
      <c r="AB462" s="126">
        <v>2</v>
      </c>
      <c r="AC462" s="126">
        <v>6</v>
      </c>
      <c r="AD462" s="126">
        <v>2026</v>
      </c>
    </row>
    <row r="463" spans="3:30">
      <c r="C463" s="126">
        <v>456</v>
      </c>
      <c r="D463" s="126">
        <v>36</v>
      </c>
      <c r="E463" s="126">
        <v>11</v>
      </c>
      <c r="F463" s="126">
        <v>1</v>
      </c>
      <c r="G463" s="126">
        <v>1</v>
      </c>
      <c r="H463" s="126">
        <v>1</v>
      </c>
      <c r="I463" s="126">
        <v>1</v>
      </c>
      <c r="J463" s="126">
        <v>70</v>
      </c>
      <c r="M463" s="126">
        <v>165</v>
      </c>
      <c r="N463" s="126">
        <v>1</v>
      </c>
      <c r="P463" s="126">
        <v>125</v>
      </c>
      <c r="R463" s="126" t="s">
        <v>549</v>
      </c>
      <c r="S463" s="259">
        <v>0.15</v>
      </c>
      <c r="T463" s="259">
        <v>0</v>
      </c>
      <c r="U463" s="68" t="s">
        <v>1240</v>
      </c>
      <c r="V463" s="126">
        <v>1</v>
      </c>
      <c r="Z463" s="126">
        <v>1</v>
      </c>
      <c r="AA463" s="126">
        <v>1</v>
      </c>
      <c r="AB463" s="126">
        <v>2</v>
      </c>
      <c r="AC463" s="126">
        <v>6</v>
      </c>
      <c r="AD463" s="126">
        <v>2026</v>
      </c>
    </row>
    <row r="464" spans="3:30">
      <c r="C464" s="126">
        <v>457</v>
      </c>
      <c r="D464" s="126">
        <v>36</v>
      </c>
      <c r="E464" s="126">
        <v>10</v>
      </c>
      <c r="F464" s="126">
        <v>1</v>
      </c>
      <c r="G464" s="126">
        <v>1</v>
      </c>
      <c r="H464" s="126">
        <v>1</v>
      </c>
      <c r="I464" s="126">
        <v>1</v>
      </c>
      <c r="J464" s="126">
        <v>70</v>
      </c>
      <c r="P464" s="126">
        <v>125</v>
      </c>
      <c r="R464" s="126" t="s">
        <v>549</v>
      </c>
      <c r="S464" s="259">
        <v>0</v>
      </c>
      <c r="T464" s="259">
        <v>0.25</v>
      </c>
      <c r="U464" s="68" t="s">
        <v>1241</v>
      </c>
      <c r="V464" s="126">
        <v>1</v>
      </c>
      <c r="Z464" s="126">
        <v>1</v>
      </c>
      <c r="AA464" s="126">
        <v>1</v>
      </c>
      <c r="AB464" s="126">
        <v>2</v>
      </c>
      <c r="AC464" s="126">
        <v>6</v>
      </c>
      <c r="AD464" s="126">
        <v>2026</v>
      </c>
    </row>
    <row r="465" spans="3:30">
      <c r="C465" s="126">
        <v>458</v>
      </c>
      <c r="D465" s="126">
        <v>36</v>
      </c>
      <c r="E465" s="126">
        <v>3</v>
      </c>
      <c r="F465" s="126">
        <v>1</v>
      </c>
      <c r="G465" s="126">
        <v>1</v>
      </c>
      <c r="H465" s="126">
        <v>1</v>
      </c>
      <c r="I465" s="126">
        <v>1</v>
      </c>
      <c r="J465" s="126">
        <v>68</v>
      </c>
      <c r="M465" s="126">
        <v>166</v>
      </c>
      <c r="N465" s="126">
        <v>0</v>
      </c>
      <c r="P465" s="126">
        <v>126</v>
      </c>
      <c r="R465" s="126" t="s">
        <v>549</v>
      </c>
      <c r="S465" s="259">
        <v>0</v>
      </c>
      <c r="T465" s="259">
        <v>0.53</v>
      </c>
      <c r="U465" s="68" t="s">
        <v>1244</v>
      </c>
      <c r="V465" s="126">
        <v>1</v>
      </c>
      <c r="Z465" s="126">
        <v>1</v>
      </c>
      <c r="AA465" s="126">
        <v>1</v>
      </c>
      <c r="AB465" s="126">
        <v>2</v>
      </c>
      <c r="AC465" s="126">
        <v>6</v>
      </c>
      <c r="AD465" s="126">
        <v>2026</v>
      </c>
    </row>
    <row r="466" spans="3:30">
      <c r="C466" s="126">
        <v>459</v>
      </c>
      <c r="D466" s="126">
        <v>36</v>
      </c>
      <c r="E466" s="126">
        <v>11</v>
      </c>
      <c r="F466" s="126">
        <v>1</v>
      </c>
      <c r="G466" s="126">
        <v>1</v>
      </c>
      <c r="H466" s="126">
        <v>1</v>
      </c>
      <c r="I466" s="126">
        <v>1</v>
      </c>
      <c r="J466" s="126">
        <v>68</v>
      </c>
      <c r="M466" s="126">
        <v>166</v>
      </c>
      <c r="N466" s="126">
        <v>1</v>
      </c>
      <c r="P466" s="126">
        <v>126</v>
      </c>
      <c r="R466" s="126" t="s">
        <v>549</v>
      </c>
      <c r="S466" s="259">
        <v>0.53</v>
      </c>
      <c r="T466" s="259">
        <v>0</v>
      </c>
      <c r="U466" s="68" t="s">
        <v>1245</v>
      </c>
      <c r="V466" s="126">
        <v>1</v>
      </c>
      <c r="Z466" s="126">
        <v>1</v>
      </c>
      <c r="AA466" s="126">
        <v>1</v>
      </c>
      <c r="AB466" s="126">
        <v>2</v>
      </c>
      <c r="AC466" s="126">
        <v>6</v>
      </c>
      <c r="AD466" s="126">
        <v>2026</v>
      </c>
    </row>
    <row r="467" spans="3:30">
      <c r="C467" s="126">
        <v>460</v>
      </c>
      <c r="D467" s="126">
        <v>36</v>
      </c>
      <c r="E467" s="126">
        <v>10</v>
      </c>
      <c r="F467" s="126">
        <v>1</v>
      </c>
      <c r="G467" s="126">
        <v>1</v>
      </c>
      <c r="H467" s="126">
        <v>1</v>
      </c>
      <c r="I467" s="126">
        <v>1</v>
      </c>
      <c r="J467" s="126">
        <v>68</v>
      </c>
      <c r="P467" s="126">
        <v>126</v>
      </c>
      <c r="R467" s="126" t="s">
        <v>549</v>
      </c>
      <c r="S467" s="259">
        <v>0</v>
      </c>
      <c r="T467" s="259">
        <v>1</v>
      </c>
      <c r="U467" s="68" t="s">
        <v>1246</v>
      </c>
      <c r="V467" s="126">
        <v>1</v>
      </c>
      <c r="Z467" s="126">
        <v>1</v>
      </c>
      <c r="AA467" s="126">
        <v>1</v>
      </c>
      <c r="AB467" s="126">
        <v>2</v>
      </c>
      <c r="AC467" s="126">
        <v>6</v>
      </c>
      <c r="AD467" s="126">
        <v>2026</v>
      </c>
    </row>
    <row r="468" spans="3:30">
      <c r="C468" s="126">
        <v>461</v>
      </c>
      <c r="D468" s="126">
        <v>36</v>
      </c>
      <c r="E468" s="126">
        <v>3</v>
      </c>
      <c r="F468" s="126">
        <v>1</v>
      </c>
      <c r="G468" s="126">
        <v>1</v>
      </c>
      <c r="H468" s="126">
        <v>1</v>
      </c>
      <c r="I468" s="126">
        <v>1</v>
      </c>
      <c r="J468" s="126">
        <v>156</v>
      </c>
      <c r="M468" s="126">
        <v>167</v>
      </c>
      <c r="N468" s="126">
        <v>0</v>
      </c>
      <c r="P468" s="126">
        <v>127</v>
      </c>
      <c r="R468" s="126" t="s">
        <v>549</v>
      </c>
      <c r="S468" s="259">
        <v>0</v>
      </c>
      <c r="T468" s="259">
        <v>4.41</v>
      </c>
      <c r="U468" s="68" t="s">
        <v>1247</v>
      </c>
      <c r="V468" s="126">
        <v>1</v>
      </c>
      <c r="Z468" s="126">
        <v>1</v>
      </c>
      <c r="AA468" s="126">
        <v>1</v>
      </c>
      <c r="AB468" s="126">
        <v>2</v>
      </c>
      <c r="AC468" s="126">
        <v>6</v>
      </c>
      <c r="AD468" s="126">
        <v>2026</v>
      </c>
    </row>
    <row r="469" spans="3:30">
      <c r="C469" s="126">
        <v>462</v>
      </c>
      <c r="D469" s="126">
        <v>36</v>
      </c>
      <c r="E469" s="126">
        <v>11</v>
      </c>
      <c r="F469" s="126">
        <v>1</v>
      </c>
      <c r="G469" s="126">
        <v>1</v>
      </c>
      <c r="H469" s="126">
        <v>1</v>
      </c>
      <c r="I469" s="126">
        <v>1</v>
      </c>
      <c r="J469" s="126">
        <v>156</v>
      </c>
      <c r="M469" s="126">
        <v>167</v>
      </c>
      <c r="N469" s="126">
        <v>1</v>
      </c>
      <c r="P469" s="126">
        <v>127</v>
      </c>
      <c r="R469" s="126" t="s">
        <v>549</v>
      </c>
      <c r="S469" s="259">
        <v>4.41</v>
      </c>
      <c r="T469" s="259">
        <v>0</v>
      </c>
      <c r="U469" s="68" t="s">
        <v>1248</v>
      </c>
      <c r="V469" s="126">
        <v>1</v>
      </c>
      <c r="Z469" s="126">
        <v>1</v>
      </c>
      <c r="AA469" s="126">
        <v>1</v>
      </c>
      <c r="AB469" s="126">
        <v>2</v>
      </c>
      <c r="AC469" s="126">
        <v>6</v>
      </c>
      <c r="AD469" s="126">
        <v>2026</v>
      </c>
    </row>
    <row r="470" spans="3:30">
      <c r="C470" s="126">
        <v>463</v>
      </c>
      <c r="D470" s="126">
        <v>36</v>
      </c>
      <c r="E470" s="126">
        <v>10</v>
      </c>
      <c r="F470" s="126">
        <v>1</v>
      </c>
      <c r="G470" s="126">
        <v>1</v>
      </c>
      <c r="H470" s="126">
        <v>1</v>
      </c>
      <c r="I470" s="126">
        <v>1</v>
      </c>
      <c r="J470" s="126">
        <v>156</v>
      </c>
      <c r="P470" s="126">
        <v>127</v>
      </c>
      <c r="R470" s="126" t="s">
        <v>549</v>
      </c>
      <c r="S470" s="259">
        <v>0</v>
      </c>
      <c r="T470" s="259">
        <v>5</v>
      </c>
      <c r="U470" s="68" t="s">
        <v>1249</v>
      </c>
      <c r="V470" s="126">
        <v>1</v>
      </c>
      <c r="Z470" s="126">
        <v>1</v>
      </c>
      <c r="AA470" s="126">
        <v>1</v>
      </c>
      <c r="AB470" s="126">
        <v>2</v>
      </c>
      <c r="AC470" s="126">
        <v>6</v>
      </c>
      <c r="AD470" s="126">
        <v>2026</v>
      </c>
    </row>
    <row r="471" spans="3:30">
      <c r="C471" s="126">
        <v>464</v>
      </c>
      <c r="D471" s="126">
        <v>37</v>
      </c>
      <c r="E471" s="126">
        <v>2</v>
      </c>
      <c r="F471" s="126">
        <v>1</v>
      </c>
      <c r="G471" s="126">
        <v>1</v>
      </c>
      <c r="H471" s="126">
        <v>1</v>
      </c>
      <c r="I471" s="126">
        <v>1</v>
      </c>
      <c r="R471" s="126" t="s">
        <v>549</v>
      </c>
      <c r="S471" s="259">
        <v>45</v>
      </c>
      <c r="T471" s="259">
        <v>0</v>
      </c>
      <c r="U471" s="68" t="s">
        <v>1251</v>
      </c>
      <c r="V471" s="126">
        <v>1</v>
      </c>
      <c r="Z471" s="126">
        <v>1</v>
      </c>
      <c r="AA471" s="126">
        <v>1</v>
      </c>
      <c r="AB471" s="126">
        <v>2</v>
      </c>
      <c r="AC471" s="126">
        <v>6</v>
      </c>
      <c r="AD471" s="126">
        <v>2026</v>
      </c>
    </row>
    <row r="472" spans="3:30">
      <c r="C472" s="126">
        <v>465</v>
      </c>
      <c r="D472" s="126">
        <v>37</v>
      </c>
      <c r="E472" s="126">
        <v>3</v>
      </c>
      <c r="F472" s="126">
        <v>1</v>
      </c>
      <c r="G472" s="126">
        <v>1</v>
      </c>
      <c r="H472" s="126">
        <v>1</v>
      </c>
      <c r="I472" s="126">
        <v>1</v>
      </c>
      <c r="J472" s="126">
        <v>177</v>
      </c>
      <c r="M472" s="126">
        <v>168</v>
      </c>
      <c r="N472" s="126">
        <v>0</v>
      </c>
      <c r="P472" s="126">
        <v>128</v>
      </c>
      <c r="R472" s="126" t="s">
        <v>549</v>
      </c>
      <c r="S472" s="259">
        <v>0</v>
      </c>
      <c r="T472" s="259">
        <v>41.5</v>
      </c>
      <c r="U472" s="68" t="s">
        <v>1252</v>
      </c>
      <c r="V472" s="126">
        <v>1</v>
      </c>
      <c r="Z472" s="126">
        <v>1</v>
      </c>
      <c r="AA472" s="126">
        <v>1</v>
      </c>
      <c r="AB472" s="126">
        <v>2</v>
      </c>
      <c r="AC472" s="126">
        <v>6</v>
      </c>
      <c r="AD472" s="126">
        <v>2026</v>
      </c>
    </row>
    <row r="473" spans="3:30">
      <c r="C473" s="126">
        <v>466</v>
      </c>
      <c r="D473" s="126">
        <v>37</v>
      </c>
      <c r="E473" s="126">
        <v>11</v>
      </c>
      <c r="F473" s="126">
        <v>1</v>
      </c>
      <c r="G473" s="126">
        <v>1</v>
      </c>
      <c r="H473" s="126">
        <v>1</v>
      </c>
      <c r="I473" s="126">
        <v>1</v>
      </c>
      <c r="J473" s="126">
        <v>177</v>
      </c>
      <c r="M473" s="126">
        <v>168</v>
      </c>
      <c r="N473" s="126">
        <v>1</v>
      </c>
      <c r="P473" s="126">
        <v>128</v>
      </c>
      <c r="R473" s="126" t="s">
        <v>549</v>
      </c>
      <c r="S473" s="259">
        <v>41.5</v>
      </c>
      <c r="T473" s="259">
        <v>0</v>
      </c>
      <c r="U473" s="68" t="s">
        <v>1253</v>
      </c>
      <c r="V473" s="126">
        <v>1</v>
      </c>
      <c r="Z473" s="126">
        <v>1</v>
      </c>
      <c r="AA473" s="126">
        <v>1</v>
      </c>
      <c r="AB473" s="126">
        <v>2</v>
      </c>
      <c r="AC473" s="126">
        <v>6</v>
      </c>
      <c r="AD473" s="126">
        <v>2026</v>
      </c>
    </row>
    <row r="474" spans="3:30">
      <c r="C474" s="126">
        <v>467</v>
      </c>
      <c r="D474" s="126">
        <v>37</v>
      </c>
      <c r="E474" s="126">
        <v>10</v>
      </c>
      <c r="F474" s="126">
        <v>1</v>
      </c>
      <c r="G474" s="126">
        <v>1</v>
      </c>
      <c r="H474" s="126">
        <v>1</v>
      </c>
      <c r="I474" s="126">
        <v>1</v>
      </c>
      <c r="J474" s="126">
        <v>177</v>
      </c>
      <c r="P474" s="126">
        <v>128</v>
      </c>
      <c r="R474" s="126" t="s">
        <v>549</v>
      </c>
      <c r="S474" s="259">
        <v>0</v>
      </c>
      <c r="T474" s="259">
        <v>45</v>
      </c>
      <c r="U474" s="68" t="s">
        <v>1254</v>
      </c>
      <c r="V474" s="126">
        <v>1</v>
      </c>
      <c r="Z474" s="126">
        <v>1</v>
      </c>
      <c r="AA474" s="126">
        <v>1</v>
      </c>
      <c r="AB474" s="126">
        <v>2</v>
      </c>
      <c r="AC474" s="126">
        <v>6</v>
      </c>
      <c r="AD474" s="126">
        <v>2026</v>
      </c>
    </row>
    <row r="475" spans="3:30">
      <c r="C475" s="126">
        <v>468</v>
      </c>
      <c r="D475" s="126">
        <v>38</v>
      </c>
      <c r="E475" s="126">
        <v>2</v>
      </c>
      <c r="F475" s="126">
        <v>1</v>
      </c>
      <c r="G475" s="126">
        <v>1</v>
      </c>
      <c r="H475" s="126">
        <v>1</v>
      </c>
      <c r="I475" s="126">
        <v>1</v>
      </c>
      <c r="R475" s="126" t="s">
        <v>549</v>
      </c>
      <c r="S475" s="259">
        <v>95</v>
      </c>
      <c r="T475" s="259">
        <v>0</v>
      </c>
      <c r="U475" s="68" t="s">
        <v>1256</v>
      </c>
      <c r="V475" s="126">
        <v>1</v>
      </c>
      <c r="Z475" s="126">
        <v>1</v>
      </c>
      <c r="AA475" s="126">
        <v>1</v>
      </c>
      <c r="AB475" s="126">
        <v>2</v>
      </c>
      <c r="AC475" s="126">
        <v>6</v>
      </c>
      <c r="AD475" s="126">
        <v>2026</v>
      </c>
    </row>
    <row r="476" spans="3:30">
      <c r="C476" s="126">
        <v>469</v>
      </c>
      <c r="D476" s="126">
        <v>38</v>
      </c>
      <c r="E476" s="126">
        <v>3</v>
      </c>
      <c r="F476" s="126">
        <v>1</v>
      </c>
      <c r="G476" s="126">
        <v>1</v>
      </c>
      <c r="H476" s="126">
        <v>1</v>
      </c>
      <c r="I476" s="126">
        <v>1</v>
      </c>
      <c r="J476" s="126">
        <v>179</v>
      </c>
      <c r="M476" s="126">
        <v>169</v>
      </c>
      <c r="N476" s="126">
        <v>0</v>
      </c>
      <c r="P476" s="126">
        <v>129</v>
      </c>
      <c r="R476" s="126" t="s">
        <v>549</v>
      </c>
      <c r="S476" s="259">
        <v>0</v>
      </c>
      <c r="T476" s="259">
        <v>95</v>
      </c>
      <c r="U476" s="68" t="s">
        <v>1257</v>
      </c>
      <c r="V476" s="126">
        <v>1</v>
      </c>
      <c r="Z476" s="126">
        <v>1</v>
      </c>
      <c r="AA476" s="126">
        <v>1</v>
      </c>
      <c r="AB476" s="126">
        <v>2</v>
      </c>
      <c r="AC476" s="126">
        <v>6</v>
      </c>
      <c r="AD476" s="126">
        <v>2026</v>
      </c>
    </row>
    <row r="477" spans="3:30">
      <c r="C477" s="126">
        <v>470</v>
      </c>
      <c r="D477" s="126">
        <v>38</v>
      </c>
      <c r="E477" s="126">
        <v>11</v>
      </c>
      <c r="F477" s="126">
        <v>1</v>
      </c>
      <c r="G477" s="126">
        <v>1</v>
      </c>
      <c r="H477" s="126">
        <v>1</v>
      </c>
      <c r="I477" s="126">
        <v>1</v>
      </c>
      <c r="J477" s="126">
        <v>179</v>
      </c>
      <c r="M477" s="126">
        <v>169</v>
      </c>
      <c r="N477" s="126">
        <v>1</v>
      </c>
      <c r="P477" s="126">
        <v>129</v>
      </c>
      <c r="R477" s="126" t="s">
        <v>549</v>
      </c>
      <c r="S477" s="259">
        <v>95</v>
      </c>
      <c r="T477" s="259">
        <v>0</v>
      </c>
      <c r="U477" s="68" t="s">
        <v>1258</v>
      </c>
      <c r="V477" s="126">
        <v>1</v>
      </c>
      <c r="Z477" s="126">
        <v>1</v>
      </c>
      <c r="AA477" s="126">
        <v>1</v>
      </c>
      <c r="AB477" s="126">
        <v>2</v>
      </c>
      <c r="AC477" s="126">
        <v>6</v>
      </c>
      <c r="AD477" s="126">
        <v>2026</v>
      </c>
    </row>
    <row r="478" spans="3:30">
      <c r="C478" s="126">
        <v>471</v>
      </c>
      <c r="D478" s="126">
        <v>38</v>
      </c>
      <c r="E478" s="126">
        <v>10</v>
      </c>
      <c r="F478" s="126">
        <v>1</v>
      </c>
      <c r="G478" s="126">
        <v>1</v>
      </c>
      <c r="H478" s="126">
        <v>1</v>
      </c>
      <c r="I478" s="126">
        <v>1</v>
      </c>
      <c r="J478" s="126">
        <v>179</v>
      </c>
      <c r="P478" s="126">
        <v>129</v>
      </c>
      <c r="R478" s="126" t="s">
        <v>549</v>
      </c>
      <c r="S478" s="259">
        <v>0</v>
      </c>
      <c r="T478" s="259">
        <v>95</v>
      </c>
      <c r="U478" s="68" t="s">
        <v>1259</v>
      </c>
      <c r="V478" s="126">
        <v>1</v>
      </c>
      <c r="Z478" s="126">
        <v>1</v>
      </c>
      <c r="AA478" s="126">
        <v>1</v>
      </c>
      <c r="AB478" s="126">
        <v>2</v>
      </c>
      <c r="AC478" s="126">
        <v>6</v>
      </c>
      <c r="AD478" s="126">
        <v>2026</v>
      </c>
    </row>
    <row r="479" spans="3:30">
      <c r="C479" s="126">
        <v>472</v>
      </c>
      <c r="D479" s="126">
        <v>39</v>
      </c>
      <c r="E479" s="126">
        <v>2</v>
      </c>
      <c r="F479" s="126">
        <v>1</v>
      </c>
      <c r="G479" s="126">
        <v>1</v>
      </c>
      <c r="H479" s="126">
        <v>1</v>
      </c>
      <c r="I479" s="126">
        <v>1</v>
      </c>
      <c r="R479" s="126" t="s">
        <v>549</v>
      </c>
      <c r="S479" s="259">
        <v>48.75</v>
      </c>
      <c r="T479" s="259">
        <v>0</v>
      </c>
      <c r="U479" s="68" t="s">
        <v>1262</v>
      </c>
      <c r="V479" s="126">
        <v>1</v>
      </c>
      <c r="Z479" s="126">
        <v>1</v>
      </c>
      <c r="AA479" s="126">
        <v>1</v>
      </c>
      <c r="AB479" s="126">
        <v>2</v>
      </c>
      <c r="AC479" s="126">
        <v>6</v>
      </c>
      <c r="AD479" s="126">
        <v>2026</v>
      </c>
    </row>
    <row r="480" spans="3:30">
      <c r="C480" s="126">
        <v>473</v>
      </c>
      <c r="D480" s="126">
        <v>39</v>
      </c>
      <c r="E480" s="126">
        <v>3</v>
      </c>
      <c r="F480" s="126">
        <v>1</v>
      </c>
      <c r="G480" s="126">
        <v>1</v>
      </c>
      <c r="H480" s="126">
        <v>1</v>
      </c>
      <c r="I480" s="126">
        <v>1</v>
      </c>
      <c r="J480" s="126">
        <v>177</v>
      </c>
      <c r="M480" s="126">
        <v>170</v>
      </c>
      <c r="N480" s="126">
        <v>0</v>
      </c>
      <c r="P480" s="126">
        <v>130</v>
      </c>
      <c r="R480" s="126" t="s">
        <v>549</v>
      </c>
      <c r="S480" s="259">
        <v>0</v>
      </c>
      <c r="T480" s="259">
        <v>20.75</v>
      </c>
      <c r="U480" s="68" t="s">
        <v>1263</v>
      </c>
      <c r="V480" s="126">
        <v>1</v>
      </c>
      <c r="Z480" s="126">
        <v>1</v>
      </c>
      <c r="AA480" s="126">
        <v>1</v>
      </c>
      <c r="AB480" s="126">
        <v>2</v>
      </c>
      <c r="AC480" s="126">
        <v>6</v>
      </c>
      <c r="AD480" s="126">
        <v>2026</v>
      </c>
    </row>
    <row r="481" spans="3:30">
      <c r="C481" s="126">
        <v>474</v>
      </c>
      <c r="D481" s="126">
        <v>39</v>
      </c>
      <c r="E481" s="126">
        <v>11</v>
      </c>
      <c r="F481" s="126">
        <v>1</v>
      </c>
      <c r="G481" s="126">
        <v>1</v>
      </c>
      <c r="H481" s="126">
        <v>1</v>
      </c>
      <c r="I481" s="126">
        <v>1</v>
      </c>
      <c r="J481" s="126">
        <v>177</v>
      </c>
      <c r="M481" s="126">
        <v>170</v>
      </c>
      <c r="N481" s="126">
        <v>1</v>
      </c>
      <c r="P481" s="126">
        <v>130</v>
      </c>
      <c r="R481" s="126" t="s">
        <v>549</v>
      </c>
      <c r="S481" s="259">
        <v>20.75</v>
      </c>
      <c r="T481" s="259">
        <v>0</v>
      </c>
      <c r="U481" s="68" t="s">
        <v>1264</v>
      </c>
      <c r="V481" s="126">
        <v>1</v>
      </c>
      <c r="Z481" s="126">
        <v>1</v>
      </c>
      <c r="AA481" s="126">
        <v>1</v>
      </c>
      <c r="AB481" s="126">
        <v>2</v>
      </c>
      <c r="AC481" s="126">
        <v>6</v>
      </c>
      <c r="AD481" s="126">
        <v>2026</v>
      </c>
    </row>
    <row r="482" spans="3:30">
      <c r="C482" s="126">
        <v>475</v>
      </c>
      <c r="D482" s="126">
        <v>39</v>
      </c>
      <c r="E482" s="126">
        <v>10</v>
      </c>
      <c r="F482" s="126">
        <v>1</v>
      </c>
      <c r="G482" s="126">
        <v>1</v>
      </c>
      <c r="H482" s="126">
        <v>1</v>
      </c>
      <c r="I482" s="126">
        <v>1</v>
      </c>
      <c r="J482" s="126">
        <v>177</v>
      </c>
      <c r="P482" s="126">
        <v>130</v>
      </c>
      <c r="R482" s="126" t="s">
        <v>549</v>
      </c>
      <c r="S482" s="259">
        <v>0</v>
      </c>
      <c r="T482" s="259">
        <v>23.75</v>
      </c>
      <c r="U482" s="68" t="s">
        <v>1265</v>
      </c>
      <c r="V482" s="126">
        <v>1</v>
      </c>
      <c r="Z482" s="126">
        <v>1</v>
      </c>
      <c r="AA482" s="126">
        <v>1</v>
      </c>
      <c r="AB482" s="126">
        <v>2</v>
      </c>
      <c r="AC482" s="126">
        <v>6</v>
      </c>
      <c r="AD482" s="126">
        <v>2026</v>
      </c>
    </row>
    <row r="483" spans="3:30">
      <c r="C483" s="126">
        <v>476</v>
      </c>
      <c r="D483" s="126">
        <v>39</v>
      </c>
      <c r="E483" s="126">
        <v>3</v>
      </c>
      <c r="F483" s="126">
        <v>1</v>
      </c>
      <c r="G483" s="126">
        <v>1</v>
      </c>
      <c r="H483" s="126">
        <v>1</v>
      </c>
      <c r="I483" s="126">
        <v>1</v>
      </c>
      <c r="J483" s="126">
        <v>191</v>
      </c>
      <c r="M483" s="126">
        <v>171</v>
      </c>
      <c r="N483" s="126">
        <v>0</v>
      </c>
      <c r="P483" s="126">
        <v>131</v>
      </c>
      <c r="R483" s="126" t="s">
        <v>549</v>
      </c>
      <c r="S483" s="259">
        <v>0</v>
      </c>
      <c r="T483" s="259">
        <v>24.6</v>
      </c>
      <c r="U483" s="68" t="s">
        <v>1266</v>
      </c>
      <c r="V483" s="126">
        <v>1</v>
      </c>
      <c r="Z483" s="126">
        <v>1</v>
      </c>
      <c r="AA483" s="126">
        <v>1</v>
      </c>
      <c r="AB483" s="126">
        <v>2</v>
      </c>
      <c r="AC483" s="126">
        <v>6</v>
      </c>
      <c r="AD483" s="126">
        <v>2026</v>
      </c>
    </row>
    <row r="484" spans="3:30">
      <c r="C484" s="126">
        <v>477</v>
      </c>
      <c r="D484" s="126">
        <v>39</v>
      </c>
      <c r="E484" s="126">
        <v>11</v>
      </c>
      <c r="F484" s="126">
        <v>1</v>
      </c>
      <c r="G484" s="126">
        <v>1</v>
      </c>
      <c r="H484" s="126">
        <v>1</v>
      </c>
      <c r="I484" s="126">
        <v>1</v>
      </c>
      <c r="J484" s="126">
        <v>191</v>
      </c>
      <c r="M484" s="126">
        <v>171</v>
      </c>
      <c r="N484" s="126">
        <v>1</v>
      </c>
      <c r="P484" s="126">
        <v>131</v>
      </c>
      <c r="R484" s="126" t="s">
        <v>549</v>
      </c>
      <c r="S484" s="259">
        <v>24.6</v>
      </c>
      <c r="T484" s="259">
        <v>0</v>
      </c>
      <c r="U484" s="68" t="s">
        <v>1267</v>
      </c>
      <c r="V484" s="126">
        <v>1</v>
      </c>
      <c r="Z484" s="126">
        <v>1</v>
      </c>
      <c r="AA484" s="126">
        <v>1</v>
      </c>
      <c r="AB484" s="126">
        <v>2</v>
      </c>
      <c r="AC484" s="126">
        <v>6</v>
      </c>
      <c r="AD484" s="126">
        <v>2026</v>
      </c>
    </row>
    <row r="485" spans="3:30">
      <c r="C485" s="126">
        <v>478</v>
      </c>
      <c r="D485" s="126">
        <v>39</v>
      </c>
      <c r="E485" s="126">
        <v>10</v>
      </c>
      <c r="F485" s="126">
        <v>1</v>
      </c>
      <c r="G485" s="126">
        <v>1</v>
      </c>
      <c r="H485" s="126">
        <v>1</v>
      </c>
      <c r="I485" s="126">
        <v>1</v>
      </c>
      <c r="J485" s="126">
        <v>191</v>
      </c>
      <c r="P485" s="126">
        <v>131</v>
      </c>
      <c r="R485" s="126" t="s">
        <v>549</v>
      </c>
      <c r="S485" s="259">
        <v>0</v>
      </c>
      <c r="T485" s="259">
        <v>25</v>
      </c>
      <c r="U485" s="68" t="s">
        <v>1268</v>
      </c>
      <c r="V485" s="126">
        <v>1</v>
      </c>
      <c r="Z485" s="126">
        <v>1</v>
      </c>
      <c r="AA485" s="126">
        <v>1</v>
      </c>
      <c r="AB485" s="126">
        <v>2</v>
      </c>
      <c r="AC485" s="126">
        <v>6</v>
      </c>
      <c r="AD485" s="126">
        <v>2026</v>
      </c>
    </row>
    <row r="486" spans="3:30">
      <c r="C486" s="126">
        <v>479</v>
      </c>
      <c r="D486" s="126">
        <v>40</v>
      </c>
      <c r="E486" s="126">
        <v>2</v>
      </c>
      <c r="F486" s="126">
        <v>1</v>
      </c>
      <c r="G486" s="126">
        <v>1</v>
      </c>
      <c r="H486" s="126">
        <v>1</v>
      </c>
      <c r="I486" s="126">
        <v>1</v>
      </c>
      <c r="R486" s="126" t="s">
        <v>549</v>
      </c>
      <c r="S486" s="259">
        <v>19</v>
      </c>
      <c r="T486" s="259">
        <v>0</v>
      </c>
      <c r="U486" s="68" t="s">
        <v>1270</v>
      </c>
      <c r="V486" s="126">
        <v>1</v>
      </c>
      <c r="Z486" s="126">
        <v>1</v>
      </c>
      <c r="AA486" s="126">
        <v>1</v>
      </c>
      <c r="AB486" s="126">
        <v>2</v>
      </c>
      <c r="AC486" s="126">
        <v>6</v>
      </c>
      <c r="AD486" s="126">
        <v>2026</v>
      </c>
    </row>
    <row r="487" spans="3:30">
      <c r="C487" s="126">
        <v>480</v>
      </c>
      <c r="D487" s="126">
        <v>40</v>
      </c>
      <c r="E487" s="126">
        <v>3</v>
      </c>
      <c r="F487" s="126">
        <v>1</v>
      </c>
      <c r="G487" s="126">
        <v>1</v>
      </c>
      <c r="H487" s="126">
        <v>1</v>
      </c>
      <c r="I487" s="126">
        <v>1</v>
      </c>
      <c r="J487" s="126">
        <v>41</v>
      </c>
      <c r="M487" s="126">
        <v>172</v>
      </c>
      <c r="N487" s="126">
        <v>0</v>
      </c>
      <c r="P487" s="126">
        <v>132</v>
      </c>
      <c r="R487" s="126" t="s">
        <v>549</v>
      </c>
      <c r="S487" s="259">
        <v>0</v>
      </c>
      <c r="T487" s="259">
        <v>1.06</v>
      </c>
      <c r="U487" s="68" t="s">
        <v>1271</v>
      </c>
      <c r="V487" s="126">
        <v>1</v>
      </c>
      <c r="Z487" s="126">
        <v>1</v>
      </c>
      <c r="AA487" s="126">
        <v>1</v>
      </c>
      <c r="AB487" s="126">
        <v>2</v>
      </c>
      <c r="AC487" s="126">
        <v>6</v>
      </c>
      <c r="AD487" s="126">
        <v>2026</v>
      </c>
    </row>
    <row r="488" spans="3:30">
      <c r="C488" s="126">
        <v>481</v>
      </c>
      <c r="D488" s="126">
        <v>40</v>
      </c>
      <c r="E488" s="126">
        <v>11</v>
      </c>
      <c r="F488" s="126">
        <v>1</v>
      </c>
      <c r="G488" s="126">
        <v>1</v>
      </c>
      <c r="H488" s="126">
        <v>1</v>
      </c>
      <c r="I488" s="126">
        <v>1</v>
      </c>
      <c r="J488" s="126">
        <v>41</v>
      </c>
      <c r="M488" s="126">
        <v>172</v>
      </c>
      <c r="N488" s="126">
        <v>1</v>
      </c>
      <c r="P488" s="126">
        <v>132</v>
      </c>
      <c r="R488" s="126" t="s">
        <v>549</v>
      </c>
      <c r="S488" s="259">
        <v>1.06</v>
      </c>
      <c r="T488" s="259">
        <v>0</v>
      </c>
      <c r="U488" s="68" t="s">
        <v>1272</v>
      </c>
      <c r="V488" s="126">
        <v>1</v>
      </c>
      <c r="Z488" s="126">
        <v>1</v>
      </c>
      <c r="AA488" s="126">
        <v>1</v>
      </c>
      <c r="AB488" s="126">
        <v>2</v>
      </c>
      <c r="AC488" s="126">
        <v>6</v>
      </c>
      <c r="AD488" s="126">
        <v>2026</v>
      </c>
    </row>
    <row r="489" spans="3:30">
      <c r="C489" s="126">
        <v>482</v>
      </c>
      <c r="D489" s="126">
        <v>40</v>
      </c>
      <c r="E489" s="126">
        <v>10</v>
      </c>
      <c r="F489" s="126">
        <v>1</v>
      </c>
      <c r="G489" s="126">
        <v>1</v>
      </c>
      <c r="H489" s="126">
        <v>1</v>
      </c>
      <c r="I489" s="126">
        <v>1</v>
      </c>
      <c r="J489" s="126">
        <v>41</v>
      </c>
      <c r="P489" s="126">
        <v>132</v>
      </c>
      <c r="R489" s="126" t="s">
        <v>549</v>
      </c>
      <c r="S489" s="259">
        <v>0</v>
      </c>
      <c r="T489" s="259">
        <v>1.5</v>
      </c>
      <c r="U489" s="68" t="s">
        <v>1273</v>
      </c>
      <c r="V489" s="126">
        <v>1</v>
      </c>
      <c r="Z489" s="126">
        <v>1</v>
      </c>
      <c r="AA489" s="126">
        <v>1</v>
      </c>
      <c r="AB489" s="126">
        <v>2</v>
      </c>
      <c r="AC489" s="126">
        <v>6</v>
      </c>
      <c r="AD489" s="126">
        <v>2026</v>
      </c>
    </row>
    <row r="490" spans="3:30">
      <c r="C490" s="126">
        <v>483</v>
      </c>
      <c r="D490" s="126">
        <v>40</v>
      </c>
      <c r="E490" s="126">
        <v>3</v>
      </c>
      <c r="F490" s="126">
        <v>1</v>
      </c>
      <c r="G490" s="126">
        <v>1</v>
      </c>
      <c r="H490" s="126">
        <v>1</v>
      </c>
      <c r="I490" s="126">
        <v>1</v>
      </c>
      <c r="J490" s="126">
        <v>8</v>
      </c>
      <c r="M490" s="126">
        <v>173</v>
      </c>
      <c r="N490" s="126">
        <v>0</v>
      </c>
      <c r="P490" s="126">
        <v>133</v>
      </c>
      <c r="R490" s="126" t="s">
        <v>549</v>
      </c>
      <c r="S490" s="259">
        <v>0</v>
      </c>
      <c r="T490" s="259">
        <v>2.64</v>
      </c>
      <c r="U490" s="68" t="s">
        <v>1274</v>
      </c>
      <c r="V490" s="126">
        <v>1</v>
      </c>
      <c r="Z490" s="126">
        <v>1</v>
      </c>
      <c r="AA490" s="126">
        <v>1</v>
      </c>
      <c r="AB490" s="126">
        <v>2</v>
      </c>
      <c r="AC490" s="126">
        <v>6</v>
      </c>
      <c r="AD490" s="126">
        <v>2026</v>
      </c>
    </row>
    <row r="491" spans="3:30">
      <c r="C491" s="126">
        <v>484</v>
      </c>
      <c r="D491" s="126">
        <v>40</v>
      </c>
      <c r="E491" s="126">
        <v>11</v>
      </c>
      <c r="F491" s="126">
        <v>1</v>
      </c>
      <c r="G491" s="126">
        <v>1</v>
      </c>
      <c r="H491" s="126">
        <v>1</v>
      </c>
      <c r="I491" s="126">
        <v>1</v>
      </c>
      <c r="J491" s="126">
        <v>8</v>
      </c>
      <c r="M491" s="126">
        <v>173</v>
      </c>
      <c r="N491" s="126">
        <v>1</v>
      </c>
      <c r="P491" s="126">
        <v>133</v>
      </c>
      <c r="R491" s="126" t="s">
        <v>549</v>
      </c>
      <c r="S491" s="259">
        <v>2.64</v>
      </c>
      <c r="T491" s="259">
        <v>0</v>
      </c>
      <c r="U491" s="68" t="s">
        <v>1275</v>
      </c>
      <c r="V491" s="126">
        <v>1</v>
      </c>
      <c r="Z491" s="126">
        <v>1</v>
      </c>
      <c r="AA491" s="126">
        <v>1</v>
      </c>
      <c r="AB491" s="126">
        <v>2</v>
      </c>
      <c r="AC491" s="126">
        <v>6</v>
      </c>
      <c r="AD491" s="126">
        <v>2026</v>
      </c>
    </row>
    <row r="492" spans="3:30">
      <c r="C492" s="126">
        <v>485</v>
      </c>
      <c r="D492" s="126">
        <v>40</v>
      </c>
      <c r="E492" s="126">
        <v>10</v>
      </c>
      <c r="F492" s="126">
        <v>1</v>
      </c>
      <c r="G492" s="126">
        <v>1</v>
      </c>
      <c r="H492" s="126">
        <v>1</v>
      </c>
      <c r="I492" s="126">
        <v>1</v>
      </c>
      <c r="J492" s="126">
        <v>8</v>
      </c>
      <c r="P492" s="126">
        <v>133</v>
      </c>
      <c r="R492" s="126" t="s">
        <v>549</v>
      </c>
      <c r="S492" s="259">
        <v>0</v>
      </c>
      <c r="T492" s="259">
        <v>3.5</v>
      </c>
      <c r="U492" s="68" t="s">
        <v>1276</v>
      </c>
      <c r="V492" s="126">
        <v>1</v>
      </c>
      <c r="Z492" s="126">
        <v>1</v>
      </c>
      <c r="AA492" s="126">
        <v>1</v>
      </c>
      <c r="AB492" s="126">
        <v>2</v>
      </c>
      <c r="AC492" s="126">
        <v>6</v>
      </c>
      <c r="AD492" s="126">
        <v>2026</v>
      </c>
    </row>
    <row r="493" spans="3:30">
      <c r="C493" s="126">
        <v>486</v>
      </c>
      <c r="D493" s="126">
        <v>40</v>
      </c>
      <c r="E493" s="126">
        <v>3</v>
      </c>
      <c r="F493" s="126">
        <v>1</v>
      </c>
      <c r="G493" s="126">
        <v>1</v>
      </c>
      <c r="H493" s="126">
        <v>1</v>
      </c>
      <c r="I493" s="126">
        <v>1</v>
      </c>
      <c r="J493" s="126">
        <v>45</v>
      </c>
      <c r="M493" s="126">
        <v>174</v>
      </c>
      <c r="N493" s="126">
        <v>0</v>
      </c>
      <c r="P493" s="126">
        <v>134</v>
      </c>
      <c r="R493" s="126" t="s">
        <v>549</v>
      </c>
      <c r="S493" s="259">
        <v>0</v>
      </c>
      <c r="T493" s="259">
        <v>1.02</v>
      </c>
      <c r="U493" s="68" t="s">
        <v>1277</v>
      </c>
      <c r="V493" s="126">
        <v>1</v>
      </c>
      <c r="Z493" s="126">
        <v>1</v>
      </c>
      <c r="AA493" s="126">
        <v>1</v>
      </c>
      <c r="AB493" s="126">
        <v>2</v>
      </c>
      <c r="AC493" s="126">
        <v>6</v>
      </c>
      <c r="AD493" s="126">
        <v>2026</v>
      </c>
    </row>
    <row r="494" spans="3:30">
      <c r="C494" s="126">
        <v>487</v>
      </c>
      <c r="D494" s="126">
        <v>40</v>
      </c>
      <c r="E494" s="126">
        <v>11</v>
      </c>
      <c r="F494" s="126">
        <v>1</v>
      </c>
      <c r="G494" s="126">
        <v>1</v>
      </c>
      <c r="H494" s="126">
        <v>1</v>
      </c>
      <c r="I494" s="126">
        <v>1</v>
      </c>
      <c r="J494" s="126">
        <v>45</v>
      </c>
      <c r="M494" s="126">
        <v>174</v>
      </c>
      <c r="N494" s="126">
        <v>1</v>
      </c>
      <c r="P494" s="126">
        <v>134</v>
      </c>
      <c r="R494" s="126" t="s">
        <v>549</v>
      </c>
      <c r="S494" s="259">
        <v>1.02</v>
      </c>
      <c r="T494" s="259">
        <v>0</v>
      </c>
      <c r="U494" s="68" t="s">
        <v>1278</v>
      </c>
      <c r="V494" s="126">
        <v>1</v>
      </c>
      <c r="Z494" s="126">
        <v>1</v>
      </c>
      <c r="AA494" s="126">
        <v>1</v>
      </c>
      <c r="AB494" s="126">
        <v>2</v>
      </c>
      <c r="AC494" s="126">
        <v>6</v>
      </c>
      <c r="AD494" s="126">
        <v>2026</v>
      </c>
    </row>
    <row r="495" spans="3:30">
      <c r="C495" s="126">
        <v>488</v>
      </c>
      <c r="D495" s="126">
        <v>40</v>
      </c>
      <c r="E495" s="126">
        <v>10</v>
      </c>
      <c r="F495" s="126">
        <v>1</v>
      </c>
      <c r="G495" s="126">
        <v>1</v>
      </c>
      <c r="H495" s="126">
        <v>1</v>
      </c>
      <c r="I495" s="126">
        <v>1</v>
      </c>
      <c r="J495" s="126">
        <v>45</v>
      </c>
      <c r="P495" s="126">
        <v>134</v>
      </c>
      <c r="R495" s="126" t="s">
        <v>549</v>
      </c>
      <c r="S495" s="259">
        <v>0</v>
      </c>
      <c r="T495" s="259">
        <v>2.25</v>
      </c>
      <c r="U495" s="68" t="s">
        <v>1279</v>
      </c>
      <c r="V495" s="126">
        <v>1</v>
      </c>
      <c r="Z495" s="126">
        <v>1</v>
      </c>
      <c r="AA495" s="126">
        <v>1</v>
      </c>
      <c r="AB495" s="126">
        <v>2</v>
      </c>
      <c r="AC495" s="126">
        <v>6</v>
      </c>
      <c r="AD495" s="126">
        <v>2026</v>
      </c>
    </row>
    <row r="496" spans="3:30">
      <c r="C496" s="126">
        <v>489</v>
      </c>
      <c r="D496" s="126">
        <v>40</v>
      </c>
      <c r="E496" s="126">
        <v>3</v>
      </c>
      <c r="F496" s="126">
        <v>1</v>
      </c>
      <c r="G496" s="126">
        <v>1</v>
      </c>
      <c r="H496" s="126">
        <v>1</v>
      </c>
      <c r="I496" s="126">
        <v>1</v>
      </c>
      <c r="J496" s="126">
        <v>42</v>
      </c>
      <c r="M496" s="126">
        <v>175</v>
      </c>
      <c r="N496" s="126">
        <v>0</v>
      </c>
      <c r="P496" s="126">
        <v>135</v>
      </c>
      <c r="R496" s="126" t="s">
        <v>549</v>
      </c>
      <c r="S496" s="259">
        <v>0</v>
      </c>
      <c r="T496" s="259">
        <v>0.48</v>
      </c>
      <c r="U496" s="68" t="s">
        <v>1280</v>
      </c>
      <c r="V496" s="126">
        <v>1</v>
      </c>
      <c r="Z496" s="126">
        <v>1</v>
      </c>
      <c r="AA496" s="126">
        <v>1</v>
      </c>
      <c r="AB496" s="126">
        <v>2</v>
      </c>
      <c r="AC496" s="126">
        <v>6</v>
      </c>
      <c r="AD496" s="126">
        <v>2026</v>
      </c>
    </row>
    <row r="497" spans="3:30">
      <c r="C497" s="126">
        <v>490</v>
      </c>
      <c r="D497" s="126">
        <v>40</v>
      </c>
      <c r="E497" s="126">
        <v>11</v>
      </c>
      <c r="F497" s="126">
        <v>1</v>
      </c>
      <c r="G497" s="126">
        <v>1</v>
      </c>
      <c r="H497" s="126">
        <v>1</v>
      </c>
      <c r="I497" s="126">
        <v>1</v>
      </c>
      <c r="J497" s="126">
        <v>42</v>
      </c>
      <c r="M497" s="126">
        <v>175</v>
      </c>
      <c r="N497" s="126">
        <v>1</v>
      </c>
      <c r="P497" s="126">
        <v>135</v>
      </c>
      <c r="R497" s="126" t="s">
        <v>549</v>
      </c>
      <c r="S497" s="259">
        <v>0.48</v>
      </c>
      <c r="T497" s="259">
        <v>0</v>
      </c>
      <c r="U497" s="68" t="s">
        <v>1281</v>
      </c>
      <c r="V497" s="126">
        <v>1</v>
      </c>
      <c r="Z497" s="126">
        <v>1</v>
      </c>
      <c r="AA497" s="126">
        <v>1</v>
      </c>
      <c r="AB497" s="126">
        <v>2</v>
      </c>
      <c r="AC497" s="126">
        <v>6</v>
      </c>
      <c r="AD497" s="126">
        <v>2026</v>
      </c>
    </row>
    <row r="498" spans="3:30">
      <c r="C498" s="126">
        <v>491</v>
      </c>
      <c r="D498" s="126">
        <v>40</v>
      </c>
      <c r="E498" s="126">
        <v>10</v>
      </c>
      <c r="F498" s="126">
        <v>1</v>
      </c>
      <c r="G498" s="126">
        <v>1</v>
      </c>
      <c r="H498" s="126">
        <v>1</v>
      </c>
      <c r="I498" s="126">
        <v>1</v>
      </c>
      <c r="J498" s="126">
        <v>42</v>
      </c>
      <c r="P498" s="126">
        <v>135</v>
      </c>
      <c r="R498" s="126" t="s">
        <v>549</v>
      </c>
      <c r="S498" s="259">
        <v>0</v>
      </c>
      <c r="T498" s="259">
        <v>1</v>
      </c>
      <c r="U498" s="68" t="s">
        <v>1282</v>
      </c>
      <c r="V498" s="126">
        <v>1</v>
      </c>
      <c r="Z498" s="126">
        <v>1</v>
      </c>
      <c r="AA498" s="126">
        <v>1</v>
      </c>
      <c r="AB498" s="126">
        <v>2</v>
      </c>
      <c r="AC498" s="126">
        <v>6</v>
      </c>
      <c r="AD498" s="126">
        <v>2026</v>
      </c>
    </row>
    <row r="499" spans="3:30">
      <c r="C499" s="126">
        <v>492</v>
      </c>
      <c r="D499" s="126">
        <v>40</v>
      </c>
      <c r="E499" s="126">
        <v>3</v>
      </c>
      <c r="F499" s="126">
        <v>1</v>
      </c>
      <c r="G499" s="126">
        <v>1</v>
      </c>
      <c r="H499" s="126">
        <v>1</v>
      </c>
      <c r="I499" s="126">
        <v>1</v>
      </c>
      <c r="J499" s="126">
        <v>56</v>
      </c>
      <c r="M499" s="126">
        <v>176</v>
      </c>
      <c r="N499" s="126">
        <v>0</v>
      </c>
      <c r="P499" s="126">
        <v>136</v>
      </c>
      <c r="R499" s="126" t="s">
        <v>549</v>
      </c>
      <c r="S499" s="259">
        <v>0</v>
      </c>
      <c r="T499" s="259">
        <v>0.55000000000000004</v>
      </c>
      <c r="U499" s="68" t="s">
        <v>1283</v>
      </c>
      <c r="V499" s="126">
        <v>1</v>
      </c>
      <c r="Z499" s="126">
        <v>1</v>
      </c>
      <c r="AA499" s="126">
        <v>1</v>
      </c>
      <c r="AB499" s="126">
        <v>2</v>
      </c>
      <c r="AC499" s="126">
        <v>6</v>
      </c>
      <c r="AD499" s="126">
        <v>2026</v>
      </c>
    </row>
    <row r="500" spans="3:30">
      <c r="C500" s="126">
        <v>493</v>
      </c>
      <c r="D500" s="126">
        <v>40</v>
      </c>
      <c r="E500" s="126">
        <v>11</v>
      </c>
      <c r="F500" s="126">
        <v>1</v>
      </c>
      <c r="G500" s="126">
        <v>1</v>
      </c>
      <c r="H500" s="126">
        <v>1</v>
      </c>
      <c r="I500" s="126">
        <v>1</v>
      </c>
      <c r="J500" s="126">
        <v>56</v>
      </c>
      <c r="M500" s="126">
        <v>176</v>
      </c>
      <c r="N500" s="126">
        <v>1</v>
      </c>
      <c r="P500" s="126">
        <v>136</v>
      </c>
      <c r="R500" s="126" t="s">
        <v>549</v>
      </c>
      <c r="S500" s="259">
        <v>0.55000000000000004</v>
      </c>
      <c r="T500" s="259">
        <v>0</v>
      </c>
      <c r="U500" s="68" t="s">
        <v>1284</v>
      </c>
      <c r="V500" s="126">
        <v>1</v>
      </c>
      <c r="Z500" s="126">
        <v>1</v>
      </c>
      <c r="AA500" s="126">
        <v>1</v>
      </c>
      <c r="AB500" s="126">
        <v>2</v>
      </c>
      <c r="AC500" s="126">
        <v>6</v>
      </c>
      <c r="AD500" s="126">
        <v>2026</v>
      </c>
    </row>
    <row r="501" spans="3:30">
      <c r="C501" s="126">
        <v>494</v>
      </c>
      <c r="D501" s="126">
        <v>40</v>
      </c>
      <c r="E501" s="126">
        <v>10</v>
      </c>
      <c r="F501" s="126">
        <v>1</v>
      </c>
      <c r="G501" s="126">
        <v>1</v>
      </c>
      <c r="H501" s="126">
        <v>1</v>
      </c>
      <c r="I501" s="126">
        <v>1</v>
      </c>
      <c r="J501" s="126">
        <v>56</v>
      </c>
      <c r="P501" s="126">
        <v>136</v>
      </c>
      <c r="R501" s="126" t="s">
        <v>549</v>
      </c>
      <c r="S501" s="259">
        <v>0</v>
      </c>
      <c r="T501" s="259">
        <v>0.75</v>
      </c>
      <c r="U501" s="68" t="s">
        <v>1285</v>
      </c>
      <c r="V501" s="126">
        <v>1</v>
      </c>
      <c r="Z501" s="126">
        <v>1</v>
      </c>
      <c r="AA501" s="126">
        <v>1</v>
      </c>
      <c r="AB501" s="126">
        <v>2</v>
      </c>
      <c r="AC501" s="126">
        <v>6</v>
      </c>
      <c r="AD501" s="126">
        <v>2026</v>
      </c>
    </row>
    <row r="502" spans="3:30">
      <c r="C502" s="126">
        <v>495</v>
      </c>
      <c r="D502" s="126">
        <v>40</v>
      </c>
      <c r="E502" s="126">
        <v>3</v>
      </c>
      <c r="F502" s="126">
        <v>1</v>
      </c>
      <c r="G502" s="126">
        <v>1</v>
      </c>
      <c r="H502" s="126">
        <v>1</v>
      </c>
      <c r="I502" s="126">
        <v>1</v>
      </c>
      <c r="J502" s="126">
        <v>68</v>
      </c>
      <c r="M502" s="126">
        <v>177</v>
      </c>
      <c r="N502" s="126">
        <v>0</v>
      </c>
      <c r="P502" s="126">
        <v>137</v>
      </c>
      <c r="R502" s="126" t="s">
        <v>549</v>
      </c>
      <c r="S502" s="259">
        <v>0</v>
      </c>
      <c r="T502" s="259">
        <v>1.06</v>
      </c>
      <c r="U502" s="68" t="s">
        <v>1286</v>
      </c>
      <c r="V502" s="126">
        <v>1</v>
      </c>
      <c r="Z502" s="126">
        <v>1</v>
      </c>
      <c r="AA502" s="126">
        <v>1</v>
      </c>
      <c r="AB502" s="126">
        <v>2</v>
      </c>
      <c r="AC502" s="126">
        <v>6</v>
      </c>
      <c r="AD502" s="126">
        <v>2026</v>
      </c>
    </row>
    <row r="503" spans="3:30">
      <c r="C503" s="126">
        <v>496</v>
      </c>
      <c r="D503" s="126">
        <v>40</v>
      </c>
      <c r="E503" s="126">
        <v>11</v>
      </c>
      <c r="F503" s="126">
        <v>1</v>
      </c>
      <c r="G503" s="126">
        <v>1</v>
      </c>
      <c r="H503" s="126">
        <v>1</v>
      </c>
      <c r="I503" s="126">
        <v>1</v>
      </c>
      <c r="J503" s="126">
        <v>68</v>
      </c>
      <c r="M503" s="126">
        <v>177</v>
      </c>
      <c r="N503" s="126">
        <v>1</v>
      </c>
      <c r="P503" s="126">
        <v>137</v>
      </c>
      <c r="R503" s="126" t="s">
        <v>549</v>
      </c>
      <c r="S503" s="259">
        <v>1.06</v>
      </c>
      <c r="T503" s="259">
        <v>0</v>
      </c>
      <c r="U503" s="68" t="s">
        <v>1287</v>
      </c>
      <c r="V503" s="126">
        <v>1</v>
      </c>
      <c r="Z503" s="126">
        <v>1</v>
      </c>
      <c r="AA503" s="126">
        <v>1</v>
      </c>
      <c r="AB503" s="126">
        <v>2</v>
      </c>
      <c r="AC503" s="126">
        <v>6</v>
      </c>
      <c r="AD503" s="126">
        <v>2026</v>
      </c>
    </row>
    <row r="504" spans="3:30">
      <c r="C504" s="126">
        <v>497</v>
      </c>
      <c r="D504" s="126">
        <v>40</v>
      </c>
      <c r="E504" s="126">
        <v>10</v>
      </c>
      <c r="F504" s="126">
        <v>1</v>
      </c>
      <c r="G504" s="126">
        <v>1</v>
      </c>
      <c r="H504" s="126">
        <v>1</v>
      </c>
      <c r="I504" s="126">
        <v>1</v>
      </c>
      <c r="J504" s="126">
        <v>68</v>
      </c>
      <c r="P504" s="126">
        <v>137</v>
      </c>
      <c r="R504" s="126" t="s">
        <v>549</v>
      </c>
      <c r="S504" s="259">
        <v>0</v>
      </c>
      <c r="T504" s="259">
        <v>1</v>
      </c>
      <c r="U504" s="68" t="s">
        <v>1288</v>
      </c>
      <c r="V504" s="126">
        <v>1</v>
      </c>
      <c r="Z504" s="126">
        <v>1</v>
      </c>
      <c r="AA504" s="126">
        <v>1</v>
      </c>
      <c r="AB504" s="126">
        <v>2</v>
      </c>
      <c r="AC504" s="126">
        <v>6</v>
      </c>
      <c r="AD504" s="126">
        <v>2026</v>
      </c>
    </row>
    <row r="505" spans="3:30">
      <c r="C505" s="126">
        <v>498</v>
      </c>
      <c r="D505" s="126">
        <v>40</v>
      </c>
      <c r="E505" s="126">
        <v>3</v>
      </c>
      <c r="F505" s="126">
        <v>1</v>
      </c>
      <c r="G505" s="126">
        <v>1</v>
      </c>
      <c r="H505" s="126">
        <v>1</v>
      </c>
      <c r="I505" s="126">
        <v>1</v>
      </c>
      <c r="J505" s="126">
        <v>49</v>
      </c>
      <c r="M505" s="126">
        <v>178</v>
      </c>
      <c r="N505" s="126">
        <v>0</v>
      </c>
      <c r="P505" s="126">
        <v>138</v>
      </c>
      <c r="R505" s="126" t="s">
        <v>549</v>
      </c>
      <c r="S505" s="259">
        <v>0</v>
      </c>
      <c r="T505" s="259">
        <v>0.28000000000000003</v>
      </c>
      <c r="U505" s="68" t="s">
        <v>1289</v>
      </c>
      <c r="V505" s="126">
        <v>1</v>
      </c>
      <c r="Z505" s="126">
        <v>1</v>
      </c>
      <c r="AA505" s="126">
        <v>1</v>
      </c>
      <c r="AB505" s="126">
        <v>2</v>
      </c>
      <c r="AC505" s="126">
        <v>6</v>
      </c>
      <c r="AD505" s="126">
        <v>2026</v>
      </c>
    </row>
    <row r="506" spans="3:30">
      <c r="C506" s="126">
        <v>499</v>
      </c>
      <c r="D506" s="126">
        <v>40</v>
      </c>
      <c r="E506" s="126">
        <v>11</v>
      </c>
      <c r="F506" s="126">
        <v>1</v>
      </c>
      <c r="G506" s="126">
        <v>1</v>
      </c>
      <c r="H506" s="126">
        <v>1</v>
      </c>
      <c r="I506" s="126">
        <v>1</v>
      </c>
      <c r="J506" s="126">
        <v>49</v>
      </c>
      <c r="M506" s="126">
        <v>178</v>
      </c>
      <c r="N506" s="126">
        <v>1</v>
      </c>
      <c r="P506" s="126">
        <v>138</v>
      </c>
      <c r="R506" s="126" t="s">
        <v>549</v>
      </c>
      <c r="S506" s="259">
        <v>0.28000000000000003</v>
      </c>
      <c r="T506" s="259">
        <v>0</v>
      </c>
      <c r="U506" s="68" t="s">
        <v>1290</v>
      </c>
      <c r="V506" s="126">
        <v>1</v>
      </c>
      <c r="Z506" s="126">
        <v>1</v>
      </c>
      <c r="AA506" s="126">
        <v>1</v>
      </c>
      <c r="AB506" s="126">
        <v>2</v>
      </c>
      <c r="AC506" s="126">
        <v>6</v>
      </c>
      <c r="AD506" s="126">
        <v>2026</v>
      </c>
    </row>
    <row r="507" spans="3:30">
      <c r="C507" s="126">
        <v>500</v>
      </c>
      <c r="D507" s="126">
        <v>40</v>
      </c>
      <c r="E507" s="126">
        <v>10</v>
      </c>
      <c r="F507" s="126">
        <v>1</v>
      </c>
      <c r="G507" s="126">
        <v>1</v>
      </c>
      <c r="H507" s="126">
        <v>1</v>
      </c>
      <c r="I507" s="126">
        <v>1</v>
      </c>
      <c r="J507" s="126">
        <v>49</v>
      </c>
      <c r="P507" s="126">
        <v>138</v>
      </c>
      <c r="R507" s="126" t="s">
        <v>549</v>
      </c>
      <c r="S507" s="259">
        <v>0</v>
      </c>
      <c r="T507" s="259">
        <v>0.5</v>
      </c>
      <c r="U507" s="68" t="s">
        <v>1291</v>
      </c>
      <c r="V507" s="126">
        <v>1</v>
      </c>
      <c r="Z507" s="126">
        <v>1</v>
      </c>
      <c r="AA507" s="126">
        <v>1</v>
      </c>
      <c r="AB507" s="126">
        <v>2</v>
      </c>
      <c r="AC507" s="126">
        <v>6</v>
      </c>
      <c r="AD507" s="126">
        <v>2026</v>
      </c>
    </row>
    <row r="508" spans="3:30">
      <c r="C508" s="126">
        <v>501</v>
      </c>
      <c r="D508" s="126">
        <v>40</v>
      </c>
      <c r="E508" s="126">
        <v>3</v>
      </c>
      <c r="F508" s="126">
        <v>1</v>
      </c>
      <c r="G508" s="126">
        <v>1</v>
      </c>
      <c r="H508" s="126">
        <v>1</v>
      </c>
      <c r="I508" s="126">
        <v>1</v>
      </c>
      <c r="J508" s="126">
        <v>69</v>
      </c>
      <c r="M508" s="126">
        <v>179</v>
      </c>
      <c r="N508" s="126">
        <v>0</v>
      </c>
      <c r="P508" s="126">
        <v>139</v>
      </c>
      <c r="R508" s="126" t="s">
        <v>549</v>
      </c>
      <c r="S508" s="259">
        <v>0</v>
      </c>
      <c r="T508" s="259">
        <v>0.25</v>
      </c>
      <c r="U508" s="68" t="s">
        <v>1292</v>
      </c>
      <c r="V508" s="126">
        <v>1</v>
      </c>
      <c r="Z508" s="126">
        <v>1</v>
      </c>
      <c r="AA508" s="126">
        <v>1</v>
      </c>
      <c r="AB508" s="126">
        <v>2</v>
      </c>
      <c r="AC508" s="126">
        <v>6</v>
      </c>
      <c r="AD508" s="126">
        <v>2026</v>
      </c>
    </row>
    <row r="509" spans="3:30">
      <c r="C509" s="126">
        <v>502</v>
      </c>
      <c r="D509" s="126">
        <v>40</v>
      </c>
      <c r="E509" s="126">
        <v>11</v>
      </c>
      <c r="F509" s="126">
        <v>1</v>
      </c>
      <c r="G509" s="126">
        <v>1</v>
      </c>
      <c r="H509" s="126">
        <v>1</v>
      </c>
      <c r="I509" s="126">
        <v>1</v>
      </c>
      <c r="J509" s="126">
        <v>69</v>
      </c>
      <c r="M509" s="126">
        <v>179</v>
      </c>
      <c r="N509" s="126">
        <v>1</v>
      </c>
      <c r="P509" s="126">
        <v>139</v>
      </c>
      <c r="R509" s="126" t="s">
        <v>549</v>
      </c>
      <c r="S509" s="259">
        <v>0.25</v>
      </c>
      <c r="T509" s="259">
        <v>0</v>
      </c>
      <c r="U509" s="68" t="s">
        <v>1293</v>
      </c>
      <c r="V509" s="126">
        <v>1</v>
      </c>
      <c r="Z509" s="126">
        <v>1</v>
      </c>
      <c r="AA509" s="126">
        <v>1</v>
      </c>
      <c r="AB509" s="126">
        <v>2</v>
      </c>
      <c r="AC509" s="126">
        <v>6</v>
      </c>
      <c r="AD509" s="126">
        <v>2026</v>
      </c>
    </row>
    <row r="510" spans="3:30">
      <c r="C510" s="126">
        <v>503</v>
      </c>
      <c r="D510" s="126">
        <v>40</v>
      </c>
      <c r="E510" s="126">
        <v>10</v>
      </c>
      <c r="F510" s="126">
        <v>1</v>
      </c>
      <c r="G510" s="126">
        <v>1</v>
      </c>
      <c r="H510" s="126">
        <v>1</v>
      </c>
      <c r="I510" s="126">
        <v>1</v>
      </c>
      <c r="J510" s="126">
        <v>69</v>
      </c>
      <c r="P510" s="126">
        <v>139</v>
      </c>
      <c r="R510" s="126" t="s">
        <v>549</v>
      </c>
      <c r="S510" s="259">
        <v>0</v>
      </c>
      <c r="T510" s="259">
        <v>0.5</v>
      </c>
      <c r="U510" s="68" t="s">
        <v>1294</v>
      </c>
      <c r="V510" s="126">
        <v>1</v>
      </c>
      <c r="Z510" s="126">
        <v>1</v>
      </c>
      <c r="AA510" s="126">
        <v>1</v>
      </c>
      <c r="AB510" s="126">
        <v>2</v>
      </c>
      <c r="AC510" s="126">
        <v>6</v>
      </c>
      <c r="AD510" s="126">
        <v>2026</v>
      </c>
    </row>
    <row r="511" spans="3:30">
      <c r="C511" s="126">
        <v>504</v>
      </c>
      <c r="D511" s="126">
        <v>40</v>
      </c>
      <c r="E511" s="126">
        <v>3</v>
      </c>
      <c r="F511" s="126">
        <v>1</v>
      </c>
      <c r="G511" s="126">
        <v>1</v>
      </c>
      <c r="H511" s="126">
        <v>1</v>
      </c>
      <c r="I511" s="126">
        <v>1</v>
      </c>
      <c r="J511" s="126">
        <v>25</v>
      </c>
      <c r="M511" s="126">
        <v>180</v>
      </c>
      <c r="N511" s="126">
        <v>0</v>
      </c>
      <c r="P511" s="126">
        <v>140</v>
      </c>
      <c r="R511" s="126" t="s">
        <v>549</v>
      </c>
      <c r="S511" s="259">
        <v>0</v>
      </c>
      <c r="T511" s="259">
        <v>1.51</v>
      </c>
      <c r="U511" s="68" t="s">
        <v>1297</v>
      </c>
      <c r="V511" s="126">
        <v>1</v>
      </c>
      <c r="Z511" s="126">
        <v>1</v>
      </c>
      <c r="AA511" s="126">
        <v>1</v>
      </c>
      <c r="AB511" s="126">
        <v>2</v>
      </c>
      <c r="AC511" s="126">
        <v>6</v>
      </c>
      <c r="AD511" s="126">
        <v>2026</v>
      </c>
    </row>
    <row r="512" spans="3:30">
      <c r="C512" s="126">
        <v>505</v>
      </c>
      <c r="D512" s="126">
        <v>40</v>
      </c>
      <c r="E512" s="126">
        <v>11</v>
      </c>
      <c r="F512" s="126">
        <v>1</v>
      </c>
      <c r="G512" s="126">
        <v>1</v>
      </c>
      <c r="H512" s="126">
        <v>1</v>
      </c>
      <c r="I512" s="126">
        <v>1</v>
      </c>
      <c r="J512" s="126">
        <v>25</v>
      </c>
      <c r="M512" s="126">
        <v>180</v>
      </c>
      <c r="N512" s="126">
        <v>1</v>
      </c>
      <c r="P512" s="126">
        <v>140</v>
      </c>
      <c r="R512" s="126" t="s">
        <v>549</v>
      </c>
      <c r="S512" s="259">
        <v>1.51</v>
      </c>
      <c r="T512" s="259">
        <v>0</v>
      </c>
      <c r="U512" s="68" t="s">
        <v>1298</v>
      </c>
      <c r="V512" s="126">
        <v>1</v>
      </c>
      <c r="Z512" s="126">
        <v>1</v>
      </c>
      <c r="AA512" s="126">
        <v>1</v>
      </c>
      <c r="AB512" s="126">
        <v>2</v>
      </c>
      <c r="AC512" s="126">
        <v>6</v>
      </c>
      <c r="AD512" s="126">
        <v>2026</v>
      </c>
    </row>
    <row r="513" spans="3:30">
      <c r="C513" s="126">
        <v>506</v>
      </c>
      <c r="D513" s="126">
        <v>40</v>
      </c>
      <c r="E513" s="126">
        <v>10</v>
      </c>
      <c r="F513" s="126">
        <v>1</v>
      </c>
      <c r="G513" s="126">
        <v>1</v>
      </c>
      <c r="H513" s="126">
        <v>1</v>
      </c>
      <c r="I513" s="126">
        <v>1</v>
      </c>
      <c r="J513" s="126">
        <v>25</v>
      </c>
      <c r="P513" s="126">
        <v>140</v>
      </c>
      <c r="R513" s="126" t="s">
        <v>549</v>
      </c>
      <c r="S513" s="259">
        <v>0</v>
      </c>
      <c r="T513" s="259">
        <v>2</v>
      </c>
      <c r="U513" s="68" t="s">
        <v>1299</v>
      </c>
      <c r="V513" s="126">
        <v>1</v>
      </c>
      <c r="Z513" s="126">
        <v>1</v>
      </c>
      <c r="AA513" s="126">
        <v>1</v>
      </c>
      <c r="AB513" s="126">
        <v>2</v>
      </c>
      <c r="AC513" s="126">
        <v>6</v>
      </c>
      <c r="AD513" s="126">
        <v>2026</v>
      </c>
    </row>
    <row r="514" spans="3:30">
      <c r="C514" s="126">
        <v>507</v>
      </c>
      <c r="D514" s="126">
        <v>40</v>
      </c>
      <c r="E514" s="126">
        <v>3</v>
      </c>
      <c r="F514" s="126">
        <v>1</v>
      </c>
      <c r="G514" s="126">
        <v>1</v>
      </c>
      <c r="H514" s="126">
        <v>1</v>
      </c>
      <c r="I514" s="126">
        <v>1</v>
      </c>
      <c r="J514" s="126">
        <v>7</v>
      </c>
      <c r="M514" s="126">
        <v>181</v>
      </c>
      <c r="N514" s="126">
        <v>0</v>
      </c>
      <c r="P514" s="126">
        <v>141</v>
      </c>
      <c r="R514" s="126" t="s">
        <v>549</v>
      </c>
      <c r="S514" s="259">
        <v>0</v>
      </c>
      <c r="T514" s="259">
        <v>1.79</v>
      </c>
      <c r="U514" s="68" t="s">
        <v>1300</v>
      </c>
      <c r="V514" s="126">
        <v>1</v>
      </c>
      <c r="Z514" s="126">
        <v>1</v>
      </c>
      <c r="AA514" s="126">
        <v>1</v>
      </c>
      <c r="AB514" s="126">
        <v>2</v>
      </c>
      <c r="AC514" s="126">
        <v>6</v>
      </c>
      <c r="AD514" s="126">
        <v>2026</v>
      </c>
    </row>
    <row r="515" spans="3:30">
      <c r="C515" s="126">
        <v>508</v>
      </c>
      <c r="D515" s="126">
        <v>40</v>
      </c>
      <c r="E515" s="126">
        <v>11</v>
      </c>
      <c r="F515" s="126">
        <v>1</v>
      </c>
      <c r="G515" s="126">
        <v>1</v>
      </c>
      <c r="H515" s="126">
        <v>1</v>
      </c>
      <c r="I515" s="126">
        <v>1</v>
      </c>
      <c r="J515" s="126">
        <v>7</v>
      </c>
      <c r="M515" s="126">
        <v>181</v>
      </c>
      <c r="N515" s="126">
        <v>1</v>
      </c>
      <c r="P515" s="126">
        <v>141</v>
      </c>
      <c r="R515" s="126" t="s">
        <v>549</v>
      </c>
      <c r="S515" s="259">
        <v>1.79</v>
      </c>
      <c r="T515" s="259">
        <v>0</v>
      </c>
      <c r="U515" s="68" t="s">
        <v>1301</v>
      </c>
      <c r="V515" s="126">
        <v>1</v>
      </c>
      <c r="Z515" s="126">
        <v>1</v>
      </c>
      <c r="AA515" s="126">
        <v>1</v>
      </c>
      <c r="AB515" s="126">
        <v>2</v>
      </c>
      <c r="AC515" s="126">
        <v>6</v>
      </c>
      <c r="AD515" s="126">
        <v>2026</v>
      </c>
    </row>
    <row r="516" spans="3:30">
      <c r="C516" s="126">
        <v>509</v>
      </c>
      <c r="D516" s="126">
        <v>40</v>
      </c>
      <c r="E516" s="126">
        <v>10</v>
      </c>
      <c r="F516" s="126">
        <v>1</v>
      </c>
      <c r="G516" s="126">
        <v>1</v>
      </c>
      <c r="H516" s="126">
        <v>1</v>
      </c>
      <c r="I516" s="126">
        <v>1</v>
      </c>
      <c r="J516" s="126">
        <v>7</v>
      </c>
      <c r="P516" s="126">
        <v>141</v>
      </c>
      <c r="R516" s="126" t="s">
        <v>549</v>
      </c>
      <c r="S516" s="259">
        <v>0</v>
      </c>
      <c r="T516" s="259">
        <v>2.5</v>
      </c>
      <c r="U516" s="68" t="s">
        <v>1302</v>
      </c>
      <c r="V516" s="126">
        <v>1</v>
      </c>
      <c r="Z516" s="126">
        <v>1</v>
      </c>
      <c r="AA516" s="126">
        <v>1</v>
      </c>
      <c r="AB516" s="126">
        <v>2</v>
      </c>
      <c r="AC516" s="126">
        <v>6</v>
      </c>
      <c r="AD516" s="126">
        <v>2026</v>
      </c>
    </row>
    <row r="517" spans="3:30">
      <c r="C517" s="126">
        <v>510</v>
      </c>
      <c r="D517" s="126">
        <v>40</v>
      </c>
      <c r="E517" s="126">
        <v>3</v>
      </c>
      <c r="F517" s="126">
        <v>1</v>
      </c>
      <c r="G517" s="126">
        <v>1</v>
      </c>
      <c r="H517" s="126">
        <v>1</v>
      </c>
      <c r="I517" s="126">
        <v>1</v>
      </c>
      <c r="J517" s="126">
        <v>73</v>
      </c>
      <c r="M517" s="126">
        <v>182</v>
      </c>
      <c r="N517" s="126">
        <v>0</v>
      </c>
      <c r="P517" s="126">
        <v>142</v>
      </c>
      <c r="R517" s="126" t="s">
        <v>549</v>
      </c>
      <c r="S517" s="259">
        <v>0</v>
      </c>
      <c r="T517" s="259">
        <v>0.34</v>
      </c>
      <c r="U517" s="68" t="s">
        <v>1305</v>
      </c>
      <c r="V517" s="126">
        <v>1</v>
      </c>
      <c r="Z517" s="126">
        <v>1</v>
      </c>
      <c r="AA517" s="126">
        <v>1</v>
      </c>
      <c r="AB517" s="126">
        <v>2</v>
      </c>
      <c r="AC517" s="126">
        <v>6</v>
      </c>
      <c r="AD517" s="126">
        <v>2026</v>
      </c>
    </row>
    <row r="518" spans="3:30">
      <c r="C518" s="126">
        <v>511</v>
      </c>
      <c r="D518" s="126">
        <v>40</v>
      </c>
      <c r="E518" s="126">
        <v>11</v>
      </c>
      <c r="F518" s="126">
        <v>1</v>
      </c>
      <c r="G518" s="126">
        <v>1</v>
      </c>
      <c r="H518" s="126">
        <v>1</v>
      </c>
      <c r="I518" s="126">
        <v>1</v>
      </c>
      <c r="J518" s="126">
        <v>73</v>
      </c>
      <c r="M518" s="126">
        <v>182</v>
      </c>
      <c r="N518" s="126">
        <v>1</v>
      </c>
      <c r="P518" s="126">
        <v>142</v>
      </c>
      <c r="R518" s="126" t="s">
        <v>549</v>
      </c>
      <c r="S518" s="259">
        <v>0.34</v>
      </c>
      <c r="T518" s="259">
        <v>0</v>
      </c>
      <c r="U518" s="68" t="s">
        <v>1306</v>
      </c>
      <c r="V518" s="126">
        <v>1</v>
      </c>
      <c r="Z518" s="126">
        <v>1</v>
      </c>
      <c r="AA518" s="126">
        <v>1</v>
      </c>
      <c r="AB518" s="126">
        <v>2</v>
      </c>
      <c r="AC518" s="126">
        <v>6</v>
      </c>
      <c r="AD518" s="126">
        <v>2026</v>
      </c>
    </row>
    <row r="519" spans="3:30">
      <c r="C519" s="126">
        <v>512</v>
      </c>
      <c r="D519" s="126">
        <v>40</v>
      </c>
      <c r="E519" s="126">
        <v>10</v>
      </c>
      <c r="F519" s="126">
        <v>1</v>
      </c>
      <c r="G519" s="126">
        <v>1</v>
      </c>
      <c r="H519" s="126">
        <v>1</v>
      </c>
      <c r="I519" s="126">
        <v>1</v>
      </c>
      <c r="J519" s="126">
        <v>73</v>
      </c>
      <c r="P519" s="126">
        <v>142</v>
      </c>
      <c r="R519" s="126" t="s">
        <v>549</v>
      </c>
      <c r="S519" s="259">
        <v>0</v>
      </c>
      <c r="T519" s="259">
        <v>0.5</v>
      </c>
      <c r="U519" s="68" t="s">
        <v>1307</v>
      </c>
      <c r="V519" s="126">
        <v>1</v>
      </c>
      <c r="Z519" s="126">
        <v>1</v>
      </c>
      <c r="AA519" s="126">
        <v>1</v>
      </c>
      <c r="AB519" s="126">
        <v>2</v>
      </c>
      <c r="AC519" s="126">
        <v>6</v>
      </c>
      <c r="AD519" s="126">
        <v>2026</v>
      </c>
    </row>
    <row r="520" spans="3:30">
      <c r="C520" s="126">
        <v>513</v>
      </c>
      <c r="D520" s="126">
        <v>40</v>
      </c>
      <c r="E520" s="126">
        <v>3</v>
      </c>
      <c r="F520" s="126">
        <v>1</v>
      </c>
      <c r="G520" s="126">
        <v>1</v>
      </c>
      <c r="H520" s="126">
        <v>1</v>
      </c>
      <c r="I520" s="126">
        <v>1</v>
      </c>
      <c r="J520" s="126">
        <v>108</v>
      </c>
      <c r="M520" s="126">
        <v>183</v>
      </c>
      <c r="N520" s="126">
        <v>0</v>
      </c>
      <c r="P520" s="126">
        <v>143</v>
      </c>
      <c r="R520" s="126" t="s">
        <v>549</v>
      </c>
      <c r="S520" s="259">
        <v>0</v>
      </c>
      <c r="T520" s="259">
        <v>2.7</v>
      </c>
      <c r="U520" s="68" t="s">
        <v>1308</v>
      </c>
      <c r="V520" s="126">
        <v>1</v>
      </c>
      <c r="Z520" s="126">
        <v>1</v>
      </c>
      <c r="AA520" s="126">
        <v>1</v>
      </c>
      <c r="AB520" s="126">
        <v>2</v>
      </c>
      <c r="AC520" s="126">
        <v>6</v>
      </c>
      <c r="AD520" s="126">
        <v>2026</v>
      </c>
    </row>
    <row r="521" spans="3:30">
      <c r="C521" s="126">
        <v>514</v>
      </c>
      <c r="D521" s="126">
        <v>40</v>
      </c>
      <c r="E521" s="126">
        <v>11</v>
      </c>
      <c r="F521" s="126">
        <v>1</v>
      </c>
      <c r="G521" s="126">
        <v>1</v>
      </c>
      <c r="H521" s="126">
        <v>1</v>
      </c>
      <c r="I521" s="126">
        <v>1</v>
      </c>
      <c r="J521" s="126">
        <v>108</v>
      </c>
      <c r="M521" s="126">
        <v>183</v>
      </c>
      <c r="N521" s="126">
        <v>1</v>
      </c>
      <c r="P521" s="126">
        <v>143</v>
      </c>
      <c r="R521" s="126" t="s">
        <v>549</v>
      </c>
      <c r="S521" s="259">
        <v>2.7</v>
      </c>
      <c r="T521" s="259">
        <v>0</v>
      </c>
      <c r="U521" s="68" t="s">
        <v>1309</v>
      </c>
      <c r="V521" s="126">
        <v>1</v>
      </c>
      <c r="Z521" s="126">
        <v>1</v>
      </c>
      <c r="AA521" s="126">
        <v>1</v>
      </c>
      <c r="AB521" s="126">
        <v>2</v>
      </c>
      <c r="AC521" s="126">
        <v>6</v>
      </c>
      <c r="AD521" s="126">
        <v>2026</v>
      </c>
    </row>
    <row r="522" spans="3:30">
      <c r="C522" s="126">
        <v>515</v>
      </c>
      <c r="D522" s="126">
        <v>40</v>
      </c>
      <c r="E522" s="126">
        <v>10</v>
      </c>
      <c r="F522" s="126">
        <v>1</v>
      </c>
      <c r="G522" s="126">
        <v>1</v>
      </c>
      <c r="H522" s="126">
        <v>1</v>
      </c>
      <c r="I522" s="126">
        <v>1</v>
      </c>
      <c r="J522" s="126">
        <v>108</v>
      </c>
      <c r="P522" s="126">
        <v>143</v>
      </c>
      <c r="R522" s="126" t="s">
        <v>549</v>
      </c>
      <c r="S522" s="259">
        <v>0</v>
      </c>
      <c r="T522" s="259">
        <v>3</v>
      </c>
      <c r="U522" s="68" t="s">
        <v>1310</v>
      </c>
      <c r="V522" s="126">
        <v>1</v>
      </c>
      <c r="Z522" s="126">
        <v>1</v>
      </c>
      <c r="AA522" s="126">
        <v>1</v>
      </c>
      <c r="AB522" s="126">
        <v>2</v>
      </c>
      <c r="AC522" s="126">
        <v>6</v>
      </c>
      <c r="AD522" s="126">
        <v>2026</v>
      </c>
    </row>
    <row r="523" spans="3:30">
      <c r="C523" s="126">
        <v>516</v>
      </c>
      <c r="D523" s="126">
        <v>41</v>
      </c>
      <c r="E523" s="126">
        <v>2</v>
      </c>
      <c r="F523" s="126">
        <v>1</v>
      </c>
      <c r="G523" s="126">
        <v>1</v>
      </c>
      <c r="H523" s="126">
        <v>1</v>
      </c>
      <c r="I523" s="126">
        <v>1</v>
      </c>
      <c r="R523" s="126" t="s">
        <v>549</v>
      </c>
      <c r="S523" s="259">
        <v>41</v>
      </c>
      <c r="T523" s="259">
        <v>0</v>
      </c>
      <c r="U523" s="68" t="s">
        <v>1312</v>
      </c>
      <c r="V523" s="126">
        <v>1</v>
      </c>
      <c r="Z523" s="126">
        <v>1</v>
      </c>
      <c r="AA523" s="126">
        <v>1</v>
      </c>
      <c r="AB523" s="126">
        <v>2</v>
      </c>
      <c r="AC523" s="126">
        <v>6</v>
      </c>
      <c r="AD523" s="126">
        <v>2026</v>
      </c>
    </row>
    <row r="524" spans="3:30">
      <c r="C524" s="126">
        <v>517</v>
      </c>
      <c r="D524" s="126">
        <v>41</v>
      </c>
      <c r="E524" s="126">
        <v>3</v>
      </c>
      <c r="F524" s="126">
        <v>1</v>
      </c>
      <c r="G524" s="126">
        <v>1</v>
      </c>
      <c r="H524" s="126">
        <v>1</v>
      </c>
      <c r="I524" s="126">
        <v>1</v>
      </c>
      <c r="J524" s="126">
        <v>92</v>
      </c>
      <c r="M524" s="126">
        <v>184</v>
      </c>
      <c r="N524" s="126">
        <v>0</v>
      </c>
      <c r="P524" s="126">
        <v>144</v>
      </c>
      <c r="R524" s="126" t="s">
        <v>549</v>
      </c>
      <c r="S524" s="259">
        <v>0</v>
      </c>
      <c r="T524" s="259">
        <v>15.600000000000001</v>
      </c>
      <c r="U524" s="68" t="s">
        <v>1315</v>
      </c>
      <c r="V524" s="126">
        <v>1</v>
      </c>
      <c r="Z524" s="126">
        <v>1</v>
      </c>
      <c r="AA524" s="126">
        <v>1</v>
      </c>
      <c r="AB524" s="126">
        <v>2</v>
      </c>
      <c r="AC524" s="126">
        <v>6</v>
      </c>
      <c r="AD524" s="126">
        <v>2026</v>
      </c>
    </row>
    <row r="525" spans="3:30">
      <c r="C525" s="126">
        <v>518</v>
      </c>
      <c r="D525" s="126">
        <v>41</v>
      </c>
      <c r="E525" s="126">
        <v>11</v>
      </c>
      <c r="F525" s="126">
        <v>1</v>
      </c>
      <c r="G525" s="126">
        <v>1</v>
      </c>
      <c r="H525" s="126">
        <v>1</v>
      </c>
      <c r="I525" s="126">
        <v>1</v>
      </c>
      <c r="J525" s="126">
        <v>92</v>
      </c>
      <c r="M525" s="126">
        <v>184</v>
      </c>
      <c r="N525" s="126">
        <v>1</v>
      </c>
      <c r="P525" s="126">
        <v>144</v>
      </c>
      <c r="R525" s="126" t="s">
        <v>549</v>
      </c>
      <c r="S525" s="259">
        <v>15.600000000000001</v>
      </c>
      <c r="T525" s="259">
        <v>0</v>
      </c>
      <c r="U525" s="68" t="s">
        <v>1316</v>
      </c>
      <c r="V525" s="126">
        <v>1</v>
      </c>
      <c r="Z525" s="126">
        <v>1</v>
      </c>
      <c r="AA525" s="126">
        <v>1</v>
      </c>
      <c r="AB525" s="126">
        <v>2</v>
      </c>
      <c r="AC525" s="126">
        <v>6</v>
      </c>
      <c r="AD525" s="126">
        <v>2026</v>
      </c>
    </row>
    <row r="526" spans="3:30">
      <c r="C526" s="126">
        <v>519</v>
      </c>
      <c r="D526" s="126">
        <v>41</v>
      </c>
      <c r="E526" s="126">
        <v>10</v>
      </c>
      <c r="F526" s="126">
        <v>1</v>
      </c>
      <c r="G526" s="126">
        <v>1</v>
      </c>
      <c r="H526" s="126">
        <v>1</v>
      </c>
      <c r="I526" s="126">
        <v>1</v>
      </c>
      <c r="J526" s="126">
        <v>92</v>
      </c>
      <c r="P526" s="126">
        <v>144</v>
      </c>
      <c r="R526" s="126" t="s">
        <v>549</v>
      </c>
      <c r="S526" s="259">
        <v>0</v>
      </c>
      <c r="T526" s="259">
        <v>27.6</v>
      </c>
      <c r="U526" s="68" t="s">
        <v>1317</v>
      </c>
      <c r="V526" s="126">
        <v>1</v>
      </c>
      <c r="Z526" s="126">
        <v>1</v>
      </c>
      <c r="AA526" s="126">
        <v>1</v>
      </c>
      <c r="AB526" s="126">
        <v>2</v>
      </c>
      <c r="AC526" s="126">
        <v>6</v>
      </c>
      <c r="AD526" s="126">
        <v>2026</v>
      </c>
    </row>
    <row r="527" spans="3:30">
      <c r="C527" s="126">
        <v>520</v>
      </c>
      <c r="D527" s="126">
        <v>41</v>
      </c>
      <c r="E527" s="126">
        <v>3</v>
      </c>
      <c r="F527" s="126">
        <v>1</v>
      </c>
      <c r="G527" s="126">
        <v>1</v>
      </c>
      <c r="H527" s="126">
        <v>1</v>
      </c>
      <c r="I527" s="126">
        <v>1</v>
      </c>
      <c r="J527" s="126">
        <v>50</v>
      </c>
      <c r="M527" s="126">
        <v>185</v>
      </c>
      <c r="N527" s="126">
        <v>0</v>
      </c>
      <c r="P527" s="126">
        <v>145</v>
      </c>
      <c r="R527" s="126" t="s">
        <v>549</v>
      </c>
      <c r="S527" s="259">
        <v>0</v>
      </c>
      <c r="T527" s="259">
        <v>3.5999999999999996</v>
      </c>
      <c r="U527" s="68" t="s">
        <v>1318</v>
      </c>
      <c r="V527" s="126">
        <v>1</v>
      </c>
      <c r="Z527" s="126">
        <v>1</v>
      </c>
      <c r="AA527" s="126">
        <v>1</v>
      </c>
      <c r="AB527" s="126">
        <v>2</v>
      </c>
      <c r="AC527" s="126">
        <v>6</v>
      </c>
      <c r="AD527" s="126">
        <v>2026</v>
      </c>
    </row>
    <row r="528" spans="3:30">
      <c r="C528" s="126">
        <v>521</v>
      </c>
      <c r="D528" s="126">
        <v>41</v>
      </c>
      <c r="E528" s="126">
        <v>11</v>
      </c>
      <c r="F528" s="126">
        <v>1</v>
      </c>
      <c r="G528" s="126">
        <v>1</v>
      </c>
      <c r="H528" s="126">
        <v>1</v>
      </c>
      <c r="I528" s="126">
        <v>1</v>
      </c>
      <c r="J528" s="126">
        <v>50</v>
      </c>
      <c r="M528" s="126">
        <v>185</v>
      </c>
      <c r="N528" s="126">
        <v>1</v>
      </c>
      <c r="P528" s="126">
        <v>145</v>
      </c>
      <c r="R528" s="126" t="s">
        <v>549</v>
      </c>
      <c r="S528" s="259">
        <v>3.5999999999999996</v>
      </c>
      <c r="T528" s="259">
        <v>0</v>
      </c>
      <c r="U528" s="68" t="s">
        <v>1319</v>
      </c>
      <c r="V528" s="126">
        <v>1</v>
      </c>
      <c r="Z528" s="126">
        <v>1</v>
      </c>
      <c r="AA528" s="126">
        <v>1</v>
      </c>
      <c r="AB528" s="126">
        <v>2</v>
      </c>
      <c r="AC528" s="126">
        <v>6</v>
      </c>
      <c r="AD528" s="126">
        <v>2026</v>
      </c>
    </row>
    <row r="529" spans="3:30">
      <c r="C529" s="126">
        <v>522</v>
      </c>
      <c r="D529" s="126">
        <v>41</v>
      </c>
      <c r="E529" s="126">
        <v>10</v>
      </c>
      <c r="F529" s="126">
        <v>1</v>
      </c>
      <c r="G529" s="126">
        <v>1</v>
      </c>
      <c r="H529" s="126">
        <v>1</v>
      </c>
      <c r="I529" s="126">
        <v>1</v>
      </c>
      <c r="J529" s="126">
        <v>50</v>
      </c>
      <c r="P529" s="126">
        <v>145</v>
      </c>
      <c r="R529" s="126" t="s">
        <v>549</v>
      </c>
      <c r="S529" s="259">
        <v>0</v>
      </c>
      <c r="T529" s="259">
        <v>7.5</v>
      </c>
      <c r="U529" s="68" t="s">
        <v>1320</v>
      </c>
      <c r="V529" s="126">
        <v>1</v>
      </c>
      <c r="Z529" s="126">
        <v>1</v>
      </c>
      <c r="AA529" s="126">
        <v>1</v>
      </c>
      <c r="AB529" s="126">
        <v>2</v>
      </c>
      <c r="AC529" s="126">
        <v>6</v>
      </c>
      <c r="AD529" s="126">
        <v>2026</v>
      </c>
    </row>
    <row r="530" spans="3:30">
      <c r="C530" s="126">
        <v>523</v>
      </c>
      <c r="D530" s="126">
        <v>41</v>
      </c>
      <c r="E530" s="126">
        <v>10</v>
      </c>
      <c r="F530" s="126">
        <v>1</v>
      </c>
      <c r="G530" s="126">
        <v>1</v>
      </c>
      <c r="H530" s="126">
        <v>1</v>
      </c>
      <c r="I530" s="126">
        <v>1</v>
      </c>
      <c r="J530" s="126">
        <v>101</v>
      </c>
      <c r="P530" s="126">
        <v>146</v>
      </c>
      <c r="R530" s="126" t="s">
        <v>549</v>
      </c>
      <c r="S530" s="259">
        <v>0</v>
      </c>
      <c r="T530" s="259">
        <v>1</v>
      </c>
      <c r="U530" s="68" t="s">
        <v>1322</v>
      </c>
      <c r="V530" s="126">
        <v>1</v>
      </c>
      <c r="Z530" s="126">
        <v>1</v>
      </c>
      <c r="AA530" s="126">
        <v>1</v>
      </c>
      <c r="AB530" s="126">
        <v>2</v>
      </c>
      <c r="AC530" s="126">
        <v>6</v>
      </c>
      <c r="AD530" s="126">
        <v>2026</v>
      </c>
    </row>
    <row r="531" spans="3:30">
      <c r="C531" s="126">
        <v>524</v>
      </c>
      <c r="D531" s="126">
        <v>41</v>
      </c>
      <c r="E531" s="126">
        <v>3</v>
      </c>
      <c r="F531" s="126">
        <v>1</v>
      </c>
      <c r="G531" s="126">
        <v>1</v>
      </c>
      <c r="H531" s="126">
        <v>1</v>
      </c>
      <c r="I531" s="126">
        <v>1</v>
      </c>
      <c r="J531" s="126">
        <v>94</v>
      </c>
      <c r="M531" s="126">
        <v>187</v>
      </c>
      <c r="N531" s="126">
        <v>0</v>
      </c>
      <c r="P531" s="126">
        <v>147</v>
      </c>
      <c r="R531" s="126" t="s">
        <v>549</v>
      </c>
      <c r="S531" s="259">
        <v>0</v>
      </c>
      <c r="T531" s="259">
        <v>4</v>
      </c>
      <c r="U531" s="68" t="s">
        <v>1325</v>
      </c>
      <c r="V531" s="126">
        <v>1</v>
      </c>
      <c r="Z531" s="126">
        <v>1</v>
      </c>
      <c r="AA531" s="126">
        <v>1</v>
      </c>
      <c r="AB531" s="126">
        <v>2</v>
      </c>
      <c r="AC531" s="126">
        <v>6</v>
      </c>
      <c r="AD531" s="126">
        <v>2026</v>
      </c>
    </row>
    <row r="532" spans="3:30">
      <c r="C532" s="126">
        <v>525</v>
      </c>
      <c r="D532" s="126">
        <v>41</v>
      </c>
      <c r="E532" s="126">
        <v>11</v>
      </c>
      <c r="F532" s="126">
        <v>1</v>
      </c>
      <c r="G532" s="126">
        <v>1</v>
      </c>
      <c r="H532" s="126">
        <v>1</v>
      </c>
      <c r="I532" s="126">
        <v>1</v>
      </c>
      <c r="J532" s="126">
        <v>94</v>
      </c>
      <c r="M532" s="126">
        <v>187</v>
      </c>
      <c r="N532" s="126">
        <v>1</v>
      </c>
      <c r="P532" s="126">
        <v>147</v>
      </c>
      <c r="R532" s="126" t="s">
        <v>549</v>
      </c>
      <c r="S532" s="259">
        <v>4</v>
      </c>
      <c r="T532" s="259">
        <v>0</v>
      </c>
      <c r="U532" s="68" t="s">
        <v>1326</v>
      </c>
      <c r="V532" s="126">
        <v>1</v>
      </c>
      <c r="Z532" s="126">
        <v>1</v>
      </c>
      <c r="AA532" s="126">
        <v>1</v>
      </c>
      <c r="AB532" s="126">
        <v>2</v>
      </c>
      <c r="AC532" s="126">
        <v>6</v>
      </c>
      <c r="AD532" s="126">
        <v>2026</v>
      </c>
    </row>
    <row r="533" spans="3:30">
      <c r="C533" s="126">
        <v>526</v>
      </c>
      <c r="D533" s="126">
        <v>41</v>
      </c>
      <c r="E533" s="126">
        <v>10</v>
      </c>
      <c r="F533" s="126">
        <v>1</v>
      </c>
      <c r="G533" s="126">
        <v>1</v>
      </c>
      <c r="H533" s="126">
        <v>1</v>
      </c>
      <c r="I533" s="126">
        <v>1</v>
      </c>
      <c r="J533" s="126">
        <v>94</v>
      </c>
      <c r="P533" s="126">
        <v>147</v>
      </c>
      <c r="R533" s="126" t="s">
        <v>549</v>
      </c>
      <c r="S533" s="259">
        <v>0</v>
      </c>
      <c r="T533" s="259">
        <v>5.2</v>
      </c>
      <c r="U533" s="68" t="s">
        <v>1327</v>
      </c>
      <c r="V533" s="126">
        <v>1</v>
      </c>
      <c r="Z533" s="126">
        <v>1</v>
      </c>
      <c r="AA533" s="126">
        <v>1</v>
      </c>
      <c r="AB533" s="126">
        <v>2</v>
      </c>
      <c r="AC533" s="126">
        <v>6</v>
      </c>
      <c r="AD533" s="126">
        <v>2026</v>
      </c>
    </row>
    <row r="534" spans="3:30">
      <c r="C534" s="126">
        <v>527</v>
      </c>
      <c r="D534" s="126">
        <v>42</v>
      </c>
      <c r="E534" s="126">
        <v>2</v>
      </c>
      <c r="F534" s="126">
        <v>1</v>
      </c>
      <c r="G534" s="126">
        <v>1</v>
      </c>
      <c r="H534" s="126">
        <v>1</v>
      </c>
      <c r="I534" s="126">
        <v>1</v>
      </c>
      <c r="R534" s="126" t="s">
        <v>549</v>
      </c>
      <c r="S534" s="259">
        <v>67.5</v>
      </c>
      <c r="T534" s="259">
        <v>0</v>
      </c>
      <c r="U534" s="68" t="s">
        <v>1330</v>
      </c>
      <c r="V534" s="126">
        <v>1</v>
      </c>
      <c r="Z534" s="126">
        <v>1</v>
      </c>
      <c r="AA534" s="126">
        <v>1</v>
      </c>
      <c r="AB534" s="126">
        <v>2</v>
      </c>
      <c r="AC534" s="126">
        <v>6</v>
      </c>
      <c r="AD534" s="126">
        <v>2026</v>
      </c>
    </row>
    <row r="535" spans="3:30">
      <c r="C535" s="126">
        <v>528</v>
      </c>
      <c r="D535" s="126">
        <v>42</v>
      </c>
      <c r="E535" s="126">
        <v>3</v>
      </c>
      <c r="F535" s="126">
        <v>1</v>
      </c>
      <c r="G535" s="126">
        <v>1</v>
      </c>
      <c r="H535" s="126">
        <v>1</v>
      </c>
      <c r="I535" s="126">
        <v>1</v>
      </c>
      <c r="J535" s="126">
        <v>177</v>
      </c>
      <c r="M535" s="126">
        <v>188</v>
      </c>
      <c r="N535" s="126">
        <v>0</v>
      </c>
      <c r="P535" s="126">
        <v>148</v>
      </c>
      <c r="R535" s="126" t="s">
        <v>549</v>
      </c>
      <c r="S535" s="259">
        <v>0</v>
      </c>
      <c r="T535" s="259">
        <v>62.250000000000007</v>
      </c>
      <c r="U535" s="68" t="s">
        <v>1331</v>
      </c>
      <c r="V535" s="126">
        <v>1</v>
      </c>
      <c r="Z535" s="126">
        <v>1</v>
      </c>
      <c r="AA535" s="126">
        <v>1</v>
      </c>
      <c r="AB535" s="126">
        <v>2</v>
      </c>
      <c r="AC535" s="126">
        <v>6</v>
      </c>
      <c r="AD535" s="126">
        <v>2026</v>
      </c>
    </row>
    <row r="536" spans="3:30">
      <c r="C536" s="126">
        <v>529</v>
      </c>
      <c r="D536" s="126">
        <v>42</v>
      </c>
      <c r="E536" s="126">
        <v>11</v>
      </c>
      <c r="F536" s="126">
        <v>1</v>
      </c>
      <c r="G536" s="126">
        <v>1</v>
      </c>
      <c r="H536" s="126">
        <v>1</v>
      </c>
      <c r="I536" s="126">
        <v>1</v>
      </c>
      <c r="J536" s="126">
        <v>177</v>
      </c>
      <c r="M536" s="126">
        <v>188</v>
      </c>
      <c r="N536" s="126">
        <v>1</v>
      </c>
      <c r="P536" s="126">
        <v>148</v>
      </c>
      <c r="R536" s="126" t="s">
        <v>549</v>
      </c>
      <c r="S536" s="259">
        <v>62.250000000000007</v>
      </c>
      <c r="T536" s="259">
        <v>0</v>
      </c>
      <c r="U536" s="68" t="s">
        <v>1332</v>
      </c>
      <c r="V536" s="126">
        <v>1</v>
      </c>
      <c r="Z536" s="126">
        <v>1</v>
      </c>
      <c r="AA536" s="126">
        <v>1</v>
      </c>
      <c r="AB536" s="126">
        <v>2</v>
      </c>
      <c r="AC536" s="126">
        <v>6</v>
      </c>
      <c r="AD536" s="126">
        <v>2026</v>
      </c>
    </row>
    <row r="537" spans="3:30">
      <c r="C537" s="126">
        <v>530</v>
      </c>
      <c r="D537" s="126">
        <v>42</v>
      </c>
      <c r="E537" s="126">
        <v>10</v>
      </c>
      <c r="F537" s="126">
        <v>1</v>
      </c>
      <c r="G537" s="126">
        <v>1</v>
      </c>
      <c r="H537" s="126">
        <v>1</v>
      </c>
      <c r="I537" s="126">
        <v>1</v>
      </c>
      <c r="J537" s="126">
        <v>177</v>
      </c>
      <c r="P537" s="126">
        <v>148</v>
      </c>
      <c r="R537" s="126" t="s">
        <v>549</v>
      </c>
      <c r="S537" s="259">
        <v>0</v>
      </c>
      <c r="T537" s="259">
        <v>67.5</v>
      </c>
      <c r="U537" s="68" t="s">
        <v>1333</v>
      </c>
      <c r="V537" s="126">
        <v>1</v>
      </c>
      <c r="Z537" s="126">
        <v>1</v>
      </c>
      <c r="AA537" s="126">
        <v>1</v>
      </c>
      <c r="AB537" s="126">
        <v>2</v>
      </c>
      <c r="AC537" s="126">
        <v>6</v>
      </c>
      <c r="AD537" s="126">
        <v>2026</v>
      </c>
    </row>
    <row r="538" spans="3:30">
      <c r="C538" s="126">
        <v>531</v>
      </c>
      <c r="D538" s="126">
        <v>43</v>
      </c>
      <c r="E538" s="126">
        <v>2</v>
      </c>
      <c r="F538" s="126">
        <v>1</v>
      </c>
      <c r="G538" s="126">
        <v>1</v>
      </c>
      <c r="H538" s="126">
        <v>1</v>
      </c>
      <c r="I538" s="126">
        <v>1</v>
      </c>
      <c r="R538" s="126" t="s">
        <v>549</v>
      </c>
      <c r="S538" s="259">
        <v>127.5</v>
      </c>
      <c r="T538" s="259">
        <v>0</v>
      </c>
      <c r="U538" s="68" t="s">
        <v>1335</v>
      </c>
      <c r="V538" s="126">
        <v>1</v>
      </c>
      <c r="Z538" s="126">
        <v>1</v>
      </c>
      <c r="AA538" s="126">
        <v>1</v>
      </c>
      <c r="AB538" s="126">
        <v>2</v>
      </c>
      <c r="AC538" s="126">
        <v>6</v>
      </c>
      <c r="AD538" s="126">
        <v>2026</v>
      </c>
    </row>
    <row r="539" spans="3:30">
      <c r="C539" s="126">
        <v>532</v>
      </c>
      <c r="D539" s="126">
        <v>43</v>
      </c>
      <c r="E539" s="126">
        <v>3</v>
      </c>
      <c r="F539" s="126">
        <v>1</v>
      </c>
      <c r="G539" s="126">
        <v>1</v>
      </c>
      <c r="H539" s="126">
        <v>1</v>
      </c>
      <c r="I539" s="126">
        <v>1</v>
      </c>
      <c r="J539" s="126">
        <v>177</v>
      </c>
      <c r="M539" s="126">
        <v>189</v>
      </c>
      <c r="N539" s="126">
        <v>0</v>
      </c>
      <c r="P539" s="126">
        <v>149</v>
      </c>
      <c r="R539" s="126" t="s">
        <v>549</v>
      </c>
      <c r="S539" s="259">
        <v>0</v>
      </c>
      <c r="T539" s="259">
        <v>41.5</v>
      </c>
      <c r="U539" s="68" t="s">
        <v>1336</v>
      </c>
      <c r="V539" s="126">
        <v>1</v>
      </c>
      <c r="Z539" s="126">
        <v>1</v>
      </c>
      <c r="AA539" s="126">
        <v>1</v>
      </c>
      <c r="AB539" s="126">
        <v>2</v>
      </c>
      <c r="AC539" s="126">
        <v>6</v>
      </c>
      <c r="AD539" s="126">
        <v>2026</v>
      </c>
    </row>
    <row r="540" spans="3:30">
      <c r="C540" s="126">
        <v>533</v>
      </c>
      <c r="D540" s="126">
        <v>43</v>
      </c>
      <c r="E540" s="126">
        <v>11</v>
      </c>
      <c r="F540" s="126">
        <v>1</v>
      </c>
      <c r="G540" s="126">
        <v>1</v>
      </c>
      <c r="H540" s="126">
        <v>1</v>
      </c>
      <c r="I540" s="126">
        <v>1</v>
      </c>
      <c r="J540" s="126">
        <v>177</v>
      </c>
      <c r="M540" s="126">
        <v>189</v>
      </c>
      <c r="N540" s="126">
        <v>1</v>
      </c>
      <c r="P540" s="126">
        <v>149</v>
      </c>
      <c r="R540" s="126" t="s">
        <v>549</v>
      </c>
      <c r="S540" s="259">
        <v>41.5</v>
      </c>
      <c r="T540" s="259">
        <v>0</v>
      </c>
      <c r="U540" s="68" t="s">
        <v>1337</v>
      </c>
      <c r="V540" s="126">
        <v>1</v>
      </c>
      <c r="Z540" s="126">
        <v>1</v>
      </c>
      <c r="AA540" s="126">
        <v>1</v>
      </c>
      <c r="AB540" s="126">
        <v>2</v>
      </c>
      <c r="AC540" s="126">
        <v>6</v>
      </c>
      <c r="AD540" s="126">
        <v>2026</v>
      </c>
    </row>
    <row r="541" spans="3:30">
      <c r="C541" s="126">
        <v>534</v>
      </c>
      <c r="D541" s="126">
        <v>43</v>
      </c>
      <c r="E541" s="126">
        <v>10</v>
      </c>
      <c r="F541" s="126">
        <v>1</v>
      </c>
      <c r="G541" s="126">
        <v>1</v>
      </c>
      <c r="H541" s="126">
        <v>1</v>
      </c>
      <c r="I541" s="126">
        <v>1</v>
      </c>
      <c r="J541" s="126">
        <v>177</v>
      </c>
      <c r="P541" s="126">
        <v>149</v>
      </c>
      <c r="R541" s="126" t="s">
        <v>549</v>
      </c>
      <c r="S541" s="259">
        <v>0</v>
      </c>
      <c r="T541" s="259">
        <v>47.5</v>
      </c>
      <c r="U541" s="68" t="s">
        <v>1338</v>
      </c>
      <c r="V541" s="126">
        <v>1</v>
      </c>
      <c r="Z541" s="126">
        <v>1</v>
      </c>
      <c r="AA541" s="126">
        <v>1</v>
      </c>
      <c r="AB541" s="126">
        <v>2</v>
      </c>
      <c r="AC541" s="126">
        <v>6</v>
      </c>
      <c r="AD541" s="126">
        <v>2026</v>
      </c>
    </row>
    <row r="542" spans="3:30">
      <c r="C542" s="126">
        <v>535</v>
      </c>
      <c r="D542" s="126">
        <v>43</v>
      </c>
      <c r="E542" s="126">
        <v>3</v>
      </c>
      <c r="F542" s="126">
        <v>1</v>
      </c>
      <c r="G542" s="126">
        <v>1</v>
      </c>
      <c r="H542" s="126">
        <v>1</v>
      </c>
      <c r="I542" s="126">
        <v>1</v>
      </c>
      <c r="J542" s="126">
        <v>51</v>
      </c>
      <c r="M542" s="126">
        <v>190</v>
      </c>
      <c r="N542" s="126">
        <v>0</v>
      </c>
      <c r="P542" s="126">
        <v>150</v>
      </c>
      <c r="R542" s="126" t="s">
        <v>549</v>
      </c>
      <c r="S542" s="259">
        <v>0</v>
      </c>
      <c r="T542" s="259">
        <v>13.47</v>
      </c>
      <c r="U542" s="68" t="s">
        <v>1341</v>
      </c>
      <c r="V542" s="126">
        <v>1</v>
      </c>
      <c r="Z542" s="126">
        <v>1</v>
      </c>
      <c r="AA542" s="126">
        <v>1</v>
      </c>
      <c r="AB542" s="126">
        <v>2</v>
      </c>
      <c r="AC542" s="126">
        <v>6</v>
      </c>
      <c r="AD542" s="126">
        <v>2026</v>
      </c>
    </row>
    <row r="543" spans="3:30">
      <c r="C543" s="126">
        <v>536</v>
      </c>
      <c r="D543" s="126">
        <v>43</v>
      </c>
      <c r="E543" s="126">
        <v>11</v>
      </c>
      <c r="F543" s="126">
        <v>1</v>
      </c>
      <c r="G543" s="126">
        <v>1</v>
      </c>
      <c r="H543" s="126">
        <v>1</v>
      </c>
      <c r="I543" s="126">
        <v>1</v>
      </c>
      <c r="J543" s="126">
        <v>51</v>
      </c>
      <c r="M543" s="126">
        <v>190</v>
      </c>
      <c r="N543" s="126">
        <v>1</v>
      </c>
      <c r="P543" s="126">
        <v>150</v>
      </c>
      <c r="R543" s="126" t="s">
        <v>549</v>
      </c>
      <c r="S543" s="259">
        <v>13.47</v>
      </c>
      <c r="T543" s="259">
        <v>0</v>
      </c>
      <c r="U543" s="68" t="s">
        <v>1342</v>
      </c>
      <c r="V543" s="126">
        <v>1</v>
      </c>
      <c r="Z543" s="126">
        <v>1</v>
      </c>
      <c r="AA543" s="126">
        <v>1</v>
      </c>
      <c r="AB543" s="126">
        <v>2</v>
      </c>
      <c r="AC543" s="126">
        <v>6</v>
      </c>
      <c r="AD543" s="126">
        <v>2026</v>
      </c>
    </row>
    <row r="544" spans="3:30">
      <c r="C544" s="126">
        <v>537</v>
      </c>
      <c r="D544" s="126">
        <v>43</v>
      </c>
      <c r="E544" s="126">
        <v>10</v>
      </c>
      <c r="F544" s="126">
        <v>1</v>
      </c>
      <c r="G544" s="126">
        <v>1</v>
      </c>
      <c r="H544" s="126">
        <v>1</v>
      </c>
      <c r="I544" s="126">
        <v>1</v>
      </c>
      <c r="J544" s="126">
        <v>51</v>
      </c>
      <c r="P544" s="126">
        <v>150</v>
      </c>
      <c r="R544" s="126" t="s">
        <v>549</v>
      </c>
      <c r="S544" s="259">
        <v>0</v>
      </c>
      <c r="T544" s="259">
        <v>15</v>
      </c>
      <c r="U544" s="68" t="s">
        <v>1343</v>
      </c>
      <c r="V544" s="126">
        <v>1</v>
      </c>
      <c r="Z544" s="126">
        <v>1</v>
      </c>
      <c r="AA544" s="126">
        <v>1</v>
      </c>
      <c r="AB544" s="126">
        <v>2</v>
      </c>
      <c r="AC544" s="126">
        <v>6</v>
      </c>
      <c r="AD544" s="126">
        <v>2026</v>
      </c>
    </row>
    <row r="545" spans="3:30">
      <c r="C545" s="126">
        <v>538</v>
      </c>
      <c r="D545" s="126">
        <v>43</v>
      </c>
      <c r="E545" s="126">
        <v>3</v>
      </c>
      <c r="F545" s="126">
        <v>1</v>
      </c>
      <c r="G545" s="126">
        <v>1</v>
      </c>
      <c r="H545" s="126">
        <v>1</v>
      </c>
      <c r="I545" s="126">
        <v>1</v>
      </c>
      <c r="J545" s="126">
        <v>184</v>
      </c>
      <c r="M545" s="126">
        <v>191</v>
      </c>
      <c r="N545" s="126">
        <v>0</v>
      </c>
      <c r="P545" s="126">
        <v>151</v>
      </c>
      <c r="R545" s="126" t="s">
        <v>549</v>
      </c>
      <c r="S545" s="259">
        <v>0</v>
      </c>
      <c r="T545" s="259">
        <v>60</v>
      </c>
      <c r="U545" s="68" t="s">
        <v>1344</v>
      </c>
      <c r="V545" s="126">
        <v>1</v>
      </c>
      <c r="Z545" s="126">
        <v>1</v>
      </c>
      <c r="AA545" s="126">
        <v>1</v>
      </c>
      <c r="AB545" s="126">
        <v>2</v>
      </c>
      <c r="AC545" s="126">
        <v>6</v>
      </c>
      <c r="AD545" s="126">
        <v>2026</v>
      </c>
    </row>
    <row r="546" spans="3:30">
      <c r="C546" s="126">
        <v>539</v>
      </c>
      <c r="D546" s="126">
        <v>43</v>
      </c>
      <c r="E546" s="126">
        <v>11</v>
      </c>
      <c r="F546" s="126">
        <v>1</v>
      </c>
      <c r="G546" s="126">
        <v>1</v>
      </c>
      <c r="H546" s="126">
        <v>1</v>
      </c>
      <c r="I546" s="126">
        <v>1</v>
      </c>
      <c r="J546" s="126">
        <v>184</v>
      </c>
      <c r="M546" s="126">
        <v>191</v>
      </c>
      <c r="N546" s="126">
        <v>1</v>
      </c>
      <c r="P546" s="126">
        <v>151</v>
      </c>
      <c r="R546" s="126" t="s">
        <v>549</v>
      </c>
      <c r="S546" s="259">
        <v>60</v>
      </c>
      <c r="T546" s="259">
        <v>0</v>
      </c>
      <c r="U546" s="68" t="s">
        <v>1345</v>
      </c>
      <c r="V546" s="126">
        <v>1</v>
      </c>
      <c r="Z546" s="126">
        <v>1</v>
      </c>
      <c r="AA546" s="126">
        <v>1</v>
      </c>
      <c r="AB546" s="126">
        <v>2</v>
      </c>
      <c r="AC546" s="126">
        <v>6</v>
      </c>
      <c r="AD546" s="126">
        <v>2026</v>
      </c>
    </row>
    <row r="547" spans="3:30">
      <c r="C547" s="126">
        <v>540</v>
      </c>
      <c r="D547" s="126">
        <v>43</v>
      </c>
      <c r="E547" s="126">
        <v>10</v>
      </c>
      <c r="F547" s="126">
        <v>1</v>
      </c>
      <c r="G547" s="126">
        <v>1</v>
      </c>
      <c r="H547" s="126">
        <v>1</v>
      </c>
      <c r="I547" s="126">
        <v>1</v>
      </c>
      <c r="J547" s="126">
        <v>184</v>
      </c>
      <c r="P547" s="126">
        <v>151</v>
      </c>
      <c r="R547" s="126" t="s">
        <v>549</v>
      </c>
      <c r="S547" s="259">
        <v>0</v>
      </c>
      <c r="T547" s="259">
        <v>65</v>
      </c>
      <c r="U547" s="68" t="s">
        <v>1346</v>
      </c>
      <c r="V547" s="126">
        <v>1</v>
      </c>
      <c r="Z547" s="126">
        <v>1</v>
      </c>
      <c r="AA547" s="126">
        <v>1</v>
      </c>
      <c r="AB547" s="126">
        <v>2</v>
      </c>
      <c r="AC547" s="126">
        <v>6</v>
      </c>
      <c r="AD547" s="126">
        <v>2026</v>
      </c>
    </row>
    <row r="548" spans="3:30">
      <c r="C548" s="126">
        <v>541</v>
      </c>
      <c r="D548" s="126">
        <v>44</v>
      </c>
      <c r="E548" s="126">
        <v>2</v>
      </c>
      <c r="F548" s="126">
        <v>1</v>
      </c>
      <c r="G548" s="126">
        <v>1</v>
      </c>
      <c r="H548" s="126">
        <v>1</v>
      </c>
      <c r="I548" s="126">
        <v>1</v>
      </c>
      <c r="R548" s="126" t="s">
        <v>549</v>
      </c>
      <c r="S548" s="259">
        <v>53</v>
      </c>
      <c r="T548" s="259">
        <v>0</v>
      </c>
      <c r="U548" s="68" t="s">
        <v>1349</v>
      </c>
      <c r="V548" s="126">
        <v>1</v>
      </c>
      <c r="Z548" s="126">
        <v>1</v>
      </c>
      <c r="AA548" s="126">
        <v>1</v>
      </c>
      <c r="AB548" s="126">
        <v>3</v>
      </c>
      <c r="AC548" s="126">
        <v>6</v>
      </c>
      <c r="AD548" s="126">
        <v>2026</v>
      </c>
    </row>
    <row r="549" spans="3:30">
      <c r="C549" s="126">
        <v>542</v>
      </c>
      <c r="D549" s="126">
        <v>44</v>
      </c>
      <c r="E549" s="126">
        <v>3</v>
      </c>
      <c r="F549" s="126">
        <v>1</v>
      </c>
      <c r="G549" s="126">
        <v>1</v>
      </c>
      <c r="H549" s="126">
        <v>1</v>
      </c>
      <c r="I549" s="126">
        <v>1</v>
      </c>
      <c r="J549" s="126">
        <v>177</v>
      </c>
      <c r="M549" s="126">
        <v>192</v>
      </c>
      <c r="N549" s="126">
        <v>0</v>
      </c>
      <c r="P549" s="126">
        <v>152</v>
      </c>
      <c r="R549" s="126" t="s">
        <v>549</v>
      </c>
      <c r="S549" s="259">
        <v>0</v>
      </c>
      <c r="T549" s="259">
        <v>33.200000000000003</v>
      </c>
      <c r="U549" s="68" t="s">
        <v>1350</v>
      </c>
      <c r="V549" s="126">
        <v>1</v>
      </c>
      <c r="Z549" s="126">
        <v>1</v>
      </c>
      <c r="AA549" s="126">
        <v>1</v>
      </c>
      <c r="AB549" s="126">
        <v>3</v>
      </c>
      <c r="AC549" s="126">
        <v>6</v>
      </c>
      <c r="AD549" s="126">
        <v>2026</v>
      </c>
    </row>
    <row r="550" spans="3:30">
      <c r="C550" s="126">
        <v>543</v>
      </c>
      <c r="D550" s="126">
        <v>44</v>
      </c>
      <c r="E550" s="126">
        <v>11</v>
      </c>
      <c r="F550" s="126">
        <v>1</v>
      </c>
      <c r="G550" s="126">
        <v>1</v>
      </c>
      <c r="H550" s="126">
        <v>1</v>
      </c>
      <c r="I550" s="126">
        <v>1</v>
      </c>
      <c r="J550" s="126">
        <v>177</v>
      </c>
      <c r="M550" s="126">
        <v>192</v>
      </c>
      <c r="N550" s="126">
        <v>1</v>
      </c>
      <c r="P550" s="126">
        <v>152</v>
      </c>
      <c r="R550" s="126" t="s">
        <v>549</v>
      </c>
      <c r="S550" s="259">
        <v>33.200000000000003</v>
      </c>
      <c r="T550" s="259">
        <v>0</v>
      </c>
      <c r="U550" s="68" t="s">
        <v>1351</v>
      </c>
      <c r="V550" s="126">
        <v>1</v>
      </c>
      <c r="Z550" s="126">
        <v>1</v>
      </c>
      <c r="AA550" s="126">
        <v>1</v>
      </c>
      <c r="AB550" s="126">
        <v>3</v>
      </c>
      <c r="AC550" s="126">
        <v>6</v>
      </c>
      <c r="AD550" s="126">
        <v>2026</v>
      </c>
    </row>
    <row r="551" spans="3:30">
      <c r="C551" s="126">
        <v>544</v>
      </c>
      <c r="D551" s="126">
        <v>44</v>
      </c>
      <c r="E551" s="126">
        <v>10</v>
      </c>
      <c r="F551" s="126">
        <v>1</v>
      </c>
      <c r="G551" s="126">
        <v>1</v>
      </c>
      <c r="H551" s="126">
        <v>1</v>
      </c>
      <c r="I551" s="126">
        <v>1</v>
      </c>
      <c r="J551" s="126">
        <v>177</v>
      </c>
      <c r="P551" s="126">
        <v>152</v>
      </c>
      <c r="R551" s="126" t="s">
        <v>549</v>
      </c>
      <c r="S551" s="259">
        <v>0</v>
      </c>
      <c r="T551" s="259">
        <v>38</v>
      </c>
      <c r="U551" s="68" t="s">
        <v>1352</v>
      </c>
      <c r="V551" s="126">
        <v>1</v>
      </c>
      <c r="Z551" s="126">
        <v>1</v>
      </c>
      <c r="AA551" s="126">
        <v>1</v>
      </c>
      <c r="AB551" s="126">
        <v>3</v>
      </c>
      <c r="AC551" s="126">
        <v>6</v>
      </c>
      <c r="AD551" s="126">
        <v>2026</v>
      </c>
    </row>
    <row r="552" spans="3:30">
      <c r="C552" s="126">
        <v>545</v>
      </c>
      <c r="D552" s="126">
        <v>44</v>
      </c>
      <c r="E552" s="126">
        <v>3</v>
      </c>
      <c r="F552" s="126">
        <v>1</v>
      </c>
      <c r="G552" s="126">
        <v>1</v>
      </c>
      <c r="H552" s="126">
        <v>1</v>
      </c>
      <c r="I552" s="126">
        <v>1</v>
      </c>
      <c r="J552" s="126">
        <v>179</v>
      </c>
      <c r="M552" s="126">
        <v>193</v>
      </c>
      <c r="N552" s="126">
        <v>0</v>
      </c>
      <c r="P552" s="126">
        <v>153</v>
      </c>
      <c r="R552" s="126" t="s">
        <v>549</v>
      </c>
      <c r="S552" s="259">
        <v>0</v>
      </c>
      <c r="T552" s="259">
        <v>14.25</v>
      </c>
      <c r="U552" s="68" t="s">
        <v>1353</v>
      </c>
      <c r="V552" s="126">
        <v>1</v>
      </c>
      <c r="Z552" s="126">
        <v>1</v>
      </c>
      <c r="AA552" s="126">
        <v>1</v>
      </c>
      <c r="AB552" s="126">
        <v>3</v>
      </c>
      <c r="AC552" s="126">
        <v>6</v>
      </c>
      <c r="AD552" s="126">
        <v>2026</v>
      </c>
    </row>
    <row r="553" spans="3:30">
      <c r="C553" s="126">
        <v>546</v>
      </c>
      <c r="D553" s="126">
        <v>44</v>
      </c>
      <c r="E553" s="126">
        <v>11</v>
      </c>
      <c r="F553" s="126">
        <v>1</v>
      </c>
      <c r="G553" s="126">
        <v>1</v>
      </c>
      <c r="H553" s="126">
        <v>1</v>
      </c>
      <c r="I553" s="126">
        <v>1</v>
      </c>
      <c r="J553" s="126">
        <v>179</v>
      </c>
      <c r="M553" s="126">
        <v>193</v>
      </c>
      <c r="N553" s="126">
        <v>1</v>
      </c>
      <c r="P553" s="126">
        <v>153</v>
      </c>
      <c r="R553" s="126" t="s">
        <v>549</v>
      </c>
      <c r="S553" s="259">
        <v>14.25</v>
      </c>
      <c r="T553" s="259">
        <v>0</v>
      </c>
      <c r="U553" s="68" t="s">
        <v>1354</v>
      </c>
      <c r="V553" s="126">
        <v>1</v>
      </c>
      <c r="Z553" s="126">
        <v>1</v>
      </c>
      <c r="AA553" s="126">
        <v>1</v>
      </c>
      <c r="AB553" s="126">
        <v>3</v>
      </c>
      <c r="AC553" s="126">
        <v>6</v>
      </c>
      <c r="AD553" s="126">
        <v>2026</v>
      </c>
    </row>
    <row r="554" spans="3:30">
      <c r="C554" s="126">
        <v>547</v>
      </c>
      <c r="D554" s="126">
        <v>44</v>
      </c>
      <c r="E554" s="126">
        <v>10</v>
      </c>
      <c r="F554" s="126">
        <v>1</v>
      </c>
      <c r="G554" s="126">
        <v>1</v>
      </c>
      <c r="H554" s="126">
        <v>1</v>
      </c>
      <c r="I554" s="126">
        <v>1</v>
      </c>
      <c r="J554" s="126">
        <v>179</v>
      </c>
      <c r="P554" s="126">
        <v>153</v>
      </c>
      <c r="R554" s="126" t="s">
        <v>549</v>
      </c>
      <c r="S554" s="259">
        <v>0</v>
      </c>
      <c r="T554" s="259">
        <v>15</v>
      </c>
      <c r="U554" s="68" t="s">
        <v>1355</v>
      </c>
      <c r="V554" s="126">
        <v>1</v>
      </c>
      <c r="Z554" s="126">
        <v>1</v>
      </c>
      <c r="AA554" s="126">
        <v>1</v>
      </c>
      <c r="AB554" s="126">
        <v>3</v>
      </c>
      <c r="AC554" s="126">
        <v>6</v>
      </c>
      <c r="AD554" s="126">
        <v>2026</v>
      </c>
    </row>
    <row r="555" spans="3:30">
      <c r="C555" s="126">
        <v>548</v>
      </c>
      <c r="D555" s="126">
        <v>45</v>
      </c>
      <c r="E555" s="126">
        <v>2</v>
      </c>
      <c r="F555" s="126">
        <v>1</v>
      </c>
      <c r="G555" s="126">
        <v>1</v>
      </c>
      <c r="H555" s="126">
        <v>1</v>
      </c>
      <c r="I555" s="126">
        <v>1</v>
      </c>
      <c r="R555" s="126" t="s">
        <v>549</v>
      </c>
      <c r="S555" s="259">
        <v>10.5</v>
      </c>
      <c r="T555" s="259">
        <v>0</v>
      </c>
      <c r="U555" s="68" t="s">
        <v>1357</v>
      </c>
      <c r="V555" s="126">
        <v>1</v>
      </c>
      <c r="Z555" s="126">
        <v>1</v>
      </c>
      <c r="AA555" s="126">
        <v>1</v>
      </c>
      <c r="AB555" s="126">
        <v>3</v>
      </c>
      <c r="AC555" s="126">
        <v>6</v>
      </c>
      <c r="AD555" s="126">
        <v>2026</v>
      </c>
    </row>
    <row r="556" spans="3:30">
      <c r="C556" s="126">
        <v>549</v>
      </c>
      <c r="D556" s="126">
        <v>45</v>
      </c>
      <c r="E556" s="126">
        <v>3</v>
      </c>
      <c r="F556" s="126">
        <v>1</v>
      </c>
      <c r="G556" s="126">
        <v>1</v>
      </c>
      <c r="H556" s="126">
        <v>1</v>
      </c>
      <c r="I556" s="126">
        <v>1</v>
      </c>
      <c r="J556" s="126">
        <v>69</v>
      </c>
      <c r="M556" s="126">
        <v>194</v>
      </c>
      <c r="N556" s="126">
        <v>0</v>
      </c>
      <c r="P556" s="126">
        <v>154</v>
      </c>
      <c r="R556" s="126" t="s">
        <v>549</v>
      </c>
      <c r="S556" s="259">
        <v>0</v>
      </c>
      <c r="T556" s="259">
        <v>1</v>
      </c>
      <c r="U556" s="68" t="s">
        <v>1358</v>
      </c>
      <c r="V556" s="126">
        <v>1</v>
      </c>
      <c r="Z556" s="126">
        <v>1</v>
      </c>
      <c r="AA556" s="126">
        <v>1</v>
      </c>
      <c r="AB556" s="126">
        <v>3</v>
      </c>
      <c r="AC556" s="126">
        <v>6</v>
      </c>
      <c r="AD556" s="126">
        <v>2026</v>
      </c>
    </row>
    <row r="557" spans="3:30">
      <c r="C557" s="126">
        <v>550</v>
      </c>
      <c r="D557" s="126">
        <v>45</v>
      </c>
      <c r="E557" s="126">
        <v>11</v>
      </c>
      <c r="F557" s="126">
        <v>1</v>
      </c>
      <c r="G557" s="126">
        <v>1</v>
      </c>
      <c r="H557" s="126">
        <v>1</v>
      </c>
      <c r="I557" s="126">
        <v>1</v>
      </c>
      <c r="J557" s="126">
        <v>69</v>
      </c>
      <c r="M557" s="126">
        <v>194</v>
      </c>
      <c r="N557" s="126">
        <v>1</v>
      </c>
      <c r="P557" s="126">
        <v>154</v>
      </c>
      <c r="R557" s="126" t="s">
        <v>549</v>
      </c>
      <c r="S557" s="259">
        <v>1</v>
      </c>
      <c r="T557" s="259">
        <v>0</v>
      </c>
      <c r="U557" s="68" t="s">
        <v>1359</v>
      </c>
      <c r="V557" s="126">
        <v>1</v>
      </c>
      <c r="Z557" s="126">
        <v>1</v>
      </c>
      <c r="AA557" s="126">
        <v>1</v>
      </c>
      <c r="AB557" s="126">
        <v>3</v>
      </c>
      <c r="AC557" s="126">
        <v>6</v>
      </c>
      <c r="AD557" s="126">
        <v>2026</v>
      </c>
    </row>
    <row r="558" spans="3:30">
      <c r="C558" s="126">
        <v>551</v>
      </c>
      <c r="D558" s="126">
        <v>45</v>
      </c>
      <c r="E558" s="126">
        <v>10</v>
      </c>
      <c r="F558" s="126">
        <v>1</v>
      </c>
      <c r="G558" s="126">
        <v>1</v>
      </c>
      <c r="H558" s="126">
        <v>1</v>
      </c>
      <c r="I558" s="126">
        <v>1</v>
      </c>
      <c r="J558" s="126">
        <v>69</v>
      </c>
      <c r="P558" s="126">
        <v>154</v>
      </c>
      <c r="R558" s="126" t="s">
        <v>549</v>
      </c>
      <c r="S558" s="259">
        <v>0</v>
      </c>
      <c r="T558" s="259">
        <v>2</v>
      </c>
      <c r="U558" s="68" t="s">
        <v>1360</v>
      </c>
      <c r="V558" s="126">
        <v>1</v>
      </c>
      <c r="Z558" s="126">
        <v>1</v>
      </c>
      <c r="AA558" s="126">
        <v>1</v>
      </c>
      <c r="AB558" s="126">
        <v>3</v>
      </c>
      <c r="AC558" s="126">
        <v>6</v>
      </c>
      <c r="AD558" s="126">
        <v>2026</v>
      </c>
    </row>
    <row r="559" spans="3:30">
      <c r="C559" s="126">
        <v>552</v>
      </c>
      <c r="D559" s="126">
        <v>45</v>
      </c>
      <c r="E559" s="126">
        <v>3</v>
      </c>
      <c r="F559" s="126">
        <v>1</v>
      </c>
      <c r="G559" s="126">
        <v>1</v>
      </c>
      <c r="H559" s="126">
        <v>1</v>
      </c>
      <c r="I559" s="126">
        <v>1</v>
      </c>
      <c r="J559" s="126">
        <v>181</v>
      </c>
      <c r="M559" s="126">
        <v>195</v>
      </c>
      <c r="N559" s="126">
        <v>0</v>
      </c>
      <c r="P559" s="126">
        <v>155</v>
      </c>
      <c r="R559" s="126" t="s">
        <v>549</v>
      </c>
      <c r="S559" s="259">
        <v>0</v>
      </c>
      <c r="T559" s="259">
        <v>1</v>
      </c>
      <c r="U559" s="68" t="s">
        <v>1361</v>
      </c>
      <c r="V559" s="126">
        <v>1</v>
      </c>
      <c r="Z559" s="126">
        <v>1</v>
      </c>
      <c r="AA559" s="126">
        <v>1</v>
      </c>
      <c r="AB559" s="126">
        <v>3</v>
      </c>
      <c r="AC559" s="126">
        <v>6</v>
      </c>
      <c r="AD559" s="126">
        <v>2026</v>
      </c>
    </row>
    <row r="560" spans="3:30">
      <c r="C560" s="126">
        <v>553</v>
      </c>
      <c r="D560" s="126">
        <v>45</v>
      </c>
      <c r="E560" s="126">
        <v>11</v>
      </c>
      <c r="F560" s="126">
        <v>1</v>
      </c>
      <c r="G560" s="126">
        <v>1</v>
      </c>
      <c r="H560" s="126">
        <v>1</v>
      </c>
      <c r="I560" s="126">
        <v>1</v>
      </c>
      <c r="J560" s="126">
        <v>181</v>
      </c>
      <c r="M560" s="126">
        <v>195</v>
      </c>
      <c r="N560" s="126">
        <v>1</v>
      </c>
      <c r="P560" s="126">
        <v>155</v>
      </c>
      <c r="R560" s="126" t="s">
        <v>549</v>
      </c>
      <c r="S560" s="259">
        <v>1</v>
      </c>
      <c r="T560" s="259">
        <v>0</v>
      </c>
      <c r="U560" s="68" t="s">
        <v>1362</v>
      </c>
      <c r="V560" s="126">
        <v>1</v>
      </c>
      <c r="Z560" s="126">
        <v>1</v>
      </c>
      <c r="AA560" s="126">
        <v>1</v>
      </c>
      <c r="AB560" s="126">
        <v>3</v>
      </c>
      <c r="AC560" s="126">
        <v>6</v>
      </c>
      <c r="AD560" s="126">
        <v>2026</v>
      </c>
    </row>
    <row r="561" spans="3:30">
      <c r="C561" s="126">
        <v>554</v>
      </c>
      <c r="D561" s="126">
        <v>45</v>
      </c>
      <c r="E561" s="126">
        <v>10</v>
      </c>
      <c r="F561" s="126">
        <v>1</v>
      </c>
      <c r="G561" s="126">
        <v>1</v>
      </c>
      <c r="H561" s="126">
        <v>1</v>
      </c>
      <c r="I561" s="126">
        <v>1</v>
      </c>
      <c r="J561" s="126">
        <v>181</v>
      </c>
      <c r="P561" s="126">
        <v>155</v>
      </c>
      <c r="R561" s="126" t="s">
        <v>549</v>
      </c>
      <c r="S561" s="259">
        <v>0</v>
      </c>
      <c r="T561" s="259">
        <v>1.5</v>
      </c>
      <c r="U561" s="68" t="s">
        <v>1363</v>
      </c>
      <c r="V561" s="126">
        <v>1</v>
      </c>
      <c r="Z561" s="126">
        <v>1</v>
      </c>
      <c r="AA561" s="126">
        <v>1</v>
      </c>
      <c r="AB561" s="126">
        <v>3</v>
      </c>
      <c r="AC561" s="126">
        <v>6</v>
      </c>
      <c r="AD561" s="126">
        <v>2026</v>
      </c>
    </row>
    <row r="562" spans="3:30">
      <c r="C562" s="126">
        <v>555</v>
      </c>
      <c r="D562" s="126">
        <v>45</v>
      </c>
      <c r="E562" s="126">
        <v>3</v>
      </c>
      <c r="F562" s="126">
        <v>1</v>
      </c>
      <c r="G562" s="126">
        <v>1</v>
      </c>
      <c r="H562" s="126">
        <v>1</v>
      </c>
      <c r="I562" s="126">
        <v>1</v>
      </c>
      <c r="J562" s="126">
        <v>42</v>
      </c>
      <c r="M562" s="126">
        <v>196</v>
      </c>
      <c r="N562" s="126">
        <v>0</v>
      </c>
      <c r="P562" s="126">
        <v>156</v>
      </c>
      <c r="R562" s="126" t="s">
        <v>549</v>
      </c>
      <c r="S562" s="259">
        <v>0</v>
      </c>
      <c r="T562" s="259">
        <v>0.96</v>
      </c>
      <c r="U562" s="68" t="s">
        <v>1364</v>
      </c>
      <c r="V562" s="126">
        <v>1</v>
      </c>
      <c r="Z562" s="126">
        <v>1</v>
      </c>
      <c r="AA562" s="126">
        <v>1</v>
      </c>
      <c r="AB562" s="126">
        <v>3</v>
      </c>
      <c r="AC562" s="126">
        <v>6</v>
      </c>
      <c r="AD562" s="126">
        <v>2026</v>
      </c>
    </row>
    <row r="563" spans="3:30">
      <c r="C563" s="126">
        <v>556</v>
      </c>
      <c r="D563" s="126">
        <v>45</v>
      </c>
      <c r="E563" s="126">
        <v>11</v>
      </c>
      <c r="F563" s="126">
        <v>1</v>
      </c>
      <c r="G563" s="126">
        <v>1</v>
      </c>
      <c r="H563" s="126">
        <v>1</v>
      </c>
      <c r="I563" s="126">
        <v>1</v>
      </c>
      <c r="J563" s="126">
        <v>42</v>
      </c>
      <c r="M563" s="126">
        <v>196</v>
      </c>
      <c r="N563" s="126">
        <v>1</v>
      </c>
      <c r="P563" s="126">
        <v>156</v>
      </c>
      <c r="R563" s="126" t="s">
        <v>549</v>
      </c>
      <c r="S563" s="259">
        <v>0.96</v>
      </c>
      <c r="T563" s="259">
        <v>0</v>
      </c>
      <c r="U563" s="68" t="s">
        <v>1365</v>
      </c>
      <c r="V563" s="126">
        <v>1</v>
      </c>
      <c r="Z563" s="126">
        <v>1</v>
      </c>
      <c r="AA563" s="126">
        <v>1</v>
      </c>
      <c r="AB563" s="126">
        <v>3</v>
      </c>
      <c r="AC563" s="126">
        <v>6</v>
      </c>
      <c r="AD563" s="126">
        <v>2026</v>
      </c>
    </row>
    <row r="564" spans="3:30">
      <c r="C564" s="126">
        <v>557</v>
      </c>
      <c r="D564" s="126">
        <v>45</v>
      </c>
      <c r="E564" s="126">
        <v>10</v>
      </c>
      <c r="F564" s="126">
        <v>1</v>
      </c>
      <c r="G564" s="126">
        <v>1</v>
      </c>
      <c r="H564" s="126">
        <v>1</v>
      </c>
      <c r="I564" s="126">
        <v>1</v>
      </c>
      <c r="J564" s="126">
        <v>42</v>
      </c>
      <c r="P564" s="126">
        <v>156</v>
      </c>
      <c r="R564" s="126" t="s">
        <v>549</v>
      </c>
      <c r="S564" s="259">
        <v>0</v>
      </c>
      <c r="T564" s="259">
        <v>2</v>
      </c>
      <c r="U564" s="68" t="s">
        <v>1366</v>
      </c>
      <c r="V564" s="126">
        <v>1</v>
      </c>
      <c r="Z564" s="126">
        <v>1</v>
      </c>
      <c r="AA564" s="126">
        <v>1</v>
      </c>
      <c r="AB564" s="126">
        <v>3</v>
      </c>
      <c r="AC564" s="126">
        <v>6</v>
      </c>
      <c r="AD564" s="126">
        <v>2026</v>
      </c>
    </row>
    <row r="565" spans="3:30">
      <c r="C565" s="126">
        <v>558</v>
      </c>
      <c r="D565" s="126">
        <v>45</v>
      </c>
      <c r="E565" s="126">
        <v>3</v>
      </c>
      <c r="F565" s="126">
        <v>1</v>
      </c>
      <c r="G565" s="126">
        <v>1</v>
      </c>
      <c r="H565" s="126">
        <v>1</v>
      </c>
      <c r="I565" s="126">
        <v>1</v>
      </c>
      <c r="J565" s="126">
        <v>74</v>
      </c>
      <c r="M565" s="126">
        <v>197</v>
      </c>
      <c r="N565" s="126">
        <v>0</v>
      </c>
      <c r="P565" s="126">
        <v>157</v>
      </c>
      <c r="R565" s="126" t="s">
        <v>549</v>
      </c>
      <c r="S565" s="259">
        <v>0</v>
      </c>
      <c r="T565" s="259">
        <v>0.38</v>
      </c>
      <c r="U565" s="68" t="s">
        <v>1369</v>
      </c>
      <c r="V565" s="126">
        <v>1</v>
      </c>
      <c r="Z565" s="126">
        <v>1</v>
      </c>
      <c r="AA565" s="126">
        <v>1</v>
      </c>
      <c r="AB565" s="126">
        <v>3</v>
      </c>
      <c r="AC565" s="126">
        <v>6</v>
      </c>
      <c r="AD565" s="126">
        <v>2026</v>
      </c>
    </row>
    <row r="566" spans="3:30">
      <c r="C566" s="126">
        <v>559</v>
      </c>
      <c r="D566" s="126">
        <v>45</v>
      </c>
      <c r="E566" s="126">
        <v>11</v>
      </c>
      <c r="F566" s="126">
        <v>1</v>
      </c>
      <c r="G566" s="126">
        <v>1</v>
      </c>
      <c r="H566" s="126">
        <v>1</v>
      </c>
      <c r="I566" s="126">
        <v>1</v>
      </c>
      <c r="J566" s="126">
        <v>74</v>
      </c>
      <c r="M566" s="126">
        <v>197</v>
      </c>
      <c r="N566" s="126">
        <v>1</v>
      </c>
      <c r="P566" s="126">
        <v>157</v>
      </c>
      <c r="R566" s="126" t="s">
        <v>549</v>
      </c>
      <c r="S566" s="259">
        <v>0.38</v>
      </c>
      <c r="T566" s="259">
        <v>0</v>
      </c>
      <c r="U566" s="68" t="s">
        <v>1370</v>
      </c>
      <c r="V566" s="126">
        <v>1</v>
      </c>
      <c r="Z566" s="126">
        <v>1</v>
      </c>
      <c r="AA566" s="126">
        <v>1</v>
      </c>
      <c r="AB566" s="126">
        <v>3</v>
      </c>
      <c r="AC566" s="126">
        <v>6</v>
      </c>
      <c r="AD566" s="126">
        <v>2026</v>
      </c>
    </row>
    <row r="567" spans="3:30">
      <c r="C567" s="126">
        <v>560</v>
      </c>
      <c r="D567" s="126">
        <v>45</v>
      </c>
      <c r="E567" s="126">
        <v>10</v>
      </c>
      <c r="F567" s="126">
        <v>1</v>
      </c>
      <c r="G567" s="126">
        <v>1</v>
      </c>
      <c r="H567" s="126">
        <v>1</v>
      </c>
      <c r="I567" s="126">
        <v>1</v>
      </c>
      <c r="J567" s="126">
        <v>74</v>
      </c>
      <c r="P567" s="126">
        <v>157</v>
      </c>
      <c r="R567" s="126" t="s">
        <v>549</v>
      </c>
      <c r="S567" s="259">
        <v>0</v>
      </c>
      <c r="T567" s="259">
        <v>0.5</v>
      </c>
      <c r="U567" s="68" t="s">
        <v>1371</v>
      </c>
      <c r="V567" s="126">
        <v>1</v>
      </c>
      <c r="Z567" s="126">
        <v>1</v>
      </c>
      <c r="AA567" s="126">
        <v>1</v>
      </c>
      <c r="AB567" s="126">
        <v>3</v>
      </c>
      <c r="AC567" s="126">
        <v>6</v>
      </c>
      <c r="AD567" s="126">
        <v>2026</v>
      </c>
    </row>
    <row r="568" spans="3:30">
      <c r="C568" s="126">
        <v>561</v>
      </c>
      <c r="D568" s="126">
        <v>45</v>
      </c>
      <c r="E568" s="126">
        <v>3</v>
      </c>
      <c r="F568" s="126">
        <v>1</v>
      </c>
      <c r="G568" s="126">
        <v>1</v>
      </c>
      <c r="H568" s="126">
        <v>1</v>
      </c>
      <c r="I568" s="126">
        <v>1</v>
      </c>
      <c r="J568" s="126">
        <v>44</v>
      </c>
      <c r="M568" s="126">
        <v>198</v>
      </c>
      <c r="N568" s="126">
        <v>0</v>
      </c>
      <c r="P568" s="126">
        <v>158</v>
      </c>
      <c r="R568" s="126" t="s">
        <v>549</v>
      </c>
      <c r="S568" s="259">
        <v>0</v>
      </c>
      <c r="T568" s="259">
        <v>0.44</v>
      </c>
      <c r="U568" s="68" t="s">
        <v>1372</v>
      </c>
      <c r="V568" s="126">
        <v>1</v>
      </c>
      <c r="Z568" s="126">
        <v>1</v>
      </c>
      <c r="AA568" s="126">
        <v>1</v>
      </c>
      <c r="AB568" s="126">
        <v>3</v>
      </c>
      <c r="AC568" s="126">
        <v>6</v>
      </c>
      <c r="AD568" s="126">
        <v>2026</v>
      </c>
    </row>
    <row r="569" spans="3:30">
      <c r="C569" s="126">
        <v>562</v>
      </c>
      <c r="D569" s="126">
        <v>45</v>
      </c>
      <c r="E569" s="126">
        <v>11</v>
      </c>
      <c r="F569" s="126">
        <v>1</v>
      </c>
      <c r="G569" s="126">
        <v>1</v>
      </c>
      <c r="H569" s="126">
        <v>1</v>
      </c>
      <c r="I569" s="126">
        <v>1</v>
      </c>
      <c r="J569" s="126">
        <v>44</v>
      </c>
      <c r="M569" s="126">
        <v>198</v>
      </c>
      <c r="N569" s="126">
        <v>1</v>
      </c>
      <c r="P569" s="126">
        <v>158</v>
      </c>
      <c r="R569" s="126" t="s">
        <v>549</v>
      </c>
      <c r="S569" s="259">
        <v>0.44</v>
      </c>
      <c r="T569" s="259">
        <v>0</v>
      </c>
      <c r="U569" s="68" t="s">
        <v>1373</v>
      </c>
      <c r="V569" s="126">
        <v>1</v>
      </c>
      <c r="Z569" s="126">
        <v>1</v>
      </c>
      <c r="AA569" s="126">
        <v>1</v>
      </c>
      <c r="AB569" s="126">
        <v>3</v>
      </c>
      <c r="AC569" s="126">
        <v>6</v>
      </c>
      <c r="AD569" s="126">
        <v>2026</v>
      </c>
    </row>
    <row r="570" spans="3:30">
      <c r="C570" s="126">
        <v>563</v>
      </c>
      <c r="D570" s="126">
        <v>45</v>
      </c>
      <c r="E570" s="126">
        <v>10</v>
      </c>
      <c r="F570" s="126">
        <v>1</v>
      </c>
      <c r="G570" s="126">
        <v>1</v>
      </c>
      <c r="H570" s="126">
        <v>1</v>
      </c>
      <c r="I570" s="126">
        <v>1</v>
      </c>
      <c r="J570" s="126">
        <v>44</v>
      </c>
      <c r="P570" s="126">
        <v>158</v>
      </c>
      <c r="R570" s="126" t="s">
        <v>549</v>
      </c>
      <c r="S570" s="259">
        <v>0</v>
      </c>
      <c r="T570" s="259">
        <v>0.76</v>
      </c>
      <c r="U570" s="68" t="s">
        <v>1374</v>
      </c>
      <c r="V570" s="126">
        <v>1</v>
      </c>
      <c r="Z570" s="126">
        <v>1</v>
      </c>
      <c r="AA570" s="126">
        <v>1</v>
      </c>
      <c r="AB570" s="126">
        <v>3</v>
      </c>
      <c r="AC570" s="126">
        <v>6</v>
      </c>
      <c r="AD570" s="126">
        <v>2026</v>
      </c>
    </row>
    <row r="571" spans="3:30">
      <c r="C571" s="126">
        <v>564</v>
      </c>
      <c r="D571" s="126">
        <v>45</v>
      </c>
      <c r="E571" s="126">
        <v>3</v>
      </c>
      <c r="F571" s="126">
        <v>1</v>
      </c>
      <c r="G571" s="126">
        <v>1</v>
      </c>
      <c r="H571" s="126">
        <v>1</v>
      </c>
      <c r="I571" s="126">
        <v>1</v>
      </c>
      <c r="J571" s="126">
        <v>46</v>
      </c>
      <c r="M571" s="126">
        <v>199</v>
      </c>
      <c r="N571" s="126">
        <v>0</v>
      </c>
      <c r="P571" s="126">
        <v>159</v>
      </c>
      <c r="R571" s="126" t="s">
        <v>549</v>
      </c>
      <c r="S571" s="259">
        <v>0</v>
      </c>
      <c r="T571" s="259">
        <v>0.6</v>
      </c>
      <c r="U571" s="68" t="s">
        <v>1375</v>
      </c>
      <c r="V571" s="126">
        <v>1</v>
      </c>
      <c r="Z571" s="126">
        <v>1</v>
      </c>
      <c r="AA571" s="126">
        <v>1</v>
      </c>
      <c r="AB571" s="126">
        <v>3</v>
      </c>
      <c r="AC571" s="126">
        <v>6</v>
      </c>
      <c r="AD571" s="126">
        <v>2026</v>
      </c>
    </row>
    <row r="572" spans="3:30">
      <c r="C572" s="126">
        <v>565</v>
      </c>
      <c r="D572" s="126">
        <v>45</v>
      </c>
      <c r="E572" s="126">
        <v>11</v>
      </c>
      <c r="F572" s="126">
        <v>1</v>
      </c>
      <c r="G572" s="126">
        <v>1</v>
      </c>
      <c r="H572" s="126">
        <v>1</v>
      </c>
      <c r="I572" s="126">
        <v>1</v>
      </c>
      <c r="J572" s="126">
        <v>46</v>
      </c>
      <c r="M572" s="126">
        <v>199</v>
      </c>
      <c r="N572" s="126">
        <v>1</v>
      </c>
      <c r="P572" s="126">
        <v>159</v>
      </c>
      <c r="R572" s="126" t="s">
        <v>549</v>
      </c>
      <c r="S572" s="259">
        <v>0.6</v>
      </c>
      <c r="T572" s="259">
        <v>0</v>
      </c>
      <c r="U572" s="68" t="s">
        <v>1376</v>
      </c>
      <c r="V572" s="126">
        <v>1</v>
      </c>
      <c r="Z572" s="126">
        <v>1</v>
      </c>
      <c r="AA572" s="126">
        <v>1</v>
      </c>
      <c r="AB572" s="126">
        <v>3</v>
      </c>
      <c r="AC572" s="126">
        <v>6</v>
      </c>
      <c r="AD572" s="126">
        <v>2026</v>
      </c>
    </row>
    <row r="573" spans="3:30">
      <c r="C573" s="126">
        <v>566</v>
      </c>
      <c r="D573" s="126">
        <v>45</v>
      </c>
      <c r="E573" s="126">
        <v>10</v>
      </c>
      <c r="F573" s="126">
        <v>1</v>
      </c>
      <c r="G573" s="126">
        <v>1</v>
      </c>
      <c r="H573" s="126">
        <v>1</v>
      </c>
      <c r="I573" s="126">
        <v>1</v>
      </c>
      <c r="J573" s="126">
        <v>46</v>
      </c>
      <c r="P573" s="126">
        <v>159</v>
      </c>
      <c r="R573" s="126" t="s">
        <v>549</v>
      </c>
      <c r="S573" s="259">
        <v>0</v>
      </c>
      <c r="T573" s="259">
        <v>1.52</v>
      </c>
      <c r="U573" s="68" t="s">
        <v>1377</v>
      </c>
      <c r="V573" s="126">
        <v>1</v>
      </c>
      <c r="Z573" s="126">
        <v>1</v>
      </c>
      <c r="AA573" s="126">
        <v>1</v>
      </c>
      <c r="AB573" s="126">
        <v>3</v>
      </c>
      <c r="AC573" s="126">
        <v>6</v>
      </c>
      <c r="AD573" s="126">
        <v>2026</v>
      </c>
    </row>
    <row r="574" spans="3:30">
      <c r="C574" s="126">
        <v>567</v>
      </c>
      <c r="D574" s="126">
        <v>45</v>
      </c>
      <c r="E574" s="126">
        <v>3</v>
      </c>
      <c r="F574" s="126">
        <v>1</v>
      </c>
      <c r="G574" s="126">
        <v>1</v>
      </c>
      <c r="H574" s="126">
        <v>1</v>
      </c>
      <c r="I574" s="126">
        <v>1</v>
      </c>
      <c r="J574" s="126">
        <v>103</v>
      </c>
      <c r="M574" s="126">
        <v>200</v>
      </c>
      <c r="N574" s="126">
        <v>0</v>
      </c>
      <c r="P574" s="126">
        <v>160</v>
      </c>
      <c r="R574" s="126" t="s">
        <v>549</v>
      </c>
      <c r="S574" s="259">
        <v>0</v>
      </c>
      <c r="T574" s="259">
        <v>0.75</v>
      </c>
      <c r="U574" s="68" t="s">
        <v>1378</v>
      </c>
      <c r="V574" s="126">
        <v>1</v>
      </c>
      <c r="Z574" s="126">
        <v>1</v>
      </c>
      <c r="AA574" s="126">
        <v>1</v>
      </c>
      <c r="AB574" s="126">
        <v>3</v>
      </c>
      <c r="AC574" s="126">
        <v>6</v>
      </c>
      <c r="AD574" s="126">
        <v>2026</v>
      </c>
    </row>
    <row r="575" spans="3:30">
      <c r="C575" s="126">
        <v>568</v>
      </c>
      <c r="D575" s="126">
        <v>45</v>
      </c>
      <c r="E575" s="126">
        <v>11</v>
      </c>
      <c r="F575" s="126">
        <v>1</v>
      </c>
      <c r="G575" s="126">
        <v>1</v>
      </c>
      <c r="H575" s="126">
        <v>1</v>
      </c>
      <c r="I575" s="126">
        <v>1</v>
      </c>
      <c r="J575" s="126">
        <v>103</v>
      </c>
      <c r="M575" s="126">
        <v>200</v>
      </c>
      <c r="N575" s="126">
        <v>1</v>
      </c>
      <c r="P575" s="126">
        <v>160</v>
      </c>
      <c r="R575" s="126" t="s">
        <v>549</v>
      </c>
      <c r="S575" s="259">
        <v>0.75</v>
      </c>
      <c r="T575" s="259">
        <v>0</v>
      </c>
      <c r="U575" s="68" t="s">
        <v>1379</v>
      </c>
      <c r="V575" s="126">
        <v>1</v>
      </c>
      <c r="Z575" s="126">
        <v>1</v>
      </c>
      <c r="AA575" s="126">
        <v>1</v>
      </c>
      <c r="AB575" s="126">
        <v>3</v>
      </c>
      <c r="AC575" s="126">
        <v>6</v>
      </c>
      <c r="AD575" s="126">
        <v>2026</v>
      </c>
    </row>
    <row r="576" spans="3:30">
      <c r="C576" s="126">
        <v>569</v>
      </c>
      <c r="D576" s="126">
        <v>45</v>
      </c>
      <c r="E576" s="126">
        <v>10</v>
      </c>
      <c r="F576" s="126">
        <v>1</v>
      </c>
      <c r="G576" s="126">
        <v>1</v>
      </c>
      <c r="H576" s="126">
        <v>1</v>
      </c>
      <c r="I576" s="126">
        <v>1</v>
      </c>
      <c r="J576" s="126">
        <v>103</v>
      </c>
      <c r="P576" s="126">
        <v>160</v>
      </c>
      <c r="R576" s="126" t="s">
        <v>549</v>
      </c>
      <c r="S576" s="259">
        <v>0</v>
      </c>
      <c r="T576" s="259">
        <v>1</v>
      </c>
      <c r="U576" s="68" t="s">
        <v>1380</v>
      </c>
      <c r="V576" s="126">
        <v>1</v>
      </c>
      <c r="Z576" s="126">
        <v>1</v>
      </c>
      <c r="AA576" s="126">
        <v>1</v>
      </c>
      <c r="AB576" s="126">
        <v>3</v>
      </c>
      <c r="AC576" s="126">
        <v>6</v>
      </c>
      <c r="AD576" s="126">
        <v>2026</v>
      </c>
    </row>
    <row r="577" spans="3:30">
      <c r="C577" s="126">
        <v>570</v>
      </c>
      <c r="D577" s="126">
        <v>45</v>
      </c>
      <c r="E577" s="126">
        <v>3</v>
      </c>
      <c r="F577" s="126">
        <v>1</v>
      </c>
      <c r="G577" s="126">
        <v>1</v>
      </c>
      <c r="H577" s="126">
        <v>1</v>
      </c>
      <c r="I577" s="126">
        <v>1</v>
      </c>
      <c r="J577" s="126">
        <v>75</v>
      </c>
      <c r="M577" s="126">
        <v>201</v>
      </c>
      <c r="N577" s="126">
        <v>0</v>
      </c>
      <c r="P577" s="126">
        <v>161</v>
      </c>
      <c r="R577" s="126" t="s">
        <v>549</v>
      </c>
      <c r="S577" s="259">
        <v>0</v>
      </c>
      <c r="T577" s="259">
        <v>0.13</v>
      </c>
      <c r="U577" s="68" t="s">
        <v>1383</v>
      </c>
      <c r="V577" s="126">
        <v>1</v>
      </c>
      <c r="Z577" s="126">
        <v>1</v>
      </c>
      <c r="AA577" s="126">
        <v>1</v>
      </c>
      <c r="AB577" s="126">
        <v>3</v>
      </c>
      <c r="AC577" s="126">
        <v>6</v>
      </c>
      <c r="AD577" s="126">
        <v>2026</v>
      </c>
    </row>
    <row r="578" spans="3:30">
      <c r="C578" s="126">
        <v>571</v>
      </c>
      <c r="D578" s="126">
        <v>45</v>
      </c>
      <c r="E578" s="126">
        <v>11</v>
      </c>
      <c r="F578" s="126">
        <v>1</v>
      </c>
      <c r="G578" s="126">
        <v>1</v>
      </c>
      <c r="H578" s="126">
        <v>1</v>
      </c>
      <c r="I578" s="126">
        <v>1</v>
      </c>
      <c r="J578" s="126">
        <v>75</v>
      </c>
      <c r="M578" s="126">
        <v>201</v>
      </c>
      <c r="N578" s="126">
        <v>1</v>
      </c>
      <c r="P578" s="126">
        <v>161</v>
      </c>
      <c r="R578" s="126" t="s">
        <v>549</v>
      </c>
      <c r="S578" s="259">
        <v>0.13</v>
      </c>
      <c r="T578" s="259">
        <v>0</v>
      </c>
      <c r="U578" s="68" t="s">
        <v>1384</v>
      </c>
      <c r="V578" s="126">
        <v>1</v>
      </c>
      <c r="Z578" s="126">
        <v>1</v>
      </c>
      <c r="AA578" s="126">
        <v>1</v>
      </c>
      <c r="AB578" s="126">
        <v>3</v>
      </c>
      <c r="AC578" s="126">
        <v>6</v>
      </c>
      <c r="AD578" s="126">
        <v>2026</v>
      </c>
    </row>
    <row r="579" spans="3:30">
      <c r="C579" s="126">
        <v>572</v>
      </c>
      <c r="D579" s="126">
        <v>45</v>
      </c>
      <c r="E579" s="126">
        <v>10</v>
      </c>
      <c r="F579" s="126">
        <v>1</v>
      </c>
      <c r="G579" s="126">
        <v>1</v>
      </c>
      <c r="H579" s="126">
        <v>1</v>
      </c>
      <c r="I579" s="126">
        <v>1</v>
      </c>
      <c r="J579" s="126">
        <v>75</v>
      </c>
      <c r="P579" s="126">
        <v>161</v>
      </c>
      <c r="R579" s="126" t="s">
        <v>549</v>
      </c>
      <c r="S579" s="259">
        <v>0</v>
      </c>
      <c r="T579" s="259">
        <v>0.5</v>
      </c>
      <c r="U579" s="68" t="s">
        <v>1385</v>
      </c>
      <c r="V579" s="126">
        <v>1</v>
      </c>
      <c r="Z579" s="126">
        <v>1</v>
      </c>
      <c r="AA579" s="126">
        <v>1</v>
      </c>
      <c r="AB579" s="126">
        <v>3</v>
      </c>
      <c r="AC579" s="126">
        <v>6</v>
      </c>
      <c r="AD579" s="126">
        <v>2026</v>
      </c>
    </row>
    <row r="580" spans="3:30">
      <c r="C580" s="126">
        <v>573</v>
      </c>
      <c r="D580" s="126">
        <v>45</v>
      </c>
      <c r="E580" s="126">
        <v>3</v>
      </c>
      <c r="F580" s="126">
        <v>1</v>
      </c>
      <c r="G580" s="126">
        <v>1</v>
      </c>
      <c r="H580" s="126">
        <v>1</v>
      </c>
      <c r="I580" s="126">
        <v>1</v>
      </c>
      <c r="J580" s="126">
        <v>68</v>
      </c>
      <c r="M580" s="126">
        <v>202</v>
      </c>
      <c r="N580" s="126">
        <v>0</v>
      </c>
      <c r="P580" s="126">
        <v>162</v>
      </c>
      <c r="R580" s="126" t="s">
        <v>549</v>
      </c>
      <c r="S580" s="259">
        <v>0</v>
      </c>
      <c r="T580" s="259">
        <v>0.53</v>
      </c>
      <c r="U580" s="68" t="s">
        <v>1386</v>
      </c>
      <c r="V580" s="126">
        <v>1</v>
      </c>
      <c r="Z580" s="126">
        <v>1</v>
      </c>
      <c r="AA580" s="126">
        <v>1</v>
      </c>
      <c r="AB580" s="126">
        <v>3</v>
      </c>
      <c r="AC580" s="126">
        <v>6</v>
      </c>
      <c r="AD580" s="126">
        <v>2026</v>
      </c>
    </row>
    <row r="581" spans="3:30">
      <c r="C581" s="126">
        <v>574</v>
      </c>
      <c r="D581" s="126">
        <v>45</v>
      </c>
      <c r="E581" s="126">
        <v>11</v>
      </c>
      <c r="F581" s="126">
        <v>1</v>
      </c>
      <c r="G581" s="126">
        <v>1</v>
      </c>
      <c r="H581" s="126">
        <v>1</v>
      </c>
      <c r="I581" s="126">
        <v>1</v>
      </c>
      <c r="J581" s="126">
        <v>68</v>
      </c>
      <c r="M581" s="126">
        <v>202</v>
      </c>
      <c r="N581" s="126">
        <v>1</v>
      </c>
      <c r="P581" s="126">
        <v>162</v>
      </c>
      <c r="R581" s="126" t="s">
        <v>549</v>
      </c>
      <c r="S581" s="259">
        <v>0.53</v>
      </c>
      <c r="T581" s="259">
        <v>0</v>
      </c>
      <c r="U581" s="68" t="s">
        <v>1387</v>
      </c>
      <c r="V581" s="126">
        <v>1</v>
      </c>
      <c r="Z581" s="126">
        <v>1</v>
      </c>
      <c r="AA581" s="126">
        <v>1</v>
      </c>
      <c r="AB581" s="126">
        <v>3</v>
      </c>
      <c r="AC581" s="126">
        <v>6</v>
      </c>
      <c r="AD581" s="126">
        <v>2026</v>
      </c>
    </row>
    <row r="582" spans="3:30">
      <c r="C582" s="126">
        <v>575</v>
      </c>
      <c r="D582" s="126">
        <v>45</v>
      </c>
      <c r="E582" s="126">
        <v>10</v>
      </c>
      <c r="F582" s="126">
        <v>1</v>
      </c>
      <c r="G582" s="126">
        <v>1</v>
      </c>
      <c r="H582" s="126">
        <v>1</v>
      </c>
      <c r="I582" s="126">
        <v>1</v>
      </c>
      <c r="J582" s="126">
        <v>68</v>
      </c>
      <c r="P582" s="126">
        <v>162</v>
      </c>
      <c r="R582" s="126" t="s">
        <v>549</v>
      </c>
      <c r="S582" s="259">
        <v>0</v>
      </c>
      <c r="T582" s="259">
        <v>0.75</v>
      </c>
      <c r="U582" s="68" t="s">
        <v>1388</v>
      </c>
      <c r="V582" s="126">
        <v>1</v>
      </c>
      <c r="Z582" s="126">
        <v>1</v>
      </c>
      <c r="AA582" s="126">
        <v>1</v>
      </c>
      <c r="AB582" s="126">
        <v>3</v>
      </c>
      <c r="AC582" s="126">
        <v>6</v>
      </c>
      <c r="AD582" s="126">
        <v>2026</v>
      </c>
    </row>
    <row r="583" spans="3:30">
      <c r="C583" s="126">
        <v>576</v>
      </c>
      <c r="D583" s="126">
        <v>46</v>
      </c>
      <c r="E583" s="126">
        <v>2</v>
      </c>
      <c r="F583" s="126">
        <v>1</v>
      </c>
      <c r="G583" s="126">
        <v>1</v>
      </c>
      <c r="H583" s="126">
        <v>1</v>
      </c>
      <c r="I583" s="126">
        <v>1</v>
      </c>
      <c r="R583" s="126" t="s">
        <v>549</v>
      </c>
      <c r="S583" s="259">
        <v>53.75</v>
      </c>
      <c r="T583" s="259">
        <v>0</v>
      </c>
      <c r="U583" s="68" t="s">
        <v>1390</v>
      </c>
      <c r="V583" s="126">
        <v>1</v>
      </c>
      <c r="Z583" s="126">
        <v>1</v>
      </c>
      <c r="AA583" s="126">
        <v>1</v>
      </c>
      <c r="AB583" s="126">
        <v>3</v>
      </c>
      <c r="AC583" s="126">
        <v>6</v>
      </c>
      <c r="AD583" s="126">
        <v>2026</v>
      </c>
    </row>
    <row r="584" spans="3:30">
      <c r="C584" s="126">
        <v>577</v>
      </c>
      <c r="D584" s="126">
        <v>46</v>
      </c>
      <c r="E584" s="126">
        <v>3</v>
      </c>
      <c r="F584" s="126">
        <v>1</v>
      </c>
      <c r="G584" s="126">
        <v>1</v>
      </c>
      <c r="H584" s="126">
        <v>1</v>
      </c>
      <c r="I584" s="126">
        <v>1</v>
      </c>
      <c r="J584" s="126">
        <v>177</v>
      </c>
      <c r="M584" s="126">
        <v>203</v>
      </c>
      <c r="N584" s="126">
        <v>0</v>
      </c>
      <c r="P584" s="126">
        <v>163</v>
      </c>
      <c r="R584" s="126" t="s">
        <v>549</v>
      </c>
      <c r="S584" s="259">
        <v>0</v>
      </c>
      <c r="T584" s="259">
        <v>20.75</v>
      </c>
      <c r="U584" s="68" t="s">
        <v>1391</v>
      </c>
      <c r="V584" s="126">
        <v>1</v>
      </c>
      <c r="Z584" s="126">
        <v>1</v>
      </c>
      <c r="AA584" s="126">
        <v>1</v>
      </c>
      <c r="AB584" s="126">
        <v>3</v>
      </c>
      <c r="AC584" s="126">
        <v>6</v>
      </c>
      <c r="AD584" s="126">
        <v>2026</v>
      </c>
    </row>
    <row r="585" spans="3:30">
      <c r="C585" s="126">
        <v>578</v>
      </c>
      <c r="D585" s="126">
        <v>46</v>
      </c>
      <c r="E585" s="126">
        <v>11</v>
      </c>
      <c r="F585" s="126">
        <v>1</v>
      </c>
      <c r="G585" s="126">
        <v>1</v>
      </c>
      <c r="H585" s="126">
        <v>1</v>
      </c>
      <c r="I585" s="126">
        <v>1</v>
      </c>
      <c r="J585" s="126">
        <v>177</v>
      </c>
      <c r="M585" s="126">
        <v>203</v>
      </c>
      <c r="N585" s="126">
        <v>1</v>
      </c>
      <c r="P585" s="126">
        <v>163</v>
      </c>
      <c r="R585" s="126" t="s">
        <v>549</v>
      </c>
      <c r="S585" s="259">
        <v>20.75</v>
      </c>
      <c r="T585" s="259">
        <v>0</v>
      </c>
      <c r="U585" s="68" t="s">
        <v>1392</v>
      </c>
      <c r="V585" s="126">
        <v>1</v>
      </c>
      <c r="Z585" s="126">
        <v>1</v>
      </c>
      <c r="AA585" s="126">
        <v>1</v>
      </c>
      <c r="AB585" s="126">
        <v>3</v>
      </c>
      <c r="AC585" s="126">
        <v>6</v>
      </c>
      <c r="AD585" s="126">
        <v>2026</v>
      </c>
    </row>
    <row r="586" spans="3:30">
      <c r="C586" s="126">
        <v>579</v>
      </c>
      <c r="D586" s="126">
        <v>46</v>
      </c>
      <c r="E586" s="126">
        <v>10</v>
      </c>
      <c r="F586" s="126">
        <v>1</v>
      </c>
      <c r="G586" s="126">
        <v>1</v>
      </c>
      <c r="H586" s="126">
        <v>1</v>
      </c>
      <c r="I586" s="126">
        <v>1</v>
      </c>
      <c r="J586" s="126">
        <v>177</v>
      </c>
      <c r="P586" s="126">
        <v>163</v>
      </c>
      <c r="R586" s="126" t="s">
        <v>549</v>
      </c>
      <c r="S586" s="259">
        <v>0</v>
      </c>
      <c r="T586" s="259">
        <v>23.75</v>
      </c>
      <c r="U586" s="68" t="s">
        <v>1393</v>
      </c>
      <c r="V586" s="126">
        <v>1</v>
      </c>
      <c r="Z586" s="126">
        <v>1</v>
      </c>
      <c r="AA586" s="126">
        <v>1</v>
      </c>
      <c r="AB586" s="126">
        <v>3</v>
      </c>
      <c r="AC586" s="126">
        <v>6</v>
      </c>
      <c r="AD586" s="126">
        <v>2026</v>
      </c>
    </row>
    <row r="587" spans="3:30">
      <c r="C587" s="126">
        <v>580</v>
      </c>
      <c r="D587" s="126">
        <v>46</v>
      </c>
      <c r="E587" s="126">
        <v>3</v>
      </c>
      <c r="F587" s="126">
        <v>1</v>
      </c>
      <c r="G587" s="126">
        <v>1</v>
      </c>
      <c r="H587" s="126">
        <v>1</v>
      </c>
      <c r="I587" s="126">
        <v>1</v>
      </c>
      <c r="J587" s="126">
        <v>179</v>
      </c>
      <c r="M587" s="126">
        <v>204</v>
      </c>
      <c r="N587" s="126">
        <v>0</v>
      </c>
      <c r="P587" s="126">
        <v>164</v>
      </c>
      <c r="R587" s="126" t="s">
        <v>549</v>
      </c>
      <c r="S587" s="259">
        <v>0</v>
      </c>
      <c r="T587" s="259">
        <v>28.5</v>
      </c>
      <c r="U587" s="68" t="s">
        <v>1394</v>
      </c>
      <c r="V587" s="126">
        <v>1</v>
      </c>
      <c r="Z587" s="126">
        <v>1</v>
      </c>
      <c r="AA587" s="126">
        <v>1</v>
      </c>
      <c r="AB587" s="126">
        <v>3</v>
      </c>
      <c r="AC587" s="126">
        <v>6</v>
      </c>
      <c r="AD587" s="126">
        <v>2026</v>
      </c>
    </row>
    <row r="588" spans="3:30">
      <c r="C588" s="126">
        <v>581</v>
      </c>
      <c r="D588" s="126">
        <v>46</v>
      </c>
      <c r="E588" s="126">
        <v>11</v>
      </c>
      <c r="F588" s="126">
        <v>1</v>
      </c>
      <c r="G588" s="126">
        <v>1</v>
      </c>
      <c r="H588" s="126">
        <v>1</v>
      </c>
      <c r="I588" s="126">
        <v>1</v>
      </c>
      <c r="J588" s="126">
        <v>179</v>
      </c>
      <c r="M588" s="126">
        <v>204</v>
      </c>
      <c r="N588" s="126">
        <v>1</v>
      </c>
      <c r="P588" s="126">
        <v>164</v>
      </c>
      <c r="R588" s="126" t="s">
        <v>549</v>
      </c>
      <c r="S588" s="259">
        <v>28.5</v>
      </c>
      <c r="T588" s="259">
        <v>0</v>
      </c>
      <c r="U588" s="68" t="s">
        <v>1395</v>
      </c>
      <c r="V588" s="126">
        <v>1</v>
      </c>
      <c r="Z588" s="126">
        <v>1</v>
      </c>
      <c r="AA588" s="126">
        <v>1</v>
      </c>
      <c r="AB588" s="126">
        <v>3</v>
      </c>
      <c r="AC588" s="126">
        <v>6</v>
      </c>
      <c r="AD588" s="126">
        <v>2026</v>
      </c>
    </row>
    <row r="589" spans="3:30">
      <c r="C589" s="126">
        <v>582</v>
      </c>
      <c r="D589" s="126">
        <v>46</v>
      </c>
      <c r="E589" s="126">
        <v>10</v>
      </c>
      <c r="F589" s="126">
        <v>1</v>
      </c>
      <c r="G589" s="126">
        <v>1</v>
      </c>
      <c r="H589" s="126">
        <v>1</v>
      </c>
      <c r="I589" s="126">
        <v>1</v>
      </c>
      <c r="J589" s="126">
        <v>179</v>
      </c>
      <c r="P589" s="126">
        <v>164</v>
      </c>
      <c r="R589" s="126" t="s">
        <v>549</v>
      </c>
      <c r="S589" s="259">
        <v>0</v>
      </c>
      <c r="T589" s="259">
        <v>30</v>
      </c>
      <c r="U589" s="68" t="s">
        <v>1396</v>
      </c>
      <c r="V589" s="126">
        <v>1</v>
      </c>
      <c r="Z589" s="126">
        <v>1</v>
      </c>
      <c r="AA589" s="126">
        <v>1</v>
      </c>
      <c r="AB589" s="126">
        <v>3</v>
      </c>
      <c r="AC589" s="126">
        <v>6</v>
      </c>
      <c r="AD589" s="126">
        <v>2026</v>
      </c>
    </row>
    <row r="590" spans="3:30">
      <c r="C590" s="126">
        <v>583</v>
      </c>
      <c r="D590" s="126">
        <v>47</v>
      </c>
      <c r="E590" s="126">
        <v>2</v>
      </c>
      <c r="F590" s="126">
        <v>1</v>
      </c>
      <c r="G590" s="126">
        <v>1</v>
      </c>
      <c r="H590" s="126">
        <v>1</v>
      </c>
      <c r="I590" s="126">
        <v>1</v>
      </c>
      <c r="R590" s="126" t="s">
        <v>549</v>
      </c>
      <c r="S590" s="259">
        <v>72</v>
      </c>
      <c r="T590" s="259">
        <v>0</v>
      </c>
      <c r="U590" s="68" t="s">
        <v>1398</v>
      </c>
      <c r="V590" s="126">
        <v>1</v>
      </c>
      <c r="Z590" s="126">
        <v>1</v>
      </c>
      <c r="AA590" s="126">
        <v>1</v>
      </c>
      <c r="AB590" s="126">
        <v>3</v>
      </c>
      <c r="AC590" s="126">
        <v>6</v>
      </c>
      <c r="AD590" s="126">
        <v>2026</v>
      </c>
    </row>
    <row r="591" spans="3:30">
      <c r="C591" s="126">
        <v>584</v>
      </c>
      <c r="D591" s="126">
        <v>47</v>
      </c>
      <c r="E591" s="126">
        <v>3</v>
      </c>
      <c r="F591" s="126">
        <v>1</v>
      </c>
      <c r="G591" s="126">
        <v>1</v>
      </c>
      <c r="H591" s="126">
        <v>1</v>
      </c>
      <c r="I591" s="126">
        <v>1</v>
      </c>
      <c r="J591" s="126">
        <v>179</v>
      </c>
      <c r="M591" s="126">
        <v>205</v>
      </c>
      <c r="N591" s="126">
        <v>0</v>
      </c>
      <c r="P591" s="126">
        <v>165</v>
      </c>
      <c r="R591" s="126" t="s">
        <v>549</v>
      </c>
      <c r="S591" s="259">
        <v>0</v>
      </c>
      <c r="T591" s="259">
        <v>28.5</v>
      </c>
      <c r="U591" s="68" t="s">
        <v>1399</v>
      </c>
      <c r="V591" s="126">
        <v>1</v>
      </c>
      <c r="Z591" s="126">
        <v>1</v>
      </c>
      <c r="AA591" s="126">
        <v>1</v>
      </c>
      <c r="AB591" s="126">
        <v>3</v>
      </c>
      <c r="AC591" s="126">
        <v>6</v>
      </c>
      <c r="AD591" s="126">
        <v>2026</v>
      </c>
    </row>
    <row r="592" spans="3:30">
      <c r="C592" s="126">
        <v>585</v>
      </c>
      <c r="D592" s="126">
        <v>47</v>
      </c>
      <c r="E592" s="126">
        <v>11</v>
      </c>
      <c r="F592" s="126">
        <v>1</v>
      </c>
      <c r="G592" s="126">
        <v>1</v>
      </c>
      <c r="H592" s="126">
        <v>1</v>
      </c>
      <c r="I592" s="126">
        <v>1</v>
      </c>
      <c r="J592" s="126">
        <v>179</v>
      </c>
      <c r="M592" s="126">
        <v>205</v>
      </c>
      <c r="N592" s="126">
        <v>1</v>
      </c>
      <c r="P592" s="126">
        <v>165</v>
      </c>
      <c r="R592" s="126" t="s">
        <v>549</v>
      </c>
      <c r="S592" s="259">
        <v>28.5</v>
      </c>
      <c r="T592" s="259">
        <v>0</v>
      </c>
      <c r="U592" s="68" t="s">
        <v>1400</v>
      </c>
      <c r="V592" s="126">
        <v>1</v>
      </c>
      <c r="Z592" s="126">
        <v>1</v>
      </c>
      <c r="AA592" s="126">
        <v>1</v>
      </c>
      <c r="AB592" s="126">
        <v>3</v>
      </c>
      <c r="AC592" s="126">
        <v>6</v>
      </c>
      <c r="AD592" s="126">
        <v>2026</v>
      </c>
    </row>
    <row r="593" spans="3:30">
      <c r="C593" s="126">
        <v>586</v>
      </c>
      <c r="D593" s="126">
        <v>47</v>
      </c>
      <c r="E593" s="126">
        <v>10</v>
      </c>
      <c r="F593" s="126">
        <v>1</v>
      </c>
      <c r="G593" s="126">
        <v>1</v>
      </c>
      <c r="H593" s="126">
        <v>1</v>
      </c>
      <c r="I593" s="126">
        <v>1</v>
      </c>
      <c r="J593" s="126">
        <v>179</v>
      </c>
      <c r="P593" s="126">
        <v>165</v>
      </c>
      <c r="R593" s="126" t="s">
        <v>549</v>
      </c>
      <c r="S593" s="259">
        <v>0</v>
      </c>
      <c r="T593" s="259">
        <v>30</v>
      </c>
      <c r="U593" s="68" t="s">
        <v>1401</v>
      </c>
      <c r="V593" s="126">
        <v>1</v>
      </c>
      <c r="Z593" s="126">
        <v>1</v>
      </c>
      <c r="AA593" s="126">
        <v>1</v>
      </c>
      <c r="AB593" s="126">
        <v>3</v>
      </c>
      <c r="AC593" s="126">
        <v>6</v>
      </c>
      <c r="AD593" s="126">
        <v>2026</v>
      </c>
    </row>
    <row r="594" spans="3:30">
      <c r="C594" s="126">
        <v>587</v>
      </c>
      <c r="D594" s="126">
        <v>47</v>
      </c>
      <c r="E594" s="126">
        <v>3</v>
      </c>
      <c r="F594" s="126">
        <v>1</v>
      </c>
      <c r="G594" s="126">
        <v>1</v>
      </c>
      <c r="H594" s="126">
        <v>1</v>
      </c>
      <c r="I594" s="126">
        <v>1</v>
      </c>
      <c r="J594" s="126">
        <v>177</v>
      </c>
      <c r="M594" s="126">
        <v>206</v>
      </c>
      <c r="N594" s="126">
        <v>0</v>
      </c>
      <c r="P594" s="126">
        <v>166</v>
      </c>
      <c r="R594" s="126" t="s">
        <v>549</v>
      </c>
      <c r="S594" s="259">
        <v>0</v>
      </c>
      <c r="T594" s="259">
        <v>12.450000000000001</v>
      </c>
      <c r="U594" s="68" t="s">
        <v>1402</v>
      </c>
      <c r="V594" s="126">
        <v>1</v>
      </c>
      <c r="Z594" s="126">
        <v>1</v>
      </c>
      <c r="AA594" s="126">
        <v>1</v>
      </c>
      <c r="AB594" s="126">
        <v>3</v>
      </c>
      <c r="AC594" s="126">
        <v>6</v>
      </c>
      <c r="AD594" s="126">
        <v>2026</v>
      </c>
    </row>
    <row r="595" spans="3:30">
      <c r="C595" s="126">
        <v>588</v>
      </c>
      <c r="D595" s="126">
        <v>47</v>
      </c>
      <c r="E595" s="126">
        <v>11</v>
      </c>
      <c r="F595" s="126">
        <v>1</v>
      </c>
      <c r="G595" s="126">
        <v>1</v>
      </c>
      <c r="H595" s="126">
        <v>1</v>
      </c>
      <c r="I595" s="126">
        <v>1</v>
      </c>
      <c r="J595" s="126">
        <v>177</v>
      </c>
      <c r="M595" s="126">
        <v>206</v>
      </c>
      <c r="N595" s="126">
        <v>1</v>
      </c>
      <c r="P595" s="126">
        <v>166</v>
      </c>
      <c r="R595" s="126" t="s">
        <v>549</v>
      </c>
      <c r="S595" s="259">
        <v>12.450000000000001</v>
      </c>
      <c r="T595" s="259">
        <v>0</v>
      </c>
      <c r="U595" s="68" t="s">
        <v>1403</v>
      </c>
      <c r="V595" s="126">
        <v>1</v>
      </c>
      <c r="Z595" s="126">
        <v>1</v>
      </c>
      <c r="AA595" s="126">
        <v>1</v>
      </c>
      <c r="AB595" s="126">
        <v>3</v>
      </c>
      <c r="AC595" s="126">
        <v>6</v>
      </c>
      <c r="AD595" s="126">
        <v>2026</v>
      </c>
    </row>
    <row r="596" spans="3:30">
      <c r="C596" s="126">
        <v>589</v>
      </c>
      <c r="D596" s="126">
        <v>47</v>
      </c>
      <c r="E596" s="126">
        <v>10</v>
      </c>
      <c r="F596" s="126">
        <v>1</v>
      </c>
      <c r="G596" s="126">
        <v>1</v>
      </c>
      <c r="H596" s="126">
        <v>1</v>
      </c>
      <c r="I596" s="126">
        <v>1</v>
      </c>
      <c r="J596" s="126">
        <v>177</v>
      </c>
      <c r="P596" s="126">
        <v>166</v>
      </c>
      <c r="R596" s="126" t="s">
        <v>549</v>
      </c>
      <c r="S596" s="259">
        <v>0</v>
      </c>
      <c r="T596" s="259">
        <v>14.25</v>
      </c>
      <c r="U596" s="68" t="s">
        <v>1404</v>
      </c>
      <c r="V596" s="126">
        <v>1</v>
      </c>
      <c r="Z596" s="126">
        <v>1</v>
      </c>
      <c r="AA596" s="126">
        <v>1</v>
      </c>
      <c r="AB596" s="126">
        <v>3</v>
      </c>
      <c r="AC596" s="126">
        <v>6</v>
      </c>
      <c r="AD596" s="126">
        <v>2026</v>
      </c>
    </row>
    <row r="597" spans="3:30">
      <c r="C597" s="126">
        <v>590</v>
      </c>
      <c r="D597" s="126">
        <v>47</v>
      </c>
      <c r="E597" s="126">
        <v>3</v>
      </c>
      <c r="F597" s="126">
        <v>1</v>
      </c>
      <c r="G597" s="126">
        <v>1</v>
      </c>
      <c r="H597" s="126">
        <v>1</v>
      </c>
      <c r="I597" s="126">
        <v>1</v>
      </c>
      <c r="J597" s="126">
        <v>150</v>
      </c>
      <c r="M597" s="126">
        <v>207</v>
      </c>
      <c r="N597" s="126">
        <v>0</v>
      </c>
      <c r="P597" s="126">
        <v>167</v>
      </c>
      <c r="R597" s="126" t="s">
        <v>549</v>
      </c>
      <c r="S597" s="259">
        <v>0</v>
      </c>
      <c r="T597" s="259">
        <v>3.12</v>
      </c>
      <c r="U597" s="68" t="s">
        <v>1408</v>
      </c>
      <c r="V597" s="126">
        <v>1</v>
      </c>
      <c r="Z597" s="126">
        <v>1</v>
      </c>
      <c r="AA597" s="126">
        <v>1</v>
      </c>
      <c r="AB597" s="126">
        <v>3</v>
      </c>
      <c r="AC597" s="126">
        <v>6</v>
      </c>
      <c r="AD597" s="126">
        <v>2026</v>
      </c>
    </row>
    <row r="598" spans="3:30">
      <c r="C598" s="126">
        <v>591</v>
      </c>
      <c r="D598" s="126">
        <v>47</v>
      </c>
      <c r="E598" s="126">
        <v>11</v>
      </c>
      <c r="F598" s="126">
        <v>1</v>
      </c>
      <c r="G598" s="126">
        <v>1</v>
      </c>
      <c r="H598" s="126">
        <v>1</v>
      </c>
      <c r="I598" s="126">
        <v>1</v>
      </c>
      <c r="J598" s="126">
        <v>150</v>
      </c>
      <c r="M598" s="126">
        <v>207</v>
      </c>
      <c r="N598" s="126">
        <v>1</v>
      </c>
      <c r="P598" s="126">
        <v>167</v>
      </c>
      <c r="R598" s="126" t="s">
        <v>549</v>
      </c>
      <c r="S598" s="259">
        <v>3.12</v>
      </c>
      <c r="T598" s="259">
        <v>0</v>
      </c>
      <c r="U598" s="68" t="s">
        <v>1409</v>
      </c>
      <c r="V598" s="126">
        <v>1</v>
      </c>
      <c r="Z598" s="126">
        <v>1</v>
      </c>
      <c r="AA598" s="126">
        <v>1</v>
      </c>
      <c r="AB598" s="126">
        <v>3</v>
      </c>
      <c r="AC598" s="126">
        <v>6</v>
      </c>
      <c r="AD598" s="126">
        <v>2026</v>
      </c>
    </row>
    <row r="599" spans="3:30">
      <c r="C599" s="126">
        <v>592</v>
      </c>
      <c r="D599" s="126">
        <v>47</v>
      </c>
      <c r="E599" s="126">
        <v>10</v>
      </c>
      <c r="F599" s="126">
        <v>1</v>
      </c>
      <c r="G599" s="126">
        <v>1</v>
      </c>
      <c r="H599" s="126">
        <v>1</v>
      </c>
      <c r="I599" s="126">
        <v>1</v>
      </c>
      <c r="J599" s="126">
        <v>150</v>
      </c>
      <c r="P599" s="126">
        <v>167</v>
      </c>
      <c r="R599" s="126" t="s">
        <v>549</v>
      </c>
      <c r="S599" s="259">
        <v>0</v>
      </c>
      <c r="T599" s="259">
        <v>6</v>
      </c>
      <c r="U599" s="68" t="s">
        <v>1410</v>
      </c>
      <c r="V599" s="126">
        <v>1</v>
      </c>
      <c r="Z599" s="126">
        <v>1</v>
      </c>
      <c r="AA599" s="126">
        <v>1</v>
      </c>
      <c r="AB599" s="126">
        <v>3</v>
      </c>
      <c r="AC599" s="126">
        <v>6</v>
      </c>
      <c r="AD599" s="126">
        <v>2026</v>
      </c>
    </row>
    <row r="600" spans="3:30">
      <c r="C600" s="126">
        <v>593</v>
      </c>
      <c r="D600" s="126">
        <v>47</v>
      </c>
      <c r="E600" s="126">
        <v>3</v>
      </c>
      <c r="F600" s="126">
        <v>1</v>
      </c>
      <c r="G600" s="126">
        <v>1</v>
      </c>
      <c r="H600" s="126">
        <v>1</v>
      </c>
      <c r="I600" s="126">
        <v>1</v>
      </c>
      <c r="J600" s="126">
        <v>18</v>
      </c>
      <c r="M600" s="126">
        <v>208</v>
      </c>
      <c r="N600" s="126">
        <v>0</v>
      </c>
      <c r="P600" s="126">
        <v>168</v>
      </c>
      <c r="R600" s="126" t="s">
        <v>549</v>
      </c>
      <c r="S600" s="259">
        <v>0</v>
      </c>
      <c r="T600" s="259">
        <v>2.7</v>
      </c>
      <c r="U600" s="68" t="s">
        <v>1411</v>
      </c>
      <c r="V600" s="126">
        <v>1</v>
      </c>
      <c r="Z600" s="126">
        <v>1</v>
      </c>
      <c r="AA600" s="126">
        <v>1</v>
      </c>
      <c r="AB600" s="126">
        <v>3</v>
      </c>
      <c r="AC600" s="126">
        <v>6</v>
      </c>
      <c r="AD600" s="126">
        <v>2026</v>
      </c>
    </row>
    <row r="601" spans="3:30">
      <c r="C601" s="126">
        <v>594</v>
      </c>
      <c r="D601" s="126">
        <v>47</v>
      </c>
      <c r="E601" s="126">
        <v>11</v>
      </c>
      <c r="F601" s="126">
        <v>1</v>
      </c>
      <c r="G601" s="126">
        <v>1</v>
      </c>
      <c r="H601" s="126">
        <v>1</v>
      </c>
      <c r="I601" s="126">
        <v>1</v>
      </c>
      <c r="J601" s="126">
        <v>18</v>
      </c>
      <c r="M601" s="126">
        <v>208</v>
      </c>
      <c r="N601" s="126">
        <v>1</v>
      </c>
      <c r="P601" s="126">
        <v>168</v>
      </c>
      <c r="R601" s="126" t="s">
        <v>549</v>
      </c>
      <c r="S601" s="259">
        <v>2.7</v>
      </c>
      <c r="T601" s="259">
        <v>0</v>
      </c>
      <c r="U601" s="68" t="s">
        <v>1412</v>
      </c>
      <c r="V601" s="126">
        <v>1</v>
      </c>
      <c r="Z601" s="126">
        <v>1</v>
      </c>
      <c r="AA601" s="126">
        <v>1</v>
      </c>
      <c r="AB601" s="126">
        <v>3</v>
      </c>
      <c r="AC601" s="126">
        <v>6</v>
      </c>
      <c r="AD601" s="126">
        <v>2026</v>
      </c>
    </row>
    <row r="602" spans="3:30">
      <c r="C602" s="126">
        <v>595</v>
      </c>
      <c r="D602" s="126">
        <v>47</v>
      </c>
      <c r="E602" s="126">
        <v>10</v>
      </c>
      <c r="F602" s="126">
        <v>1</v>
      </c>
      <c r="G602" s="126">
        <v>1</v>
      </c>
      <c r="H602" s="126">
        <v>1</v>
      </c>
      <c r="I602" s="126">
        <v>1</v>
      </c>
      <c r="J602" s="126">
        <v>18</v>
      </c>
      <c r="P602" s="126">
        <v>168</v>
      </c>
      <c r="R602" s="126" t="s">
        <v>549</v>
      </c>
      <c r="S602" s="259">
        <v>0</v>
      </c>
      <c r="T602" s="259">
        <v>4</v>
      </c>
      <c r="U602" s="68" t="s">
        <v>1413</v>
      </c>
      <c r="V602" s="126">
        <v>1</v>
      </c>
      <c r="Z602" s="126">
        <v>1</v>
      </c>
      <c r="AA602" s="126">
        <v>1</v>
      </c>
      <c r="AB602" s="126">
        <v>3</v>
      </c>
      <c r="AC602" s="126">
        <v>6</v>
      </c>
      <c r="AD602" s="126">
        <v>2026</v>
      </c>
    </row>
    <row r="603" spans="3:30">
      <c r="C603" s="126">
        <v>596</v>
      </c>
      <c r="D603" s="126">
        <v>47</v>
      </c>
      <c r="E603" s="126">
        <v>3</v>
      </c>
      <c r="F603" s="126">
        <v>1</v>
      </c>
      <c r="G603" s="126">
        <v>1</v>
      </c>
      <c r="H603" s="126">
        <v>1</v>
      </c>
      <c r="I603" s="126">
        <v>1</v>
      </c>
      <c r="J603" s="126">
        <v>108</v>
      </c>
      <c r="M603" s="126">
        <v>209</v>
      </c>
      <c r="N603" s="126">
        <v>0</v>
      </c>
      <c r="P603" s="126">
        <v>169</v>
      </c>
      <c r="R603" s="126" t="s">
        <v>549</v>
      </c>
      <c r="S603" s="259">
        <v>0</v>
      </c>
      <c r="T603" s="259">
        <v>2.7</v>
      </c>
      <c r="U603" s="68" t="s">
        <v>1414</v>
      </c>
      <c r="V603" s="126">
        <v>1</v>
      </c>
      <c r="Z603" s="126">
        <v>1</v>
      </c>
      <c r="AA603" s="126">
        <v>1</v>
      </c>
      <c r="AB603" s="126">
        <v>3</v>
      </c>
      <c r="AC603" s="126">
        <v>6</v>
      </c>
      <c r="AD603" s="126">
        <v>2026</v>
      </c>
    </row>
    <row r="604" spans="3:30">
      <c r="C604" s="126">
        <v>597</v>
      </c>
      <c r="D604" s="126">
        <v>47</v>
      </c>
      <c r="E604" s="126">
        <v>11</v>
      </c>
      <c r="F604" s="126">
        <v>1</v>
      </c>
      <c r="G604" s="126">
        <v>1</v>
      </c>
      <c r="H604" s="126">
        <v>1</v>
      </c>
      <c r="I604" s="126">
        <v>1</v>
      </c>
      <c r="J604" s="126">
        <v>108</v>
      </c>
      <c r="M604" s="126">
        <v>209</v>
      </c>
      <c r="N604" s="126">
        <v>1</v>
      </c>
      <c r="P604" s="126">
        <v>169</v>
      </c>
      <c r="R604" s="126" t="s">
        <v>549</v>
      </c>
      <c r="S604" s="259">
        <v>2.7</v>
      </c>
      <c r="T604" s="259">
        <v>0</v>
      </c>
      <c r="U604" s="68" t="s">
        <v>1415</v>
      </c>
      <c r="V604" s="126">
        <v>1</v>
      </c>
      <c r="Z604" s="126">
        <v>1</v>
      </c>
      <c r="AA604" s="126">
        <v>1</v>
      </c>
      <c r="AB604" s="126">
        <v>3</v>
      </c>
      <c r="AC604" s="126">
        <v>6</v>
      </c>
      <c r="AD604" s="126">
        <v>2026</v>
      </c>
    </row>
    <row r="605" spans="3:30">
      <c r="C605" s="126">
        <v>598</v>
      </c>
      <c r="D605" s="126">
        <v>47</v>
      </c>
      <c r="E605" s="126">
        <v>10</v>
      </c>
      <c r="F605" s="126">
        <v>1</v>
      </c>
      <c r="G605" s="126">
        <v>1</v>
      </c>
      <c r="H605" s="126">
        <v>1</v>
      </c>
      <c r="I605" s="126">
        <v>1</v>
      </c>
      <c r="J605" s="126">
        <v>108</v>
      </c>
      <c r="P605" s="126">
        <v>169</v>
      </c>
      <c r="R605" s="126" t="s">
        <v>549</v>
      </c>
      <c r="S605" s="259">
        <v>0</v>
      </c>
      <c r="T605" s="259">
        <v>3</v>
      </c>
      <c r="U605" s="68" t="s">
        <v>1416</v>
      </c>
      <c r="V605" s="126">
        <v>1</v>
      </c>
      <c r="Z605" s="126">
        <v>1</v>
      </c>
      <c r="AA605" s="126">
        <v>1</v>
      </c>
      <c r="AB605" s="126">
        <v>3</v>
      </c>
      <c r="AC605" s="126">
        <v>6</v>
      </c>
      <c r="AD605" s="126">
        <v>2026</v>
      </c>
    </row>
    <row r="606" spans="3:30">
      <c r="C606" s="126">
        <v>599</v>
      </c>
      <c r="D606" s="126">
        <v>47</v>
      </c>
      <c r="E606" s="126">
        <v>3</v>
      </c>
      <c r="F606" s="126">
        <v>1</v>
      </c>
      <c r="G606" s="126">
        <v>1</v>
      </c>
      <c r="H606" s="126">
        <v>1</v>
      </c>
      <c r="I606" s="126">
        <v>1</v>
      </c>
      <c r="J606" s="126">
        <v>22</v>
      </c>
      <c r="M606" s="126">
        <v>210</v>
      </c>
      <c r="N606" s="126">
        <v>0</v>
      </c>
      <c r="P606" s="126">
        <v>170</v>
      </c>
      <c r="R606" s="126" t="s">
        <v>549</v>
      </c>
      <c r="S606" s="259">
        <v>0</v>
      </c>
      <c r="T606" s="259">
        <v>5.8</v>
      </c>
      <c r="U606" s="68" t="s">
        <v>1417</v>
      </c>
      <c r="V606" s="126">
        <v>1</v>
      </c>
      <c r="Z606" s="126">
        <v>1</v>
      </c>
      <c r="AA606" s="126">
        <v>1</v>
      </c>
      <c r="AB606" s="126">
        <v>3</v>
      </c>
      <c r="AC606" s="126">
        <v>6</v>
      </c>
      <c r="AD606" s="126">
        <v>2026</v>
      </c>
    </row>
    <row r="607" spans="3:30">
      <c r="C607" s="126">
        <v>600</v>
      </c>
      <c r="D607" s="126">
        <v>47</v>
      </c>
      <c r="E607" s="126">
        <v>11</v>
      </c>
      <c r="F607" s="126">
        <v>1</v>
      </c>
      <c r="G607" s="126">
        <v>1</v>
      </c>
      <c r="H607" s="126">
        <v>1</v>
      </c>
      <c r="I607" s="126">
        <v>1</v>
      </c>
      <c r="J607" s="126">
        <v>22</v>
      </c>
      <c r="M607" s="126">
        <v>210</v>
      </c>
      <c r="N607" s="126">
        <v>1</v>
      </c>
      <c r="P607" s="126">
        <v>170</v>
      </c>
      <c r="R607" s="126" t="s">
        <v>549</v>
      </c>
      <c r="S607" s="259">
        <v>5.8</v>
      </c>
      <c r="T607" s="259">
        <v>0</v>
      </c>
      <c r="U607" s="68" t="s">
        <v>1418</v>
      </c>
      <c r="V607" s="126">
        <v>1</v>
      </c>
      <c r="Z607" s="126">
        <v>1</v>
      </c>
      <c r="AA607" s="126">
        <v>1</v>
      </c>
      <c r="AB607" s="126">
        <v>3</v>
      </c>
      <c r="AC607" s="126">
        <v>6</v>
      </c>
      <c r="AD607" s="126">
        <v>2026</v>
      </c>
    </row>
    <row r="608" spans="3:30">
      <c r="C608" s="126">
        <v>601</v>
      </c>
      <c r="D608" s="126">
        <v>47</v>
      </c>
      <c r="E608" s="126">
        <v>10</v>
      </c>
      <c r="F608" s="126">
        <v>1</v>
      </c>
      <c r="G608" s="126">
        <v>1</v>
      </c>
      <c r="H608" s="126">
        <v>1</v>
      </c>
      <c r="I608" s="126">
        <v>1</v>
      </c>
      <c r="J608" s="126">
        <v>22</v>
      </c>
      <c r="P608" s="126">
        <v>170</v>
      </c>
      <c r="R608" s="126" t="s">
        <v>549</v>
      </c>
      <c r="S608" s="259">
        <v>0</v>
      </c>
      <c r="T608" s="259">
        <v>7</v>
      </c>
      <c r="U608" s="68" t="s">
        <v>1419</v>
      </c>
      <c r="V608" s="126">
        <v>1</v>
      </c>
      <c r="Z608" s="126">
        <v>1</v>
      </c>
      <c r="AA608" s="126">
        <v>1</v>
      </c>
      <c r="AB608" s="126">
        <v>3</v>
      </c>
      <c r="AC608" s="126">
        <v>6</v>
      </c>
      <c r="AD608" s="126">
        <v>2026</v>
      </c>
    </row>
    <row r="609" spans="3:30">
      <c r="C609" s="126">
        <v>602</v>
      </c>
      <c r="D609" s="126">
        <v>47</v>
      </c>
      <c r="E609" s="126">
        <v>3</v>
      </c>
      <c r="F609" s="126">
        <v>1</v>
      </c>
      <c r="G609" s="126">
        <v>1</v>
      </c>
      <c r="H609" s="126">
        <v>1</v>
      </c>
      <c r="I609" s="126">
        <v>1</v>
      </c>
      <c r="J609" s="126">
        <v>14</v>
      </c>
      <c r="M609" s="126">
        <v>211</v>
      </c>
      <c r="N609" s="126">
        <v>0</v>
      </c>
      <c r="P609" s="126">
        <v>171</v>
      </c>
      <c r="R609" s="126" t="s">
        <v>549</v>
      </c>
      <c r="S609" s="259">
        <v>0</v>
      </c>
      <c r="T609" s="259">
        <v>3.3</v>
      </c>
      <c r="U609" s="68" t="s">
        <v>1420</v>
      </c>
      <c r="V609" s="126">
        <v>1</v>
      </c>
      <c r="Z609" s="126">
        <v>1</v>
      </c>
      <c r="AA609" s="126">
        <v>1</v>
      </c>
      <c r="AB609" s="126">
        <v>3</v>
      </c>
      <c r="AC609" s="126">
        <v>6</v>
      </c>
      <c r="AD609" s="126">
        <v>2026</v>
      </c>
    </row>
    <row r="610" spans="3:30">
      <c r="C610" s="126">
        <v>603</v>
      </c>
      <c r="D610" s="126">
        <v>47</v>
      </c>
      <c r="E610" s="126">
        <v>11</v>
      </c>
      <c r="F610" s="126">
        <v>1</v>
      </c>
      <c r="G610" s="126">
        <v>1</v>
      </c>
      <c r="H610" s="126">
        <v>1</v>
      </c>
      <c r="I610" s="126">
        <v>1</v>
      </c>
      <c r="J610" s="126">
        <v>14</v>
      </c>
      <c r="M610" s="126">
        <v>211</v>
      </c>
      <c r="N610" s="126">
        <v>1</v>
      </c>
      <c r="P610" s="126">
        <v>171</v>
      </c>
      <c r="R610" s="126" t="s">
        <v>549</v>
      </c>
      <c r="S610" s="259">
        <v>3.3</v>
      </c>
      <c r="T610" s="259">
        <v>0</v>
      </c>
      <c r="U610" s="68" t="s">
        <v>1421</v>
      </c>
      <c r="V610" s="126">
        <v>1</v>
      </c>
      <c r="Z610" s="126">
        <v>1</v>
      </c>
      <c r="AA610" s="126">
        <v>1</v>
      </c>
      <c r="AB610" s="126">
        <v>3</v>
      </c>
      <c r="AC610" s="126">
        <v>6</v>
      </c>
      <c r="AD610" s="126">
        <v>2026</v>
      </c>
    </row>
    <row r="611" spans="3:30">
      <c r="C611" s="126">
        <v>604</v>
      </c>
      <c r="D611" s="126">
        <v>47</v>
      </c>
      <c r="E611" s="126">
        <v>10</v>
      </c>
      <c r="F611" s="126">
        <v>1</v>
      </c>
      <c r="G611" s="126">
        <v>1</v>
      </c>
      <c r="H611" s="126">
        <v>1</v>
      </c>
      <c r="I611" s="126">
        <v>1</v>
      </c>
      <c r="J611" s="126">
        <v>14</v>
      </c>
      <c r="P611" s="126">
        <v>171</v>
      </c>
      <c r="R611" s="126" t="s">
        <v>549</v>
      </c>
      <c r="S611" s="259">
        <v>0</v>
      </c>
      <c r="T611" s="259">
        <v>4</v>
      </c>
      <c r="U611" s="68" t="s">
        <v>1422</v>
      </c>
      <c r="V611" s="126">
        <v>1</v>
      </c>
      <c r="Z611" s="126">
        <v>1</v>
      </c>
      <c r="AA611" s="126">
        <v>1</v>
      </c>
      <c r="AB611" s="126">
        <v>3</v>
      </c>
      <c r="AC611" s="126">
        <v>6</v>
      </c>
      <c r="AD611" s="126">
        <v>2026</v>
      </c>
    </row>
    <row r="612" spans="3:30">
      <c r="C612" s="126">
        <v>605</v>
      </c>
      <c r="D612" s="126">
        <v>47</v>
      </c>
      <c r="E612" s="126">
        <v>3</v>
      </c>
      <c r="F612" s="126">
        <v>1</v>
      </c>
      <c r="G612" s="126">
        <v>1</v>
      </c>
      <c r="H612" s="126">
        <v>1</v>
      </c>
      <c r="I612" s="126">
        <v>1</v>
      </c>
      <c r="J612" s="126">
        <v>16</v>
      </c>
      <c r="M612" s="126">
        <v>212</v>
      </c>
      <c r="N612" s="126">
        <v>0</v>
      </c>
      <c r="P612" s="126">
        <v>172</v>
      </c>
      <c r="R612" s="126" t="s">
        <v>549</v>
      </c>
      <c r="S612" s="259">
        <v>0</v>
      </c>
      <c r="T612" s="259">
        <v>2.1</v>
      </c>
      <c r="U612" s="68" t="s">
        <v>1423</v>
      </c>
      <c r="V612" s="126">
        <v>1</v>
      </c>
      <c r="Z612" s="126">
        <v>1</v>
      </c>
      <c r="AA612" s="126">
        <v>1</v>
      </c>
      <c r="AB612" s="126">
        <v>3</v>
      </c>
      <c r="AC612" s="126">
        <v>6</v>
      </c>
      <c r="AD612" s="126">
        <v>2026</v>
      </c>
    </row>
    <row r="613" spans="3:30">
      <c r="C613" s="126">
        <v>606</v>
      </c>
      <c r="D613" s="126">
        <v>47</v>
      </c>
      <c r="E613" s="126">
        <v>11</v>
      </c>
      <c r="F613" s="126">
        <v>1</v>
      </c>
      <c r="G613" s="126">
        <v>1</v>
      </c>
      <c r="H613" s="126">
        <v>1</v>
      </c>
      <c r="I613" s="126">
        <v>1</v>
      </c>
      <c r="J613" s="126">
        <v>16</v>
      </c>
      <c r="M613" s="126">
        <v>212</v>
      </c>
      <c r="N613" s="126">
        <v>1</v>
      </c>
      <c r="P613" s="126">
        <v>172</v>
      </c>
      <c r="R613" s="126" t="s">
        <v>549</v>
      </c>
      <c r="S613" s="259">
        <v>2.1</v>
      </c>
      <c r="T613" s="259">
        <v>0</v>
      </c>
      <c r="U613" s="68" t="s">
        <v>1424</v>
      </c>
      <c r="V613" s="126">
        <v>1</v>
      </c>
      <c r="Z613" s="126">
        <v>1</v>
      </c>
      <c r="AA613" s="126">
        <v>1</v>
      </c>
      <c r="AB613" s="126">
        <v>3</v>
      </c>
      <c r="AC613" s="126">
        <v>6</v>
      </c>
      <c r="AD613" s="126">
        <v>2026</v>
      </c>
    </row>
    <row r="614" spans="3:30">
      <c r="C614" s="126">
        <v>607</v>
      </c>
      <c r="D614" s="126">
        <v>47</v>
      </c>
      <c r="E614" s="126">
        <v>10</v>
      </c>
      <c r="F614" s="126">
        <v>1</v>
      </c>
      <c r="G614" s="126">
        <v>1</v>
      </c>
      <c r="H614" s="126">
        <v>1</v>
      </c>
      <c r="I614" s="126">
        <v>1</v>
      </c>
      <c r="J614" s="126">
        <v>16</v>
      </c>
      <c r="P614" s="126">
        <v>172</v>
      </c>
      <c r="R614" s="126" t="s">
        <v>549</v>
      </c>
      <c r="S614" s="259">
        <v>0</v>
      </c>
      <c r="T614" s="259">
        <v>3</v>
      </c>
      <c r="U614" s="68" t="s">
        <v>1425</v>
      </c>
      <c r="V614" s="126">
        <v>1</v>
      </c>
      <c r="Z614" s="126">
        <v>1</v>
      </c>
      <c r="AA614" s="126">
        <v>1</v>
      </c>
      <c r="AB614" s="126">
        <v>3</v>
      </c>
      <c r="AC614" s="126">
        <v>6</v>
      </c>
      <c r="AD614" s="126">
        <v>2026</v>
      </c>
    </row>
    <row r="615" spans="3:30">
      <c r="C615" s="126">
        <v>608</v>
      </c>
      <c r="D615" s="126">
        <v>47</v>
      </c>
      <c r="E615" s="126">
        <v>3</v>
      </c>
      <c r="F615" s="126">
        <v>1</v>
      </c>
      <c r="G615" s="126">
        <v>1</v>
      </c>
      <c r="H615" s="126">
        <v>1</v>
      </c>
      <c r="I615" s="126">
        <v>1</v>
      </c>
      <c r="J615" s="126">
        <v>50</v>
      </c>
      <c r="M615" s="126">
        <v>213</v>
      </c>
      <c r="N615" s="126">
        <v>0</v>
      </c>
      <c r="P615" s="126">
        <v>173</v>
      </c>
      <c r="R615" s="126" t="s">
        <v>549</v>
      </c>
      <c r="S615" s="259">
        <v>0</v>
      </c>
      <c r="T615" s="259">
        <v>0.36</v>
      </c>
      <c r="U615" s="68" t="s">
        <v>1426</v>
      </c>
      <c r="V615" s="126">
        <v>1</v>
      </c>
      <c r="Z615" s="126">
        <v>1</v>
      </c>
      <c r="AA615" s="126">
        <v>1</v>
      </c>
      <c r="AB615" s="126">
        <v>3</v>
      </c>
      <c r="AC615" s="126">
        <v>6</v>
      </c>
      <c r="AD615" s="126">
        <v>2026</v>
      </c>
    </row>
    <row r="616" spans="3:30">
      <c r="C616" s="126">
        <v>609</v>
      </c>
      <c r="D616" s="126">
        <v>47</v>
      </c>
      <c r="E616" s="126">
        <v>11</v>
      </c>
      <c r="F616" s="126">
        <v>1</v>
      </c>
      <c r="G616" s="126">
        <v>1</v>
      </c>
      <c r="H616" s="126">
        <v>1</v>
      </c>
      <c r="I616" s="126">
        <v>1</v>
      </c>
      <c r="J616" s="126">
        <v>50</v>
      </c>
      <c r="M616" s="126">
        <v>213</v>
      </c>
      <c r="N616" s="126">
        <v>1</v>
      </c>
      <c r="P616" s="126">
        <v>173</v>
      </c>
      <c r="R616" s="126" t="s">
        <v>549</v>
      </c>
      <c r="S616" s="259">
        <v>0.36</v>
      </c>
      <c r="T616" s="259">
        <v>0</v>
      </c>
      <c r="U616" s="68" t="s">
        <v>1427</v>
      </c>
      <c r="V616" s="126">
        <v>1</v>
      </c>
      <c r="Z616" s="126">
        <v>1</v>
      </c>
      <c r="AA616" s="126">
        <v>1</v>
      </c>
      <c r="AB616" s="126">
        <v>3</v>
      </c>
      <c r="AC616" s="126">
        <v>6</v>
      </c>
      <c r="AD616" s="126">
        <v>2026</v>
      </c>
    </row>
    <row r="617" spans="3:30">
      <c r="C617" s="126">
        <v>610</v>
      </c>
      <c r="D617" s="126">
        <v>47</v>
      </c>
      <c r="E617" s="126">
        <v>10</v>
      </c>
      <c r="F617" s="126">
        <v>1</v>
      </c>
      <c r="G617" s="126">
        <v>1</v>
      </c>
      <c r="H617" s="126">
        <v>1</v>
      </c>
      <c r="I617" s="126">
        <v>1</v>
      </c>
      <c r="J617" s="126">
        <v>50</v>
      </c>
      <c r="P617" s="126">
        <v>173</v>
      </c>
      <c r="R617" s="126" t="s">
        <v>549</v>
      </c>
      <c r="S617" s="259">
        <v>0</v>
      </c>
      <c r="T617" s="259">
        <v>0.75</v>
      </c>
      <c r="U617" s="68" t="s">
        <v>1428</v>
      </c>
      <c r="V617" s="126">
        <v>1</v>
      </c>
      <c r="Z617" s="126">
        <v>1</v>
      </c>
      <c r="AA617" s="126">
        <v>1</v>
      </c>
      <c r="AB617" s="126">
        <v>3</v>
      </c>
      <c r="AC617" s="126">
        <v>6</v>
      </c>
      <c r="AD617" s="126">
        <v>2026</v>
      </c>
    </row>
    <row r="618" spans="3:30">
      <c r="C618" s="126">
        <v>611</v>
      </c>
      <c r="D618" s="126">
        <v>48</v>
      </c>
      <c r="E618" s="126">
        <v>2</v>
      </c>
      <c r="F618" s="126">
        <v>1</v>
      </c>
      <c r="G618" s="126">
        <v>1</v>
      </c>
      <c r="H618" s="126">
        <v>1</v>
      </c>
      <c r="I618" s="126">
        <v>1</v>
      </c>
      <c r="R618" s="126" t="s">
        <v>549</v>
      </c>
      <c r="S618" s="259">
        <v>47.5</v>
      </c>
      <c r="T618" s="259">
        <v>0</v>
      </c>
      <c r="U618" s="68" t="s">
        <v>1431</v>
      </c>
      <c r="V618" s="126">
        <v>1</v>
      </c>
      <c r="Z618" s="126">
        <v>1</v>
      </c>
      <c r="AA618" s="126">
        <v>1</v>
      </c>
      <c r="AB618" s="126">
        <v>3</v>
      </c>
      <c r="AC618" s="126">
        <v>6</v>
      </c>
      <c r="AD618" s="126">
        <v>2026</v>
      </c>
    </row>
    <row r="619" spans="3:30">
      <c r="C619" s="126">
        <v>612</v>
      </c>
      <c r="D619" s="126">
        <v>48</v>
      </c>
      <c r="E619" s="126">
        <v>3</v>
      </c>
      <c r="F619" s="126">
        <v>1</v>
      </c>
      <c r="G619" s="126">
        <v>1</v>
      </c>
      <c r="H619" s="126">
        <v>1</v>
      </c>
      <c r="I619" s="126">
        <v>1</v>
      </c>
      <c r="J619" s="126">
        <v>177</v>
      </c>
      <c r="M619" s="126">
        <v>214</v>
      </c>
      <c r="N619" s="126">
        <v>0</v>
      </c>
      <c r="P619" s="126">
        <v>174</v>
      </c>
      <c r="R619" s="126" t="s">
        <v>549</v>
      </c>
      <c r="S619" s="259">
        <v>0</v>
      </c>
      <c r="T619" s="259">
        <v>41.5</v>
      </c>
      <c r="U619" s="68" t="s">
        <v>1432</v>
      </c>
      <c r="V619" s="126">
        <v>1</v>
      </c>
      <c r="Z619" s="126">
        <v>1</v>
      </c>
      <c r="AA619" s="126">
        <v>1</v>
      </c>
      <c r="AB619" s="126">
        <v>3</v>
      </c>
      <c r="AC619" s="126">
        <v>6</v>
      </c>
      <c r="AD619" s="126">
        <v>2026</v>
      </c>
    </row>
    <row r="620" spans="3:30">
      <c r="C620" s="126">
        <v>613</v>
      </c>
      <c r="D620" s="126">
        <v>48</v>
      </c>
      <c r="E620" s="126">
        <v>11</v>
      </c>
      <c r="F620" s="126">
        <v>1</v>
      </c>
      <c r="G620" s="126">
        <v>1</v>
      </c>
      <c r="H620" s="126">
        <v>1</v>
      </c>
      <c r="I620" s="126">
        <v>1</v>
      </c>
      <c r="J620" s="126">
        <v>177</v>
      </c>
      <c r="M620" s="126">
        <v>214</v>
      </c>
      <c r="N620" s="126">
        <v>1</v>
      </c>
      <c r="P620" s="126">
        <v>174</v>
      </c>
      <c r="R620" s="126" t="s">
        <v>549</v>
      </c>
      <c r="S620" s="259">
        <v>41.5</v>
      </c>
      <c r="T620" s="259">
        <v>0</v>
      </c>
      <c r="U620" s="68" t="s">
        <v>1433</v>
      </c>
      <c r="V620" s="126">
        <v>1</v>
      </c>
      <c r="Z620" s="126">
        <v>1</v>
      </c>
      <c r="AA620" s="126">
        <v>1</v>
      </c>
      <c r="AB620" s="126">
        <v>3</v>
      </c>
      <c r="AC620" s="126">
        <v>6</v>
      </c>
      <c r="AD620" s="126">
        <v>2026</v>
      </c>
    </row>
    <row r="621" spans="3:30">
      <c r="C621" s="126">
        <v>614</v>
      </c>
      <c r="D621" s="126">
        <v>48</v>
      </c>
      <c r="E621" s="126">
        <v>10</v>
      </c>
      <c r="F621" s="126">
        <v>1</v>
      </c>
      <c r="G621" s="126">
        <v>1</v>
      </c>
      <c r="H621" s="126">
        <v>1</v>
      </c>
      <c r="I621" s="126">
        <v>1</v>
      </c>
      <c r="J621" s="126">
        <v>177</v>
      </c>
      <c r="P621" s="126">
        <v>174</v>
      </c>
      <c r="R621" s="126" t="s">
        <v>549</v>
      </c>
      <c r="S621" s="259">
        <v>0</v>
      </c>
      <c r="T621" s="259">
        <v>47.5</v>
      </c>
      <c r="U621" s="68" t="s">
        <v>1434</v>
      </c>
      <c r="V621" s="126">
        <v>1</v>
      </c>
      <c r="Z621" s="126">
        <v>1</v>
      </c>
      <c r="AA621" s="126">
        <v>1</v>
      </c>
      <c r="AB621" s="126">
        <v>3</v>
      </c>
      <c r="AC621" s="126">
        <v>6</v>
      </c>
      <c r="AD621" s="126">
        <v>2026</v>
      </c>
    </row>
    <row r="622" spans="3:30">
      <c r="C622" s="126">
        <v>615</v>
      </c>
      <c r="D622" s="126">
        <v>49</v>
      </c>
      <c r="E622" s="126">
        <v>2</v>
      </c>
      <c r="F622" s="126">
        <v>1</v>
      </c>
      <c r="G622" s="126">
        <v>1</v>
      </c>
      <c r="H622" s="126">
        <v>1</v>
      </c>
      <c r="I622" s="126">
        <v>1</v>
      </c>
      <c r="R622" s="126" t="s">
        <v>549</v>
      </c>
      <c r="S622" s="259">
        <v>44.25</v>
      </c>
      <c r="T622" s="259">
        <v>0</v>
      </c>
      <c r="U622" s="68" t="s">
        <v>1436</v>
      </c>
      <c r="V622" s="126">
        <v>1</v>
      </c>
      <c r="Z622" s="126">
        <v>1</v>
      </c>
      <c r="AA622" s="126">
        <v>1</v>
      </c>
      <c r="AB622" s="126">
        <v>3</v>
      </c>
      <c r="AC622" s="126">
        <v>6</v>
      </c>
      <c r="AD622" s="126">
        <v>2026</v>
      </c>
    </row>
    <row r="623" spans="3:30">
      <c r="C623" s="126">
        <v>616</v>
      </c>
      <c r="D623" s="126">
        <v>49</v>
      </c>
      <c r="E623" s="126">
        <v>3</v>
      </c>
      <c r="F623" s="126">
        <v>1</v>
      </c>
      <c r="G623" s="126">
        <v>1</v>
      </c>
      <c r="H623" s="126">
        <v>1</v>
      </c>
      <c r="I623" s="126">
        <v>1</v>
      </c>
      <c r="J623" s="126">
        <v>177</v>
      </c>
      <c r="M623" s="126">
        <v>215</v>
      </c>
      <c r="N623" s="126">
        <v>0</v>
      </c>
      <c r="P623" s="126">
        <v>175</v>
      </c>
      <c r="R623" s="126" t="s">
        <v>549</v>
      </c>
      <c r="S623" s="259">
        <v>0</v>
      </c>
      <c r="T623" s="259">
        <v>12.450000000000001</v>
      </c>
      <c r="U623" s="68" t="s">
        <v>1437</v>
      </c>
      <c r="V623" s="126">
        <v>1</v>
      </c>
      <c r="Z623" s="126">
        <v>1</v>
      </c>
      <c r="AA623" s="126">
        <v>1</v>
      </c>
      <c r="AB623" s="126">
        <v>3</v>
      </c>
      <c r="AC623" s="126">
        <v>6</v>
      </c>
      <c r="AD623" s="126">
        <v>2026</v>
      </c>
    </row>
    <row r="624" spans="3:30">
      <c r="C624" s="126">
        <v>617</v>
      </c>
      <c r="D624" s="126">
        <v>49</v>
      </c>
      <c r="E624" s="126">
        <v>11</v>
      </c>
      <c r="F624" s="126">
        <v>1</v>
      </c>
      <c r="G624" s="126">
        <v>1</v>
      </c>
      <c r="H624" s="126">
        <v>1</v>
      </c>
      <c r="I624" s="126">
        <v>1</v>
      </c>
      <c r="J624" s="126">
        <v>177</v>
      </c>
      <c r="M624" s="126">
        <v>215</v>
      </c>
      <c r="N624" s="126">
        <v>1</v>
      </c>
      <c r="P624" s="126">
        <v>175</v>
      </c>
      <c r="R624" s="126" t="s">
        <v>549</v>
      </c>
      <c r="S624" s="259">
        <v>12.450000000000001</v>
      </c>
      <c r="T624" s="259">
        <v>0</v>
      </c>
      <c r="U624" s="68" t="s">
        <v>1438</v>
      </c>
      <c r="V624" s="126">
        <v>1</v>
      </c>
      <c r="Z624" s="126">
        <v>1</v>
      </c>
      <c r="AA624" s="126">
        <v>1</v>
      </c>
      <c r="AB624" s="126">
        <v>3</v>
      </c>
      <c r="AC624" s="126">
        <v>6</v>
      </c>
      <c r="AD624" s="126">
        <v>2026</v>
      </c>
    </row>
    <row r="625" spans="3:30">
      <c r="C625" s="126">
        <v>618</v>
      </c>
      <c r="D625" s="126">
        <v>49</v>
      </c>
      <c r="E625" s="126">
        <v>10</v>
      </c>
      <c r="F625" s="126">
        <v>1</v>
      </c>
      <c r="G625" s="126">
        <v>1</v>
      </c>
      <c r="H625" s="126">
        <v>1</v>
      </c>
      <c r="I625" s="126">
        <v>1</v>
      </c>
      <c r="J625" s="126">
        <v>177</v>
      </c>
      <c r="P625" s="126">
        <v>175</v>
      </c>
      <c r="R625" s="126" t="s">
        <v>549</v>
      </c>
      <c r="S625" s="259">
        <v>0</v>
      </c>
      <c r="T625" s="259">
        <v>14.25</v>
      </c>
      <c r="U625" s="68" t="s">
        <v>1439</v>
      </c>
      <c r="V625" s="126">
        <v>1</v>
      </c>
      <c r="Z625" s="126">
        <v>1</v>
      </c>
      <c r="AA625" s="126">
        <v>1</v>
      </c>
      <c r="AB625" s="126">
        <v>3</v>
      </c>
      <c r="AC625" s="126">
        <v>6</v>
      </c>
      <c r="AD625" s="126">
        <v>2026</v>
      </c>
    </row>
    <row r="626" spans="3:30">
      <c r="C626" s="126">
        <v>619</v>
      </c>
      <c r="D626" s="126">
        <v>49</v>
      </c>
      <c r="E626" s="126">
        <v>3</v>
      </c>
      <c r="F626" s="126">
        <v>1</v>
      </c>
      <c r="G626" s="126">
        <v>1</v>
      </c>
      <c r="H626" s="126">
        <v>1</v>
      </c>
      <c r="I626" s="126">
        <v>1</v>
      </c>
      <c r="J626" s="126">
        <v>179</v>
      </c>
      <c r="M626" s="126">
        <v>216</v>
      </c>
      <c r="N626" s="126">
        <v>0</v>
      </c>
      <c r="P626" s="126">
        <v>176</v>
      </c>
      <c r="R626" s="126" t="s">
        <v>549</v>
      </c>
      <c r="S626" s="259">
        <v>0</v>
      </c>
      <c r="T626" s="259">
        <v>28.5</v>
      </c>
      <c r="U626" s="68" t="s">
        <v>1440</v>
      </c>
      <c r="V626" s="126">
        <v>1</v>
      </c>
      <c r="Z626" s="126">
        <v>1</v>
      </c>
      <c r="AA626" s="126">
        <v>1</v>
      </c>
      <c r="AB626" s="126">
        <v>3</v>
      </c>
      <c r="AC626" s="126">
        <v>6</v>
      </c>
      <c r="AD626" s="126">
        <v>2026</v>
      </c>
    </row>
    <row r="627" spans="3:30">
      <c r="C627" s="126">
        <v>620</v>
      </c>
      <c r="D627" s="126">
        <v>49</v>
      </c>
      <c r="E627" s="126">
        <v>11</v>
      </c>
      <c r="F627" s="126">
        <v>1</v>
      </c>
      <c r="G627" s="126">
        <v>1</v>
      </c>
      <c r="H627" s="126">
        <v>1</v>
      </c>
      <c r="I627" s="126">
        <v>1</v>
      </c>
      <c r="J627" s="126">
        <v>179</v>
      </c>
      <c r="M627" s="126">
        <v>216</v>
      </c>
      <c r="N627" s="126">
        <v>1</v>
      </c>
      <c r="P627" s="126">
        <v>176</v>
      </c>
      <c r="R627" s="126" t="s">
        <v>549</v>
      </c>
      <c r="S627" s="259">
        <v>28.5</v>
      </c>
      <c r="T627" s="259">
        <v>0</v>
      </c>
      <c r="U627" s="68" t="s">
        <v>1441</v>
      </c>
      <c r="V627" s="126">
        <v>1</v>
      </c>
      <c r="Z627" s="126">
        <v>1</v>
      </c>
      <c r="AA627" s="126">
        <v>1</v>
      </c>
      <c r="AB627" s="126">
        <v>3</v>
      </c>
      <c r="AC627" s="126">
        <v>6</v>
      </c>
      <c r="AD627" s="126">
        <v>2026</v>
      </c>
    </row>
    <row r="628" spans="3:30">
      <c r="C628" s="126">
        <v>621</v>
      </c>
      <c r="D628" s="126">
        <v>49</v>
      </c>
      <c r="E628" s="126">
        <v>10</v>
      </c>
      <c r="F628" s="126">
        <v>1</v>
      </c>
      <c r="G628" s="126">
        <v>1</v>
      </c>
      <c r="H628" s="126">
        <v>1</v>
      </c>
      <c r="I628" s="126">
        <v>1</v>
      </c>
      <c r="J628" s="126">
        <v>179</v>
      </c>
      <c r="P628" s="126">
        <v>176</v>
      </c>
      <c r="R628" s="126" t="s">
        <v>549</v>
      </c>
      <c r="S628" s="259">
        <v>0</v>
      </c>
      <c r="T628" s="259">
        <v>30</v>
      </c>
      <c r="U628" s="68" t="s">
        <v>1442</v>
      </c>
      <c r="V628" s="126">
        <v>1</v>
      </c>
      <c r="Z628" s="126">
        <v>1</v>
      </c>
      <c r="AA628" s="126">
        <v>1</v>
      </c>
      <c r="AB628" s="126">
        <v>3</v>
      </c>
      <c r="AC628" s="126">
        <v>6</v>
      </c>
      <c r="AD628" s="126">
        <v>2026</v>
      </c>
    </row>
    <row r="629" spans="3:30">
      <c r="C629" s="126">
        <v>622</v>
      </c>
      <c r="D629" s="126">
        <v>50</v>
      </c>
      <c r="E629" s="126">
        <v>2</v>
      </c>
      <c r="F629" s="126">
        <v>1</v>
      </c>
      <c r="G629" s="126">
        <v>1</v>
      </c>
      <c r="H629" s="126">
        <v>1</v>
      </c>
      <c r="I629" s="126">
        <v>1</v>
      </c>
      <c r="R629" s="126" t="s">
        <v>549</v>
      </c>
      <c r="S629" s="259">
        <v>120.5</v>
      </c>
      <c r="T629" s="259">
        <v>0</v>
      </c>
      <c r="U629" s="68" t="s">
        <v>1444</v>
      </c>
      <c r="V629" s="126">
        <v>1</v>
      </c>
      <c r="Z629" s="126">
        <v>1</v>
      </c>
      <c r="AA629" s="126">
        <v>1</v>
      </c>
      <c r="AB629" s="126">
        <v>3</v>
      </c>
      <c r="AC629" s="126">
        <v>6</v>
      </c>
      <c r="AD629" s="126">
        <v>2026</v>
      </c>
    </row>
    <row r="630" spans="3:30">
      <c r="C630" s="126">
        <v>623</v>
      </c>
      <c r="D630" s="126">
        <v>50</v>
      </c>
      <c r="E630" s="126">
        <v>3</v>
      </c>
      <c r="F630" s="126">
        <v>1</v>
      </c>
      <c r="G630" s="126">
        <v>1</v>
      </c>
      <c r="H630" s="126">
        <v>1</v>
      </c>
      <c r="I630" s="126">
        <v>1</v>
      </c>
      <c r="J630" s="126">
        <v>187</v>
      </c>
      <c r="M630" s="126">
        <v>217</v>
      </c>
      <c r="N630" s="126">
        <v>0</v>
      </c>
      <c r="P630" s="126">
        <v>177</v>
      </c>
      <c r="R630" s="126" t="s">
        <v>549</v>
      </c>
      <c r="S630" s="259">
        <v>0</v>
      </c>
      <c r="T630" s="259">
        <v>33.700000000000003</v>
      </c>
      <c r="U630" s="68" t="s">
        <v>1445</v>
      </c>
      <c r="V630" s="126">
        <v>1</v>
      </c>
      <c r="Z630" s="126">
        <v>1</v>
      </c>
      <c r="AA630" s="126">
        <v>1</v>
      </c>
      <c r="AB630" s="126">
        <v>3</v>
      </c>
      <c r="AC630" s="126">
        <v>6</v>
      </c>
      <c r="AD630" s="126">
        <v>2026</v>
      </c>
    </row>
    <row r="631" spans="3:30">
      <c r="C631" s="126">
        <v>624</v>
      </c>
      <c r="D631" s="126">
        <v>50</v>
      </c>
      <c r="E631" s="126">
        <v>11</v>
      </c>
      <c r="F631" s="126">
        <v>1</v>
      </c>
      <c r="G631" s="126">
        <v>1</v>
      </c>
      <c r="H631" s="126">
        <v>1</v>
      </c>
      <c r="I631" s="126">
        <v>1</v>
      </c>
      <c r="J631" s="126">
        <v>187</v>
      </c>
      <c r="M631" s="126">
        <v>217</v>
      </c>
      <c r="N631" s="126">
        <v>1</v>
      </c>
      <c r="P631" s="126">
        <v>177</v>
      </c>
      <c r="R631" s="126" t="s">
        <v>549</v>
      </c>
      <c r="S631" s="259">
        <v>33.700000000000003</v>
      </c>
      <c r="T631" s="259">
        <v>0</v>
      </c>
      <c r="U631" s="68" t="s">
        <v>1446</v>
      </c>
      <c r="V631" s="126">
        <v>1</v>
      </c>
      <c r="Z631" s="126">
        <v>1</v>
      </c>
      <c r="AA631" s="126">
        <v>1</v>
      </c>
      <c r="AB631" s="126">
        <v>3</v>
      </c>
      <c r="AC631" s="126">
        <v>6</v>
      </c>
      <c r="AD631" s="126">
        <v>2026</v>
      </c>
    </row>
    <row r="632" spans="3:30">
      <c r="C632" s="126">
        <v>625</v>
      </c>
      <c r="D632" s="126">
        <v>50</v>
      </c>
      <c r="E632" s="126">
        <v>10</v>
      </c>
      <c r="F632" s="126">
        <v>1</v>
      </c>
      <c r="G632" s="126">
        <v>1</v>
      </c>
      <c r="H632" s="126">
        <v>1</v>
      </c>
      <c r="I632" s="126">
        <v>1</v>
      </c>
      <c r="J632" s="126">
        <v>187</v>
      </c>
      <c r="P632" s="126">
        <v>177</v>
      </c>
      <c r="R632" s="126" t="s">
        <v>549</v>
      </c>
      <c r="S632" s="259">
        <v>0</v>
      </c>
      <c r="T632" s="259">
        <v>35</v>
      </c>
      <c r="U632" s="68" t="s">
        <v>1447</v>
      </c>
      <c r="V632" s="126">
        <v>1</v>
      </c>
      <c r="Z632" s="126">
        <v>1</v>
      </c>
      <c r="AA632" s="126">
        <v>1</v>
      </c>
      <c r="AB632" s="126">
        <v>3</v>
      </c>
      <c r="AC632" s="126">
        <v>6</v>
      </c>
      <c r="AD632" s="126">
        <v>2026</v>
      </c>
    </row>
    <row r="633" spans="3:30">
      <c r="C633" s="126">
        <v>626</v>
      </c>
      <c r="D633" s="126">
        <v>50</v>
      </c>
      <c r="E633" s="126">
        <v>3</v>
      </c>
      <c r="F633" s="126">
        <v>1</v>
      </c>
      <c r="G633" s="126">
        <v>1</v>
      </c>
      <c r="H633" s="126">
        <v>1</v>
      </c>
      <c r="I633" s="126">
        <v>1</v>
      </c>
      <c r="J633" s="126">
        <v>195</v>
      </c>
      <c r="M633" s="126">
        <v>218</v>
      </c>
      <c r="N633" s="126">
        <v>0</v>
      </c>
      <c r="P633" s="126">
        <v>178</v>
      </c>
      <c r="R633" s="126" t="s">
        <v>549</v>
      </c>
      <c r="S633" s="259">
        <v>0</v>
      </c>
      <c r="T633" s="259">
        <v>18.84</v>
      </c>
      <c r="U633" s="68" t="s">
        <v>1448</v>
      </c>
      <c r="V633" s="126">
        <v>1</v>
      </c>
      <c r="Z633" s="126">
        <v>1</v>
      </c>
      <c r="AA633" s="126">
        <v>1</v>
      </c>
      <c r="AB633" s="126">
        <v>3</v>
      </c>
      <c r="AC633" s="126">
        <v>6</v>
      </c>
      <c r="AD633" s="126">
        <v>2026</v>
      </c>
    </row>
    <row r="634" spans="3:30">
      <c r="C634" s="126">
        <v>627</v>
      </c>
      <c r="D634" s="126">
        <v>50</v>
      </c>
      <c r="E634" s="126">
        <v>11</v>
      </c>
      <c r="F634" s="126">
        <v>1</v>
      </c>
      <c r="G634" s="126">
        <v>1</v>
      </c>
      <c r="H634" s="126">
        <v>1</v>
      </c>
      <c r="I634" s="126">
        <v>1</v>
      </c>
      <c r="J634" s="126">
        <v>195</v>
      </c>
      <c r="M634" s="126">
        <v>218</v>
      </c>
      <c r="N634" s="126">
        <v>1</v>
      </c>
      <c r="P634" s="126">
        <v>178</v>
      </c>
      <c r="R634" s="126" t="s">
        <v>549</v>
      </c>
      <c r="S634" s="259">
        <v>18.84</v>
      </c>
      <c r="T634" s="259">
        <v>0</v>
      </c>
      <c r="U634" s="68" t="s">
        <v>1449</v>
      </c>
      <c r="V634" s="126">
        <v>1</v>
      </c>
      <c r="Z634" s="126">
        <v>1</v>
      </c>
      <c r="AA634" s="126">
        <v>1</v>
      </c>
      <c r="AB634" s="126">
        <v>3</v>
      </c>
      <c r="AC634" s="126">
        <v>6</v>
      </c>
      <c r="AD634" s="126">
        <v>2026</v>
      </c>
    </row>
    <row r="635" spans="3:30">
      <c r="C635" s="126">
        <v>628</v>
      </c>
      <c r="D635" s="126">
        <v>50</v>
      </c>
      <c r="E635" s="126">
        <v>10</v>
      </c>
      <c r="F635" s="126">
        <v>1</v>
      </c>
      <c r="G635" s="126">
        <v>1</v>
      </c>
      <c r="H635" s="126">
        <v>1</v>
      </c>
      <c r="I635" s="126">
        <v>1</v>
      </c>
      <c r="J635" s="126">
        <v>195</v>
      </c>
      <c r="P635" s="126">
        <v>178</v>
      </c>
      <c r="R635" s="126" t="s">
        <v>549</v>
      </c>
      <c r="S635" s="259">
        <v>0</v>
      </c>
      <c r="T635" s="259">
        <v>18</v>
      </c>
      <c r="U635" s="68" t="s">
        <v>1450</v>
      </c>
      <c r="V635" s="126">
        <v>1</v>
      </c>
      <c r="Z635" s="126">
        <v>1</v>
      </c>
      <c r="AA635" s="126">
        <v>1</v>
      </c>
      <c r="AB635" s="126">
        <v>3</v>
      </c>
      <c r="AC635" s="126">
        <v>6</v>
      </c>
      <c r="AD635" s="126">
        <v>2026</v>
      </c>
    </row>
    <row r="636" spans="3:30">
      <c r="C636" s="126">
        <v>629</v>
      </c>
      <c r="D636" s="126">
        <v>50</v>
      </c>
      <c r="E636" s="126">
        <v>3</v>
      </c>
      <c r="F636" s="126">
        <v>1</v>
      </c>
      <c r="G636" s="126">
        <v>1</v>
      </c>
      <c r="H636" s="126">
        <v>1</v>
      </c>
      <c r="I636" s="126">
        <v>1</v>
      </c>
      <c r="J636" s="126">
        <v>16</v>
      </c>
      <c r="M636" s="126">
        <v>219</v>
      </c>
      <c r="N636" s="126">
        <v>0</v>
      </c>
      <c r="P636" s="126">
        <v>179</v>
      </c>
      <c r="R636" s="126" t="s">
        <v>549</v>
      </c>
      <c r="S636" s="259">
        <v>0</v>
      </c>
      <c r="T636" s="259">
        <v>21</v>
      </c>
      <c r="U636" s="68" t="s">
        <v>1451</v>
      </c>
      <c r="V636" s="126">
        <v>1</v>
      </c>
      <c r="Z636" s="126">
        <v>1</v>
      </c>
      <c r="AA636" s="126">
        <v>1</v>
      </c>
      <c r="AB636" s="126">
        <v>3</v>
      </c>
      <c r="AC636" s="126">
        <v>6</v>
      </c>
      <c r="AD636" s="126">
        <v>2026</v>
      </c>
    </row>
    <row r="637" spans="3:30">
      <c r="C637" s="126">
        <v>630</v>
      </c>
      <c r="D637" s="126">
        <v>50</v>
      </c>
      <c r="E637" s="126">
        <v>11</v>
      </c>
      <c r="F637" s="126">
        <v>1</v>
      </c>
      <c r="G637" s="126">
        <v>1</v>
      </c>
      <c r="H637" s="126">
        <v>1</v>
      </c>
      <c r="I637" s="126">
        <v>1</v>
      </c>
      <c r="J637" s="126">
        <v>16</v>
      </c>
      <c r="M637" s="126">
        <v>219</v>
      </c>
      <c r="N637" s="126">
        <v>1</v>
      </c>
      <c r="P637" s="126">
        <v>179</v>
      </c>
      <c r="R637" s="126" t="s">
        <v>549</v>
      </c>
      <c r="S637" s="259">
        <v>21</v>
      </c>
      <c r="T637" s="259">
        <v>0</v>
      </c>
      <c r="U637" s="68" t="s">
        <v>1452</v>
      </c>
      <c r="V637" s="126">
        <v>1</v>
      </c>
      <c r="Z637" s="126">
        <v>1</v>
      </c>
      <c r="AA637" s="126">
        <v>1</v>
      </c>
      <c r="AB637" s="126">
        <v>3</v>
      </c>
      <c r="AC637" s="126">
        <v>6</v>
      </c>
      <c r="AD637" s="126">
        <v>2026</v>
      </c>
    </row>
    <row r="638" spans="3:30">
      <c r="C638" s="126">
        <v>631</v>
      </c>
      <c r="D638" s="126">
        <v>50</v>
      </c>
      <c r="E638" s="126">
        <v>10</v>
      </c>
      <c r="F638" s="126">
        <v>1</v>
      </c>
      <c r="G638" s="126">
        <v>1</v>
      </c>
      <c r="H638" s="126">
        <v>1</v>
      </c>
      <c r="I638" s="126">
        <v>1</v>
      </c>
      <c r="J638" s="126">
        <v>16</v>
      </c>
      <c r="P638" s="126">
        <v>179</v>
      </c>
      <c r="R638" s="126" t="s">
        <v>549</v>
      </c>
      <c r="S638" s="259">
        <v>0</v>
      </c>
      <c r="T638" s="259">
        <v>32.5</v>
      </c>
      <c r="U638" s="68" t="s">
        <v>1453</v>
      </c>
      <c r="V638" s="126">
        <v>1</v>
      </c>
      <c r="Z638" s="126">
        <v>1</v>
      </c>
      <c r="AA638" s="126">
        <v>1</v>
      </c>
      <c r="AB638" s="126">
        <v>3</v>
      </c>
      <c r="AC638" s="126">
        <v>6</v>
      </c>
      <c r="AD638" s="126">
        <v>2026</v>
      </c>
    </row>
    <row r="639" spans="3:30">
      <c r="C639" s="126">
        <v>632</v>
      </c>
      <c r="D639" s="126">
        <v>50</v>
      </c>
      <c r="E639" s="126">
        <v>3</v>
      </c>
      <c r="F639" s="126">
        <v>1</v>
      </c>
      <c r="G639" s="126">
        <v>1</v>
      </c>
      <c r="H639" s="126">
        <v>1</v>
      </c>
      <c r="I639" s="126">
        <v>1</v>
      </c>
      <c r="J639" s="126">
        <v>10</v>
      </c>
      <c r="M639" s="126">
        <v>220</v>
      </c>
      <c r="N639" s="126">
        <v>0</v>
      </c>
      <c r="P639" s="126">
        <v>180</v>
      </c>
      <c r="R639" s="126" t="s">
        <v>549</v>
      </c>
      <c r="S639" s="259">
        <v>0</v>
      </c>
      <c r="T639" s="259">
        <v>14.85</v>
      </c>
      <c r="U639" s="68" t="s">
        <v>1454</v>
      </c>
      <c r="V639" s="126">
        <v>1</v>
      </c>
      <c r="Z639" s="126">
        <v>1</v>
      </c>
      <c r="AA639" s="126">
        <v>1</v>
      </c>
      <c r="AB639" s="126">
        <v>3</v>
      </c>
      <c r="AC639" s="126">
        <v>6</v>
      </c>
      <c r="AD639" s="126">
        <v>2026</v>
      </c>
    </row>
    <row r="640" spans="3:30">
      <c r="C640" s="126">
        <v>633</v>
      </c>
      <c r="D640" s="126">
        <v>50</v>
      </c>
      <c r="E640" s="126">
        <v>11</v>
      </c>
      <c r="F640" s="126">
        <v>1</v>
      </c>
      <c r="G640" s="126">
        <v>1</v>
      </c>
      <c r="H640" s="126">
        <v>1</v>
      </c>
      <c r="I640" s="126">
        <v>1</v>
      </c>
      <c r="J640" s="126">
        <v>10</v>
      </c>
      <c r="M640" s="126">
        <v>220</v>
      </c>
      <c r="N640" s="126">
        <v>1</v>
      </c>
      <c r="P640" s="126">
        <v>180</v>
      </c>
      <c r="R640" s="126" t="s">
        <v>549</v>
      </c>
      <c r="S640" s="259">
        <v>14.85</v>
      </c>
      <c r="T640" s="259">
        <v>0</v>
      </c>
      <c r="U640" s="68" t="s">
        <v>1455</v>
      </c>
      <c r="V640" s="126">
        <v>1</v>
      </c>
      <c r="Z640" s="126">
        <v>1</v>
      </c>
      <c r="AA640" s="126">
        <v>1</v>
      </c>
      <c r="AB640" s="126">
        <v>3</v>
      </c>
      <c r="AC640" s="126">
        <v>6</v>
      </c>
      <c r="AD640" s="126">
        <v>2026</v>
      </c>
    </row>
    <row r="641" spans="3:30">
      <c r="C641" s="126">
        <v>634</v>
      </c>
      <c r="D641" s="126">
        <v>50</v>
      </c>
      <c r="E641" s="126">
        <v>10</v>
      </c>
      <c r="F641" s="126">
        <v>1</v>
      </c>
      <c r="G641" s="126">
        <v>1</v>
      </c>
      <c r="H641" s="126">
        <v>1</v>
      </c>
      <c r="I641" s="126">
        <v>1</v>
      </c>
      <c r="J641" s="126">
        <v>10</v>
      </c>
      <c r="P641" s="126">
        <v>180</v>
      </c>
      <c r="R641" s="126" t="s">
        <v>549</v>
      </c>
      <c r="S641" s="259">
        <v>0</v>
      </c>
      <c r="T641" s="259">
        <v>15</v>
      </c>
      <c r="U641" s="68" t="s">
        <v>1456</v>
      </c>
      <c r="V641" s="126">
        <v>1</v>
      </c>
      <c r="Z641" s="126">
        <v>1</v>
      </c>
      <c r="AA641" s="126">
        <v>1</v>
      </c>
      <c r="AB641" s="126">
        <v>3</v>
      </c>
      <c r="AC641" s="126">
        <v>6</v>
      </c>
      <c r="AD641" s="126">
        <v>2026</v>
      </c>
    </row>
    <row r="642" spans="3:30">
      <c r="C642" s="126">
        <v>635</v>
      </c>
      <c r="D642" s="126">
        <v>50</v>
      </c>
      <c r="E642" s="126">
        <v>3</v>
      </c>
      <c r="F642" s="126">
        <v>1</v>
      </c>
      <c r="G642" s="126">
        <v>1</v>
      </c>
      <c r="H642" s="126">
        <v>1</v>
      </c>
      <c r="I642" s="126">
        <v>1</v>
      </c>
      <c r="J642" s="126">
        <v>178</v>
      </c>
      <c r="M642" s="126">
        <v>221</v>
      </c>
      <c r="N642" s="126">
        <v>0</v>
      </c>
      <c r="P642" s="126">
        <v>181</v>
      </c>
      <c r="R642" s="126" t="s">
        <v>549</v>
      </c>
      <c r="S642" s="259">
        <v>0</v>
      </c>
      <c r="T642" s="259">
        <v>19</v>
      </c>
      <c r="U642" s="68" t="s">
        <v>1457</v>
      </c>
      <c r="V642" s="126">
        <v>1</v>
      </c>
      <c r="Z642" s="126">
        <v>1</v>
      </c>
      <c r="AA642" s="126">
        <v>1</v>
      </c>
      <c r="AB642" s="126">
        <v>3</v>
      </c>
      <c r="AC642" s="126">
        <v>6</v>
      </c>
      <c r="AD642" s="126">
        <v>2026</v>
      </c>
    </row>
    <row r="643" spans="3:30">
      <c r="C643" s="126">
        <v>636</v>
      </c>
      <c r="D643" s="126">
        <v>50</v>
      </c>
      <c r="E643" s="126">
        <v>11</v>
      </c>
      <c r="F643" s="126">
        <v>1</v>
      </c>
      <c r="G643" s="126">
        <v>1</v>
      </c>
      <c r="H643" s="126">
        <v>1</v>
      </c>
      <c r="I643" s="126">
        <v>1</v>
      </c>
      <c r="J643" s="126">
        <v>178</v>
      </c>
      <c r="M643" s="126">
        <v>221</v>
      </c>
      <c r="N643" s="126">
        <v>1</v>
      </c>
      <c r="P643" s="126">
        <v>181</v>
      </c>
      <c r="R643" s="126" t="s">
        <v>549</v>
      </c>
      <c r="S643" s="259">
        <v>19</v>
      </c>
      <c r="T643" s="259">
        <v>0</v>
      </c>
      <c r="U643" s="68" t="s">
        <v>1458</v>
      </c>
      <c r="V643" s="126">
        <v>1</v>
      </c>
      <c r="Z643" s="126">
        <v>1</v>
      </c>
      <c r="AA643" s="126">
        <v>1</v>
      </c>
      <c r="AB643" s="126">
        <v>3</v>
      </c>
      <c r="AC643" s="126">
        <v>6</v>
      </c>
      <c r="AD643" s="126">
        <v>2026</v>
      </c>
    </row>
    <row r="644" spans="3:30">
      <c r="C644" s="126">
        <v>637</v>
      </c>
      <c r="D644" s="126">
        <v>50</v>
      </c>
      <c r="E644" s="126">
        <v>10</v>
      </c>
      <c r="F644" s="126">
        <v>1</v>
      </c>
      <c r="G644" s="126">
        <v>1</v>
      </c>
      <c r="H644" s="126">
        <v>1</v>
      </c>
      <c r="I644" s="126">
        <v>1</v>
      </c>
      <c r="J644" s="126">
        <v>178</v>
      </c>
      <c r="P644" s="126">
        <v>181</v>
      </c>
      <c r="R644" s="126" t="s">
        <v>549</v>
      </c>
      <c r="S644" s="259">
        <v>0</v>
      </c>
      <c r="T644" s="259">
        <v>20</v>
      </c>
      <c r="U644" s="68" t="s">
        <v>1459</v>
      </c>
      <c r="V644" s="126">
        <v>1</v>
      </c>
      <c r="Z644" s="126">
        <v>1</v>
      </c>
      <c r="AA644" s="126">
        <v>1</v>
      </c>
      <c r="AB644" s="126">
        <v>3</v>
      </c>
      <c r="AC644" s="126">
        <v>6</v>
      </c>
      <c r="AD644" s="126">
        <v>2026</v>
      </c>
    </row>
    <row r="645" spans="3:30">
      <c r="C645" s="126">
        <v>638</v>
      </c>
      <c r="D645" s="126">
        <v>51</v>
      </c>
      <c r="E645" s="126">
        <v>2</v>
      </c>
      <c r="F645" s="126">
        <v>1</v>
      </c>
      <c r="G645" s="126">
        <v>1</v>
      </c>
      <c r="H645" s="126">
        <v>1</v>
      </c>
      <c r="I645" s="126">
        <v>1</v>
      </c>
      <c r="R645" s="126" t="s">
        <v>549</v>
      </c>
      <c r="S645" s="259">
        <v>101.5</v>
      </c>
      <c r="T645" s="259">
        <v>0</v>
      </c>
      <c r="U645" s="68" t="s">
        <v>1462</v>
      </c>
      <c r="V645" s="126">
        <v>1</v>
      </c>
      <c r="Z645" s="126">
        <v>1</v>
      </c>
      <c r="AA645" s="126">
        <v>1</v>
      </c>
      <c r="AB645" s="126">
        <v>3</v>
      </c>
      <c r="AC645" s="126">
        <v>6</v>
      </c>
      <c r="AD645" s="126">
        <v>2026</v>
      </c>
    </row>
    <row r="646" spans="3:30">
      <c r="C646" s="126">
        <v>639</v>
      </c>
      <c r="D646" s="126">
        <v>51</v>
      </c>
      <c r="E646" s="126">
        <v>3</v>
      </c>
      <c r="F646" s="126">
        <v>1</v>
      </c>
      <c r="G646" s="126">
        <v>1</v>
      </c>
      <c r="H646" s="126">
        <v>1</v>
      </c>
      <c r="I646" s="126">
        <v>1</v>
      </c>
      <c r="J646" s="126">
        <v>197</v>
      </c>
      <c r="M646" s="126">
        <v>222</v>
      </c>
      <c r="N646" s="126">
        <v>0</v>
      </c>
      <c r="P646" s="126">
        <v>182</v>
      </c>
      <c r="R646" s="126" t="s">
        <v>549</v>
      </c>
      <c r="S646" s="259">
        <v>0</v>
      </c>
      <c r="T646" s="259">
        <v>16.72</v>
      </c>
      <c r="U646" s="68" t="s">
        <v>1463</v>
      </c>
      <c r="V646" s="126">
        <v>1</v>
      </c>
      <c r="Z646" s="126">
        <v>1</v>
      </c>
      <c r="AA646" s="126">
        <v>1</v>
      </c>
      <c r="AB646" s="126">
        <v>3</v>
      </c>
      <c r="AC646" s="126">
        <v>6</v>
      </c>
      <c r="AD646" s="126">
        <v>2026</v>
      </c>
    </row>
    <row r="647" spans="3:30">
      <c r="C647" s="126">
        <v>640</v>
      </c>
      <c r="D647" s="126">
        <v>51</v>
      </c>
      <c r="E647" s="126">
        <v>11</v>
      </c>
      <c r="F647" s="126">
        <v>1</v>
      </c>
      <c r="G647" s="126">
        <v>1</v>
      </c>
      <c r="H647" s="126">
        <v>1</v>
      </c>
      <c r="I647" s="126">
        <v>1</v>
      </c>
      <c r="J647" s="126">
        <v>197</v>
      </c>
      <c r="M647" s="126">
        <v>222</v>
      </c>
      <c r="N647" s="126">
        <v>1</v>
      </c>
      <c r="P647" s="126">
        <v>182</v>
      </c>
      <c r="R647" s="126" t="s">
        <v>549</v>
      </c>
      <c r="S647" s="259">
        <v>16.72</v>
      </c>
      <c r="T647" s="259">
        <v>0</v>
      </c>
      <c r="U647" s="68" t="s">
        <v>1464</v>
      </c>
      <c r="V647" s="126">
        <v>1</v>
      </c>
      <c r="Z647" s="126">
        <v>1</v>
      </c>
      <c r="AA647" s="126">
        <v>1</v>
      </c>
      <c r="AB647" s="126">
        <v>3</v>
      </c>
      <c r="AC647" s="126">
        <v>6</v>
      </c>
      <c r="AD647" s="126">
        <v>2026</v>
      </c>
    </row>
    <row r="648" spans="3:30">
      <c r="C648" s="126">
        <v>641</v>
      </c>
      <c r="D648" s="126">
        <v>51</v>
      </c>
      <c r="E648" s="126">
        <v>10</v>
      </c>
      <c r="F648" s="126">
        <v>1</v>
      </c>
      <c r="G648" s="126">
        <v>1</v>
      </c>
      <c r="H648" s="126">
        <v>1</v>
      </c>
      <c r="I648" s="126">
        <v>1</v>
      </c>
      <c r="J648" s="126">
        <v>197</v>
      </c>
      <c r="P648" s="126">
        <v>182</v>
      </c>
      <c r="R648" s="126" t="s">
        <v>549</v>
      </c>
      <c r="S648" s="259">
        <v>0</v>
      </c>
      <c r="T648" s="259">
        <v>16.5</v>
      </c>
      <c r="U648" s="68" t="s">
        <v>1465</v>
      </c>
      <c r="V648" s="126">
        <v>1</v>
      </c>
      <c r="Z648" s="126">
        <v>1</v>
      </c>
      <c r="AA648" s="126">
        <v>1</v>
      </c>
      <c r="AB648" s="126">
        <v>3</v>
      </c>
      <c r="AC648" s="126">
        <v>6</v>
      </c>
      <c r="AD648" s="126">
        <v>2026</v>
      </c>
    </row>
    <row r="649" spans="3:30">
      <c r="C649" s="126">
        <v>642</v>
      </c>
      <c r="D649" s="126">
        <v>51</v>
      </c>
      <c r="E649" s="126">
        <v>3</v>
      </c>
      <c r="F649" s="126">
        <v>1</v>
      </c>
      <c r="G649" s="126">
        <v>1</v>
      </c>
      <c r="H649" s="126">
        <v>1</v>
      </c>
      <c r="I649" s="126">
        <v>1</v>
      </c>
      <c r="J649" s="126">
        <v>181</v>
      </c>
      <c r="M649" s="126">
        <v>223</v>
      </c>
      <c r="N649" s="126">
        <v>0</v>
      </c>
      <c r="P649" s="126">
        <v>183</v>
      </c>
      <c r="R649" s="126" t="s">
        <v>549</v>
      </c>
      <c r="S649" s="259">
        <v>0</v>
      </c>
      <c r="T649" s="259">
        <v>10</v>
      </c>
      <c r="U649" s="68" t="s">
        <v>1466</v>
      </c>
      <c r="V649" s="126">
        <v>1</v>
      </c>
      <c r="Z649" s="126">
        <v>1</v>
      </c>
      <c r="AA649" s="126">
        <v>1</v>
      </c>
      <c r="AB649" s="126">
        <v>3</v>
      </c>
      <c r="AC649" s="126">
        <v>6</v>
      </c>
      <c r="AD649" s="126">
        <v>2026</v>
      </c>
    </row>
    <row r="650" spans="3:30">
      <c r="C650" s="126">
        <v>643</v>
      </c>
      <c r="D650" s="126">
        <v>51</v>
      </c>
      <c r="E650" s="126">
        <v>11</v>
      </c>
      <c r="F650" s="126">
        <v>1</v>
      </c>
      <c r="G650" s="126">
        <v>1</v>
      </c>
      <c r="H650" s="126">
        <v>1</v>
      </c>
      <c r="I650" s="126">
        <v>1</v>
      </c>
      <c r="J650" s="126">
        <v>181</v>
      </c>
      <c r="M650" s="126">
        <v>223</v>
      </c>
      <c r="N650" s="126">
        <v>1</v>
      </c>
      <c r="P650" s="126">
        <v>183</v>
      </c>
      <c r="R650" s="126" t="s">
        <v>549</v>
      </c>
      <c r="S650" s="259">
        <v>10</v>
      </c>
      <c r="T650" s="259">
        <v>0</v>
      </c>
      <c r="U650" s="68" t="s">
        <v>1467</v>
      </c>
      <c r="V650" s="126">
        <v>1</v>
      </c>
      <c r="Z650" s="126">
        <v>1</v>
      </c>
      <c r="AA650" s="126">
        <v>1</v>
      </c>
      <c r="AB650" s="126">
        <v>3</v>
      </c>
      <c r="AC650" s="126">
        <v>6</v>
      </c>
      <c r="AD650" s="126">
        <v>2026</v>
      </c>
    </row>
    <row r="651" spans="3:30">
      <c r="C651" s="126">
        <v>644</v>
      </c>
      <c r="D651" s="126">
        <v>51</v>
      </c>
      <c r="E651" s="126">
        <v>10</v>
      </c>
      <c r="F651" s="126">
        <v>1</v>
      </c>
      <c r="G651" s="126">
        <v>1</v>
      </c>
      <c r="H651" s="126">
        <v>1</v>
      </c>
      <c r="I651" s="126">
        <v>1</v>
      </c>
      <c r="J651" s="126">
        <v>181</v>
      </c>
      <c r="P651" s="126">
        <v>183</v>
      </c>
      <c r="R651" s="126" t="s">
        <v>549</v>
      </c>
      <c r="S651" s="259">
        <v>0</v>
      </c>
      <c r="T651" s="259">
        <v>15</v>
      </c>
      <c r="U651" s="68" t="s">
        <v>1468</v>
      </c>
      <c r="V651" s="126">
        <v>1</v>
      </c>
      <c r="Z651" s="126">
        <v>1</v>
      </c>
      <c r="AA651" s="126">
        <v>1</v>
      </c>
      <c r="AB651" s="126">
        <v>3</v>
      </c>
      <c r="AC651" s="126">
        <v>6</v>
      </c>
      <c r="AD651" s="126">
        <v>2026</v>
      </c>
    </row>
    <row r="652" spans="3:30">
      <c r="C652" s="126">
        <v>645</v>
      </c>
      <c r="D652" s="126">
        <v>51</v>
      </c>
      <c r="E652" s="126">
        <v>3</v>
      </c>
      <c r="F652" s="126">
        <v>1</v>
      </c>
      <c r="G652" s="126">
        <v>1</v>
      </c>
      <c r="H652" s="126">
        <v>1</v>
      </c>
      <c r="I652" s="126">
        <v>1</v>
      </c>
      <c r="J652" s="126">
        <v>178</v>
      </c>
      <c r="M652" s="126">
        <v>224</v>
      </c>
      <c r="N652" s="126">
        <v>0</v>
      </c>
      <c r="P652" s="126">
        <v>184</v>
      </c>
      <c r="R652" s="126" t="s">
        <v>549</v>
      </c>
      <c r="S652" s="259">
        <v>0</v>
      </c>
      <c r="T652" s="259">
        <v>28.5</v>
      </c>
      <c r="U652" s="68" t="s">
        <v>1469</v>
      </c>
      <c r="V652" s="126">
        <v>1</v>
      </c>
      <c r="Z652" s="126">
        <v>1</v>
      </c>
      <c r="AA652" s="126">
        <v>1</v>
      </c>
      <c r="AB652" s="126">
        <v>3</v>
      </c>
      <c r="AC652" s="126">
        <v>6</v>
      </c>
      <c r="AD652" s="126">
        <v>2026</v>
      </c>
    </row>
    <row r="653" spans="3:30">
      <c r="C653" s="126">
        <v>646</v>
      </c>
      <c r="D653" s="126">
        <v>51</v>
      </c>
      <c r="E653" s="126">
        <v>11</v>
      </c>
      <c r="F653" s="126">
        <v>1</v>
      </c>
      <c r="G653" s="126">
        <v>1</v>
      </c>
      <c r="H653" s="126">
        <v>1</v>
      </c>
      <c r="I653" s="126">
        <v>1</v>
      </c>
      <c r="J653" s="126">
        <v>178</v>
      </c>
      <c r="M653" s="126">
        <v>224</v>
      </c>
      <c r="N653" s="126">
        <v>1</v>
      </c>
      <c r="P653" s="126">
        <v>184</v>
      </c>
      <c r="R653" s="126" t="s">
        <v>549</v>
      </c>
      <c r="S653" s="259">
        <v>28.5</v>
      </c>
      <c r="T653" s="259">
        <v>0</v>
      </c>
      <c r="U653" s="68" t="s">
        <v>1470</v>
      </c>
      <c r="V653" s="126">
        <v>1</v>
      </c>
      <c r="Z653" s="126">
        <v>1</v>
      </c>
      <c r="AA653" s="126">
        <v>1</v>
      </c>
      <c r="AB653" s="126">
        <v>3</v>
      </c>
      <c r="AC653" s="126">
        <v>6</v>
      </c>
      <c r="AD653" s="126">
        <v>2026</v>
      </c>
    </row>
    <row r="654" spans="3:30">
      <c r="C654" s="126">
        <v>647</v>
      </c>
      <c r="D654" s="126">
        <v>51</v>
      </c>
      <c r="E654" s="126">
        <v>10</v>
      </c>
      <c r="F654" s="126">
        <v>1</v>
      </c>
      <c r="G654" s="126">
        <v>1</v>
      </c>
      <c r="H654" s="126">
        <v>1</v>
      </c>
      <c r="I654" s="126">
        <v>1</v>
      </c>
      <c r="J654" s="126">
        <v>178</v>
      </c>
      <c r="P654" s="126">
        <v>184</v>
      </c>
      <c r="R654" s="126" t="s">
        <v>549</v>
      </c>
      <c r="S654" s="259">
        <v>0</v>
      </c>
      <c r="T654" s="259">
        <v>30</v>
      </c>
      <c r="U654" s="68" t="s">
        <v>1471</v>
      </c>
      <c r="V654" s="126">
        <v>1</v>
      </c>
      <c r="Z654" s="126">
        <v>1</v>
      </c>
      <c r="AA654" s="126">
        <v>1</v>
      </c>
      <c r="AB654" s="126">
        <v>3</v>
      </c>
      <c r="AC654" s="126">
        <v>6</v>
      </c>
      <c r="AD654" s="126">
        <v>2026</v>
      </c>
    </row>
    <row r="655" spans="3:30">
      <c r="C655" s="126">
        <v>648</v>
      </c>
      <c r="D655" s="126">
        <v>51</v>
      </c>
      <c r="E655" s="126">
        <v>3</v>
      </c>
      <c r="F655" s="126">
        <v>1</v>
      </c>
      <c r="G655" s="126">
        <v>1</v>
      </c>
      <c r="H655" s="126">
        <v>1</v>
      </c>
      <c r="I655" s="126">
        <v>1</v>
      </c>
      <c r="J655" s="126">
        <v>178</v>
      </c>
      <c r="M655" s="126">
        <v>225</v>
      </c>
      <c r="N655" s="126">
        <v>0</v>
      </c>
      <c r="P655" s="126">
        <v>185</v>
      </c>
      <c r="R655" s="126" t="s">
        <v>549</v>
      </c>
      <c r="S655" s="259">
        <v>0</v>
      </c>
      <c r="T655" s="259">
        <v>38</v>
      </c>
      <c r="U655" s="68" t="s">
        <v>1469</v>
      </c>
      <c r="V655" s="126">
        <v>1</v>
      </c>
      <c r="Z655" s="126">
        <v>1</v>
      </c>
      <c r="AA655" s="126">
        <v>1</v>
      </c>
      <c r="AB655" s="126">
        <v>3</v>
      </c>
      <c r="AC655" s="126">
        <v>6</v>
      </c>
      <c r="AD655" s="126">
        <v>2026</v>
      </c>
    </row>
    <row r="656" spans="3:30">
      <c r="C656" s="126">
        <v>649</v>
      </c>
      <c r="D656" s="126">
        <v>51</v>
      </c>
      <c r="E656" s="126">
        <v>11</v>
      </c>
      <c r="F656" s="126">
        <v>1</v>
      </c>
      <c r="G656" s="126">
        <v>1</v>
      </c>
      <c r="H656" s="126">
        <v>1</v>
      </c>
      <c r="I656" s="126">
        <v>1</v>
      </c>
      <c r="J656" s="126">
        <v>178</v>
      </c>
      <c r="M656" s="126">
        <v>225</v>
      </c>
      <c r="N656" s="126">
        <v>1</v>
      </c>
      <c r="P656" s="126">
        <v>185</v>
      </c>
      <c r="R656" s="126" t="s">
        <v>549</v>
      </c>
      <c r="S656" s="259">
        <v>38</v>
      </c>
      <c r="T656" s="259">
        <v>0</v>
      </c>
      <c r="U656" s="68" t="s">
        <v>1470</v>
      </c>
      <c r="V656" s="126">
        <v>1</v>
      </c>
      <c r="Z656" s="126">
        <v>1</v>
      </c>
      <c r="AA656" s="126">
        <v>1</v>
      </c>
      <c r="AB656" s="126">
        <v>3</v>
      </c>
      <c r="AC656" s="126">
        <v>6</v>
      </c>
      <c r="AD656" s="126">
        <v>2026</v>
      </c>
    </row>
    <row r="657" spans="3:30">
      <c r="C657" s="126">
        <v>650</v>
      </c>
      <c r="D657" s="126">
        <v>51</v>
      </c>
      <c r="E657" s="126">
        <v>10</v>
      </c>
      <c r="F657" s="126">
        <v>1</v>
      </c>
      <c r="G657" s="126">
        <v>1</v>
      </c>
      <c r="H657" s="126">
        <v>1</v>
      </c>
      <c r="I657" s="126">
        <v>1</v>
      </c>
      <c r="J657" s="126">
        <v>178</v>
      </c>
      <c r="P657" s="126">
        <v>185</v>
      </c>
      <c r="R657" s="126" t="s">
        <v>549</v>
      </c>
      <c r="S657" s="259">
        <v>0</v>
      </c>
      <c r="T657" s="259">
        <v>40</v>
      </c>
      <c r="U657" s="68" t="s">
        <v>1471</v>
      </c>
      <c r="V657" s="126">
        <v>1</v>
      </c>
      <c r="Z657" s="126">
        <v>1</v>
      </c>
      <c r="AA657" s="126">
        <v>1</v>
      </c>
      <c r="AB657" s="126">
        <v>3</v>
      </c>
      <c r="AC657" s="126">
        <v>6</v>
      </c>
      <c r="AD657" s="126">
        <v>2026</v>
      </c>
    </row>
    <row r="658" spans="3:30">
      <c r="C658" s="126">
        <v>651</v>
      </c>
      <c r="D658" s="126">
        <v>52</v>
      </c>
      <c r="E658" s="126">
        <v>2</v>
      </c>
      <c r="F658" s="126">
        <v>1</v>
      </c>
      <c r="G658" s="126">
        <v>1</v>
      </c>
      <c r="H658" s="126">
        <v>1</v>
      </c>
      <c r="I658" s="126">
        <v>1</v>
      </c>
      <c r="R658" s="126" t="s">
        <v>549</v>
      </c>
      <c r="S658" s="259">
        <v>99.25</v>
      </c>
      <c r="T658" s="259">
        <v>0</v>
      </c>
      <c r="U658" s="68" t="s">
        <v>1473</v>
      </c>
      <c r="V658" s="126">
        <v>1</v>
      </c>
      <c r="Z658" s="126">
        <v>1</v>
      </c>
      <c r="AA658" s="126">
        <v>1</v>
      </c>
      <c r="AB658" s="126">
        <v>3</v>
      </c>
      <c r="AC658" s="126">
        <v>6</v>
      </c>
      <c r="AD658" s="126">
        <v>2026</v>
      </c>
    </row>
    <row r="659" spans="3:30">
      <c r="C659" s="126">
        <v>652</v>
      </c>
      <c r="D659" s="126">
        <v>52</v>
      </c>
      <c r="E659" s="126">
        <v>3</v>
      </c>
      <c r="F659" s="126">
        <v>1</v>
      </c>
      <c r="G659" s="126">
        <v>1</v>
      </c>
      <c r="H659" s="126">
        <v>1</v>
      </c>
      <c r="I659" s="126">
        <v>1</v>
      </c>
      <c r="J659" s="126">
        <v>177</v>
      </c>
      <c r="M659" s="126">
        <v>226</v>
      </c>
      <c r="N659" s="126">
        <v>0</v>
      </c>
      <c r="P659" s="126">
        <v>186</v>
      </c>
      <c r="R659" s="126" t="s">
        <v>549</v>
      </c>
      <c r="S659" s="259">
        <v>0</v>
      </c>
      <c r="T659" s="259">
        <v>12.450000000000001</v>
      </c>
      <c r="U659" s="68" t="s">
        <v>1474</v>
      </c>
      <c r="V659" s="126">
        <v>1</v>
      </c>
      <c r="Z659" s="126">
        <v>1</v>
      </c>
      <c r="AA659" s="126">
        <v>1</v>
      </c>
      <c r="AB659" s="126">
        <v>3</v>
      </c>
      <c r="AC659" s="126">
        <v>6</v>
      </c>
      <c r="AD659" s="126">
        <v>2026</v>
      </c>
    </row>
    <row r="660" spans="3:30">
      <c r="C660" s="126">
        <v>653</v>
      </c>
      <c r="D660" s="126">
        <v>52</v>
      </c>
      <c r="E660" s="126">
        <v>11</v>
      </c>
      <c r="F660" s="126">
        <v>1</v>
      </c>
      <c r="G660" s="126">
        <v>1</v>
      </c>
      <c r="H660" s="126">
        <v>1</v>
      </c>
      <c r="I660" s="126">
        <v>1</v>
      </c>
      <c r="J660" s="126">
        <v>177</v>
      </c>
      <c r="M660" s="126">
        <v>226</v>
      </c>
      <c r="N660" s="126">
        <v>1</v>
      </c>
      <c r="P660" s="126">
        <v>186</v>
      </c>
      <c r="R660" s="126" t="s">
        <v>549</v>
      </c>
      <c r="S660" s="259">
        <v>12.450000000000001</v>
      </c>
      <c r="T660" s="259">
        <v>0</v>
      </c>
      <c r="U660" s="68" t="s">
        <v>1475</v>
      </c>
      <c r="V660" s="126">
        <v>1</v>
      </c>
      <c r="Z660" s="126">
        <v>1</v>
      </c>
      <c r="AA660" s="126">
        <v>1</v>
      </c>
      <c r="AB660" s="126">
        <v>3</v>
      </c>
      <c r="AC660" s="126">
        <v>6</v>
      </c>
      <c r="AD660" s="126">
        <v>2026</v>
      </c>
    </row>
    <row r="661" spans="3:30">
      <c r="C661" s="126">
        <v>654</v>
      </c>
      <c r="D661" s="126">
        <v>52</v>
      </c>
      <c r="E661" s="126">
        <v>10</v>
      </c>
      <c r="F661" s="126">
        <v>1</v>
      </c>
      <c r="G661" s="126">
        <v>1</v>
      </c>
      <c r="H661" s="126">
        <v>1</v>
      </c>
      <c r="I661" s="126">
        <v>1</v>
      </c>
      <c r="J661" s="126">
        <v>177</v>
      </c>
      <c r="P661" s="126">
        <v>186</v>
      </c>
      <c r="R661" s="126" t="s">
        <v>549</v>
      </c>
      <c r="S661" s="259">
        <v>0</v>
      </c>
      <c r="T661" s="259">
        <v>14.25</v>
      </c>
      <c r="U661" s="68" t="s">
        <v>1476</v>
      </c>
      <c r="V661" s="126">
        <v>1</v>
      </c>
      <c r="Z661" s="126">
        <v>1</v>
      </c>
      <c r="AA661" s="126">
        <v>1</v>
      </c>
      <c r="AB661" s="126">
        <v>3</v>
      </c>
      <c r="AC661" s="126">
        <v>6</v>
      </c>
      <c r="AD661" s="126">
        <v>2026</v>
      </c>
    </row>
    <row r="662" spans="3:30">
      <c r="C662" s="126">
        <v>655</v>
      </c>
      <c r="D662" s="126">
        <v>52</v>
      </c>
      <c r="E662" s="126">
        <v>3</v>
      </c>
      <c r="F662" s="126">
        <v>1</v>
      </c>
      <c r="G662" s="126">
        <v>1</v>
      </c>
      <c r="H662" s="126">
        <v>1</v>
      </c>
      <c r="I662" s="126">
        <v>1</v>
      </c>
      <c r="J662" s="126">
        <v>178</v>
      </c>
      <c r="M662" s="126">
        <v>227</v>
      </c>
      <c r="N662" s="126">
        <v>0</v>
      </c>
      <c r="P662" s="126">
        <v>187</v>
      </c>
      <c r="R662" s="126" t="s">
        <v>549</v>
      </c>
      <c r="S662" s="259">
        <v>0</v>
      </c>
      <c r="T662" s="259">
        <v>57</v>
      </c>
      <c r="U662" s="68" t="s">
        <v>1477</v>
      </c>
      <c r="V662" s="126">
        <v>1</v>
      </c>
      <c r="Z662" s="126">
        <v>1</v>
      </c>
      <c r="AA662" s="126">
        <v>1</v>
      </c>
      <c r="AB662" s="126">
        <v>3</v>
      </c>
      <c r="AC662" s="126">
        <v>6</v>
      </c>
      <c r="AD662" s="126">
        <v>2026</v>
      </c>
    </row>
    <row r="663" spans="3:30">
      <c r="C663" s="126">
        <v>656</v>
      </c>
      <c r="D663" s="126">
        <v>52</v>
      </c>
      <c r="E663" s="126">
        <v>11</v>
      </c>
      <c r="F663" s="126">
        <v>1</v>
      </c>
      <c r="G663" s="126">
        <v>1</v>
      </c>
      <c r="H663" s="126">
        <v>1</v>
      </c>
      <c r="I663" s="126">
        <v>1</v>
      </c>
      <c r="J663" s="126">
        <v>178</v>
      </c>
      <c r="M663" s="126">
        <v>227</v>
      </c>
      <c r="N663" s="126">
        <v>1</v>
      </c>
      <c r="P663" s="126">
        <v>187</v>
      </c>
      <c r="R663" s="126" t="s">
        <v>549</v>
      </c>
      <c r="S663" s="259">
        <v>57</v>
      </c>
      <c r="T663" s="259">
        <v>0</v>
      </c>
      <c r="U663" s="68" t="s">
        <v>1478</v>
      </c>
      <c r="V663" s="126">
        <v>1</v>
      </c>
      <c r="Z663" s="126">
        <v>1</v>
      </c>
      <c r="AA663" s="126">
        <v>1</v>
      </c>
      <c r="AB663" s="126">
        <v>3</v>
      </c>
      <c r="AC663" s="126">
        <v>6</v>
      </c>
      <c r="AD663" s="126">
        <v>2026</v>
      </c>
    </row>
    <row r="664" spans="3:30">
      <c r="C664" s="126">
        <v>657</v>
      </c>
      <c r="D664" s="126">
        <v>52</v>
      </c>
      <c r="E664" s="126">
        <v>10</v>
      </c>
      <c r="F664" s="126">
        <v>1</v>
      </c>
      <c r="G664" s="126">
        <v>1</v>
      </c>
      <c r="H664" s="126">
        <v>1</v>
      </c>
      <c r="I664" s="126">
        <v>1</v>
      </c>
      <c r="J664" s="126">
        <v>178</v>
      </c>
      <c r="P664" s="126">
        <v>187</v>
      </c>
      <c r="R664" s="126" t="s">
        <v>549</v>
      </c>
      <c r="S664" s="259">
        <v>0</v>
      </c>
      <c r="T664" s="259">
        <v>60</v>
      </c>
      <c r="U664" s="68" t="s">
        <v>1479</v>
      </c>
      <c r="V664" s="126">
        <v>1</v>
      </c>
      <c r="Z664" s="126">
        <v>1</v>
      </c>
      <c r="AA664" s="126">
        <v>1</v>
      </c>
      <c r="AB664" s="126">
        <v>3</v>
      </c>
      <c r="AC664" s="126">
        <v>6</v>
      </c>
      <c r="AD664" s="126">
        <v>2026</v>
      </c>
    </row>
    <row r="665" spans="3:30">
      <c r="C665" s="126">
        <v>658</v>
      </c>
      <c r="D665" s="126">
        <v>52</v>
      </c>
      <c r="E665" s="126">
        <v>3</v>
      </c>
      <c r="F665" s="126">
        <v>1</v>
      </c>
      <c r="G665" s="126">
        <v>1</v>
      </c>
      <c r="H665" s="126">
        <v>1</v>
      </c>
      <c r="I665" s="126">
        <v>1</v>
      </c>
      <c r="J665" s="126">
        <v>183</v>
      </c>
      <c r="M665" s="126">
        <v>228</v>
      </c>
      <c r="N665" s="126">
        <v>0</v>
      </c>
      <c r="P665" s="126">
        <v>188</v>
      </c>
      <c r="R665" s="126" t="s">
        <v>549</v>
      </c>
      <c r="S665" s="259">
        <v>0</v>
      </c>
      <c r="T665" s="259">
        <v>20</v>
      </c>
      <c r="U665" s="68" t="s">
        <v>1480</v>
      </c>
      <c r="V665" s="126">
        <v>1</v>
      </c>
      <c r="Z665" s="126">
        <v>1</v>
      </c>
      <c r="AA665" s="126">
        <v>1</v>
      </c>
      <c r="AB665" s="126">
        <v>3</v>
      </c>
      <c r="AC665" s="126">
        <v>6</v>
      </c>
      <c r="AD665" s="126">
        <v>2026</v>
      </c>
    </row>
    <row r="666" spans="3:30">
      <c r="C666" s="126">
        <v>659</v>
      </c>
      <c r="D666" s="126">
        <v>52</v>
      </c>
      <c r="E666" s="126">
        <v>11</v>
      </c>
      <c r="F666" s="126">
        <v>1</v>
      </c>
      <c r="G666" s="126">
        <v>1</v>
      </c>
      <c r="H666" s="126">
        <v>1</v>
      </c>
      <c r="I666" s="126">
        <v>1</v>
      </c>
      <c r="J666" s="126">
        <v>183</v>
      </c>
      <c r="M666" s="126">
        <v>228</v>
      </c>
      <c r="N666" s="126">
        <v>1</v>
      </c>
      <c r="P666" s="126">
        <v>188</v>
      </c>
      <c r="R666" s="126" t="s">
        <v>549</v>
      </c>
      <c r="S666" s="259">
        <v>20</v>
      </c>
      <c r="T666" s="259">
        <v>0</v>
      </c>
      <c r="U666" s="68" t="s">
        <v>1481</v>
      </c>
      <c r="V666" s="126">
        <v>1</v>
      </c>
      <c r="Z666" s="126">
        <v>1</v>
      </c>
      <c r="AA666" s="126">
        <v>1</v>
      </c>
      <c r="AB666" s="126">
        <v>3</v>
      </c>
      <c r="AC666" s="126">
        <v>6</v>
      </c>
      <c r="AD666" s="126">
        <v>2026</v>
      </c>
    </row>
    <row r="667" spans="3:30">
      <c r="C667" s="126">
        <v>660</v>
      </c>
      <c r="D667" s="126">
        <v>52</v>
      </c>
      <c r="E667" s="126">
        <v>10</v>
      </c>
      <c r="F667" s="126">
        <v>1</v>
      </c>
      <c r="G667" s="126">
        <v>1</v>
      </c>
      <c r="H667" s="126">
        <v>1</v>
      </c>
      <c r="I667" s="126">
        <v>1</v>
      </c>
      <c r="J667" s="126">
        <v>183</v>
      </c>
      <c r="P667" s="126">
        <v>188</v>
      </c>
      <c r="R667" s="126" t="s">
        <v>549</v>
      </c>
      <c r="S667" s="259">
        <v>0</v>
      </c>
      <c r="T667" s="259">
        <v>25</v>
      </c>
      <c r="U667" s="68" t="s">
        <v>1482</v>
      </c>
      <c r="V667" s="126">
        <v>1</v>
      </c>
      <c r="Z667" s="126">
        <v>1</v>
      </c>
      <c r="AA667" s="126">
        <v>1</v>
      </c>
      <c r="AB667" s="126">
        <v>3</v>
      </c>
      <c r="AC667" s="126">
        <v>6</v>
      </c>
      <c r="AD667" s="126">
        <v>2026</v>
      </c>
    </row>
    <row r="668" spans="3:30">
      <c r="C668" s="126">
        <v>661</v>
      </c>
      <c r="D668" s="126">
        <v>53</v>
      </c>
      <c r="E668" s="126">
        <v>2</v>
      </c>
      <c r="F668" s="126">
        <v>1</v>
      </c>
      <c r="G668" s="126">
        <v>1</v>
      </c>
      <c r="H668" s="126">
        <v>1</v>
      </c>
      <c r="I668" s="126">
        <v>1</v>
      </c>
      <c r="R668" s="126" t="s">
        <v>549</v>
      </c>
      <c r="S668" s="259">
        <v>13.4</v>
      </c>
      <c r="T668" s="259">
        <v>0</v>
      </c>
      <c r="U668" s="68" t="s">
        <v>1484</v>
      </c>
      <c r="V668" s="126">
        <v>1</v>
      </c>
      <c r="Z668" s="126">
        <v>1</v>
      </c>
      <c r="AA668" s="126">
        <v>1</v>
      </c>
      <c r="AB668" s="126">
        <v>3</v>
      </c>
      <c r="AC668" s="126">
        <v>6</v>
      </c>
      <c r="AD668" s="126">
        <v>2026</v>
      </c>
    </row>
    <row r="669" spans="3:30">
      <c r="C669" s="126">
        <v>662</v>
      </c>
      <c r="D669" s="126">
        <v>53</v>
      </c>
      <c r="E669" s="126">
        <v>3</v>
      </c>
      <c r="F669" s="126">
        <v>1</v>
      </c>
      <c r="G669" s="126">
        <v>1</v>
      </c>
      <c r="H669" s="126">
        <v>1</v>
      </c>
      <c r="I669" s="126">
        <v>1</v>
      </c>
      <c r="J669" s="126">
        <v>167</v>
      </c>
      <c r="M669" s="126">
        <v>229</v>
      </c>
      <c r="N669" s="126">
        <v>0</v>
      </c>
      <c r="P669" s="126">
        <v>189</v>
      </c>
      <c r="R669" s="126" t="s">
        <v>549</v>
      </c>
      <c r="S669" s="259">
        <v>0</v>
      </c>
      <c r="T669" s="259">
        <v>5.95</v>
      </c>
      <c r="U669" s="68" t="s">
        <v>1485</v>
      </c>
      <c r="V669" s="126">
        <v>1</v>
      </c>
      <c r="Z669" s="126">
        <v>1</v>
      </c>
      <c r="AA669" s="126">
        <v>1</v>
      </c>
      <c r="AB669" s="126">
        <v>3</v>
      </c>
      <c r="AC669" s="126">
        <v>6</v>
      </c>
      <c r="AD669" s="126">
        <v>2026</v>
      </c>
    </row>
    <row r="670" spans="3:30">
      <c r="C670" s="126">
        <v>663</v>
      </c>
      <c r="D670" s="126">
        <v>53</v>
      </c>
      <c r="E670" s="126">
        <v>11</v>
      </c>
      <c r="F670" s="126">
        <v>1</v>
      </c>
      <c r="G670" s="126">
        <v>1</v>
      </c>
      <c r="H670" s="126">
        <v>1</v>
      </c>
      <c r="I670" s="126">
        <v>1</v>
      </c>
      <c r="J670" s="126">
        <v>167</v>
      </c>
      <c r="M670" s="126">
        <v>229</v>
      </c>
      <c r="N670" s="126">
        <v>1</v>
      </c>
      <c r="P670" s="126">
        <v>189</v>
      </c>
      <c r="R670" s="126" t="s">
        <v>549</v>
      </c>
      <c r="S670" s="259">
        <v>5.95</v>
      </c>
      <c r="T670" s="259">
        <v>0</v>
      </c>
      <c r="U670" s="68" t="s">
        <v>1486</v>
      </c>
      <c r="V670" s="126">
        <v>1</v>
      </c>
      <c r="Z670" s="126">
        <v>1</v>
      </c>
      <c r="AA670" s="126">
        <v>1</v>
      </c>
      <c r="AB670" s="126">
        <v>3</v>
      </c>
      <c r="AC670" s="126">
        <v>6</v>
      </c>
      <c r="AD670" s="126">
        <v>2026</v>
      </c>
    </row>
    <row r="671" spans="3:30">
      <c r="C671" s="126">
        <v>664</v>
      </c>
      <c r="D671" s="126">
        <v>53</v>
      </c>
      <c r="E671" s="126">
        <v>10</v>
      </c>
      <c r="F671" s="126">
        <v>1</v>
      </c>
      <c r="G671" s="126">
        <v>1</v>
      </c>
      <c r="H671" s="126">
        <v>1</v>
      </c>
      <c r="I671" s="126">
        <v>1</v>
      </c>
      <c r="J671" s="126">
        <v>167</v>
      </c>
      <c r="P671" s="126">
        <v>189</v>
      </c>
      <c r="R671" s="126" t="s">
        <v>549</v>
      </c>
      <c r="S671" s="259">
        <v>0</v>
      </c>
      <c r="T671" s="259">
        <v>7</v>
      </c>
      <c r="U671" s="68" t="s">
        <v>1487</v>
      </c>
      <c r="V671" s="126">
        <v>1</v>
      </c>
      <c r="Z671" s="126">
        <v>1</v>
      </c>
      <c r="AA671" s="126">
        <v>1</v>
      </c>
      <c r="AB671" s="126">
        <v>3</v>
      </c>
      <c r="AC671" s="126">
        <v>6</v>
      </c>
      <c r="AD671" s="126">
        <v>2026</v>
      </c>
    </row>
    <row r="672" spans="3:30">
      <c r="C672" s="126">
        <v>665</v>
      </c>
      <c r="D672" s="126">
        <v>53</v>
      </c>
      <c r="E672" s="126">
        <v>3</v>
      </c>
      <c r="F672" s="126">
        <v>1</v>
      </c>
      <c r="G672" s="126">
        <v>1</v>
      </c>
      <c r="H672" s="126">
        <v>1</v>
      </c>
      <c r="I672" s="126">
        <v>1</v>
      </c>
      <c r="J672" s="126">
        <v>144</v>
      </c>
      <c r="M672" s="126">
        <v>230</v>
      </c>
      <c r="N672" s="126">
        <v>0</v>
      </c>
      <c r="P672" s="126">
        <v>190</v>
      </c>
      <c r="R672" s="126" t="s">
        <v>549</v>
      </c>
      <c r="S672" s="259">
        <v>0</v>
      </c>
      <c r="T672" s="259">
        <v>1.2</v>
      </c>
      <c r="U672" s="68" t="s">
        <v>1488</v>
      </c>
      <c r="V672" s="126">
        <v>1</v>
      </c>
      <c r="Z672" s="126">
        <v>1</v>
      </c>
      <c r="AA672" s="126">
        <v>1</v>
      </c>
      <c r="AB672" s="126">
        <v>3</v>
      </c>
      <c r="AC672" s="126">
        <v>6</v>
      </c>
      <c r="AD672" s="126">
        <v>2026</v>
      </c>
    </row>
    <row r="673" spans="3:30">
      <c r="C673" s="126">
        <v>666</v>
      </c>
      <c r="D673" s="126">
        <v>53</v>
      </c>
      <c r="E673" s="126">
        <v>11</v>
      </c>
      <c r="F673" s="126">
        <v>1</v>
      </c>
      <c r="G673" s="126">
        <v>1</v>
      </c>
      <c r="H673" s="126">
        <v>1</v>
      </c>
      <c r="I673" s="126">
        <v>1</v>
      </c>
      <c r="J673" s="126">
        <v>144</v>
      </c>
      <c r="M673" s="126">
        <v>230</v>
      </c>
      <c r="N673" s="126">
        <v>1</v>
      </c>
      <c r="P673" s="126">
        <v>190</v>
      </c>
      <c r="R673" s="126" t="s">
        <v>549</v>
      </c>
      <c r="S673" s="259">
        <v>1.2</v>
      </c>
      <c r="T673" s="259">
        <v>0</v>
      </c>
      <c r="U673" s="68" t="s">
        <v>1489</v>
      </c>
      <c r="V673" s="126">
        <v>1</v>
      </c>
      <c r="Z673" s="126">
        <v>1</v>
      </c>
      <c r="AA673" s="126">
        <v>1</v>
      </c>
      <c r="AB673" s="126">
        <v>3</v>
      </c>
      <c r="AC673" s="126">
        <v>6</v>
      </c>
      <c r="AD673" s="126">
        <v>2026</v>
      </c>
    </row>
    <row r="674" spans="3:30">
      <c r="C674" s="126">
        <v>667</v>
      </c>
      <c r="D674" s="126">
        <v>53</v>
      </c>
      <c r="E674" s="126">
        <v>10</v>
      </c>
      <c r="F674" s="126">
        <v>1</v>
      </c>
      <c r="G674" s="126">
        <v>1</v>
      </c>
      <c r="H674" s="126">
        <v>1</v>
      </c>
      <c r="I674" s="126">
        <v>1</v>
      </c>
      <c r="J674" s="126">
        <v>144</v>
      </c>
      <c r="P674" s="126">
        <v>190</v>
      </c>
      <c r="R674" s="126" t="s">
        <v>549</v>
      </c>
      <c r="S674" s="259">
        <v>0</v>
      </c>
      <c r="T674" s="259">
        <v>2.52</v>
      </c>
      <c r="U674" s="68" t="s">
        <v>1490</v>
      </c>
      <c r="V674" s="126">
        <v>1</v>
      </c>
      <c r="Z674" s="126">
        <v>1</v>
      </c>
      <c r="AA674" s="126">
        <v>1</v>
      </c>
      <c r="AB674" s="126">
        <v>3</v>
      </c>
      <c r="AC674" s="126">
        <v>6</v>
      </c>
      <c r="AD674" s="126">
        <v>2026</v>
      </c>
    </row>
    <row r="675" spans="3:30">
      <c r="C675" s="126">
        <v>668</v>
      </c>
      <c r="D675" s="126">
        <v>53</v>
      </c>
      <c r="E675" s="126">
        <v>3</v>
      </c>
      <c r="F675" s="126">
        <v>1</v>
      </c>
      <c r="G675" s="126">
        <v>1</v>
      </c>
      <c r="H675" s="126">
        <v>1</v>
      </c>
      <c r="I675" s="126">
        <v>1</v>
      </c>
      <c r="J675" s="126">
        <v>74</v>
      </c>
      <c r="M675" s="126">
        <v>231</v>
      </c>
      <c r="N675" s="126">
        <v>0</v>
      </c>
      <c r="P675" s="126">
        <v>191</v>
      </c>
      <c r="R675" s="126" t="s">
        <v>549</v>
      </c>
      <c r="S675" s="259">
        <v>0</v>
      </c>
      <c r="T675" s="259">
        <v>0.76</v>
      </c>
      <c r="U675" s="68" t="s">
        <v>1491</v>
      </c>
      <c r="V675" s="126">
        <v>1</v>
      </c>
      <c r="Z675" s="126">
        <v>1</v>
      </c>
      <c r="AA675" s="126">
        <v>1</v>
      </c>
      <c r="AB675" s="126">
        <v>3</v>
      </c>
      <c r="AC675" s="126">
        <v>6</v>
      </c>
      <c r="AD675" s="126">
        <v>2026</v>
      </c>
    </row>
    <row r="676" spans="3:30">
      <c r="C676" s="126">
        <v>669</v>
      </c>
      <c r="D676" s="126">
        <v>53</v>
      </c>
      <c r="E676" s="126">
        <v>11</v>
      </c>
      <c r="F676" s="126">
        <v>1</v>
      </c>
      <c r="G676" s="126">
        <v>1</v>
      </c>
      <c r="H676" s="126">
        <v>1</v>
      </c>
      <c r="I676" s="126">
        <v>1</v>
      </c>
      <c r="J676" s="126">
        <v>74</v>
      </c>
      <c r="M676" s="126">
        <v>231</v>
      </c>
      <c r="N676" s="126">
        <v>1</v>
      </c>
      <c r="P676" s="126">
        <v>191</v>
      </c>
      <c r="R676" s="126" t="s">
        <v>549</v>
      </c>
      <c r="S676" s="259">
        <v>0.76</v>
      </c>
      <c r="T676" s="259">
        <v>0</v>
      </c>
      <c r="U676" s="68" t="s">
        <v>1492</v>
      </c>
      <c r="V676" s="126">
        <v>1</v>
      </c>
      <c r="Z676" s="126">
        <v>1</v>
      </c>
      <c r="AA676" s="126">
        <v>1</v>
      </c>
      <c r="AB676" s="126">
        <v>3</v>
      </c>
      <c r="AC676" s="126">
        <v>6</v>
      </c>
      <c r="AD676" s="126">
        <v>2026</v>
      </c>
    </row>
    <row r="677" spans="3:30">
      <c r="C677" s="126">
        <v>670</v>
      </c>
      <c r="D677" s="126">
        <v>53</v>
      </c>
      <c r="E677" s="126">
        <v>10</v>
      </c>
      <c r="F677" s="126">
        <v>1</v>
      </c>
      <c r="G677" s="126">
        <v>1</v>
      </c>
      <c r="H677" s="126">
        <v>1</v>
      </c>
      <c r="I677" s="126">
        <v>1</v>
      </c>
      <c r="J677" s="126">
        <v>74</v>
      </c>
      <c r="P677" s="126">
        <v>191</v>
      </c>
      <c r="R677" s="126" t="s">
        <v>549</v>
      </c>
      <c r="S677" s="259">
        <v>0</v>
      </c>
      <c r="T677" s="259">
        <v>1</v>
      </c>
      <c r="U677" s="68" t="s">
        <v>1493</v>
      </c>
      <c r="V677" s="126">
        <v>1</v>
      </c>
      <c r="Z677" s="126">
        <v>1</v>
      </c>
      <c r="AA677" s="126">
        <v>1</v>
      </c>
      <c r="AB677" s="126">
        <v>3</v>
      </c>
      <c r="AC677" s="126">
        <v>6</v>
      </c>
      <c r="AD677" s="126">
        <v>2026</v>
      </c>
    </row>
    <row r="678" spans="3:30">
      <c r="C678" s="126">
        <v>671</v>
      </c>
      <c r="D678" s="126">
        <v>53</v>
      </c>
      <c r="E678" s="126">
        <v>3</v>
      </c>
      <c r="F678" s="126">
        <v>1</v>
      </c>
      <c r="G678" s="126">
        <v>1</v>
      </c>
      <c r="H678" s="126">
        <v>1</v>
      </c>
      <c r="I678" s="126">
        <v>1</v>
      </c>
      <c r="J678" s="126">
        <v>90</v>
      </c>
      <c r="M678" s="126">
        <v>232</v>
      </c>
      <c r="N678" s="126">
        <v>0</v>
      </c>
      <c r="P678" s="126">
        <v>192</v>
      </c>
      <c r="R678" s="126" t="s">
        <v>549</v>
      </c>
      <c r="S678" s="259">
        <v>0</v>
      </c>
      <c r="T678" s="259">
        <v>0.72</v>
      </c>
      <c r="U678" s="68" t="s">
        <v>1494</v>
      </c>
      <c r="V678" s="126">
        <v>1</v>
      </c>
      <c r="Z678" s="126">
        <v>1</v>
      </c>
      <c r="AA678" s="126">
        <v>1</v>
      </c>
      <c r="AB678" s="126">
        <v>3</v>
      </c>
      <c r="AC678" s="126">
        <v>6</v>
      </c>
      <c r="AD678" s="126">
        <v>2026</v>
      </c>
    </row>
    <row r="679" spans="3:30">
      <c r="C679" s="126">
        <v>672</v>
      </c>
      <c r="D679" s="126">
        <v>53</v>
      </c>
      <c r="E679" s="126">
        <v>11</v>
      </c>
      <c r="F679" s="126">
        <v>1</v>
      </c>
      <c r="G679" s="126">
        <v>1</v>
      </c>
      <c r="H679" s="126">
        <v>1</v>
      </c>
      <c r="I679" s="126">
        <v>1</v>
      </c>
      <c r="J679" s="126">
        <v>90</v>
      </c>
      <c r="M679" s="126">
        <v>232</v>
      </c>
      <c r="N679" s="126">
        <v>1</v>
      </c>
      <c r="P679" s="126">
        <v>192</v>
      </c>
      <c r="R679" s="126" t="s">
        <v>549</v>
      </c>
      <c r="S679" s="259">
        <v>0.72</v>
      </c>
      <c r="T679" s="259">
        <v>0</v>
      </c>
      <c r="U679" s="68" t="s">
        <v>1495</v>
      </c>
      <c r="V679" s="126">
        <v>1</v>
      </c>
      <c r="Z679" s="126">
        <v>1</v>
      </c>
      <c r="AA679" s="126">
        <v>1</v>
      </c>
      <c r="AB679" s="126">
        <v>3</v>
      </c>
      <c r="AC679" s="126">
        <v>6</v>
      </c>
      <c r="AD679" s="126">
        <v>2026</v>
      </c>
    </row>
    <row r="680" spans="3:30">
      <c r="C680" s="126">
        <v>673</v>
      </c>
      <c r="D680" s="126">
        <v>53</v>
      </c>
      <c r="E680" s="126">
        <v>10</v>
      </c>
      <c r="F680" s="126">
        <v>1</v>
      </c>
      <c r="G680" s="126">
        <v>1</v>
      </c>
      <c r="H680" s="126">
        <v>1</v>
      </c>
      <c r="I680" s="126">
        <v>1</v>
      </c>
      <c r="J680" s="126">
        <v>90</v>
      </c>
      <c r="P680" s="126">
        <v>192</v>
      </c>
      <c r="R680" s="126" t="s">
        <v>549</v>
      </c>
      <c r="S680" s="259">
        <v>0</v>
      </c>
      <c r="T680" s="259">
        <v>2</v>
      </c>
      <c r="U680" s="68" t="s">
        <v>1496</v>
      </c>
      <c r="V680" s="126">
        <v>1</v>
      </c>
      <c r="Z680" s="126">
        <v>1</v>
      </c>
      <c r="AA680" s="126">
        <v>1</v>
      </c>
      <c r="AB680" s="126">
        <v>3</v>
      </c>
      <c r="AC680" s="126">
        <v>6</v>
      </c>
      <c r="AD680" s="126">
        <v>2026</v>
      </c>
    </row>
    <row r="681" spans="3:30">
      <c r="C681" s="126">
        <v>674</v>
      </c>
      <c r="D681" s="126">
        <v>53</v>
      </c>
      <c r="E681" s="126">
        <v>3</v>
      </c>
      <c r="F681" s="126">
        <v>1</v>
      </c>
      <c r="G681" s="126">
        <v>1</v>
      </c>
      <c r="H681" s="126">
        <v>1</v>
      </c>
      <c r="I681" s="126">
        <v>1</v>
      </c>
      <c r="J681" s="126">
        <v>49</v>
      </c>
      <c r="M681" s="126">
        <v>233</v>
      </c>
      <c r="N681" s="126">
        <v>0</v>
      </c>
      <c r="P681" s="126">
        <v>193</v>
      </c>
      <c r="R681" s="126" t="s">
        <v>549</v>
      </c>
      <c r="S681" s="259">
        <v>0</v>
      </c>
      <c r="T681" s="259">
        <v>0.56000000000000005</v>
      </c>
      <c r="U681" s="68" t="s">
        <v>1497</v>
      </c>
      <c r="V681" s="126">
        <v>1</v>
      </c>
      <c r="Z681" s="126">
        <v>1</v>
      </c>
      <c r="AA681" s="126">
        <v>1</v>
      </c>
      <c r="AB681" s="126">
        <v>3</v>
      </c>
      <c r="AC681" s="126">
        <v>6</v>
      </c>
      <c r="AD681" s="126">
        <v>2026</v>
      </c>
    </row>
    <row r="682" spans="3:30">
      <c r="C682" s="126">
        <v>675</v>
      </c>
      <c r="D682" s="126">
        <v>53</v>
      </c>
      <c r="E682" s="126">
        <v>11</v>
      </c>
      <c r="F682" s="126">
        <v>1</v>
      </c>
      <c r="G682" s="126">
        <v>1</v>
      </c>
      <c r="H682" s="126">
        <v>1</v>
      </c>
      <c r="I682" s="126">
        <v>1</v>
      </c>
      <c r="J682" s="126">
        <v>49</v>
      </c>
      <c r="M682" s="126">
        <v>233</v>
      </c>
      <c r="N682" s="126">
        <v>1</v>
      </c>
      <c r="P682" s="126">
        <v>193</v>
      </c>
      <c r="R682" s="126" t="s">
        <v>549</v>
      </c>
      <c r="S682" s="259">
        <v>0.56000000000000005</v>
      </c>
      <c r="T682" s="259">
        <v>0</v>
      </c>
      <c r="U682" s="68" t="s">
        <v>1498</v>
      </c>
      <c r="V682" s="126">
        <v>1</v>
      </c>
      <c r="Z682" s="126">
        <v>1</v>
      </c>
      <c r="AA682" s="126">
        <v>1</v>
      </c>
      <c r="AB682" s="126">
        <v>3</v>
      </c>
      <c r="AC682" s="126">
        <v>6</v>
      </c>
      <c r="AD682" s="126">
        <v>2026</v>
      </c>
    </row>
    <row r="683" spans="3:30">
      <c r="C683" s="126">
        <v>676</v>
      </c>
      <c r="D683" s="126">
        <v>53</v>
      </c>
      <c r="E683" s="126">
        <v>10</v>
      </c>
      <c r="F683" s="126">
        <v>1</v>
      </c>
      <c r="G683" s="126">
        <v>1</v>
      </c>
      <c r="H683" s="126">
        <v>1</v>
      </c>
      <c r="I683" s="126">
        <v>1</v>
      </c>
      <c r="J683" s="126">
        <v>49</v>
      </c>
      <c r="P683" s="126">
        <v>193</v>
      </c>
      <c r="R683" s="126" t="s">
        <v>549</v>
      </c>
      <c r="S683" s="259">
        <v>0</v>
      </c>
      <c r="T683" s="259">
        <v>0.76</v>
      </c>
      <c r="U683" s="68" t="s">
        <v>1499</v>
      </c>
      <c r="V683" s="126">
        <v>1</v>
      </c>
      <c r="Z683" s="126">
        <v>1</v>
      </c>
      <c r="AA683" s="126">
        <v>1</v>
      </c>
      <c r="AB683" s="126">
        <v>3</v>
      </c>
      <c r="AC683" s="126">
        <v>6</v>
      </c>
      <c r="AD683" s="126">
        <v>2026</v>
      </c>
    </row>
    <row r="684" spans="3:30">
      <c r="C684" s="126">
        <v>677</v>
      </c>
      <c r="D684" s="126">
        <v>53</v>
      </c>
      <c r="E684" s="126">
        <v>3</v>
      </c>
      <c r="F684" s="126">
        <v>1</v>
      </c>
      <c r="G684" s="126">
        <v>1</v>
      </c>
      <c r="H684" s="126">
        <v>1</v>
      </c>
      <c r="I684" s="126">
        <v>1</v>
      </c>
      <c r="J684" s="126">
        <v>94</v>
      </c>
      <c r="M684" s="126">
        <v>234</v>
      </c>
      <c r="N684" s="126">
        <v>0</v>
      </c>
      <c r="P684" s="126">
        <v>194</v>
      </c>
      <c r="R684" s="126" t="s">
        <v>549</v>
      </c>
      <c r="S684" s="259">
        <v>0</v>
      </c>
      <c r="T684" s="259">
        <v>0.1</v>
      </c>
      <c r="U684" s="68" t="s">
        <v>1500</v>
      </c>
      <c r="V684" s="126">
        <v>1</v>
      </c>
      <c r="Z684" s="126">
        <v>1</v>
      </c>
      <c r="AA684" s="126">
        <v>1</v>
      </c>
      <c r="AB684" s="126">
        <v>3</v>
      </c>
      <c r="AC684" s="126">
        <v>6</v>
      </c>
      <c r="AD684" s="126">
        <v>2026</v>
      </c>
    </row>
    <row r="685" spans="3:30">
      <c r="C685" s="126">
        <v>678</v>
      </c>
      <c r="D685" s="126">
        <v>53</v>
      </c>
      <c r="E685" s="126">
        <v>11</v>
      </c>
      <c r="F685" s="126">
        <v>1</v>
      </c>
      <c r="G685" s="126">
        <v>1</v>
      </c>
      <c r="H685" s="126">
        <v>1</v>
      </c>
      <c r="I685" s="126">
        <v>1</v>
      </c>
      <c r="J685" s="126">
        <v>94</v>
      </c>
      <c r="M685" s="126">
        <v>234</v>
      </c>
      <c r="N685" s="126">
        <v>1</v>
      </c>
      <c r="P685" s="126">
        <v>194</v>
      </c>
      <c r="R685" s="126" t="s">
        <v>549</v>
      </c>
      <c r="S685" s="259">
        <v>0.1</v>
      </c>
      <c r="T685" s="259">
        <v>0</v>
      </c>
      <c r="U685" s="68" t="s">
        <v>1501</v>
      </c>
      <c r="V685" s="126">
        <v>1</v>
      </c>
      <c r="Z685" s="126">
        <v>1</v>
      </c>
      <c r="AA685" s="126">
        <v>1</v>
      </c>
      <c r="AB685" s="126">
        <v>3</v>
      </c>
      <c r="AC685" s="126">
        <v>6</v>
      </c>
      <c r="AD685" s="126">
        <v>2026</v>
      </c>
    </row>
    <row r="686" spans="3:30">
      <c r="C686" s="126">
        <v>679</v>
      </c>
      <c r="D686" s="126">
        <v>53</v>
      </c>
      <c r="E686" s="126">
        <v>10</v>
      </c>
      <c r="F686" s="126">
        <v>1</v>
      </c>
      <c r="G686" s="126">
        <v>1</v>
      </c>
      <c r="H686" s="126">
        <v>1</v>
      </c>
      <c r="I686" s="126">
        <v>1</v>
      </c>
      <c r="J686" s="126">
        <v>94</v>
      </c>
      <c r="P686" s="126">
        <v>194</v>
      </c>
      <c r="R686" s="126" t="s">
        <v>549</v>
      </c>
      <c r="S686" s="259">
        <v>0</v>
      </c>
      <c r="T686" s="259">
        <v>0.13</v>
      </c>
      <c r="U686" s="68" t="s">
        <v>1502</v>
      </c>
      <c r="V686" s="126">
        <v>1</v>
      </c>
      <c r="Z686" s="126">
        <v>1</v>
      </c>
      <c r="AA686" s="126">
        <v>1</v>
      </c>
      <c r="AB686" s="126">
        <v>3</v>
      </c>
      <c r="AC686" s="126">
        <v>6</v>
      </c>
      <c r="AD686" s="126">
        <v>2026</v>
      </c>
    </row>
    <row r="687" spans="3:30">
      <c r="C687" s="126">
        <v>680</v>
      </c>
      <c r="D687" s="126">
        <v>54</v>
      </c>
      <c r="E687" s="126">
        <v>2</v>
      </c>
      <c r="F687" s="126">
        <v>1</v>
      </c>
      <c r="G687" s="126">
        <v>1</v>
      </c>
      <c r="H687" s="126">
        <v>1</v>
      </c>
      <c r="I687" s="126">
        <v>1</v>
      </c>
      <c r="R687" s="126" t="s">
        <v>549</v>
      </c>
      <c r="S687" s="259">
        <v>71.39</v>
      </c>
      <c r="T687" s="259">
        <v>0</v>
      </c>
      <c r="U687" s="68" t="s">
        <v>1505</v>
      </c>
      <c r="V687" s="126">
        <v>1</v>
      </c>
      <c r="Z687" s="126">
        <v>1</v>
      </c>
      <c r="AA687" s="126">
        <v>1</v>
      </c>
      <c r="AB687" s="126">
        <v>3</v>
      </c>
      <c r="AC687" s="126">
        <v>6</v>
      </c>
      <c r="AD687" s="126">
        <v>2026</v>
      </c>
    </row>
    <row r="688" spans="3:30">
      <c r="C688" s="126">
        <v>681</v>
      </c>
      <c r="D688" s="126">
        <v>54</v>
      </c>
      <c r="E688" s="126">
        <v>3</v>
      </c>
      <c r="F688" s="126">
        <v>1</v>
      </c>
      <c r="G688" s="126">
        <v>1</v>
      </c>
      <c r="H688" s="126">
        <v>1</v>
      </c>
      <c r="I688" s="126">
        <v>1</v>
      </c>
      <c r="J688" s="126">
        <v>19</v>
      </c>
      <c r="M688" s="126">
        <v>235</v>
      </c>
      <c r="N688" s="126">
        <v>0</v>
      </c>
      <c r="P688" s="126">
        <v>195</v>
      </c>
      <c r="R688" s="126" t="s">
        <v>549</v>
      </c>
      <c r="S688" s="259">
        <v>0</v>
      </c>
      <c r="T688" s="259">
        <v>7.49</v>
      </c>
      <c r="U688" s="68" t="s">
        <v>1506</v>
      </c>
      <c r="V688" s="126">
        <v>1</v>
      </c>
      <c r="Z688" s="126">
        <v>1</v>
      </c>
      <c r="AA688" s="126">
        <v>1</v>
      </c>
      <c r="AB688" s="126">
        <v>3</v>
      </c>
      <c r="AC688" s="126">
        <v>6</v>
      </c>
      <c r="AD688" s="126">
        <v>2026</v>
      </c>
    </row>
    <row r="689" spans="3:30">
      <c r="C689" s="126">
        <v>682</v>
      </c>
      <c r="D689" s="126">
        <v>54</v>
      </c>
      <c r="E689" s="126">
        <v>11</v>
      </c>
      <c r="F689" s="126">
        <v>1</v>
      </c>
      <c r="G689" s="126">
        <v>1</v>
      </c>
      <c r="H689" s="126">
        <v>1</v>
      </c>
      <c r="I689" s="126">
        <v>1</v>
      </c>
      <c r="J689" s="126">
        <v>19</v>
      </c>
      <c r="M689" s="126">
        <v>235</v>
      </c>
      <c r="N689" s="126">
        <v>1</v>
      </c>
      <c r="P689" s="126">
        <v>195</v>
      </c>
      <c r="R689" s="126" t="s">
        <v>549</v>
      </c>
      <c r="S689" s="259">
        <v>7.49</v>
      </c>
      <c r="T689" s="259">
        <v>0</v>
      </c>
      <c r="U689" s="68" t="s">
        <v>1507</v>
      </c>
      <c r="V689" s="126">
        <v>1</v>
      </c>
      <c r="Z689" s="126">
        <v>1</v>
      </c>
      <c r="AA689" s="126">
        <v>1</v>
      </c>
      <c r="AB689" s="126">
        <v>3</v>
      </c>
      <c r="AC689" s="126">
        <v>6</v>
      </c>
      <c r="AD689" s="126">
        <v>2026</v>
      </c>
    </row>
    <row r="690" spans="3:30">
      <c r="C690" s="126">
        <v>683</v>
      </c>
      <c r="D690" s="126">
        <v>54</v>
      </c>
      <c r="E690" s="126">
        <v>10</v>
      </c>
      <c r="F690" s="126">
        <v>1</v>
      </c>
      <c r="G690" s="126">
        <v>1</v>
      </c>
      <c r="H690" s="126">
        <v>1</v>
      </c>
      <c r="I690" s="126">
        <v>1</v>
      </c>
      <c r="J690" s="126">
        <v>19</v>
      </c>
      <c r="P690" s="126">
        <v>195</v>
      </c>
      <c r="R690" s="126" t="s">
        <v>549</v>
      </c>
      <c r="S690" s="259">
        <v>0</v>
      </c>
      <c r="T690" s="259">
        <v>8</v>
      </c>
      <c r="U690" s="68" t="s">
        <v>1508</v>
      </c>
      <c r="V690" s="126">
        <v>1</v>
      </c>
      <c r="Z690" s="126">
        <v>1</v>
      </c>
      <c r="AA690" s="126">
        <v>1</v>
      </c>
      <c r="AB690" s="126">
        <v>3</v>
      </c>
      <c r="AC690" s="126">
        <v>6</v>
      </c>
      <c r="AD690" s="126">
        <v>2026</v>
      </c>
    </row>
    <row r="691" spans="3:30">
      <c r="C691" s="126">
        <v>684</v>
      </c>
      <c r="D691" s="126">
        <v>54</v>
      </c>
      <c r="E691" s="126">
        <v>3</v>
      </c>
      <c r="F691" s="126">
        <v>1</v>
      </c>
      <c r="G691" s="126">
        <v>1</v>
      </c>
      <c r="H691" s="126">
        <v>1</v>
      </c>
      <c r="I691" s="126">
        <v>1</v>
      </c>
      <c r="J691" s="126">
        <v>22</v>
      </c>
      <c r="M691" s="126">
        <v>236</v>
      </c>
      <c r="N691" s="126">
        <v>0</v>
      </c>
      <c r="P691" s="126">
        <v>196</v>
      </c>
      <c r="R691" s="126" t="s">
        <v>549</v>
      </c>
      <c r="S691" s="259">
        <v>0</v>
      </c>
      <c r="T691" s="259">
        <v>2.9</v>
      </c>
      <c r="U691" s="68" t="s">
        <v>1509</v>
      </c>
      <c r="V691" s="126">
        <v>1</v>
      </c>
      <c r="Z691" s="126">
        <v>1</v>
      </c>
      <c r="AA691" s="126">
        <v>1</v>
      </c>
      <c r="AB691" s="126">
        <v>3</v>
      </c>
      <c r="AC691" s="126">
        <v>6</v>
      </c>
      <c r="AD691" s="126">
        <v>2026</v>
      </c>
    </row>
    <row r="692" spans="3:30">
      <c r="C692" s="126">
        <v>685</v>
      </c>
      <c r="D692" s="126">
        <v>54</v>
      </c>
      <c r="E692" s="126">
        <v>11</v>
      </c>
      <c r="F692" s="126">
        <v>1</v>
      </c>
      <c r="G692" s="126">
        <v>1</v>
      </c>
      <c r="H692" s="126">
        <v>1</v>
      </c>
      <c r="I692" s="126">
        <v>1</v>
      </c>
      <c r="J692" s="126">
        <v>22</v>
      </c>
      <c r="M692" s="126">
        <v>236</v>
      </c>
      <c r="N692" s="126">
        <v>1</v>
      </c>
      <c r="P692" s="126">
        <v>196</v>
      </c>
      <c r="R692" s="126" t="s">
        <v>549</v>
      </c>
      <c r="S692" s="259">
        <v>2.9</v>
      </c>
      <c r="T692" s="259">
        <v>0</v>
      </c>
      <c r="U692" s="68" t="s">
        <v>1510</v>
      </c>
      <c r="V692" s="126">
        <v>1</v>
      </c>
      <c r="Z692" s="126">
        <v>1</v>
      </c>
      <c r="AA692" s="126">
        <v>1</v>
      </c>
      <c r="AB692" s="126">
        <v>3</v>
      </c>
      <c r="AC692" s="126">
        <v>6</v>
      </c>
      <c r="AD692" s="126">
        <v>2026</v>
      </c>
    </row>
    <row r="693" spans="3:30">
      <c r="C693" s="126">
        <v>686</v>
      </c>
      <c r="D693" s="126">
        <v>54</v>
      </c>
      <c r="E693" s="126">
        <v>10</v>
      </c>
      <c r="F693" s="126">
        <v>1</v>
      </c>
      <c r="G693" s="126">
        <v>1</v>
      </c>
      <c r="H693" s="126">
        <v>1</v>
      </c>
      <c r="I693" s="126">
        <v>1</v>
      </c>
      <c r="J693" s="126">
        <v>22</v>
      </c>
      <c r="P693" s="126">
        <v>196</v>
      </c>
      <c r="R693" s="126" t="s">
        <v>549</v>
      </c>
      <c r="S693" s="259">
        <v>0</v>
      </c>
      <c r="T693" s="259">
        <v>3</v>
      </c>
      <c r="U693" s="68" t="s">
        <v>1511</v>
      </c>
      <c r="V693" s="126">
        <v>1</v>
      </c>
      <c r="Z693" s="126">
        <v>1</v>
      </c>
      <c r="AA693" s="126">
        <v>1</v>
      </c>
      <c r="AB693" s="126">
        <v>3</v>
      </c>
      <c r="AC693" s="126">
        <v>6</v>
      </c>
      <c r="AD693" s="126">
        <v>2026</v>
      </c>
    </row>
    <row r="694" spans="3:30">
      <c r="C694" s="126">
        <v>687</v>
      </c>
      <c r="D694" s="126">
        <v>54</v>
      </c>
      <c r="E694" s="126">
        <v>3</v>
      </c>
      <c r="F694" s="126">
        <v>1</v>
      </c>
      <c r="G694" s="126">
        <v>1</v>
      </c>
      <c r="H694" s="126">
        <v>1</v>
      </c>
      <c r="I694" s="126">
        <v>1</v>
      </c>
      <c r="J694" s="126">
        <v>34</v>
      </c>
      <c r="M694" s="126">
        <v>237</v>
      </c>
      <c r="N694" s="126">
        <v>0</v>
      </c>
      <c r="P694" s="126">
        <v>197</v>
      </c>
      <c r="R694" s="126" t="s">
        <v>549</v>
      </c>
      <c r="S694" s="259">
        <v>0</v>
      </c>
      <c r="T694" s="259">
        <v>1.5</v>
      </c>
      <c r="U694" s="68" t="s">
        <v>1512</v>
      </c>
      <c r="V694" s="126">
        <v>1</v>
      </c>
      <c r="Z694" s="126">
        <v>1</v>
      </c>
      <c r="AA694" s="126">
        <v>1</v>
      </c>
      <c r="AB694" s="126">
        <v>3</v>
      </c>
      <c r="AC694" s="126">
        <v>6</v>
      </c>
      <c r="AD694" s="126">
        <v>2026</v>
      </c>
    </row>
    <row r="695" spans="3:30">
      <c r="C695" s="126">
        <v>688</v>
      </c>
      <c r="D695" s="126">
        <v>54</v>
      </c>
      <c r="E695" s="126">
        <v>11</v>
      </c>
      <c r="F695" s="126">
        <v>1</v>
      </c>
      <c r="G695" s="126">
        <v>1</v>
      </c>
      <c r="H695" s="126">
        <v>1</v>
      </c>
      <c r="I695" s="126">
        <v>1</v>
      </c>
      <c r="J695" s="126">
        <v>34</v>
      </c>
      <c r="M695" s="126">
        <v>237</v>
      </c>
      <c r="N695" s="126">
        <v>1</v>
      </c>
      <c r="P695" s="126">
        <v>197</v>
      </c>
      <c r="R695" s="126" t="s">
        <v>549</v>
      </c>
      <c r="S695" s="259">
        <v>1.5</v>
      </c>
      <c r="T695" s="259">
        <v>0</v>
      </c>
      <c r="U695" s="68" t="s">
        <v>1513</v>
      </c>
      <c r="V695" s="126">
        <v>1</v>
      </c>
      <c r="Z695" s="126">
        <v>1</v>
      </c>
      <c r="AA695" s="126">
        <v>1</v>
      </c>
      <c r="AB695" s="126">
        <v>3</v>
      </c>
      <c r="AC695" s="126">
        <v>6</v>
      </c>
      <c r="AD695" s="126">
        <v>2026</v>
      </c>
    </row>
    <row r="696" spans="3:30">
      <c r="C696" s="126">
        <v>689</v>
      </c>
      <c r="D696" s="126">
        <v>54</v>
      </c>
      <c r="E696" s="126">
        <v>10</v>
      </c>
      <c r="F696" s="126">
        <v>1</v>
      </c>
      <c r="G696" s="126">
        <v>1</v>
      </c>
      <c r="H696" s="126">
        <v>1</v>
      </c>
      <c r="I696" s="126">
        <v>1</v>
      </c>
      <c r="J696" s="126">
        <v>34</v>
      </c>
      <c r="P696" s="126">
        <v>197</v>
      </c>
      <c r="R696" s="126" t="s">
        <v>549</v>
      </c>
      <c r="S696" s="259">
        <v>0</v>
      </c>
      <c r="T696" s="259">
        <v>2.64</v>
      </c>
      <c r="U696" s="68" t="s">
        <v>1514</v>
      </c>
      <c r="V696" s="126">
        <v>1</v>
      </c>
      <c r="Z696" s="126">
        <v>1</v>
      </c>
      <c r="AA696" s="126">
        <v>1</v>
      </c>
      <c r="AB696" s="126">
        <v>3</v>
      </c>
      <c r="AC696" s="126">
        <v>6</v>
      </c>
      <c r="AD696" s="126">
        <v>2026</v>
      </c>
    </row>
    <row r="697" spans="3:30">
      <c r="C697" s="126">
        <v>690</v>
      </c>
      <c r="D697" s="126">
        <v>54</v>
      </c>
      <c r="E697" s="126">
        <v>3</v>
      </c>
      <c r="F697" s="126">
        <v>1</v>
      </c>
      <c r="G697" s="126">
        <v>1</v>
      </c>
      <c r="H697" s="126">
        <v>1</v>
      </c>
      <c r="I697" s="126">
        <v>1</v>
      </c>
      <c r="J697" s="126">
        <v>37</v>
      </c>
      <c r="M697" s="126">
        <v>238</v>
      </c>
      <c r="N697" s="126">
        <v>0</v>
      </c>
      <c r="P697" s="126">
        <v>198</v>
      </c>
      <c r="R697" s="126" t="s">
        <v>549</v>
      </c>
      <c r="S697" s="259">
        <v>0</v>
      </c>
      <c r="T697" s="259">
        <v>0.66</v>
      </c>
      <c r="U697" s="68" t="s">
        <v>1517</v>
      </c>
      <c r="V697" s="126">
        <v>1</v>
      </c>
      <c r="Z697" s="126">
        <v>1</v>
      </c>
      <c r="AA697" s="126">
        <v>1</v>
      </c>
      <c r="AB697" s="126">
        <v>3</v>
      </c>
      <c r="AC697" s="126">
        <v>6</v>
      </c>
      <c r="AD697" s="126">
        <v>2026</v>
      </c>
    </row>
    <row r="698" spans="3:30">
      <c r="C698" s="126">
        <v>691</v>
      </c>
      <c r="D698" s="126">
        <v>54</v>
      </c>
      <c r="E698" s="126">
        <v>11</v>
      </c>
      <c r="F698" s="126">
        <v>1</v>
      </c>
      <c r="G698" s="126">
        <v>1</v>
      </c>
      <c r="H698" s="126">
        <v>1</v>
      </c>
      <c r="I698" s="126">
        <v>1</v>
      </c>
      <c r="J698" s="126">
        <v>37</v>
      </c>
      <c r="M698" s="126">
        <v>238</v>
      </c>
      <c r="N698" s="126">
        <v>1</v>
      </c>
      <c r="P698" s="126">
        <v>198</v>
      </c>
      <c r="R698" s="126" t="s">
        <v>549</v>
      </c>
      <c r="S698" s="259">
        <v>0.66</v>
      </c>
      <c r="T698" s="259">
        <v>0</v>
      </c>
      <c r="U698" s="68" t="s">
        <v>1518</v>
      </c>
      <c r="V698" s="126">
        <v>1</v>
      </c>
      <c r="Z698" s="126">
        <v>1</v>
      </c>
      <c r="AA698" s="126">
        <v>1</v>
      </c>
      <c r="AB698" s="126">
        <v>3</v>
      </c>
      <c r="AC698" s="126">
        <v>6</v>
      </c>
      <c r="AD698" s="126">
        <v>2026</v>
      </c>
    </row>
    <row r="699" spans="3:30">
      <c r="C699" s="126">
        <v>692</v>
      </c>
      <c r="D699" s="126">
        <v>54</v>
      </c>
      <c r="E699" s="126">
        <v>10</v>
      </c>
      <c r="F699" s="126">
        <v>1</v>
      </c>
      <c r="G699" s="126">
        <v>1</v>
      </c>
      <c r="H699" s="126">
        <v>1</v>
      </c>
      <c r="I699" s="126">
        <v>1</v>
      </c>
      <c r="J699" s="126">
        <v>37</v>
      </c>
      <c r="P699" s="126">
        <v>198</v>
      </c>
      <c r="R699" s="126" t="s">
        <v>549</v>
      </c>
      <c r="S699" s="259">
        <v>0</v>
      </c>
      <c r="T699" s="259">
        <v>1.25</v>
      </c>
      <c r="U699" s="68" t="s">
        <v>1519</v>
      </c>
      <c r="V699" s="126">
        <v>1</v>
      </c>
      <c r="Z699" s="126">
        <v>1</v>
      </c>
      <c r="AA699" s="126">
        <v>1</v>
      </c>
      <c r="AB699" s="126">
        <v>3</v>
      </c>
      <c r="AC699" s="126">
        <v>6</v>
      </c>
      <c r="AD699" s="126">
        <v>2026</v>
      </c>
    </row>
    <row r="700" spans="3:30">
      <c r="C700" s="126">
        <v>693</v>
      </c>
      <c r="D700" s="126">
        <v>54</v>
      </c>
      <c r="E700" s="126">
        <v>3</v>
      </c>
      <c r="F700" s="126">
        <v>1</v>
      </c>
      <c r="G700" s="126">
        <v>1</v>
      </c>
      <c r="H700" s="126">
        <v>1</v>
      </c>
      <c r="I700" s="126">
        <v>1</v>
      </c>
      <c r="J700" s="126">
        <v>26</v>
      </c>
      <c r="M700" s="126">
        <v>239</v>
      </c>
      <c r="N700" s="126">
        <v>0</v>
      </c>
      <c r="P700" s="126">
        <v>199</v>
      </c>
      <c r="R700" s="126" t="s">
        <v>549</v>
      </c>
      <c r="S700" s="259">
        <v>0</v>
      </c>
      <c r="T700" s="259">
        <v>6.02</v>
      </c>
      <c r="U700" s="68" t="s">
        <v>1520</v>
      </c>
      <c r="V700" s="126">
        <v>1</v>
      </c>
      <c r="Z700" s="126">
        <v>1</v>
      </c>
      <c r="AA700" s="126">
        <v>1</v>
      </c>
      <c r="AB700" s="126">
        <v>3</v>
      </c>
      <c r="AC700" s="126">
        <v>6</v>
      </c>
      <c r="AD700" s="126">
        <v>2026</v>
      </c>
    </row>
    <row r="701" spans="3:30">
      <c r="C701" s="126">
        <v>694</v>
      </c>
      <c r="D701" s="126">
        <v>54</v>
      </c>
      <c r="E701" s="126">
        <v>11</v>
      </c>
      <c r="F701" s="126">
        <v>1</v>
      </c>
      <c r="G701" s="126">
        <v>1</v>
      </c>
      <c r="H701" s="126">
        <v>1</v>
      </c>
      <c r="I701" s="126">
        <v>1</v>
      </c>
      <c r="J701" s="126">
        <v>26</v>
      </c>
      <c r="M701" s="126">
        <v>239</v>
      </c>
      <c r="N701" s="126">
        <v>1</v>
      </c>
      <c r="P701" s="126">
        <v>199</v>
      </c>
      <c r="R701" s="126" t="s">
        <v>549</v>
      </c>
      <c r="S701" s="259">
        <v>6.02</v>
      </c>
      <c r="T701" s="259">
        <v>0</v>
      </c>
      <c r="U701" s="68" t="s">
        <v>1521</v>
      </c>
      <c r="V701" s="126">
        <v>1</v>
      </c>
      <c r="Z701" s="126">
        <v>1</v>
      </c>
      <c r="AA701" s="126">
        <v>1</v>
      </c>
      <c r="AB701" s="126">
        <v>3</v>
      </c>
      <c r="AC701" s="126">
        <v>6</v>
      </c>
      <c r="AD701" s="126">
        <v>2026</v>
      </c>
    </row>
    <row r="702" spans="3:30">
      <c r="C702" s="126">
        <v>695</v>
      </c>
      <c r="D702" s="126">
        <v>54</v>
      </c>
      <c r="E702" s="126">
        <v>10</v>
      </c>
      <c r="F702" s="126">
        <v>1</v>
      </c>
      <c r="G702" s="126">
        <v>1</v>
      </c>
      <c r="H702" s="126">
        <v>1</v>
      </c>
      <c r="I702" s="126">
        <v>1</v>
      </c>
      <c r="J702" s="126">
        <v>26</v>
      </c>
      <c r="P702" s="126">
        <v>199</v>
      </c>
      <c r="R702" s="126" t="s">
        <v>549</v>
      </c>
      <c r="S702" s="259">
        <v>0</v>
      </c>
      <c r="T702" s="259">
        <v>4</v>
      </c>
      <c r="U702" s="68" t="s">
        <v>1522</v>
      </c>
      <c r="V702" s="126">
        <v>1</v>
      </c>
      <c r="Z702" s="126">
        <v>1</v>
      </c>
      <c r="AA702" s="126">
        <v>1</v>
      </c>
      <c r="AB702" s="126">
        <v>3</v>
      </c>
      <c r="AC702" s="126">
        <v>6</v>
      </c>
      <c r="AD702" s="126">
        <v>2026</v>
      </c>
    </row>
    <row r="703" spans="3:30">
      <c r="C703" s="126">
        <v>696</v>
      </c>
      <c r="D703" s="126">
        <v>54</v>
      </c>
      <c r="E703" s="126">
        <v>3</v>
      </c>
      <c r="F703" s="126">
        <v>1</v>
      </c>
      <c r="G703" s="126">
        <v>1</v>
      </c>
      <c r="H703" s="126">
        <v>1</v>
      </c>
      <c r="I703" s="126">
        <v>1</v>
      </c>
      <c r="J703" s="126">
        <v>29</v>
      </c>
      <c r="M703" s="126">
        <v>240</v>
      </c>
      <c r="N703" s="126">
        <v>0</v>
      </c>
      <c r="P703" s="126">
        <v>200</v>
      </c>
      <c r="R703" s="126" t="s">
        <v>549</v>
      </c>
      <c r="S703" s="259">
        <v>0</v>
      </c>
      <c r="T703" s="259">
        <v>4.2300000000000004</v>
      </c>
      <c r="U703" s="68" t="s">
        <v>1525</v>
      </c>
      <c r="V703" s="126">
        <v>1</v>
      </c>
      <c r="Z703" s="126">
        <v>1</v>
      </c>
      <c r="AA703" s="126">
        <v>1</v>
      </c>
      <c r="AB703" s="126">
        <v>3</v>
      </c>
      <c r="AC703" s="126">
        <v>6</v>
      </c>
      <c r="AD703" s="126">
        <v>2026</v>
      </c>
    </row>
    <row r="704" spans="3:30">
      <c r="C704" s="126">
        <v>697</v>
      </c>
      <c r="D704" s="126">
        <v>54</v>
      </c>
      <c r="E704" s="126">
        <v>11</v>
      </c>
      <c r="F704" s="126">
        <v>1</v>
      </c>
      <c r="G704" s="126">
        <v>1</v>
      </c>
      <c r="H704" s="126">
        <v>1</v>
      </c>
      <c r="I704" s="126">
        <v>1</v>
      </c>
      <c r="J704" s="126">
        <v>29</v>
      </c>
      <c r="M704" s="126">
        <v>240</v>
      </c>
      <c r="N704" s="126">
        <v>1</v>
      </c>
      <c r="P704" s="126">
        <v>200</v>
      </c>
      <c r="R704" s="126" t="s">
        <v>549</v>
      </c>
      <c r="S704" s="259">
        <v>4.2300000000000004</v>
      </c>
      <c r="T704" s="259">
        <v>0</v>
      </c>
      <c r="U704" s="68" t="s">
        <v>1526</v>
      </c>
      <c r="V704" s="126">
        <v>1</v>
      </c>
      <c r="Z704" s="126">
        <v>1</v>
      </c>
      <c r="AA704" s="126">
        <v>1</v>
      </c>
      <c r="AB704" s="126">
        <v>3</v>
      </c>
      <c r="AC704" s="126">
        <v>6</v>
      </c>
      <c r="AD704" s="126">
        <v>2026</v>
      </c>
    </row>
    <row r="705" spans="3:30">
      <c r="C705" s="126">
        <v>698</v>
      </c>
      <c r="D705" s="126">
        <v>54</v>
      </c>
      <c r="E705" s="126">
        <v>10</v>
      </c>
      <c r="F705" s="126">
        <v>1</v>
      </c>
      <c r="G705" s="126">
        <v>1</v>
      </c>
      <c r="H705" s="126">
        <v>1</v>
      </c>
      <c r="I705" s="126">
        <v>1</v>
      </c>
      <c r="J705" s="126">
        <v>29</v>
      </c>
      <c r="P705" s="126">
        <v>200</v>
      </c>
      <c r="R705" s="126" t="s">
        <v>549</v>
      </c>
      <c r="S705" s="259">
        <v>0</v>
      </c>
      <c r="T705" s="259">
        <v>3.5</v>
      </c>
      <c r="U705" s="68" t="s">
        <v>1527</v>
      </c>
      <c r="V705" s="126">
        <v>1</v>
      </c>
      <c r="Z705" s="126">
        <v>1</v>
      </c>
      <c r="AA705" s="126">
        <v>1</v>
      </c>
      <c r="AB705" s="126">
        <v>3</v>
      </c>
      <c r="AC705" s="126">
        <v>6</v>
      </c>
      <c r="AD705" s="126">
        <v>2026</v>
      </c>
    </row>
    <row r="706" spans="3:30">
      <c r="C706" s="126">
        <v>699</v>
      </c>
      <c r="D706" s="126">
        <v>54</v>
      </c>
      <c r="E706" s="126">
        <v>3</v>
      </c>
      <c r="F706" s="126">
        <v>1</v>
      </c>
      <c r="G706" s="126">
        <v>1</v>
      </c>
      <c r="H706" s="126">
        <v>1</v>
      </c>
      <c r="I706" s="126">
        <v>1</v>
      </c>
      <c r="J706" s="126">
        <v>183</v>
      </c>
      <c r="M706" s="126">
        <v>241</v>
      </c>
      <c r="N706" s="126">
        <v>0</v>
      </c>
      <c r="P706" s="126">
        <v>201</v>
      </c>
      <c r="R706" s="126" t="s">
        <v>549</v>
      </c>
      <c r="S706" s="259">
        <v>0</v>
      </c>
      <c r="T706" s="259">
        <v>40</v>
      </c>
      <c r="U706" s="68" t="s">
        <v>1528</v>
      </c>
      <c r="V706" s="126">
        <v>1</v>
      </c>
      <c r="Z706" s="126">
        <v>1</v>
      </c>
      <c r="AA706" s="126">
        <v>1</v>
      </c>
      <c r="AB706" s="126">
        <v>3</v>
      </c>
      <c r="AC706" s="126">
        <v>6</v>
      </c>
      <c r="AD706" s="126">
        <v>2026</v>
      </c>
    </row>
    <row r="707" spans="3:30">
      <c r="C707" s="126">
        <v>700</v>
      </c>
      <c r="D707" s="126">
        <v>54</v>
      </c>
      <c r="E707" s="126">
        <v>11</v>
      </c>
      <c r="F707" s="126">
        <v>1</v>
      </c>
      <c r="G707" s="126">
        <v>1</v>
      </c>
      <c r="H707" s="126">
        <v>1</v>
      </c>
      <c r="I707" s="126">
        <v>1</v>
      </c>
      <c r="J707" s="126">
        <v>183</v>
      </c>
      <c r="M707" s="126">
        <v>241</v>
      </c>
      <c r="N707" s="126">
        <v>1</v>
      </c>
      <c r="P707" s="126">
        <v>201</v>
      </c>
      <c r="R707" s="126" t="s">
        <v>549</v>
      </c>
      <c r="S707" s="259">
        <v>40</v>
      </c>
      <c r="T707" s="259">
        <v>0</v>
      </c>
      <c r="U707" s="68" t="s">
        <v>1529</v>
      </c>
      <c r="V707" s="126">
        <v>1</v>
      </c>
      <c r="Z707" s="126">
        <v>1</v>
      </c>
      <c r="AA707" s="126">
        <v>1</v>
      </c>
      <c r="AB707" s="126">
        <v>3</v>
      </c>
      <c r="AC707" s="126">
        <v>6</v>
      </c>
      <c r="AD707" s="126">
        <v>2026</v>
      </c>
    </row>
    <row r="708" spans="3:30">
      <c r="C708" s="126">
        <v>701</v>
      </c>
      <c r="D708" s="126">
        <v>54</v>
      </c>
      <c r="E708" s="126">
        <v>10</v>
      </c>
      <c r="F708" s="126">
        <v>1</v>
      </c>
      <c r="G708" s="126">
        <v>1</v>
      </c>
      <c r="H708" s="126">
        <v>1</v>
      </c>
      <c r="I708" s="126">
        <v>1</v>
      </c>
      <c r="J708" s="126">
        <v>183</v>
      </c>
      <c r="P708" s="126">
        <v>201</v>
      </c>
      <c r="R708" s="126" t="s">
        <v>549</v>
      </c>
      <c r="S708" s="259">
        <v>0</v>
      </c>
      <c r="T708" s="259">
        <v>42.5</v>
      </c>
      <c r="U708" s="68" t="s">
        <v>1530</v>
      </c>
      <c r="V708" s="126">
        <v>1</v>
      </c>
      <c r="Z708" s="126">
        <v>1</v>
      </c>
      <c r="AA708" s="126">
        <v>1</v>
      </c>
      <c r="AB708" s="126">
        <v>3</v>
      </c>
      <c r="AC708" s="126">
        <v>6</v>
      </c>
      <c r="AD708" s="126">
        <v>2026</v>
      </c>
    </row>
    <row r="709" spans="3:30">
      <c r="C709" s="126">
        <v>702</v>
      </c>
      <c r="D709" s="126">
        <v>54</v>
      </c>
      <c r="E709" s="126">
        <v>3</v>
      </c>
      <c r="F709" s="126">
        <v>1</v>
      </c>
      <c r="G709" s="126">
        <v>1</v>
      </c>
      <c r="H709" s="126">
        <v>1</v>
      </c>
      <c r="I709" s="126">
        <v>1</v>
      </c>
      <c r="J709" s="126">
        <v>181</v>
      </c>
      <c r="M709" s="126">
        <v>242</v>
      </c>
      <c r="N709" s="126">
        <v>0</v>
      </c>
      <c r="P709" s="126">
        <v>202</v>
      </c>
      <c r="R709" s="126" t="s">
        <v>549</v>
      </c>
      <c r="S709" s="259">
        <v>0</v>
      </c>
      <c r="T709" s="259">
        <v>1</v>
      </c>
      <c r="U709" s="68" t="s">
        <v>1531</v>
      </c>
      <c r="V709" s="126">
        <v>1</v>
      </c>
      <c r="Z709" s="126">
        <v>1</v>
      </c>
      <c r="AA709" s="126">
        <v>1</v>
      </c>
      <c r="AB709" s="126">
        <v>3</v>
      </c>
      <c r="AC709" s="126">
        <v>6</v>
      </c>
      <c r="AD709" s="126">
        <v>2026</v>
      </c>
    </row>
    <row r="710" spans="3:30">
      <c r="C710" s="126">
        <v>703</v>
      </c>
      <c r="D710" s="126">
        <v>54</v>
      </c>
      <c r="E710" s="126">
        <v>11</v>
      </c>
      <c r="F710" s="126">
        <v>1</v>
      </c>
      <c r="G710" s="126">
        <v>1</v>
      </c>
      <c r="H710" s="126">
        <v>1</v>
      </c>
      <c r="I710" s="126">
        <v>1</v>
      </c>
      <c r="J710" s="126">
        <v>181</v>
      </c>
      <c r="M710" s="126">
        <v>242</v>
      </c>
      <c r="N710" s="126">
        <v>1</v>
      </c>
      <c r="P710" s="126">
        <v>202</v>
      </c>
      <c r="R710" s="126" t="s">
        <v>549</v>
      </c>
      <c r="S710" s="259">
        <v>1</v>
      </c>
      <c r="T710" s="259">
        <v>0</v>
      </c>
      <c r="U710" s="68" t="s">
        <v>1532</v>
      </c>
      <c r="V710" s="126">
        <v>1</v>
      </c>
      <c r="Z710" s="126">
        <v>1</v>
      </c>
      <c r="AA710" s="126">
        <v>1</v>
      </c>
      <c r="AB710" s="126">
        <v>3</v>
      </c>
      <c r="AC710" s="126">
        <v>6</v>
      </c>
      <c r="AD710" s="126">
        <v>2026</v>
      </c>
    </row>
    <row r="711" spans="3:30">
      <c r="C711" s="126">
        <v>704</v>
      </c>
      <c r="D711" s="126">
        <v>54</v>
      </c>
      <c r="E711" s="126">
        <v>10</v>
      </c>
      <c r="F711" s="126">
        <v>1</v>
      </c>
      <c r="G711" s="126">
        <v>1</v>
      </c>
      <c r="H711" s="126">
        <v>1</v>
      </c>
      <c r="I711" s="126">
        <v>1</v>
      </c>
      <c r="J711" s="126">
        <v>181</v>
      </c>
      <c r="P711" s="126">
        <v>202</v>
      </c>
      <c r="R711" s="126" t="s">
        <v>549</v>
      </c>
      <c r="S711" s="259">
        <v>0</v>
      </c>
      <c r="T711" s="259">
        <v>1.5</v>
      </c>
      <c r="U711" s="68" t="s">
        <v>1533</v>
      </c>
      <c r="V711" s="126">
        <v>1</v>
      </c>
      <c r="Z711" s="126">
        <v>1</v>
      </c>
      <c r="AA711" s="126">
        <v>1</v>
      </c>
      <c r="AB711" s="126">
        <v>3</v>
      </c>
      <c r="AC711" s="126">
        <v>6</v>
      </c>
      <c r="AD711" s="126">
        <v>2026</v>
      </c>
    </row>
    <row r="712" spans="3:30">
      <c r="C712" s="126">
        <v>705</v>
      </c>
      <c r="D712" s="126">
        <v>54</v>
      </c>
      <c r="E712" s="126">
        <v>3</v>
      </c>
      <c r="F712" s="126">
        <v>1</v>
      </c>
      <c r="G712" s="126">
        <v>1</v>
      </c>
      <c r="H712" s="126">
        <v>1</v>
      </c>
      <c r="I712" s="126">
        <v>1</v>
      </c>
      <c r="J712" s="126">
        <v>102</v>
      </c>
      <c r="M712" s="126">
        <v>243</v>
      </c>
      <c r="N712" s="126">
        <v>0</v>
      </c>
      <c r="P712" s="126">
        <v>203</v>
      </c>
      <c r="R712" s="126" t="s">
        <v>549</v>
      </c>
      <c r="S712" s="259">
        <v>0</v>
      </c>
      <c r="T712" s="259">
        <v>4.5</v>
      </c>
      <c r="U712" s="68" t="s">
        <v>1534</v>
      </c>
      <c r="V712" s="126">
        <v>1</v>
      </c>
      <c r="Z712" s="126">
        <v>1</v>
      </c>
      <c r="AA712" s="126">
        <v>1</v>
      </c>
      <c r="AB712" s="126">
        <v>3</v>
      </c>
      <c r="AC712" s="126">
        <v>6</v>
      </c>
      <c r="AD712" s="126">
        <v>2026</v>
      </c>
    </row>
    <row r="713" spans="3:30">
      <c r="C713" s="126">
        <v>706</v>
      </c>
      <c r="D713" s="126">
        <v>54</v>
      </c>
      <c r="E713" s="126">
        <v>11</v>
      </c>
      <c r="F713" s="126">
        <v>1</v>
      </c>
      <c r="G713" s="126">
        <v>1</v>
      </c>
      <c r="H713" s="126">
        <v>1</v>
      </c>
      <c r="I713" s="126">
        <v>1</v>
      </c>
      <c r="J713" s="126">
        <v>102</v>
      </c>
      <c r="M713" s="126">
        <v>243</v>
      </c>
      <c r="N713" s="126">
        <v>1</v>
      </c>
      <c r="P713" s="126">
        <v>203</v>
      </c>
      <c r="R713" s="126" t="s">
        <v>549</v>
      </c>
      <c r="S713" s="259">
        <v>4.5</v>
      </c>
      <c r="T713" s="259">
        <v>0</v>
      </c>
      <c r="U713" s="68" t="s">
        <v>1535</v>
      </c>
      <c r="V713" s="126">
        <v>1</v>
      </c>
      <c r="Z713" s="126">
        <v>1</v>
      </c>
      <c r="AA713" s="126">
        <v>1</v>
      </c>
      <c r="AB713" s="126">
        <v>3</v>
      </c>
      <c r="AC713" s="126">
        <v>6</v>
      </c>
      <c r="AD713" s="126">
        <v>2026</v>
      </c>
    </row>
    <row r="714" spans="3:30">
      <c r="C714" s="126">
        <v>707</v>
      </c>
      <c r="D714" s="126">
        <v>54</v>
      </c>
      <c r="E714" s="126">
        <v>10</v>
      </c>
      <c r="F714" s="126">
        <v>1</v>
      </c>
      <c r="G714" s="126">
        <v>1</v>
      </c>
      <c r="H714" s="126">
        <v>1</v>
      </c>
      <c r="I714" s="126">
        <v>1</v>
      </c>
      <c r="J714" s="126">
        <v>102</v>
      </c>
      <c r="P714" s="126">
        <v>203</v>
      </c>
      <c r="R714" s="126" t="s">
        <v>549</v>
      </c>
      <c r="S714" s="259">
        <v>0</v>
      </c>
      <c r="T714" s="259">
        <v>5</v>
      </c>
      <c r="U714" s="68" t="s">
        <v>1536</v>
      </c>
      <c r="V714" s="126">
        <v>1</v>
      </c>
      <c r="Z714" s="126">
        <v>1</v>
      </c>
      <c r="AA714" s="126">
        <v>1</v>
      </c>
      <c r="AB714" s="126">
        <v>3</v>
      </c>
      <c r="AC714" s="126">
        <v>6</v>
      </c>
      <c r="AD714" s="126">
        <v>2026</v>
      </c>
    </row>
    <row r="715" spans="3:30">
      <c r="C715" s="126">
        <v>708</v>
      </c>
      <c r="D715" s="126">
        <v>55</v>
      </c>
      <c r="E715" s="126">
        <v>2</v>
      </c>
      <c r="F715" s="126">
        <v>1</v>
      </c>
      <c r="G715" s="126">
        <v>1</v>
      </c>
      <c r="H715" s="126">
        <v>1</v>
      </c>
      <c r="I715" s="126">
        <v>1</v>
      </c>
      <c r="R715" s="126" t="s">
        <v>549</v>
      </c>
      <c r="S715" s="259">
        <v>47.5</v>
      </c>
      <c r="T715" s="259">
        <v>0</v>
      </c>
      <c r="U715" s="68" t="s">
        <v>1538</v>
      </c>
      <c r="V715" s="126">
        <v>1</v>
      </c>
      <c r="Z715" s="126">
        <v>1</v>
      </c>
      <c r="AA715" s="126">
        <v>1</v>
      </c>
      <c r="AB715" s="126">
        <v>3</v>
      </c>
      <c r="AC715" s="126">
        <v>6</v>
      </c>
      <c r="AD715" s="126">
        <v>2026</v>
      </c>
    </row>
    <row r="716" spans="3:30">
      <c r="C716" s="126">
        <v>709</v>
      </c>
      <c r="D716" s="126">
        <v>55</v>
      </c>
      <c r="E716" s="126">
        <v>3</v>
      </c>
      <c r="F716" s="126">
        <v>1</v>
      </c>
      <c r="G716" s="126">
        <v>1</v>
      </c>
      <c r="H716" s="126">
        <v>1</v>
      </c>
      <c r="I716" s="126">
        <v>1</v>
      </c>
      <c r="J716" s="126">
        <v>177</v>
      </c>
      <c r="M716" s="126">
        <v>244</v>
      </c>
      <c r="N716" s="126">
        <v>0</v>
      </c>
      <c r="P716" s="126">
        <v>204</v>
      </c>
      <c r="R716" s="126" t="s">
        <v>549</v>
      </c>
      <c r="S716" s="259">
        <v>0</v>
      </c>
      <c r="T716" s="259">
        <v>41.5</v>
      </c>
      <c r="U716" s="68" t="s">
        <v>1539</v>
      </c>
      <c r="V716" s="126">
        <v>1</v>
      </c>
      <c r="Z716" s="126">
        <v>1</v>
      </c>
      <c r="AA716" s="126">
        <v>1</v>
      </c>
      <c r="AB716" s="126">
        <v>3</v>
      </c>
      <c r="AC716" s="126">
        <v>6</v>
      </c>
      <c r="AD716" s="126">
        <v>2026</v>
      </c>
    </row>
    <row r="717" spans="3:30">
      <c r="C717" s="126">
        <v>710</v>
      </c>
      <c r="D717" s="126">
        <v>55</v>
      </c>
      <c r="E717" s="126">
        <v>11</v>
      </c>
      <c r="F717" s="126">
        <v>1</v>
      </c>
      <c r="G717" s="126">
        <v>1</v>
      </c>
      <c r="H717" s="126">
        <v>1</v>
      </c>
      <c r="I717" s="126">
        <v>1</v>
      </c>
      <c r="J717" s="126">
        <v>177</v>
      </c>
      <c r="M717" s="126">
        <v>244</v>
      </c>
      <c r="N717" s="126">
        <v>1</v>
      </c>
      <c r="P717" s="126">
        <v>204</v>
      </c>
      <c r="R717" s="126" t="s">
        <v>549</v>
      </c>
      <c r="S717" s="259">
        <v>41.5</v>
      </c>
      <c r="T717" s="259">
        <v>0</v>
      </c>
      <c r="U717" s="68" t="s">
        <v>1540</v>
      </c>
      <c r="V717" s="126">
        <v>1</v>
      </c>
      <c r="Z717" s="126">
        <v>1</v>
      </c>
      <c r="AA717" s="126">
        <v>1</v>
      </c>
      <c r="AB717" s="126">
        <v>3</v>
      </c>
      <c r="AC717" s="126">
        <v>6</v>
      </c>
      <c r="AD717" s="126">
        <v>2026</v>
      </c>
    </row>
    <row r="718" spans="3:30">
      <c r="C718" s="126">
        <v>711</v>
      </c>
      <c r="D718" s="126">
        <v>55</v>
      </c>
      <c r="E718" s="126">
        <v>10</v>
      </c>
      <c r="F718" s="126">
        <v>1</v>
      </c>
      <c r="G718" s="126">
        <v>1</v>
      </c>
      <c r="H718" s="126">
        <v>1</v>
      </c>
      <c r="I718" s="126">
        <v>1</v>
      </c>
      <c r="J718" s="126">
        <v>177</v>
      </c>
      <c r="P718" s="126">
        <v>204</v>
      </c>
      <c r="R718" s="126" t="s">
        <v>549</v>
      </c>
      <c r="S718" s="259">
        <v>0</v>
      </c>
      <c r="T718" s="259">
        <v>47.5</v>
      </c>
      <c r="U718" s="68" t="s">
        <v>1541</v>
      </c>
      <c r="V718" s="126">
        <v>1</v>
      </c>
      <c r="Z718" s="126">
        <v>1</v>
      </c>
      <c r="AA718" s="126">
        <v>1</v>
      </c>
      <c r="AB718" s="126">
        <v>3</v>
      </c>
      <c r="AC718" s="126">
        <v>6</v>
      </c>
      <c r="AD718" s="126">
        <v>2026</v>
      </c>
    </row>
    <row r="719" spans="3:30">
      <c r="C719" s="126">
        <v>712</v>
      </c>
      <c r="D719" s="126">
        <v>56</v>
      </c>
      <c r="E719" s="126">
        <v>2</v>
      </c>
      <c r="F719" s="126">
        <v>1</v>
      </c>
      <c r="G719" s="126">
        <v>1</v>
      </c>
      <c r="H719" s="126">
        <v>1</v>
      </c>
      <c r="I719" s="126">
        <v>1</v>
      </c>
      <c r="R719" s="126" t="s">
        <v>549</v>
      </c>
      <c r="S719" s="259">
        <v>101</v>
      </c>
      <c r="T719" s="259">
        <v>0</v>
      </c>
      <c r="U719" s="68" t="s">
        <v>1543</v>
      </c>
      <c r="V719" s="126">
        <v>1</v>
      </c>
      <c r="Z719" s="126">
        <v>1</v>
      </c>
      <c r="AA719" s="126">
        <v>1</v>
      </c>
      <c r="AB719" s="126">
        <v>3</v>
      </c>
      <c r="AC719" s="126">
        <v>6</v>
      </c>
      <c r="AD719" s="126">
        <v>2026</v>
      </c>
    </row>
    <row r="720" spans="3:30">
      <c r="C720" s="126">
        <v>713</v>
      </c>
      <c r="D720" s="126">
        <v>56</v>
      </c>
      <c r="E720" s="126">
        <v>3</v>
      </c>
      <c r="F720" s="126">
        <v>1</v>
      </c>
      <c r="G720" s="126">
        <v>1</v>
      </c>
      <c r="H720" s="126">
        <v>1</v>
      </c>
      <c r="I720" s="126">
        <v>1</v>
      </c>
      <c r="J720" s="126">
        <v>179</v>
      </c>
      <c r="M720" s="126">
        <v>245</v>
      </c>
      <c r="N720" s="126">
        <v>0</v>
      </c>
      <c r="P720" s="126">
        <v>205</v>
      </c>
      <c r="R720" s="126" t="s">
        <v>549</v>
      </c>
      <c r="S720" s="259">
        <v>0</v>
      </c>
      <c r="T720" s="259">
        <v>28.5</v>
      </c>
      <c r="U720" s="68" t="s">
        <v>1544</v>
      </c>
      <c r="V720" s="126">
        <v>1</v>
      </c>
      <c r="Z720" s="126">
        <v>1</v>
      </c>
      <c r="AA720" s="126">
        <v>1</v>
      </c>
      <c r="AB720" s="126">
        <v>3</v>
      </c>
      <c r="AC720" s="126">
        <v>6</v>
      </c>
      <c r="AD720" s="126">
        <v>2026</v>
      </c>
    </row>
    <row r="721" spans="3:30">
      <c r="C721" s="126">
        <v>714</v>
      </c>
      <c r="D721" s="126">
        <v>56</v>
      </c>
      <c r="E721" s="126">
        <v>11</v>
      </c>
      <c r="F721" s="126">
        <v>1</v>
      </c>
      <c r="G721" s="126">
        <v>1</v>
      </c>
      <c r="H721" s="126">
        <v>1</v>
      </c>
      <c r="I721" s="126">
        <v>1</v>
      </c>
      <c r="J721" s="126">
        <v>179</v>
      </c>
      <c r="M721" s="126">
        <v>245</v>
      </c>
      <c r="N721" s="126">
        <v>1</v>
      </c>
      <c r="P721" s="126">
        <v>205</v>
      </c>
      <c r="R721" s="126" t="s">
        <v>549</v>
      </c>
      <c r="S721" s="259">
        <v>28.5</v>
      </c>
      <c r="T721" s="259">
        <v>0</v>
      </c>
      <c r="U721" s="68" t="s">
        <v>1545</v>
      </c>
      <c r="V721" s="126">
        <v>1</v>
      </c>
      <c r="Z721" s="126">
        <v>1</v>
      </c>
      <c r="AA721" s="126">
        <v>1</v>
      </c>
      <c r="AB721" s="126">
        <v>3</v>
      </c>
      <c r="AC721" s="126">
        <v>6</v>
      </c>
      <c r="AD721" s="126">
        <v>2026</v>
      </c>
    </row>
    <row r="722" spans="3:30">
      <c r="C722" s="126">
        <v>715</v>
      </c>
      <c r="D722" s="126">
        <v>56</v>
      </c>
      <c r="E722" s="126">
        <v>10</v>
      </c>
      <c r="F722" s="126">
        <v>1</v>
      </c>
      <c r="G722" s="126">
        <v>1</v>
      </c>
      <c r="H722" s="126">
        <v>1</v>
      </c>
      <c r="I722" s="126">
        <v>1</v>
      </c>
      <c r="J722" s="126">
        <v>179</v>
      </c>
      <c r="P722" s="126">
        <v>205</v>
      </c>
      <c r="R722" s="126" t="s">
        <v>549</v>
      </c>
      <c r="S722" s="259">
        <v>0</v>
      </c>
      <c r="T722" s="259">
        <v>30</v>
      </c>
      <c r="U722" s="68" t="s">
        <v>1546</v>
      </c>
      <c r="V722" s="126">
        <v>1</v>
      </c>
      <c r="Z722" s="126">
        <v>1</v>
      </c>
      <c r="AA722" s="126">
        <v>1</v>
      </c>
      <c r="AB722" s="126">
        <v>3</v>
      </c>
      <c r="AC722" s="126">
        <v>6</v>
      </c>
      <c r="AD722" s="126">
        <v>2026</v>
      </c>
    </row>
    <row r="723" spans="3:30">
      <c r="C723" s="126">
        <v>716</v>
      </c>
      <c r="D723" s="126">
        <v>56</v>
      </c>
      <c r="E723" s="126">
        <v>3</v>
      </c>
      <c r="F723" s="126">
        <v>1</v>
      </c>
      <c r="G723" s="126">
        <v>1</v>
      </c>
      <c r="H723" s="126">
        <v>1</v>
      </c>
      <c r="I723" s="126">
        <v>1</v>
      </c>
      <c r="J723" s="126">
        <v>195</v>
      </c>
      <c r="M723" s="126">
        <v>246</v>
      </c>
      <c r="N723" s="126">
        <v>0</v>
      </c>
      <c r="P723" s="126">
        <v>206</v>
      </c>
      <c r="R723" s="126" t="s">
        <v>549</v>
      </c>
      <c r="S723" s="259">
        <v>0</v>
      </c>
      <c r="T723" s="259">
        <v>12.56</v>
      </c>
      <c r="U723" s="68" t="s">
        <v>1547</v>
      </c>
      <c r="V723" s="126">
        <v>1</v>
      </c>
      <c r="Z723" s="126">
        <v>1</v>
      </c>
      <c r="AA723" s="126">
        <v>1</v>
      </c>
      <c r="AB723" s="126">
        <v>3</v>
      </c>
      <c r="AC723" s="126">
        <v>6</v>
      </c>
      <c r="AD723" s="126">
        <v>2026</v>
      </c>
    </row>
    <row r="724" spans="3:30">
      <c r="C724" s="126">
        <v>717</v>
      </c>
      <c r="D724" s="126">
        <v>56</v>
      </c>
      <c r="E724" s="126">
        <v>11</v>
      </c>
      <c r="F724" s="126">
        <v>1</v>
      </c>
      <c r="G724" s="126">
        <v>1</v>
      </c>
      <c r="H724" s="126">
        <v>1</v>
      </c>
      <c r="I724" s="126">
        <v>1</v>
      </c>
      <c r="J724" s="126">
        <v>195</v>
      </c>
      <c r="M724" s="126">
        <v>246</v>
      </c>
      <c r="N724" s="126">
        <v>1</v>
      </c>
      <c r="P724" s="126">
        <v>206</v>
      </c>
      <c r="R724" s="126" t="s">
        <v>549</v>
      </c>
      <c r="S724" s="259">
        <v>12.56</v>
      </c>
      <c r="T724" s="259">
        <v>0</v>
      </c>
      <c r="U724" s="68" t="s">
        <v>1548</v>
      </c>
      <c r="V724" s="126">
        <v>1</v>
      </c>
      <c r="Z724" s="126">
        <v>1</v>
      </c>
      <c r="AA724" s="126">
        <v>1</v>
      </c>
      <c r="AB724" s="126">
        <v>3</v>
      </c>
      <c r="AC724" s="126">
        <v>6</v>
      </c>
      <c r="AD724" s="126">
        <v>2026</v>
      </c>
    </row>
    <row r="725" spans="3:30">
      <c r="C725" s="126">
        <v>718</v>
      </c>
      <c r="D725" s="126">
        <v>56</v>
      </c>
      <c r="E725" s="126">
        <v>10</v>
      </c>
      <c r="F725" s="126">
        <v>1</v>
      </c>
      <c r="G725" s="126">
        <v>1</v>
      </c>
      <c r="H725" s="126">
        <v>1</v>
      </c>
      <c r="I725" s="126">
        <v>1</v>
      </c>
      <c r="J725" s="126">
        <v>195</v>
      </c>
      <c r="P725" s="126">
        <v>206</v>
      </c>
      <c r="R725" s="126" t="s">
        <v>549</v>
      </c>
      <c r="S725" s="259">
        <v>0</v>
      </c>
      <c r="T725" s="259">
        <v>12.5</v>
      </c>
      <c r="U725" s="68" t="s">
        <v>1549</v>
      </c>
      <c r="V725" s="126">
        <v>1</v>
      </c>
      <c r="Z725" s="126">
        <v>1</v>
      </c>
      <c r="AA725" s="126">
        <v>1</v>
      </c>
      <c r="AB725" s="126">
        <v>3</v>
      </c>
      <c r="AC725" s="126">
        <v>6</v>
      </c>
      <c r="AD725" s="126">
        <v>2026</v>
      </c>
    </row>
    <row r="726" spans="3:30">
      <c r="C726" s="126">
        <v>719</v>
      </c>
      <c r="D726" s="126">
        <v>56</v>
      </c>
      <c r="E726" s="126">
        <v>3</v>
      </c>
      <c r="F726" s="126">
        <v>1</v>
      </c>
      <c r="G726" s="126">
        <v>1</v>
      </c>
      <c r="H726" s="126">
        <v>1</v>
      </c>
      <c r="I726" s="126">
        <v>1</v>
      </c>
      <c r="J726" s="126">
        <v>187</v>
      </c>
      <c r="M726" s="126">
        <v>247</v>
      </c>
      <c r="N726" s="126">
        <v>0</v>
      </c>
      <c r="P726" s="126">
        <v>207</v>
      </c>
      <c r="R726" s="126" t="s">
        <v>549</v>
      </c>
      <c r="S726" s="259">
        <v>0</v>
      </c>
      <c r="T726" s="259">
        <v>13.48</v>
      </c>
      <c r="U726" s="68" t="s">
        <v>1550</v>
      </c>
      <c r="V726" s="126">
        <v>1</v>
      </c>
      <c r="Z726" s="126">
        <v>1</v>
      </c>
      <c r="AA726" s="126">
        <v>1</v>
      </c>
      <c r="AB726" s="126">
        <v>3</v>
      </c>
      <c r="AC726" s="126">
        <v>6</v>
      </c>
      <c r="AD726" s="126">
        <v>2026</v>
      </c>
    </row>
    <row r="727" spans="3:30">
      <c r="C727" s="126">
        <v>720</v>
      </c>
      <c r="D727" s="126">
        <v>56</v>
      </c>
      <c r="E727" s="126">
        <v>11</v>
      </c>
      <c r="F727" s="126">
        <v>1</v>
      </c>
      <c r="G727" s="126">
        <v>1</v>
      </c>
      <c r="H727" s="126">
        <v>1</v>
      </c>
      <c r="I727" s="126">
        <v>1</v>
      </c>
      <c r="J727" s="126">
        <v>187</v>
      </c>
      <c r="M727" s="126">
        <v>247</v>
      </c>
      <c r="N727" s="126">
        <v>1</v>
      </c>
      <c r="P727" s="126">
        <v>207</v>
      </c>
      <c r="R727" s="126" t="s">
        <v>549</v>
      </c>
      <c r="S727" s="259">
        <v>13.48</v>
      </c>
      <c r="T727" s="259">
        <v>0</v>
      </c>
      <c r="U727" s="68" t="s">
        <v>1551</v>
      </c>
      <c r="V727" s="126">
        <v>1</v>
      </c>
      <c r="Z727" s="126">
        <v>1</v>
      </c>
      <c r="AA727" s="126">
        <v>1</v>
      </c>
      <c r="AB727" s="126">
        <v>3</v>
      </c>
      <c r="AC727" s="126">
        <v>6</v>
      </c>
      <c r="AD727" s="126">
        <v>2026</v>
      </c>
    </row>
    <row r="728" spans="3:30">
      <c r="C728" s="126">
        <v>721</v>
      </c>
      <c r="D728" s="126">
        <v>56</v>
      </c>
      <c r="E728" s="126">
        <v>10</v>
      </c>
      <c r="F728" s="126">
        <v>1</v>
      </c>
      <c r="G728" s="126">
        <v>1</v>
      </c>
      <c r="H728" s="126">
        <v>1</v>
      </c>
      <c r="I728" s="126">
        <v>1</v>
      </c>
      <c r="J728" s="126">
        <v>187</v>
      </c>
      <c r="P728" s="126">
        <v>207</v>
      </c>
      <c r="R728" s="126" t="s">
        <v>549</v>
      </c>
      <c r="S728" s="259">
        <v>0</v>
      </c>
      <c r="T728" s="259">
        <v>14</v>
      </c>
      <c r="U728" s="68" t="s">
        <v>1552</v>
      </c>
      <c r="V728" s="126">
        <v>1</v>
      </c>
      <c r="Z728" s="126">
        <v>1</v>
      </c>
      <c r="AA728" s="126">
        <v>1</v>
      </c>
      <c r="AB728" s="126">
        <v>3</v>
      </c>
      <c r="AC728" s="126">
        <v>6</v>
      </c>
      <c r="AD728" s="126">
        <v>2026</v>
      </c>
    </row>
    <row r="729" spans="3:30">
      <c r="C729" s="126">
        <v>722</v>
      </c>
      <c r="D729" s="126">
        <v>56</v>
      </c>
      <c r="E729" s="126">
        <v>3</v>
      </c>
      <c r="F729" s="126">
        <v>1</v>
      </c>
      <c r="G729" s="126">
        <v>1</v>
      </c>
      <c r="H729" s="126">
        <v>1</v>
      </c>
      <c r="I729" s="126">
        <v>1</v>
      </c>
      <c r="J729" s="126">
        <v>177</v>
      </c>
      <c r="M729" s="126">
        <v>248</v>
      </c>
      <c r="N729" s="126">
        <v>0</v>
      </c>
      <c r="P729" s="126">
        <v>208</v>
      </c>
      <c r="R729" s="126" t="s">
        <v>549</v>
      </c>
      <c r="S729" s="259">
        <v>0</v>
      </c>
      <c r="T729" s="259">
        <v>8.3000000000000007</v>
      </c>
      <c r="U729" s="68" t="s">
        <v>1553</v>
      </c>
      <c r="V729" s="126">
        <v>1</v>
      </c>
      <c r="Z729" s="126">
        <v>1</v>
      </c>
      <c r="AA729" s="126">
        <v>1</v>
      </c>
      <c r="AB729" s="126">
        <v>3</v>
      </c>
      <c r="AC729" s="126">
        <v>6</v>
      </c>
      <c r="AD729" s="126">
        <v>2026</v>
      </c>
    </row>
    <row r="730" spans="3:30">
      <c r="C730" s="126">
        <v>723</v>
      </c>
      <c r="D730" s="126">
        <v>56</v>
      </c>
      <c r="E730" s="126">
        <v>11</v>
      </c>
      <c r="F730" s="126">
        <v>1</v>
      </c>
      <c r="G730" s="126">
        <v>1</v>
      </c>
      <c r="H730" s="126">
        <v>1</v>
      </c>
      <c r="I730" s="126">
        <v>1</v>
      </c>
      <c r="J730" s="126">
        <v>177</v>
      </c>
      <c r="M730" s="126">
        <v>248</v>
      </c>
      <c r="N730" s="126">
        <v>1</v>
      </c>
      <c r="P730" s="126">
        <v>208</v>
      </c>
      <c r="R730" s="126" t="s">
        <v>549</v>
      </c>
      <c r="S730" s="259">
        <v>8.3000000000000007</v>
      </c>
      <c r="T730" s="259">
        <v>0</v>
      </c>
      <c r="U730" s="68" t="s">
        <v>1554</v>
      </c>
      <c r="V730" s="126">
        <v>1</v>
      </c>
      <c r="Z730" s="126">
        <v>1</v>
      </c>
      <c r="AA730" s="126">
        <v>1</v>
      </c>
      <c r="AB730" s="126">
        <v>3</v>
      </c>
      <c r="AC730" s="126">
        <v>6</v>
      </c>
      <c r="AD730" s="126">
        <v>2026</v>
      </c>
    </row>
    <row r="731" spans="3:30">
      <c r="C731" s="126">
        <v>724</v>
      </c>
      <c r="D731" s="126">
        <v>56</v>
      </c>
      <c r="E731" s="126">
        <v>10</v>
      </c>
      <c r="F731" s="126">
        <v>1</v>
      </c>
      <c r="G731" s="126">
        <v>1</v>
      </c>
      <c r="H731" s="126">
        <v>1</v>
      </c>
      <c r="I731" s="126">
        <v>1</v>
      </c>
      <c r="J731" s="126">
        <v>177</v>
      </c>
      <c r="P731" s="126">
        <v>208</v>
      </c>
      <c r="R731" s="126" t="s">
        <v>549</v>
      </c>
      <c r="S731" s="259">
        <v>0</v>
      </c>
      <c r="T731" s="259">
        <v>9.5</v>
      </c>
      <c r="U731" s="68" t="s">
        <v>1555</v>
      </c>
      <c r="V731" s="126">
        <v>1</v>
      </c>
      <c r="Z731" s="126">
        <v>1</v>
      </c>
      <c r="AA731" s="126">
        <v>1</v>
      </c>
      <c r="AB731" s="126">
        <v>3</v>
      </c>
      <c r="AC731" s="126">
        <v>6</v>
      </c>
      <c r="AD731" s="126">
        <v>2026</v>
      </c>
    </row>
    <row r="732" spans="3:30">
      <c r="C732" s="126">
        <v>725</v>
      </c>
      <c r="D732" s="126">
        <v>56</v>
      </c>
      <c r="E732" s="126">
        <v>3</v>
      </c>
      <c r="F732" s="126">
        <v>1</v>
      </c>
      <c r="G732" s="126">
        <v>1</v>
      </c>
      <c r="H732" s="126">
        <v>1</v>
      </c>
      <c r="I732" s="126">
        <v>1</v>
      </c>
      <c r="J732" s="126">
        <v>189</v>
      </c>
      <c r="M732" s="126">
        <v>249</v>
      </c>
      <c r="N732" s="126">
        <v>0</v>
      </c>
      <c r="P732" s="126">
        <v>209</v>
      </c>
      <c r="R732" s="126" t="s">
        <v>549</v>
      </c>
      <c r="S732" s="259">
        <v>0</v>
      </c>
      <c r="T732" s="259">
        <v>12.27</v>
      </c>
      <c r="U732" s="68" t="s">
        <v>1556</v>
      </c>
      <c r="V732" s="126">
        <v>1</v>
      </c>
      <c r="Z732" s="126">
        <v>1</v>
      </c>
      <c r="AA732" s="126">
        <v>1</v>
      </c>
      <c r="AB732" s="126">
        <v>3</v>
      </c>
      <c r="AC732" s="126">
        <v>6</v>
      </c>
      <c r="AD732" s="126">
        <v>2026</v>
      </c>
    </row>
    <row r="733" spans="3:30">
      <c r="C733" s="126">
        <v>726</v>
      </c>
      <c r="D733" s="126">
        <v>56</v>
      </c>
      <c r="E733" s="126">
        <v>11</v>
      </c>
      <c r="F733" s="126">
        <v>1</v>
      </c>
      <c r="G733" s="126">
        <v>1</v>
      </c>
      <c r="H733" s="126">
        <v>1</v>
      </c>
      <c r="I733" s="126">
        <v>1</v>
      </c>
      <c r="J733" s="126">
        <v>189</v>
      </c>
      <c r="M733" s="126">
        <v>249</v>
      </c>
      <c r="N733" s="126">
        <v>1</v>
      </c>
      <c r="P733" s="126">
        <v>209</v>
      </c>
      <c r="R733" s="126" t="s">
        <v>549</v>
      </c>
      <c r="S733" s="259">
        <v>12.27</v>
      </c>
      <c r="T733" s="259">
        <v>0</v>
      </c>
      <c r="U733" s="68" t="s">
        <v>1557</v>
      </c>
      <c r="V733" s="126">
        <v>1</v>
      </c>
      <c r="Z733" s="126">
        <v>1</v>
      </c>
      <c r="AA733" s="126">
        <v>1</v>
      </c>
      <c r="AB733" s="126">
        <v>3</v>
      </c>
      <c r="AC733" s="126">
        <v>6</v>
      </c>
      <c r="AD733" s="126">
        <v>2026</v>
      </c>
    </row>
    <row r="734" spans="3:30">
      <c r="C734" s="126">
        <v>727</v>
      </c>
      <c r="D734" s="126">
        <v>56</v>
      </c>
      <c r="E734" s="126">
        <v>10</v>
      </c>
      <c r="F734" s="126">
        <v>1</v>
      </c>
      <c r="G734" s="126">
        <v>1</v>
      </c>
      <c r="H734" s="126">
        <v>1</v>
      </c>
      <c r="I734" s="126">
        <v>1</v>
      </c>
      <c r="J734" s="126">
        <v>189</v>
      </c>
      <c r="P734" s="126">
        <v>209</v>
      </c>
      <c r="R734" s="126" t="s">
        <v>549</v>
      </c>
      <c r="S734" s="259">
        <v>0</v>
      </c>
      <c r="T734" s="259">
        <v>15</v>
      </c>
      <c r="U734" s="68" t="s">
        <v>1558</v>
      </c>
      <c r="V734" s="126">
        <v>1</v>
      </c>
      <c r="Z734" s="126">
        <v>1</v>
      </c>
      <c r="AA734" s="126">
        <v>1</v>
      </c>
      <c r="AB734" s="126">
        <v>3</v>
      </c>
      <c r="AC734" s="126">
        <v>6</v>
      </c>
      <c r="AD734" s="126">
        <v>2026</v>
      </c>
    </row>
    <row r="735" spans="3:30">
      <c r="C735" s="126">
        <v>728</v>
      </c>
      <c r="D735" s="126">
        <v>56</v>
      </c>
      <c r="E735" s="126">
        <v>3</v>
      </c>
      <c r="F735" s="126">
        <v>1</v>
      </c>
      <c r="G735" s="126">
        <v>1</v>
      </c>
      <c r="H735" s="126">
        <v>1</v>
      </c>
      <c r="I735" s="126">
        <v>1</v>
      </c>
      <c r="J735" s="126">
        <v>14</v>
      </c>
      <c r="M735" s="126">
        <v>250</v>
      </c>
      <c r="N735" s="126">
        <v>0</v>
      </c>
      <c r="P735" s="126">
        <v>210</v>
      </c>
      <c r="R735" s="126" t="s">
        <v>549</v>
      </c>
      <c r="S735" s="259">
        <v>0</v>
      </c>
      <c r="T735" s="259">
        <v>16.5</v>
      </c>
      <c r="U735" s="68" t="s">
        <v>1559</v>
      </c>
      <c r="V735" s="126">
        <v>1</v>
      </c>
      <c r="Z735" s="126">
        <v>1</v>
      </c>
      <c r="AA735" s="126">
        <v>1</v>
      </c>
      <c r="AB735" s="126">
        <v>3</v>
      </c>
      <c r="AC735" s="126">
        <v>6</v>
      </c>
      <c r="AD735" s="126">
        <v>2026</v>
      </c>
    </row>
    <row r="736" spans="3:30">
      <c r="C736" s="126">
        <v>729</v>
      </c>
      <c r="D736" s="126">
        <v>56</v>
      </c>
      <c r="E736" s="126">
        <v>11</v>
      </c>
      <c r="F736" s="126">
        <v>1</v>
      </c>
      <c r="G736" s="126">
        <v>1</v>
      </c>
      <c r="H736" s="126">
        <v>1</v>
      </c>
      <c r="I736" s="126">
        <v>1</v>
      </c>
      <c r="J736" s="126">
        <v>14</v>
      </c>
      <c r="M736" s="126">
        <v>250</v>
      </c>
      <c r="N736" s="126">
        <v>1</v>
      </c>
      <c r="P736" s="126">
        <v>210</v>
      </c>
      <c r="R736" s="126" t="s">
        <v>549</v>
      </c>
      <c r="S736" s="259">
        <v>16.5</v>
      </c>
      <c r="T736" s="259">
        <v>0</v>
      </c>
      <c r="U736" s="68" t="s">
        <v>1560</v>
      </c>
      <c r="V736" s="126">
        <v>1</v>
      </c>
      <c r="Z736" s="126">
        <v>1</v>
      </c>
      <c r="AA736" s="126">
        <v>1</v>
      </c>
      <c r="AB736" s="126">
        <v>3</v>
      </c>
      <c r="AC736" s="126">
        <v>6</v>
      </c>
      <c r="AD736" s="126">
        <v>2026</v>
      </c>
    </row>
    <row r="737" spans="3:30">
      <c r="C737" s="126">
        <v>730</v>
      </c>
      <c r="D737" s="126">
        <v>56</v>
      </c>
      <c r="E737" s="126">
        <v>10</v>
      </c>
      <c r="F737" s="126">
        <v>1</v>
      </c>
      <c r="G737" s="126">
        <v>1</v>
      </c>
      <c r="H737" s="126">
        <v>1</v>
      </c>
      <c r="I737" s="126">
        <v>1</v>
      </c>
      <c r="J737" s="126">
        <v>14</v>
      </c>
      <c r="P737" s="126">
        <v>210</v>
      </c>
      <c r="R737" s="126" t="s">
        <v>549</v>
      </c>
      <c r="S737" s="259">
        <v>0</v>
      </c>
      <c r="T737" s="259">
        <v>20</v>
      </c>
      <c r="U737" s="68" t="s">
        <v>1561</v>
      </c>
      <c r="V737" s="126">
        <v>1</v>
      </c>
      <c r="Z737" s="126">
        <v>1</v>
      </c>
      <c r="AA737" s="126">
        <v>1</v>
      </c>
      <c r="AB737" s="126">
        <v>3</v>
      </c>
      <c r="AC737" s="126">
        <v>6</v>
      </c>
      <c r="AD737" s="126">
        <v>2026</v>
      </c>
    </row>
    <row r="738" spans="3:30">
      <c r="C738" s="126">
        <v>731</v>
      </c>
      <c r="D738" s="126">
        <v>57</v>
      </c>
      <c r="E738" s="126">
        <v>2</v>
      </c>
      <c r="F738" s="126">
        <v>1</v>
      </c>
      <c r="G738" s="126">
        <v>1</v>
      </c>
      <c r="H738" s="126">
        <v>1</v>
      </c>
      <c r="I738" s="126">
        <v>1</v>
      </c>
      <c r="R738" s="126" t="s">
        <v>549</v>
      </c>
      <c r="S738" s="259">
        <v>28.13</v>
      </c>
      <c r="T738" s="259">
        <v>0</v>
      </c>
      <c r="U738" s="68" t="s">
        <v>1564</v>
      </c>
      <c r="V738" s="126">
        <v>1</v>
      </c>
      <c r="Z738" s="126">
        <v>1</v>
      </c>
      <c r="AA738" s="126">
        <v>1</v>
      </c>
      <c r="AB738" s="126">
        <v>3</v>
      </c>
      <c r="AC738" s="126">
        <v>6</v>
      </c>
      <c r="AD738" s="126">
        <v>2026</v>
      </c>
    </row>
    <row r="739" spans="3:30">
      <c r="C739" s="126">
        <v>732</v>
      </c>
      <c r="D739" s="126">
        <v>57</v>
      </c>
      <c r="E739" s="126">
        <v>3</v>
      </c>
      <c r="F739" s="126">
        <v>1</v>
      </c>
      <c r="G739" s="126">
        <v>1</v>
      </c>
      <c r="H739" s="126">
        <v>1</v>
      </c>
      <c r="I739" s="126">
        <v>1</v>
      </c>
      <c r="J739" s="126">
        <v>183</v>
      </c>
      <c r="M739" s="126">
        <v>251</v>
      </c>
      <c r="N739" s="126">
        <v>0</v>
      </c>
      <c r="P739" s="126">
        <v>211</v>
      </c>
      <c r="R739" s="126" t="s">
        <v>549</v>
      </c>
      <c r="S739" s="259">
        <v>0</v>
      </c>
      <c r="T739" s="259">
        <v>20</v>
      </c>
      <c r="U739" s="68" t="s">
        <v>1565</v>
      </c>
      <c r="V739" s="126">
        <v>1</v>
      </c>
      <c r="Z739" s="126">
        <v>1</v>
      </c>
      <c r="AA739" s="126">
        <v>1</v>
      </c>
      <c r="AB739" s="126">
        <v>3</v>
      </c>
      <c r="AC739" s="126">
        <v>6</v>
      </c>
      <c r="AD739" s="126">
        <v>2026</v>
      </c>
    </row>
    <row r="740" spans="3:30">
      <c r="C740" s="126">
        <v>733</v>
      </c>
      <c r="D740" s="126">
        <v>57</v>
      </c>
      <c r="E740" s="126">
        <v>11</v>
      </c>
      <c r="F740" s="126">
        <v>1</v>
      </c>
      <c r="G740" s="126">
        <v>1</v>
      </c>
      <c r="H740" s="126">
        <v>1</v>
      </c>
      <c r="I740" s="126">
        <v>1</v>
      </c>
      <c r="J740" s="126">
        <v>183</v>
      </c>
      <c r="M740" s="126">
        <v>251</v>
      </c>
      <c r="N740" s="126">
        <v>1</v>
      </c>
      <c r="P740" s="126">
        <v>211</v>
      </c>
      <c r="R740" s="126" t="s">
        <v>549</v>
      </c>
      <c r="S740" s="259">
        <v>20</v>
      </c>
      <c r="T740" s="259">
        <v>0</v>
      </c>
      <c r="U740" s="68" t="s">
        <v>1566</v>
      </c>
      <c r="V740" s="126">
        <v>1</v>
      </c>
      <c r="Z740" s="126">
        <v>1</v>
      </c>
      <c r="AA740" s="126">
        <v>1</v>
      </c>
      <c r="AB740" s="126">
        <v>3</v>
      </c>
      <c r="AC740" s="126">
        <v>6</v>
      </c>
      <c r="AD740" s="126">
        <v>2026</v>
      </c>
    </row>
    <row r="741" spans="3:30">
      <c r="C741" s="126">
        <v>734</v>
      </c>
      <c r="D741" s="126">
        <v>57</v>
      </c>
      <c r="E741" s="126">
        <v>10</v>
      </c>
      <c r="F741" s="126">
        <v>1</v>
      </c>
      <c r="G741" s="126">
        <v>1</v>
      </c>
      <c r="H741" s="126">
        <v>1</v>
      </c>
      <c r="I741" s="126">
        <v>1</v>
      </c>
      <c r="J741" s="126">
        <v>183</v>
      </c>
      <c r="P741" s="126">
        <v>211</v>
      </c>
      <c r="R741" s="126" t="s">
        <v>549</v>
      </c>
      <c r="S741" s="259">
        <v>0</v>
      </c>
      <c r="T741" s="259">
        <v>21.25</v>
      </c>
      <c r="U741" s="68" t="s">
        <v>1567</v>
      </c>
      <c r="V741" s="126">
        <v>1</v>
      </c>
      <c r="Z741" s="126">
        <v>1</v>
      </c>
      <c r="AA741" s="126">
        <v>1</v>
      </c>
      <c r="AB741" s="126">
        <v>3</v>
      </c>
      <c r="AC741" s="126">
        <v>6</v>
      </c>
      <c r="AD741" s="126">
        <v>2026</v>
      </c>
    </row>
    <row r="742" spans="3:30">
      <c r="C742" s="126">
        <v>735</v>
      </c>
      <c r="D742" s="126">
        <v>57</v>
      </c>
      <c r="E742" s="126">
        <v>3</v>
      </c>
      <c r="F742" s="126">
        <v>1</v>
      </c>
      <c r="G742" s="126">
        <v>1</v>
      </c>
      <c r="H742" s="126">
        <v>1</v>
      </c>
      <c r="I742" s="126">
        <v>1</v>
      </c>
      <c r="J742" s="126">
        <v>195</v>
      </c>
      <c r="M742" s="126">
        <v>252</v>
      </c>
      <c r="N742" s="126">
        <v>0</v>
      </c>
      <c r="P742" s="126">
        <v>212</v>
      </c>
      <c r="R742" s="126" t="s">
        <v>549</v>
      </c>
      <c r="S742" s="259">
        <v>0</v>
      </c>
      <c r="T742" s="259">
        <v>6.28</v>
      </c>
      <c r="U742" s="68" t="s">
        <v>1568</v>
      </c>
      <c r="V742" s="126">
        <v>1</v>
      </c>
      <c r="Z742" s="126">
        <v>1</v>
      </c>
      <c r="AA742" s="126">
        <v>1</v>
      </c>
      <c r="AB742" s="126">
        <v>3</v>
      </c>
      <c r="AC742" s="126">
        <v>6</v>
      </c>
      <c r="AD742" s="126">
        <v>2026</v>
      </c>
    </row>
    <row r="743" spans="3:30">
      <c r="C743" s="126">
        <v>736</v>
      </c>
      <c r="D743" s="126">
        <v>57</v>
      </c>
      <c r="E743" s="126">
        <v>11</v>
      </c>
      <c r="F743" s="126">
        <v>1</v>
      </c>
      <c r="G743" s="126">
        <v>1</v>
      </c>
      <c r="H743" s="126">
        <v>1</v>
      </c>
      <c r="I743" s="126">
        <v>1</v>
      </c>
      <c r="J743" s="126">
        <v>195</v>
      </c>
      <c r="M743" s="126">
        <v>252</v>
      </c>
      <c r="N743" s="126">
        <v>1</v>
      </c>
      <c r="P743" s="126">
        <v>212</v>
      </c>
      <c r="R743" s="126" t="s">
        <v>549</v>
      </c>
      <c r="S743" s="259">
        <v>6.28</v>
      </c>
      <c r="T743" s="259">
        <v>0</v>
      </c>
      <c r="U743" s="68" t="s">
        <v>1569</v>
      </c>
      <c r="V743" s="126">
        <v>1</v>
      </c>
      <c r="Z743" s="126">
        <v>1</v>
      </c>
      <c r="AA743" s="126">
        <v>1</v>
      </c>
      <c r="AB743" s="126">
        <v>3</v>
      </c>
      <c r="AC743" s="126">
        <v>6</v>
      </c>
      <c r="AD743" s="126">
        <v>2026</v>
      </c>
    </row>
    <row r="744" spans="3:30">
      <c r="C744" s="126">
        <v>737</v>
      </c>
      <c r="D744" s="126">
        <v>57</v>
      </c>
      <c r="E744" s="126">
        <v>10</v>
      </c>
      <c r="F744" s="126">
        <v>1</v>
      </c>
      <c r="G744" s="126">
        <v>1</v>
      </c>
      <c r="H744" s="126">
        <v>1</v>
      </c>
      <c r="I744" s="126">
        <v>1</v>
      </c>
      <c r="J744" s="126">
        <v>195</v>
      </c>
      <c r="P744" s="126">
        <v>212</v>
      </c>
      <c r="R744" s="126" t="s">
        <v>549</v>
      </c>
      <c r="S744" s="259">
        <v>0</v>
      </c>
      <c r="T744" s="259">
        <v>6</v>
      </c>
      <c r="U744" s="68" t="s">
        <v>1570</v>
      </c>
      <c r="V744" s="126">
        <v>1</v>
      </c>
      <c r="Z744" s="126">
        <v>1</v>
      </c>
      <c r="AA744" s="126">
        <v>1</v>
      </c>
      <c r="AB744" s="126">
        <v>3</v>
      </c>
      <c r="AC744" s="126">
        <v>6</v>
      </c>
      <c r="AD744" s="126">
        <v>2026</v>
      </c>
    </row>
    <row r="745" spans="3:30">
      <c r="C745" s="126">
        <v>738</v>
      </c>
      <c r="D745" s="126">
        <v>57</v>
      </c>
      <c r="E745" s="126">
        <v>3</v>
      </c>
      <c r="F745" s="126">
        <v>1</v>
      </c>
      <c r="G745" s="126">
        <v>1</v>
      </c>
      <c r="H745" s="126">
        <v>1</v>
      </c>
      <c r="I745" s="126">
        <v>1</v>
      </c>
      <c r="J745" s="126">
        <v>66</v>
      </c>
      <c r="M745" s="126">
        <v>253</v>
      </c>
      <c r="N745" s="126">
        <v>0</v>
      </c>
      <c r="P745" s="126">
        <v>213</v>
      </c>
      <c r="R745" s="126" t="s">
        <v>549</v>
      </c>
      <c r="S745" s="259">
        <v>0</v>
      </c>
      <c r="T745" s="259">
        <v>0.41</v>
      </c>
      <c r="U745" s="68" t="s">
        <v>1571</v>
      </c>
      <c r="V745" s="126">
        <v>1</v>
      </c>
      <c r="Z745" s="126">
        <v>1</v>
      </c>
      <c r="AA745" s="126">
        <v>1</v>
      </c>
      <c r="AB745" s="126">
        <v>3</v>
      </c>
      <c r="AC745" s="126">
        <v>6</v>
      </c>
      <c r="AD745" s="126">
        <v>2026</v>
      </c>
    </row>
    <row r="746" spans="3:30">
      <c r="C746" s="126">
        <v>739</v>
      </c>
      <c r="D746" s="126">
        <v>57</v>
      </c>
      <c r="E746" s="126">
        <v>11</v>
      </c>
      <c r="F746" s="126">
        <v>1</v>
      </c>
      <c r="G746" s="126">
        <v>1</v>
      </c>
      <c r="H746" s="126">
        <v>1</v>
      </c>
      <c r="I746" s="126">
        <v>1</v>
      </c>
      <c r="J746" s="126">
        <v>66</v>
      </c>
      <c r="M746" s="126">
        <v>253</v>
      </c>
      <c r="N746" s="126">
        <v>1</v>
      </c>
      <c r="P746" s="126">
        <v>213</v>
      </c>
      <c r="R746" s="126" t="s">
        <v>549</v>
      </c>
      <c r="S746" s="259">
        <v>0.41</v>
      </c>
      <c r="T746" s="259">
        <v>0</v>
      </c>
      <c r="U746" s="68" t="s">
        <v>1572</v>
      </c>
      <c r="V746" s="126">
        <v>1</v>
      </c>
      <c r="Z746" s="126">
        <v>1</v>
      </c>
      <c r="AA746" s="126">
        <v>1</v>
      </c>
      <c r="AB746" s="126">
        <v>3</v>
      </c>
      <c r="AC746" s="126">
        <v>6</v>
      </c>
      <c r="AD746" s="126">
        <v>2026</v>
      </c>
    </row>
    <row r="747" spans="3:30">
      <c r="C747" s="126">
        <v>740</v>
      </c>
      <c r="D747" s="126">
        <v>57</v>
      </c>
      <c r="E747" s="126">
        <v>10</v>
      </c>
      <c r="F747" s="126">
        <v>1</v>
      </c>
      <c r="G747" s="126">
        <v>1</v>
      </c>
      <c r="H747" s="126">
        <v>1</v>
      </c>
      <c r="I747" s="126">
        <v>1</v>
      </c>
      <c r="J747" s="126">
        <v>66</v>
      </c>
      <c r="P747" s="126">
        <v>213</v>
      </c>
      <c r="R747" s="126" t="s">
        <v>549</v>
      </c>
      <c r="S747" s="259">
        <v>0</v>
      </c>
      <c r="T747" s="259">
        <v>0.88</v>
      </c>
      <c r="U747" s="68" t="s">
        <v>1573</v>
      </c>
      <c r="V747" s="126">
        <v>1</v>
      </c>
      <c r="Z747" s="126">
        <v>1</v>
      </c>
      <c r="AA747" s="126">
        <v>1</v>
      </c>
      <c r="AB747" s="126">
        <v>3</v>
      </c>
      <c r="AC747" s="126">
        <v>6</v>
      </c>
      <c r="AD747" s="126">
        <v>2026</v>
      </c>
    </row>
    <row r="748" spans="3:30">
      <c r="C748" s="126">
        <v>741</v>
      </c>
      <c r="D748" s="126">
        <v>58</v>
      </c>
      <c r="E748" s="126">
        <v>2</v>
      </c>
      <c r="F748" s="126">
        <v>1</v>
      </c>
      <c r="G748" s="126">
        <v>1</v>
      </c>
      <c r="H748" s="126">
        <v>1</v>
      </c>
      <c r="I748" s="126">
        <v>1</v>
      </c>
      <c r="R748" s="126" t="s">
        <v>549</v>
      </c>
      <c r="S748" s="259">
        <v>18</v>
      </c>
      <c r="T748" s="259">
        <v>0</v>
      </c>
      <c r="U748" s="68" t="s">
        <v>1575</v>
      </c>
      <c r="V748" s="126">
        <v>1</v>
      </c>
      <c r="Z748" s="126">
        <v>1</v>
      </c>
      <c r="AA748" s="126">
        <v>1</v>
      </c>
      <c r="AB748" s="126">
        <v>3</v>
      </c>
      <c r="AC748" s="126">
        <v>6</v>
      </c>
      <c r="AD748" s="126">
        <v>2026</v>
      </c>
    </row>
    <row r="749" spans="3:30">
      <c r="C749" s="126">
        <v>742</v>
      </c>
      <c r="D749" s="126">
        <v>58</v>
      </c>
      <c r="E749" s="126">
        <v>3</v>
      </c>
      <c r="F749" s="126">
        <v>1</v>
      </c>
      <c r="G749" s="126">
        <v>1</v>
      </c>
      <c r="H749" s="126">
        <v>1</v>
      </c>
      <c r="I749" s="126">
        <v>1</v>
      </c>
      <c r="J749" s="126">
        <v>178</v>
      </c>
      <c r="M749" s="126">
        <v>254</v>
      </c>
      <c r="N749" s="126">
        <v>0</v>
      </c>
      <c r="P749" s="126">
        <v>214</v>
      </c>
      <c r="R749" s="126" t="s">
        <v>549</v>
      </c>
      <c r="S749" s="259">
        <v>0</v>
      </c>
      <c r="T749" s="259">
        <v>14.25</v>
      </c>
      <c r="U749" s="68" t="s">
        <v>1576</v>
      </c>
      <c r="V749" s="126">
        <v>1</v>
      </c>
      <c r="Z749" s="126">
        <v>1</v>
      </c>
      <c r="AA749" s="126">
        <v>1</v>
      </c>
      <c r="AB749" s="126">
        <v>3</v>
      </c>
      <c r="AC749" s="126">
        <v>6</v>
      </c>
      <c r="AD749" s="126">
        <v>2026</v>
      </c>
    </row>
    <row r="750" spans="3:30">
      <c r="C750" s="126">
        <v>743</v>
      </c>
      <c r="D750" s="126">
        <v>58</v>
      </c>
      <c r="E750" s="126">
        <v>11</v>
      </c>
      <c r="F750" s="126">
        <v>1</v>
      </c>
      <c r="G750" s="126">
        <v>1</v>
      </c>
      <c r="H750" s="126">
        <v>1</v>
      </c>
      <c r="I750" s="126">
        <v>1</v>
      </c>
      <c r="J750" s="126">
        <v>178</v>
      </c>
      <c r="M750" s="126">
        <v>254</v>
      </c>
      <c r="N750" s="126">
        <v>1</v>
      </c>
      <c r="P750" s="126">
        <v>214</v>
      </c>
      <c r="R750" s="126" t="s">
        <v>549</v>
      </c>
      <c r="S750" s="259">
        <v>14.25</v>
      </c>
      <c r="T750" s="259">
        <v>0</v>
      </c>
      <c r="U750" s="68" t="s">
        <v>1577</v>
      </c>
      <c r="V750" s="126">
        <v>1</v>
      </c>
      <c r="Z750" s="126">
        <v>1</v>
      </c>
      <c r="AA750" s="126">
        <v>1</v>
      </c>
      <c r="AB750" s="126">
        <v>3</v>
      </c>
      <c r="AC750" s="126">
        <v>6</v>
      </c>
      <c r="AD750" s="126">
        <v>2026</v>
      </c>
    </row>
    <row r="751" spans="3:30">
      <c r="C751" s="126">
        <v>744</v>
      </c>
      <c r="D751" s="126">
        <v>58</v>
      </c>
      <c r="E751" s="126">
        <v>10</v>
      </c>
      <c r="F751" s="126">
        <v>1</v>
      </c>
      <c r="G751" s="126">
        <v>1</v>
      </c>
      <c r="H751" s="126">
        <v>1</v>
      </c>
      <c r="I751" s="126">
        <v>1</v>
      </c>
      <c r="J751" s="126">
        <v>178</v>
      </c>
      <c r="P751" s="126">
        <v>214</v>
      </c>
      <c r="R751" s="126" t="s">
        <v>549</v>
      </c>
      <c r="S751" s="259">
        <v>0</v>
      </c>
      <c r="T751" s="259">
        <v>15</v>
      </c>
      <c r="U751" s="68" t="s">
        <v>1578</v>
      </c>
      <c r="V751" s="126">
        <v>1</v>
      </c>
      <c r="Z751" s="126">
        <v>1</v>
      </c>
      <c r="AA751" s="126">
        <v>1</v>
      </c>
      <c r="AB751" s="126">
        <v>3</v>
      </c>
      <c r="AC751" s="126">
        <v>6</v>
      </c>
      <c r="AD751" s="126">
        <v>2026</v>
      </c>
    </row>
    <row r="752" spans="3:30">
      <c r="C752" s="126">
        <v>745</v>
      </c>
      <c r="D752" s="126">
        <v>58</v>
      </c>
      <c r="E752" s="126">
        <v>3</v>
      </c>
      <c r="F752" s="126">
        <v>1</v>
      </c>
      <c r="G752" s="126">
        <v>1</v>
      </c>
      <c r="H752" s="126">
        <v>1</v>
      </c>
      <c r="I752" s="126">
        <v>1</v>
      </c>
      <c r="J752" s="126">
        <v>181</v>
      </c>
      <c r="M752" s="126">
        <v>255</v>
      </c>
      <c r="N752" s="126">
        <v>0</v>
      </c>
      <c r="P752" s="126">
        <v>215</v>
      </c>
      <c r="R752" s="126" t="s">
        <v>549</v>
      </c>
      <c r="S752" s="259">
        <v>0</v>
      </c>
      <c r="T752" s="259">
        <v>2</v>
      </c>
      <c r="U752" s="68" t="s">
        <v>1579</v>
      </c>
      <c r="V752" s="126">
        <v>1</v>
      </c>
      <c r="Z752" s="126">
        <v>1</v>
      </c>
      <c r="AA752" s="126">
        <v>1</v>
      </c>
      <c r="AB752" s="126">
        <v>3</v>
      </c>
      <c r="AC752" s="126">
        <v>6</v>
      </c>
      <c r="AD752" s="126">
        <v>2026</v>
      </c>
    </row>
    <row r="753" spans="3:30">
      <c r="C753" s="126">
        <v>746</v>
      </c>
      <c r="D753" s="126">
        <v>58</v>
      </c>
      <c r="E753" s="126">
        <v>11</v>
      </c>
      <c r="F753" s="126">
        <v>1</v>
      </c>
      <c r="G753" s="126">
        <v>1</v>
      </c>
      <c r="H753" s="126">
        <v>1</v>
      </c>
      <c r="I753" s="126">
        <v>1</v>
      </c>
      <c r="J753" s="126">
        <v>181</v>
      </c>
      <c r="M753" s="126">
        <v>255</v>
      </c>
      <c r="N753" s="126">
        <v>1</v>
      </c>
      <c r="P753" s="126">
        <v>215</v>
      </c>
      <c r="R753" s="126" t="s">
        <v>549</v>
      </c>
      <c r="S753" s="259">
        <v>2</v>
      </c>
      <c r="T753" s="259">
        <v>0</v>
      </c>
      <c r="U753" s="68" t="s">
        <v>1580</v>
      </c>
      <c r="V753" s="126">
        <v>1</v>
      </c>
      <c r="Z753" s="126">
        <v>1</v>
      </c>
      <c r="AA753" s="126">
        <v>1</v>
      </c>
      <c r="AB753" s="126">
        <v>3</v>
      </c>
      <c r="AC753" s="126">
        <v>6</v>
      </c>
      <c r="AD753" s="126">
        <v>2026</v>
      </c>
    </row>
    <row r="754" spans="3:30">
      <c r="C754" s="126">
        <v>747</v>
      </c>
      <c r="D754" s="126">
        <v>58</v>
      </c>
      <c r="E754" s="126">
        <v>10</v>
      </c>
      <c r="F754" s="126">
        <v>1</v>
      </c>
      <c r="G754" s="126">
        <v>1</v>
      </c>
      <c r="H754" s="126">
        <v>1</v>
      </c>
      <c r="I754" s="126">
        <v>1</v>
      </c>
      <c r="J754" s="126">
        <v>181</v>
      </c>
      <c r="P754" s="126">
        <v>215</v>
      </c>
      <c r="R754" s="126" t="s">
        <v>549</v>
      </c>
      <c r="S754" s="259">
        <v>0</v>
      </c>
      <c r="T754" s="259">
        <v>3</v>
      </c>
      <c r="U754" s="68" t="s">
        <v>1581</v>
      </c>
      <c r="V754" s="126">
        <v>1</v>
      </c>
      <c r="Z754" s="126">
        <v>1</v>
      </c>
      <c r="AA754" s="126">
        <v>1</v>
      </c>
      <c r="AB754" s="126">
        <v>3</v>
      </c>
      <c r="AC754" s="126">
        <v>6</v>
      </c>
      <c r="AD754" s="126">
        <v>2026</v>
      </c>
    </row>
    <row r="755" spans="3:30">
      <c r="C755" s="126">
        <v>748</v>
      </c>
      <c r="D755" s="126">
        <v>59</v>
      </c>
      <c r="E755" s="126">
        <v>2</v>
      </c>
      <c r="F755" s="126">
        <v>1</v>
      </c>
      <c r="G755" s="126">
        <v>1</v>
      </c>
      <c r="H755" s="126">
        <v>1</v>
      </c>
      <c r="I755" s="126">
        <v>1</v>
      </c>
      <c r="R755" s="126" t="s">
        <v>549</v>
      </c>
      <c r="S755" s="259">
        <v>103.5</v>
      </c>
      <c r="T755" s="259">
        <v>0</v>
      </c>
      <c r="U755" s="68" t="s">
        <v>1583</v>
      </c>
      <c r="V755" s="126">
        <v>1</v>
      </c>
      <c r="Z755" s="126">
        <v>1</v>
      </c>
      <c r="AA755" s="126">
        <v>1</v>
      </c>
      <c r="AB755" s="126">
        <v>3</v>
      </c>
      <c r="AC755" s="126">
        <v>6</v>
      </c>
      <c r="AD755" s="126">
        <v>2026</v>
      </c>
    </row>
    <row r="756" spans="3:30">
      <c r="C756" s="126">
        <v>749</v>
      </c>
      <c r="D756" s="126">
        <v>59</v>
      </c>
      <c r="E756" s="126">
        <v>3</v>
      </c>
      <c r="F756" s="126">
        <v>1</v>
      </c>
      <c r="G756" s="126">
        <v>1</v>
      </c>
      <c r="H756" s="126">
        <v>1</v>
      </c>
      <c r="I756" s="126">
        <v>1</v>
      </c>
      <c r="J756" s="126">
        <v>176</v>
      </c>
      <c r="M756" s="126">
        <v>256</v>
      </c>
      <c r="N756" s="126">
        <v>0</v>
      </c>
      <c r="P756" s="126">
        <v>216</v>
      </c>
      <c r="R756" s="126" t="s">
        <v>549</v>
      </c>
      <c r="S756" s="259">
        <v>0</v>
      </c>
      <c r="T756" s="259">
        <v>85</v>
      </c>
      <c r="U756" s="68" t="s">
        <v>1584</v>
      </c>
      <c r="V756" s="126">
        <v>1</v>
      </c>
      <c r="Z756" s="126">
        <v>1</v>
      </c>
      <c r="AA756" s="126">
        <v>1</v>
      </c>
      <c r="AB756" s="126">
        <v>3</v>
      </c>
      <c r="AC756" s="126">
        <v>6</v>
      </c>
      <c r="AD756" s="126">
        <v>2026</v>
      </c>
    </row>
    <row r="757" spans="3:30">
      <c r="C757" s="126">
        <v>750</v>
      </c>
      <c r="D757" s="126">
        <v>59</v>
      </c>
      <c r="E757" s="126">
        <v>11</v>
      </c>
      <c r="F757" s="126">
        <v>1</v>
      </c>
      <c r="G757" s="126">
        <v>1</v>
      </c>
      <c r="H757" s="126">
        <v>1</v>
      </c>
      <c r="I757" s="126">
        <v>1</v>
      </c>
      <c r="J757" s="126">
        <v>176</v>
      </c>
      <c r="M757" s="126">
        <v>256</v>
      </c>
      <c r="N757" s="126">
        <v>1</v>
      </c>
      <c r="P757" s="126">
        <v>216</v>
      </c>
      <c r="R757" s="126" t="s">
        <v>549</v>
      </c>
      <c r="S757" s="259">
        <v>85</v>
      </c>
      <c r="T757" s="259">
        <v>0</v>
      </c>
      <c r="U757" s="68" t="s">
        <v>1585</v>
      </c>
      <c r="V757" s="126">
        <v>1</v>
      </c>
      <c r="Z757" s="126">
        <v>1</v>
      </c>
      <c r="AA757" s="126">
        <v>1</v>
      </c>
      <c r="AB757" s="126">
        <v>3</v>
      </c>
      <c r="AC757" s="126">
        <v>6</v>
      </c>
      <c r="AD757" s="126">
        <v>2026</v>
      </c>
    </row>
    <row r="758" spans="3:30">
      <c r="C758" s="126">
        <v>751</v>
      </c>
      <c r="D758" s="126">
        <v>59</v>
      </c>
      <c r="E758" s="126">
        <v>10</v>
      </c>
      <c r="F758" s="126">
        <v>1</v>
      </c>
      <c r="G758" s="126">
        <v>1</v>
      </c>
      <c r="H758" s="126">
        <v>1</v>
      </c>
      <c r="I758" s="126">
        <v>1</v>
      </c>
      <c r="J758" s="126">
        <v>176</v>
      </c>
      <c r="P758" s="126">
        <v>216</v>
      </c>
      <c r="R758" s="126" t="s">
        <v>549</v>
      </c>
      <c r="S758" s="259">
        <v>0</v>
      </c>
      <c r="T758" s="259">
        <v>90</v>
      </c>
      <c r="U758" s="68" t="s">
        <v>1586</v>
      </c>
      <c r="V758" s="126">
        <v>1</v>
      </c>
      <c r="Z758" s="126">
        <v>1</v>
      </c>
      <c r="AA758" s="126">
        <v>1</v>
      </c>
      <c r="AB758" s="126">
        <v>3</v>
      </c>
      <c r="AC758" s="126">
        <v>6</v>
      </c>
      <c r="AD758" s="126">
        <v>2026</v>
      </c>
    </row>
    <row r="759" spans="3:30">
      <c r="C759" s="126">
        <v>752</v>
      </c>
      <c r="D759" s="126">
        <v>59</v>
      </c>
      <c r="E759" s="126">
        <v>3</v>
      </c>
      <c r="F759" s="126">
        <v>1</v>
      </c>
      <c r="G759" s="126">
        <v>1</v>
      </c>
      <c r="H759" s="126">
        <v>1</v>
      </c>
      <c r="I759" s="126">
        <v>1</v>
      </c>
      <c r="J759" s="126">
        <v>4</v>
      </c>
      <c r="M759" s="126">
        <v>257</v>
      </c>
      <c r="N759" s="126">
        <v>0</v>
      </c>
      <c r="P759" s="126">
        <v>217</v>
      </c>
      <c r="R759" s="126" t="s">
        <v>549</v>
      </c>
      <c r="S759" s="259">
        <v>0</v>
      </c>
      <c r="T759" s="259">
        <v>11.6</v>
      </c>
      <c r="U759" s="68" t="s">
        <v>1587</v>
      </c>
      <c r="V759" s="126">
        <v>1</v>
      </c>
      <c r="Z759" s="126">
        <v>1</v>
      </c>
      <c r="AA759" s="126">
        <v>1</v>
      </c>
      <c r="AB759" s="126">
        <v>3</v>
      </c>
      <c r="AC759" s="126">
        <v>6</v>
      </c>
      <c r="AD759" s="126">
        <v>2026</v>
      </c>
    </row>
    <row r="760" spans="3:30">
      <c r="C760" s="126">
        <v>753</v>
      </c>
      <c r="D760" s="126">
        <v>59</v>
      </c>
      <c r="E760" s="126">
        <v>11</v>
      </c>
      <c r="F760" s="126">
        <v>1</v>
      </c>
      <c r="G760" s="126">
        <v>1</v>
      </c>
      <c r="H760" s="126">
        <v>1</v>
      </c>
      <c r="I760" s="126">
        <v>1</v>
      </c>
      <c r="J760" s="126">
        <v>4</v>
      </c>
      <c r="M760" s="126">
        <v>257</v>
      </c>
      <c r="N760" s="126">
        <v>1</v>
      </c>
      <c r="P760" s="126">
        <v>217</v>
      </c>
      <c r="R760" s="126" t="s">
        <v>549</v>
      </c>
      <c r="S760" s="259">
        <v>11.6</v>
      </c>
      <c r="T760" s="259">
        <v>0</v>
      </c>
      <c r="U760" s="68" t="s">
        <v>1588</v>
      </c>
      <c r="V760" s="126">
        <v>1</v>
      </c>
      <c r="Z760" s="126">
        <v>1</v>
      </c>
      <c r="AA760" s="126">
        <v>1</v>
      </c>
      <c r="AB760" s="126">
        <v>3</v>
      </c>
      <c r="AC760" s="126">
        <v>6</v>
      </c>
      <c r="AD760" s="126">
        <v>2026</v>
      </c>
    </row>
    <row r="761" spans="3:30">
      <c r="C761" s="126">
        <v>754</v>
      </c>
      <c r="D761" s="126">
        <v>59</v>
      </c>
      <c r="E761" s="126">
        <v>10</v>
      </c>
      <c r="F761" s="126">
        <v>1</v>
      </c>
      <c r="G761" s="126">
        <v>1</v>
      </c>
      <c r="H761" s="126">
        <v>1</v>
      </c>
      <c r="I761" s="126">
        <v>1</v>
      </c>
      <c r="J761" s="126">
        <v>4</v>
      </c>
      <c r="P761" s="126">
        <v>217</v>
      </c>
      <c r="R761" s="126" t="s">
        <v>549</v>
      </c>
      <c r="S761" s="259">
        <v>0</v>
      </c>
      <c r="T761" s="259">
        <v>10</v>
      </c>
      <c r="U761" s="68" t="s">
        <v>1589</v>
      </c>
      <c r="V761" s="126">
        <v>1</v>
      </c>
      <c r="Z761" s="126">
        <v>1</v>
      </c>
      <c r="AA761" s="126">
        <v>1</v>
      </c>
      <c r="AB761" s="126">
        <v>3</v>
      </c>
      <c r="AC761" s="126">
        <v>6</v>
      </c>
      <c r="AD761" s="126">
        <v>2026</v>
      </c>
    </row>
    <row r="762" spans="3:30">
      <c r="C762" s="126">
        <v>755</v>
      </c>
      <c r="D762" s="126">
        <v>59</v>
      </c>
      <c r="E762" s="126">
        <v>3</v>
      </c>
      <c r="F762" s="126">
        <v>1</v>
      </c>
      <c r="G762" s="126">
        <v>1</v>
      </c>
      <c r="H762" s="126">
        <v>1</v>
      </c>
      <c r="I762" s="126">
        <v>1</v>
      </c>
      <c r="J762" s="126">
        <v>34</v>
      </c>
      <c r="M762" s="126">
        <v>258</v>
      </c>
      <c r="N762" s="126">
        <v>0</v>
      </c>
      <c r="P762" s="126">
        <v>218</v>
      </c>
      <c r="R762" s="126" t="s">
        <v>549</v>
      </c>
      <c r="S762" s="259">
        <v>0</v>
      </c>
      <c r="T762" s="259">
        <v>1</v>
      </c>
      <c r="U762" s="68" t="s">
        <v>1590</v>
      </c>
      <c r="V762" s="126">
        <v>1</v>
      </c>
      <c r="Z762" s="126">
        <v>1</v>
      </c>
      <c r="AA762" s="126">
        <v>1</v>
      </c>
      <c r="AB762" s="126">
        <v>3</v>
      </c>
      <c r="AC762" s="126">
        <v>6</v>
      </c>
      <c r="AD762" s="126">
        <v>2026</v>
      </c>
    </row>
    <row r="763" spans="3:30">
      <c r="C763" s="126">
        <v>756</v>
      </c>
      <c r="D763" s="126">
        <v>59</v>
      </c>
      <c r="E763" s="126">
        <v>11</v>
      </c>
      <c r="F763" s="126">
        <v>1</v>
      </c>
      <c r="G763" s="126">
        <v>1</v>
      </c>
      <c r="H763" s="126">
        <v>1</v>
      </c>
      <c r="I763" s="126">
        <v>1</v>
      </c>
      <c r="J763" s="126">
        <v>34</v>
      </c>
      <c r="M763" s="126">
        <v>258</v>
      </c>
      <c r="N763" s="126">
        <v>1</v>
      </c>
      <c r="P763" s="126">
        <v>218</v>
      </c>
      <c r="R763" s="126" t="s">
        <v>549</v>
      </c>
      <c r="S763" s="259">
        <v>1</v>
      </c>
      <c r="T763" s="259">
        <v>0</v>
      </c>
      <c r="U763" s="68" t="s">
        <v>1591</v>
      </c>
      <c r="V763" s="126">
        <v>1</v>
      </c>
      <c r="Z763" s="126">
        <v>1</v>
      </c>
      <c r="AA763" s="126">
        <v>1</v>
      </c>
      <c r="AB763" s="126">
        <v>3</v>
      </c>
      <c r="AC763" s="126">
        <v>6</v>
      </c>
      <c r="AD763" s="126">
        <v>2026</v>
      </c>
    </row>
    <row r="764" spans="3:30">
      <c r="C764" s="126">
        <v>757</v>
      </c>
      <c r="D764" s="126">
        <v>59</v>
      </c>
      <c r="E764" s="126">
        <v>10</v>
      </c>
      <c r="F764" s="126">
        <v>1</v>
      </c>
      <c r="G764" s="126">
        <v>1</v>
      </c>
      <c r="H764" s="126">
        <v>1</v>
      </c>
      <c r="I764" s="126">
        <v>1</v>
      </c>
      <c r="J764" s="126">
        <v>34</v>
      </c>
      <c r="P764" s="126">
        <v>218</v>
      </c>
      <c r="R764" s="126" t="s">
        <v>549</v>
      </c>
      <c r="S764" s="259">
        <v>0</v>
      </c>
      <c r="T764" s="259">
        <v>3.5</v>
      </c>
      <c r="U764" s="68" t="s">
        <v>1592</v>
      </c>
      <c r="V764" s="126">
        <v>1</v>
      </c>
      <c r="Z764" s="126">
        <v>1</v>
      </c>
      <c r="AA764" s="126">
        <v>1</v>
      </c>
      <c r="AB764" s="126">
        <v>3</v>
      </c>
      <c r="AC764" s="126">
        <v>6</v>
      </c>
      <c r="AD764" s="126">
        <v>2026</v>
      </c>
    </row>
    <row r="765" spans="3:30">
      <c r="C765" s="126">
        <v>758</v>
      </c>
      <c r="D765" s="126">
        <v>60</v>
      </c>
      <c r="E765" s="126">
        <v>2</v>
      </c>
      <c r="F765" s="126">
        <v>1</v>
      </c>
      <c r="G765" s="126">
        <v>1</v>
      </c>
      <c r="H765" s="126">
        <v>1</v>
      </c>
      <c r="I765" s="126">
        <v>1</v>
      </c>
      <c r="R765" s="126" t="s">
        <v>549</v>
      </c>
      <c r="S765" s="259">
        <v>60</v>
      </c>
      <c r="T765" s="259">
        <v>0</v>
      </c>
      <c r="U765" s="68" t="s">
        <v>1595</v>
      </c>
      <c r="V765" s="126">
        <v>1</v>
      </c>
      <c r="Z765" s="126">
        <v>1</v>
      </c>
      <c r="AA765" s="126">
        <v>1</v>
      </c>
      <c r="AB765" s="126">
        <v>3</v>
      </c>
      <c r="AC765" s="126">
        <v>6</v>
      </c>
      <c r="AD765" s="126">
        <v>2026</v>
      </c>
    </row>
    <row r="766" spans="3:30">
      <c r="C766" s="126">
        <v>759</v>
      </c>
      <c r="D766" s="126">
        <v>60</v>
      </c>
      <c r="E766" s="126">
        <v>3</v>
      </c>
      <c r="F766" s="126">
        <v>1</v>
      </c>
      <c r="G766" s="126">
        <v>1</v>
      </c>
      <c r="H766" s="126">
        <v>1</v>
      </c>
      <c r="I766" s="126">
        <v>1</v>
      </c>
      <c r="J766" s="126">
        <v>178</v>
      </c>
      <c r="M766" s="126">
        <v>259</v>
      </c>
      <c r="N766" s="126">
        <v>0</v>
      </c>
      <c r="P766" s="126">
        <v>219</v>
      </c>
      <c r="R766" s="126" t="s">
        <v>549</v>
      </c>
      <c r="S766" s="259">
        <v>0</v>
      </c>
      <c r="T766" s="259">
        <v>57</v>
      </c>
      <c r="U766" s="68" t="s">
        <v>1596</v>
      </c>
      <c r="V766" s="126">
        <v>1</v>
      </c>
      <c r="Z766" s="126">
        <v>1</v>
      </c>
      <c r="AA766" s="126">
        <v>1</v>
      </c>
      <c r="AB766" s="126">
        <v>3</v>
      </c>
      <c r="AC766" s="126">
        <v>6</v>
      </c>
      <c r="AD766" s="126">
        <v>2026</v>
      </c>
    </row>
    <row r="767" spans="3:30">
      <c r="C767" s="126">
        <v>760</v>
      </c>
      <c r="D767" s="126">
        <v>60</v>
      </c>
      <c r="E767" s="126">
        <v>11</v>
      </c>
      <c r="F767" s="126">
        <v>1</v>
      </c>
      <c r="G767" s="126">
        <v>1</v>
      </c>
      <c r="H767" s="126">
        <v>1</v>
      </c>
      <c r="I767" s="126">
        <v>1</v>
      </c>
      <c r="J767" s="126">
        <v>178</v>
      </c>
      <c r="M767" s="126">
        <v>259</v>
      </c>
      <c r="N767" s="126">
        <v>1</v>
      </c>
      <c r="P767" s="126">
        <v>219</v>
      </c>
      <c r="R767" s="126" t="s">
        <v>549</v>
      </c>
      <c r="S767" s="259">
        <v>57</v>
      </c>
      <c r="T767" s="259">
        <v>0</v>
      </c>
      <c r="U767" s="68" t="s">
        <v>1597</v>
      </c>
      <c r="V767" s="126">
        <v>1</v>
      </c>
      <c r="Z767" s="126">
        <v>1</v>
      </c>
      <c r="AA767" s="126">
        <v>1</v>
      </c>
      <c r="AB767" s="126">
        <v>3</v>
      </c>
      <c r="AC767" s="126">
        <v>6</v>
      </c>
      <c r="AD767" s="126">
        <v>2026</v>
      </c>
    </row>
    <row r="768" spans="3:30">
      <c r="C768" s="126">
        <v>761</v>
      </c>
      <c r="D768" s="126">
        <v>60</v>
      </c>
      <c r="E768" s="126">
        <v>10</v>
      </c>
      <c r="F768" s="126">
        <v>1</v>
      </c>
      <c r="G768" s="126">
        <v>1</v>
      </c>
      <c r="H768" s="126">
        <v>1</v>
      </c>
      <c r="I768" s="126">
        <v>1</v>
      </c>
      <c r="J768" s="126">
        <v>178</v>
      </c>
      <c r="P768" s="126">
        <v>219</v>
      </c>
      <c r="R768" s="126" t="s">
        <v>549</v>
      </c>
      <c r="S768" s="259">
        <v>0</v>
      </c>
      <c r="T768" s="259">
        <v>60</v>
      </c>
      <c r="U768" s="68" t="s">
        <v>1598</v>
      </c>
      <c r="V768" s="126">
        <v>1</v>
      </c>
      <c r="Z768" s="126">
        <v>1</v>
      </c>
      <c r="AA768" s="126">
        <v>1</v>
      </c>
      <c r="AB768" s="126">
        <v>3</v>
      </c>
      <c r="AC768" s="126">
        <v>6</v>
      </c>
      <c r="AD768" s="126">
        <v>2026</v>
      </c>
    </row>
    <row r="769" spans="3:30">
      <c r="C769" s="126">
        <v>762</v>
      </c>
      <c r="D769" s="126">
        <v>61</v>
      </c>
      <c r="E769" s="126">
        <v>2</v>
      </c>
      <c r="F769" s="126">
        <v>1</v>
      </c>
      <c r="G769" s="126">
        <v>1</v>
      </c>
      <c r="H769" s="126">
        <v>1</v>
      </c>
      <c r="I769" s="126">
        <v>1</v>
      </c>
      <c r="R769" s="126" t="s">
        <v>549</v>
      </c>
      <c r="S769" s="259">
        <v>64</v>
      </c>
      <c r="T769" s="259">
        <v>0</v>
      </c>
      <c r="U769" s="68" t="s">
        <v>1600</v>
      </c>
      <c r="V769" s="126">
        <v>1</v>
      </c>
      <c r="Z769" s="126">
        <v>1</v>
      </c>
      <c r="AA769" s="126">
        <v>1</v>
      </c>
      <c r="AB769" s="126">
        <v>3</v>
      </c>
      <c r="AC769" s="126">
        <v>6</v>
      </c>
      <c r="AD769" s="126">
        <v>2026</v>
      </c>
    </row>
    <row r="770" spans="3:30">
      <c r="C770" s="126">
        <v>763</v>
      </c>
      <c r="D770" s="126">
        <v>61</v>
      </c>
      <c r="E770" s="126">
        <v>3</v>
      </c>
      <c r="F770" s="126">
        <v>1</v>
      </c>
      <c r="G770" s="126">
        <v>1</v>
      </c>
      <c r="H770" s="126">
        <v>1</v>
      </c>
      <c r="I770" s="126">
        <v>1</v>
      </c>
      <c r="J770" s="126">
        <v>197</v>
      </c>
      <c r="M770" s="126">
        <v>260</v>
      </c>
      <c r="N770" s="126">
        <v>0</v>
      </c>
      <c r="P770" s="126">
        <v>220</v>
      </c>
      <c r="R770" s="126" t="s">
        <v>549</v>
      </c>
      <c r="S770" s="259">
        <v>0</v>
      </c>
      <c r="T770" s="259">
        <v>25.08</v>
      </c>
      <c r="U770" s="68" t="s">
        <v>1601</v>
      </c>
      <c r="V770" s="126">
        <v>1</v>
      </c>
      <c r="Z770" s="126">
        <v>1</v>
      </c>
      <c r="AA770" s="126">
        <v>1</v>
      </c>
      <c r="AB770" s="126">
        <v>3</v>
      </c>
      <c r="AC770" s="126">
        <v>6</v>
      </c>
      <c r="AD770" s="126">
        <v>2026</v>
      </c>
    </row>
    <row r="771" spans="3:30">
      <c r="C771" s="126">
        <v>764</v>
      </c>
      <c r="D771" s="126">
        <v>61</v>
      </c>
      <c r="E771" s="126">
        <v>11</v>
      </c>
      <c r="F771" s="126">
        <v>1</v>
      </c>
      <c r="G771" s="126">
        <v>1</v>
      </c>
      <c r="H771" s="126">
        <v>1</v>
      </c>
      <c r="I771" s="126">
        <v>1</v>
      </c>
      <c r="J771" s="126">
        <v>197</v>
      </c>
      <c r="M771" s="126">
        <v>260</v>
      </c>
      <c r="N771" s="126">
        <v>1</v>
      </c>
      <c r="P771" s="126">
        <v>220</v>
      </c>
      <c r="R771" s="126" t="s">
        <v>549</v>
      </c>
      <c r="S771" s="259">
        <v>25.08</v>
      </c>
      <c r="T771" s="259">
        <v>0</v>
      </c>
      <c r="U771" s="68" t="s">
        <v>1602</v>
      </c>
      <c r="V771" s="126">
        <v>1</v>
      </c>
      <c r="Z771" s="126">
        <v>1</v>
      </c>
      <c r="AA771" s="126">
        <v>1</v>
      </c>
      <c r="AB771" s="126">
        <v>3</v>
      </c>
      <c r="AC771" s="126">
        <v>6</v>
      </c>
      <c r="AD771" s="126">
        <v>2026</v>
      </c>
    </row>
    <row r="772" spans="3:30">
      <c r="C772" s="126">
        <v>765</v>
      </c>
      <c r="D772" s="126">
        <v>61</v>
      </c>
      <c r="E772" s="126">
        <v>10</v>
      </c>
      <c r="F772" s="126">
        <v>1</v>
      </c>
      <c r="G772" s="126">
        <v>1</v>
      </c>
      <c r="H772" s="126">
        <v>1</v>
      </c>
      <c r="I772" s="126">
        <v>1</v>
      </c>
      <c r="J772" s="126">
        <v>197</v>
      </c>
      <c r="P772" s="126">
        <v>220</v>
      </c>
      <c r="R772" s="126" t="s">
        <v>549</v>
      </c>
      <c r="S772" s="259">
        <v>0</v>
      </c>
      <c r="T772" s="259">
        <v>27</v>
      </c>
      <c r="U772" s="68" t="s">
        <v>1603</v>
      </c>
      <c r="V772" s="126">
        <v>1</v>
      </c>
      <c r="Z772" s="126">
        <v>1</v>
      </c>
      <c r="AA772" s="126">
        <v>1</v>
      </c>
      <c r="AB772" s="126">
        <v>3</v>
      </c>
      <c r="AC772" s="126">
        <v>6</v>
      </c>
      <c r="AD772" s="126">
        <v>2026</v>
      </c>
    </row>
    <row r="773" spans="3:30">
      <c r="C773" s="126">
        <v>766</v>
      </c>
      <c r="D773" s="126">
        <v>61</v>
      </c>
      <c r="E773" s="126">
        <v>3</v>
      </c>
      <c r="F773" s="126">
        <v>1</v>
      </c>
      <c r="G773" s="126">
        <v>1</v>
      </c>
      <c r="H773" s="126">
        <v>1</v>
      </c>
      <c r="I773" s="126">
        <v>1</v>
      </c>
      <c r="J773" s="126">
        <v>189</v>
      </c>
      <c r="M773" s="126">
        <v>261</v>
      </c>
      <c r="N773" s="126">
        <v>0</v>
      </c>
      <c r="P773" s="126">
        <v>221</v>
      </c>
      <c r="R773" s="126" t="s">
        <v>549</v>
      </c>
      <c r="S773" s="259">
        <v>0</v>
      </c>
      <c r="T773" s="259">
        <v>24.54</v>
      </c>
      <c r="U773" s="68" t="s">
        <v>1604</v>
      </c>
      <c r="V773" s="126">
        <v>1</v>
      </c>
      <c r="Z773" s="126">
        <v>1</v>
      </c>
      <c r="AA773" s="126">
        <v>1</v>
      </c>
      <c r="AB773" s="126">
        <v>3</v>
      </c>
      <c r="AC773" s="126">
        <v>6</v>
      </c>
      <c r="AD773" s="126">
        <v>2026</v>
      </c>
    </row>
    <row r="774" spans="3:30">
      <c r="C774" s="126">
        <v>767</v>
      </c>
      <c r="D774" s="126">
        <v>61</v>
      </c>
      <c r="E774" s="126">
        <v>11</v>
      </c>
      <c r="F774" s="126">
        <v>1</v>
      </c>
      <c r="G774" s="126">
        <v>1</v>
      </c>
      <c r="H774" s="126">
        <v>1</v>
      </c>
      <c r="I774" s="126">
        <v>1</v>
      </c>
      <c r="J774" s="126">
        <v>189</v>
      </c>
      <c r="M774" s="126">
        <v>261</v>
      </c>
      <c r="N774" s="126">
        <v>1</v>
      </c>
      <c r="P774" s="126">
        <v>221</v>
      </c>
      <c r="R774" s="126" t="s">
        <v>549</v>
      </c>
      <c r="S774" s="259">
        <v>24.54</v>
      </c>
      <c r="T774" s="259">
        <v>0</v>
      </c>
      <c r="U774" s="68" t="s">
        <v>1605</v>
      </c>
      <c r="V774" s="126">
        <v>1</v>
      </c>
      <c r="Z774" s="126">
        <v>1</v>
      </c>
      <c r="AA774" s="126">
        <v>1</v>
      </c>
      <c r="AB774" s="126">
        <v>3</v>
      </c>
      <c r="AC774" s="126">
        <v>6</v>
      </c>
      <c r="AD774" s="126">
        <v>2026</v>
      </c>
    </row>
    <row r="775" spans="3:30">
      <c r="C775" s="126">
        <v>768</v>
      </c>
      <c r="D775" s="126">
        <v>61</v>
      </c>
      <c r="E775" s="126">
        <v>10</v>
      </c>
      <c r="F775" s="126">
        <v>1</v>
      </c>
      <c r="G775" s="126">
        <v>1</v>
      </c>
      <c r="H775" s="126">
        <v>1</v>
      </c>
      <c r="I775" s="126">
        <v>1</v>
      </c>
      <c r="J775" s="126">
        <v>189</v>
      </c>
      <c r="P775" s="126">
        <v>221</v>
      </c>
      <c r="R775" s="126" t="s">
        <v>549</v>
      </c>
      <c r="S775" s="259">
        <v>0</v>
      </c>
      <c r="T775" s="259">
        <v>27</v>
      </c>
      <c r="U775" s="68" t="s">
        <v>1606</v>
      </c>
      <c r="V775" s="126">
        <v>1</v>
      </c>
      <c r="Z775" s="126">
        <v>1</v>
      </c>
      <c r="AA775" s="126">
        <v>1</v>
      </c>
      <c r="AB775" s="126">
        <v>3</v>
      </c>
      <c r="AC775" s="126">
        <v>6</v>
      </c>
      <c r="AD775" s="126">
        <v>2026</v>
      </c>
    </row>
    <row r="776" spans="3:30">
      <c r="C776" s="126">
        <v>769</v>
      </c>
      <c r="D776" s="126">
        <v>61</v>
      </c>
      <c r="E776" s="126">
        <v>3</v>
      </c>
      <c r="F776" s="126">
        <v>1</v>
      </c>
      <c r="G776" s="126">
        <v>1</v>
      </c>
      <c r="H776" s="126">
        <v>1</v>
      </c>
      <c r="I776" s="126">
        <v>1</v>
      </c>
      <c r="J776" s="126">
        <v>16</v>
      </c>
      <c r="M776" s="126">
        <v>262</v>
      </c>
      <c r="N776" s="126">
        <v>0</v>
      </c>
      <c r="P776" s="126">
        <v>222</v>
      </c>
      <c r="R776" s="126" t="s">
        <v>549</v>
      </c>
      <c r="S776" s="259">
        <v>0</v>
      </c>
      <c r="T776" s="259">
        <v>4.2</v>
      </c>
      <c r="U776" s="68" t="s">
        <v>1607</v>
      </c>
      <c r="V776" s="126">
        <v>1</v>
      </c>
      <c r="Z776" s="126">
        <v>1</v>
      </c>
      <c r="AA776" s="126">
        <v>1</v>
      </c>
      <c r="AB776" s="126">
        <v>3</v>
      </c>
      <c r="AC776" s="126">
        <v>6</v>
      </c>
      <c r="AD776" s="126">
        <v>2026</v>
      </c>
    </row>
    <row r="777" spans="3:30">
      <c r="C777" s="126">
        <v>770</v>
      </c>
      <c r="D777" s="126">
        <v>61</v>
      </c>
      <c r="E777" s="126">
        <v>11</v>
      </c>
      <c r="F777" s="126">
        <v>1</v>
      </c>
      <c r="G777" s="126">
        <v>1</v>
      </c>
      <c r="H777" s="126">
        <v>1</v>
      </c>
      <c r="I777" s="126">
        <v>1</v>
      </c>
      <c r="J777" s="126">
        <v>16</v>
      </c>
      <c r="M777" s="126">
        <v>262</v>
      </c>
      <c r="N777" s="126">
        <v>1</v>
      </c>
      <c r="P777" s="126">
        <v>222</v>
      </c>
      <c r="R777" s="126" t="s">
        <v>549</v>
      </c>
      <c r="S777" s="259">
        <v>4.2</v>
      </c>
      <c r="T777" s="259">
        <v>0</v>
      </c>
      <c r="U777" s="68" t="s">
        <v>1608</v>
      </c>
      <c r="V777" s="126">
        <v>1</v>
      </c>
      <c r="Z777" s="126">
        <v>1</v>
      </c>
      <c r="AA777" s="126">
        <v>1</v>
      </c>
      <c r="AB777" s="126">
        <v>3</v>
      </c>
      <c r="AC777" s="126">
        <v>6</v>
      </c>
      <c r="AD777" s="126">
        <v>2026</v>
      </c>
    </row>
    <row r="778" spans="3:30">
      <c r="C778" s="126">
        <v>771</v>
      </c>
      <c r="D778" s="126">
        <v>61</v>
      </c>
      <c r="E778" s="126">
        <v>10</v>
      </c>
      <c r="F778" s="126">
        <v>1</v>
      </c>
      <c r="G778" s="126">
        <v>1</v>
      </c>
      <c r="H778" s="126">
        <v>1</v>
      </c>
      <c r="I778" s="126">
        <v>1</v>
      </c>
      <c r="J778" s="126">
        <v>16</v>
      </c>
      <c r="P778" s="126">
        <v>222</v>
      </c>
      <c r="R778" s="126" t="s">
        <v>549</v>
      </c>
      <c r="S778" s="259">
        <v>0</v>
      </c>
      <c r="T778" s="259">
        <v>5.5</v>
      </c>
      <c r="U778" s="68" t="s">
        <v>1609</v>
      </c>
      <c r="V778" s="126">
        <v>1</v>
      </c>
      <c r="Z778" s="126">
        <v>1</v>
      </c>
      <c r="AA778" s="126">
        <v>1</v>
      </c>
      <c r="AB778" s="126">
        <v>3</v>
      </c>
      <c r="AC778" s="126">
        <v>6</v>
      </c>
      <c r="AD778" s="126">
        <v>2026</v>
      </c>
    </row>
    <row r="779" spans="3:30">
      <c r="C779" s="126">
        <v>772</v>
      </c>
      <c r="D779" s="126">
        <v>61</v>
      </c>
      <c r="E779" s="126">
        <v>3</v>
      </c>
      <c r="F779" s="126">
        <v>1</v>
      </c>
      <c r="G779" s="126">
        <v>1</v>
      </c>
      <c r="H779" s="126">
        <v>1</v>
      </c>
      <c r="I779" s="126">
        <v>1</v>
      </c>
      <c r="J779" s="126">
        <v>99</v>
      </c>
      <c r="M779" s="126">
        <v>263</v>
      </c>
      <c r="N779" s="126">
        <v>0</v>
      </c>
      <c r="P779" s="126">
        <v>223</v>
      </c>
      <c r="R779" s="126" t="s">
        <v>549</v>
      </c>
      <c r="S779" s="259">
        <v>0</v>
      </c>
      <c r="T779" s="259">
        <v>0.96</v>
      </c>
      <c r="U779" s="68" t="s">
        <v>1610</v>
      </c>
      <c r="V779" s="126">
        <v>1</v>
      </c>
      <c r="Z779" s="126">
        <v>1</v>
      </c>
      <c r="AA779" s="126">
        <v>1</v>
      </c>
      <c r="AB779" s="126">
        <v>3</v>
      </c>
      <c r="AC779" s="126">
        <v>6</v>
      </c>
      <c r="AD779" s="126">
        <v>2026</v>
      </c>
    </row>
    <row r="780" spans="3:30">
      <c r="C780" s="126">
        <v>773</v>
      </c>
      <c r="D780" s="126">
        <v>61</v>
      </c>
      <c r="E780" s="126">
        <v>11</v>
      </c>
      <c r="F780" s="126">
        <v>1</v>
      </c>
      <c r="G780" s="126">
        <v>1</v>
      </c>
      <c r="H780" s="126">
        <v>1</v>
      </c>
      <c r="I780" s="126">
        <v>1</v>
      </c>
      <c r="J780" s="126">
        <v>99</v>
      </c>
      <c r="M780" s="126">
        <v>263</v>
      </c>
      <c r="N780" s="126">
        <v>1</v>
      </c>
      <c r="P780" s="126">
        <v>223</v>
      </c>
      <c r="R780" s="126" t="s">
        <v>549</v>
      </c>
      <c r="S780" s="259">
        <v>0.96</v>
      </c>
      <c r="T780" s="259">
        <v>0</v>
      </c>
      <c r="U780" s="68" t="s">
        <v>1611</v>
      </c>
      <c r="V780" s="126">
        <v>1</v>
      </c>
      <c r="Z780" s="126">
        <v>1</v>
      </c>
      <c r="AA780" s="126">
        <v>1</v>
      </c>
      <c r="AB780" s="126">
        <v>3</v>
      </c>
      <c r="AC780" s="126">
        <v>6</v>
      </c>
      <c r="AD780" s="126">
        <v>2026</v>
      </c>
    </row>
    <row r="781" spans="3:30">
      <c r="C781" s="126">
        <v>774</v>
      </c>
      <c r="D781" s="126">
        <v>61</v>
      </c>
      <c r="E781" s="126">
        <v>10</v>
      </c>
      <c r="F781" s="126">
        <v>1</v>
      </c>
      <c r="G781" s="126">
        <v>1</v>
      </c>
      <c r="H781" s="126">
        <v>1</v>
      </c>
      <c r="I781" s="126">
        <v>1</v>
      </c>
      <c r="J781" s="126">
        <v>99</v>
      </c>
      <c r="P781" s="126">
        <v>223</v>
      </c>
      <c r="R781" s="126" t="s">
        <v>549</v>
      </c>
      <c r="S781" s="259">
        <v>0</v>
      </c>
      <c r="T781" s="259">
        <v>2</v>
      </c>
      <c r="U781" s="68" t="s">
        <v>1612</v>
      </c>
      <c r="V781" s="126">
        <v>1</v>
      </c>
      <c r="Z781" s="126">
        <v>1</v>
      </c>
      <c r="AA781" s="126">
        <v>1</v>
      </c>
      <c r="AB781" s="126">
        <v>3</v>
      </c>
      <c r="AC781" s="126">
        <v>6</v>
      </c>
      <c r="AD781" s="126">
        <v>2026</v>
      </c>
    </row>
    <row r="782" spans="3:30">
      <c r="C782" s="126">
        <v>775</v>
      </c>
      <c r="D782" s="126">
        <v>61</v>
      </c>
      <c r="E782" s="126">
        <v>3</v>
      </c>
      <c r="F782" s="126">
        <v>1</v>
      </c>
      <c r="G782" s="126">
        <v>1</v>
      </c>
      <c r="H782" s="126">
        <v>1</v>
      </c>
      <c r="I782" s="126">
        <v>1</v>
      </c>
      <c r="J782" s="126">
        <v>8</v>
      </c>
      <c r="M782" s="126">
        <v>264</v>
      </c>
      <c r="N782" s="126">
        <v>0</v>
      </c>
      <c r="P782" s="126">
        <v>224</v>
      </c>
      <c r="R782" s="126" t="s">
        <v>549</v>
      </c>
      <c r="S782" s="259">
        <v>0</v>
      </c>
      <c r="T782" s="259">
        <v>1.32</v>
      </c>
      <c r="U782" s="68" t="s">
        <v>1613</v>
      </c>
      <c r="V782" s="126">
        <v>1</v>
      </c>
      <c r="Z782" s="126">
        <v>1</v>
      </c>
      <c r="AA782" s="126">
        <v>1</v>
      </c>
      <c r="AB782" s="126">
        <v>3</v>
      </c>
      <c r="AC782" s="126">
        <v>6</v>
      </c>
      <c r="AD782" s="126">
        <v>2026</v>
      </c>
    </row>
    <row r="783" spans="3:30">
      <c r="C783" s="126">
        <v>776</v>
      </c>
      <c r="D783" s="126">
        <v>61</v>
      </c>
      <c r="E783" s="126">
        <v>11</v>
      </c>
      <c r="F783" s="126">
        <v>1</v>
      </c>
      <c r="G783" s="126">
        <v>1</v>
      </c>
      <c r="H783" s="126">
        <v>1</v>
      </c>
      <c r="I783" s="126">
        <v>1</v>
      </c>
      <c r="J783" s="126">
        <v>8</v>
      </c>
      <c r="M783" s="126">
        <v>264</v>
      </c>
      <c r="N783" s="126">
        <v>1</v>
      </c>
      <c r="P783" s="126">
        <v>224</v>
      </c>
      <c r="R783" s="126" t="s">
        <v>549</v>
      </c>
      <c r="S783" s="259">
        <v>1.32</v>
      </c>
      <c r="T783" s="259">
        <v>0</v>
      </c>
      <c r="U783" s="68" t="s">
        <v>1614</v>
      </c>
      <c r="V783" s="126">
        <v>1</v>
      </c>
      <c r="Z783" s="126">
        <v>1</v>
      </c>
      <c r="AA783" s="126">
        <v>1</v>
      </c>
      <c r="AB783" s="126">
        <v>3</v>
      </c>
      <c r="AC783" s="126">
        <v>6</v>
      </c>
      <c r="AD783" s="126">
        <v>2026</v>
      </c>
    </row>
    <row r="784" spans="3:30">
      <c r="C784" s="126">
        <v>777</v>
      </c>
      <c r="D784" s="126">
        <v>61</v>
      </c>
      <c r="E784" s="126">
        <v>10</v>
      </c>
      <c r="F784" s="126">
        <v>1</v>
      </c>
      <c r="G784" s="126">
        <v>1</v>
      </c>
      <c r="H784" s="126">
        <v>1</v>
      </c>
      <c r="I784" s="126">
        <v>1</v>
      </c>
      <c r="J784" s="126">
        <v>8</v>
      </c>
      <c r="P784" s="126">
        <v>224</v>
      </c>
      <c r="R784" s="126" t="s">
        <v>549</v>
      </c>
      <c r="S784" s="259">
        <v>0</v>
      </c>
      <c r="T784" s="259">
        <v>1.75</v>
      </c>
      <c r="U784" s="68" t="s">
        <v>1615</v>
      </c>
      <c r="V784" s="126">
        <v>1</v>
      </c>
      <c r="Z784" s="126">
        <v>1</v>
      </c>
      <c r="AA784" s="126">
        <v>1</v>
      </c>
      <c r="AB784" s="126">
        <v>3</v>
      </c>
      <c r="AC784" s="126">
        <v>6</v>
      </c>
      <c r="AD784" s="126">
        <v>2026</v>
      </c>
    </row>
    <row r="785" spans="3:30">
      <c r="C785" s="126">
        <v>778</v>
      </c>
      <c r="D785" s="126">
        <v>61</v>
      </c>
      <c r="E785" s="126">
        <v>3</v>
      </c>
      <c r="F785" s="126">
        <v>1</v>
      </c>
      <c r="G785" s="126">
        <v>1</v>
      </c>
      <c r="H785" s="126">
        <v>1</v>
      </c>
      <c r="I785" s="126">
        <v>1</v>
      </c>
      <c r="J785" s="126">
        <v>142</v>
      </c>
      <c r="M785" s="126">
        <v>265</v>
      </c>
      <c r="N785" s="126">
        <v>0</v>
      </c>
      <c r="P785" s="126">
        <v>225</v>
      </c>
      <c r="R785" s="126" t="s">
        <v>549</v>
      </c>
      <c r="S785" s="259">
        <v>0</v>
      </c>
      <c r="T785" s="259">
        <v>0.34</v>
      </c>
      <c r="U785" s="68" t="s">
        <v>1616</v>
      </c>
      <c r="V785" s="126">
        <v>1</v>
      </c>
      <c r="Z785" s="126">
        <v>1</v>
      </c>
      <c r="AA785" s="126">
        <v>1</v>
      </c>
      <c r="AB785" s="126">
        <v>3</v>
      </c>
      <c r="AC785" s="126">
        <v>6</v>
      </c>
      <c r="AD785" s="126">
        <v>2026</v>
      </c>
    </row>
    <row r="786" spans="3:30">
      <c r="C786" s="126">
        <v>779</v>
      </c>
      <c r="D786" s="126">
        <v>61</v>
      </c>
      <c r="E786" s="126">
        <v>11</v>
      </c>
      <c r="F786" s="126">
        <v>1</v>
      </c>
      <c r="G786" s="126">
        <v>1</v>
      </c>
      <c r="H786" s="126">
        <v>1</v>
      </c>
      <c r="I786" s="126">
        <v>1</v>
      </c>
      <c r="J786" s="126">
        <v>142</v>
      </c>
      <c r="M786" s="126">
        <v>265</v>
      </c>
      <c r="N786" s="126">
        <v>1</v>
      </c>
      <c r="P786" s="126">
        <v>225</v>
      </c>
      <c r="R786" s="126" t="s">
        <v>549</v>
      </c>
      <c r="S786" s="259">
        <v>0.34</v>
      </c>
      <c r="T786" s="259">
        <v>0</v>
      </c>
      <c r="U786" s="68" t="s">
        <v>1617</v>
      </c>
      <c r="V786" s="126">
        <v>1</v>
      </c>
      <c r="Z786" s="126">
        <v>1</v>
      </c>
      <c r="AA786" s="126">
        <v>1</v>
      </c>
      <c r="AB786" s="126">
        <v>3</v>
      </c>
      <c r="AC786" s="126">
        <v>6</v>
      </c>
      <c r="AD786" s="126">
        <v>2026</v>
      </c>
    </row>
    <row r="787" spans="3:30">
      <c r="C787" s="126">
        <v>780</v>
      </c>
      <c r="D787" s="126">
        <v>61</v>
      </c>
      <c r="E787" s="126">
        <v>10</v>
      </c>
      <c r="F787" s="126">
        <v>1</v>
      </c>
      <c r="G787" s="126">
        <v>1</v>
      </c>
      <c r="H787" s="126">
        <v>1</v>
      </c>
      <c r="I787" s="126">
        <v>1</v>
      </c>
      <c r="J787" s="126">
        <v>142</v>
      </c>
      <c r="P787" s="126">
        <v>225</v>
      </c>
      <c r="R787" s="126" t="s">
        <v>549</v>
      </c>
      <c r="S787" s="259">
        <v>0</v>
      </c>
      <c r="T787" s="259">
        <v>0.75</v>
      </c>
      <c r="U787" s="68" t="s">
        <v>1618</v>
      </c>
      <c r="V787" s="126">
        <v>1</v>
      </c>
      <c r="Z787" s="126">
        <v>1</v>
      </c>
      <c r="AA787" s="126">
        <v>1</v>
      </c>
      <c r="AB787" s="126">
        <v>3</v>
      </c>
      <c r="AC787" s="126">
        <v>6</v>
      </c>
      <c r="AD787" s="126">
        <v>2026</v>
      </c>
    </row>
    <row r="788" spans="3:30">
      <c r="C788" s="126">
        <v>781</v>
      </c>
      <c r="D788" s="126">
        <v>62</v>
      </c>
      <c r="E788" s="126">
        <v>2</v>
      </c>
      <c r="F788" s="126">
        <v>1</v>
      </c>
      <c r="G788" s="126">
        <v>1</v>
      </c>
      <c r="H788" s="126">
        <v>1</v>
      </c>
      <c r="I788" s="126">
        <v>1</v>
      </c>
      <c r="R788" s="126" t="s">
        <v>549</v>
      </c>
      <c r="S788" s="259">
        <v>45</v>
      </c>
      <c r="T788" s="259">
        <v>0</v>
      </c>
      <c r="U788" s="68" t="s">
        <v>1620</v>
      </c>
      <c r="V788" s="126">
        <v>1</v>
      </c>
      <c r="Z788" s="126">
        <v>1</v>
      </c>
      <c r="AA788" s="126">
        <v>1</v>
      </c>
      <c r="AB788" s="126">
        <v>3</v>
      </c>
      <c r="AC788" s="126">
        <v>6</v>
      </c>
      <c r="AD788" s="126">
        <v>2026</v>
      </c>
    </row>
    <row r="789" spans="3:30">
      <c r="C789" s="126">
        <v>782</v>
      </c>
      <c r="D789" s="126">
        <v>62</v>
      </c>
      <c r="E789" s="126">
        <v>3</v>
      </c>
      <c r="F789" s="126">
        <v>1</v>
      </c>
      <c r="G789" s="126">
        <v>1</v>
      </c>
      <c r="H789" s="126">
        <v>1</v>
      </c>
      <c r="I789" s="126">
        <v>1</v>
      </c>
      <c r="J789" s="126">
        <v>177</v>
      </c>
      <c r="M789" s="126">
        <v>266</v>
      </c>
      <c r="N789" s="126">
        <v>0</v>
      </c>
      <c r="P789" s="126">
        <v>226</v>
      </c>
      <c r="R789" s="126" t="s">
        <v>549</v>
      </c>
      <c r="S789" s="259">
        <v>0</v>
      </c>
      <c r="T789" s="259">
        <v>41.5</v>
      </c>
      <c r="U789" s="68" t="s">
        <v>1621</v>
      </c>
      <c r="V789" s="126">
        <v>1</v>
      </c>
      <c r="Z789" s="126">
        <v>1</v>
      </c>
      <c r="AA789" s="126">
        <v>1</v>
      </c>
      <c r="AB789" s="126">
        <v>3</v>
      </c>
      <c r="AC789" s="126">
        <v>6</v>
      </c>
      <c r="AD789" s="126">
        <v>2026</v>
      </c>
    </row>
    <row r="790" spans="3:30">
      <c r="C790" s="126">
        <v>783</v>
      </c>
      <c r="D790" s="126">
        <v>62</v>
      </c>
      <c r="E790" s="126">
        <v>11</v>
      </c>
      <c r="F790" s="126">
        <v>1</v>
      </c>
      <c r="G790" s="126">
        <v>1</v>
      </c>
      <c r="H790" s="126">
        <v>1</v>
      </c>
      <c r="I790" s="126">
        <v>1</v>
      </c>
      <c r="J790" s="126">
        <v>177</v>
      </c>
      <c r="M790" s="126">
        <v>266</v>
      </c>
      <c r="N790" s="126">
        <v>1</v>
      </c>
      <c r="P790" s="126">
        <v>226</v>
      </c>
      <c r="R790" s="126" t="s">
        <v>549</v>
      </c>
      <c r="S790" s="259">
        <v>41.5</v>
      </c>
      <c r="T790" s="259">
        <v>0</v>
      </c>
      <c r="U790" s="68" t="s">
        <v>1622</v>
      </c>
      <c r="V790" s="126">
        <v>1</v>
      </c>
      <c r="Z790" s="126">
        <v>1</v>
      </c>
      <c r="AA790" s="126">
        <v>1</v>
      </c>
      <c r="AB790" s="126">
        <v>3</v>
      </c>
      <c r="AC790" s="126">
        <v>6</v>
      </c>
      <c r="AD790" s="126">
        <v>2026</v>
      </c>
    </row>
    <row r="791" spans="3:30">
      <c r="C791" s="126">
        <v>784</v>
      </c>
      <c r="D791" s="126">
        <v>62</v>
      </c>
      <c r="E791" s="126">
        <v>10</v>
      </c>
      <c r="F791" s="126">
        <v>1</v>
      </c>
      <c r="G791" s="126">
        <v>1</v>
      </c>
      <c r="H791" s="126">
        <v>1</v>
      </c>
      <c r="I791" s="126">
        <v>1</v>
      </c>
      <c r="J791" s="126">
        <v>177</v>
      </c>
      <c r="P791" s="126">
        <v>226</v>
      </c>
      <c r="R791" s="126" t="s">
        <v>549</v>
      </c>
      <c r="S791" s="259">
        <v>0</v>
      </c>
      <c r="T791" s="259">
        <v>45</v>
      </c>
      <c r="U791" s="68" t="s">
        <v>1623</v>
      </c>
      <c r="V791" s="126">
        <v>1</v>
      </c>
      <c r="Z791" s="126">
        <v>1</v>
      </c>
      <c r="AA791" s="126">
        <v>1</v>
      </c>
      <c r="AB791" s="126">
        <v>3</v>
      </c>
      <c r="AC791" s="126">
        <v>6</v>
      </c>
      <c r="AD791" s="126">
        <v>2026</v>
      </c>
    </row>
    <row r="792" spans="3:30">
      <c r="C792" s="126">
        <v>785</v>
      </c>
      <c r="D792" s="126">
        <v>63</v>
      </c>
      <c r="E792" s="126">
        <v>2</v>
      </c>
      <c r="F792" s="126">
        <v>1</v>
      </c>
      <c r="G792" s="126">
        <v>1</v>
      </c>
      <c r="H792" s="126">
        <v>1</v>
      </c>
      <c r="I792" s="126">
        <v>1</v>
      </c>
      <c r="R792" s="126" t="s">
        <v>549</v>
      </c>
      <c r="S792" s="259">
        <v>50.8</v>
      </c>
      <c r="T792" s="259">
        <v>0</v>
      </c>
      <c r="U792" s="68" t="s">
        <v>1626</v>
      </c>
      <c r="V792" s="126">
        <v>1</v>
      </c>
      <c r="Z792" s="126">
        <v>1</v>
      </c>
      <c r="AA792" s="126">
        <v>1</v>
      </c>
      <c r="AB792" s="126">
        <v>3</v>
      </c>
      <c r="AC792" s="126">
        <v>6</v>
      </c>
      <c r="AD792" s="126">
        <v>2026</v>
      </c>
    </row>
    <row r="793" spans="3:30">
      <c r="C793" s="126">
        <v>786</v>
      </c>
      <c r="D793" s="126">
        <v>63</v>
      </c>
      <c r="E793" s="126">
        <v>3</v>
      </c>
      <c r="F793" s="126">
        <v>1</v>
      </c>
      <c r="G793" s="126">
        <v>1</v>
      </c>
      <c r="H793" s="126">
        <v>1</v>
      </c>
      <c r="I793" s="126">
        <v>1</v>
      </c>
      <c r="J793" s="126">
        <v>187</v>
      </c>
      <c r="M793" s="126">
        <v>267</v>
      </c>
      <c r="N793" s="126">
        <v>0</v>
      </c>
      <c r="P793" s="126">
        <v>227</v>
      </c>
      <c r="R793" s="126" t="s">
        <v>549</v>
      </c>
      <c r="S793" s="259">
        <v>0</v>
      </c>
      <c r="T793" s="259">
        <v>26.96</v>
      </c>
      <c r="U793" s="68" t="s">
        <v>1627</v>
      </c>
      <c r="V793" s="126">
        <v>1</v>
      </c>
      <c r="Z793" s="126">
        <v>1</v>
      </c>
      <c r="AA793" s="126">
        <v>1</v>
      </c>
      <c r="AB793" s="126">
        <v>3</v>
      </c>
      <c r="AC793" s="126">
        <v>6</v>
      </c>
      <c r="AD793" s="126">
        <v>2026</v>
      </c>
    </row>
    <row r="794" spans="3:30">
      <c r="C794" s="126">
        <v>787</v>
      </c>
      <c r="D794" s="126">
        <v>63</v>
      </c>
      <c r="E794" s="126">
        <v>11</v>
      </c>
      <c r="F794" s="126">
        <v>1</v>
      </c>
      <c r="G794" s="126">
        <v>1</v>
      </c>
      <c r="H794" s="126">
        <v>1</v>
      </c>
      <c r="I794" s="126">
        <v>1</v>
      </c>
      <c r="J794" s="126">
        <v>187</v>
      </c>
      <c r="M794" s="126">
        <v>267</v>
      </c>
      <c r="N794" s="126">
        <v>1</v>
      </c>
      <c r="P794" s="126">
        <v>227</v>
      </c>
      <c r="R794" s="126" t="s">
        <v>549</v>
      </c>
      <c r="S794" s="259">
        <v>26.96</v>
      </c>
      <c r="T794" s="259">
        <v>0</v>
      </c>
      <c r="U794" s="68" t="s">
        <v>1628</v>
      </c>
      <c r="V794" s="126">
        <v>1</v>
      </c>
      <c r="Z794" s="126">
        <v>1</v>
      </c>
      <c r="AA794" s="126">
        <v>1</v>
      </c>
      <c r="AB794" s="126">
        <v>3</v>
      </c>
      <c r="AC794" s="126">
        <v>6</v>
      </c>
      <c r="AD794" s="126">
        <v>2026</v>
      </c>
    </row>
    <row r="795" spans="3:30">
      <c r="C795" s="126">
        <v>788</v>
      </c>
      <c r="D795" s="126">
        <v>63</v>
      </c>
      <c r="E795" s="126">
        <v>10</v>
      </c>
      <c r="F795" s="126">
        <v>1</v>
      </c>
      <c r="G795" s="126">
        <v>1</v>
      </c>
      <c r="H795" s="126">
        <v>1</v>
      </c>
      <c r="I795" s="126">
        <v>1</v>
      </c>
      <c r="J795" s="126">
        <v>187</v>
      </c>
      <c r="P795" s="126">
        <v>227</v>
      </c>
      <c r="R795" s="126" t="s">
        <v>549</v>
      </c>
      <c r="S795" s="259">
        <v>0</v>
      </c>
      <c r="T795" s="259">
        <v>28</v>
      </c>
      <c r="U795" s="68" t="s">
        <v>1629</v>
      </c>
      <c r="V795" s="126">
        <v>1</v>
      </c>
      <c r="Z795" s="126">
        <v>1</v>
      </c>
      <c r="AA795" s="126">
        <v>1</v>
      </c>
      <c r="AB795" s="126">
        <v>3</v>
      </c>
      <c r="AC795" s="126">
        <v>6</v>
      </c>
      <c r="AD795" s="126">
        <v>2026</v>
      </c>
    </row>
    <row r="796" spans="3:30">
      <c r="C796" s="126">
        <v>789</v>
      </c>
      <c r="D796" s="126">
        <v>63</v>
      </c>
      <c r="E796" s="126">
        <v>3</v>
      </c>
      <c r="F796" s="126">
        <v>1</v>
      </c>
      <c r="G796" s="126">
        <v>1</v>
      </c>
      <c r="H796" s="126">
        <v>1</v>
      </c>
      <c r="I796" s="126">
        <v>1</v>
      </c>
      <c r="J796" s="126">
        <v>191</v>
      </c>
      <c r="M796" s="126">
        <v>268</v>
      </c>
      <c r="N796" s="126">
        <v>0</v>
      </c>
      <c r="P796" s="126">
        <v>228</v>
      </c>
      <c r="R796" s="126" t="s">
        <v>549</v>
      </c>
      <c r="S796" s="259">
        <v>0</v>
      </c>
      <c r="T796" s="259">
        <v>19.68</v>
      </c>
      <c r="U796" s="68" t="s">
        <v>1630</v>
      </c>
      <c r="V796" s="126">
        <v>1</v>
      </c>
      <c r="Z796" s="126">
        <v>1</v>
      </c>
      <c r="AA796" s="126">
        <v>1</v>
      </c>
      <c r="AB796" s="126">
        <v>3</v>
      </c>
      <c r="AC796" s="126">
        <v>6</v>
      </c>
      <c r="AD796" s="126">
        <v>2026</v>
      </c>
    </row>
    <row r="797" spans="3:30">
      <c r="C797" s="126">
        <v>790</v>
      </c>
      <c r="D797" s="126">
        <v>63</v>
      </c>
      <c r="E797" s="126">
        <v>11</v>
      </c>
      <c r="F797" s="126">
        <v>1</v>
      </c>
      <c r="G797" s="126">
        <v>1</v>
      </c>
      <c r="H797" s="126">
        <v>1</v>
      </c>
      <c r="I797" s="126">
        <v>1</v>
      </c>
      <c r="J797" s="126">
        <v>191</v>
      </c>
      <c r="M797" s="126">
        <v>268</v>
      </c>
      <c r="N797" s="126">
        <v>1</v>
      </c>
      <c r="P797" s="126">
        <v>228</v>
      </c>
      <c r="R797" s="126" t="s">
        <v>549</v>
      </c>
      <c r="S797" s="259">
        <v>19.68</v>
      </c>
      <c r="T797" s="259">
        <v>0</v>
      </c>
      <c r="U797" s="68" t="s">
        <v>1631</v>
      </c>
      <c r="V797" s="126">
        <v>1</v>
      </c>
      <c r="Z797" s="126">
        <v>1</v>
      </c>
      <c r="AA797" s="126">
        <v>1</v>
      </c>
      <c r="AB797" s="126">
        <v>3</v>
      </c>
      <c r="AC797" s="126">
        <v>6</v>
      </c>
      <c r="AD797" s="126">
        <v>2026</v>
      </c>
    </row>
    <row r="798" spans="3:30">
      <c r="C798" s="126">
        <v>791</v>
      </c>
      <c r="D798" s="126">
        <v>63</v>
      </c>
      <c r="E798" s="126">
        <v>10</v>
      </c>
      <c r="F798" s="126">
        <v>1</v>
      </c>
      <c r="G798" s="126">
        <v>1</v>
      </c>
      <c r="H798" s="126">
        <v>1</v>
      </c>
      <c r="I798" s="126">
        <v>1</v>
      </c>
      <c r="J798" s="126">
        <v>191</v>
      </c>
      <c r="P798" s="126">
        <v>228</v>
      </c>
      <c r="R798" s="126" t="s">
        <v>549</v>
      </c>
      <c r="S798" s="259">
        <v>0</v>
      </c>
      <c r="T798" s="259">
        <v>22.8</v>
      </c>
      <c r="U798" s="68" t="s">
        <v>1632</v>
      </c>
      <c r="V798" s="126">
        <v>1</v>
      </c>
      <c r="Z798" s="126">
        <v>1</v>
      </c>
      <c r="AA798" s="126">
        <v>1</v>
      </c>
      <c r="AB798" s="126">
        <v>3</v>
      </c>
      <c r="AC798" s="126">
        <v>6</v>
      </c>
      <c r="AD798" s="126">
        <v>2026</v>
      </c>
    </row>
    <row r="799" spans="3:30">
      <c r="C799" s="126">
        <v>792</v>
      </c>
      <c r="D799" s="126">
        <v>64</v>
      </c>
      <c r="E799" s="126">
        <v>2</v>
      </c>
      <c r="F799" s="126">
        <v>1</v>
      </c>
      <c r="G799" s="126">
        <v>1</v>
      </c>
      <c r="H799" s="126">
        <v>1</v>
      </c>
      <c r="I799" s="126">
        <v>1</v>
      </c>
      <c r="R799" s="126" t="s">
        <v>549</v>
      </c>
      <c r="S799" s="259">
        <v>39</v>
      </c>
      <c r="T799" s="259">
        <v>0</v>
      </c>
      <c r="U799" s="68" t="s">
        <v>1634</v>
      </c>
      <c r="V799" s="126">
        <v>1</v>
      </c>
      <c r="Z799" s="126">
        <v>1</v>
      </c>
      <c r="AA799" s="126">
        <v>1</v>
      </c>
      <c r="AB799" s="126">
        <v>3</v>
      </c>
      <c r="AC799" s="126">
        <v>6</v>
      </c>
      <c r="AD799" s="126">
        <v>2026</v>
      </c>
    </row>
    <row r="800" spans="3:30">
      <c r="C800" s="126">
        <v>793</v>
      </c>
      <c r="D800" s="126">
        <v>64</v>
      </c>
      <c r="E800" s="126">
        <v>3</v>
      </c>
      <c r="F800" s="126">
        <v>1</v>
      </c>
      <c r="G800" s="126">
        <v>1</v>
      </c>
      <c r="H800" s="126">
        <v>1</v>
      </c>
      <c r="I800" s="126">
        <v>1</v>
      </c>
      <c r="J800" s="126">
        <v>189</v>
      </c>
      <c r="M800" s="126">
        <v>269</v>
      </c>
      <c r="N800" s="126">
        <v>0</v>
      </c>
      <c r="P800" s="126">
        <v>229</v>
      </c>
      <c r="R800" s="126" t="s">
        <v>549</v>
      </c>
      <c r="S800" s="259">
        <v>0</v>
      </c>
      <c r="T800" s="259">
        <v>20.45</v>
      </c>
      <c r="U800" s="68" t="s">
        <v>1635</v>
      </c>
      <c r="V800" s="126">
        <v>1</v>
      </c>
      <c r="Z800" s="126">
        <v>1</v>
      </c>
      <c r="AA800" s="126">
        <v>1</v>
      </c>
      <c r="AB800" s="126">
        <v>3</v>
      </c>
      <c r="AC800" s="126">
        <v>6</v>
      </c>
      <c r="AD800" s="126">
        <v>2026</v>
      </c>
    </row>
    <row r="801" spans="3:30">
      <c r="C801" s="126">
        <v>794</v>
      </c>
      <c r="D801" s="126">
        <v>64</v>
      </c>
      <c r="E801" s="126">
        <v>11</v>
      </c>
      <c r="F801" s="126">
        <v>1</v>
      </c>
      <c r="G801" s="126">
        <v>1</v>
      </c>
      <c r="H801" s="126">
        <v>1</v>
      </c>
      <c r="I801" s="126">
        <v>1</v>
      </c>
      <c r="J801" s="126">
        <v>189</v>
      </c>
      <c r="M801" s="126">
        <v>269</v>
      </c>
      <c r="N801" s="126">
        <v>1</v>
      </c>
      <c r="P801" s="126">
        <v>229</v>
      </c>
      <c r="R801" s="126" t="s">
        <v>549</v>
      </c>
      <c r="S801" s="259">
        <v>20.45</v>
      </c>
      <c r="T801" s="259">
        <v>0</v>
      </c>
      <c r="U801" s="68" t="s">
        <v>1636</v>
      </c>
      <c r="V801" s="126">
        <v>1</v>
      </c>
      <c r="Z801" s="126">
        <v>1</v>
      </c>
      <c r="AA801" s="126">
        <v>1</v>
      </c>
      <c r="AB801" s="126">
        <v>3</v>
      </c>
      <c r="AC801" s="126">
        <v>6</v>
      </c>
      <c r="AD801" s="126">
        <v>2026</v>
      </c>
    </row>
    <row r="802" spans="3:30">
      <c r="C802" s="126">
        <v>795</v>
      </c>
      <c r="D802" s="126">
        <v>64</v>
      </c>
      <c r="E802" s="126">
        <v>10</v>
      </c>
      <c r="F802" s="126">
        <v>1</v>
      </c>
      <c r="G802" s="126">
        <v>1</v>
      </c>
      <c r="H802" s="126">
        <v>1</v>
      </c>
      <c r="I802" s="126">
        <v>1</v>
      </c>
      <c r="J802" s="126">
        <v>189</v>
      </c>
      <c r="P802" s="126">
        <v>229</v>
      </c>
      <c r="R802" s="126" t="s">
        <v>549</v>
      </c>
      <c r="S802" s="259">
        <v>0</v>
      </c>
      <c r="T802" s="259">
        <v>22.5</v>
      </c>
      <c r="U802" s="68" t="s">
        <v>1637</v>
      </c>
      <c r="V802" s="126">
        <v>1</v>
      </c>
      <c r="Z802" s="126">
        <v>1</v>
      </c>
      <c r="AA802" s="126">
        <v>1</v>
      </c>
      <c r="AB802" s="126">
        <v>3</v>
      </c>
      <c r="AC802" s="126">
        <v>6</v>
      </c>
      <c r="AD802" s="126">
        <v>2026</v>
      </c>
    </row>
    <row r="803" spans="3:30">
      <c r="C803" s="126">
        <v>796</v>
      </c>
      <c r="D803" s="126">
        <v>64</v>
      </c>
      <c r="E803" s="126">
        <v>3</v>
      </c>
      <c r="F803" s="126">
        <v>1</v>
      </c>
      <c r="G803" s="126">
        <v>1</v>
      </c>
      <c r="H803" s="126">
        <v>1</v>
      </c>
      <c r="I803" s="126">
        <v>1</v>
      </c>
      <c r="J803" s="126">
        <v>197</v>
      </c>
      <c r="M803" s="126">
        <v>270</v>
      </c>
      <c r="N803" s="126">
        <v>0</v>
      </c>
      <c r="P803" s="126">
        <v>230</v>
      </c>
      <c r="R803" s="126" t="s">
        <v>549</v>
      </c>
      <c r="S803" s="259">
        <v>0</v>
      </c>
      <c r="T803" s="259">
        <v>16.72</v>
      </c>
      <c r="U803" s="68" t="s">
        <v>1638</v>
      </c>
      <c r="V803" s="126">
        <v>1</v>
      </c>
      <c r="Z803" s="126">
        <v>1</v>
      </c>
      <c r="AA803" s="126">
        <v>1</v>
      </c>
      <c r="AB803" s="126">
        <v>3</v>
      </c>
      <c r="AC803" s="126">
        <v>6</v>
      </c>
      <c r="AD803" s="126">
        <v>2026</v>
      </c>
    </row>
    <row r="804" spans="3:30">
      <c r="C804" s="126">
        <v>797</v>
      </c>
      <c r="D804" s="126">
        <v>64</v>
      </c>
      <c r="E804" s="126">
        <v>11</v>
      </c>
      <c r="F804" s="126">
        <v>1</v>
      </c>
      <c r="G804" s="126">
        <v>1</v>
      </c>
      <c r="H804" s="126">
        <v>1</v>
      </c>
      <c r="I804" s="126">
        <v>1</v>
      </c>
      <c r="J804" s="126">
        <v>197</v>
      </c>
      <c r="M804" s="126">
        <v>270</v>
      </c>
      <c r="N804" s="126">
        <v>1</v>
      </c>
      <c r="P804" s="126">
        <v>230</v>
      </c>
      <c r="R804" s="126" t="s">
        <v>549</v>
      </c>
      <c r="S804" s="259">
        <v>16.72</v>
      </c>
      <c r="T804" s="259">
        <v>0</v>
      </c>
      <c r="U804" s="68" t="s">
        <v>1639</v>
      </c>
      <c r="V804" s="126">
        <v>1</v>
      </c>
      <c r="Z804" s="126">
        <v>1</v>
      </c>
      <c r="AA804" s="126">
        <v>1</v>
      </c>
      <c r="AB804" s="126">
        <v>3</v>
      </c>
      <c r="AC804" s="126">
        <v>6</v>
      </c>
      <c r="AD804" s="126">
        <v>2026</v>
      </c>
    </row>
    <row r="805" spans="3:30">
      <c r="C805" s="126">
        <v>798</v>
      </c>
      <c r="D805" s="126">
        <v>64</v>
      </c>
      <c r="E805" s="126">
        <v>10</v>
      </c>
      <c r="F805" s="126">
        <v>1</v>
      </c>
      <c r="G805" s="126">
        <v>1</v>
      </c>
      <c r="H805" s="126">
        <v>1</v>
      </c>
      <c r="I805" s="126">
        <v>1</v>
      </c>
      <c r="J805" s="126">
        <v>197</v>
      </c>
      <c r="P805" s="126">
        <v>230</v>
      </c>
      <c r="R805" s="126" t="s">
        <v>549</v>
      </c>
      <c r="S805" s="259">
        <v>0</v>
      </c>
      <c r="T805" s="259">
        <v>16.5</v>
      </c>
      <c r="U805" s="68" t="s">
        <v>1640</v>
      </c>
      <c r="V805" s="126">
        <v>1</v>
      </c>
      <c r="Z805" s="126">
        <v>1</v>
      </c>
      <c r="AA805" s="126">
        <v>1</v>
      </c>
      <c r="AB805" s="126">
        <v>3</v>
      </c>
      <c r="AC805" s="126">
        <v>6</v>
      </c>
      <c r="AD805" s="126">
        <v>2026</v>
      </c>
    </row>
    <row r="806" spans="3:30">
      <c r="C806" s="126">
        <v>799</v>
      </c>
      <c r="D806" s="126">
        <v>65</v>
      </c>
      <c r="E806" s="126">
        <v>2</v>
      </c>
      <c r="F806" s="126">
        <v>1</v>
      </c>
      <c r="G806" s="126">
        <v>1</v>
      </c>
      <c r="H806" s="126">
        <v>1</v>
      </c>
      <c r="I806" s="126">
        <v>1</v>
      </c>
      <c r="R806" s="126" t="s">
        <v>549</v>
      </c>
      <c r="S806" s="259">
        <v>51.5</v>
      </c>
      <c r="T806" s="259">
        <v>0</v>
      </c>
      <c r="U806" s="68" t="s">
        <v>1642</v>
      </c>
      <c r="V806" s="126">
        <v>1</v>
      </c>
      <c r="Z806" s="126">
        <v>1</v>
      </c>
      <c r="AA806" s="126">
        <v>1</v>
      </c>
      <c r="AB806" s="126">
        <v>3</v>
      </c>
      <c r="AC806" s="126">
        <v>6</v>
      </c>
      <c r="AD806" s="126">
        <v>2026</v>
      </c>
    </row>
    <row r="807" spans="3:30">
      <c r="C807" s="126">
        <v>800</v>
      </c>
      <c r="D807" s="126">
        <v>65</v>
      </c>
      <c r="E807" s="126">
        <v>3</v>
      </c>
      <c r="F807" s="126">
        <v>1</v>
      </c>
      <c r="G807" s="126">
        <v>1</v>
      </c>
      <c r="H807" s="126">
        <v>1</v>
      </c>
      <c r="I807" s="126">
        <v>1</v>
      </c>
      <c r="J807" s="126">
        <v>160</v>
      </c>
      <c r="M807" s="126">
        <v>271</v>
      </c>
      <c r="N807" s="126">
        <v>0</v>
      </c>
      <c r="P807" s="126">
        <v>231</v>
      </c>
      <c r="R807" s="126" t="s">
        <v>549</v>
      </c>
      <c r="S807" s="259">
        <v>0</v>
      </c>
      <c r="T807" s="259">
        <v>47</v>
      </c>
      <c r="U807" s="68" t="s">
        <v>1644</v>
      </c>
      <c r="V807" s="126">
        <v>1</v>
      </c>
      <c r="Z807" s="126">
        <v>1</v>
      </c>
      <c r="AA807" s="126">
        <v>1</v>
      </c>
      <c r="AB807" s="126">
        <v>3</v>
      </c>
      <c r="AC807" s="126">
        <v>6</v>
      </c>
      <c r="AD807" s="126">
        <v>2026</v>
      </c>
    </row>
    <row r="808" spans="3:30">
      <c r="C808" s="126">
        <v>801</v>
      </c>
      <c r="D808" s="126">
        <v>65</v>
      </c>
      <c r="E808" s="126">
        <v>11</v>
      </c>
      <c r="F808" s="126">
        <v>1</v>
      </c>
      <c r="G808" s="126">
        <v>1</v>
      </c>
      <c r="H808" s="126">
        <v>1</v>
      </c>
      <c r="I808" s="126">
        <v>1</v>
      </c>
      <c r="J808" s="126">
        <v>160</v>
      </c>
      <c r="M808" s="126">
        <v>271</v>
      </c>
      <c r="N808" s="126">
        <v>1</v>
      </c>
      <c r="P808" s="126">
        <v>231</v>
      </c>
      <c r="R808" s="126" t="s">
        <v>549</v>
      </c>
      <c r="S808" s="259">
        <v>47</v>
      </c>
      <c r="T808" s="259">
        <v>0</v>
      </c>
      <c r="U808" s="68" t="s">
        <v>1645</v>
      </c>
      <c r="V808" s="126">
        <v>1</v>
      </c>
      <c r="Z808" s="126">
        <v>1</v>
      </c>
      <c r="AA808" s="126">
        <v>1</v>
      </c>
      <c r="AB808" s="126">
        <v>3</v>
      </c>
      <c r="AC808" s="126">
        <v>6</v>
      </c>
      <c r="AD808" s="126">
        <v>2026</v>
      </c>
    </row>
    <row r="809" spans="3:30">
      <c r="C809" s="126">
        <v>802</v>
      </c>
      <c r="D809" s="126">
        <v>65</v>
      </c>
      <c r="E809" s="126">
        <v>10</v>
      </c>
      <c r="F809" s="126">
        <v>1</v>
      </c>
      <c r="G809" s="126">
        <v>1</v>
      </c>
      <c r="H809" s="126">
        <v>1</v>
      </c>
      <c r="I809" s="126">
        <v>1</v>
      </c>
      <c r="J809" s="126">
        <v>160</v>
      </c>
      <c r="P809" s="126">
        <v>231</v>
      </c>
      <c r="R809" s="126" t="s">
        <v>549</v>
      </c>
      <c r="S809" s="259">
        <v>0</v>
      </c>
      <c r="T809" s="259">
        <v>50</v>
      </c>
      <c r="U809" s="68" t="s">
        <v>1646</v>
      </c>
      <c r="V809" s="126">
        <v>1</v>
      </c>
      <c r="Z809" s="126">
        <v>1</v>
      </c>
      <c r="AA809" s="126">
        <v>1</v>
      </c>
      <c r="AB809" s="126">
        <v>3</v>
      </c>
      <c r="AC809" s="126">
        <v>6</v>
      </c>
      <c r="AD809" s="126">
        <v>2026</v>
      </c>
    </row>
    <row r="810" spans="3:30">
      <c r="C810" s="126">
        <v>803</v>
      </c>
      <c r="D810" s="126">
        <v>65</v>
      </c>
      <c r="E810" s="126">
        <v>3</v>
      </c>
      <c r="F810" s="126">
        <v>1</v>
      </c>
      <c r="G810" s="126">
        <v>1</v>
      </c>
      <c r="H810" s="126">
        <v>1</v>
      </c>
      <c r="I810" s="126">
        <v>1</v>
      </c>
      <c r="J810" s="126">
        <v>170</v>
      </c>
      <c r="M810" s="126">
        <v>272</v>
      </c>
      <c r="N810" s="126">
        <v>0</v>
      </c>
      <c r="P810" s="126">
        <v>232</v>
      </c>
      <c r="R810" s="126" t="s">
        <v>549</v>
      </c>
      <c r="S810" s="259">
        <v>0</v>
      </c>
      <c r="T810" s="259">
        <v>4</v>
      </c>
      <c r="U810" s="68" t="s">
        <v>1649</v>
      </c>
      <c r="V810" s="126">
        <v>1</v>
      </c>
      <c r="Z810" s="126">
        <v>1</v>
      </c>
      <c r="AA810" s="126">
        <v>1</v>
      </c>
      <c r="AB810" s="126">
        <v>3</v>
      </c>
      <c r="AC810" s="126">
        <v>6</v>
      </c>
      <c r="AD810" s="126">
        <v>2026</v>
      </c>
    </row>
    <row r="811" spans="3:30">
      <c r="C811" s="126">
        <v>804</v>
      </c>
      <c r="D811" s="126">
        <v>65</v>
      </c>
      <c r="E811" s="126">
        <v>11</v>
      </c>
      <c r="F811" s="126">
        <v>1</v>
      </c>
      <c r="G811" s="126">
        <v>1</v>
      </c>
      <c r="H811" s="126">
        <v>1</v>
      </c>
      <c r="I811" s="126">
        <v>1</v>
      </c>
      <c r="J811" s="126">
        <v>170</v>
      </c>
      <c r="M811" s="126">
        <v>272</v>
      </c>
      <c r="N811" s="126">
        <v>1</v>
      </c>
      <c r="P811" s="126">
        <v>232</v>
      </c>
      <c r="R811" s="126" t="s">
        <v>549</v>
      </c>
      <c r="S811" s="259">
        <v>4</v>
      </c>
      <c r="T811" s="259">
        <v>0</v>
      </c>
      <c r="U811" s="68" t="s">
        <v>1650</v>
      </c>
      <c r="V811" s="126">
        <v>1</v>
      </c>
      <c r="Z811" s="126">
        <v>1</v>
      </c>
      <c r="AA811" s="126">
        <v>1</v>
      </c>
      <c r="AB811" s="126">
        <v>3</v>
      </c>
      <c r="AC811" s="126">
        <v>6</v>
      </c>
      <c r="AD811" s="126">
        <v>2026</v>
      </c>
    </row>
    <row r="812" spans="3:30">
      <c r="C812" s="126">
        <v>805</v>
      </c>
      <c r="D812" s="126">
        <v>65</v>
      </c>
      <c r="E812" s="126">
        <v>10</v>
      </c>
      <c r="F812" s="126">
        <v>1</v>
      </c>
      <c r="G812" s="126">
        <v>1</v>
      </c>
      <c r="H812" s="126">
        <v>1</v>
      </c>
      <c r="I812" s="126">
        <v>1</v>
      </c>
      <c r="J812" s="126">
        <v>170</v>
      </c>
      <c r="P812" s="126">
        <v>232</v>
      </c>
      <c r="R812" s="126" t="s">
        <v>549</v>
      </c>
      <c r="S812" s="259">
        <v>0</v>
      </c>
      <c r="T812" s="259">
        <v>1.5</v>
      </c>
      <c r="U812" s="68" t="s">
        <v>1651</v>
      </c>
      <c r="V812" s="126">
        <v>1</v>
      </c>
      <c r="Z812" s="126">
        <v>1</v>
      </c>
      <c r="AA812" s="126">
        <v>1</v>
      </c>
      <c r="AB812" s="126">
        <v>3</v>
      </c>
      <c r="AC812" s="126">
        <v>6</v>
      </c>
      <c r="AD812" s="126">
        <v>2026</v>
      </c>
    </row>
    <row r="813" spans="3:30">
      <c r="C813" s="126">
        <v>806</v>
      </c>
      <c r="D813" s="126">
        <v>66</v>
      </c>
      <c r="E813" s="126">
        <v>2</v>
      </c>
      <c r="F813" s="126">
        <v>1</v>
      </c>
      <c r="G813" s="126">
        <v>1</v>
      </c>
      <c r="H813" s="126">
        <v>1</v>
      </c>
      <c r="I813" s="126">
        <v>1</v>
      </c>
      <c r="R813" s="126" t="s">
        <v>549</v>
      </c>
      <c r="S813" s="259">
        <v>71.25</v>
      </c>
      <c r="T813" s="259">
        <v>0</v>
      </c>
      <c r="U813" s="68" t="s">
        <v>1654</v>
      </c>
      <c r="V813" s="126">
        <v>1</v>
      </c>
      <c r="Z813" s="126">
        <v>1</v>
      </c>
      <c r="AA813" s="126">
        <v>1</v>
      </c>
      <c r="AB813" s="126">
        <v>4</v>
      </c>
      <c r="AC813" s="126">
        <v>6</v>
      </c>
      <c r="AD813" s="126">
        <v>2026</v>
      </c>
    </row>
    <row r="814" spans="3:30">
      <c r="C814" s="126">
        <v>807</v>
      </c>
      <c r="D814" s="126">
        <v>66</v>
      </c>
      <c r="E814" s="126">
        <v>3</v>
      </c>
      <c r="F814" s="126">
        <v>1</v>
      </c>
      <c r="G814" s="126">
        <v>1</v>
      </c>
      <c r="H814" s="126">
        <v>1</v>
      </c>
      <c r="I814" s="126">
        <v>1</v>
      </c>
      <c r="J814" s="126">
        <v>176</v>
      </c>
      <c r="M814" s="126">
        <v>273</v>
      </c>
      <c r="N814" s="126">
        <v>0</v>
      </c>
      <c r="P814" s="126">
        <v>233</v>
      </c>
      <c r="R814" s="126" t="s">
        <v>549</v>
      </c>
      <c r="S814" s="259">
        <v>0</v>
      </c>
      <c r="T814" s="259">
        <v>42.5</v>
      </c>
      <c r="U814" s="68" t="s">
        <v>1655</v>
      </c>
      <c r="V814" s="126">
        <v>1</v>
      </c>
      <c r="Z814" s="126">
        <v>1</v>
      </c>
      <c r="AA814" s="126">
        <v>1</v>
      </c>
      <c r="AB814" s="126">
        <v>4</v>
      </c>
      <c r="AC814" s="126">
        <v>6</v>
      </c>
      <c r="AD814" s="126">
        <v>2026</v>
      </c>
    </row>
    <row r="815" spans="3:30">
      <c r="C815" s="126">
        <v>808</v>
      </c>
      <c r="D815" s="126">
        <v>66</v>
      </c>
      <c r="E815" s="126">
        <v>11</v>
      </c>
      <c r="F815" s="126">
        <v>1</v>
      </c>
      <c r="G815" s="126">
        <v>1</v>
      </c>
      <c r="H815" s="126">
        <v>1</v>
      </c>
      <c r="I815" s="126">
        <v>1</v>
      </c>
      <c r="J815" s="126">
        <v>176</v>
      </c>
      <c r="M815" s="126">
        <v>273</v>
      </c>
      <c r="N815" s="126">
        <v>1</v>
      </c>
      <c r="P815" s="126">
        <v>233</v>
      </c>
      <c r="R815" s="126" t="s">
        <v>549</v>
      </c>
      <c r="S815" s="259">
        <v>42.5</v>
      </c>
      <c r="T815" s="259">
        <v>0</v>
      </c>
      <c r="U815" s="68" t="s">
        <v>1656</v>
      </c>
      <c r="V815" s="126">
        <v>1</v>
      </c>
      <c r="Z815" s="126">
        <v>1</v>
      </c>
      <c r="AA815" s="126">
        <v>1</v>
      </c>
      <c r="AB815" s="126">
        <v>4</v>
      </c>
      <c r="AC815" s="126">
        <v>6</v>
      </c>
      <c r="AD815" s="126">
        <v>2026</v>
      </c>
    </row>
    <row r="816" spans="3:30">
      <c r="C816" s="126">
        <v>809</v>
      </c>
      <c r="D816" s="126">
        <v>66</v>
      </c>
      <c r="E816" s="126">
        <v>10</v>
      </c>
      <c r="F816" s="126">
        <v>1</v>
      </c>
      <c r="G816" s="126">
        <v>1</v>
      </c>
      <c r="H816" s="126">
        <v>1</v>
      </c>
      <c r="I816" s="126">
        <v>1</v>
      </c>
      <c r="J816" s="126">
        <v>176</v>
      </c>
      <c r="P816" s="126">
        <v>233</v>
      </c>
      <c r="R816" s="126" t="s">
        <v>549</v>
      </c>
      <c r="S816" s="259">
        <v>0</v>
      </c>
      <c r="T816" s="259">
        <v>47.5</v>
      </c>
      <c r="U816" s="68" t="s">
        <v>1657</v>
      </c>
      <c r="V816" s="126">
        <v>1</v>
      </c>
      <c r="Z816" s="126">
        <v>1</v>
      </c>
      <c r="AA816" s="126">
        <v>1</v>
      </c>
      <c r="AB816" s="126">
        <v>4</v>
      </c>
      <c r="AC816" s="126">
        <v>6</v>
      </c>
      <c r="AD816" s="126">
        <v>2026</v>
      </c>
    </row>
    <row r="817" spans="3:30">
      <c r="C817" s="126">
        <v>810</v>
      </c>
      <c r="D817" s="126">
        <v>66</v>
      </c>
      <c r="E817" s="126">
        <v>3</v>
      </c>
      <c r="F817" s="126">
        <v>1</v>
      </c>
      <c r="G817" s="126">
        <v>1</v>
      </c>
      <c r="H817" s="126">
        <v>1</v>
      </c>
      <c r="I817" s="126">
        <v>1</v>
      </c>
      <c r="J817" s="126">
        <v>177</v>
      </c>
      <c r="M817" s="126">
        <v>274</v>
      </c>
      <c r="N817" s="126">
        <v>0</v>
      </c>
      <c r="P817" s="126">
        <v>234</v>
      </c>
      <c r="R817" s="126" t="s">
        <v>549</v>
      </c>
      <c r="S817" s="259">
        <v>0</v>
      </c>
      <c r="T817" s="259">
        <v>20.75</v>
      </c>
      <c r="U817" s="68" t="s">
        <v>1658</v>
      </c>
      <c r="V817" s="126">
        <v>1</v>
      </c>
      <c r="Z817" s="126">
        <v>1</v>
      </c>
      <c r="AA817" s="126">
        <v>1</v>
      </c>
      <c r="AB817" s="126">
        <v>4</v>
      </c>
      <c r="AC817" s="126">
        <v>6</v>
      </c>
      <c r="AD817" s="126">
        <v>2026</v>
      </c>
    </row>
    <row r="818" spans="3:30">
      <c r="C818" s="126">
        <v>811</v>
      </c>
      <c r="D818" s="126">
        <v>66</v>
      </c>
      <c r="E818" s="126">
        <v>11</v>
      </c>
      <c r="F818" s="126">
        <v>1</v>
      </c>
      <c r="G818" s="126">
        <v>1</v>
      </c>
      <c r="H818" s="126">
        <v>1</v>
      </c>
      <c r="I818" s="126">
        <v>1</v>
      </c>
      <c r="J818" s="126">
        <v>177</v>
      </c>
      <c r="M818" s="126">
        <v>274</v>
      </c>
      <c r="N818" s="126">
        <v>1</v>
      </c>
      <c r="P818" s="126">
        <v>234</v>
      </c>
      <c r="R818" s="126" t="s">
        <v>549</v>
      </c>
      <c r="S818" s="259">
        <v>20.75</v>
      </c>
      <c r="T818" s="259">
        <v>0</v>
      </c>
      <c r="U818" s="68" t="s">
        <v>1659</v>
      </c>
      <c r="V818" s="126">
        <v>1</v>
      </c>
      <c r="Z818" s="126">
        <v>1</v>
      </c>
      <c r="AA818" s="126">
        <v>1</v>
      </c>
      <c r="AB818" s="126">
        <v>4</v>
      </c>
      <c r="AC818" s="126">
        <v>6</v>
      </c>
      <c r="AD818" s="126">
        <v>2026</v>
      </c>
    </row>
    <row r="819" spans="3:30">
      <c r="C819" s="126">
        <v>812</v>
      </c>
      <c r="D819" s="126">
        <v>66</v>
      </c>
      <c r="E819" s="126">
        <v>10</v>
      </c>
      <c r="F819" s="126">
        <v>1</v>
      </c>
      <c r="G819" s="126">
        <v>1</v>
      </c>
      <c r="H819" s="126">
        <v>1</v>
      </c>
      <c r="I819" s="126">
        <v>1</v>
      </c>
      <c r="J819" s="126">
        <v>177</v>
      </c>
      <c r="P819" s="126">
        <v>234</v>
      </c>
      <c r="R819" s="126" t="s">
        <v>549</v>
      </c>
      <c r="S819" s="259">
        <v>0</v>
      </c>
      <c r="T819" s="259">
        <v>23.75</v>
      </c>
      <c r="U819" s="68" t="s">
        <v>1660</v>
      </c>
      <c r="V819" s="126">
        <v>1</v>
      </c>
      <c r="Z819" s="126">
        <v>1</v>
      </c>
      <c r="AA819" s="126">
        <v>1</v>
      </c>
      <c r="AB819" s="126">
        <v>4</v>
      </c>
      <c r="AC819" s="126">
        <v>6</v>
      </c>
      <c r="AD819" s="126">
        <v>2026</v>
      </c>
    </row>
    <row r="820" spans="3:30">
      <c r="C820" s="126">
        <v>813</v>
      </c>
      <c r="D820" s="126">
        <v>67</v>
      </c>
      <c r="E820" s="126">
        <v>2</v>
      </c>
      <c r="F820" s="126">
        <v>1</v>
      </c>
      <c r="G820" s="126">
        <v>1</v>
      </c>
      <c r="H820" s="126">
        <v>1</v>
      </c>
      <c r="I820" s="126">
        <v>1</v>
      </c>
      <c r="R820" s="126" t="s">
        <v>549</v>
      </c>
      <c r="S820" s="259">
        <v>35.25</v>
      </c>
      <c r="T820" s="259">
        <v>0</v>
      </c>
      <c r="U820" s="68" t="s">
        <v>1662</v>
      </c>
      <c r="V820" s="126">
        <v>1</v>
      </c>
      <c r="Z820" s="126">
        <v>1</v>
      </c>
      <c r="AA820" s="126">
        <v>1</v>
      </c>
      <c r="AB820" s="126">
        <v>4</v>
      </c>
      <c r="AC820" s="126">
        <v>6</v>
      </c>
      <c r="AD820" s="126">
        <v>2026</v>
      </c>
    </row>
    <row r="821" spans="3:30">
      <c r="C821" s="126">
        <v>814</v>
      </c>
      <c r="D821" s="126">
        <v>67</v>
      </c>
      <c r="E821" s="126">
        <v>3</v>
      </c>
      <c r="F821" s="126">
        <v>1</v>
      </c>
      <c r="G821" s="126">
        <v>1</v>
      </c>
      <c r="H821" s="126">
        <v>1</v>
      </c>
      <c r="I821" s="126">
        <v>1</v>
      </c>
      <c r="J821" s="126">
        <v>195</v>
      </c>
      <c r="M821" s="126">
        <v>275</v>
      </c>
      <c r="N821" s="126">
        <v>0</v>
      </c>
      <c r="P821" s="126">
        <v>235</v>
      </c>
      <c r="R821" s="126" t="s">
        <v>549</v>
      </c>
      <c r="S821" s="259">
        <v>0</v>
      </c>
      <c r="T821" s="259">
        <v>18.84</v>
      </c>
      <c r="U821" s="68" t="s">
        <v>1663</v>
      </c>
      <c r="V821" s="126">
        <v>1</v>
      </c>
      <c r="Z821" s="126">
        <v>1</v>
      </c>
      <c r="AA821" s="126">
        <v>1</v>
      </c>
      <c r="AB821" s="126">
        <v>4</v>
      </c>
      <c r="AC821" s="126">
        <v>6</v>
      </c>
      <c r="AD821" s="126">
        <v>2026</v>
      </c>
    </row>
    <row r="822" spans="3:30">
      <c r="C822" s="126">
        <v>815</v>
      </c>
      <c r="D822" s="126">
        <v>67</v>
      </c>
      <c r="E822" s="126">
        <v>11</v>
      </c>
      <c r="F822" s="126">
        <v>1</v>
      </c>
      <c r="G822" s="126">
        <v>1</v>
      </c>
      <c r="H822" s="126">
        <v>1</v>
      </c>
      <c r="I822" s="126">
        <v>1</v>
      </c>
      <c r="J822" s="126">
        <v>195</v>
      </c>
      <c r="M822" s="126">
        <v>275</v>
      </c>
      <c r="N822" s="126">
        <v>1</v>
      </c>
      <c r="P822" s="126">
        <v>235</v>
      </c>
      <c r="R822" s="126" t="s">
        <v>549</v>
      </c>
      <c r="S822" s="259">
        <v>18.84</v>
      </c>
      <c r="T822" s="259">
        <v>0</v>
      </c>
      <c r="U822" s="68" t="s">
        <v>1664</v>
      </c>
      <c r="V822" s="126">
        <v>1</v>
      </c>
      <c r="Z822" s="126">
        <v>1</v>
      </c>
      <c r="AA822" s="126">
        <v>1</v>
      </c>
      <c r="AB822" s="126">
        <v>4</v>
      </c>
      <c r="AC822" s="126">
        <v>6</v>
      </c>
      <c r="AD822" s="126">
        <v>2026</v>
      </c>
    </row>
    <row r="823" spans="3:30">
      <c r="C823" s="126">
        <v>816</v>
      </c>
      <c r="D823" s="126">
        <v>67</v>
      </c>
      <c r="E823" s="126">
        <v>10</v>
      </c>
      <c r="F823" s="126">
        <v>1</v>
      </c>
      <c r="G823" s="126">
        <v>1</v>
      </c>
      <c r="H823" s="126">
        <v>1</v>
      </c>
      <c r="I823" s="126">
        <v>1</v>
      </c>
      <c r="J823" s="126">
        <v>195</v>
      </c>
      <c r="P823" s="126">
        <v>235</v>
      </c>
      <c r="R823" s="126" t="s">
        <v>549</v>
      </c>
      <c r="S823" s="259">
        <v>0</v>
      </c>
      <c r="T823" s="259">
        <v>21</v>
      </c>
      <c r="U823" s="68" t="s">
        <v>1665</v>
      </c>
      <c r="V823" s="126">
        <v>1</v>
      </c>
      <c r="Z823" s="126">
        <v>1</v>
      </c>
      <c r="AA823" s="126">
        <v>1</v>
      </c>
      <c r="AB823" s="126">
        <v>4</v>
      </c>
      <c r="AC823" s="126">
        <v>6</v>
      </c>
      <c r="AD823" s="126">
        <v>2026</v>
      </c>
    </row>
    <row r="824" spans="3:30">
      <c r="C824" s="126">
        <v>817</v>
      </c>
      <c r="D824" s="126">
        <v>67</v>
      </c>
      <c r="E824" s="126">
        <v>3</v>
      </c>
      <c r="F824" s="126">
        <v>1</v>
      </c>
      <c r="G824" s="126">
        <v>1</v>
      </c>
      <c r="H824" s="126">
        <v>1</v>
      </c>
      <c r="I824" s="126">
        <v>1</v>
      </c>
      <c r="J824" s="126">
        <v>177</v>
      </c>
      <c r="M824" s="126">
        <v>276</v>
      </c>
      <c r="N824" s="126">
        <v>0</v>
      </c>
      <c r="P824" s="126">
        <v>236</v>
      </c>
      <c r="R824" s="126" t="s">
        <v>549</v>
      </c>
      <c r="S824" s="259">
        <v>0</v>
      </c>
      <c r="T824" s="259">
        <v>12.450000000000001</v>
      </c>
      <c r="U824" s="68" t="s">
        <v>1666</v>
      </c>
      <c r="V824" s="126">
        <v>1</v>
      </c>
      <c r="Z824" s="126">
        <v>1</v>
      </c>
      <c r="AA824" s="126">
        <v>1</v>
      </c>
      <c r="AB824" s="126">
        <v>4</v>
      </c>
      <c r="AC824" s="126">
        <v>6</v>
      </c>
      <c r="AD824" s="126">
        <v>2026</v>
      </c>
    </row>
    <row r="825" spans="3:30">
      <c r="C825" s="126">
        <v>818</v>
      </c>
      <c r="D825" s="126">
        <v>67</v>
      </c>
      <c r="E825" s="126">
        <v>11</v>
      </c>
      <c r="F825" s="126">
        <v>1</v>
      </c>
      <c r="G825" s="126">
        <v>1</v>
      </c>
      <c r="H825" s="126">
        <v>1</v>
      </c>
      <c r="I825" s="126">
        <v>1</v>
      </c>
      <c r="J825" s="126">
        <v>177</v>
      </c>
      <c r="M825" s="126">
        <v>276</v>
      </c>
      <c r="N825" s="126">
        <v>1</v>
      </c>
      <c r="P825" s="126">
        <v>236</v>
      </c>
      <c r="R825" s="126" t="s">
        <v>549</v>
      </c>
      <c r="S825" s="259">
        <v>12.450000000000001</v>
      </c>
      <c r="T825" s="259">
        <v>0</v>
      </c>
      <c r="U825" s="68" t="s">
        <v>1667</v>
      </c>
      <c r="V825" s="126">
        <v>1</v>
      </c>
      <c r="Z825" s="126">
        <v>1</v>
      </c>
      <c r="AA825" s="126">
        <v>1</v>
      </c>
      <c r="AB825" s="126">
        <v>4</v>
      </c>
      <c r="AC825" s="126">
        <v>6</v>
      </c>
      <c r="AD825" s="126">
        <v>2026</v>
      </c>
    </row>
    <row r="826" spans="3:30">
      <c r="C826" s="126">
        <v>819</v>
      </c>
      <c r="D826" s="126">
        <v>67</v>
      </c>
      <c r="E826" s="126">
        <v>10</v>
      </c>
      <c r="F826" s="126">
        <v>1</v>
      </c>
      <c r="G826" s="126">
        <v>1</v>
      </c>
      <c r="H826" s="126">
        <v>1</v>
      </c>
      <c r="I826" s="126">
        <v>1</v>
      </c>
      <c r="J826" s="126">
        <v>177</v>
      </c>
      <c r="P826" s="126">
        <v>236</v>
      </c>
      <c r="R826" s="126" t="s">
        <v>549</v>
      </c>
      <c r="S826" s="259">
        <v>0</v>
      </c>
      <c r="T826" s="259">
        <v>14.25</v>
      </c>
      <c r="U826" s="68" t="s">
        <v>1668</v>
      </c>
      <c r="V826" s="126">
        <v>1</v>
      </c>
      <c r="Z826" s="126">
        <v>1</v>
      </c>
      <c r="AA826" s="126">
        <v>1</v>
      </c>
      <c r="AB826" s="126">
        <v>4</v>
      </c>
      <c r="AC826" s="126">
        <v>6</v>
      </c>
      <c r="AD826" s="126">
        <v>2026</v>
      </c>
    </row>
    <row r="827" spans="3:30">
      <c r="C827" s="126">
        <v>820</v>
      </c>
      <c r="D827" s="126">
        <v>68</v>
      </c>
      <c r="E827" s="126">
        <v>2</v>
      </c>
      <c r="F827" s="126">
        <v>1</v>
      </c>
      <c r="G827" s="126">
        <v>1</v>
      </c>
      <c r="H827" s="126">
        <v>1</v>
      </c>
      <c r="I827" s="126">
        <v>1</v>
      </c>
      <c r="R827" s="126" t="s">
        <v>549</v>
      </c>
      <c r="S827" s="259">
        <v>51.25</v>
      </c>
      <c r="T827" s="259">
        <v>0</v>
      </c>
      <c r="U827" s="68" t="s">
        <v>1670</v>
      </c>
      <c r="V827" s="126">
        <v>1</v>
      </c>
      <c r="Z827" s="126">
        <v>1</v>
      </c>
      <c r="AA827" s="126">
        <v>1</v>
      </c>
      <c r="AB827" s="126">
        <v>4</v>
      </c>
      <c r="AC827" s="126">
        <v>6</v>
      </c>
      <c r="AD827" s="126">
        <v>2026</v>
      </c>
    </row>
    <row r="828" spans="3:30">
      <c r="C828" s="126">
        <v>821</v>
      </c>
      <c r="D828" s="126">
        <v>68</v>
      </c>
      <c r="E828" s="126">
        <v>3</v>
      </c>
      <c r="F828" s="126">
        <v>1</v>
      </c>
      <c r="G828" s="126">
        <v>1</v>
      </c>
      <c r="H828" s="126">
        <v>1</v>
      </c>
      <c r="I828" s="126">
        <v>1</v>
      </c>
      <c r="J828" s="126">
        <v>177</v>
      </c>
      <c r="M828" s="126">
        <v>277</v>
      </c>
      <c r="N828" s="126">
        <v>0</v>
      </c>
      <c r="P828" s="126">
        <v>237</v>
      </c>
      <c r="R828" s="126" t="s">
        <v>549</v>
      </c>
      <c r="S828" s="259">
        <v>0</v>
      </c>
      <c r="T828" s="259">
        <v>20.75</v>
      </c>
      <c r="U828" s="68" t="s">
        <v>1671</v>
      </c>
      <c r="V828" s="126">
        <v>1</v>
      </c>
      <c r="Z828" s="126">
        <v>1</v>
      </c>
      <c r="AA828" s="126">
        <v>1</v>
      </c>
      <c r="AB828" s="126">
        <v>4</v>
      </c>
      <c r="AC828" s="126">
        <v>6</v>
      </c>
      <c r="AD828" s="126">
        <v>2026</v>
      </c>
    </row>
    <row r="829" spans="3:30">
      <c r="C829" s="126">
        <v>822</v>
      </c>
      <c r="D829" s="126">
        <v>68</v>
      </c>
      <c r="E829" s="126">
        <v>11</v>
      </c>
      <c r="F829" s="126">
        <v>1</v>
      </c>
      <c r="G829" s="126">
        <v>1</v>
      </c>
      <c r="H829" s="126">
        <v>1</v>
      </c>
      <c r="I829" s="126">
        <v>1</v>
      </c>
      <c r="J829" s="126">
        <v>177</v>
      </c>
      <c r="M829" s="126">
        <v>277</v>
      </c>
      <c r="N829" s="126">
        <v>1</v>
      </c>
      <c r="P829" s="126">
        <v>237</v>
      </c>
      <c r="R829" s="126" t="s">
        <v>549</v>
      </c>
      <c r="S829" s="259">
        <v>20.75</v>
      </c>
      <c r="T829" s="259">
        <v>0</v>
      </c>
      <c r="U829" s="68" t="s">
        <v>1672</v>
      </c>
      <c r="V829" s="126">
        <v>1</v>
      </c>
      <c r="Z829" s="126">
        <v>1</v>
      </c>
      <c r="AA829" s="126">
        <v>1</v>
      </c>
      <c r="AB829" s="126">
        <v>4</v>
      </c>
      <c r="AC829" s="126">
        <v>6</v>
      </c>
      <c r="AD829" s="126">
        <v>2026</v>
      </c>
    </row>
    <row r="830" spans="3:30">
      <c r="C830" s="126">
        <v>823</v>
      </c>
      <c r="D830" s="126">
        <v>68</v>
      </c>
      <c r="E830" s="126">
        <v>10</v>
      </c>
      <c r="F830" s="126">
        <v>1</v>
      </c>
      <c r="G830" s="126">
        <v>1</v>
      </c>
      <c r="H830" s="126">
        <v>1</v>
      </c>
      <c r="I830" s="126">
        <v>1</v>
      </c>
      <c r="J830" s="126">
        <v>177</v>
      </c>
      <c r="P830" s="126">
        <v>237</v>
      </c>
      <c r="R830" s="126" t="s">
        <v>549</v>
      </c>
      <c r="S830" s="259">
        <v>0</v>
      </c>
      <c r="T830" s="259">
        <v>23.75</v>
      </c>
      <c r="U830" s="68" t="s">
        <v>1673</v>
      </c>
      <c r="V830" s="126">
        <v>1</v>
      </c>
      <c r="Z830" s="126">
        <v>1</v>
      </c>
      <c r="AA830" s="126">
        <v>1</v>
      </c>
      <c r="AB830" s="126">
        <v>4</v>
      </c>
      <c r="AC830" s="126">
        <v>6</v>
      </c>
      <c r="AD830" s="126">
        <v>2026</v>
      </c>
    </row>
    <row r="831" spans="3:30">
      <c r="C831" s="126">
        <v>824</v>
      </c>
      <c r="D831" s="126">
        <v>68</v>
      </c>
      <c r="E831" s="126">
        <v>3</v>
      </c>
      <c r="F831" s="126">
        <v>1</v>
      </c>
      <c r="G831" s="126">
        <v>1</v>
      </c>
      <c r="H831" s="126">
        <v>1</v>
      </c>
      <c r="I831" s="126">
        <v>1</v>
      </c>
      <c r="J831" s="126">
        <v>14</v>
      </c>
      <c r="M831" s="126">
        <v>278</v>
      </c>
      <c r="N831" s="126">
        <v>0</v>
      </c>
      <c r="P831" s="126">
        <v>238</v>
      </c>
      <c r="R831" s="126" t="s">
        <v>549</v>
      </c>
      <c r="S831" s="259">
        <v>0</v>
      </c>
      <c r="T831" s="259">
        <v>6.6</v>
      </c>
      <c r="U831" s="68" t="s">
        <v>1674</v>
      </c>
      <c r="V831" s="126">
        <v>1</v>
      </c>
      <c r="Z831" s="126">
        <v>1</v>
      </c>
      <c r="AA831" s="126">
        <v>1</v>
      </c>
      <c r="AB831" s="126">
        <v>4</v>
      </c>
      <c r="AC831" s="126">
        <v>6</v>
      </c>
      <c r="AD831" s="126">
        <v>2026</v>
      </c>
    </row>
    <row r="832" spans="3:30">
      <c r="C832" s="126">
        <v>825</v>
      </c>
      <c r="D832" s="126">
        <v>68</v>
      </c>
      <c r="E832" s="126">
        <v>11</v>
      </c>
      <c r="F832" s="126">
        <v>1</v>
      </c>
      <c r="G832" s="126">
        <v>1</v>
      </c>
      <c r="H832" s="126">
        <v>1</v>
      </c>
      <c r="I832" s="126">
        <v>1</v>
      </c>
      <c r="J832" s="126">
        <v>14</v>
      </c>
      <c r="M832" s="126">
        <v>278</v>
      </c>
      <c r="N832" s="126">
        <v>1</v>
      </c>
      <c r="P832" s="126">
        <v>238</v>
      </c>
      <c r="R832" s="126" t="s">
        <v>549</v>
      </c>
      <c r="S832" s="259">
        <v>6.6</v>
      </c>
      <c r="T832" s="259">
        <v>0</v>
      </c>
      <c r="U832" s="68" t="s">
        <v>1675</v>
      </c>
      <c r="V832" s="126">
        <v>1</v>
      </c>
      <c r="Z832" s="126">
        <v>1</v>
      </c>
      <c r="AA832" s="126">
        <v>1</v>
      </c>
      <c r="AB832" s="126">
        <v>4</v>
      </c>
      <c r="AC832" s="126">
        <v>6</v>
      </c>
      <c r="AD832" s="126">
        <v>2026</v>
      </c>
    </row>
    <row r="833" spans="3:30">
      <c r="C833" s="126">
        <v>826</v>
      </c>
      <c r="D833" s="126">
        <v>68</v>
      </c>
      <c r="E833" s="126">
        <v>10</v>
      </c>
      <c r="F833" s="126">
        <v>1</v>
      </c>
      <c r="G833" s="126">
        <v>1</v>
      </c>
      <c r="H833" s="126">
        <v>1</v>
      </c>
      <c r="I833" s="126">
        <v>1</v>
      </c>
      <c r="J833" s="126">
        <v>14</v>
      </c>
      <c r="P833" s="126">
        <v>238</v>
      </c>
      <c r="R833" s="126" t="s">
        <v>549</v>
      </c>
      <c r="S833" s="259">
        <v>0</v>
      </c>
      <c r="T833" s="259">
        <v>7.5</v>
      </c>
      <c r="U833" s="68" t="s">
        <v>1676</v>
      </c>
      <c r="V833" s="126">
        <v>1</v>
      </c>
      <c r="Z833" s="126">
        <v>1</v>
      </c>
      <c r="AA833" s="126">
        <v>1</v>
      </c>
      <c r="AB833" s="126">
        <v>4</v>
      </c>
      <c r="AC833" s="126">
        <v>6</v>
      </c>
      <c r="AD833" s="126">
        <v>2026</v>
      </c>
    </row>
    <row r="834" spans="3:30">
      <c r="C834" s="126">
        <v>827</v>
      </c>
      <c r="D834" s="126">
        <v>68</v>
      </c>
      <c r="E834" s="126">
        <v>3</v>
      </c>
      <c r="F834" s="126">
        <v>1</v>
      </c>
      <c r="G834" s="126">
        <v>1</v>
      </c>
      <c r="H834" s="126">
        <v>1</v>
      </c>
      <c r="I834" s="126">
        <v>1</v>
      </c>
      <c r="J834" s="126">
        <v>102</v>
      </c>
      <c r="M834" s="126">
        <v>279</v>
      </c>
      <c r="N834" s="126">
        <v>0</v>
      </c>
      <c r="P834" s="126">
        <v>239</v>
      </c>
      <c r="R834" s="126" t="s">
        <v>549</v>
      </c>
      <c r="S834" s="259">
        <v>0</v>
      </c>
      <c r="T834" s="259">
        <v>9</v>
      </c>
      <c r="U834" s="68" t="s">
        <v>1677</v>
      </c>
      <c r="V834" s="126">
        <v>1</v>
      </c>
      <c r="Z834" s="126">
        <v>1</v>
      </c>
      <c r="AA834" s="126">
        <v>1</v>
      </c>
      <c r="AB834" s="126">
        <v>4</v>
      </c>
      <c r="AC834" s="126">
        <v>6</v>
      </c>
      <c r="AD834" s="126">
        <v>2026</v>
      </c>
    </row>
    <row r="835" spans="3:30">
      <c r="C835" s="126">
        <v>828</v>
      </c>
      <c r="D835" s="126">
        <v>68</v>
      </c>
      <c r="E835" s="126">
        <v>11</v>
      </c>
      <c r="F835" s="126">
        <v>1</v>
      </c>
      <c r="G835" s="126">
        <v>1</v>
      </c>
      <c r="H835" s="126">
        <v>1</v>
      </c>
      <c r="I835" s="126">
        <v>1</v>
      </c>
      <c r="J835" s="126">
        <v>102</v>
      </c>
      <c r="M835" s="126">
        <v>279</v>
      </c>
      <c r="N835" s="126">
        <v>1</v>
      </c>
      <c r="P835" s="126">
        <v>239</v>
      </c>
      <c r="R835" s="126" t="s">
        <v>549</v>
      </c>
      <c r="S835" s="259">
        <v>9</v>
      </c>
      <c r="T835" s="259">
        <v>0</v>
      </c>
      <c r="U835" s="68" t="s">
        <v>1678</v>
      </c>
      <c r="V835" s="126">
        <v>1</v>
      </c>
      <c r="Z835" s="126">
        <v>1</v>
      </c>
      <c r="AA835" s="126">
        <v>1</v>
      </c>
      <c r="AB835" s="126">
        <v>4</v>
      </c>
      <c r="AC835" s="126">
        <v>6</v>
      </c>
      <c r="AD835" s="126">
        <v>2026</v>
      </c>
    </row>
    <row r="836" spans="3:30">
      <c r="C836" s="126">
        <v>829</v>
      </c>
      <c r="D836" s="126">
        <v>68</v>
      </c>
      <c r="E836" s="126">
        <v>10</v>
      </c>
      <c r="F836" s="126">
        <v>1</v>
      </c>
      <c r="G836" s="126">
        <v>1</v>
      </c>
      <c r="H836" s="126">
        <v>1</v>
      </c>
      <c r="I836" s="126">
        <v>1</v>
      </c>
      <c r="J836" s="126">
        <v>102</v>
      </c>
      <c r="P836" s="126">
        <v>239</v>
      </c>
      <c r="R836" s="126" t="s">
        <v>549</v>
      </c>
      <c r="S836" s="259">
        <v>0</v>
      </c>
      <c r="T836" s="259">
        <v>10</v>
      </c>
      <c r="U836" s="68" t="s">
        <v>1679</v>
      </c>
      <c r="V836" s="126">
        <v>1</v>
      </c>
      <c r="Z836" s="126">
        <v>1</v>
      </c>
      <c r="AA836" s="126">
        <v>1</v>
      </c>
      <c r="AB836" s="126">
        <v>4</v>
      </c>
      <c r="AC836" s="126">
        <v>6</v>
      </c>
      <c r="AD836" s="126">
        <v>2026</v>
      </c>
    </row>
    <row r="837" spans="3:30">
      <c r="C837" s="126">
        <v>830</v>
      </c>
      <c r="D837" s="126">
        <v>68</v>
      </c>
      <c r="E837" s="126">
        <v>3</v>
      </c>
      <c r="F837" s="126">
        <v>1</v>
      </c>
      <c r="G837" s="126">
        <v>1</v>
      </c>
      <c r="H837" s="126">
        <v>1</v>
      </c>
      <c r="I837" s="126">
        <v>1</v>
      </c>
      <c r="J837" s="126">
        <v>18</v>
      </c>
      <c r="M837" s="126">
        <v>280</v>
      </c>
      <c r="N837" s="126">
        <v>0</v>
      </c>
      <c r="P837" s="126">
        <v>240</v>
      </c>
      <c r="R837" s="126" t="s">
        <v>549</v>
      </c>
      <c r="S837" s="259">
        <v>0</v>
      </c>
      <c r="T837" s="259">
        <v>6.75</v>
      </c>
      <c r="U837" s="68" t="s">
        <v>1680</v>
      </c>
      <c r="V837" s="126">
        <v>1</v>
      </c>
      <c r="Z837" s="126">
        <v>1</v>
      </c>
      <c r="AA837" s="126">
        <v>1</v>
      </c>
      <c r="AB837" s="126">
        <v>4</v>
      </c>
      <c r="AC837" s="126">
        <v>6</v>
      </c>
      <c r="AD837" s="126">
        <v>2026</v>
      </c>
    </row>
    <row r="838" spans="3:30">
      <c r="C838" s="126">
        <v>831</v>
      </c>
      <c r="D838" s="126">
        <v>68</v>
      </c>
      <c r="E838" s="126">
        <v>11</v>
      </c>
      <c r="F838" s="126">
        <v>1</v>
      </c>
      <c r="G838" s="126">
        <v>1</v>
      </c>
      <c r="H838" s="126">
        <v>1</v>
      </c>
      <c r="I838" s="126">
        <v>1</v>
      </c>
      <c r="J838" s="126">
        <v>18</v>
      </c>
      <c r="M838" s="126">
        <v>280</v>
      </c>
      <c r="N838" s="126">
        <v>1</v>
      </c>
      <c r="P838" s="126">
        <v>240</v>
      </c>
      <c r="R838" s="126" t="s">
        <v>549</v>
      </c>
      <c r="S838" s="259">
        <v>6.75</v>
      </c>
      <c r="T838" s="259">
        <v>0</v>
      </c>
      <c r="U838" s="68" t="s">
        <v>1681</v>
      </c>
      <c r="V838" s="126">
        <v>1</v>
      </c>
      <c r="Z838" s="126">
        <v>1</v>
      </c>
      <c r="AA838" s="126">
        <v>1</v>
      </c>
      <c r="AB838" s="126">
        <v>4</v>
      </c>
      <c r="AC838" s="126">
        <v>6</v>
      </c>
      <c r="AD838" s="126">
        <v>2026</v>
      </c>
    </row>
    <row r="839" spans="3:30">
      <c r="C839" s="126">
        <v>832</v>
      </c>
      <c r="D839" s="126">
        <v>68</v>
      </c>
      <c r="E839" s="126">
        <v>10</v>
      </c>
      <c r="F839" s="126">
        <v>1</v>
      </c>
      <c r="G839" s="126">
        <v>1</v>
      </c>
      <c r="H839" s="126">
        <v>1</v>
      </c>
      <c r="I839" s="126">
        <v>1</v>
      </c>
      <c r="J839" s="126">
        <v>18</v>
      </c>
      <c r="P839" s="126">
        <v>240</v>
      </c>
      <c r="R839" s="126" t="s">
        <v>549</v>
      </c>
      <c r="S839" s="259">
        <v>0</v>
      </c>
      <c r="T839" s="259">
        <v>10</v>
      </c>
      <c r="U839" s="68" t="s">
        <v>1682</v>
      </c>
      <c r="V839" s="126">
        <v>1</v>
      </c>
      <c r="Z839" s="126">
        <v>1</v>
      </c>
      <c r="AA839" s="126">
        <v>1</v>
      </c>
      <c r="AB839" s="126">
        <v>4</v>
      </c>
      <c r="AC839" s="126">
        <v>6</v>
      </c>
      <c r="AD839" s="126">
        <v>2026</v>
      </c>
    </row>
    <row r="840" spans="3:30">
      <c r="C840" s="126">
        <v>833</v>
      </c>
      <c r="D840" s="126">
        <v>69</v>
      </c>
      <c r="E840" s="126">
        <v>2</v>
      </c>
      <c r="F840" s="126">
        <v>1</v>
      </c>
      <c r="G840" s="126">
        <v>1</v>
      </c>
      <c r="H840" s="126">
        <v>1</v>
      </c>
      <c r="I840" s="126">
        <v>1</v>
      </c>
      <c r="R840" s="126" t="s">
        <v>549</v>
      </c>
      <c r="S840" s="259">
        <v>45</v>
      </c>
      <c r="T840" s="259">
        <v>0</v>
      </c>
      <c r="U840" s="68" t="s">
        <v>1684</v>
      </c>
      <c r="V840" s="126">
        <v>1</v>
      </c>
      <c r="Z840" s="126">
        <v>1</v>
      </c>
      <c r="AA840" s="126">
        <v>1</v>
      </c>
      <c r="AB840" s="126">
        <v>4</v>
      </c>
      <c r="AC840" s="126">
        <v>6</v>
      </c>
      <c r="AD840" s="126">
        <v>2026</v>
      </c>
    </row>
    <row r="841" spans="3:30">
      <c r="C841" s="126">
        <v>834</v>
      </c>
      <c r="D841" s="126">
        <v>69</v>
      </c>
      <c r="E841" s="126">
        <v>3</v>
      </c>
      <c r="F841" s="126">
        <v>1</v>
      </c>
      <c r="G841" s="126">
        <v>1</v>
      </c>
      <c r="H841" s="126">
        <v>1</v>
      </c>
      <c r="I841" s="126">
        <v>1</v>
      </c>
      <c r="J841" s="126">
        <v>176</v>
      </c>
      <c r="M841" s="126">
        <v>281</v>
      </c>
      <c r="N841" s="126">
        <v>0</v>
      </c>
      <c r="P841" s="126">
        <v>241</v>
      </c>
      <c r="R841" s="126" t="s">
        <v>549</v>
      </c>
      <c r="S841" s="259">
        <v>0</v>
      </c>
      <c r="T841" s="259">
        <v>42.5</v>
      </c>
      <c r="U841" s="68" t="s">
        <v>1685</v>
      </c>
      <c r="V841" s="126">
        <v>1</v>
      </c>
      <c r="Z841" s="126">
        <v>1</v>
      </c>
      <c r="AA841" s="126">
        <v>1</v>
      </c>
      <c r="AB841" s="126">
        <v>4</v>
      </c>
      <c r="AC841" s="126">
        <v>6</v>
      </c>
      <c r="AD841" s="126">
        <v>2026</v>
      </c>
    </row>
    <row r="842" spans="3:30">
      <c r="C842" s="126">
        <v>835</v>
      </c>
      <c r="D842" s="126">
        <v>69</v>
      </c>
      <c r="E842" s="126">
        <v>11</v>
      </c>
      <c r="F842" s="126">
        <v>1</v>
      </c>
      <c r="G842" s="126">
        <v>1</v>
      </c>
      <c r="H842" s="126">
        <v>1</v>
      </c>
      <c r="I842" s="126">
        <v>1</v>
      </c>
      <c r="J842" s="126">
        <v>176</v>
      </c>
      <c r="M842" s="126">
        <v>281</v>
      </c>
      <c r="N842" s="126">
        <v>1</v>
      </c>
      <c r="P842" s="126">
        <v>241</v>
      </c>
      <c r="R842" s="126" t="s">
        <v>549</v>
      </c>
      <c r="S842" s="259">
        <v>42.5</v>
      </c>
      <c r="T842" s="259">
        <v>0</v>
      </c>
      <c r="U842" s="68" t="s">
        <v>1686</v>
      </c>
      <c r="V842" s="126">
        <v>1</v>
      </c>
      <c r="Z842" s="126">
        <v>1</v>
      </c>
      <c r="AA842" s="126">
        <v>1</v>
      </c>
      <c r="AB842" s="126">
        <v>4</v>
      </c>
      <c r="AC842" s="126">
        <v>6</v>
      </c>
      <c r="AD842" s="126">
        <v>2026</v>
      </c>
    </row>
    <row r="843" spans="3:30">
      <c r="C843" s="126">
        <v>836</v>
      </c>
      <c r="D843" s="126">
        <v>69</v>
      </c>
      <c r="E843" s="126">
        <v>10</v>
      </c>
      <c r="F843" s="126">
        <v>1</v>
      </c>
      <c r="G843" s="126">
        <v>1</v>
      </c>
      <c r="H843" s="126">
        <v>1</v>
      </c>
      <c r="I843" s="126">
        <v>1</v>
      </c>
      <c r="J843" s="126">
        <v>176</v>
      </c>
      <c r="P843" s="126">
        <v>241</v>
      </c>
      <c r="R843" s="126" t="s">
        <v>549</v>
      </c>
      <c r="S843" s="259">
        <v>0</v>
      </c>
      <c r="T843" s="259">
        <v>45</v>
      </c>
      <c r="U843" s="68" t="s">
        <v>1687</v>
      </c>
      <c r="V843" s="126">
        <v>1</v>
      </c>
      <c r="Z843" s="126">
        <v>1</v>
      </c>
      <c r="AA843" s="126">
        <v>1</v>
      </c>
      <c r="AB843" s="126">
        <v>4</v>
      </c>
      <c r="AC843" s="126">
        <v>6</v>
      </c>
      <c r="AD843" s="126">
        <v>2026</v>
      </c>
    </row>
    <row r="844" spans="3:30">
      <c r="C844" s="126">
        <v>837</v>
      </c>
      <c r="D844" s="126">
        <v>70</v>
      </c>
      <c r="E844" s="126">
        <v>2</v>
      </c>
      <c r="F844" s="126">
        <v>1</v>
      </c>
      <c r="G844" s="126">
        <v>1</v>
      </c>
      <c r="H844" s="126">
        <v>1</v>
      </c>
      <c r="I844" s="126">
        <v>1</v>
      </c>
      <c r="R844" s="126" t="s">
        <v>549</v>
      </c>
      <c r="S844" s="259">
        <v>63.75</v>
      </c>
      <c r="T844" s="259">
        <v>0</v>
      </c>
      <c r="U844" s="68" t="s">
        <v>1689</v>
      </c>
      <c r="V844" s="126">
        <v>1</v>
      </c>
      <c r="Z844" s="126">
        <v>1</v>
      </c>
      <c r="AA844" s="126">
        <v>1</v>
      </c>
      <c r="AB844" s="126">
        <v>4</v>
      </c>
      <c r="AC844" s="126">
        <v>6</v>
      </c>
      <c r="AD844" s="126">
        <v>2026</v>
      </c>
    </row>
    <row r="845" spans="3:30">
      <c r="C845" s="126">
        <v>838</v>
      </c>
      <c r="D845" s="126">
        <v>70</v>
      </c>
      <c r="E845" s="126">
        <v>3</v>
      </c>
      <c r="F845" s="126">
        <v>1</v>
      </c>
      <c r="G845" s="126">
        <v>1</v>
      </c>
      <c r="H845" s="126">
        <v>1</v>
      </c>
      <c r="I845" s="126">
        <v>1</v>
      </c>
      <c r="J845" s="126">
        <v>29</v>
      </c>
      <c r="M845" s="126">
        <v>282</v>
      </c>
      <c r="N845" s="126">
        <v>0</v>
      </c>
      <c r="P845" s="126">
        <v>242</v>
      </c>
      <c r="R845" s="126" t="s">
        <v>549</v>
      </c>
      <c r="S845" s="259">
        <v>0</v>
      </c>
      <c r="T845" s="259">
        <v>12.690000000000001</v>
      </c>
      <c r="U845" s="68" t="s">
        <v>1690</v>
      </c>
      <c r="V845" s="126">
        <v>1</v>
      </c>
      <c r="Z845" s="126">
        <v>1</v>
      </c>
      <c r="AA845" s="126">
        <v>1</v>
      </c>
      <c r="AB845" s="126">
        <v>4</v>
      </c>
      <c r="AC845" s="126">
        <v>6</v>
      </c>
      <c r="AD845" s="126">
        <v>2026</v>
      </c>
    </row>
    <row r="846" spans="3:30">
      <c r="C846" s="126">
        <v>839</v>
      </c>
      <c r="D846" s="126">
        <v>70</v>
      </c>
      <c r="E846" s="126">
        <v>11</v>
      </c>
      <c r="F846" s="126">
        <v>1</v>
      </c>
      <c r="G846" s="126">
        <v>1</v>
      </c>
      <c r="H846" s="126">
        <v>1</v>
      </c>
      <c r="I846" s="126">
        <v>1</v>
      </c>
      <c r="J846" s="126">
        <v>29</v>
      </c>
      <c r="M846" s="126">
        <v>282</v>
      </c>
      <c r="N846" s="126">
        <v>1</v>
      </c>
      <c r="P846" s="126">
        <v>242</v>
      </c>
      <c r="R846" s="126" t="s">
        <v>549</v>
      </c>
      <c r="S846" s="259">
        <v>12.690000000000001</v>
      </c>
      <c r="T846" s="259">
        <v>0</v>
      </c>
      <c r="U846" s="68" t="s">
        <v>1691</v>
      </c>
      <c r="V846" s="126">
        <v>1</v>
      </c>
      <c r="Z846" s="126">
        <v>1</v>
      </c>
      <c r="AA846" s="126">
        <v>1</v>
      </c>
      <c r="AB846" s="126">
        <v>4</v>
      </c>
      <c r="AC846" s="126">
        <v>6</v>
      </c>
      <c r="AD846" s="126">
        <v>2026</v>
      </c>
    </row>
    <row r="847" spans="3:30">
      <c r="C847" s="126">
        <v>840</v>
      </c>
      <c r="D847" s="126">
        <v>70</v>
      </c>
      <c r="E847" s="126">
        <v>10</v>
      </c>
      <c r="F847" s="126">
        <v>1</v>
      </c>
      <c r="G847" s="126">
        <v>1</v>
      </c>
      <c r="H847" s="126">
        <v>1</v>
      </c>
      <c r="I847" s="126">
        <v>1</v>
      </c>
      <c r="J847" s="126">
        <v>29</v>
      </c>
      <c r="P847" s="126">
        <v>242</v>
      </c>
      <c r="R847" s="126" t="s">
        <v>549</v>
      </c>
      <c r="S847" s="259">
        <v>0</v>
      </c>
      <c r="T847" s="259">
        <v>15</v>
      </c>
      <c r="U847" s="68" t="s">
        <v>1692</v>
      </c>
      <c r="V847" s="126">
        <v>1</v>
      </c>
      <c r="Z847" s="126">
        <v>1</v>
      </c>
      <c r="AA847" s="126">
        <v>1</v>
      </c>
      <c r="AB847" s="126">
        <v>4</v>
      </c>
      <c r="AC847" s="126">
        <v>6</v>
      </c>
      <c r="AD847" s="126">
        <v>2026</v>
      </c>
    </row>
    <row r="848" spans="3:30">
      <c r="C848" s="126">
        <v>841</v>
      </c>
      <c r="D848" s="126">
        <v>70</v>
      </c>
      <c r="E848" s="126">
        <v>3</v>
      </c>
      <c r="F848" s="126">
        <v>1</v>
      </c>
      <c r="G848" s="126">
        <v>1</v>
      </c>
      <c r="H848" s="126">
        <v>1</v>
      </c>
      <c r="I848" s="126">
        <v>1</v>
      </c>
      <c r="J848" s="126">
        <v>63</v>
      </c>
      <c r="M848" s="126">
        <v>283</v>
      </c>
      <c r="N848" s="126">
        <v>0</v>
      </c>
      <c r="P848" s="126">
        <v>243</v>
      </c>
      <c r="R848" s="126" t="s">
        <v>549</v>
      </c>
      <c r="S848" s="259">
        <v>0</v>
      </c>
      <c r="T848" s="259">
        <v>21.65</v>
      </c>
      <c r="U848" s="68" t="s">
        <v>1693</v>
      </c>
      <c r="V848" s="126">
        <v>1</v>
      </c>
      <c r="Z848" s="126">
        <v>1</v>
      </c>
      <c r="AA848" s="126">
        <v>1</v>
      </c>
      <c r="AB848" s="126">
        <v>4</v>
      </c>
      <c r="AC848" s="126">
        <v>6</v>
      </c>
      <c r="AD848" s="126">
        <v>2026</v>
      </c>
    </row>
    <row r="849" spans="3:30">
      <c r="C849" s="126">
        <v>842</v>
      </c>
      <c r="D849" s="126">
        <v>70</v>
      </c>
      <c r="E849" s="126">
        <v>11</v>
      </c>
      <c r="F849" s="126">
        <v>1</v>
      </c>
      <c r="G849" s="126">
        <v>1</v>
      </c>
      <c r="H849" s="126">
        <v>1</v>
      </c>
      <c r="I849" s="126">
        <v>1</v>
      </c>
      <c r="J849" s="126">
        <v>63</v>
      </c>
      <c r="M849" s="126">
        <v>283</v>
      </c>
      <c r="N849" s="126">
        <v>1</v>
      </c>
      <c r="P849" s="126">
        <v>243</v>
      </c>
      <c r="R849" s="126" t="s">
        <v>549</v>
      </c>
      <c r="S849" s="259">
        <v>21.65</v>
      </c>
      <c r="T849" s="259">
        <v>0</v>
      </c>
      <c r="U849" s="68" t="s">
        <v>1694</v>
      </c>
      <c r="V849" s="126">
        <v>1</v>
      </c>
      <c r="Z849" s="126">
        <v>1</v>
      </c>
      <c r="AA849" s="126">
        <v>1</v>
      </c>
      <c r="AB849" s="126">
        <v>4</v>
      </c>
      <c r="AC849" s="126">
        <v>6</v>
      </c>
      <c r="AD849" s="126">
        <v>2026</v>
      </c>
    </row>
    <row r="850" spans="3:30">
      <c r="C850" s="126">
        <v>843</v>
      </c>
      <c r="D850" s="126">
        <v>70</v>
      </c>
      <c r="E850" s="126">
        <v>10</v>
      </c>
      <c r="F850" s="126">
        <v>1</v>
      </c>
      <c r="G850" s="126">
        <v>1</v>
      </c>
      <c r="H850" s="126">
        <v>1</v>
      </c>
      <c r="I850" s="126">
        <v>1</v>
      </c>
      <c r="J850" s="126">
        <v>63</v>
      </c>
      <c r="P850" s="126">
        <v>243</v>
      </c>
      <c r="R850" s="126" t="s">
        <v>549</v>
      </c>
      <c r="S850" s="259">
        <v>0</v>
      </c>
      <c r="T850" s="259">
        <v>25</v>
      </c>
      <c r="U850" s="68" t="s">
        <v>1695</v>
      </c>
      <c r="V850" s="126">
        <v>1</v>
      </c>
      <c r="Z850" s="126">
        <v>1</v>
      </c>
      <c r="AA850" s="126">
        <v>1</v>
      </c>
      <c r="AB850" s="126">
        <v>4</v>
      </c>
      <c r="AC850" s="126">
        <v>6</v>
      </c>
      <c r="AD850" s="126">
        <v>2026</v>
      </c>
    </row>
    <row r="851" spans="3:30">
      <c r="C851" s="126">
        <v>844</v>
      </c>
      <c r="D851" s="126">
        <v>70</v>
      </c>
      <c r="E851" s="126">
        <v>3</v>
      </c>
      <c r="F851" s="126">
        <v>1</v>
      </c>
      <c r="G851" s="126">
        <v>1</v>
      </c>
      <c r="H851" s="126">
        <v>1</v>
      </c>
      <c r="I851" s="126">
        <v>1</v>
      </c>
      <c r="J851" s="126">
        <v>177</v>
      </c>
      <c r="M851" s="126">
        <v>284</v>
      </c>
      <c r="N851" s="126">
        <v>0</v>
      </c>
      <c r="P851" s="126">
        <v>244</v>
      </c>
      <c r="R851" s="126" t="s">
        <v>549</v>
      </c>
      <c r="S851" s="259">
        <v>0</v>
      </c>
      <c r="T851" s="259">
        <v>20.75</v>
      </c>
      <c r="U851" s="68" t="s">
        <v>1696</v>
      </c>
      <c r="V851" s="126">
        <v>1</v>
      </c>
      <c r="Z851" s="126">
        <v>1</v>
      </c>
      <c r="AA851" s="126">
        <v>1</v>
      </c>
      <c r="AB851" s="126">
        <v>4</v>
      </c>
      <c r="AC851" s="126">
        <v>6</v>
      </c>
      <c r="AD851" s="126">
        <v>2026</v>
      </c>
    </row>
    <row r="852" spans="3:30">
      <c r="C852" s="126">
        <v>845</v>
      </c>
      <c r="D852" s="126">
        <v>70</v>
      </c>
      <c r="E852" s="126">
        <v>11</v>
      </c>
      <c r="F852" s="126">
        <v>1</v>
      </c>
      <c r="G852" s="126">
        <v>1</v>
      </c>
      <c r="H852" s="126">
        <v>1</v>
      </c>
      <c r="I852" s="126">
        <v>1</v>
      </c>
      <c r="J852" s="126">
        <v>177</v>
      </c>
      <c r="M852" s="126">
        <v>284</v>
      </c>
      <c r="N852" s="126">
        <v>1</v>
      </c>
      <c r="P852" s="126">
        <v>244</v>
      </c>
      <c r="R852" s="126" t="s">
        <v>549</v>
      </c>
      <c r="S852" s="259">
        <v>20.75</v>
      </c>
      <c r="T852" s="259">
        <v>0</v>
      </c>
      <c r="U852" s="68" t="s">
        <v>1697</v>
      </c>
      <c r="V852" s="126">
        <v>1</v>
      </c>
      <c r="Z852" s="126">
        <v>1</v>
      </c>
      <c r="AA852" s="126">
        <v>1</v>
      </c>
      <c r="AB852" s="126">
        <v>4</v>
      </c>
      <c r="AC852" s="126">
        <v>6</v>
      </c>
      <c r="AD852" s="126">
        <v>2026</v>
      </c>
    </row>
    <row r="853" spans="3:30">
      <c r="C853" s="126">
        <v>846</v>
      </c>
      <c r="D853" s="126">
        <v>70</v>
      </c>
      <c r="E853" s="126">
        <v>10</v>
      </c>
      <c r="F853" s="126">
        <v>1</v>
      </c>
      <c r="G853" s="126">
        <v>1</v>
      </c>
      <c r="H853" s="126">
        <v>1</v>
      </c>
      <c r="I853" s="126">
        <v>1</v>
      </c>
      <c r="J853" s="126">
        <v>177</v>
      </c>
      <c r="P853" s="126">
        <v>244</v>
      </c>
      <c r="R853" s="126" t="s">
        <v>549</v>
      </c>
      <c r="S853" s="259">
        <v>0</v>
      </c>
      <c r="T853" s="259">
        <v>23.75</v>
      </c>
      <c r="U853" s="68" t="s">
        <v>1698</v>
      </c>
      <c r="V853" s="126">
        <v>1</v>
      </c>
      <c r="Z853" s="126">
        <v>1</v>
      </c>
      <c r="AA853" s="126">
        <v>1</v>
      </c>
      <c r="AB853" s="126">
        <v>4</v>
      </c>
      <c r="AC853" s="126">
        <v>6</v>
      </c>
      <c r="AD853" s="126">
        <v>2026</v>
      </c>
    </row>
    <row r="854" spans="3:30">
      <c r="C854" s="126">
        <v>847</v>
      </c>
      <c r="D854" s="126">
        <v>71</v>
      </c>
      <c r="E854" s="126">
        <v>2</v>
      </c>
      <c r="F854" s="126">
        <v>1</v>
      </c>
      <c r="G854" s="126">
        <v>1</v>
      </c>
      <c r="H854" s="126">
        <v>1</v>
      </c>
      <c r="I854" s="126">
        <v>1</v>
      </c>
      <c r="R854" s="126" t="s">
        <v>549</v>
      </c>
      <c r="S854" s="259">
        <v>116</v>
      </c>
      <c r="T854" s="259">
        <v>0</v>
      </c>
      <c r="U854" s="68" t="s">
        <v>1701</v>
      </c>
      <c r="V854" s="126">
        <v>1</v>
      </c>
      <c r="Z854" s="126">
        <v>1</v>
      </c>
      <c r="AA854" s="126">
        <v>1</v>
      </c>
      <c r="AB854" s="126">
        <v>4</v>
      </c>
      <c r="AC854" s="126">
        <v>6</v>
      </c>
      <c r="AD854" s="126">
        <v>2026</v>
      </c>
    </row>
    <row r="855" spans="3:30">
      <c r="C855" s="126">
        <v>848</v>
      </c>
      <c r="D855" s="126">
        <v>71</v>
      </c>
      <c r="E855" s="126">
        <v>3</v>
      </c>
      <c r="F855" s="126">
        <v>1</v>
      </c>
      <c r="G855" s="126">
        <v>1</v>
      </c>
      <c r="H855" s="126">
        <v>1</v>
      </c>
      <c r="I855" s="126">
        <v>1</v>
      </c>
      <c r="J855" s="126">
        <v>158</v>
      </c>
      <c r="M855" s="126">
        <v>285</v>
      </c>
      <c r="N855" s="126">
        <v>0</v>
      </c>
      <c r="P855" s="126">
        <v>245</v>
      </c>
      <c r="R855" s="126" t="s">
        <v>549</v>
      </c>
      <c r="S855" s="259">
        <v>0</v>
      </c>
      <c r="T855" s="259">
        <v>53</v>
      </c>
      <c r="U855" s="68" t="s">
        <v>1705</v>
      </c>
      <c r="V855" s="126">
        <v>1</v>
      </c>
      <c r="Z855" s="126">
        <v>1</v>
      </c>
      <c r="AA855" s="126">
        <v>1</v>
      </c>
      <c r="AB855" s="126">
        <v>4</v>
      </c>
      <c r="AC855" s="126">
        <v>6</v>
      </c>
      <c r="AD855" s="126">
        <v>2026</v>
      </c>
    </row>
    <row r="856" spans="3:30">
      <c r="C856" s="126">
        <v>849</v>
      </c>
      <c r="D856" s="126">
        <v>71</v>
      </c>
      <c r="E856" s="126">
        <v>11</v>
      </c>
      <c r="F856" s="126">
        <v>1</v>
      </c>
      <c r="G856" s="126">
        <v>1</v>
      </c>
      <c r="H856" s="126">
        <v>1</v>
      </c>
      <c r="I856" s="126">
        <v>1</v>
      </c>
      <c r="J856" s="126">
        <v>158</v>
      </c>
      <c r="M856" s="126">
        <v>285</v>
      </c>
      <c r="N856" s="126">
        <v>1</v>
      </c>
      <c r="P856" s="126">
        <v>245</v>
      </c>
      <c r="R856" s="126" t="s">
        <v>549</v>
      </c>
      <c r="S856" s="259">
        <v>53</v>
      </c>
      <c r="T856" s="259">
        <v>0</v>
      </c>
      <c r="U856" s="68" t="s">
        <v>1706</v>
      </c>
      <c r="V856" s="126">
        <v>1</v>
      </c>
      <c r="Z856" s="126">
        <v>1</v>
      </c>
      <c r="AA856" s="126">
        <v>1</v>
      </c>
      <c r="AB856" s="126">
        <v>4</v>
      </c>
      <c r="AC856" s="126">
        <v>6</v>
      </c>
      <c r="AD856" s="126">
        <v>2026</v>
      </c>
    </row>
    <row r="857" spans="3:30">
      <c r="C857" s="126">
        <v>850</v>
      </c>
      <c r="D857" s="126">
        <v>71</v>
      </c>
      <c r="E857" s="126">
        <v>10</v>
      </c>
      <c r="F857" s="126">
        <v>1</v>
      </c>
      <c r="G857" s="126">
        <v>1</v>
      </c>
      <c r="H857" s="126">
        <v>1</v>
      </c>
      <c r="I857" s="126">
        <v>1</v>
      </c>
      <c r="J857" s="126">
        <v>158</v>
      </c>
      <c r="P857" s="126">
        <v>245</v>
      </c>
      <c r="R857" s="126" t="s">
        <v>549</v>
      </c>
      <c r="S857" s="259">
        <v>0</v>
      </c>
      <c r="T857" s="259">
        <v>60</v>
      </c>
      <c r="U857" s="68" t="s">
        <v>1707</v>
      </c>
      <c r="V857" s="126">
        <v>1</v>
      </c>
      <c r="Z857" s="126">
        <v>1</v>
      </c>
      <c r="AA857" s="126">
        <v>1</v>
      </c>
      <c r="AB857" s="126">
        <v>4</v>
      </c>
      <c r="AC857" s="126">
        <v>6</v>
      </c>
      <c r="AD857" s="126">
        <v>2026</v>
      </c>
    </row>
    <row r="858" spans="3:30">
      <c r="C858" s="126">
        <v>851</v>
      </c>
      <c r="D858" s="126">
        <v>71</v>
      </c>
      <c r="E858" s="126">
        <v>3</v>
      </c>
      <c r="F858" s="126">
        <v>1</v>
      </c>
      <c r="G858" s="126">
        <v>1</v>
      </c>
      <c r="H858" s="126">
        <v>1</v>
      </c>
      <c r="I858" s="126">
        <v>1</v>
      </c>
      <c r="J858" s="126">
        <v>165</v>
      </c>
      <c r="M858" s="126">
        <v>286</v>
      </c>
      <c r="N858" s="126">
        <v>0</v>
      </c>
      <c r="P858" s="126">
        <v>246</v>
      </c>
      <c r="R858" s="126" t="s">
        <v>549</v>
      </c>
      <c r="S858" s="259">
        <v>0</v>
      </c>
      <c r="T858" s="259">
        <v>20.25</v>
      </c>
      <c r="U858" s="68" t="s">
        <v>1710</v>
      </c>
      <c r="V858" s="126">
        <v>1</v>
      </c>
      <c r="Z858" s="126">
        <v>1</v>
      </c>
      <c r="AA858" s="126">
        <v>1</v>
      </c>
      <c r="AB858" s="126">
        <v>4</v>
      </c>
      <c r="AC858" s="126">
        <v>6</v>
      </c>
      <c r="AD858" s="126">
        <v>2026</v>
      </c>
    </row>
    <row r="859" spans="3:30">
      <c r="C859" s="126">
        <v>852</v>
      </c>
      <c r="D859" s="126">
        <v>71</v>
      </c>
      <c r="E859" s="126">
        <v>11</v>
      </c>
      <c r="F859" s="126">
        <v>1</v>
      </c>
      <c r="G859" s="126">
        <v>1</v>
      </c>
      <c r="H859" s="126">
        <v>1</v>
      </c>
      <c r="I859" s="126">
        <v>1</v>
      </c>
      <c r="J859" s="126">
        <v>165</v>
      </c>
      <c r="M859" s="126">
        <v>286</v>
      </c>
      <c r="N859" s="126">
        <v>1</v>
      </c>
      <c r="P859" s="126">
        <v>246</v>
      </c>
      <c r="R859" s="126" t="s">
        <v>549</v>
      </c>
      <c r="S859" s="259">
        <v>20.25</v>
      </c>
      <c r="T859" s="259">
        <v>0</v>
      </c>
      <c r="U859" s="68" t="s">
        <v>1711</v>
      </c>
      <c r="V859" s="126">
        <v>1</v>
      </c>
      <c r="Z859" s="126">
        <v>1</v>
      </c>
      <c r="AA859" s="126">
        <v>1</v>
      </c>
      <c r="AB859" s="126">
        <v>4</v>
      </c>
      <c r="AC859" s="126">
        <v>6</v>
      </c>
      <c r="AD859" s="126">
        <v>2026</v>
      </c>
    </row>
    <row r="860" spans="3:30">
      <c r="C860" s="126">
        <v>853</v>
      </c>
      <c r="D860" s="126">
        <v>71</v>
      </c>
      <c r="E860" s="126">
        <v>10</v>
      </c>
      <c r="F860" s="126">
        <v>1</v>
      </c>
      <c r="G860" s="126">
        <v>1</v>
      </c>
      <c r="H860" s="126">
        <v>1</v>
      </c>
      <c r="I860" s="126">
        <v>1</v>
      </c>
      <c r="J860" s="126">
        <v>165</v>
      </c>
      <c r="P860" s="126">
        <v>246</v>
      </c>
      <c r="R860" s="126" t="s">
        <v>549</v>
      </c>
      <c r="S860" s="259">
        <v>0</v>
      </c>
      <c r="T860" s="259">
        <v>26</v>
      </c>
      <c r="U860" s="68" t="s">
        <v>1712</v>
      </c>
      <c r="V860" s="126">
        <v>1</v>
      </c>
      <c r="Z860" s="126">
        <v>1</v>
      </c>
      <c r="AA860" s="126">
        <v>1</v>
      </c>
      <c r="AB860" s="126">
        <v>4</v>
      </c>
      <c r="AC860" s="126">
        <v>6</v>
      </c>
      <c r="AD860" s="126">
        <v>2026</v>
      </c>
    </row>
    <row r="861" spans="3:30">
      <c r="C861" s="126">
        <v>854</v>
      </c>
      <c r="D861" s="126">
        <v>71</v>
      </c>
      <c r="E861" s="126">
        <v>3</v>
      </c>
      <c r="F861" s="126">
        <v>1</v>
      </c>
      <c r="G861" s="126">
        <v>1</v>
      </c>
      <c r="H861" s="126">
        <v>1</v>
      </c>
      <c r="I861" s="126">
        <v>1</v>
      </c>
      <c r="J861" s="126">
        <v>191</v>
      </c>
      <c r="M861" s="126">
        <v>287</v>
      </c>
      <c r="N861" s="126">
        <v>0</v>
      </c>
      <c r="P861" s="126">
        <v>247</v>
      </c>
      <c r="R861" s="126" t="s">
        <v>549</v>
      </c>
      <c r="S861" s="259">
        <v>0</v>
      </c>
      <c r="T861" s="259">
        <v>24.6</v>
      </c>
      <c r="U861" s="68" t="s">
        <v>1713</v>
      </c>
      <c r="V861" s="126">
        <v>1</v>
      </c>
      <c r="Z861" s="126">
        <v>1</v>
      </c>
      <c r="AA861" s="126">
        <v>1</v>
      </c>
      <c r="AB861" s="126">
        <v>4</v>
      </c>
      <c r="AC861" s="126">
        <v>6</v>
      </c>
      <c r="AD861" s="126">
        <v>2026</v>
      </c>
    </row>
    <row r="862" spans="3:30">
      <c r="C862" s="126">
        <v>855</v>
      </c>
      <c r="D862" s="126">
        <v>71</v>
      </c>
      <c r="E862" s="126">
        <v>11</v>
      </c>
      <c r="F862" s="126">
        <v>1</v>
      </c>
      <c r="G862" s="126">
        <v>1</v>
      </c>
      <c r="H862" s="126">
        <v>1</v>
      </c>
      <c r="I862" s="126">
        <v>1</v>
      </c>
      <c r="J862" s="126">
        <v>191</v>
      </c>
      <c r="M862" s="126">
        <v>287</v>
      </c>
      <c r="N862" s="126">
        <v>1</v>
      </c>
      <c r="P862" s="126">
        <v>247</v>
      </c>
      <c r="R862" s="126" t="s">
        <v>549</v>
      </c>
      <c r="S862" s="259">
        <v>24.6</v>
      </c>
      <c r="T862" s="259">
        <v>0</v>
      </c>
      <c r="U862" s="68" t="s">
        <v>1714</v>
      </c>
      <c r="V862" s="126">
        <v>1</v>
      </c>
      <c r="Z862" s="126">
        <v>1</v>
      </c>
      <c r="AA862" s="126">
        <v>1</v>
      </c>
      <c r="AB862" s="126">
        <v>4</v>
      </c>
      <c r="AC862" s="126">
        <v>6</v>
      </c>
      <c r="AD862" s="126">
        <v>2026</v>
      </c>
    </row>
    <row r="863" spans="3:30">
      <c r="C863" s="126">
        <v>856</v>
      </c>
      <c r="D863" s="126">
        <v>71</v>
      </c>
      <c r="E863" s="126">
        <v>10</v>
      </c>
      <c r="F863" s="126">
        <v>1</v>
      </c>
      <c r="G863" s="126">
        <v>1</v>
      </c>
      <c r="H863" s="126">
        <v>1</v>
      </c>
      <c r="I863" s="126">
        <v>1</v>
      </c>
      <c r="J863" s="126">
        <v>191</v>
      </c>
      <c r="P863" s="126">
        <v>247</v>
      </c>
      <c r="R863" s="126" t="s">
        <v>549</v>
      </c>
      <c r="S863" s="259">
        <v>0</v>
      </c>
      <c r="T863" s="259">
        <v>30</v>
      </c>
      <c r="U863" s="68" t="s">
        <v>1715</v>
      </c>
      <c r="V863" s="126">
        <v>1</v>
      </c>
      <c r="Z863" s="126">
        <v>1</v>
      </c>
      <c r="AA863" s="126">
        <v>1</v>
      </c>
      <c r="AB863" s="126">
        <v>4</v>
      </c>
      <c r="AC863" s="126">
        <v>6</v>
      </c>
      <c r="AD863" s="126">
        <v>2026</v>
      </c>
    </row>
    <row r="864" spans="3:30">
      <c r="C864" s="126">
        <v>857</v>
      </c>
      <c r="D864" s="126">
        <v>72</v>
      </c>
      <c r="E864" s="126">
        <v>2</v>
      </c>
      <c r="F864" s="126">
        <v>1</v>
      </c>
      <c r="G864" s="126">
        <v>1</v>
      </c>
      <c r="H864" s="126">
        <v>1</v>
      </c>
      <c r="I864" s="126">
        <v>1</v>
      </c>
      <c r="R864" s="126" t="s">
        <v>549</v>
      </c>
      <c r="S864" s="259">
        <v>60</v>
      </c>
      <c r="T864" s="259">
        <v>0</v>
      </c>
      <c r="U864" s="68" t="s">
        <v>1717</v>
      </c>
      <c r="V864" s="126">
        <v>1</v>
      </c>
      <c r="Z864" s="126">
        <v>1</v>
      </c>
      <c r="AA864" s="126">
        <v>1</v>
      </c>
      <c r="AB864" s="126">
        <v>4</v>
      </c>
      <c r="AC864" s="126">
        <v>6</v>
      </c>
      <c r="AD864" s="126">
        <v>2026</v>
      </c>
    </row>
    <row r="865" spans="3:30">
      <c r="C865" s="126">
        <v>858</v>
      </c>
      <c r="D865" s="126">
        <v>72</v>
      </c>
      <c r="E865" s="126">
        <v>3</v>
      </c>
      <c r="F865" s="126">
        <v>1</v>
      </c>
      <c r="G865" s="126">
        <v>1</v>
      </c>
      <c r="H865" s="126">
        <v>1</v>
      </c>
      <c r="I865" s="126">
        <v>1</v>
      </c>
      <c r="J865" s="126">
        <v>178</v>
      </c>
      <c r="M865" s="126">
        <v>288</v>
      </c>
      <c r="N865" s="126">
        <v>0</v>
      </c>
      <c r="P865" s="126">
        <v>248</v>
      </c>
      <c r="R865" s="126" t="s">
        <v>549</v>
      </c>
      <c r="S865" s="259">
        <v>0</v>
      </c>
      <c r="T865" s="259">
        <v>57</v>
      </c>
      <c r="U865" s="68" t="s">
        <v>1718</v>
      </c>
      <c r="V865" s="126">
        <v>1</v>
      </c>
      <c r="Z865" s="126">
        <v>1</v>
      </c>
      <c r="AA865" s="126">
        <v>1</v>
      </c>
      <c r="AB865" s="126">
        <v>4</v>
      </c>
      <c r="AC865" s="126">
        <v>6</v>
      </c>
      <c r="AD865" s="126">
        <v>2026</v>
      </c>
    </row>
    <row r="866" spans="3:30">
      <c r="C866" s="126">
        <v>859</v>
      </c>
      <c r="D866" s="126">
        <v>72</v>
      </c>
      <c r="E866" s="126">
        <v>11</v>
      </c>
      <c r="F866" s="126">
        <v>1</v>
      </c>
      <c r="G866" s="126">
        <v>1</v>
      </c>
      <c r="H866" s="126">
        <v>1</v>
      </c>
      <c r="I866" s="126">
        <v>1</v>
      </c>
      <c r="J866" s="126">
        <v>178</v>
      </c>
      <c r="M866" s="126">
        <v>288</v>
      </c>
      <c r="N866" s="126">
        <v>1</v>
      </c>
      <c r="P866" s="126">
        <v>248</v>
      </c>
      <c r="R866" s="126" t="s">
        <v>549</v>
      </c>
      <c r="S866" s="259">
        <v>57</v>
      </c>
      <c r="T866" s="259">
        <v>0</v>
      </c>
      <c r="U866" s="68" t="s">
        <v>1719</v>
      </c>
      <c r="V866" s="126">
        <v>1</v>
      </c>
      <c r="Z866" s="126">
        <v>1</v>
      </c>
      <c r="AA866" s="126">
        <v>1</v>
      </c>
      <c r="AB866" s="126">
        <v>4</v>
      </c>
      <c r="AC866" s="126">
        <v>6</v>
      </c>
      <c r="AD866" s="126">
        <v>2026</v>
      </c>
    </row>
    <row r="867" spans="3:30">
      <c r="C867" s="126">
        <v>860</v>
      </c>
      <c r="D867" s="126">
        <v>72</v>
      </c>
      <c r="E867" s="126">
        <v>10</v>
      </c>
      <c r="F867" s="126">
        <v>1</v>
      </c>
      <c r="G867" s="126">
        <v>1</v>
      </c>
      <c r="H867" s="126">
        <v>1</v>
      </c>
      <c r="I867" s="126">
        <v>1</v>
      </c>
      <c r="J867" s="126">
        <v>178</v>
      </c>
      <c r="P867" s="126">
        <v>248</v>
      </c>
      <c r="R867" s="126" t="s">
        <v>549</v>
      </c>
      <c r="S867" s="259">
        <v>0</v>
      </c>
      <c r="T867" s="259">
        <v>60</v>
      </c>
      <c r="U867" s="68" t="s">
        <v>1720</v>
      </c>
      <c r="V867" s="126">
        <v>1</v>
      </c>
      <c r="Z867" s="126">
        <v>1</v>
      </c>
      <c r="AA867" s="126">
        <v>1</v>
      </c>
      <c r="AB867" s="126">
        <v>4</v>
      </c>
      <c r="AC867" s="126">
        <v>6</v>
      </c>
      <c r="AD867" s="126">
        <v>2026</v>
      </c>
    </row>
    <row r="868" spans="3:30">
      <c r="C868" s="126">
        <v>861</v>
      </c>
      <c r="D868" s="126">
        <v>73</v>
      </c>
      <c r="E868" s="126">
        <v>2</v>
      </c>
      <c r="F868" s="126">
        <v>1</v>
      </c>
      <c r="G868" s="126">
        <v>1</v>
      </c>
      <c r="H868" s="126">
        <v>1</v>
      </c>
      <c r="I868" s="126">
        <v>1</v>
      </c>
      <c r="R868" s="126" t="s">
        <v>549</v>
      </c>
      <c r="S868" s="259">
        <v>16.5</v>
      </c>
      <c r="T868" s="259">
        <v>0</v>
      </c>
      <c r="U868" s="68" t="s">
        <v>1723</v>
      </c>
      <c r="V868" s="126">
        <v>1</v>
      </c>
      <c r="Z868" s="126">
        <v>1</v>
      </c>
      <c r="AA868" s="126">
        <v>1</v>
      </c>
      <c r="AB868" s="126">
        <v>4</v>
      </c>
      <c r="AC868" s="126">
        <v>6</v>
      </c>
      <c r="AD868" s="126">
        <v>2026</v>
      </c>
    </row>
    <row r="869" spans="3:30">
      <c r="C869" s="126">
        <v>862</v>
      </c>
      <c r="D869" s="126">
        <v>73</v>
      </c>
      <c r="E869" s="126">
        <v>3</v>
      </c>
      <c r="F869" s="126">
        <v>1</v>
      </c>
      <c r="G869" s="126">
        <v>1</v>
      </c>
      <c r="H869" s="126">
        <v>1</v>
      </c>
      <c r="I869" s="126">
        <v>1</v>
      </c>
      <c r="J869" s="126">
        <v>178</v>
      </c>
      <c r="M869" s="126">
        <v>289</v>
      </c>
      <c r="N869" s="126">
        <v>0</v>
      </c>
      <c r="P869" s="126">
        <v>249</v>
      </c>
      <c r="R869" s="126" t="s">
        <v>549</v>
      </c>
      <c r="S869" s="259">
        <v>0</v>
      </c>
      <c r="T869" s="259">
        <v>14.25</v>
      </c>
      <c r="U869" s="68" t="s">
        <v>1724</v>
      </c>
      <c r="V869" s="126">
        <v>1</v>
      </c>
      <c r="Z869" s="126">
        <v>1</v>
      </c>
      <c r="AA869" s="126">
        <v>1</v>
      </c>
      <c r="AB869" s="126">
        <v>4</v>
      </c>
      <c r="AC869" s="126">
        <v>6</v>
      </c>
      <c r="AD869" s="126">
        <v>2026</v>
      </c>
    </row>
    <row r="870" spans="3:30">
      <c r="C870" s="126">
        <v>863</v>
      </c>
      <c r="D870" s="126">
        <v>73</v>
      </c>
      <c r="E870" s="126">
        <v>11</v>
      </c>
      <c r="F870" s="126">
        <v>1</v>
      </c>
      <c r="G870" s="126">
        <v>1</v>
      </c>
      <c r="H870" s="126">
        <v>1</v>
      </c>
      <c r="I870" s="126">
        <v>1</v>
      </c>
      <c r="J870" s="126">
        <v>178</v>
      </c>
      <c r="M870" s="126">
        <v>289</v>
      </c>
      <c r="N870" s="126">
        <v>1</v>
      </c>
      <c r="P870" s="126">
        <v>249</v>
      </c>
      <c r="R870" s="126" t="s">
        <v>549</v>
      </c>
      <c r="S870" s="259">
        <v>14.25</v>
      </c>
      <c r="T870" s="259">
        <v>0</v>
      </c>
      <c r="U870" s="68" t="s">
        <v>1725</v>
      </c>
      <c r="V870" s="126">
        <v>1</v>
      </c>
      <c r="Z870" s="126">
        <v>1</v>
      </c>
      <c r="AA870" s="126">
        <v>1</v>
      </c>
      <c r="AB870" s="126">
        <v>4</v>
      </c>
      <c r="AC870" s="126">
        <v>6</v>
      </c>
      <c r="AD870" s="126">
        <v>2026</v>
      </c>
    </row>
    <row r="871" spans="3:30">
      <c r="C871" s="126">
        <v>864</v>
      </c>
      <c r="D871" s="126">
        <v>73</v>
      </c>
      <c r="E871" s="126">
        <v>10</v>
      </c>
      <c r="F871" s="126">
        <v>1</v>
      </c>
      <c r="G871" s="126">
        <v>1</v>
      </c>
      <c r="H871" s="126">
        <v>1</v>
      </c>
      <c r="I871" s="126">
        <v>1</v>
      </c>
      <c r="J871" s="126">
        <v>178</v>
      </c>
      <c r="P871" s="126">
        <v>249</v>
      </c>
      <c r="R871" s="126" t="s">
        <v>549</v>
      </c>
      <c r="S871" s="259">
        <v>0</v>
      </c>
      <c r="T871" s="259">
        <v>15</v>
      </c>
      <c r="U871" s="68" t="s">
        <v>1726</v>
      </c>
      <c r="V871" s="126">
        <v>1</v>
      </c>
      <c r="Z871" s="126">
        <v>1</v>
      </c>
      <c r="AA871" s="126">
        <v>1</v>
      </c>
      <c r="AB871" s="126">
        <v>4</v>
      </c>
      <c r="AC871" s="126">
        <v>6</v>
      </c>
      <c r="AD871" s="126">
        <v>2026</v>
      </c>
    </row>
    <row r="872" spans="3:30">
      <c r="C872" s="126">
        <v>865</v>
      </c>
      <c r="D872" s="126">
        <v>73</v>
      </c>
      <c r="E872" s="126">
        <v>3</v>
      </c>
      <c r="F872" s="126">
        <v>1</v>
      </c>
      <c r="G872" s="126">
        <v>1</v>
      </c>
      <c r="H872" s="126">
        <v>1</v>
      </c>
      <c r="I872" s="126">
        <v>1</v>
      </c>
      <c r="J872" s="126">
        <v>181</v>
      </c>
      <c r="M872" s="126">
        <v>290</v>
      </c>
      <c r="N872" s="126">
        <v>0</v>
      </c>
      <c r="P872" s="126">
        <v>250</v>
      </c>
      <c r="R872" s="126" t="s">
        <v>549</v>
      </c>
      <c r="S872" s="259">
        <v>0</v>
      </c>
      <c r="T872" s="259">
        <v>1</v>
      </c>
      <c r="U872" s="68" t="s">
        <v>1727</v>
      </c>
      <c r="V872" s="126">
        <v>1</v>
      </c>
      <c r="Z872" s="126">
        <v>1</v>
      </c>
      <c r="AA872" s="126">
        <v>1</v>
      </c>
      <c r="AB872" s="126">
        <v>4</v>
      </c>
      <c r="AC872" s="126">
        <v>6</v>
      </c>
      <c r="AD872" s="126">
        <v>2026</v>
      </c>
    </row>
    <row r="873" spans="3:30">
      <c r="C873" s="126">
        <v>866</v>
      </c>
      <c r="D873" s="126">
        <v>73</v>
      </c>
      <c r="E873" s="126">
        <v>11</v>
      </c>
      <c r="F873" s="126">
        <v>1</v>
      </c>
      <c r="G873" s="126">
        <v>1</v>
      </c>
      <c r="H873" s="126">
        <v>1</v>
      </c>
      <c r="I873" s="126">
        <v>1</v>
      </c>
      <c r="J873" s="126">
        <v>181</v>
      </c>
      <c r="M873" s="126">
        <v>290</v>
      </c>
      <c r="N873" s="126">
        <v>1</v>
      </c>
      <c r="P873" s="126">
        <v>250</v>
      </c>
      <c r="R873" s="126" t="s">
        <v>549</v>
      </c>
      <c r="S873" s="259">
        <v>1</v>
      </c>
      <c r="T873" s="259">
        <v>0</v>
      </c>
      <c r="U873" s="68" t="s">
        <v>1728</v>
      </c>
      <c r="V873" s="126">
        <v>1</v>
      </c>
      <c r="Z873" s="126">
        <v>1</v>
      </c>
      <c r="AA873" s="126">
        <v>1</v>
      </c>
      <c r="AB873" s="126">
        <v>4</v>
      </c>
      <c r="AC873" s="126">
        <v>6</v>
      </c>
      <c r="AD873" s="126">
        <v>2026</v>
      </c>
    </row>
    <row r="874" spans="3:30">
      <c r="C874" s="126">
        <v>867</v>
      </c>
      <c r="D874" s="126">
        <v>73</v>
      </c>
      <c r="E874" s="126">
        <v>10</v>
      </c>
      <c r="F874" s="126">
        <v>1</v>
      </c>
      <c r="G874" s="126">
        <v>1</v>
      </c>
      <c r="H874" s="126">
        <v>1</v>
      </c>
      <c r="I874" s="126">
        <v>1</v>
      </c>
      <c r="J874" s="126">
        <v>181</v>
      </c>
      <c r="P874" s="126">
        <v>250</v>
      </c>
      <c r="R874" s="126" t="s">
        <v>549</v>
      </c>
      <c r="S874" s="259">
        <v>0</v>
      </c>
      <c r="T874" s="259">
        <v>1.5</v>
      </c>
      <c r="U874" s="68" t="s">
        <v>1729</v>
      </c>
      <c r="V874" s="126">
        <v>1</v>
      </c>
      <c r="Z874" s="126">
        <v>1</v>
      </c>
      <c r="AA874" s="126">
        <v>1</v>
      </c>
      <c r="AB874" s="126">
        <v>4</v>
      </c>
      <c r="AC874" s="126">
        <v>6</v>
      </c>
      <c r="AD874" s="126">
        <v>2026</v>
      </c>
    </row>
    <row r="875" spans="3:30">
      <c r="C875" s="126">
        <v>868</v>
      </c>
      <c r="D875" s="126">
        <v>74</v>
      </c>
      <c r="E875" s="126">
        <v>2</v>
      </c>
      <c r="F875" s="126">
        <v>1</v>
      </c>
      <c r="G875" s="126">
        <v>1</v>
      </c>
      <c r="H875" s="126">
        <v>1</v>
      </c>
      <c r="I875" s="126">
        <v>1</v>
      </c>
      <c r="R875" s="126" t="s">
        <v>549</v>
      </c>
      <c r="S875" s="259">
        <v>60.25</v>
      </c>
      <c r="T875" s="259">
        <v>0</v>
      </c>
      <c r="U875" s="68" t="s">
        <v>1731</v>
      </c>
      <c r="V875" s="126">
        <v>1</v>
      </c>
      <c r="Z875" s="126">
        <v>1</v>
      </c>
      <c r="AA875" s="126">
        <v>1</v>
      </c>
      <c r="AB875" s="126">
        <v>4</v>
      </c>
      <c r="AC875" s="126">
        <v>6</v>
      </c>
      <c r="AD875" s="126">
        <v>2026</v>
      </c>
    </row>
    <row r="876" spans="3:30">
      <c r="C876" s="126">
        <v>869</v>
      </c>
      <c r="D876" s="126">
        <v>74</v>
      </c>
      <c r="E876" s="126">
        <v>3</v>
      </c>
      <c r="F876" s="126">
        <v>1</v>
      </c>
      <c r="G876" s="126">
        <v>1</v>
      </c>
      <c r="H876" s="126">
        <v>1</v>
      </c>
      <c r="I876" s="126">
        <v>1</v>
      </c>
      <c r="J876" s="126">
        <v>195</v>
      </c>
      <c r="M876" s="126">
        <v>291</v>
      </c>
      <c r="N876" s="126">
        <v>0</v>
      </c>
      <c r="P876" s="126">
        <v>251</v>
      </c>
      <c r="R876" s="126" t="s">
        <v>549</v>
      </c>
      <c r="S876" s="259">
        <v>0</v>
      </c>
      <c r="T876" s="259">
        <v>43.96</v>
      </c>
      <c r="U876" s="68" t="s">
        <v>1732</v>
      </c>
      <c r="V876" s="126">
        <v>1</v>
      </c>
      <c r="Z876" s="126">
        <v>1</v>
      </c>
      <c r="AA876" s="126">
        <v>1</v>
      </c>
      <c r="AB876" s="126">
        <v>4</v>
      </c>
      <c r="AC876" s="126">
        <v>6</v>
      </c>
      <c r="AD876" s="126">
        <v>2026</v>
      </c>
    </row>
    <row r="877" spans="3:30">
      <c r="C877" s="126">
        <v>870</v>
      </c>
      <c r="D877" s="126">
        <v>74</v>
      </c>
      <c r="E877" s="126">
        <v>11</v>
      </c>
      <c r="F877" s="126">
        <v>1</v>
      </c>
      <c r="G877" s="126">
        <v>1</v>
      </c>
      <c r="H877" s="126">
        <v>1</v>
      </c>
      <c r="I877" s="126">
        <v>1</v>
      </c>
      <c r="J877" s="126">
        <v>195</v>
      </c>
      <c r="M877" s="126">
        <v>291</v>
      </c>
      <c r="N877" s="126">
        <v>1</v>
      </c>
      <c r="P877" s="126">
        <v>251</v>
      </c>
      <c r="R877" s="126" t="s">
        <v>549</v>
      </c>
      <c r="S877" s="259">
        <v>43.96</v>
      </c>
      <c r="T877" s="259">
        <v>0</v>
      </c>
      <c r="U877" s="68" t="s">
        <v>1733</v>
      </c>
      <c r="V877" s="126">
        <v>1</v>
      </c>
      <c r="Z877" s="126">
        <v>1</v>
      </c>
      <c r="AA877" s="126">
        <v>1</v>
      </c>
      <c r="AB877" s="126">
        <v>4</v>
      </c>
      <c r="AC877" s="126">
        <v>6</v>
      </c>
      <c r="AD877" s="126">
        <v>2026</v>
      </c>
    </row>
    <row r="878" spans="3:30">
      <c r="C878" s="126">
        <v>871</v>
      </c>
      <c r="D878" s="126">
        <v>74</v>
      </c>
      <c r="E878" s="126">
        <v>10</v>
      </c>
      <c r="F878" s="126">
        <v>1</v>
      </c>
      <c r="G878" s="126">
        <v>1</v>
      </c>
      <c r="H878" s="126">
        <v>1</v>
      </c>
      <c r="I878" s="126">
        <v>1</v>
      </c>
      <c r="J878" s="126">
        <v>195</v>
      </c>
      <c r="P878" s="126">
        <v>251</v>
      </c>
      <c r="R878" s="126" t="s">
        <v>549</v>
      </c>
      <c r="S878" s="259">
        <v>0</v>
      </c>
      <c r="T878" s="259">
        <v>43.75</v>
      </c>
      <c r="U878" s="68" t="s">
        <v>1734</v>
      </c>
      <c r="V878" s="126">
        <v>1</v>
      </c>
      <c r="Z878" s="126">
        <v>1</v>
      </c>
      <c r="AA878" s="126">
        <v>1</v>
      </c>
      <c r="AB878" s="126">
        <v>4</v>
      </c>
      <c r="AC878" s="126">
        <v>6</v>
      </c>
      <c r="AD878" s="126">
        <v>2026</v>
      </c>
    </row>
    <row r="879" spans="3:30">
      <c r="C879" s="126">
        <v>872</v>
      </c>
      <c r="D879" s="126">
        <v>74</v>
      </c>
      <c r="E879" s="126">
        <v>3</v>
      </c>
      <c r="F879" s="126">
        <v>1</v>
      </c>
      <c r="G879" s="126">
        <v>1</v>
      </c>
      <c r="H879" s="126">
        <v>1</v>
      </c>
      <c r="I879" s="126">
        <v>1</v>
      </c>
      <c r="J879" s="126">
        <v>197</v>
      </c>
      <c r="M879" s="126">
        <v>292</v>
      </c>
      <c r="N879" s="126">
        <v>0</v>
      </c>
      <c r="P879" s="126">
        <v>252</v>
      </c>
      <c r="R879" s="126" t="s">
        <v>549</v>
      </c>
      <c r="S879" s="259">
        <v>0</v>
      </c>
      <c r="T879" s="259">
        <v>16.72</v>
      </c>
      <c r="U879" s="68" t="s">
        <v>1735</v>
      </c>
      <c r="V879" s="126">
        <v>1</v>
      </c>
      <c r="Z879" s="126">
        <v>1</v>
      </c>
      <c r="AA879" s="126">
        <v>1</v>
      </c>
      <c r="AB879" s="126">
        <v>4</v>
      </c>
      <c r="AC879" s="126">
        <v>6</v>
      </c>
      <c r="AD879" s="126">
        <v>2026</v>
      </c>
    </row>
    <row r="880" spans="3:30">
      <c r="C880" s="126">
        <v>873</v>
      </c>
      <c r="D880" s="126">
        <v>74</v>
      </c>
      <c r="E880" s="126">
        <v>11</v>
      </c>
      <c r="F880" s="126">
        <v>1</v>
      </c>
      <c r="G880" s="126">
        <v>1</v>
      </c>
      <c r="H880" s="126">
        <v>1</v>
      </c>
      <c r="I880" s="126">
        <v>1</v>
      </c>
      <c r="J880" s="126">
        <v>197</v>
      </c>
      <c r="M880" s="126">
        <v>292</v>
      </c>
      <c r="N880" s="126">
        <v>1</v>
      </c>
      <c r="P880" s="126">
        <v>252</v>
      </c>
      <c r="R880" s="126" t="s">
        <v>549</v>
      </c>
      <c r="S880" s="259">
        <v>16.72</v>
      </c>
      <c r="T880" s="259">
        <v>0</v>
      </c>
      <c r="U880" s="68" t="s">
        <v>1736</v>
      </c>
      <c r="V880" s="126">
        <v>1</v>
      </c>
      <c r="Z880" s="126">
        <v>1</v>
      </c>
      <c r="AA880" s="126">
        <v>1</v>
      </c>
      <c r="AB880" s="126">
        <v>4</v>
      </c>
      <c r="AC880" s="126">
        <v>6</v>
      </c>
      <c r="AD880" s="126">
        <v>2026</v>
      </c>
    </row>
    <row r="881" spans="3:30">
      <c r="C881" s="126">
        <v>874</v>
      </c>
      <c r="D881" s="126">
        <v>74</v>
      </c>
      <c r="E881" s="126">
        <v>10</v>
      </c>
      <c r="F881" s="126">
        <v>1</v>
      </c>
      <c r="G881" s="126">
        <v>1</v>
      </c>
      <c r="H881" s="126">
        <v>1</v>
      </c>
      <c r="I881" s="126">
        <v>1</v>
      </c>
      <c r="J881" s="126">
        <v>197</v>
      </c>
      <c r="P881" s="126">
        <v>252</v>
      </c>
      <c r="R881" s="126" t="s">
        <v>549</v>
      </c>
      <c r="S881" s="259">
        <v>0</v>
      </c>
      <c r="T881" s="259">
        <v>16.5</v>
      </c>
      <c r="U881" s="68" t="s">
        <v>1737</v>
      </c>
      <c r="V881" s="126">
        <v>1</v>
      </c>
      <c r="Z881" s="126">
        <v>1</v>
      </c>
      <c r="AA881" s="126">
        <v>1</v>
      </c>
      <c r="AB881" s="126">
        <v>4</v>
      </c>
      <c r="AC881" s="126">
        <v>6</v>
      </c>
      <c r="AD881" s="126">
        <v>2026</v>
      </c>
    </row>
    <row r="882" spans="3:30">
      <c r="C882" s="126">
        <v>875</v>
      </c>
      <c r="D882" s="126">
        <v>75</v>
      </c>
      <c r="E882" s="126">
        <v>2</v>
      </c>
      <c r="F882" s="126">
        <v>1</v>
      </c>
      <c r="G882" s="126">
        <v>1</v>
      </c>
      <c r="H882" s="126">
        <v>1</v>
      </c>
      <c r="I882" s="126">
        <v>1</v>
      </c>
      <c r="R882" s="126" t="s">
        <v>549</v>
      </c>
      <c r="S882" s="259">
        <v>81.75</v>
      </c>
      <c r="T882" s="259">
        <v>0</v>
      </c>
      <c r="U882" s="68" t="s">
        <v>1739</v>
      </c>
      <c r="V882" s="126">
        <v>1</v>
      </c>
      <c r="Z882" s="126">
        <v>1</v>
      </c>
      <c r="AA882" s="126">
        <v>1</v>
      </c>
      <c r="AB882" s="126">
        <v>4</v>
      </c>
      <c r="AC882" s="126">
        <v>6</v>
      </c>
      <c r="AD882" s="126">
        <v>2026</v>
      </c>
    </row>
    <row r="883" spans="3:30">
      <c r="C883" s="126">
        <v>876</v>
      </c>
      <c r="D883" s="126">
        <v>75</v>
      </c>
      <c r="E883" s="126">
        <v>3</v>
      </c>
      <c r="F883" s="126">
        <v>1</v>
      </c>
      <c r="G883" s="126">
        <v>1</v>
      </c>
      <c r="H883" s="126">
        <v>1</v>
      </c>
      <c r="I883" s="126">
        <v>1</v>
      </c>
      <c r="J883" s="126">
        <v>177</v>
      </c>
      <c r="M883" s="126">
        <v>293</v>
      </c>
      <c r="N883" s="126">
        <v>0</v>
      </c>
      <c r="P883" s="126">
        <v>253</v>
      </c>
      <c r="R883" s="126" t="s">
        <v>549</v>
      </c>
      <c r="S883" s="259">
        <v>0</v>
      </c>
      <c r="T883" s="259">
        <v>20.75</v>
      </c>
      <c r="U883" s="68" t="s">
        <v>1740</v>
      </c>
      <c r="V883" s="126">
        <v>1</v>
      </c>
      <c r="Z883" s="126">
        <v>1</v>
      </c>
      <c r="AA883" s="126">
        <v>1</v>
      </c>
      <c r="AB883" s="126">
        <v>4</v>
      </c>
      <c r="AC883" s="126">
        <v>6</v>
      </c>
      <c r="AD883" s="126">
        <v>2026</v>
      </c>
    </row>
    <row r="884" spans="3:30">
      <c r="C884" s="126">
        <v>877</v>
      </c>
      <c r="D884" s="126">
        <v>75</v>
      </c>
      <c r="E884" s="126">
        <v>11</v>
      </c>
      <c r="F884" s="126">
        <v>1</v>
      </c>
      <c r="G884" s="126">
        <v>1</v>
      </c>
      <c r="H884" s="126">
        <v>1</v>
      </c>
      <c r="I884" s="126">
        <v>1</v>
      </c>
      <c r="J884" s="126">
        <v>177</v>
      </c>
      <c r="M884" s="126">
        <v>293</v>
      </c>
      <c r="N884" s="126">
        <v>1</v>
      </c>
      <c r="P884" s="126">
        <v>253</v>
      </c>
      <c r="R884" s="126" t="s">
        <v>549</v>
      </c>
      <c r="S884" s="259">
        <v>20.75</v>
      </c>
      <c r="T884" s="259">
        <v>0</v>
      </c>
      <c r="U884" s="68" t="s">
        <v>1741</v>
      </c>
      <c r="V884" s="126">
        <v>1</v>
      </c>
      <c r="Z884" s="126">
        <v>1</v>
      </c>
      <c r="AA884" s="126">
        <v>1</v>
      </c>
      <c r="AB884" s="126">
        <v>4</v>
      </c>
      <c r="AC884" s="126">
        <v>6</v>
      </c>
      <c r="AD884" s="126">
        <v>2026</v>
      </c>
    </row>
    <row r="885" spans="3:30">
      <c r="C885" s="126">
        <v>878</v>
      </c>
      <c r="D885" s="126">
        <v>75</v>
      </c>
      <c r="E885" s="126">
        <v>10</v>
      </c>
      <c r="F885" s="126">
        <v>1</v>
      </c>
      <c r="G885" s="126">
        <v>1</v>
      </c>
      <c r="H885" s="126">
        <v>1</v>
      </c>
      <c r="I885" s="126">
        <v>1</v>
      </c>
      <c r="J885" s="126">
        <v>177</v>
      </c>
      <c r="P885" s="126">
        <v>253</v>
      </c>
      <c r="R885" s="126" t="s">
        <v>549</v>
      </c>
      <c r="S885" s="259">
        <v>0</v>
      </c>
      <c r="T885" s="259">
        <v>22.5</v>
      </c>
      <c r="U885" s="68" t="s">
        <v>1742</v>
      </c>
      <c r="V885" s="126">
        <v>1</v>
      </c>
      <c r="Z885" s="126">
        <v>1</v>
      </c>
      <c r="AA885" s="126">
        <v>1</v>
      </c>
      <c r="AB885" s="126">
        <v>4</v>
      </c>
      <c r="AC885" s="126">
        <v>6</v>
      </c>
      <c r="AD885" s="126">
        <v>2026</v>
      </c>
    </row>
    <row r="886" spans="3:30">
      <c r="C886" s="126">
        <v>879</v>
      </c>
      <c r="D886" s="126">
        <v>75</v>
      </c>
      <c r="E886" s="126">
        <v>3</v>
      </c>
      <c r="F886" s="126">
        <v>1</v>
      </c>
      <c r="G886" s="126">
        <v>1</v>
      </c>
      <c r="H886" s="126">
        <v>1</v>
      </c>
      <c r="I886" s="126">
        <v>1</v>
      </c>
      <c r="J886" s="126">
        <v>54</v>
      </c>
      <c r="M886" s="126">
        <v>294</v>
      </c>
      <c r="N886" s="126">
        <v>0</v>
      </c>
      <c r="P886" s="126">
        <v>254</v>
      </c>
      <c r="R886" s="126" t="s">
        <v>549</v>
      </c>
      <c r="S886" s="259">
        <v>0</v>
      </c>
      <c r="T886" s="259">
        <v>2.12</v>
      </c>
      <c r="U886" s="68" t="s">
        <v>1745</v>
      </c>
      <c r="V886" s="126">
        <v>1</v>
      </c>
      <c r="Z886" s="126">
        <v>1</v>
      </c>
      <c r="AA886" s="126">
        <v>1</v>
      </c>
      <c r="AB886" s="126">
        <v>4</v>
      </c>
      <c r="AC886" s="126">
        <v>6</v>
      </c>
      <c r="AD886" s="126">
        <v>2026</v>
      </c>
    </row>
    <row r="887" spans="3:30">
      <c r="C887" s="126">
        <v>880</v>
      </c>
      <c r="D887" s="126">
        <v>75</v>
      </c>
      <c r="E887" s="126">
        <v>11</v>
      </c>
      <c r="F887" s="126">
        <v>1</v>
      </c>
      <c r="G887" s="126">
        <v>1</v>
      </c>
      <c r="H887" s="126">
        <v>1</v>
      </c>
      <c r="I887" s="126">
        <v>1</v>
      </c>
      <c r="J887" s="126">
        <v>54</v>
      </c>
      <c r="M887" s="126">
        <v>294</v>
      </c>
      <c r="N887" s="126">
        <v>1</v>
      </c>
      <c r="P887" s="126">
        <v>254</v>
      </c>
      <c r="R887" s="126" t="s">
        <v>549</v>
      </c>
      <c r="S887" s="259">
        <v>2.12</v>
      </c>
      <c r="T887" s="259">
        <v>0</v>
      </c>
      <c r="U887" s="68" t="s">
        <v>1746</v>
      </c>
      <c r="V887" s="126">
        <v>1</v>
      </c>
      <c r="Z887" s="126">
        <v>1</v>
      </c>
      <c r="AA887" s="126">
        <v>1</v>
      </c>
      <c r="AB887" s="126">
        <v>4</v>
      </c>
      <c r="AC887" s="126">
        <v>6</v>
      </c>
      <c r="AD887" s="126">
        <v>2026</v>
      </c>
    </row>
    <row r="888" spans="3:30">
      <c r="C888" s="126">
        <v>881</v>
      </c>
      <c r="D888" s="126">
        <v>75</v>
      </c>
      <c r="E888" s="126">
        <v>10</v>
      </c>
      <c r="F888" s="126">
        <v>1</v>
      </c>
      <c r="G888" s="126">
        <v>1</v>
      </c>
      <c r="H888" s="126">
        <v>1</v>
      </c>
      <c r="I888" s="126">
        <v>1</v>
      </c>
      <c r="J888" s="126">
        <v>54</v>
      </c>
      <c r="P888" s="126">
        <v>254</v>
      </c>
      <c r="R888" s="126" t="s">
        <v>549</v>
      </c>
      <c r="S888" s="259">
        <v>0</v>
      </c>
      <c r="T888" s="259">
        <v>2.25</v>
      </c>
      <c r="U888" s="68" t="s">
        <v>1747</v>
      </c>
      <c r="V888" s="126">
        <v>1</v>
      </c>
      <c r="Z888" s="126">
        <v>1</v>
      </c>
      <c r="AA888" s="126">
        <v>1</v>
      </c>
      <c r="AB888" s="126">
        <v>4</v>
      </c>
      <c r="AC888" s="126">
        <v>6</v>
      </c>
      <c r="AD888" s="126">
        <v>2026</v>
      </c>
    </row>
    <row r="889" spans="3:30">
      <c r="C889" s="126">
        <v>882</v>
      </c>
      <c r="D889" s="126">
        <v>75</v>
      </c>
      <c r="E889" s="126">
        <v>3</v>
      </c>
      <c r="F889" s="126">
        <v>1</v>
      </c>
      <c r="G889" s="126">
        <v>1</v>
      </c>
      <c r="H889" s="126">
        <v>1</v>
      </c>
      <c r="I889" s="126">
        <v>1</v>
      </c>
      <c r="J889" s="126">
        <v>32</v>
      </c>
      <c r="M889" s="126">
        <v>295</v>
      </c>
      <c r="N889" s="126">
        <v>0</v>
      </c>
      <c r="P889" s="126">
        <v>255</v>
      </c>
      <c r="R889" s="126" t="s">
        <v>549</v>
      </c>
      <c r="S889" s="259">
        <v>0</v>
      </c>
      <c r="T889" s="259">
        <v>1.04</v>
      </c>
      <c r="U889" s="68" t="s">
        <v>1750</v>
      </c>
      <c r="V889" s="126">
        <v>1</v>
      </c>
      <c r="Z889" s="126">
        <v>1</v>
      </c>
      <c r="AA889" s="126">
        <v>1</v>
      </c>
      <c r="AB889" s="126">
        <v>4</v>
      </c>
      <c r="AC889" s="126">
        <v>6</v>
      </c>
      <c r="AD889" s="126">
        <v>2026</v>
      </c>
    </row>
    <row r="890" spans="3:30">
      <c r="C890" s="126">
        <v>883</v>
      </c>
      <c r="D890" s="126">
        <v>75</v>
      </c>
      <c r="E890" s="126">
        <v>11</v>
      </c>
      <c r="F890" s="126">
        <v>1</v>
      </c>
      <c r="G890" s="126">
        <v>1</v>
      </c>
      <c r="H890" s="126">
        <v>1</v>
      </c>
      <c r="I890" s="126">
        <v>1</v>
      </c>
      <c r="J890" s="126">
        <v>32</v>
      </c>
      <c r="M890" s="126">
        <v>295</v>
      </c>
      <c r="N890" s="126">
        <v>1</v>
      </c>
      <c r="P890" s="126">
        <v>255</v>
      </c>
      <c r="R890" s="126" t="s">
        <v>549</v>
      </c>
      <c r="S890" s="259">
        <v>1.04</v>
      </c>
      <c r="T890" s="259">
        <v>0</v>
      </c>
      <c r="U890" s="68" t="s">
        <v>1751</v>
      </c>
      <c r="V890" s="126">
        <v>1</v>
      </c>
      <c r="Z890" s="126">
        <v>1</v>
      </c>
      <c r="AA890" s="126">
        <v>1</v>
      </c>
      <c r="AB890" s="126">
        <v>4</v>
      </c>
      <c r="AC890" s="126">
        <v>6</v>
      </c>
      <c r="AD890" s="126">
        <v>2026</v>
      </c>
    </row>
    <row r="891" spans="3:30">
      <c r="C891" s="126">
        <v>884</v>
      </c>
      <c r="D891" s="126">
        <v>75</v>
      </c>
      <c r="E891" s="126">
        <v>10</v>
      </c>
      <c r="F891" s="126">
        <v>1</v>
      </c>
      <c r="G891" s="126">
        <v>1</v>
      </c>
      <c r="H891" s="126">
        <v>1</v>
      </c>
      <c r="I891" s="126">
        <v>1</v>
      </c>
      <c r="J891" s="126">
        <v>32</v>
      </c>
      <c r="P891" s="126">
        <v>255</v>
      </c>
      <c r="R891" s="126" t="s">
        <v>549</v>
      </c>
      <c r="S891" s="259">
        <v>0</v>
      </c>
      <c r="T891" s="259">
        <v>2.5</v>
      </c>
      <c r="U891" s="68" t="s">
        <v>1752</v>
      </c>
      <c r="V891" s="126">
        <v>1</v>
      </c>
      <c r="Z891" s="126">
        <v>1</v>
      </c>
      <c r="AA891" s="126">
        <v>1</v>
      </c>
      <c r="AB891" s="126">
        <v>4</v>
      </c>
      <c r="AC891" s="126">
        <v>6</v>
      </c>
      <c r="AD891" s="126">
        <v>2026</v>
      </c>
    </row>
    <row r="892" spans="3:30">
      <c r="C892" s="126">
        <v>885</v>
      </c>
      <c r="D892" s="126">
        <v>75</v>
      </c>
      <c r="E892" s="126">
        <v>3</v>
      </c>
      <c r="F892" s="126">
        <v>1</v>
      </c>
      <c r="G892" s="126">
        <v>1</v>
      </c>
      <c r="H892" s="126">
        <v>1</v>
      </c>
      <c r="I892" s="126">
        <v>1</v>
      </c>
      <c r="J892" s="126">
        <v>162</v>
      </c>
      <c r="M892" s="126">
        <v>296</v>
      </c>
      <c r="N892" s="126">
        <v>0</v>
      </c>
      <c r="P892" s="126">
        <v>256</v>
      </c>
      <c r="R892" s="126" t="s">
        <v>549</v>
      </c>
      <c r="S892" s="259">
        <v>0</v>
      </c>
      <c r="T892" s="259">
        <v>53</v>
      </c>
      <c r="U892" s="68" t="s">
        <v>1753</v>
      </c>
      <c r="V892" s="126">
        <v>1</v>
      </c>
      <c r="Z892" s="126">
        <v>1</v>
      </c>
      <c r="AA892" s="126">
        <v>1</v>
      </c>
      <c r="AB892" s="126">
        <v>4</v>
      </c>
      <c r="AC892" s="126">
        <v>6</v>
      </c>
      <c r="AD892" s="126">
        <v>2026</v>
      </c>
    </row>
    <row r="893" spans="3:30">
      <c r="C893" s="126">
        <v>886</v>
      </c>
      <c r="D893" s="126">
        <v>75</v>
      </c>
      <c r="E893" s="126">
        <v>11</v>
      </c>
      <c r="F893" s="126">
        <v>1</v>
      </c>
      <c r="G893" s="126">
        <v>1</v>
      </c>
      <c r="H893" s="126">
        <v>1</v>
      </c>
      <c r="I893" s="126">
        <v>1</v>
      </c>
      <c r="J893" s="126">
        <v>162</v>
      </c>
      <c r="M893" s="126">
        <v>296</v>
      </c>
      <c r="N893" s="126">
        <v>1</v>
      </c>
      <c r="P893" s="126">
        <v>256</v>
      </c>
      <c r="R893" s="126" t="s">
        <v>549</v>
      </c>
      <c r="S893" s="259">
        <v>53</v>
      </c>
      <c r="T893" s="259">
        <v>0</v>
      </c>
      <c r="U893" s="68" t="s">
        <v>1754</v>
      </c>
      <c r="V893" s="126">
        <v>1</v>
      </c>
      <c r="Z893" s="126">
        <v>1</v>
      </c>
      <c r="AA893" s="126">
        <v>1</v>
      </c>
      <c r="AB893" s="126">
        <v>4</v>
      </c>
      <c r="AC893" s="126">
        <v>6</v>
      </c>
      <c r="AD893" s="126">
        <v>2026</v>
      </c>
    </row>
    <row r="894" spans="3:30">
      <c r="C894" s="126">
        <v>887</v>
      </c>
      <c r="D894" s="126">
        <v>75</v>
      </c>
      <c r="E894" s="126">
        <v>10</v>
      </c>
      <c r="F894" s="126">
        <v>1</v>
      </c>
      <c r="G894" s="126">
        <v>1</v>
      </c>
      <c r="H894" s="126">
        <v>1</v>
      </c>
      <c r="I894" s="126">
        <v>1</v>
      </c>
      <c r="J894" s="126">
        <v>162</v>
      </c>
      <c r="P894" s="126">
        <v>256</v>
      </c>
      <c r="R894" s="126" t="s">
        <v>549</v>
      </c>
      <c r="S894" s="259">
        <v>0</v>
      </c>
      <c r="T894" s="259">
        <v>54.5</v>
      </c>
      <c r="U894" s="68" t="s">
        <v>1755</v>
      </c>
      <c r="V894" s="126">
        <v>1</v>
      </c>
      <c r="Z894" s="126">
        <v>1</v>
      </c>
      <c r="AA894" s="126">
        <v>1</v>
      </c>
      <c r="AB894" s="126">
        <v>4</v>
      </c>
      <c r="AC894" s="126">
        <v>6</v>
      </c>
      <c r="AD894" s="126">
        <v>2026</v>
      </c>
    </row>
    <row r="895" spans="3:30">
      <c r="C895" s="126">
        <v>888</v>
      </c>
      <c r="D895" s="126">
        <v>76</v>
      </c>
      <c r="E895" s="126">
        <v>2</v>
      </c>
      <c r="F895" s="126">
        <v>1</v>
      </c>
      <c r="G895" s="126">
        <v>1</v>
      </c>
      <c r="H895" s="126">
        <v>1</v>
      </c>
      <c r="I895" s="126">
        <v>1</v>
      </c>
      <c r="R895" s="126" t="s">
        <v>549</v>
      </c>
      <c r="S895" s="259">
        <v>89.25</v>
      </c>
      <c r="T895" s="259">
        <v>0</v>
      </c>
      <c r="U895" s="68" t="s">
        <v>1757</v>
      </c>
      <c r="V895" s="126">
        <v>1</v>
      </c>
      <c r="Z895" s="126">
        <v>1</v>
      </c>
      <c r="AA895" s="126">
        <v>1</v>
      </c>
      <c r="AB895" s="126">
        <v>4</v>
      </c>
      <c r="AC895" s="126">
        <v>6</v>
      </c>
      <c r="AD895" s="126">
        <v>2026</v>
      </c>
    </row>
    <row r="896" spans="3:30">
      <c r="C896" s="126">
        <v>889</v>
      </c>
      <c r="D896" s="126">
        <v>76</v>
      </c>
      <c r="E896" s="126">
        <v>3</v>
      </c>
      <c r="F896" s="126">
        <v>1</v>
      </c>
      <c r="G896" s="126">
        <v>1</v>
      </c>
      <c r="H896" s="126">
        <v>1</v>
      </c>
      <c r="I896" s="126">
        <v>1</v>
      </c>
      <c r="J896" s="126">
        <v>179</v>
      </c>
      <c r="M896" s="126">
        <v>297</v>
      </c>
      <c r="N896" s="126">
        <v>0</v>
      </c>
      <c r="P896" s="126">
        <v>257</v>
      </c>
      <c r="R896" s="126" t="s">
        <v>549</v>
      </c>
      <c r="S896" s="259">
        <v>0</v>
      </c>
      <c r="T896" s="259">
        <v>23.75</v>
      </c>
      <c r="U896" s="68" t="s">
        <v>1758</v>
      </c>
      <c r="V896" s="126">
        <v>1</v>
      </c>
      <c r="Z896" s="126">
        <v>1</v>
      </c>
      <c r="AA896" s="126">
        <v>1</v>
      </c>
      <c r="AB896" s="126">
        <v>4</v>
      </c>
      <c r="AC896" s="126">
        <v>6</v>
      </c>
      <c r="AD896" s="126">
        <v>2026</v>
      </c>
    </row>
    <row r="897" spans="3:30">
      <c r="C897" s="126">
        <v>890</v>
      </c>
      <c r="D897" s="126">
        <v>76</v>
      </c>
      <c r="E897" s="126">
        <v>11</v>
      </c>
      <c r="F897" s="126">
        <v>1</v>
      </c>
      <c r="G897" s="126">
        <v>1</v>
      </c>
      <c r="H897" s="126">
        <v>1</v>
      </c>
      <c r="I897" s="126">
        <v>1</v>
      </c>
      <c r="J897" s="126">
        <v>179</v>
      </c>
      <c r="M897" s="126">
        <v>297</v>
      </c>
      <c r="N897" s="126">
        <v>1</v>
      </c>
      <c r="P897" s="126">
        <v>257</v>
      </c>
      <c r="R897" s="126" t="s">
        <v>549</v>
      </c>
      <c r="S897" s="259">
        <v>23.75</v>
      </c>
      <c r="T897" s="259">
        <v>0</v>
      </c>
      <c r="U897" s="68" t="s">
        <v>1759</v>
      </c>
      <c r="V897" s="126">
        <v>1</v>
      </c>
      <c r="Z897" s="126">
        <v>1</v>
      </c>
      <c r="AA897" s="126">
        <v>1</v>
      </c>
      <c r="AB897" s="126">
        <v>4</v>
      </c>
      <c r="AC897" s="126">
        <v>6</v>
      </c>
      <c r="AD897" s="126">
        <v>2026</v>
      </c>
    </row>
    <row r="898" spans="3:30">
      <c r="C898" s="126">
        <v>891</v>
      </c>
      <c r="D898" s="126">
        <v>76</v>
      </c>
      <c r="E898" s="126">
        <v>10</v>
      </c>
      <c r="F898" s="126">
        <v>1</v>
      </c>
      <c r="G898" s="126">
        <v>1</v>
      </c>
      <c r="H898" s="126">
        <v>1</v>
      </c>
      <c r="I898" s="126">
        <v>1</v>
      </c>
      <c r="J898" s="126">
        <v>179</v>
      </c>
      <c r="P898" s="126">
        <v>257</v>
      </c>
      <c r="R898" s="126" t="s">
        <v>549</v>
      </c>
      <c r="S898" s="259">
        <v>0</v>
      </c>
      <c r="T898" s="259">
        <v>26.25</v>
      </c>
      <c r="U898" s="68" t="s">
        <v>1760</v>
      </c>
      <c r="V898" s="126">
        <v>1</v>
      </c>
      <c r="Z898" s="126">
        <v>1</v>
      </c>
      <c r="AA898" s="126">
        <v>1</v>
      </c>
      <c r="AB898" s="126">
        <v>4</v>
      </c>
      <c r="AC898" s="126">
        <v>6</v>
      </c>
      <c r="AD898" s="126">
        <v>2026</v>
      </c>
    </row>
    <row r="899" spans="3:30">
      <c r="C899" s="126">
        <v>892</v>
      </c>
      <c r="D899" s="126">
        <v>76</v>
      </c>
      <c r="E899" s="126">
        <v>3</v>
      </c>
      <c r="F899" s="126">
        <v>1</v>
      </c>
      <c r="G899" s="126">
        <v>1</v>
      </c>
      <c r="H899" s="126">
        <v>1</v>
      </c>
      <c r="I899" s="126">
        <v>1</v>
      </c>
      <c r="J899" s="126">
        <v>54</v>
      </c>
      <c r="M899" s="126">
        <v>298</v>
      </c>
      <c r="N899" s="126">
        <v>0</v>
      </c>
      <c r="P899" s="126">
        <v>258</v>
      </c>
      <c r="R899" s="126" t="s">
        <v>549</v>
      </c>
      <c r="S899" s="259">
        <v>0</v>
      </c>
      <c r="T899" s="259">
        <v>14.84</v>
      </c>
      <c r="U899" s="68" t="s">
        <v>1761</v>
      </c>
      <c r="V899" s="126">
        <v>1</v>
      </c>
      <c r="Z899" s="126">
        <v>1</v>
      </c>
      <c r="AA899" s="126">
        <v>1</v>
      </c>
      <c r="AB899" s="126">
        <v>4</v>
      </c>
      <c r="AC899" s="126">
        <v>6</v>
      </c>
      <c r="AD899" s="126">
        <v>2026</v>
      </c>
    </row>
    <row r="900" spans="3:30">
      <c r="C900" s="126">
        <v>893</v>
      </c>
      <c r="D900" s="126">
        <v>76</v>
      </c>
      <c r="E900" s="126">
        <v>11</v>
      </c>
      <c r="F900" s="126">
        <v>1</v>
      </c>
      <c r="G900" s="126">
        <v>1</v>
      </c>
      <c r="H900" s="126">
        <v>1</v>
      </c>
      <c r="I900" s="126">
        <v>1</v>
      </c>
      <c r="J900" s="126">
        <v>54</v>
      </c>
      <c r="M900" s="126">
        <v>298</v>
      </c>
      <c r="N900" s="126">
        <v>1</v>
      </c>
      <c r="P900" s="126">
        <v>258</v>
      </c>
      <c r="R900" s="126" t="s">
        <v>549</v>
      </c>
      <c r="S900" s="259">
        <v>14.84</v>
      </c>
      <c r="T900" s="259">
        <v>0</v>
      </c>
      <c r="U900" s="68" t="s">
        <v>1762</v>
      </c>
      <c r="V900" s="126">
        <v>1</v>
      </c>
      <c r="Z900" s="126">
        <v>1</v>
      </c>
      <c r="AA900" s="126">
        <v>1</v>
      </c>
      <c r="AB900" s="126">
        <v>4</v>
      </c>
      <c r="AC900" s="126">
        <v>6</v>
      </c>
      <c r="AD900" s="126">
        <v>2026</v>
      </c>
    </row>
    <row r="901" spans="3:30">
      <c r="C901" s="126">
        <v>894</v>
      </c>
      <c r="D901" s="126">
        <v>76</v>
      </c>
      <c r="E901" s="126">
        <v>10</v>
      </c>
      <c r="F901" s="126">
        <v>1</v>
      </c>
      <c r="G901" s="126">
        <v>1</v>
      </c>
      <c r="H901" s="126">
        <v>1</v>
      </c>
      <c r="I901" s="126">
        <v>1</v>
      </c>
      <c r="J901" s="126">
        <v>54</v>
      </c>
      <c r="P901" s="126">
        <v>258</v>
      </c>
      <c r="R901" s="126" t="s">
        <v>549</v>
      </c>
      <c r="S901" s="259">
        <v>0</v>
      </c>
      <c r="T901" s="259">
        <v>21</v>
      </c>
      <c r="U901" s="68" t="s">
        <v>1763</v>
      </c>
      <c r="V901" s="126">
        <v>1</v>
      </c>
      <c r="Z901" s="126">
        <v>1</v>
      </c>
      <c r="AA901" s="126">
        <v>1</v>
      </c>
      <c r="AB901" s="126">
        <v>4</v>
      </c>
      <c r="AC901" s="126">
        <v>6</v>
      </c>
      <c r="AD901" s="126">
        <v>2026</v>
      </c>
    </row>
    <row r="902" spans="3:30">
      <c r="C902" s="126">
        <v>895</v>
      </c>
      <c r="D902" s="126">
        <v>76</v>
      </c>
      <c r="E902" s="126">
        <v>3</v>
      </c>
      <c r="F902" s="126">
        <v>1</v>
      </c>
      <c r="G902" s="126">
        <v>1</v>
      </c>
      <c r="H902" s="126">
        <v>1</v>
      </c>
      <c r="I902" s="126">
        <v>1</v>
      </c>
      <c r="J902" s="126">
        <v>16</v>
      </c>
      <c r="M902" s="126">
        <v>299</v>
      </c>
      <c r="N902" s="126">
        <v>0</v>
      </c>
      <c r="P902" s="126">
        <v>259</v>
      </c>
      <c r="R902" s="126" t="s">
        <v>549</v>
      </c>
      <c r="S902" s="259">
        <v>0</v>
      </c>
      <c r="T902" s="259">
        <v>14.700000000000001</v>
      </c>
      <c r="U902" s="68" t="s">
        <v>1764</v>
      </c>
      <c r="V902" s="126">
        <v>1</v>
      </c>
      <c r="Z902" s="126">
        <v>1</v>
      </c>
      <c r="AA902" s="126">
        <v>1</v>
      </c>
      <c r="AB902" s="126">
        <v>4</v>
      </c>
      <c r="AC902" s="126">
        <v>6</v>
      </c>
      <c r="AD902" s="126">
        <v>2026</v>
      </c>
    </row>
    <row r="903" spans="3:30">
      <c r="C903" s="126">
        <v>896</v>
      </c>
      <c r="D903" s="126">
        <v>76</v>
      </c>
      <c r="E903" s="126">
        <v>11</v>
      </c>
      <c r="F903" s="126">
        <v>1</v>
      </c>
      <c r="G903" s="126">
        <v>1</v>
      </c>
      <c r="H903" s="126">
        <v>1</v>
      </c>
      <c r="I903" s="126">
        <v>1</v>
      </c>
      <c r="J903" s="126">
        <v>16</v>
      </c>
      <c r="M903" s="126">
        <v>299</v>
      </c>
      <c r="N903" s="126">
        <v>1</v>
      </c>
      <c r="P903" s="126">
        <v>259</v>
      </c>
      <c r="R903" s="126" t="s">
        <v>549</v>
      </c>
      <c r="S903" s="259">
        <v>14.700000000000001</v>
      </c>
      <c r="T903" s="259">
        <v>0</v>
      </c>
      <c r="U903" s="68" t="s">
        <v>1765</v>
      </c>
      <c r="V903" s="126">
        <v>1</v>
      </c>
      <c r="Z903" s="126">
        <v>1</v>
      </c>
      <c r="AA903" s="126">
        <v>1</v>
      </c>
      <c r="AB903" s="126">
        <v>4</v>
      </c>
      <c r="AC903" s="126">
        <v>6</v>
      </c>
      <c r="AD903" s="126">
        <v>2026</v>
      </c>
    </row>
    <row r="904" spans="3:30">
      <c r="C904" s="126">
        <v>897</v>
      </c>
      <c r="D904" s="126">
        <v>76</v>
      </c>
      <c r="E904" s="126">
        <v>10</v>
      </c>
      <c r="F904" s="126">
        <v>1</v>
      </c>
      <c r="G904" s="126">
        <v>1</v>
      </c>
      <c r="H904" s="126">
        <v>1</v>
      </c>
      <c r="I904" s="126">
        <v>1</v>
      </c>
      <c r="J904" s="126">
        <v>16</v>
      </c>
      <c r="P904" s="126">
        <v>259</v>
      </c>
      <c r="R904" s="126" t="s">
        <v>549</v>
      </c>
      <c r="S904" s="259">
        <v>0</v>
      </c>
      <c r="T904" s="259">
        <v>21</v>
      </c>
      <c r="U904" s="68" t="s">
        <v>1766</v>
      </c>
      <c r="V904" s="126">
        <v>1</v>
      </c>
      <c r="Z904" s="126">
        <v>1</v>
      </c>
      <c r="AA904" s="126">
        <v>1</v>
      </c>
      <c r="AB904" s="126">
        <v>4</v>
      </c>
      <c r="AC904" s="126">
        <v>6</v>
      </c>
      <c r="AD904" s="126">
        <v>2026</v>
      </c>
    </row>
    <row r="905" spans="3:30">
      <c r="C905" s="126">
        <v>898</v>
      </c>
      <c r="D905" s="126">
        <v>76</v>
      </c>
      <c r="E905" s="126">
        <v>3</v>
      </c>
      <c r="F905" s="126">
        <v>1</v>
      </c>
      <c r="G905" s="126">
        <v>1</v>
      </c>
      <c r="H905" s="126">
        <v>1</v>
      </c>
      <c r="I905" s="126">
        <v>1</v>
      </c>
      <c r="J905" s="126">
        <v>182</v>
      </c>
      <c r="M905" s="126">
        <v>300</v>
      </c>
      <c r="N905" s="126">
        <v>0</v>
      </c>
      <c r="P905" s="126">
        <v>260</v>
      </c>
      <c r="R905" s="126" t="s">
        <v>549</v>
      </c>
      <c r="S905" s="259">
        <v>0</v>
      </c>
      <c r="T905" s="259">
        <v>14</v>
      </c>
      <c r="U905" s="68" t="s">
        <v>1767</v>
      </c>
      <c r="V905" s="126">
        <v>1</v>
      </c>
      <c r="Z905" s="126">
        <v>1</v>
      </c>
      <c r="AA905" s="126">
        <v>1</v>
      </c>
      <c r="AB905" s="126">
        <v>4</v>
      </c>
      <c r="AC905" s="126">
        <v>6</v>
      </c>
      <c r="AD905" s="126">
        <v>2026</v>
      </c>
    </row>
    <row r="906" spans="3:30">
      <c r="C906" s="126">
        <v>899</v>
      </c>
      <c r="D906" s="126">
        <v>76</v>
      </c>
      <c r="E906" s="126">
        <v>11</v>
      </c>
      <c r="F906" s="126">
        <v>1</v>
      </c>
      <c r="G906" s="126">
        <v>1</v>
      </c>
      <c r="H906" s="126">
        <v>1</v>
      </c>
      <c r="I906" s="126">
        <v>1</v>
      </c>
      <c r="J906" s="126">
        <v>182</v>
      </c>
      <c r="M906" s="126">
        <v>300</v>
      </c>
      <c r="N906" s="126">
        <v>1</v>
      </c>
      <c r="P906" s="126">
        <v>260</v>
      </c>
      <c r="R906" s="126" t="s">
        <v>549</v>
      </c>
      <c r="S906" s="259">
        <v>14</v>
      </c>
      <c r="T906" s="259">
        <v>0</v>
      </c>
      <c r="U906" s="68" t="s">
        <v>1768</v>
      </c>
      <c r="V906" s="126">
        <v>1</v>
      </c>
      <c r="Z906" s="126">
        <v>1</v>
      </c>
      <c r="AA906" s="126">
        <v>1</v>
      </c>
      <c r="AB906" s="126">
        <v>4</v>
      </c>
      <c r="AC906" s="126">
        <v>6</v>
      </c>
      <c r="AD906" s="126">
        <v>2026</v>
      </c>
    </row>
    <row r="907" spans="3:30">
      <c r="C907" s="126">
        <v>900</v>
      </c>
      <c r="D907" s="126">
        <v>76</v>
      </c>
      <c r="E907" s="126">
        <v>10</v>
      </c>
      <c r="F907" s="126">
        <v>1</v>
      </c>
      <c r="G907" s="126">
        <v>1</v>
      </c>
      <c r="H907" s="126">
        <v>1</v>
      </c>
      <c r="I907" s="126">
        <v>1</v>
      </c>
      <c r="J907" s="126">
        <v>182</v>
      </c>
      <c r="P907" s="126">
        <v>260</v>
      </c>
      <c r="R907" s="126" t="s">
        <v>549</v>
      </c>
      <c r="S907" s="259">
        <v>0</v>
      </c>
      <c r="T907" s="259">
        <v>21</v>
      </c>
      <c r="U907" s="68" t="s">
        <v>1769</v>
      </c>
      <c r="V907" s="126">
        <v>1</v>
      </c>
      <c r="Z907" s="126">
        <v>1</v>
      </c>
      <c r="AA907" s="126">
        <v>1</v>
      </c>
      <c r="AB907" s="126">
        <v>4</v>
      </c>
      <c r="AC907" s="126">
        <v>6</v>
      </c>
      <c r="AD907" s="126">
        <v>2026</v>
      </c>
    </row>
    <row r="908" spans="3:30">
      <c r="C908" s="126">
        <v>901</v>
      </c>
      <c r="D908" s="126">
        <v>77</v>
      </c>
      <c r="E908" s="126">
        <v>2</v>
      </c>
      <c r="F908" s="126">
        <v>1</v>
      </c>
      <c r="G908" s="126">
        <v>1</v>
      </c>
      <c r="H908" s="126">
        <v>1</v>
      </c>
      <c r="I908" s="126">
        <v>1</v>
      </c>
      <c r="R908" s="126" t="s">
        <v>549</v>
      </c>
      <c r="S908" s="259">
        <v>62.5</v>
      </c>
      <c r="T908" s="259">
        <v>0</v>
      </c>
      <c r="U908" s="68" t="s">
        <v>1772</v>
      </c>
      <c r="V908" s="126">
        <v>1</v>
      </c>
      <c r="Z908" s="126">
        <v>1</v>
      </c>
      <c r="AA908" s="126">
        <v>1</v>
      </c>
      <c r="AB908" s="126">
        <v>4</v>
      </c>
      <c r="AC908" s="126">
        <v>6</v>
      </c>
      <c r="AD908" s="126">
        <v>2026</v>
      </c>
    </row>
    <row r="909" spans="3:30">
      <c r="C909" s="126">
        <v>902</v>
      </c>
      <c r="D909" s="126">
        <v>77</v>
      </c>
      <c r="E909" s="126">
        <v>3</v>
      </c>
      <c r="F909" s="126">
        <v>1</v>
      </c>
      <c r="G909" s="126">
        <v>1</v>
      </c>
      <c r="H909" s="126">
        <v>1</v>
      </c>
      <c r="I909" s="126">
        <v>1</v>
      </c>
      <c r="J909" s="126">
        <v>177</v>
      </c>
      <c r="M909" s="126">
        <v>301</v>
      </c>
      <c r="N909" s="126">
        <v>0</v>
      </c>
      <c r="P909" s="126">
        <v>261</v>
      </c>
      <c r="R909" s="126" t="s">
        <v>549</v>
      </c>
      <c r="S909" s="259">
        <v>0</v>
      </c>
      <c r="T909" s="259">
        <v>24.900000000000002</v>
      </c>
      <c r="U909" s="68" t="s">
        <v>1773</v>
      </c>
      <c r="V909" s="126">
        <v>1</v>
      </c>
      <c r="Z909" s="126">
        <v>1</v>
      </c>
      <c r="AA909" s="126">
        <v>1</v>
      </c>
      <c r="AB909" s="126">
        <v>4</v>
      </c>
      <c r="AC909" s="126">
        <v>6</v>
      </c>
      <c r="AD909" s="126">
        <v>2026</v>
      </c>
    </row>
    <row r="910" spans="3:30">
      <c r="C910" s="126">
        <v>903</v>
      </c>
      <c r="D910" s="126">
        <v>77</v>
      </c>
      <c r="E910" s="126">
        <v>11</v>
      </c>
      <c r="F910" s="126">
        <v>1</v>
      </c>
      <c r="G910" s="126">
        <v>1</v>
      </c>
      <c r="H910" s="126">
        <v>1</v>
      </c>
      <c r="I910" s="126">
        <v>1</v>
      </c>
      <c r="J910" s="126">
        <v>177</v>
      </c>
      <c r="M910" s="126">
        <v>301</v>
      </c>
      <c r="N910" s="126">
        <v>1</v>
      </c>
      <c r="P910" s="126">
        <v>261</v>
      </c>
      <c r="R910" s="126" t="s">
        <v>549</v>
      </c>
      <c r="S910" s="259">
        <v>24.900000000000002</v>
      </c>
      <c r="T910" s="259">
        <v>0</v>
      </c>
      <c r="U910" s="68" t="s">
        <v>1774</v>
      </c>
      <c r="V910" s="126">
        <v>1</v>
      </c>
      <c r="Z910" s="126">
        <v>1</v>
      </c>
      <c r="AA910" s="126">
        <v>1</v>
      </c>
      <c r="AB910" s="126">
        <v>4</v>
      </c>
      <c r="AC910" s="126">
        <v>6</v>
      </c>
      <c r="AD910" s="126">
        <v>2026</v>
      </c>
    </row>
    <row r="911" spans="3:30">
      <c r="C911" s="126">
        <v>904</v>
      </c>
      <c r="D911" s="126">
        <v>77</v>
      </c>
      <c r="E911" s="126">
        <v>10</v>
      </c>
      <c r="F911" s="126">
        <v>1</v>
      </c>
      <c r="G911" s="126">
        <v>1</v>
      </c>
      <c r="H911" s="126">
        <v>1</v>
      </c>
      <c r="I911" s="126">
        <v>1</v>
      </c>
      <c r="J911" s="126">
        <v>177</v>
      </c>
      <c r="P911" s="126">
        <v>261</v>
      </c>
      <c r="R911" s="126" t="s">
        <v>549</v>
      </c>
      <c r="S911" s="259">
        <v>0</v>
      </c>
      <c r="T911" s="259">
        <v>28.5</v>
      </c>
      <c r="U911" s="68" t="s">
        <v>1775</v>
      </c>
      <c r="V911" s="126">
        <v>1</v>
      </c>
      <c r="Z911" s="126">
        <v>1</v>
      </c>
      <c r="AA911" s="126">
        <v>1</v>
      </c>
      <c r="AB911" s="126">
        <v>4</v>
      </c>
      <c r="AC911" s="126">
        <v>6</v>
      </c>
      <c r="AD911" s="126">
        <v>2026</v>
      </c>
    </row>
    <row r="912" spans="3:30">
      <c r="C912" s="126">
        <v>905</v>
      </c>
      <c r="D912" s="126">
        <v>77</v>
      </c>
      <c r="E912" s="126">
        <v>3</v>
      </c>
      <c r="F912" s="126">
        <v>1</v>
      </c>
      <c r="G912" s="126">
        <v>1</v>
      </c>
      <c r="H912" s="126">
        <v>1</v>
      </c>
      <c r="I912" s="126">
        <v>1</v>
      </c>
      <c r="J912" s="126">
        <v>189</v>
      </c>
      <c r="M912" s="126">
        <v>302</v>
      </c>
      <c r="N912" s="126">
        <v>0</v>
      </c>
      <c r="P912" s="126">
        <v>262</v>
      </c>
      <c r="R912" s="126" t="s">
        <v>549</v>
      </c>
      <c r="S912" s="259">
        <v>0</v>
      </c>
      <c r="T912" s="259">
        <v>8.18</v>
      </c>
      <c r="U912" s="68" t="s">
        <v>1776</v>
      </c>
      <c r="V912" s="126">
        <v>1</v>
      </c>
      <c r="Z912" s="126">
        <v>1</v>
      </c>
      <c r="AA912" s="126">
        <v>1</v>
      </c>
      <c r="AB912" s="126">
        <v>4</v>
      </c>
      <c r="AC912" s="126">
        <v>6</v>
      </c>
      <c r="AD912" s="126">
        <v>2026</v>
      </c>
    </row>
    <row r="913" spans="3:30">
      <c r="C913" s="126">
        <v>906</v>
      </c>
      <c r="D913" s="126">
        <v>77</v>
      </c>
      <c r="E913" s="126">
        <v>11</v>
      </c>
      <c r="F913" s="126">
        <v>1</v>
      </c>
      <c r="G913" s="126">
        <v>1</v>
      </c>
      <c r="H913" s="126">
        <v>1</v>
      </c>
      <c r="I913" s="126">
        <v>1</v>
      </c>
      <c r="J913" s="126">
        <v>189</v>
      </c>
      <c r="M913" s="126">
        <v>302</v>
      </c>
      <c r="N913" s="126">
        <v>1</v>
      </c>
      <c r="P913" s="126">
        <v>262</v>
      </c>
      <c r="R913" s="126" t="s">
        <v>549</v>
      </c>
      <c r="S913" s="259">
        <v>8.18</v>
      </c>
      <c r="T913" s="259">
        <v>0</v>
      </c>
      <c r="U913" s="68" t="s">
        <v>1777</v>
      </c>
      <c r="V913" s="126">
        <v>1</v>
      </c>
      <c r="Z913" s="126">
        <v>1</v>
      </c>
      <c r="AA913" s="126">
        <v>1</v>
      </c>
      <c r="AB913" s="126">
        <v>4</v>
      </c>
      <c r="AC913" s="126">
        <v>6</v>
      </c>
      <c r="AD913" s="126">
        <v>2026</v>
      </c>
    </row>
    <row r="914" spans="3:30">
      <c r="C914" s="126">
        <v>907</v>
      </c>
      <c r="D914" s="126">
        <v>77</v>
      </c>
      <c r="E914" s="126">
        <v>10</v>
      </c>
      <c r="F914" s="126">
        <v>1</v>
      </c>
      <c r="G914" s="126">
        <v>1</v>
      </c>
      <c r="H914" s="126">
        <v>1</v>
      </c>
      <c r="I914" s="126">
        <v>1</v>
      </c>
      <c r="J914" s="126">
        <v>189</v>
      </c>
      <c r="P914" s="126">
        <v>262</v>
      </c>
      <c r="R914" s="126" t="s">
        <v>549</v>
      </c>
      <c r="S914" s="259">
        <v>0</v>
      </c>
      <c r="T914" s="259">
        <v>9</v>
      </c>
      <c r="U914" s="68" t="s">
        <v>1778</v>
      </c>
      <c r="V914" s="126">
        <v>1</v>
      </c>
      <c r="Z914" s="126">
        <v>1</v>
      </c>
      <c r="AA914" s="126">
        <v>1</v>
      </c>
      <c r="AB914" s="126">
        <v>4</v>
      </c>
      <c r="AC914" s="126">
        <v>6</v>
      </c>
      <c r="AD914" s="126">
        <v>2026</v>
      </c>
    </row>
    <row r="915" spans="3:30">
      <c r="C915" s="126">
        <v>908</v>
      </c>
      <c r="D915" s="126">
        <v>77</v>
      </c>
      <c r="E915" s="126">
        <v>3</v>
      </c>
      <c r="F915" s="126">
        <v>1</v>
      </c>
      <c r="G915" s="126">
        <v>1</v>
      </c>
      <c r="H915" s="126">
        <v>1</v>
      </c>
      <c r="I915" s="126">
        <v>1</v>
      </c>
      <c r="J915" s="126">
        <v>51</v>
      </c>
      <c r="M915" s="126">
        <v>303</v>
      </c>
      <c r="N915" s="126">
        <v>0</v>
      </c>
      <c r="P915" s="126">
        <v>263</v>
      </c>
      <c r="R915" s="126" t="s">
        <v>549</v>
      </c>
      <c r="S915" s="259">
        <v>0</v>
      </c>
      <c r="T915" s="259">
        <v>22.450000000000003</v>
      </c>
      <c r="U915" s="68" t="s">
        <v>1779</v>
      </c>
      <c r="V915" s="126">
        <v>1</v>
      </c>
      <c r="Z915" s="126">
        <v>1</v>
      </c>
      <c r="AA915" s="126">
        <v>1</v>
      </c>
      <c r="AB915" s="126">
        <v>4</v>
      </c>
      <c r="AC915" s="126">
        <v>6</v>
      </c>
      <c r="AD915" s="126">
        <v>2026</v>
      </c>
    </row>
    <row r="916" spans="3:30">
      <c r="C916" s="126">
        <v>909</v>
      </c>
      <c r="D916" s="126">
        <v>77</v>
      </c>
      <c r="E916" s="126">
        <v>11</v>
      </c>
      <c r="F916" s="126">
        <v>1</v>
      </c>
      <c r="G916" s="126">
        <v>1</v>
      </c>
      <c r="H916" s="126">
        <v>1</v>
      </c>
      <c r="I916" s="126">
        <v>1</v>
      </c>
      <c r="J916" s="126">
        <v>51</v>
      </c>
      <c r="M916" s="126">
        <v>303</v>
      </c>
      <c r="N916" s="126">
        <v>1</v>
      </c>
      <c r="P916" s="126">
        <v>263</v>
      </c>
      <c r="R916" s="126" t="s">
        <v>549</v>
      </c>
      <c r="S916" s="259">
        <v>22.450000000000003</v>
      </c>
      <c r="T916" s="259">
        <v>0</v>
      </c>
      <c r="U916" s="68" t="s">
        <v>1780</v>
      </c>
      <c r="V916" s="126">
        <v>1</v>
      </c>
      <c r="Z916" s="126">
        <v>1</v>
      </c>
      <c r="AA916" s="126">
        <v>1</v>
      </c>
      <c r="AB916" s="126">
        <v>4</v>
      </c>
      <c r="AC916" s="126">
        <v>6</v>
      </c>
      <c r="AD916" s="126">
        <v>2026</v>
      </c>
    </row>
    <row r="917" spans="3:30">
      <c r="C917" s="126">
        <v>910</v>
      </c>
      <c r="D917" s="126">
        <v>77</v>
      </c>
      <c r="E917" s="126">
        <v>10</v>
      </c>
      <c r="F917" s="126">
        <v>1</v>
      </c>
      <c r="G917" s="126">
        <v>1</v>
      </c>
      <c r="H917" s="126">
        <v>1</v>
      </c>
      <c r="I917" s="126">
        <v>1</v>
      </c>
      <c r="J917" s="126">
        <v>51</v>
      </c>
      <c r="P917" s="126">
        <v>263</v>
      </c>
      <c r="R917" s="126" t="s">
        <v>549</v>
      </c>
      <c r="S917" s="259">
        <v>0</v>
      </c>
      <c r="T917" s="259">
        <v>25</v>
      </c>
      <c r="U917" s="68" t="s">
        <v>1781</v>
      </c>
      <c r="V917" s="126">
        <v>1</v>
      </c>
      <c r="Z917" s="126">
        <v>1</v>
      </c>
      <c r="AA917" s="126">
        <v>1</v>
      </c>
      <c r="AB917" s="126">
        <v>4</v>
      </c>
      <c r="AC917" s="126">
        <v>6</v>
      </c>
      <c r="AD917" s="126">
        <v>2026</v>
      </c>
    </row>
    <row r="918" spans="3:30">
      <c r="C918" s="126">
        <v>911</v>
      </c>
      <c r="D918" s="126">
        <v>78</v>
      </c>
      <c r="E918" s="126">
        <v>2</v>
      </c>
      <c r="F918" s="126">
        <v>1</v>
      </c>
      <c r="G918" s="126">
        <v>1</v>
      </c>
      <c r="H918" s="126">
        <v>1</v>
      </c>
      <c r="I918" s="126">
        <v>1</v>
      </c>
      <c r="R918" s="126" t="s">
        <v>549</v>
      </c>
      <c r="S918" s="259">
        <v>59.58</v>
      </c>
      <c r="T918" s="259">
        <v>0</v>
      </c>
      <c r="U918" s="68" t="s">
        <v>1783</v>
      </c>
      <c r="V918" s="126">
        <v>1</v>
      </c>
      <c r="Z918" s="126">
        <v>1</v>
      </c>
      <c r="AA918" s="126">
        <v>1</v>
      </c>
      <c r="AB918" s="126">
        <v>4</v>
      </c>
      <c r="AC918" s="126">
        <v>6</v>
      </c>
      <c r="AD918" s="126">
        <v>2026</v>
      </c>
    </row>
    <row r="919" spans="3:30">
      <c r="C919" s="126">
        <v>912</v>
      </c>
      <c r="D919" s="126">
        <v>78</v>
      </c>
      <c r="E919" s="126">
        <v>3</v>
      </c>
      <c r="F919" s="126">
        <v>1</v>
      </c>
      <c r="G919" s="126">
        <v>1</v>
      </c>
      <c r="H919" s="126">
        <v>1</v>
      </c>
      <c r="I919" s="126">
        <v>1</v>
      </c>
      <c r="J919" s="126">
        <v>195</v>
      </c>
      <c r="M919" s="126">
        <v>304</v>
      </c>
      <c r="N919" s="126">
        <v>0</v>
      </c>
      <c r="P919" s="126">
        <v>264</v>
      </c>
      <c r="R919" s="126" t="s">
        <v>549</v>
      </c>
      <c r="S919" s="259">
        <v>0</v>
      </c>
      <c r="T919" s="259">
        <v>18.84</v>
      </c>
      <c r="U919" s="68" t="s">
        <v>1784</v>
      </c>
      <c r="V919" s="126">
        <v>1</v>
      </c>
      <c r="Z919" s="126">
        <v>1</v>
      </c>
      <c r="AA919" s="126">
        <v>1</v>
      </c>
      <c r="AB919" s="126">
        <v>4</v>
      </c>
      <c r="AC919" s="126">
        <v>6</v>
      </c>
      <c r="AD919" s="126">
        <v>2026</v>
      </c>
    </row>
    <row r="920" spans="3:30">
      <c r="C920" s="126">
        <v>913</v>
      </c>
      <c r="D920" s="126">
        <v>78</v>
      </c>
      <c r="E920" s="126">
        <v>11</v>
      </c>
      <c r="F920" s="126">
        <v>1</v>
      </c>
      <c r="G920" s="126">
        <v>1</v>
      </c>
      <c r="H920" s="126">
        <v>1</v>
      </c>
      <c r="I920" s="126">
        <v>1</v>
      </c>
      <c r="J920" s="126">
        <v>195</v>
      </c>
      <c r="M920" s="126">
        <v>304</v>
      </c>
      <c r="N920" s="126">
        <v>1</v>
      </c>
      <c r="P920" s="126">
        <v>264</v>
      </c>
      <c r="R920" s="126" t="s">
        <v>549</v>
      </c>
      <c r="S920" s="259">
        <v>18.84</v>
      </c>
      <c r="T920" s="259">
        <v>0</v>
      </c>
      <c r="U920" s="68" t="s">
        <v>1785</v>
      </c>
      <c r="V920" s="126">
        <v>1</v>
      </c>
      <c r="Z920" s="126">
        <v>1</v>
      </c>
      <c r="AA920" s="126">
        <v>1</v>
      </c>
      <c r="AB920" s="126">
        <v>4</v>
      </c>
      <c r="AC920" s="126">
        <v>6</v>
      </c>
      <c r="AD920" s="126">
        <v>2026</v>
      </c>
    </row>
    <row r="921" spans="3:30">
      <c r="C921" s="126">
        <v>914</v>
      </c>
      <c r="D921" s="126">
        <v>78</v>
      </c>
      <c r="E921" s="126">
        <v>10</v>
      </c>
      <c r="F921" s="126">
        <v>1</v>
      </c>
      <c r="G921" s="126">
        <v>1</v>
      </c>
      <c r="H921" s="126">
        <v>1</v>
      </c>
      <c r="I921" s="126">
        <v>1</v>
      </c>
      <c r="J921" s="126">
        <v>195</v>
      </c>
      <c r="P921" s="126">
        <v>264</v>
      </c>
      <c r="R921" s="126" t="s">
        <v>549</v>
      </c>
      <c r="S921" s="259">
        <v>0</v>
      </c>
      <c r="T921" s="259">
        <v>18</v>
      </c>
      <c r="U921" s="68" t="s">
        <v>1786</v>
      </c>
      <c r="V921" s="126">
        <v>1</v>
      </c>
      <c r="Z921" s="126">
        <v>1</v>
      </c>
      <c r="AA921" s="126">
        <v>1</v>
      </c>
      <c r="AB921" s="126">
        <v>4</v>
      </c>
      <c r="AC921" s="126">
        <v>6</v>
      </c>
      <c r="AD921" s="126">
        <v>2026</v>
      </c>
    </row>
    <row r="922" spans="3:30">
      <c r="C922" s="126">
        <v>915</v>
      </c>
      <c r="D922" s="126">
        <v>78</v>
      </c>
      <c r="E922" s="126">
        <v>3</v>
      </c>
      <c r="F922" s="126">
        <v>1</v>
      </c>
      <c r="G922" s="126">
        <v>1</v>
      </c>
      <c r="H922" s="126">
        <v>1</v>
      </c>
      <c r="I922" s="126">
        <v>1</v>
      </c>
      <c r="J922" s="126">
        <v>187</v>
      </c>
      <c r="M922" s="126">
        <v>305</v>
      </c>
      <c r="N922" s="126">
        <v>0</v>
      </c>
      <c r="P922" s="126">
        <v>265</v>
      </c>
      <c r="R922" s="126" t="s">
        <v>549</v>
      </c>
      <c r="S922" s="259">
        <v>0</v>
      </c>
      <c r="T922" s="259">
        <v>20.22</v>
      </c>
      <c r="U922" s="68" t="s">
        <v>1787</v>
      </c>
      <c r="V922" s="126">
        <v>1</v>
      </c>
      <c r="Z922" s="126">
        <v>1</v>
      </c>
      <c r="AA922" s="126">
        <v>1</v>
      </c>
      <c r="AB922" s="126">
        <v>4</v>
      </c>
      <c r="AC922" s="126">
        <v>6</v>
      </c>
      <c r="AD922" s="126">
        <v>2026</v>
      </c>
    </row>
    <row r="923" spans="3:30">
      <c r="C923" s="126">
        <v>916</v>
      </c>
      <c r="D923" s="126">
        <v>78</v>
      </c>
      <c r="E923" s="126">
        <v>11</v>
      </c>
      <c r="F923" s="126">
        <v>1</v>
      </c>
      <c r="G923" s="126">
        <v>1</v>
      </c>
      <c r="H923" s="126">
        <v>1</v>
      </c>
      <c r="I923" s="126">
        <v>1</v>
      </c>
      <c r="J923" s="126">
        <v>187</v>
      </c>
      <c r="M923" s="126">
        <v>305</v>
      </c>
      <c r="N923" s="126">
        <v>1</v>
      </c>
      <c r="P923" s="126">
        <v>265</v>
      </c>
      <c r="R923" s="126" t="s">
        <v>549</v>
      </c>
      <c r="S923" s="259">
        <v>20.22</v>
      </c>
      <c r="T923" s="259">
        <v>0</v>
      </c>
      <c r="U923" s="68" t="s">
        <v>1788</v>
      </c>
      <c r="V923" s="126">
        <v>1</v>
      </c>
      <c r="Z923" s="126">
        <v>1</v>
      </c>
      <c r="AA923" s="126">
        <v>1</v>
      </c>
      <c r="AB923" s="126">
        <v>4</v>
      </c>
      <c r="AC923" s="126">
        <v>6</v>
      </c>
      <c r="AD923" s="126">
        <v>2026</v>
      </c>
    </row>
    <row r="924" spans="3:30">
      <c r="C924" s="126">
        <v>917</v>
      </c>
      <c r="D924" s="126">
        <v>78</v>
      </c>
      <c r="E924" s="126">
        <v>10</v>
      </c>
      <c r="F924" s="126">
        <v>1</v>
      </c>
      <c r="G924" s="126">
        <v>1</v>
      </c>
      <c r="H924" s="126">
        <v>1</v>
      </c>
      <c r="I924" s="126">
        <v>1</v>
      </c>
      <c r="J924" s="126">
        <v>187</v>
      </c>
      <c r="P924" s="126">
        <v>265</v>
      </c>
      <c r="R924" s="126" t="s">
        <v>549</v>
      </c>
      <c r="S924" s="259">
        <v>0</v>
      </c>
      <c r="T924" s="259">
        <v>21</v>
      </c>
      <c r="U924" s="68" t="s">
        <v>1789</v>
      </c>
      <c r="V924" s="126">
        <v>1</v>
      </c>
      <c r="Z924" s="126">
        <v>1</v>
      </c>
      <c r="AA924" s="126">
        <v>1</v>
      </c>
      <c r="AB924" s="126">
        <v>4</v>
      </c>
      <c r="AC924" s="126">
        <v>6</v>
      </c>
      <c r="AD924" s="126">
        <v>2026</v>
      </c>
    </row>
    <row r="925" spans="3:30">
      <c r="C925" s="126">
        <v>918</v>
      </c>
      <c r="D925" s="126">
        <v>78</v>
      </c>
      <c r="E925" s="126">
        <v>3</v>
      </c>
      <c r="F925" s="126">
        <v>1</v>
      </c>
      <c r="G925" s="126">
        <v>1</v>
      </c>
      <c r="H925" s="126">
        <v>1</v>
      </c>
      <c r="I925" s="126">
        <v>1</v>
      </c>
      <c r="J925" s="126">
        <v>153</v>
      </c>
      <c r="M925" s="126">
        <v>306</v>
      </c>
      <c r="N925" s="126">
        <v>0</v>
      </c>
      <c r="P925" s="126">
        <v>266</v>
      </c>
      <c r="R925" s="126" t="s">
        <v>549</v>
      </c>
      <c r="S925" s="259">
        <v>0</v>
      </c>
      <c r="T925" s="259">
        <v>13.2</v>
      </c>
      <c r="U925" s="68" t="s">
        <v>1790</v>
      </c>
      <c r="V925" s="126">
        <v>1</v>
      </c>
      <c r="Z925" s="126">
        <v>1</v>
      </c>
      <c r="AA925" s="126">
        <v>1</v>
      </c>
      <c r="AB925" s="126">
        <v>4</v>
      </c>
      <c r="AC925" s="126">
        <v>6</v>
      </c>
      <c r="AD925" s="126">
        <v>2026</v>
      </c>
    </row>
    <row r="926" spans="3:30">
      <c r="C926" s="126">
        <v>919</v>
      </c>
      <c r="D926" s="126">
        <v>78</v>
      </c>
      <c r="E926" s="126">
        <v>11</v>
      </c>
      <c r="F926" s="126">
        <v>1</v>
      </c>
      <c r="G926" s="126">
        <v>1</v>
      </c>
      <c r="H926" s="126">
        <v>1</v>
      </c>
      <c r="I926" s="126">
        <v>1</v>
      </c>
      <c r="J926" s="126">
        <v>153</v>
      </c>
      <c r="M926" s="126">
        <v>306</v>
      </c>
      <c r="N926" s="126">
        <v>1</v>
      </c>
      <c r="P926" s="126">
        <v>266</v>
      </c>
      <c r="R926" s="126" t="s">
        <v>549</v>
      </c>
      <c r="S926" s="259">
        <v>13.2</v>
      </c>
      <c r="T926" s="259">
        <v>0</v>
      </c>
      <c r="U926" s="68" t="s">
        <v>1791</v>
      </c>
      <c r="V926" s="126">
        <v>1</v>
      </c>
      <c r="Z926" s="126">
        <v>1</v>
      </c>
      <c r="AA926" s="126">
        <v>1</v>
      </c>
      <c r="AB926" s="126">
        <v>4</v>
      </c>
      <c r="AC926" s="126">
        <v>6</v>
      </c>
      <c r="AD926" s="126">
        <v>2026</v>
      </c>
    </row>
    <row r="927" spans="3:30">
      <c r="C927" s="126">
        <v>920</v>
      </c>
      <c r="D927" s="126">
        <v>78</v>
      </c>
      <c r="E927" s="126">
        <v>10</v>
      </c>
      <c r="F927" s="126">
        <v>1</v>
      </c>
      <c r="G927" s="126">
        <v>1</v>
      </c>
      <c r="H927" s="126">
        <v>1</v>
      </c>
      <c r="I927" s="126">
        <v>1</v>
      </c>
      <c r="J927" s="126">
        <v>153</v>
      </c>
      <c r="P927" s="126">
        <v>266</v>
      </c>
      <c r="R927" s="126" t="s">
        <v>549</v>
      </c>
      <c r="S927" s="259">
        <v>0</v>
      </c>
      <c r="T927" s="259">
        <v>15.2</v>
      </c>
      <c r="U927" s="68" t="s">
        <v>1792</v>
      </c>
      <c r="V927" s="126">
        <v>1</v>
      </c>
      <c r="Z927" s="126">
        <v>1</v>
      </c>
      <c r="AA927" s="126">
        <v>1</v>
      </c>
      <c r="AB927" s="126">
        <v>4</v>
      </c>
      <c r="AC927" s="126">
        <v>6</v>
      </c>
      <c r="AD927" s="126">
        <v>2026</v>
      </c>
    </row>
    <row r="928" spans="3:30">
      <c r="C928" s="126">
        <v>921</v>
      </c>
      <c r="D928" s="126">
        <v>78</v>
      </c>
      <c r="E928" s="126">
        <v>3</v>
      </c>
      <c r="F928" s="126">
        <v>1</v>
      </c>
      <c r="G928" s="126">
        <v>1</v>
      </c>
      <c r="H928" s="126">
        <v>1</v>
      </c>
      <c r="I928" s="126">
        <v>1</v>
      </c>
      <c r="J928" s="126">
        <v>182</v>
      </c>
      <c r="M928" s="126">
        <v>307</v>
      </c>
      <c r="N928" s="126">
        <v>0</v>
      </c>
      <c r="P928" s="126">
        <v>267</v>
      </c>
      <c r="R928" s="126" t="s">
        <v>549</v>
      </c>
      <c r="S928" s="259">
        <v>0</v>
      </c>
      <c r="T928" s="259">
        <v>4</v>
      </c>
      <c r="U928" s="68" t="s">
        <v>1793</v>
      </c>
      <c r="V928" s="126">
        <v>1</v>
      </c>
      <c r="Z928" s="126">
        <v>1</v>
      </c>
      <c r="AA928" s="126">
        <v>1</v>
      </c>
      <c r="AB928" s="126">
        <v>4</v>
      </c>
      <c r="AC928" s="126">
        <v>6</v>
      </c>
      <c r="AD928" s="126">
        <v>2026</v>
      </c>
    </row>
    <row r="929" spans="3:30">
      <c r="C929" s="126">
        <v>922</v>
      </c>
      <c r="D929" s="126">
        <v>78</v>
      </c>
      <c r="E929" s="126">
        <v>11</v>
      </c>
      <c r="F929" s="126">
        <v>1</v>
      </c>
      <c r="G929" s="126">
        <v>1</v>
      </c>
      <c r="H929" s="126">
        <v>1</v>
      </c>
      <c r="I929" s="126">
        <v>1</v>
      </c>
      <c r="J929" s="126">
        <v>182</v>
      </c>
      <c r="M929" s="126">
        <v>307</v>
      </c>
      <c r="N929" s="126">
        <v>1</v>
      </c>
      <c r="P929" s="126">
        <v>267</v>
      </c>
      <c r="R929" s="126" t="s">
        <v>549</v>
      </c>
      <c r="S929" s="259">
        <v>4</v>
      </c>
      <c r="T929" s="259">
        <v>0</v>
      </c>
      <c r="U929" s="68" t="s">
        <v>1794</v>
      </c>
      <c r="V929" s="126">
        <v>1</v>
      </c>
      <c r="Z929" s="126">
        <v>1</v>
      </c>
      <c r="AA929" s="126">
        <v>1</v>
      </c>
      <c r="AB929" s="126">
        <v>4</v>
      </c>
      <c r="AC929" s="126">
        <v>6</v>
      </c>
      <c r="AD929" s="126">
        <v>2026</v>
      </c>
    </row>
    <row r="930" spans="3:30">
      <c r="C930" s="126">
        <v>923</v>
      </c>
      <c r="D930" s="126">
        <v>78</v>
      </c>
      <c r="E930" s="126">
        <v>10</v>
      </c>
      <c r="F930" s="126">
        <v>1</v>
      </c>
      <c r="G930" s="126">
        <v>1</v>
      </c>
      <c r="H930" s="126">
        <v>1</v>
      </c>
      <c r="I930" s="126">
        <v>1</v>
      </c>
      <c r="J930" s="126">
        <v>182</v>
      </c>
      <c r="P930" s="126">
        <v>267</v>
      </c>
      <c r="R930" s="126" t="s">
        <v>549</v>
      </c>
      <c r="S930" s="259">
        <v>0</v>
      </c>
      <c r="T930" s="259">
        <v>5</v>
      </c>
      <c r="U930" s="68" t="s">
        <v>1795</v>
      </c>
      <c r="V930" s="126">
        <v>1</v>
      </c>
      <c r="Z930" s="126">
        <v>1</v>
      </c>
      <c r="AA930" s="126">
        <v>1</v>
      </c>
      <c r="AB930" s="126">
        <v>4</v>
      </c>
      <c r="AC930" s="126">
        <v>6</v>
      </c>
      <c r="AD930" s="126">
        <v>2026</v>
      </c>
    </row>
    <row r="931" spans="3:30">
      <c r="C931" s="126">
        <v>924</v>
      </c>
      <c r="D931" s="126">
        <v>78</v>
      </c>
      <c r="E931" s="126">
        <v>3</v>
      </c>
      <c r="F931" s="126">
        <v>1</v>
      </c>
      <c r="G931" s="126">
        <v>1</v>
      </c>
      <c r="H931" s="126">
        <v>1</v>
      </c>
      <c r="I931" s="126">
        <v>1</v>
      </c>
      <c r="J931" s="126">
        <v>49</v>
      </c>
      <c r="M931" s="126">
        <v>308</v>
      </c>
      <c r="N931" s="126">
        <v>0</v>
      </c>
      <c r="P931" s="126">
        <v>268</v>
      </c>
      <c r="R931" s="126" t="s">
        <v>549</v>
      </c>
      <c r="S931" s="259">
        <v>0</v>
      </c>
      <c r="T931" s="259">
        <v>0.28000000000000003</v>
      </c>
      <c r="U931" s="68" t="s">
        <v>1796</v>
      </c>
      <c r="V931" s="126">
        <v>1</v>
      </c>
      <c r="Z931" s="126">
        <v>1</v>
      </c>
      <c r="AA931" s="126">
        <v>1</v>
      </c>
      <c r="AB931" s="126">
        <v>4</v>
      </c>
      <c r="AC931" s="126">
        <v>6</v>
      </c>
      <c r="AD931" s="126">
        <v>2026</v>
      </c>
    </row>
    <row r="932" spans="3:30">
      <c r="C932" s="126">
        <v>925</v>
      </c>
      <c r="D932" s="126">
        <v>78</v>
      </c>
      <c r="E932" s="126">
        <v>11</v>
      </c>
      <c r="F932" s="126">
        <v>1</v>
      </c>
      <c r="G932" s="126">
        <v>1</v>
      </c>
      <c r="H932" s="126">
        <v>1</v>
      </c>
      <c r="I932" s="126">
        <v>1</v>
      </c>
      <c r="J932" s="126">
        <v>49</v>
      </c>
      <c r="M932" s="126">
        <v>308</v>
      </c>
      <c r="N932" s="126">
        <v>1</v>
      </c>
      <c r="P932" s="126">
        <v>268</v>
      </c>
      <c r="R932" s="126" t="s">
        <v>549</v>
      </c>
      <c r="S932" s="259">
        <v>0.28000000000000003</v>
      </c>
      <c r="T932" s="259">
        <v>0</v>
      </c>
      <c r="U932" s="68" t="s">
        <v>1797</v>
      </c>
      <c r="V932" s="126">
        <v>1</v>
      </c>
      <c r="Z932" s="126">
        <v>1</v>
      </c>
      <c r="AA932" s="126">
        <v>1</v>
      </c>
      <c r="AB932" s="126">
        <v>4</v>
      </c>
      <c r="AC932" s="126">
        <v>6</v>
      </c>
      <c r="AD932" s="126">
        <v>2026</v>
      </c>
    </row>
    <row r="933" spans="3:30">
      <c r="C933" s="126">
        <v>926</v>
      </c>
      <c r="D933" s="126">
        <v>78</v>
      </c>
      <c r="E933" s="126">
        <v>10</v>
      </c>
      <c r="F933" s="126">
        <v>1</v>
      </c>
      <c r="G933" s="126">
        <v>1</v>
      </c>
      <c r="H933" s="126">
        <v>1</v>
      </c>
      <c r="I933" s="126">
        <v>1</v>
      </c>
      <c r="J933" s="126">
        <v>49</v>
      </c>
      <c r="P933" s="126">
        <v>268</v>
      </c>
      <c r="R933" s="126" t="s">
        <v>549</v>
      </c>
      <c r="S933" s="259">
        <v>0</v>
      </c>
      <c r="T933" s="259">
        <v>0.38</v>
      </c>
      <c r="U933" s="68" t="s">
        <v>1798</v>
      </c>
      <c r="V933" s="126">
        <v>1</v>
      </c>
      <c r="Z933" s="126">
        <v>1</v>
      </c>
      <c r="AA933" s="126">
        <v>1</v>
      </c>
      <c r="AB933" s="126">
        <v>4</v>
      </c>
      <c r="AC933" s="126">
        <v>6</v>
      </c>
      <c r="AD933" s="126">
        <v>2026</v>
      </c>
    </row>
    <row r="934" spans="3:30">
      <c r="C934" s="126">
        <v>927</v>
      </c>
      <c r="D934" s="126">
        <v>79</v>
      </c>
      <c r="E934" s="126">
        <v>2</v>
      </c>
      <c r="F934" s="126">
        <v>1</v>
      </c>
      <c r="G934" s="126">
        <v>1</v>
      </c>
      <c r="H934" s="126">
        <v>1</v>
      </c>
      <c r="I934" s="126">
        <v>1</v>
      </c>
      <c r="R934" s="126" t="s">
        <v>549</v>
      </c>
      <c r="S934" s="259">
        <v>23</v>
      </c>
      <c r="T934" s="259">
        <v>0</v>
      </c>
      <c r="U934" s="68" t="s">
        <v>1800</v>
      </c>
      <c r="V934" s="126">
        <v>1</v>
      </c>
      <c r="Z934" s="126">
        <v>1</v>
      </c>
      <c r="AA934" s="126">
        <v>1</v>
      </c>
      <c r="AB934" s="126">
        <v>4</v>
      </c>
      <c r="AC934" s="126">
        <v>6</v>
      </c>
      <c r="AD934" s="126">
        <v>2026</v>
      </c>
    </row>
    <row r="935" spans="3:30">
      <c r="C935" s="126">
        <v>928</v>
      </c>
      <c r="D935" s="126">
        <v>79</v>
      </c>
      <c r="E935" s="126">
        <v>3</v>
      </c>
      <c r="F935" s="126">
        <v>1</v>
      </c>
      <c r="G935" s="126">
        <v>1</v>
      </c>
      <c r="H935" s="126">
        <v>1</v>
      </c>
      <c r="I935" s="126">
        <v>1</v>
      </c>
      <c r="J935" s="126">
        <v>48</v>
      </c>
      <c r="M935" s="126">
        <v>309</v>
      </c>
      <c r="N935" s="126">
        <v>0</v>
      </c>
      <c r="P935" s="126">
        <v>269</v>
      </c>
      <c r="R935" s="126" t="s">
        <v>549</v>
      </c>
      <c r="S935" s="259">
        <v>0</v>
      </c>
      <c r="T935" s="259">
        <v>0.48</v>
      </c>
      <c r="U935" s="68" t="s">
        <v>1801</v>
      </c>
      <c r="V935" s="126">
        <v>1</v>
      </c>
      <c r="Z935" s="126">
        <v>1</v>
      </c>
      <c r="AA935" s="126">
        <v>1</v>
      </c>
      <c r="AB935" s="126">
        <v>4</v>
      </c>
      <c r="AC935" s="126">
        <v>6</v>
      </c>
      <c r="AD935" s="126">
        <v>2026</v>
      </c>
    </row>
    <row r="936" spans="3:30">
      <c r="C936" s="126">
        <v>929</v>
      </c>
      <c r="D936" s="126">
        <v>79</v>
      </c>
      <c r="E936" s="126">
        <v>11</v>
      </c>
      <c r="F936" s="126">
        <v>1</v>
      </c>
      <c r="G936" s="126">
        <v>1</v>
      </c>
      <c r="H936" s="126">
        <v>1</v>
      </c>
      <c r="I936" s="126">
        <v>1</v>
      </c>
      <c r="J936" s="126">
        <v>48</v>
      </c>
      <c r="M936" s="126">
        <v>309</v>
      </c>
      <c r="N936" s="126">
        <v>1</v>
      </c>
      <c r="P936" s="126">
        <v>269</v>
      </c>
      <c r="R936" s="126" t="s">
        <v>549</v>
      </c>
      <c r="S936" s="259">
        <v>0.48</v>
      </c>
      <c r="T936" s="259">
        <v>0</v>
      </c>
      <c r="U936" s="68" t="s">
        <v>1802</v>
      </c>
      <c r="V936" s="126">
        <v>1</v>
      </c>
      <c r="Z936" s="126">
        <v>1</v>
      </c>
      <c r="AA936" s="126">
        <v>1</v>
      </c>
      <c r="AB936" s="126">
        <v>4</v>
      </c>
      <c r="AC936" s="126">
        <v>6</v>
      </c>
      <c r="AD936" s="126">
        <v>2026</v>
      </c>
    </row>
    <row r="937" spans="3:30">
      <c r="C937" s="126">
        <v>930</v>
      </c>
      <c r="D937" s="126">
        <v>79</v>
      </c>
      <c r="E937" s="126">
        <v>10</v>
      </c>
      <c r="F937" s="126">
        <v>1</v>
      </c>
      <c r="G937" s="126">
        <v>1</v>
      </c>
      <c r="H937" s="126">
        <v>1</v>
      </c>
      <c r="I937" s="126">
        <v>1</v>
      </c>
      <c r="J937" s="126">
        <v>48</v>
      </c>
      <c r="P937" s="126">
        <v>269</v>
      </c>
      <c r="R937" s="126" t="s">
        <v>549</v>
      </c>
      <c r="S937" s="259">
        <v>0</v>
      </c>
      <c r="T937" s="259">
        <v>1</v>
      </c>
      <c r="U937" s="68" t="s">
        <v>1803</v>
      </c>
      <c r="V937" s="126">
        <v>1</v>
      </c>
      <c r="Z937" s="126">
        <v>1</v>
      </c>
      <c r="AA937" s="126">
        <v>1</v>
      </c>
      <c r="AB937" s="126">
        <v>4</v>
      </c>
      <c r="AC937" s="126">
        <v>6</v>
      </c>
      <c r="AD937" s="126">
        <v>2026</v>
      </c>
    </row>
    <row r="938" spans="3:30">
      <c r="C938" s="126">
        <v>931</v>
      </c>
      <c r="D938" s="126">
        <v>79</v>
      </c>
      <c r="E938" s="126">
        <v>3</v>
      </c>
      <c r="F938" s="126">
        <v>1</v>
      </c>
      <c r="G938" s="126">
        <v>1</v>
      </c>
      <c r="H938" s="126">
        <v>1</v>
      </c>
      <c r="I938" s="126">
        <v>1</v>
      </c>
      <c r="J938" s="126">
        <v>46</v>
      </c>
      <c r="M938" s="126">
        <v>310</v>
      </c>
      <c r="N938" s="126">
        <v>0</v>
      </c>
      <c r="P938" s="126">
        <v>270</v>
      </c>
      <c r="R938" s="126" t="s">
        <v>549</v>
      </c>
      <c r="S938" s="259">
        <v>0</v>
      </c>
      <c r="T938" s="259">
        <v>0.89999999999999991</v>
      </c>
      <c r="U938" s="68" t="s">
        <v>1804</v>
      </c>
      <c r="V938" s="126">
        <v>1</v>
      </c>
      <c r="Z938" s="126">
        <v>1</v>
      </c>
      <c r="AA938" s="126">
        <v>1</v>
      </c>
      <c r="AB938" s="126">
        <v>4</v>
      </c>
      <c r="AC938" s="126">
        <v>6</v>
      </c>
      <c r="AD938" s="126">
        <v>2026</v>
      </c>
    </row>
    <row r="939" spans="3:30">
      <c r="C939" s="126">
        <v>932</v>
      </c>
      <c r="D939" s="126">
        <v>79</v>
      </c>
      <c r="E939" s="126">
        <v>11</v>
      </c>
      <c r="F939" s="126">
        <v>1</v>
      </c>
      <c r="G939" s="126">
        <v>1</v>
      </c>
      <c r="H939" s="126">
        <v>1</v>
      </c>
      <c r="I939" s="126">
        <v>1</v>
      </c>
      <c r="J939" s="126">
        <v>46</v>
      </c>
      <c r="M939" s="126">
        <v>310</v>
      </c>
      <c r="N939" s="126">
        <v>1</v>
      </c>
      <c r="P939" s="126">
        <v>270</v>
      </c>
      <c r="R939" s="126" t="s">
        <v>549</v>
      </c>
      <c r="S939" s="259">
        <v>0.89999999999999991</v>
      </c>
      <c r="T939" s="259">
        <v>0</v>
      </c>
      <c r="U939" s="68" t="s">
        <v>1805</v>
      </c>
      <c r="V939" s="126">
        <v>1</v>
      </c>
      <c r="Z939" s="126">
        <v>1</v>
      </c>
      <c r="AA939" s="126">
        <v>1</v>
      </c>
      <c r="AB939" s="126">
        <v>4</v>
      </c>
      <c r="AC939" s="126">
        <v>6</v>
      </c>
      <c r="AD939" s="126">
        <v>2026</v>
      </c>
    </row>
    <row r="940" spans="3:30">
      <c r="C940" s="126">
        <v>933</v>
      </c>
      <c r="D940" s="126">
        <v>79</v>
      </c>
      <c r="E940" s="126">
        <v>10</v>
      </c>
      <c r="F940" s="126">
        <v>1</v>
      </c>
      <c r="G940" s="126">
        <v>1</v>
      </c>
      <c r="H940" s="126">
        <v>1</v>
      </c>
      <c r="I940" s="126">
        <v>1</v>
      </c>
      <c r="J940" s="126">
        <v>46</v>
      </c>
      <c r="P940" s="126">
        <v>270</v>
      </c>
      <c r="R940" s="126" t="s">
        <v>549</v>
      </c>
      <c r="S940" s="259">
        <v>0</v>
      </c>
      <c r="T940" s="259">
        <v>2.2799999999999998</v>
      </c>
      <c r="U940" s="68" t="s">
        <v>1806</v>
      </c>
      <c r="V940" s="126">
        <v>1</v>
      </c>
      <c r="Z940" s="126">
        <v>1</v>
      </c>
      <c r="AA940" s="126">
        <v>1</v>
      </c>
      <c r="AB940" s="126">
        <v>4</v>
      </c>
      <c r="AC940" s="126">
        <v>6</v>
      </c>
      <c r="AD940" s="126">
        <v>2026</v>
      </c>
    </row>
    <row r="941" spans="3:30">
      <c r="C941" s="126">
        <v>934</v>
      </c>
      <c r="D941" s="126">
        <v>79</v>
      </c>
      <c r="E941" s="126">
        <v>3</v>
      </c>
      <c r="F941" s="126">
        <v>1</v>
      </c>
      <c r="G941" s="126">
        <v>1</v>
      </c>
      <c r="H941" s="126">
        <v>1</v>
      </c>
      <c r="I941" s="126">
        <v>1</v>
      </c>
      <c r="J941" s="126">
        <v>42</v>
      </c>
      <c r="M941" s="126">
        <v>311</v>
      </c>
      <c r="N941" s="126">
        <v>0</v>
      </c>
      <c r="P941" s="126">
        <v>271</v>
      </c>
      <c r="R941" s="126" t="s">
        <v>549</v>
      </c>
      <c r="S941" s="259">
        <v>0</v>
      </c>
      <c r="T941" s="259">
        <v>1.44</v>
      </c>
      <c r="U941" s="68" t="s">
        <v>1807</v>
      </c>
      <c r="V941" s="126">
        <v>1</v>
      </c>
      <c r="Z941" s="126">
        <v>1</v>
      </c>
      <c r="AA941" s="126">
        <v>1</v>
      </c>
      <c r="AB941" s="126">
        <v>4</v>
      </c>
      <c r="AC941" s="126">
        <v>6</v>
      </c>
      <c r="AD941" s="126">
        <v>2026</v>
      </c>
    </row>
    <row r="942" spans="3:30">
      <c r="C942" s="126">
        <v>935</v>
      </c>
      <c r="D942" s="126">
        <v>79</v>
      </c>
      <c r="E942" s="126">
        <v>11</v>
      </c>
      <c r="F942" s="126">
        <v>1</v>
      </c>
      <c r="G942" s="126">
        <v>1</v>
      </c>
      <c r="H942" s="126">
        <v>1</v>
      </c>
      <c r="I942" s="126">
        <v>1</v>
      </c>
      <c r="J942" s="126">
        <v>42</v>
      </c>
      <c r="M942" s="126">
        <v>311</v>
      </c>
      <c r="N942" s="126">
        <v>1</v>
      </c>
      <c r="P942" s="126">
        <v>271</v>
      </c>
      <c r="R942" s="126" t="s">
        <v>549</v>
      </c>
      <c r="S942" s="259">
        <v>1.44</v>
      </c>
      <c r="T942" s="259">
        <v>0</v>
      </c>
      <c r="U942" s="68" t="s">
        <v>1808</v>
      </c>
      <c r="V942" s="126">
        <v>1</v>
      </c>
      <c r="Z942" s="126">
        <v>1</v>
      </c>
      <c r="AA942" s="126">
        <v>1</v>
      </c>
      <c r="AB942" s="126">
        <v>4</v>
      </c>
      <c r="AC942" s="126">
        <v>6</v>
      </c>
      <c r="AD942" s="126">
        <v>2026</v>
      </c>
    </row>
    <row r="943" spans="3:30">
      <c r="C943" s="126">
        <v>936</v>
      </c>
      <c r="D943" s="126">
        <v>79</v>
      </c>
      <c r="E943" s="126">
        <v>10</v>
      </c>
      <c r="F943" s="126">
        <v>1</v>
      </c>
      <c r="G943" s="126">
        <v>1</v>
      </c>
      <c r="H943" s="126">
        <v>1</v>
      </c>
      <c r="I943" s="126">
        <v>1</v>
      </c>
      <c r="J943" s="126">
        <v>42</v>
      </c>
      <c r="P943" s="126">
        <v>271</v>
      </c>
      <c r="R943" s="126" t="s">
        <v>549</v>
      </c>
      <c r="S943" s="259">
        <v>0</v>
      </c>
      <c r="T943" s="259">
        <v>3</v>
      </c>
      <c r="U943" s="68" t="s">
        <v>1809</v>
      </c>
      <c r="V943" s="126">
        <v>1</v>
      </c>
      <c r="Z943" s="126">
        <v>1</v>
      </c>
      <c r="AA943" s="126">
        <v>1</v>
      </c>
      <c r="AB943" s="126">
        <v>4</v>
      </c>
      <c r="AC943" s="126">
        <v>6</v>
      </c>
      <c r="AD943" s="126">
        <v>2026</v>
      </c>
    </row>
    <row r="944" spans="3:30">
      <c r="C944" s="126">
        <v>937</v>
      </c>
      <c r="D944" s="126">
        <v>79</v>
      </c>
      <c r="E944" s="126">
        <v>3</v>
      </c>
      <c r="F944" s="126">
        <v>1</v>
      </c>
      <c r="G944" s="126">
        <v>1</v>
      </c>
      <c r="H944" s="126">
        <v>1</v>
      </c>
      <c r="I944" s="126">
        <v>1</v>
      </c>
      <c r="J944" s="126">
        <v>50</v>
      </c>
      <c r="M944" s="126">
        <v>312</v>
      </c>
      <c r="N944" s="126">
        <v>0</v>
      </c>
      <c r="P944" s="126">
        <v>272</v>
      </c>
      <c r="R944" s="126" t="s">
        <v>549</v>
      </c>
      <c r="S944" s="259">
        <v>0</v>
      </c>
      <c r="T944" s="259">
        <v>0.72</v>
      </c>
      <c r="U944" s="68" t="s">
        <v>1810</v>
      </c>
      <c r="V944" s="126">
        <v>1</v>
      </c>
      <c r="Z944" s="126">
        <v>1</v>
      </c>
      <c r="AA944" s="126">
        <v>1</v>
      </c>
      <c r="AB944" s="126">
        <v>4</v>
      </c>
      <c r="AC944" s="126">
        <v>6</v>
      </c>
      <c r="AD944" s="126">
        <v>2026</v>
      </c>
    </row>
    <row r="945" spans="3:30">
      <c r="C945" s="126">
        <v>938</v>
      </c>
      <c r="D945" s="126">
        <v>79</v>
      </c>
      <c r="E945" s="126">
        <v>11</v>
      </c>
      <c r="F945" s="126">
        <v>1</v>
      </c>
      <c r="G945" s="126">
        <v>1</v>
      </c>
      <c r="H945" s="126">
        <v>1</v>
      </c>
      <c r="I945" s="126">
        <v>1</v>
      </c>
      <c r="J945" s="126">
        <v>50</v>
      </c>
      <c r="M945" s="126">
        <v>312</v>
      </c>
      <c r="N945" s="126">
        <v>1</v>
      </c>
      <c r="P945" s="126">
        <v>272</v>
      </c>
      <c r="R945" s="126" t="s">
        <v>549</v>
      </c>
      <c r="S945" s="259">
        <v>0.72</v>
      </c>
      <c r="T945" s="259">
        <v>0</v>
      </c>
      <c r="U945" s="68" t="s">
        <v>1811</v>
      </c>
      <c r="V945" s="126">
        <v>1</v>
      </c>
      <c r="Z945" s="126">
        <v>1</v>
      </c>
      <c r="AA945" s="126">
        <v>1</v>
      </c>
      <c r="AB945" s="126">
        <v>4</v>
      </c>
      <c r="AC945" s="126">
        <v>6</v>
      </c>
      <c r="AD945" s="126">
        <v>2026</v>
      </c>
    </row>
    <row r="946" spans="3:30">
      <c r="C946" s="126">
        <v>939</v>
      </c>
      <c r="D946" s="126">
        <v>79</v>
      </c>
      <c r="E946" s="126">
        <v>10</v>
      </c>
      <c r="F946" s="126">
        <v>1</v>
      </c>
      <c r="G946" s="126">
        <v>1</v>
      </c>
      <c r="H946" s="126">
        <v>1</v>
      </c>
      <c r="I946" s="126">
        <v>1</v>
      </c>
      <c r="J946" s="126">
        <v>50</v>
      </c>
      <c r="P946" s="126">
        <v>272</v>
      </c>
      <c r="R946" s="126" t="s">
        <v>549</v>
      </c>
      <c r="S946" s="259">
        <v>0</v>
      </c>
      <c r="T946" s="259">
        <v>1.5</v>
      </c>
      <c r="U946" s="68" t="s">
        <v>1812</v>
      </c>
      <c r="V946" s="126">
        <v>1</v>
      </c>
      <c r="Z946" s="126">
        <v>1</v>
      </c>
      <c r="AA946" s="126">
        <v>1</v>
      </c>
      <c r="AB946" s="126">
        <v>4</v>
      </c>
      <c r="AC946" s="126">
        <v>6</v>
      </c>
      <c r="AD946" s="126">
        <v>2026</v>
      </c>
    </row>
    <row r="947" spans="3:30">
      <c r="C947" s="126">
        <v>940</v>
      </c>
      <c r="D947" s="126">
        <v>79</v>
      </c>
      <c r="E947" s="126">
        <v>3</v>
      </c>
      <c r="F947" s="126">
        <v>1</v>
      </c>
      <c r="G947" s="126">
        <v>1</v>
      </c>
      <c r="H947" s="126">
        <v>1</v>
      </c>
      <c r="I947" s="126">
        <v>1</v>
      </c>
      <c r="J947" s="126">
        <v>9</v>
      </c>
      <c r="M947" s="126">
        <v>313</v>
      </c>
      <c r="N947" s="126">
        <v>0</v>
      </c>
      <c r="P947" s="126">
        <v>273</v>
      </c>
      <c r="R947" s="126" t="s">
        <v>549</v>
      </c>
      <c r="S947" s="259">
        <v>0</v>
      </c>
      <c r="T947" s="259">
        <v>8.0499999999999989</v>
      </c>
      <c r="U947" s="68" t="s">
        <v>1815</v>
      </c>
      <c r="V947" s="126">
        <v>1</v>
      </c>
      <c r="Z947" s="126">
        <v>1</v>
      </c>
      <c r="AA947" s="126">
        <v>1</v>
      </c>
      <c r="AB947" s="126">
        <v>4</v>
      </c>
      <c r="AC947" s="126">
        <v>6</v>
      </c>
      <c r="AD947" s="126">
        <v>2026</v>
      </c>
    </row>
    <row r="948" spans="3:30">
      <c r="C948" s="126">
        <v>941</v>
      </c>
      <c r="D948" s="126">
        <v>79</v>
      </c>
      <c r="E948" s="126">
        <v>11</v>
      </c>
      <c r="F948" s="126">
        <v>1</v>
      </c>
      <c r="G948" s="126">
        <v>1</v>
      </c>
      <c r="H948" s="126">
        <v>1</v>
      </c>
      <c r="I948" s="126">
        <v>1</v>
      </c>
      <c r="J948" s="126">
        <v>9</v>
      </c>
      <c r="M948" s="126">
        <v>313</v>
      </c>
      <c r="N948" s="126">
        <v>1</v>
      </c>
      <c r="P948" s="126">
        <v>273</v>
      </c>
      <c r="R948" s="126" t="s">
        <v>549</v>
      </c>
      <c r="S948" s="259">
        <v>8.0499999999999989</v>
      </c>
      <c r="T948" s="259">
        <v>0</v>
      </c>
      <c r="U948" s="68" t="s">
        <v>1816</v>
      </c>
      <c r="V948" s="126">
        <v>1</v>
      </c>
      <c r="Z948" s="126">
        <v>1</v>
      </c>
      <c r="AA948" s="126">
        <v>1</v>
      </c>
      <c r="AB948" s="126">
        <v>4</v>
      </c>
      <c r="AC948" s="126">
        <v>6</v>
      </c>
      <c r="AD948" s="126">
        <v>2026</v>
      </c>
    </row>
    <row r="949" spans="3:30">
      <c r="C949" s="126">
        <v>942</v>
      </c>
      <c r="D949" s="126">
        <v>79</v>
      </c>
      <c r="E949" s="126">
        <v>10</v>
      </c>
      <c r="F949" s="126">
        <v>1</v>
      </c>
      <c r="G949" s="126">
        <v>1</v>
      </c>
      <c r="H949" s="126">
        <v>1</v>
      </c>
      <c r="I949" s="126">
        <v>1</v>
      </c>
      <c r="J949" s="126">
        <v>9</v>
      </c>
      <c r="P949" s="126">
        <v>273</v>
      </c>
      <c r="R949" s="126" t="s">
        <v>549</v>
      </c>
      <c r="S949" s="259">
        <v>0</v>
      </c>
      <c r="T949" s="259">
        <v>10.5</v>
      </c>
      <c r="U949" s="68" t="s">
        <v>1817</v>
      </c>
      <c r="V949" s="126">
        <v>1</v>
      </c>
      <c r="Z949" s="126">
        <v>1</v>
      </c>
      <c r="AA949" s="126">
        <v>1</v>
      </c>
      <c r="AB949" s="126">
        <v>4</v>
      </c>
      <c r="AC949" s="126">
        <v>6</v>
      </c>
      <c r="AD949" s="126">
        <v>2026</v>
      </c>
    </row>
    <row r="950" spans="3:30">
      <c r="C950" s="126">
        <v>943</v>
      </c>
      <c r="D950" s="126">
        <v>79</v>
      </c>
      <c r="E950" s="126">
        <v>3</v>
      </c>
      <c r="F950" s="126">
        <v>1</v>
      </c>
      <c r="G950" s="126">
        <v>1</v>
      </c>
      <c r="H950" s="126">
        <v>1</v>
      </c>
      <c r="I950" s="126">
        <v>1</v>
      </c>
      <c r="J950" s="126">
        <v>8</v>
      </c>
      <c r="M950" s="126">
        <v>314</v>
      </c>
      <c r="N950" s="126">
        <v>0</v>
      </c>
      <c r="P950" s="126">
        <v>274</v>
      </c>
      <c r="R950" s="126" t="s">
        <v>549</v>
      </c>
      <c r="S950" s="259">
        <v>0</v>
      </c>
      <c r="T950" s="259">
        <v>2.64</v>
      </c>
      <c r="U950" s="68" t="s">
        <v>1818</v>
      </c>
      <c r="V950" s="126">
        <v>1</v>
      </c>
      <c r="Z950" s="126">
        <v>1</v>
      </c>
      <c r="AA950" s="126">
        <v>1</v>
      </c>
      <c r="AB950" s="126">
        <v>4</v>
      </c>
      <c r="AC950" s="126">
        <v>6</v>
      </c>
      <c r="AD950" s="126">
        <v>2026</v>
      </c>
    </row>
    <row r="951" spans="3:30">
      <c r="C951" s="126">
        <v>944</v>
      </c>
      <c r="D951" s="126">
        <v>79</v>
      </c>
      <c r="E951" s="126">
        <v>11</v>
      </c>
      <c r="F951" s="126">
        <v>1</v>
      </c>
      <c r="G951" s="126">
        <v>1</v>
      </c>
      <c r="H951" s="126">
        <v>1</v>
      </c>
      <c r="I951" s="126">
        <v>1</v>
      </c>
      <c r="J951" s="126">
        <v>8</v>
      </c>
      <c r="M951" s="126">
        <v>314</v>
      </c>
      <c r="N951" s="126">
        <v>1</v>
      </c>
      <c r="P951" s="126">
        <v>274</v>
      </c>
      <c r="R951" s="126" t="s">
        <v>549</v>
      </c>
      <c r="S951" s="259">
        <v>2.64</v>
      </c>
      <c r="T951" s="259">
        <v>0</v>
      </c>
      <c r="U951" s="68" t="s">
        <v>1819</v>
      </c>
      <c r="V951" s="126">
        <v>1</v>
      </c>
      <c r="Z951" s="126">
        <v>1</v>
      </c>
      <c r="AA951" s="126">
        <v>1</v>
      </c>
      <c r="AB951" s="126">
        <v>4</v>
      </c>
      <c r="AC951" s="126">
        <v>6</v>
      </c>
      <c r="AD951" s="126">
        <v>2026</v>
      </c>
    </row>
    <row r="952" spans="3:30">
      <c r="C952" s="126">
        <v>945</v>
      </c>
      <c r="D952" s="126">
        <v>79</v>
      </c>
      <c r="E952" s="126">
        <v>10</v>
      </c>
      <c r="F952" s="126">
        <v>1</v>
      </c>
      <c r="G952" s="126">
        <v>1</v>
      </c>
      <c r="H952" s="126">
        <v>1</v>
      </c>
      <c r="I952" s="126">
        <v>1</v>
      </c>
      <c r="J952" s="126">
        <v>8</v>
      </c>
      <c r="P952" s="126">
        <v>274</v>
      </c>
      <c r="R952" s="126" t="s">
        <v>549</v>
      </c>
      <c r="S952" s="259">
        <v>0</v>
      </c>
      <c r="T952" s="259">
        <v>3.76</v>
      </c>
      <c r="U952" s="68" t="s">
        <v>1820</v>
      </c>
      <c r="V952" s="126">
        <v>1</v>
      </c>
      <c r="Z952" s="126">
        <v>1</v>
      </c>
      <c r="AA952" s="126">
        <v>1</v>
      </c>
      <c r="AB952" s="126">
        <v>4</v>
      </c>
      <c r="AC952" s="126">
        <v>6</v>
      </c>
      <c r="AD952" s="126">
        <v>2026</v>
      </c>
    </row>
    <row r="953" spans="3:30">
      <c r="C953" s="126">
        <v>946</v>
      </c>
      <c r="D953" s="126">
        <v>79</v>
      </c>
      <c r="E953" s="126">
        <v>3</v>
      </c>
      <c r="F953" s="126">
        <v>1</v>
      </c>
      <c r="G953" s="126">
        <v>1</v>
      </c>
      <c r="H953" s="126">
        <v>1</v>
      </c>
      <c r="I953" s="126">
        <v>1</v>
      </c>
      <c r="J953" s="126">
        <v>75</v>
      </c>
      <c r="M953" s="126">
        <v>315</v>
      </c>
      <c r="N953" s="126">
        <v>0</v>
      </c>
      <c r="P953" s="126">
        <v>275</v>
      </c>
      <c r="R953" s="126" t="s">
        <v>549</v>
      </c>
      <c r="S953" s="259">
        <v>0</v>
      </c>
      <c r="T953" s="259">
        <v>0.13</v>
      </c>
      <c r="U953" s="68" t="s">
        <v>1821</v>
      </c>
      <c r="V953" s="126">
        <v>1</v>
      </c>
      <c r="Z953" s="126">
        <v>1</v>
      </c>
      <c r="AA953" s="126">
        <v>1</v>
      </c>
      <c r="AB953" s="126">
        <v>4</v>
      </c>
      <c r="AC953" s="126">
        <v>6</v>
      </c>
      <c r="AD953" s="126">
        <v>2026</v>
      </c>
    </row>
    <row r="954" spans="3:30">
      <c r="C954" s="126">
        <v>947</v>
      </c>
      <c r="D954" s="126">
        <v>79</v>
      </c>
      <c r="E954" s="126">
        <v>11</v>
      </c>
      <c r="F954" s="126">
        <v>1</v>
      </c>
      <c r="G954" s="126">
        <v>1</v>
      </c>
      <c r="H954" s="126">
        <v>1</v>
      </c>
      <c r="I954" s="126">
        <v>1</v>
      </c>
      <c r="J954" s="126">
        <v>75</v>
      </c>
      <c r="M954" s="126">
        <v>315</v>
      </c>
      <c r="N954" s="126">
        <v>1</v>
      </c>
      <c r="P954" s="126">
        <v>275</v>
      </c>
      <c r="R954" s="126" t="s">
        <v>549</v>
      </c>
      <c r="S954" s="259">
        <v>0.13</v>
      </c>
      <c r="T954" s="259">
        <v>0</v>
      </c>
      <c r="U954" s="68" t="s">
        <v>1822</v>
      </c>
      <c r="V954" s="126">
        <v>1</v>
      </c>
      <c r="Z954" s="126">
        <v>1</v>
      </c>
      <c r="AA954" s="126">
        <v>1</v>
      </c>
      <c r="AB954" s="126">
        <v>4</v>
      </c>
      <c r="AC954" s="126">
        <v>6</v>
      </c>
      <c r="AD954" s="126">
        <v>2026</v>
      </c>
    </row>
    <row r="955" spans="3:30">
      <c r="C955" s="126">
        <v>948</v>
      </c>
      <c r="D955" s="126">
        <v>79</v>
      </c>
      <c r="E955" s="126">
        <v>10</v>
      </c>
      <c r="F955" s="126">
        <v>1</v>
      </c>
      <c r="G955" s="126">
        <v>1</v>
      </c>
      <c r="H955" s="126">
        <v>1</v>
      </c>
      <c r="I955" s="126">
        <v>1</v>
      </c>
      <c r="J955" s="126">
        <v>75</v>
      </c>
      <c r="P955" s="126">
        <v>275</v>
      </c>
      <c r="R955" s="126" t="s">
        <v>549</v>
      </c>
      <c r="S955" s="259">
        <v>0</v>
      </c>
      <c r="T955" s="259">
        <v>0.25</v>
      </c>
      <c r="U955" s="68" t="s">
        <v>1823</v>
      </c>
      <c r="V955" s="126">
        <v>1</v>
      </c>
      <c r="Z955" s="126">
        <v>1</v>
      </c>
      <c r="AA955" s="126">
        <v>1</v>
      </c>
      <c r="AB955" s="126">
        <v>4</v>
      </c>
      <c r="AC955" s="126">
        <v>6</v>
      </c>
      <c r="AD955" s="126">
        <v>2026</v>
      </c>
    </row>
    <row r="956" spans="3:30">
      <c r="C956" s="126">
        <v>949</v>
      </c>
      <c r="D956" s="126">
        <v>79</v>
      </c>
      <c r="E956" s="126">
        <v>3</v>
      </c>
      <c r="F956" s="126">
        <v>1</v>
      </c>
      <c r="G956" s="126">
        <v>1</v>
      </c>
      <c r="H956" s="126">
        <v>1</v>
      </c>
      <c r="I956" s="126">
        <v>1</v>
      </c>
      <c r="J956" s="126">
        <v>56</v>
      </c>
      <c r="M956" s="126">
        <v>316</v>
      </c>
      <c r="N956" s="126">
        <v>0</v>
      </c>
      <c r="P956" s="126">
        <v>276</v>
      </c>
      <c r="R956" s="126" t="s">
        <v>549</v>
      </c>
      <c r="S956" s="259">
        <v>0</v>
      </c>
      <c r="T956" s="259">
        <v>0.55000000000000004</v>
      </c>
      <c r="U956" s="68" t="s">
        <v>1824</v>
      </c>
      <c r="V956" s="126">
        <v>1</v>
      </c>
      <c r="Z956" s="126">
        <v>1</v>
      </c>
      <c r="AA956" s="126">
        <v>1</v>
      </c>
      <c r="AB956" s="126">
        <v>4</v>
      </c>
      <c r="AC956" s="126">
        <v>6</v>
      </c>
      <c r="AD956" s="126">
        <v>2026</v>
      </c>
    </row>
    <row r="957" spans="3:30">
      <c r="C957" s="126">
        <v>950</v>
      </c>
      <c r="D957" s="126">
        <v>79</v>
      </c>
      <c r="E957" s="126">
        <v>11</v>
      </c>
      <c r="F957" s="126">
        <v>1</v>
      </c>
      <c r="G957" s="126">
        <v>1</v>
      </c>
      <c r="H957" s="126">
        <v>1</v>
      </c>
      <c r="I957" s="126">
        <v>1</v>
      </c>
      <c r="J957" s="126">
        <v>56</v>
      </c>
      <c r="M957" s="126">
        <v>316</v>
      </c>
      <c r="N957" s="126">
        <v>1</v>
      </c>
      <c r="P957" s="126">
        <v>276</v>
      </c>
      <c r="R957" s="126" t="s">
        <v>549</v>
      </c>
      <c r="S957" s="259">
        <v>0.55000000000000004</v>
      </c>
      <c r="T957" s="259">
        <v>0</v>
      </c>
      <c r="U957" s="68" t="s">
        <v>1825</v>
      </c>
      <c r="V957" s="126">
        <v>1</v>
      </c>
      <c r="Z957" s="126">
        <v>1</v>
      </c>
      <c r="AA957" s="126">
        <v>1</v>
      </c>
      <c r="AB957" s="126">
        <v>4</v>
      </c>
      <c r="AC957" s="126">
        <v>6</v>
      </c>
      <c r="AD957" s="126">
        <v>2026</v>
      </c>
    </row>
    <row r="958" spans="3:30">
      <c r="C958" s="126">
        <v>951</v>
      </c>
      <c r="D958" s="126">
        <v>79</v>
      </c>
      <c r="E958" s="126">
        <v>10</v>
      </c>
      <c r="F958" s="126">
        <v>1</v>
      </c>
      <c r="G958" s="126">
        <v>1</v>
      </c>
      <c r="H958" s="126">
        <v>1</v>
      </c>
      <c r="I958" s="126">
        <v>1</v>
      </c>
      <c r="J958" s="126">
        <v>56</v>
      </c>
      <c r="P958" s="126">
        <v>276</v>
      </c>
      <c r="R958" s="126" t="s">
        <v>549</v>
      </c>
      <c r="S958" s="259">
        <v>0</v>
      </c>
      <c r="T958" s="259">
        <v>0.75</v>
      </c>
      <c r="U958" s="68" t="s">
        <v>1826</v>
      </c>
      <c r="V958" s="126">
        <v>1</v>
      </c>
      <c r="Z958" s="126">
        <v>1</v>
      </c>
      <c r="AA958" s="126">
        <v>1</v>
      </c>
      <c r="AB958" s="126">
        <v>4</v>
      </c>
      <c r="AC958" s="126">
        <v>6</v>
      </c>
      <c r="AD958" s="126">
        <v>2026</v>
      </c>
    </row>
    <row r="959" spans="3:30">
      <c r="C959" s="126">
        <v>952</v>
      </c>
      <c r="D959" s="126">
        <v>80</v>
      </c>
      <c r="E959" s="126">
        <v>2</v>
      </c>
      <c r="F959" s="126">
        <v>1</v>
      </c>
      <c r="G959" s="126">
        <v>1</v>
      </c>
      <c r="H959" s="126">
        <v>1</v>
      </c>
      <c r="I959" s="126">
        <v>1</v>
      </c>
      <c r="R959" s="126" t="s">
        <v>549</v>
      </c>
      <c r="S959" s="259">
        <v>50.5</v>
      </c>
      <c r="T959" s="259">
        <v>0</v>
      </c>
      <c r="U959" s="68" t="s">
        <v>1828</v>
      </c>
      <c r="V959" s="126">
        <v>1</v>
      </c>
      <c r="Z959" s="126">
        <v>1</v>
      </c>
      <c r="AA959" s="126">
        <v>1</v>
      </c>
      <c r="AB959" s="126">
        <v>4</v>
      </c>
      <c r="AC959" s="126">
        <v>6</v>
      </c>
      <c r="AD959" s="126">
        <v>2026</v>
      </c>
    </row>
    <row r="960" spans="3:30">
      <c r="C960" s="126">
        <v>953</v>
      </c>
      <c r="D960" s="126">
        <v>80</v>
      </c>
      <c r="E960" s="126">
        <v>3</v>
      </c>
      <c r="F960" s="126">
        <v>1</v>
      </c>
      <c r="G960" s="126">
        <v>1</v>
      </c>
      <c r="H960" s="126">
        <v>1</v>
      </c>
      <c r="I960" s="126">
        <v>1</v>
      </c>
      <c r="J960" s="126">
        <v>46</v>
      </c>
      <c r="M960" s="126">
        <v>317</v>
      </c>
      <c r="N960" s="126">
        <v>0</v>
      </c>
      <c r="P960" s="126">
        <v>277</v>
      </c>
      <c r="R960" s="126" t="s">
        <v>549</v>
      </c>
      <c r="S960" s="259">
        <v>0</v>
      </c>
      <c r="T960" s="259">
        <v>0.3</v>
      </c>
      <c r="U960" s="68" t="s">
        <v>1829</v>
      </c>
      <c r="V960" s="126">
        <v>1</v>
      </c>
      <c r="Z960" s="126">
        <v>1</v>
      </c>
      <c r="AA960" s="126">
        <v>1</v>
      </c>
      <c r="AB960" s="126">
        <v>4</v>
      </c>
      <c r="AC960" s="126">
        <v>6</v>
      </c>
      <c r="AD960" s="126">
        <v>2026</v>
      </c>
    </row>
    <row r="961" spans="3:30">
      <c r="C961" s="126">
        <v>954</v>
      </c>
      <c r="D961" s="126">
        <v>80</v>
      </c>
      <c r="E961" s="126">
        <v>11</v>
      </c>
      <c r="F961" s="126">
        <v>1</v>
      </c>
      <c r="G961" s="126">
        <v>1</v>
      </c>
      <c r="H961" s="126">
        <v>1</v>
      </c>
      <c r="I961" s="126">
        <v>1</v>
      </c>
      <c r="J961" s="126">
        <v>46</v>
      </c>
      <c r="M961" s="126">
        <v>317</v>
      </c>
      <c r="N961" s="126">
        <v>1</v>
      </c>
      <c r="P961" s="126">
        <v>277</v>
      </c>
      <c r="R961" s="126" t="s">
        <v>549</v>
      </c>
      <c r="S961" s="259">
        <v>0.3</v>
      </c>
      <c r="T961" s="259">
        <v>0</v>
      </c>
      <c r="U961" s="68" t="s">
        <v>1830</v>
      </c>
      <c r="V961" s="126">
        <v>1</v>
      </c>
      <c r="Z961" s="126">
        <v>1</v>
      </c>
      <c r="AA961" s="126">
        <v>1</v>
      </c>
      <c r="AB961" s="126">
        <v>4</v>
      </c>
      <c r="AC961" s="126">
        <v>6</v>
      </c>
      <c r="AD961" s="126">
        <v>2026</v>
      </c>
    </row>
    <row r="962" spans="3:30">
      <c r="C962" s="126">
        <v>955</v>
      </c>
      <c r="D962" s="126">
        <v>80</v>
      </c>
      <c r="E962" s="126">
        <v>10</v>
      </c>
      <c r="F962" s="126">
        <v>1</v>
      </c>
      <c r="G962" s="126">
        <v>1</v>
      </c>
      <c r="H962" s="126">
        <v>1</v>
      </c>
      <c r="I962" s="126">
        <v>1</v>
      </c>
      <c r="J962" s="126">
        <v>46</v>
      </c>
      <c r="P962" s="126">
        <v>277</v>
      </c>
      <c r="R962" s="126" t="s">
        <v>549</v>
      </c>
      <c r="S962" s="259">
        <v>0</v>
      </c>
      <c r="T962" s="259">
        <v>0.76</v>
      </c>
      <c r="U962" s="68" t="s">
        <v>1831</v>
      </c>
      <c r="V962" s="126">
        <v>1</v>
      </c>
      <c r="Z962" s="126">
        <v>1</v>
      </c>
      <c r="AA962" s="126">
        <v>1</v>
      </c>
      <c r="AB962" s="126">
        <v>4</v>
      </c>
      <c r="AC962" s="126">
        <v>6</v>
      </c>
      <c r="AD962" s="126">
        <v>2026</v>
      </c>
    </row>
    <row r="963" spans="3:30">
      <c r="C963" s="126">
        <v>956</v>
      </c>
      <c r="D963" s="126">
        <v>80</v>
      </c>
      <c r="E963" s="126">
        <v>3</v>
      </c>
      <c r="F963" s="126">
        <v>1</v>
      </c>
      <c r="G963" s="126">
        <v>1</v>
      </c>
      <c r="H963" s="126">
        <v>1</v>
      </c>
      <c r="I963" s="126">
        <v>1</v>
      </c>
      <c r="J963" s="126">
        <v>41</v>
      </c>
      <c r="M963" s="126">
        <v>318</v>
      </c>
      <c r="N963" s="126">
        <v>0</v>
      </c>
      <c r="P963" s="126">
        <v>278</v>
      </c>
      <c r="R963" s="126" t="s">
        <v>549</v>
      </c>
      <c r="S963" s="259">
        <v>0</v>
      </c>
      <c r="T963" s="259">
        <v>1.06</v>
      </c>
      <c r="U963" s="68" t="s">
        <v>1832</v>
      </c>
      <c r="V963" s="126">
        <v>1</v>
      </c>
      <c r="Z963" s="126">
        <v>1</v>
      </c>
      <c r="AA963" s="126">
        <v>1</v>
      </c>
      <c r="AB963" s="126">
        <v>4</v>
      </c>
      <c r="AC963" s="126">
        <v>6</v>
      </c>
      <c r="AD963" s="126">
        <v>2026</v>
      </c>
    </row>
    <row r="964" spans="3:30">
      <c r="C964" s="126">
        <v>957</v>
      </c>
      <c r="D964" s="126">
        <v>80</v>
      </c>
      <c r="E964" s="126">
        <v>11</v>
      </c>
      <c r="F964" s="126">
        <v>1</v>
      </c>
      <c r="G964" s="126">
        <v>1</v>
      </c>
      <c r="H964" s="126">
        <v>1</v>
      </c>
      <c r="I964" s="126">
        <v>1</v>
      </c>
      <c r="J964" s="126">
        <v>41</v>
      </c>
      <c r="M964" s="126">
        <v>318</v>
      </c>
      <c r="N964" s="126">
        <v>1</v>
      </c>
      <c r="P964" s="126">
        <v>278</v>
      </c>
      <c r="R964" s="126" t="s">
        <v>549</v>
      </c>
      <c r="S964" s="259">
        <v>1.06</v>
      </c>
      <c r="T964" s="259">
        <v>0</v>
      </c>
      <c r="U964" s="68" t="s">
        <v>1833</v>
      </c>
      <c r="V964" s="126">
        <v>1</v>
      </c>
      <c r="Z964" s="126">
        <v>1</v>
      </c>
      <c r="AA964" s="126">
        <v>1</v>
      </c>
      <c r="AB964" s="126">
        <v>4</v>
      </c>
      <c r="AC964" s="126">
        <v>6</v>
      </c>
      <c r="AD964" s="126">
        <v>2026</v>
      </c>
    </row>
    <row r="965" spans="3:30">
      <c r="C965" s="126">
        <v>958</v>
      </c>
      <c r="D965" s="126">
        <v>80</v>
      </c>
      <c r="E965" s="126">
        <v>10</v>
      </c>
      <c r="F965" s="126">
        <v>1</v>
      </c>
      <c r="G965" s="126">
        <v>1</v>
      </c>
      <c r="H965" s="126">
        <v>1</v>
      </c>
      <c r="I965" s="126">
        <v>1</v>
      </c>
      <c r="J965" s="126">
        <v>41</v>
      </c>
      <c r="P965" s="126">
        <v>278</v>
      </c>
      <c r="R965" s="126" t="s">
        <v>549</v>
      </c>
      <c r="S965" s="259">
        <v>0</v>
      </c>
      <c r="T965" s="259">
        <v>3</v>
      </c>
      <c r="U965" s="68" t="s">
        <v>1834</v>
      </c>
      <c r="V965" s="126">
        <v>1</v>
      </c>
      <c r="Z965" s="126">
        <v>1</v>
      </c>
      <c r="AA965" s="126">
        <v>1</v>
      </c>
      <c r="AB965" s="126">
        <v>4</v>
      </c>
      <c r="AC965" s="126">
        <v>6</v>
      </c>
      <c r="AD965" s="126">
        <v>2026</v>
      </c>
    </row>
    <row r="966" spans="3:30">
      <c r="C966" s="126">
        <v>959</v>
      </c>
      <c r="D966" s="126">
        <v>80</v>
      </c>
      <c r="E966" s="126">
        <v>3</v>
      </c>
      <c r="F966" s="126">
        <v>1</v>
      </c>
      <c r="G966" s="126">
        <v>1</v>
      </c>
      <c r="H966" s="126">
        <v>1</v>
      </c>
      <c r="I966" s="126">
        <v>1</v>
      </c>
      <c r="J966" s="126">
        <v>68</v>
      </c>
      <c r="M966" s="126">
        <v>319</v>
      </c>
      <c r="N966" s="126">
        <v>0</v>
      </c>
      <c r="P966" s="126">
        <v>279</v>
      </c>
      <c r="R966" s="126" t="s">
        <v>549</v>
      </c>
      <c r="S966" s="259">
        <v>0</v>
      </c>
      <c r="T966" s="259">
        <v>1.06</v>
      </c>
      <c r="U966" s="68" t="s">
        <v>1835</v>
      </c>
      <c r="V966" s="126">
        <v>1</v>
      </c>
      <c r="Z966" s="126">
        <v>1</v>
      </c>
      <c r="AA966" s="126">
        <v>1</v>
      </c>
      <c r="AB966" s="126">
        <v>4</v>
      </c>
      <c r="AC966" s="126">
        <v>6</v>
      </c>
      <c r="AD966" s="126">
        <v>2026</v>
      </c>
    </row>
    <row r="967" spans="3:30">
      <c r="C967" s="126">
        <v>960</v>
      </c>
      <c r="D967" s="126">
        <v>80</v>
      </c>
      <c r="E967" s="126">
        <v>11</v>
      </c>
      <c r="F967" s="126">
        <v>1</v>
      </c>
      <c r="G967" s="126">
        <v>1</v>
      </c>
      <c r="H967" s="126">
        <v>1</v>
      </c>
      <c r="I967" s="126">
        <v>1</v>
      </c>
      <c r="J967" s="126">
        <v>68</v>
      </c>
      <c r="M967" s="126">
        <v>319</v>
      </c>
      <c r="N967" s="126">
        <v>1</v>
      </c>
      <c r="P967" s="126">
        <v>279</v>
      </c>
      <c r="R967" s="126" t="s">
        <v>549</v>
      </c>
      <c r="S967" s="259">
        <v>1.06</v>
      </c>
      <c r="T967" s="259">
        <v>0</v>
      </c>
      <c r="U967" s="68" t="s">
        <v>1836</v>
      </c>
      <c r="V967" s="126">
        <v>1</v>
      </c>
      <c r="Z967" s="126">
        <v>1</v>
      </c>
      <c r="AA967" s="126">
        <v>1</v>
      </c>
      <c r="AB967" s="126">
        <v>4</v>
      </c>
      <c r="AC967" s="126">
        <v>6</v>
      </c>
      <c r="AD967" s="126">
        <v>2026</v>
      </c>
    </row>
    <row r="968" spans="3:30">
      <c r="C968" s="126">
        <v>961</v>
      </c>
      <c r="D968" s="126">
        <v>80</v>
      </c>
      <c r="E968" s="126">
        <v>10</v>
      </c>
      <c r="F968" s="126">
        <v>1</v>
      </c>
      <c r="G968" s="126">
        <v>1</v>
      </c>
      <c r="H968" s="126">
        <v>1</v>
      </c>
      <c r="I968" s="126">
        <v>1</v>
      </c>
      <c r="J968" s="126">
        <v>68</v>
      </c>
      <c r="P968" s="126">
        <v>279</v>
      </c>
      <c r="R968" s="126" t="s">
        <v>549</v>
      </c>
      <c r="S968" s="259">
        <v>0</v>
      </c>
      <c r="T968" s="259">
        <v>2</v>
      </c>
      <c r="U968" s="68" t="s">
        <v>1837</v>
      </c>
      <c r="V968" s="126">
        <v>1</v>
      </c>
      <c r="Z968" s="126">
        <v>1</v>
      </c>
      <c r="AA968" s="126">
        <v>1</v>
      </c>
      <c r="AB968" s="126">
        <v>4</v>
      </c>
      <c r="AC968" s="126">
        <v>6</v>
      </c>
      <c r="AD968" s="126">
        <v>2026</v>
      </c>
    </row>
    <row r="969" spans="3:30">
      <c r="C969" s="126">
        <v>962</v>
      </c>
      <c r="D969" s="126">
        <v>80</v>
      </c>
      <c r="E969" s="126">
        <v>3</v>
      </c>
      <c r="F969" s="126">
        <v>1</v>
      </c>
      <c r="G969" s="126">
        <v>1</v>
      </c>
      <c r="H969" s="126">
        <v>1</v>
      </c>
      <c r="I969" s="126">
        <v>1</v>
      </c>
      <c r="J969" s="126">
        <v>177</v>
      </c>
      <c r="M969" s="126">
        <v>320</v>
      </c>
      <c r="N969" s="126">
        <v>0</v>
      </c>
      <c r="P969" s="126">
        <v>280</v>
      </c>
      <c r="R969" s="126" t="s">
        <v>549</v>
      </c>
      <c r="S969" s="259">
        <v>0</v>
      </c>
      <c r="T969" s="259">
        <v>20.75</v>
      </c>
      <c r="U969" s="68" t="s">
        <v>1838</v>
      </c>
      <c r="V969" s="126">
        <v>1</v>
      </c>
      <c r="Z969" s="126">
        <v>1</v>
      </c>
      <c r="AA969" s="126">
        <v>1</v>
      </c>
      <c r="AB969" s="126">
        <v>4</v>
      </c>
      <c r="AC969" s="126">
        <v>6</v>
      </c>
      <c r="AD969" s="126">
        <v>2026</v>
      </c>
    </row>
    <row r="970" spans="3:30">
      <c r="C970" s="126">
        <v>963</v>
      </c>
      <c r="D970" s="126">
        <v>80</v>
      </c>
      <c r="E970" s="126">
        <v>11</v>
      </c>
      <c r="F970" s="126">
        <v>1</v>
      </c>
      <c r="G970" s="126">
        <v>1</v>
      </c>
      <c r="H970" s="126">
        <v>1</v>
      </c>
      <c r="I970" s="126">
        <v>1</v>
      </c>
      <c r="J970" s="126">
        <v>177</v>
      </c>
      <c r="M970" s="126">
        <v>320</v>
      </c>
      <c r="N970" s="126">
        <v>1</v>
      </c>
      <c r="P970" s="126">
        <v>280</v>
      </c>
      <c r="R970" s="126" t="s">
        <v>549</v>
      </c>
      <c r="S970" s="259">
        <v>20.75</v>
      </c>
      <c r="T970" s="259">
        <v>0</v>
      </c>
      <c r="U970" s="68" t="s">
        <v>1839</v>
      </c>
      <c r="V970" s="126">
        <v>1</v>
      </c>
      <c r="Z970" s="126">
        <v>1</v>
      </c>
      <c r="AA970" s="126">
        <v>1</v>
      </c>
      <c r="AB970" s="126">
        <v>4</v>
      </c>
      <c r="AC970" s="126">
        <v>6</v>
      </c>
      <c r="AD970" s="126">
        <v>2026</v>
      </c>
    </row>
    <row r="971" spans="3:30">
      <c r="C971" s="126">
        <v>964</v>
      </c>
      <c r="D971" s="126">
        <v>80</v>
      </c>
      <c r="E971" s="126">
        <v>10</v>
      </c>
      <c r="F971" s="126">
        <v>1</v>
      </c>
      <c r="G971" s="126">
        <v>1</v>
      </c>
      <c r="H971" s="126">
        <v>1</v>
      </c>
      <c r="I971" s="126">
        <v>1</v>
      </c>
      <c r="J971" s="126">
        <v>177</v>
      </c>
      <c r="P971" s="126">
        <v>280</v>
      </c>
      <c r="R971" s="126" t="s">
        <v>549</v>
      </c>
      <c r="S971" s="259">
        <v>0</v>
      </c>
      <c r="T971" s="259">
        <v>22.5</v>
      </c>
      <c r="U971" s="68" t="s">
        <v>1840</v>
      </c>
      <c r="V971" s="126">
        <v>1</v>
      </c>
      <c r="Z971" s="126">
        <v>1</v>
      </c>
      <c r="AA971" s="126">
        <v>1</v>
      </c>
      <c r="AB971" s="126">
        <v>4</v>
      </c>
      <c r="AC971" s="126">
        <v>6</v>
      </c>
      <c r="AD971" s="126">
        <v>2026</v>
      </c>
    </row>
    <row r="972" spans="3:30">
      <c r="C972" s="126">
        <v>965</v>
      </c>
      <c r="D972" s="126">
        <v>80</v>
      </c>
      <c r="E972" s="126">
        <v>3</v>
      </c>
      <c r="F972" s="126">
        <v>1</v>
      </c>
      <c r="G972" s="126">
        <v>1</v>
      </c>
      <c r="H972" s="126">
        <v>1</v>
      </c>
      <c r="I972" s="126">
        <v>1</v>
      </c>
      <c r="J972" s="126">
        <v>108</v>
      </c>
      <c r="M972" s="126">
        <v>321</v>
      </c>
      <c r="N972" s="126">
        <v>0</v>
      </c>
      <c r="P972" s="126">
        <v>281</v>
      </c>
      <c r="R972" s="126" t="s">
        <v>549</v>
      </c>
      <c r="S972" s="259">
        <v>0</v>
      </c>
      <c r="T972" s="259">
        <v>2.7</v>
      </c>
      <c r="U972" s="68" t="s">
        <v>1841</v>
      </c>
      <c r="V972" s="126">
        <v>1</v>
      </c>
      <c r="Z972" s="126">
        <v>1</v>
      </c>
      <c r="AA972" s="126">
        <v>1</v>
      </c>
      <c r="AB972" s="126">
        <v>4</v>
      </c>
      <c r="AC972" s="126">
        <v>6</v>
      </c>
      <c r="AD972" s="126">
        <v>2026</v>
      </c>
    </row>
    <row r="973" spans="3:30">
      <c r="C973" s="126">
        <v>966</v>
      </c>
      <c r="D973" s="126">
        <v>80</v>
      </c>
      <c r="E973" s="126">
        <v>11</v>
      </c>
      <c r="F973" s="126">
        <v>1</v>
      </c>
      <c r="G973" s="126">
        <v>1</v>
      </c>
      <c r="H973" s="126">
        <v>1</v>
      </c>
      <c r="I973" s="126">
        <v>1</v>
      </c>
      <c r="J973" s="126">
        <v>108</v>
      </c>
      <c r="M973" s="126">
        <v>321</v>
      </c>
      <c r="N973" s="126">
        <v>1</v>
      </c>
      <c r="P973" s="126">
        <v>281</v>
      </c>
      <c r="R973" s="126" t="s">
        <v>549</v>
      </c>
      <c r="S973" s="259">
        <v>2.7</v>
      </c>
      <c r="T973" s="259">
        <v>0</v>
      </c>
      <c r="U973" s="68" t="s">
        <v>1842</v>
      </c>
      <c r="V973" s="126">
        <v>1</v>
      </c>
      <c r="Z973" s="126">
        <v>1</v>
      </c>
      <c r="AA973" s="126">
        <v>1</v>
      </c>
      <c r="AB973" s="126">
        <v>4</v>
      </c>
      <c r="AC973" s="126">
        <v>6</v>
      </c>
      <c r="AD973" s="126">
        <v>2026</v>
      </c>
    </row>
    <row r="974" spans="3:30">
      <c r="C974" s="126">
        <v>967</v>
      </c>
      <c r="D974" s="126">
        <v>80</v>
      </c>
      <c r="E974" s="126">
        <v>10</v>
      </c>
      <c r="F974" s="126">
        <v>1</v>
      </c>
      <c r="G974" s="126">
        <v>1</v>
      </c>
      <c r="H974" s="126">
        <v>1</v>
      </c>
      <c r="I974" s="126">
        <v>1</v>
      </c>
      <c r="J974" s="126">
        <v>108</v>
      </c>
      <c r="P974" s="126">
        <v>281</v>
      </c>
      <c r="R974" s="126" t="s">
        <v>549</v>
      </c>
      <c r="S974" s="259">
        <v>0</v>
      </c>
      <c r="T974" s="259">
        <v>3</v>
      </c>
      <c r="U974" s="68" t="s">
        <v>1843</v>
      </c>
      <c r="V974" s="126">
        <v>1</v>
      </c>
      <c r="Z974" s="126">
        <v>1</v>
      </c>
      <c r="AA974" s="126">
        <v>1</v>
      </c>
      <c r="AB974" s="126">
        <v>4</v>
      </c>
      <c r="AC974" s="126">
        <v>6</v>
      </c>
      <c r="AD974" s="126">
        <v>2026</v>
      </c>
    </row>
    <row r="975" spans="3:30">
      <c r="C975" s="126">
        <v>968</v>
      </c>
      <c r="D975" s="126">
        <v>80</v>
      </c>
      <c r="E975" s="126">
        <v>3</v>
      </c>
      <c r="F975" s="126">
        <v>1</v>
      </c>
      <c r="G975" s="126">
        <v>1</v>
      </c>
      <c r="H975" s="126">
        <v>1</v>
      </c>
      <c r="I975" s="126">
        <v>1</v>
      </c>
      <c r="J975" s="126">
        <v>14</v>
      </c>
      <c r="M975" s="126">
        <v>322</v>
      </c>
      <c r="N975" s="126">
        <v>0</v>
      </c>
      <c r="P975" s="126">
        <v>282</v>
      </c>
      <c r="R975" s="126" t="s">
        <v>549</v>
      </c>
      <c r="S975" s="259">
        <v>0</v>
      </c>
      <c r="T975" s="259">
        <v>3.3</v>
      </c>
      <c r="U975" s="68" t="s">
        <v>1844</v>
      </c>
      <c r="V975" s="126">
        <v>1</v>
      </c>
      <c r="Z975" s="126">
        <v>1</v>
      </c>
      <c r="AA975" s="126">
        <v>1</v>
      </c>
      <c r="AB975" s="126">
        <v>4</v>
      </c>
      <c r="AC975" s="126">
        <v>6</v>
      </c>
      <c r="AD975" s="126">
        <v>2026</v>
      </c>
    </row>
    <row r="976" spans="3:30">
      <c r="C976" s="126">
        <v>969</v>
      </c>
      <c r="D976" s="126">
        <v>80</v>
      </c>
      <c r="E976" s="126">
        <v>11</v>
      </c>
      <c r="F976" s="126">
        <v>1</v>
      </c>
      <c r="G976" s="126">
        <v>1</v>
      </c>
      <c r="H976" s="126">
        <v>1</v>
      </c>
      <c r="I976" s="126">
        <v>1</v>
      </c>
      <c r="J976" s="126">
        <v>14</v>
      </c>
      <c r="M976" s="126">
        <v>322</v>
      </c>
      <c r="N976" s="126">
        <v>1</v>
      </c>
      <c r="P976" s="126">
        <v>282</v>
      </c>
      <c r="R976" s="126" t="s">
        <v>549</v>
      </c>
      <c r="S976" s="259">
        <v>3.3</v>
      </c>
      <c r="T976" s="259">
        <v>0</v>
      </c>
      <c r="U976" s="68" t="s">
        <v>1845</v>
      </c>
      <c r="V976" s="126">
        <v>1</v>
      </c>
      <c r="Z976" s="126">
        <v>1</v>
      </c>
      <c r="AA976" s="126">
        <v>1</v>
      </c>
      <c r="AB976" s="126">
        <v>4</v>
      </c>
      <c r="AC976" s="126">
        <v>6</v>
      </c>
      <c r="AD976" s="126">
        <v>2026</v>
      </c>
    </row>
    <row r="977" spans="3:30">
      <c r="C977" s="126">
        <v>970</v>
      </c>
      <c r="D977" s="126">
        <v>80</v>
      </c>
      <c r="E977" s="126">
        <v>10</v>
      </c>
      <c r="F977" s="126">
        <v>1</v>
      </c>
      <c r="G977" s="126">
        <v>1</v>
      </c>
      <c r="H977" s="126">
        <v>1</v>
      </c>
      <c r="I977" s="126">
        <v>1</v>
      </c>
      <c r="J977" s="126">
        <v>14</v>
      </c>
      <c r="P977" s="126">
        <v>282</v>
      </c>
      <c r="R977" s="126" t="s">
        <v>549</v>
      </c>
      <c r="S977" s="259">
        <v>0</v>
      </c>
      <c r="T977" s="259">
        <v>3.75</v>
      </c>
      <c r="U977" s="68" t="s">
        <v>1846</v>
      </c>
      <c r="V977" s="126">
        <v>1</v>
      </c>
      <c r="Z977" s="126">
        <v>1</v>
      </c>
      <c r="AA977" s="126">
        <v>1</v>
      </c>
      <c r="AB977" s="126">
        <v>4</v>
      </c>
      <c r="AC977" s="126">
        <v>6</v>
      </c>
      <c r="AD977" s="126">
        <v>2026</v>
      </c>
    </row>
    <row r="978" spans="3:30">
      <c r="C978" s="126">
        <v>971</v>
      </c>
      <c r="D978" s="126">
        <v>80</v>
      </c>
      <c r="E978" s="126">
        <v>3</v>
      </c>
      <c r="F978" s="126">
        <v>1</v>
      </c>
      <c r="G978" s="126">
        <v>1</v>
      </c>
      <c r="H978" s="126">
        <v>1</v>
      </c>
      <c r="I978" s="126">
        <v>1</v>
      </c>
      <c r="J978" s="126">
        <v>56</v>
      </c>
      <c r="M978" s="126">
        <v>323</v>
      </c>
      <c r="N978" s="126">
        <v>0</v>
      </c>
      <c r="P978" s="126">
        <v>283</v>
      </c>
      <c r="R978" s="126" t="s">
        <v>549</v>
      </c>
      <c r="S978" s="259">
        <v>0</v>
      </c>
      <c r="T978" s="259">
        <v>1.1000000000000001</v>
      </c>
      <c r="U978" s="68" t="s">
        <v>1847</v>
      </c>
      <c r="V978" s="126">
        <v>1</v>
      </c>
      <c r="Z978" s="126">
        <v>1</v>
      </c>
      <c r="AA978" s="126">
        <v>1</v>
      </c>
      <c r="AB978" s="126">
        <v>4</v>
      </c>
      <c r="AC978" s="126">
        <v>6</v>
      </c>
      <c r="AD978" s="126">
        <v>2026</v>
      </c>
    </row>
    <row r="979" spans="3:30">
      <c r="C979" s="126">
        <v>972</v>
      </c>
      <c r="D979" s="126">
        <v>80</v>
      </c>
      <c r="E979" s="126">
        <v>11</v>
      </c>
      <c r="F979" s="126">
        <v>1</v>
      </c>
      <c r="G979" s="126">
        <v>1</v>
      </c>
      <c r="H979" s="126">
        <v>1</v>
      </c>
      <c r="I979" s="126">
        <v>1</v>
      </c>
      <c r="J979" s="126">
        <v>56</v>
      </c>
      <c r="M979" s="126">
        <v>323</v>
      </c>
      <c r="N979" s="126">
        <v>1</v>
      </c>
      <c r="P979" s="126">
        <v>283</v>
      </c>
      <c r="R979" s="126" t="s">
        <v>549</v>
      </c>
      <c r="S979" s="259">
        <v>1.1000000000000001</v>
      </c>
      <c r="T979" s="259">
        <v>0</v>
      </c>
      <c r="U979" s="68" t="s">
        <v>1848</v>
      </c>
      <c r="V979" s="126">
        <v>1</v>
      </c>
      <c r="Z979" s="126">
        <v>1</v>
      </c>
      <c r="AA979" s="126">
        <v>1</v>
      </c>
      <c r="AB979" s="126">
        <v>4</v>
      </c>
      <c r="AC979" s="126">
        <v>6</v>
      </c>
      <c r="AD979" s="126">
        <v>2026</v>
      </c>
    </row>
    <row r="980" spans="3:30">
      <c r="C980" s="126">
        <v>973</v>
      </c>
      <c r="D980" s="126">
        <v>80</v>
      </c>
      <c r="E980" s="126">
        <v>10</v>
      </c>
      <c r="F980" s="126">
        <v>1</v>
      </c>
      <c r="G980" s="126">
        <v>1</v>
      </c>
      <c r="H980" s="126">
        <v>1</v>
      </c>
      <c r="I980" s="126">
        <v>1</v>
      </c>
      <c r="J980" s="126">
        <v>56</v>
      </c>
      <c r="P980" s="126">
        <v>283</v>
      </c>
      <c r="R980" s="126" t="s">
        <v>549</v>
      </c>
      <c r="S980" s="259">
        <v>0</v>
      </c>
      <c r="T980" s="259">
        <v>1.5</v>
      </c>
      <c r="U980" s="68" t="s">
        <v>1849</v>
      </c>
      <c r="V980" s="126">
        <v>1</v>
      </c>
      <c r="Z980" s="126">
        <v>1</v>
      </c>
      <c r="AA980" s="126">
        <v>1</v>
      </c>
      <c r="AB980" s="126">
        <v>4</v>
      </c>
      <c r="AC980" s="126">
        <v>6</v>
      </c>
      <c r="AD980" s="126">
        <v>2026</v>
      </c>
    </row>
    <row r="981" spans="3:30">
      <c r="C981" s="126">
        <v>974</v>
      </c>
      <c r="D981" s="126">
        <v>80</v>
      </c>
      <c r="E981" s="126">
        <v>3</v>
      </c>
      <c r="F981" s="126">
        <v>1</v>
      </c>
      <c r="G981" s="126">
        <v>1</v>
      </c>
      <c r="H981" s="126">
        <v>1</v>
      </c>
      <c r="I981" s="126">
        <v>1</v>
      </c>
      <c r="J981" s="126">
        <v>18</v>
      </c>
      <c r="M981" s="126">
        <v>324</v>
      </c>
      <c r="N981" s="126">
        <v>0</v>
      </c>
      <c r="P981" s="126">
        <v>284</v>
      </c>
      <c r="R981" s="126" t="s">
        <v>549</v>
      </c>
      <c r="S981" s="259">
        <v>0</v>
      </c>
      <c r="T981" s="259">
        <v>2.7</v>
      </c>
      <c r="U981" s="68" t="s">
        <v>1850</v>
      </c>
      <c r="V981" s="126">
        <v>1</v>
      </c>
      <c r="Z981" s="126">
        <v>1</v>
      </c>
      <c r="AA981" s="126">
        <v>1</v>
      </c>
      <c r="AB981" s="126">
        <v>4</v>
      </c>
      <c r="AC981" s="126">
        <v>6</v>
      </c>
      <c r="AD981" s="126">
        <v>2026</v>
      </c>
    </row>
    <row r="982" spans="3:30">
      <c r="C982" s="126">
        <v>975</v>
      </c>
      <c r="D982" s="126">
        <v>80</v>
      </c>
      <c r="E982" s="126">
        <v>11</v>
      </c>
      <c r="F982" s="126">
        <v>1</v>
      </c>
      <c r="G982" s="126">
        <v>1</v>
      </c>
      <c r="H982" s="126">
        <v>1</v>
      </c>
      <c r="I982" s="126">
        <v>1</v>
      </c>
      <c r="J982" s="126">
        <v>18</v>
      </c>
      <c r="M982" s="126">
        <v>324</v>
      </c>
      <c r="N982" s="126">
        <v>1</v>
      </c>
      <c r="P982" s="126">
        <v>284</v>
      </c>
      <c r="R982" s="126" t="s">
        <v>549</v>
      </c>
      <c r="S982" s="259">
        <v>2.7</v>
      </c>
      <c r="T982" s="259">
        <v>0</v>
      </c>
      <c r="U982" s="68" t="s">
        <v>1851</v>
      </c>
      <c r="V982" s="126">
        <v>1</v>
      </c>
      <c r="Z982" s="126">
        <v>1</v>
      </c>
      <c r="AA982" s="126">
        <v>1</v>
      </c>
      <c r="AB982" s="126">
        <v>4</v>
      </c>
      <c r="AC982" s="126">
        <v>6</v>
      </c>
      <c r="AD982" s="126">
        <v>2026</v>
      </c>
    </row>
    <row r="983" spans="3:30">
      <c r="C983" s="126">
        <v>976</v>
      </c>
      <c r="D983" s="126">
        <v>80</v>
      </c>
      <c r="E983" s="126">
        <v>10</v>
      </c>
      <c r="F983" s="126">
        <v>1</v>
      </c>
      <c r="G983" s="126">
        <v>1</v>
      </c>
      <c r="H983" s="126">
        <v>1</v>
      </c>
      <c r="I983" s="126">
        <v>1</v>
      </c>
      <c r="J983" s="126">
        <v>18</v>
      </c>
      <c r="P983" s="126">
        <v>284</v>
      </c>
      <c r="R983" s="126" t="s">
        <v>549</v>
      </c>
      <c r="S983" s="259">
        <v>0</v>
      </c>
      <c r="T983" s="259">
        <v>4</v>
      </c>
      <c r="U983" s="68" t="s">
        <v>1852</v>
      </c>
      <c r="V983" s="126">
        <v>1</v>
      </c>
      <c r="Z983" s="126">
        <v>1</v>
      </c>
      <c r="AA983" s="126">
        <v>1</v>
      </c>
      <c r="AB983" s="126">
        <v>4</v>
      </c>
      <c r="AC983" s="126">
        <v>6</v>
      </c>
      <c r="AD983" s="126">
        <v>2026</v>
      </c>
    </row>
    <row r="984" spans="3:30">
      <c r="C984" s="126">
        <v>977</v>
      </c>
      <c r="D984" s="126">
        <v>80</v>
      </c>
      <c r="E984" s="126">
        <v>3</v>
      </c>
      <c r="F984" s="126">
        <v>1</v>
      </c>
      <c r="G984" s="126">
        <v>1</v>
      </c>
      <c r="H984" s="126">
        <v>1</v>
      </c>
      <c r="I984" s="126">
        <v>1</v>
      </c>
      <c r="J984" s="126">
        <v>29</v>
      </c>
      <c r="M984" s="126">
        <v>325</v>
      </c>
      <c r="N984" s="126">
        <v>0</v>
      </c>
      <c r="P984" s="126">
        <v>285</v>
      </c>
      <c r="R984" s="126" t="s">
        <v>549</v>
      </c>
      <c r="S984" s="259">
        <v>0</v>
      </c>
      <c r="T984" s="259">
        <v>8.4600000000000009</v>
      </c>
      <c r="U984" s="68" t="s">
        <v>1853</v>
      </c>
      <c r="V984" s="126">
        <v>1</v>
      </c>
      <c r="Z984" s="126">
        <v>1</v>
      </c>
      <c r="AA984" s="126">
        <v>1</v>
      </c>
      <c r="AB984" s="126">
        <v>4</v>
      </c>
      <c r="AC984" s="126">
        <v>6</v>
      </c>
      <c r="AD984" s="126">
        <v>2026</v>
      </c>
    </row>
    <row r="985" spans="3:30">
      <c r="C985" s="126">
        <v>978</v>
      </c>
      <c r="D985" s="126">
        <v>80</v>
      </c>
      <c r="E985" s="126">
        <v>11</v>
      </c>
      <c r="F985" s="126">
        <v>1</v>
      </c>
      <c r="G985" s="126">
        <v>1</v>
      </c>
      <c r="H985" s="126">
        <v>1</v>
      </c>
      <c r="I985" s="126">
        <v>1</v>
      </c>
      <c r="J985" s="126">
        <v>29</v>
      </c>
      <c r="M985" s="126">
        <v>325</v>
      </c>
      <c r="N985" s="126">
        <v>1</v>
      </c>
      <c r="P985" s="126">
        <v>285</v>
      </c>
      <c r="R985" s="126" t="s">
        <v>549</v>
      </c>
      <c r="S985" s="259">
        <v>8.4600000000000009</v>
      </c>
      <c r="T985" s="259">
        <v>0</v>
      </c>
      <c r="U985" s="68" t="s">
        <v>1854</v>
      </c>
      <c r="V985" s="126">
        <v>1</v>
      </c>
      <c r="Z985" s="126">
        <v>1</v>
      </c>
      <c r="AA985" s="126">
        <v>1</v>
      </c>
      <c r="AB985" s="126">
        <v>4</v>
      </c>
      <c r="AC985" s="126">
        <v>6</v>
      </c>
      <c r="AD985" s="126">
        <v>2026</v>
      </c>
    </row>
    <row r="986" spans="3:30">
      <c r="C986" s="126">
        <v>979</v>
      </c>
      <c r="D986" s="126">
        <v>80</v>
      </c>
      <c r="E986" s="126">
        <v>10</v>
      </c>
      <c r="F986" s="126">
        <v>1</v>
      </c>
      <c r="G986" s="126">
        <v>1</v>
      </c>
      <c r="H986" s="126">
        <v>1</v>
      </c>
      <c r="I986" s="126">
        <v>1</v>
      </c>
      <c r="J986" s="126">
        <v>29</v>
      </c>
      <c r="P986" s="126">
        <v>285</v>
      </c>
      <c r="R986" s="126" t="s">
        <v>549</v>
      </c>
      <c r="S986" s="259">
        <v>0</v>
      </c>
      <c r="T986" s="259">
        <v>10</v>
      </c>
      <c r="U986" s="68" t="s">
        <v>1855</v>
      </c>
      <c r="V986" s="126">
        <v>1</v>
      </c>
      <c r="Z986" s="126">
        <v>1</v>
      </c>
      <c r="AA986" s="126">
        <v>1</v>
      </c>
      <c r="AB986" s="126">
        <v>4</v>
      </c>
      <c r="AC986" s="126">
        <v>6</v>
      </c>
      <c r="AD986" s="126">
        <v>2026</v>
      </c>
    </row>
    <row r="987" spans="3:30">
      <c r="C987" s="126">
        <v>980</v>
      </c>
      <c r="D987" s="126">
        <v>81</v>
      </c>
      <c r="E987" s="126">
        <v>2</v>
      </c>
      <c r="F987" s="126">
        <v>1</v>
      </c>
      <c r="G987" s="126">
        <v>1</v>
      </c>
      <c r="H987" s="126">
        <v>1</v>
      </c>
      <c r="I987" s="126">
        <v>1</v>
      </c>
      <c r="R987" s="126" t="s">
        <v>549</v>
      </c>
      <c r="S987" s="259">
        <v>39.5</v>
      </c>
      <c r="T987" s="259">
        <v>0</v>
      </c>
      <c r="U987" s="68" t="s">
        <v>1858</v>
      </c>
      <c r="V987" s="126">
        <v>1</v>
      </c>
      <c r="Z987" s="126">
        <v>1</v>
      </c>
      <c r="AA987" s="126">
        <v>1</v>
      </c>
      <c r="AB987" s="126">
        <v>4</v>
      </c>
      <c r="AC987" s="126">
        <v>6</v>
      </c>
      <c r="AD987" s="126">
        <v>2026</v>
      </c>
    </row>
    <row r="988" spans="3:30">
      <c r="C988" s="126">
        <v>981</v>
      </c>
      <c r="D988" s="126">
        <v>81</v>
      </c>
      <c r="E988" s="126">
        <v>3</v>
      </c>
      <c r="F988" s="126">
        <v>1</v>
      </c>
      <c r="G988" s="126">
        <v>1</v>
      </c>
      <c r="H988" s="126">
        <v>1</v>
      </c>
      <c r="I988" s="126">
        <v>1</v>
      </c>
      <c r="J988" s="126">
        <v>11</v>
      </c>
      <c r="M988" s="126">
        <v>326</v>
      </c>
      <c r="N988" s="126">
        <v>0</v>
      </c>
      <c r="P988" s="126">
        <v>286</v>
      </c>
      <c r="R988" s="126" t="s">
        <v>549</v>
      </c>
      <c r="S988" s="259">
        <v>0</v>
      </c>
      <c r="T988" s="259">
        <v>19.04</v>
      </c>
      <c r="U988" s="68" t="s">
        <v>1859</v>
      </c>
      <c r="V988" s="126">
        <v>1</v>
      </c>
      <c r="Z988" s="126">
        <v>1</v>
      </c>
      <c r="AA988" s="126">
        <v>1</v>
      </c>
      <c r="AB988" s="126">
        <v>4</v>
      </c>
      <c r="AC988" s="126">
        <v>6</v>
      </c>
      <c r="AD988" s="126">
        <v>2026</v>
      </c>
    </row>
    <row r="989" spans="3:30">
      <c r="C989" s="126">
        <v>982</v>
      </c>
      <c r="D989" s="126">
        <v>81</v>
      </c>
      <c r="E989" s="126">
        <v>11</v>
      </c>
      <c r="F989" s="126">
        <v>1</v>
      </c>
      <c r="G989" s="126">
        <v>1</v>
      </c>
      <c r="H989" s="126">
        <v>1</v>
      </c>
      <c r="I989" s="126">
        <v>1</v>
      </c>
      <c r="J989" s="126">
        <v>11</v>
      </c>
      <c r="M989" s="126">
        <v>326</v>
      </c>
      <c r="N989" s="126">
        <v>1</v>
      </c>
      <c r="P989" s="126">
        <v>286</v>
      </c>
      <c r="R989" s="126" t="s">
        <v>549</v>
      </c>
      <c r="S989" s="259">
        <v>19.04</v>
      </c>
      <c r="T989" s="259">
        <v>0</v>
      </c>
      <c r="U989" s="68" t="s">
        <v>1860</v>
      </c>
      <c r="V989" s="126">
        <v>1</v>
      </c>
      <c r="Z989" s="126">
        <v>1</v>
      </c>
      <c r="AA989" s="126">
        <v>1</v>
      </c>
      <c r="AB989" s="126">
        <v>4</v>
      </c>
      <c r="AC989" s="126">
        <v>6</v>
      </c>
      <c r="AD989" s="126">
        <v>2026</v>
      </c>
    </row>
    <row r="990" spans="3:30">
      <c r="C990" s="126">
        <v>983</v>
      </c>
      <c r="D990" s="126">
        <v>81</v>
      </c>
      <c r="E990" s="126">
        <v>10</v>
      </c>
      <c r="F990" s="126">
        <v>1</v>
      </c>
      <c r="G990" s="126">
        <v>1</v>
      </c>
      <c r="H990" s="126">
        <v>1</v>
      </c>
      <c r="I990" s="126">
        <v>1</v>
      </c>
      <c r="J990" s="126">
        <v>11</v>
      </c>
      <c r="P990" s="126">
        <v>286</v>
      </c>
      <c r="R990" s="126" t="s">
        <v>549</v>
      </c>
      <c r="S990" s="259">
        <v>0</v>
      </c>
      <c r="T990" s="259">
        <v>20</v>
      </c>
      <c r="U990" s="68" t="s">
        <v>1861</v>
      </c>
      <c r="V990" s="126">
        <v>1</v>
      </c>
      <c r="Z990" s="126">
        <v>1</v>
      </c>
      <c r="AA990" s="126">
        <v>1</v>
      </c>
      <c r="AB990" s="126">
        <v>4</v>
      </c>
      <c r="AC990" s="126">
        <v>6</v>
      </c>
      <c r="AD990" s="126">
        <v>2026</v>
      </c>
    </row>
    <row r="991" spans="3:30">
      <c r="C991" s="126">
        <v>984</v>
      </c>
      <c r="D991" s="126">
        <v>81</v>
      </c>
      <c r="E991" s="126">
        <v>3</v>
      </c>
      <c r="F991" s="126">
        <v>1</v>
      </c>
      <c r="G991" s="126">
        <v>1</v>
      </c>
      <c r="H991" s="126">
        <v>1</v>
      </c>
      <c r="I991" s="126">
        <v>1</v>
      </c>
      <c r="J991" s="126">
        <v>9</v>
      </c>
      <c r="M991" s="126">
        <v>327</v>
      </c>
      <c r="N991" s="126">
        <v>0</v>
      </c>
      <c r="P991" s="126">
        <v>287</v>
      </c>
      <c r="R991" s="126" t="s">
        <v>549</v>
      </c>
      <c r="S991" s="259">
        <v>0</v>
      </c>
      <c r="T991" s="259">
        <v>9.1999999999999993</v>
      </c>
      <c r="U991" s="68" t="s">
        <v>1862</v>
      </c>
      <c r="V991" s="126">
        <v>1</v>
      </c>
      <c r="Z991" s="126">
        <v>1</v>
      </c>
      <c r="AA991" s="126">
        <v>1</v>
      </c>
      <c r="AB991" s="126">
        <v>4</v>
      </c>
      <c r="AC991" s="126">
        <v>6</v>
      </c>
      <c r="AD991" s="126">
        <v>2026</v>
      </c>
    </row>
    <row r="992" spans="3:30">
      <c r="C992" s="126">
        <v>985</v>
      </c>
      <c r="D992" s="126">
        <v>81</v>
      </c>
      <c r="E992" s="126">
        <v>11</v>
      </c>
      <c r="F992" s="126">
        <v>1</v>
      </c>
      <c r="G992" s="126">
        <v>1</v>
      </c>
      <c r="H992" s="126">
        <v>1</v>
      </c>
      <c r="I992" s="126">
        <v>1</v>
      </c>
      <c r="J992" s="126">
        <v>9</v>
      </c>
      <c r="M992" s="126">
        <v>327</v>
      </c>
      <c r="N992" s="126">
        <v>1</v>
      </c>
      <c r="P992" s="126">
        <v>287</v>
      </c>
      <c r="R992" s="126" t="s">
        <v>549</v>
      </c>
      <c r="S992" s="259">
        <v>9.1999999999999993</v>
      </c>
      <c r="T992" s="259">
        <v>0</v>
      </c>
      <c r="U992" s="68" t="s">
        <v>1863</v>
      </c>
      <c r="V992" s="126">
        <v>1</v>
      </c>
      <c r="Z992" s="126">
        <v>1</v>
      </c>
      <c r="AA992" s="126">
        <v>1</v>
      </c>
      <c r="AB992" s="126">
        <v>4</v>
      </c>
      <c r="AC992" s="126">
        <v>6</v>
      </c>
      <c r="AD992" s="126">
        <v>2026</v>
      </c>
    </row>
    <row r="993" spans="3:30">
      <c r="C993" s="126">
        <v>986</v>
      </c>
      <c r="D993" s="126">
        <v>81</v>
      </c>
      <c r="E993" s="126">
        <v>10</v>
      </c>
      <c r="F993" s="126">
        <v>1</v>
      </c>
      <c r="G993" s="126">
        <v>1</v>
      </c>
      <c r="H993" s="126">
        <v>1</v>
      </c>
      <c r="I993" s="126">
        <v>1</v>
      </c>
      <c r="J993" s="126">
        <v>9</v>
      </c>
      <c r="P993" s="126">
        <v>287</v>
      </c>
      <c r="R993" s="126" t="s">
        <v>549</v>
      </c>
      <c r="S993" s="259">
        <v>0</v>
      </c>
      <c r="T993" s="259">
        <v>16</v>
      </c>
      <c r="U993" s="68" t="s">
        <v>1864</v>
      </c>
      <c r="V993" s="126">
        <v>1</v>
      </c>
      <c r="Z993" s="126">
        <v>1</v>
      </c>
      <c r="AA993" s="126">
        <v>1</v>
      </c>
      <c r="AB993" s="126">
        <v>4</v>
      </c>
      <c r="AC993" s="126">
        <v>6</v>
      </c>
      <c r="AD993" s="126">
        <v>2026</v>
      </c>
    </row>
    <row r="994" spans="3:30">
      <c r="C994" s="126">
        <v>987</v>
      </c>
      <c r="D994" s="126">
        <v>81</v>
      </c>
      <c r="E994" s="126">
        <v>3</v>
      </c>
      <c r="F994" s="126">
        <v>1</v>
      </c>
      <c r="G994" s="126">
        <v>1</v>
      </c>
      <c r="H994" s="126">
        <v>1</v>
      </c>
      <c r="I994" s="126">
        <v>1</v>
      </c>
      <c r="J994" s="126">
        <v>50</v>
      </c>
      <c r="M994" s="126">
        <v>328</v>
      </c>
      <c r="N994" s="126">
        <v>0</v>
      </c>
      <c r="P994" s="126">
        <v>288</v>
      </c>
      <c r="R994" s="126" t="s">
        <v>549</v>
      </c>
      <c r="S994" s="259">
        <v>0</v>
      </c>
      <c r="T994" s="259">
        <v>0.6</v>
      </c>
      <c r="U994" s="68" t="s">
        <v>1865</v>
      </c>
      <c r="V994" s="126">
        <v>1</v>
      </c>
      <c r="Z994" s="126">
        <v>1</v>
      </c>
      <c r="AA994" s="126">
        <v>1</v>
      </c>
      <c r="AB994" s="126">
        <v>4</v>
      </c>
      <c r="AC994" s="126">
        <v>6</v>
      </c>
      <c r="AD994" s="126">
        <v>2026</v>
      </c>
    </row>
    <row r="995" spans="3:30">
      <c r="C995" s="126">
        <v>988</v>
      </c>
      <c r="D995" s="126">
        <v>81</v>
      </c>
      <c r="E995" s="126">
        <v>11</v>
      </c>
      <c r="F995" s="126">
        <v>1</v>
      </c>
      <c r="G995" s="126">
        <v>1</v>
      </c>
      <c r="H995" s="126">
        <v>1</v>
      </c>
      <c r="I995" s="126">
        <v>1</v>
      </c>
      <c r="J995" s="126">
        <v>50</v>
      </c>
      <c r="M995" s="126">
        <v>328</v>
      </c>
      <c r="N995" s="126">
        <v>1</v>
      </c>
      <c r="P995" s="126">
        <v>288</v>
      </c>
      <c r="R995" s="126" t="s">
        <v>549</v>
      </c>
      <c r="S995" s="259">
        <v>0.6</v>
      </c>
      <c r="T995" s="259">
        <v>0</v>
      </c>
      <c r="U995" s="68" t="s">
        <v>1866</v>
      </c>
      <c r="V995" s="126">
        <v>1</v>
      </c>
      <c r="Z995" s="126">
        <v>1</v>
      </c>
      <c r="AA995" s="126">
        <v>1</v>
      </c>
      <c r="AB995" s="126">
        <v>4</v>
      </c>
      <c r="AC995" s="126">
        <v>6</v>
      </c>
      <c r="AD995" s="126">
        <v>2026</v>
      </c>
    </row>
    <row r="996" spans="3:30">
      <c r="C996" s="126">
        <v>989</v>
      </c>
      <c r="D996" s="126">
        <v>81</v>
      </c>
      <c r="E996" s="126">
        <v>10</v>
      </c>
      <c r="F996" s="126">
        <v>1</v>
      </c>
      <c r="G996" s="126">
        <v>1</v>
      </c>
      <c r="H996" s="126">
        <v>1</v>
      </c>
      <c r="I996" s="126">
        <v>1</v>
      </c>
      <c r="J996" s="126">
        <v>50</v>
      </c>
      <c r="P996" s="126">
        <v>288</v>
      </c>
      <c r="R996" s="126" t="s">
        <v>549</v>
      </c>
      <c r="S996" s="259">
        <v>0</v>
      </c>
      <c r="T996" s="259">
        <v>1.25</v>
      </c>
      <c r="U996" s="68" t="s">
        <v>1867</v>
      </c>
      <c r="V996" s="126">
        <v>1</v>
      </c>
      <c r="Z996" s="126">
        <v>1</v>
      </c>
      <c r="AA996" s="126">
        <v>1</v>
      </c>
      <c r="AB996" s="126">
        <v>4</v>
      </c>
      <c r="AC996" s="126">
        <v>6</v>
      </c>
      <c r="AD996" s="126">
        <v>2026</v>
      </c>
    </row>
    <row r="997" spans="3:30">
      <c r="C997" s="126">
        <v>990</v>
      </c>
      <c r="D997" s="126">
        <v>81</v>
      </c>
      <c r="E997" s="126">
        <v>3</v>
      </c>
      <c r="F997" s="126">
        <v>1</v>
      </c>
      <c r="G997" s="126">
        <v>1</v>
      </c>
      <c r="H997" s="126">
        <v>1</v>
      </c>
      <c r="I997" s="126">
        <v>1</v>
      </c>
      <c r="J997" s="126">
        <v>49</v>
      </c>
      <c r="M997" s="126">
        <v>329</v>
      </c>
      <c r="N997" s="126">
        <v>0</v>
      </c>
      <c r="P997" s="126">
        <v>289</v>
      </c>
      <c r="R997" s="126" t="s">
        <v>549</v>
      </c>
      <c r="S997" s="259">
        <v>0</v>
      </c>
      <c r="T997" s="259">
        <v>0.56000000000000005</v>
      </c>
      <c r="U997" s="68" t="s">
        <v>1868</v>
      </c>
      <c r="V997" s="126">
        <v>1</v>
      </c>
      <c r="Z997" s="126">
        <v>1</v>
      </c>
      <c r="AA997" s="126">
        <v>1</v>
      </c>
      <c r="AB997" s="126">
        <v>4</v>
      </c>
      <c r="AC997" s="126">
        <v>6</v>
      </c>
      <c r="AD997" s="126">
        <v>2026</v>
      </c>
    </row>
    <row r="998" spans="3:30">
      <c r="C998" s="126">
        <v>991</v>
      </c>
      <c r="D998" s="126">
        <v>81</v>
      </c>
      <c r="E998" s="126">
        <v>11</v>
      </c>
      <c r="F998" s="126">
        <v>1</v>
      </c>
      <c r="G998" s="126">
        <v>1</v>
      </c>
      <c r="H998" s="126">
        <v>1</v>
      </c>
      <c r="I998" s="126">
        <v>1</v>
      </c>
      <c r="J998" s="126">
        <v>49</v>
      </c>
      <c r="M998" s="126">
        <v>329</v>
      </c>
      <c r="N998" s="126">
        <v>1</v>
      </c>
      <c r="P998" s="126">
        <v>289</v>
      </c>
      <c r="R998" s="126" t="s">
        <v>549</v>
      </c>
      <c r="S998" s="259">
        <v>0.56000000000000005</v>
      </c>
      <c r="T998" s="259">
        <v>0</v>
      </c>
      <c r="U998" s="68" t="s">
        <v>1869</v>
      </c>
      <c r="V998" s="126">
        <v>1</v>
      </c>
      <c r="Z998" s="126">
        <v>1</v>
      </c>
      <c r="AA998" s="126">
        <v>1</v>
      </c>
      <c r="AB998" s="126">
        <v>4</v>
      </c>
      <c r="AC998" s="126">
        <v>6</v>
      </c>
      <c r="AD998" s="126">
        <v>2026</v>
      </c>
    </row>
    <row r="999" spans="3:30">
      <c r="C999" s="126">
        <v>992</v>
      </c>
      <c r="D999" s="126">
        <v>81</v>
      </c>
      <c r="E999" s="126">
        <v>10</v>
      </c>
      <c r="F999" s="126">
        <v>1</v>
      </c>
      <c r="G999" s="126">
        <v>1</v>
      </c>
      <c r="H999" s="126">
        <v>1</v>
      </c>
      <c r="I999" s="126">
        <v>1</v>
      </c>
      <c r="J999" s="126">
        <v>49</v>
      </c>
      <c r="P999" s="126">
        <v>289</v>
      </c>
      <c r="R999" s="126" t="s">
        <v>549</v>
      </c>
      <c r="S999" s="259">
        <v>0</v>
      </c>
      <c r="T999" s="259">
        <v>0.76</v>
      </c>
      <c r="U999" s="68" t="s">
        <v>1870</v>
      </c>
      <c r="V999" s="126">
        <v>1</v>
      </c>
      <c r="Z999" s="126">
        <v>1</v>
      </c>
      <c r="AA999" s="126">
        <v>1</v>
      </c>
      <c r="AB999" s="126">
        <v>4</v>
      </c>
      <c r="AC999" s="126">
        <v>6</v>
      </c>
      <c r="AD999" s="126">
        <v>2026</v>
      </c>
    </row>
    <row r="1000" spans="3:30">
      <c r="C1000" s="126">
        <v>993</v>
      </c>
      <c r="D1000" s="126">
        <v>81</v>
      </c>
      <c r="E1000" s="126">
        <v>3</v>
      </c>
      <c r="F1000" s="126">
        <v>1</v>
      </c>
      <c r="G1000" s="126">
        <v>1</v>
      </c>
      <c r="H1000" s="126">
        <v>1</v>
      </c>
      <c r="I1000" s="126">
        <v>1</v>
      </c>
      <c r="J1000" s="126">
        <v>66</v>
      </c>
      <c r="M1000" s="126">
        <v>330</v>
      </c>
      <c r="N1000" s="126">
        <v>0</v>
      </c>
      <c r="P1000" s="126">
        <v>290</v>
      </c>
      <c r="R1000" s="126" t="s">
        <v>549</v>
      </c>
      <c r="S1000" s="259">
        <v>0</v>
      </c>
      <c r="T1000" s="259">
        <v>0.82</v>
      </c>
      <c r="U1000" s="68" t="s">
        <v>1871</v>
      </c>
      <c r="V1000" s="126">
        <v>1</v>
      </c>
      <c r="Z1000" s="126">
        <v>1</v>
      </c>
      <c r="AA1000" s="126">
        <v>1</v>
      </c>
      <c r="AB1000" s="126">
        <v>4</v>
      </c>
      <c r="AC1000" s="126">
        <v>6</v>
      </c>
      <c r="AD1000" s="126">
        <v>2026</v>
      </c>
    </row>
    <row r="1001" spans="3:30">
      <c r="C1001" s="126">
        <v>994</v>
      </c>
      <c r="D1001" s="126">
        <v>81</v>
      </c>
      <c r="E1001" s="126">
        <v>11</v>
      </c>
      <c r="F1001" s="126">
        <v>1</v>
      </c>
      <c r="G1001" s="126">
        <v>1</v>
      </c>
      <c r="H1001" s="126">
        <v>1</v>
      </c>
      <c r="I1001" s="126">
        <v>1</v>
      </c>
      <c r="J1001" s="126">
        <v>66</v>
      </c>
      <c r="M1001" s="126">
        <v>330</v>
      </c>
      <c r="N1001" s="126">
        <v>1</v>
      </c>
      <c r="P1001" s="126">
        <v>290</v>
      </c>
      <c r="R1001" s="126" t="s">
        <v>549</v>
      </c>
      <c r="S1001" s="259">
        <v>0.82</v>
      </c>
      <c r="T1001" s="259">
        <v>0</v>
      </c>
      <c r="U1001" s="68" t="s">
        <v>1872</v>
      </c>
      <c r="V1001" s="126">
        <v>1</v>
      </c>
      <c r="Z1001" s="126">
        <v>1</v>
      </c>
      <c r="AA1001" s="126">
        <v>1</v>
      </c>
      <c r="AB1001" s="126">
        <v>4</v>
      </c>
      <c r="AC1001" s="126">
        <v>6</v>
      </c>
      <c r="AD1001" s="126">
        <v>2026</v>
      </c>
    </row>
    <row r="1002" spans="3:30">
      <c r="C1002" s="126">
        <v>995</v>
      </c>
      <c r="D1002" s="126">
        <v>81</v>
      </c>
      <c r="E1002" s="126">
        <v>10</v>
      </c>
      <c r="F1002" s="126">
        <v>1</v>
      </c>
      <c r="G1002" s="126">
        <v>1</v>
      </c>
      <c r="H1002" s="126">
        <v>1</v>
      </c>
      <c r="I1002" s="126">
        <v>1</v>
      </c>
      <c r="J1002" s="126">
        <v>66</v>
      </c>
      <c r="P1002" s="126">
        <v>290</v>
      </c>
      <c r="R1002" s="126" t="s">
        <v>549</v>
      </c>
      <c r="S1002" s="259">
        <v>0</v>
      </c>
      <c r="T1002" s="259">
        <v>1.5</v>
      </c>
      <c r="U1002" s="68" t="s">
        <v>1873</v>
      </c>
      <c r="V1002" s="126">
        <v>1</v>
      </c>
      <c r="Z1002" s="126">
        <v>1</v>
      </c>
      <c r="AA1002" s="126">
        <v>1</v>
      </c>
      <c r="AB1002" s="126">
        <v>4</v>
      </c>
      <c r="AC1002" s="126">
        <v>6</v>
      </c>
      <c r="AD1002" s="126">
        <v>2026</v>
      </c>
    </row>
    <row r="1003" spans="3:30">
      <c r="C1003" s="126">
        <v>996</v>
      </c>
      <c r="D1003" s="126">
        <v>82</v>
      </c>
      <c r="E1003" s="126">
        <v>2</v>
      </c>
      <c r="F1003" s="126">
        <v>1</v>
      </c>
      <c r="G1003" s="126">
        <v>1</v>
      </c>
      <c r="H1003" s="126">
        <v>1</v>
      </c>
      <c r="I1003" s="126">
        <v>1</v>
      </c>
      <c r="R1003" s="126" t="s">
        <v>549</v>
      </c>
      <c r="S1003" s="259">
        <v>45</v>
      </c>
      <c r="T1003" s="259">
        <v>0</v>
      </c>
      <c r="U1003" s="68" t="s">
        <v>1875</v>
      </c>
      <c r="V1003" s="126">
        <v>1</v>
      </c>
      <c r="Z1003" s="126">
        <v>1</v>
      </c>
      <c r="AA1003" s="126">
        <v>1</v>
      </c>
      <c r="AB1003" s="126">
        <v>4</v>
      </c>
      <c r="AC1003" s="126">
        <v>6</v>
      </c>
      <c r="AD1003" s="126">
        <v>2026</v>
      </c>
    </row>
    <row r="1004" spans="3:30">
      <c r="C1004" s="126">
        <v>997</v>
      </c>
      <c r="D1004" s="126">
        <v>82</v>
      </c>
      <c r="E1004" s="126">
        <v>3</v>
      </c>
      <c r="F1004" s="126">
        <v>1</v>
      </c>
      <c r="G1004" s="126">
        <v>1</v>
      </c>
      <c r="H1004" s="126">
        <v>1</v>
      </c>
      <c r="I1004" s="126">
        <v>1</v>
      </c>
      <c r="J1004" s="126">
        <v>177</v>
      </c>
      <c r="M1004" s="126">
        <v>331</v>
      </c>
      <c r="N1004" s="126">
        <v>0</v>
      </c>
      <c r="P1004" s="126">
        <v>291</v>
      </c>
      <c r="R1004" s="126" t="s">
        <v>549</v>
      </c>
      <c r="S1004" s="259">
        <v>0</v>
      </c>
      <c r="T1004" s="259">
        <v>41.5</v>
      </c>
      <c r="U1004" s="68" t="s">
        <v>1876</v>
      </c>
      <c r="V1004" s="126">
        <v>1</v>
      </c>
      <c r="Z1004" s="126">
        <v>1</v>
      </c>
      <c r="AA1004" s="126">
        <v>1</v>
      </c>
      <c r="AB1004" s="126">
        <v>4</v>
      </c>
      <c r="AC1004" s="126">
        <v>6</v>
      </c>
      <c r="AD1004" s="126">
        <v>2026</v>
      </c>
    </row>
    <row r="1005" spans="3:30">
      <c r="C1005" s="126">
        <v>998</v>
      </c>
      <c r="D1005" s="126">
        <v>82</v>
      </c>
      <c r="E1005" s="126">
        <v>11</v>
      </c>
      <c r="F1005" s="126">
        <v>1</v>
      </c>
      <c r="G1005" s="126">
        <v>1</v>
      </c>
      <c r="H1005" s="126">
        <v>1</v>
      </c>
      <c r="I1005" s="126">
        <v>1</v>
      </c>
      <c r="J1005" s="126">
        <v>177</v>
      </c>
      <c r="M1005" s="126">
        <v>331</v>
      </c>
      <c r="N1005" s="126">
        <v>1</v>
      </c>
      <c r="P1005" s="126">
        <v>291</v>
      </c>
      <c r="R1005" s="126" t="s">
        <v>549</v>
      </c>
      <c r="S1005" s="259">
        <v>41.5</v>
      </c>
      <c r="T1005" s="259">
        <v>0</v>
      </c>
      <c r="U1005" s="68" t="s">
        <v>1877</v>
      </c>
      <c r="V1005" s="126">
        <v>1</v>
      </c>
      <c r="Z1005" s="126">
        <v>1</v>
      </c>
      <c r="AA1005" s="126">
        <v>1</v>
      </c>
      <c r="AB1005" s="126">
        <v>4</v>
      </c>
      <c r="AC1005" s="126">
        <v>6</v>
      </c>
      <c r="AD1005" s="126">
        <v>2026</v>
      </c>
    </row>
    <row r="1006" spans="3:30">
      <c r="C1006" s="126">
        <v>999</v>
      </c>
      <c r="D1006" s="126">
        <v>82</v>
      </c>
      <c r="E1006" s="126">
        <v>10</v>
      </c>
      <c r="F1006" s="126">
        <v>1</v>
      </c>
      <c r="G1006" s="126">
        <v>1</v>
      </c>
      <c r="H1006" s="126">
        <v>1</v>
      </c>
      <c r="I1006" s="126">
        <v>1</v>
      </c>
      <c r="J1006" s="126">
        <v>177</v>
      </c>
      <c r="P1006" s="126">
        <v>291</v>
      </c>
      <c r="R1006" s="126" t="s">
        <v>549</v>
      </c>
      <c r="S1006" s="259">
        <v>0</v>
      </c>
      <c r="T1006" s="259">
        <v>45</v>
      </c>
      <c r="U1006" s="68" t="s">
        <v>1878</v>
      </c>
      <c r="V1006" s="126">
        <v>1</v>
      </c>
      <c r="Z1006" s="126">
        <v>1</v>
      </c>
      <c r="AA1006" s="126">
        <v>1</v>
      </c>
      <c r="AB1006" s="126">
        <v>4</v>
      </c>
      <c r="AC1006" s="126">
        <v>6</v>
      </c>
      <c r="AD1006" s="126">
        <v>2026</v>
      </c>
    </row>
    <row r="1007" spans="3:30">
      <c r="C1007" s="126">
        <v>1000</v>
      </c>
      <c r="D1007" s="126">
        <v>83</v>
      </c>
      <c r="E1007" s="126">
        <v>2</v>
      </c>
      <c r="F1007" s="126">
        <v>1</v>
      </c>
      <c r="G1007" s="126">
        <v>1</v>
      </c>
      <c r="H1007" s="126">
        <v>1</v>
      </c>
      <c r="I1007" s="126">
        <v>1</v>
      </c>
      <c r="R1007" s="126" t="s">
        <v>549</v>
      </c>
      <c r="S1007" s="259">
        <v>57.5</v>
      </c>
      <c r="T1007" s="259">
        <v>0</v>
      </c>
      <c r="U1007" s="68" t="s">
        <v>1880</v>
      </c>
      <c r="V1007" s="126">
        <v>1</v>
      </c>
      <c r="Z1007" s="126">
        <v>1</v>
      </c>
      <c r="AA1007" s="126">
        <v>1</v>
      </c>
      <c r="AB1007" s="126">
        <v>4</v>
      </c>
      <c r="AC1007" s="126">
        <v>6</v>
      </c>
      <c r="AD1007" s="126">
        <v>2026</v>
      </c>
    </row>
    <row r="1008" spans="3:30">
      <c r="C1008" s="126">
        <v>1001</v>
      </c>
      <c r="D1008" s="126">
        <v>83</v>
      </c>
      <c r="E1008" s="126">
        <v>3</v>
      </c>
      <c r="F1008" s="126">
        <v>1</v>
      </c>
      <c r="G1008" s="126">
        <v>1</v>
      </c>
      <c r="H1008" s="126">
        <v>1</v>
      </c>
      <c r="I1008" s="126">
        <v>1</v>
      </c>
      <c r="J1008" s="126">
        <v>177</v>
      </c>
      <c r="M1008" s="126">
        <v>332</v>
      </c>
      <c r="N1008" s="126">
        <v>0</v>
      </c>
      <c r="P1008" s="126">
        <v>292</v>
      </c>
      <c r="R1008" s="126" t="s">
        <v>549</v>
      </c>
      <c r="S1008" s="259">
        <v>0</v>
      </c>
      <c r="T1008" s="259">
        <v>20.75</v>
      </c>
      <c r="U1008" s="68" t="s">
        <v>1881</v>
      </c>
      <c r="V1008" s="126">
        <v>1</v>
      </c>
      <c r="Z1008" s="126">
        <v>1</v>
      </c>
      <c r="AA1008" s="126">
        <v>1</v>
      </c>
      <c r="AB1008" s="126">
        <v>4</v>
      </c>
      <c r="AC1008" s="126">
        <v>6</v>
      </c>
      <c r="AD1008" s="126">
        <v>2026</v>
      </c>
    </row>
    <row r="1009" spans="3:30">
      <c r="C1009" s="126">
        <v>1002</v>
      </c>
      <c r="D1009" s="126">
        <v>83</v>
      </c>
      <c r="E1009" s="126">
        <v>11</v>
      </c>
      <c r="F1009" s="126">
        <v>1</v>
      </c>
      <c r="G1009" s="126">
        <v>1</v>
      </c>
      <c r="H1009" s="126">
        <v>1</v>
      </c>
      <c r="I1009" s="126">
        <v>1</v>
      </c>
      <c r="J1009" s="126">
        <v>177</v>
      </c>
      <c r="M1009" s="126">
        <v>332</v>
      </c>
      <c r="N1009" s="126">
        <v>1</v>
      </c>
      <c r="P1009" s="126">
        <v>292</v>
      </c>
      <c r="R1009" s="126" t="s">
        <v>549</v>
      </c>
      <c r="S1009" s="259">
        <v>20.75</v>
      </c>
      <c r="T1009" s="259">
        <v>0</v>
      </c>
      <c r="U1009" s="68" t="s">
        <v>1882</v>
      </c>
      <c r="V1009" s="126">
        <v>1</v>
      </c>
      <c r="Z1009" s="126">
        <v>1</v>
      </c>
      <c r="AA1009" s="126">
        <v>1</v>
      </c>
      <c r="AB1009" s="126">
        <v>4</v>
      </c>
      <c r="AC1009" s="126">
        <v>6</v>
      </c>
      <c r="AD1009" s="126">
        <v>2026</v>
      </c>
    </row>
    <row r="1010" spans="3:30">
      <c r="C1010" s="126">
        <v>1003</v>
      </c>
      <c r="D1010" s="126">
        <v>83</v>
      </c>
      <c r="E1010" s="126">
        <v>10</v>
      </c>
      <c r="F1010" s="126">
        <v>1</v>
      </c>
      <c r="G1010" s="126">
        <v>1</v>
      </c>
      <c r="H1010" s="126">
        <v>1</v>
      </c>
      <c r="I1010" s="126">
        <v>1</v>
      </c>
      <c r="J1010" s="126">
        <v>177</v>
      </c>
      <c r="P1010" s="126">
        <v>292</v>
      </c>
      <c r="R1010" s="126" t="s">
        <v>549</v>
      </c>
      <c r="S1010" s="259">
        <v>0</v>
      </c>
      <c r="T1010" s="259">
        <v>22.5</v>
      </c>
      <c r="U1010" s="68" t="s">
        <v>1883</v>
      </c>
      <c r="V1010" s="126">
        <v>1</v>
      </c>
      <c r="Z1010" s="126">
        <v>1</v>
      </c>
      <c r="AA1010" s="126">
        <v>1</v>
      </c>
      <c r="AB1010" s="126">
        <v>4</v>
      </c>
      <c r="AC1010" s="126">
        <v>6</v>
      </c>
      <c r="AD1010" s="126">
        <v>2026</v>
      </c>
    </row>
    <row r="1011" spans="3:30">
      <c r="C1011" s="126">
        <v>1004</v>
      </c>
      <c r="D1011" s="126">
        <v>83</v>
      </c>
      <c r="E1011" s="126">
        <v>3</v>
      </c>
      <c r="F1011" s="126">
        <v>1</v>
      </c>
      <c r="G1011" s="126">
        <v>1</v>
      </c>
      <c r="H1011" s="126">
        <v>1</v>
      </c>
      <c r="I1011" s="126">
        <v>1</v>
      </c>
      <c r="J1011" s="126">
        <v>108</v>
      </c>
      <c r="M1011" s="126">
        <v>333</v>
      </c>
      <c r="N1011" s="126">
        <v>0</v>
      </c>
      <c r="P1011" s="126">
        <v>293</v>
      </c>
      <c r="R1011" s="126" t="s">
        <v>549</v>
      </c>
      <c r="S1011" s="259">
        <v>0</v>
      </c>
      <c r="T1011" s="259">
        <v>13.5</v>
      </c>
      <c r="U1011" s="68" t="s">
        <v>1884</v>
      </c>
      <c r="V1011" s="126">
        <v>1</v>
      </c>
      <c r="Z1011" s="126">
        <v>1</v>
      </c>
      <c r="AA1011" s="126">
        <v>1</v>
      </c>
      <c r="AB1011" s="126">
        <v>4</v>
      </c>
      <c r="AC1011" s="126">
        <v>6</v>
      </c>
      <c r="AD1011" s="126">
        <v>2026</v>
      </c>
    </row>
    <row r="1012" spans="3:30">
      <c r="C1012" s="126">
        <v>1005</v>
      </c>
      <c r="D1012" s="126">
        <v>83</v>
      </c>
      <c r="E1012" s="126">
        <v>11</v>
      </c>
      <c r="F1012" s="126">
        <v>1</v>
      </c>
      <c r="G1012" s="126">
        <v>1</v>
      </c>
      <c r="H1012" s="126">
        <v>1</v>
      </c>
      <c r="I1012" s="126">
        <v>1</v>
      </c>
      <c r="J1012" s="126">
        <v>108</v>
      </c>
      <c r="M1012" s="126">
        <v>333</v>
      </c>
      <c r="N1012" s="126">
        <v>1</v>
      </c>
      <c r="P1012" s="126">
        <v>293</v>
      </c>
      <c r="R1012" s="126" t="s">
        <v>549</v>
      </c>
      <c r="S1012" s="259">
        <v>13.5</v>
      </c>
      <c r="T1012" s="259">
        <v>0</v>
      </c>
      <c r="U1012" s="68" t="s">
        <v>1885</v>
      </c>
      <c r="V1012" s="126">
        <v>1</v>
      </c>
      <c r="Z1012" s="126">
        <v>1</v>
      </c>
      <c r="AA1012" s="126">
        <v>1</v>
      </c>
      <c r="AB1012" s="126">
        <v>4</v>
      </c>
      <c r="AC1012" s="126">
        <v>6</v>
      </c>
      <c r="AD1012" s="126">
        <v>2026</v>
      </c>
    </row>
    <row r="1013" spans="3:30">
      <c r="C1013" s="126">
        <v>1006</v>
      </c>
      <c r="D1013" s="126">
        <v>83</v>
      </c>
      <c r="E1013" s="126">
        <v>10</v>
      </c>
      <c r="F1013" s="126">
        <v>1</v>
      </c>
      <c r="G1013" s="126">
        <v>1</v>
      </c>
      <c r="H1013" s="126">
        <v>1</v>
      </c>
      <c r="I1013" s="126">
        <v>1</v>
      </c>
      <c r="J1013" s="126">
        <v>108</v>
      </c>
      <c r="P1013" s="126">
        <v>293</v>
      </c>
      <c r="R1013" s="126" t="s">
        <v>549</v>
      </c>
      <c r="S1013" s="259">
        <v>0</v>
      </c>
      <c r="T1013" s="259">
        <v>15</v>
      </c>
      <c r="U1013" s="68" t="s">
        <v>1886</v>
      </c>
      <c r="V1013" s="126">
        <v>1</v>
      </c>
      <c r="Z1013" s="126">
        <v>1</v>
      </c>
      <c r="AA1013" s="126">
        <v>1</v>
      </c>
      <c r="AB1013" s="126">
        <v>4</v>
      </c>
      <c r="AC1013" s="126">
        <v>6</v>
      </c>
      <c r="AD1013" s="126">
        <v>2026</v>
      </c>
    </row>
    <row r="1014" spans="3:30">
      <c r="C1014" s="126">
        <v>1007</v>
      </c>
      <c r="D1014" s="126">
        <v>83</v>
      </c>
      <c r="E1014" s="126">
        <v>3</v>
      </c>
      <c r="F1014" s="126">
        <v>1</v>
      </c>
      <c r="G1014" s="126">
        <v>1</v>
      </c>
      <c r="H1014" s="126">
        <v>1</v>
      </c>
      <c r="I1014" s="126">
        <v>1</v>
      </c>
      <c r="J1014" s="126">
        <v>29</v>
      </c>
      <c r="M1014" s="126">
        <v>334</v>
      </c>
      <c r="N1014" s="126">
        <v>0</v>
      </c>
      <c r="P1014" s="126">
        <v>294</v>
      </c>
      <c r="R1014" s="126" t="s">
        <v>549</v>
      </c>
      <c r="S1014" s="259">
        <v>0</v>
      </c>
      <c r="T1014" s="259">
        <v>16.920000000000002</v>
      </c>
      <c r="U1014" s="68" t="s">
        <v>1887</v>
      </c>
      <c r="V1014" s="126">
        <v>1</v>
      </c>
      <c r="Z1014" s="126">
        <v>1</v>
      </c>
      <c r="AA1014" s="126">
        <v>1</v>
      </c>
      <c r="AB1014" s="126">
        <v>4</v>
      </c>
      <c r="AC1014" s="126">
        <v>6</v>
      </c>
      <c r="AD1014" s="126">
        <v>2026</v>
      </c>
    </row>
    <row r="1015" spans="3:30">
      <c r="C1015" s="126">
        <v>1008</v>
      </c>
      <c r="D1015" s="126">
        <v>83</v>
      </c>
      <c r="E1015" s="126">
        <v>11</v>
      </c>
      <c r="F1015" s="126">
        <v>1</v>
      </c>
      <c r="G1015" s="126">
        <v>1</v>
      </c>
      <c r="H1015" s="126">
        <v>1</v>
      </c>
      <c r="I1015" s="126">
        <v>1</v>
      </c>
      <c r="J1015" s="126">
        <v>29</v>
      </c>
      <c r="M1015" s="126">
        <v>334</v>
      </c>
      <c r="N1015" s="126">
        <v>1</v>
      </c>
      <c r="P1015" s="126">
        <v>294</v>
      </c>
      <c r="R1015" s="126" t="s">
        <v>549</v>
      </c>
      <c r="S1015" s="259">
        <v>16.920000000000002</v>
      </c>
      <c r="T1015" s="259">
        <v>0</v>
      </c>
      <c r="U1015" s="68" t="s">
        <v>1888</v>
      </c>
      <c r="V1015" s="126">
        <v>1</v>
      </c>
      <c r="Z1015" s="126">
        <v>1</v>
      </c>
      <c r="AA1015" s="126">
        <v>1</v>
      </c>
      <c r="AB1015" s="126">
        <v>4</v>
      </c>
      <c r="AC1015" s="126">
        <v>6</v>
      </c>
      <c r="AD1015" s="126">
        <v>2026</v>
      </c>
    </row>
    <row r="1016" spans="3:30">
      <c r="C1016" s="126">
        <v>1009</v>
      </c>
      <c r="D1016" s="126">
        <v>83</v>
      </c>
      <c r="E1016" s="126">
        <v>10</v>
      </c>
      <c r="F1016" s="126">
        <v>1</v>
      </c>
      <c r="G1016" s="126">
        <v>1</v>
      </c>
      <c r="H1016" s="126">
        <v>1</v>
      </c>
      <c r="I1016" s="126">
        <v>1</v>
      </c>
      <c r="J1016" s="126">
        <v>29</v>
      </c>
      <c r="P1016" s="126">
        <v>294</v>
      </c>
      <c r="R1016" s="126" t="s">
        <v>549</v>
      </c>
      <c r="S1016" s="259">
        <v>0</v>
      </c>
      <c r="T1016" s="259">
        <v>20</v>
      </c>
      <c r="U1016" s="68" t="s">
        <v>1889</v>
      </c>
      <c r="V1016" s="126">
        <v>1</v>
      </c>
      <c r="Z1016" s="126">
        <v>1</v>
      </c>
      <c r="AA1016" s="126">
        <v>1</v>
      </c>
      <c r="AB1016" s="126">
        <v>4</v>
      </c>
      <c r="AC1016" s="126">
        <v>6</v>
      </c>
      <c r="AD1016" s="126">
        <v>2026</v>
      </c>
    </row>
    <row r="1017" spans="3:30">
      <c r="C1017" s="126">
        <v>1010</v>
      </c>
      <c r="D1017" s="126">
        <v>84</v>
      </c>
      <c r="E1017" s="126">
        <v>2</v>
      </c>
      <c r="F1017" s="126">
        <v>1</v>
      </c>
      <c r="G1017" s="126">
        <v>1</v>
      </c>
      <c r="H1017" s="126">
        <v>1</v>
      </c>
      <c r="I1017" s="126">
        <v>1</v>
      </c>
      <c r="R1017" s="126" t="s">
        <v>549</v>
      </c>
      <c r="S1017" s="259">
        <v>45</v>
      </c>
      <c r="T1017" s="259">
        <v>0</v>
      </c>
      <c r="U1017" s="68" t="s">
        <v>1892</v>
      </c>
      <c r="V1017" s="126">
        <v>1</v>
      </c>
      <c r="Z1017" s="126">
        <v>1</v>
      </c>
      <c r="AA1017" s="126">
        <v>1</v>
      </c>
      <c r="AB1017" s="126">
        <v>4</v>
      </c>
      <c r="AC1017" s="126">
        <v>6</v>
      </c>
      <c r="AD1017" s="126">
        <v>2026</v>
      </c>
    </row>
    <row r="1018" spans="3:30">
      <c r="C1018" s="126">
        <v>1011</v>
      </c>
      <c r="D1018" s="126">
        <v>84</v>
      </c>
      <c r="E1018" s="126">
        <v>3</v>
      </c>
      <c r="F1018" s="126">
        <v>1</v>
      </c>
      <c r="G1018" s="126">
        <v>1</v>
      </c>
      <c r="H1018" s="126">
        <v>1</v>
      </c>
      <c r="I1018" s="126">
        <v>1</v>
      </c>
      <c r="J1018" s="126">
        <v>51</v>
      </c>
      <c r="M1018" s="126">
        <v>335</v>
      </c>
      <c r="N1018" s="126">
        <v>0</v>
      </c>
      <c r="P1018" s="126">
        <v>295</v>
      </c>
      <c r="R1018" s="126" t="s">
        <v>549</v>
      </c>
      <c r="S1018" s="259">
        <v>0</v>
      </c>
      <c r="T1018" s="259">
        <v>40.410000000000004</v>
      </c>
      <c r="U1018" s="68" t="s">
        <v>1893</v>
      </c>
      <c r="V1018" s="126">
        <v>1</v>
      </c>
      <c r="Z1018" s="126">
        <v>1</v>
      </c>
      <c r="AA1018" s="126">
        <v>1</v>
      </c>
      <c r="AB1018" s="126">
        <v>4</v>
      </c>
      <c r="AC1018" s="126">
        <v>6</v>
      </c>
      <c r="AD1018" s="126">
        <v>2026</v>
      </c>
    </row>
    <row r="1019" spans="3:30">
      <c r="C1019" s="126">
        <v>1012</v>
      </c>
      <c r="D1019" s="126">
        <v>84</v>
      </c>
      <c r="E1019" s="126">
        <v>11</v>
      </c>
      <c r="F1019" s="126">
        <v>1</v>
      </c>
      <c r="G1019" s="126">
        <v>1</v>
      </c>
      <c r="H1019" s="126">
        <v>1</v>
      </c>
      <c r="I1019" s="126">
        <v>1</v>
      </c>
      <c r="J1019" s="126">
        <v>51</v>
      </c>
      <c r="M1019" s="126">
        <v>335</v>
      </c>
      <c r="N1019" s="126">
        <v>1</v>
      </c>
      <c r="P1019" s="126">
        <v>295</v>
      </c>
      <c r="R1019" s="126" t="s">
        <v>549</v>
      </c>
      <c r="S1019" s="259">
        <v>40.410000000000004</v>
      </c>
      <c r="T1019" s="259">
        <v>0</v>
      </c>
      <c r="U1019" s="68" t="s">
        <v>1894</v>
      </c>
      <c r="V1019" s="126">
        <v>1</v>
      </c>
      <c r="Z1019" s="126">
        <v>1</v>
      </c>
      <c r="AA1019" s="126">
        <v>1</v>
      </c>
      <c r="AB1019" s="126">
        <v>4</v>
      </c>
      <c r="AC1019" s="126">
        <v>6</v>
      </c>
      <c r="AD1019" s="126">
        <v>2026</v>
      </c>
    </row>
    <row r="1020" spans="3:30">
      <c r="C1020" s="126">
        <v>1013</v>
      </c>
      <c r="D1020" s="126">
        <v>84</v>
      </c>
      <c r="E1020" s="126">
        <v>10</v>
      </c>
      <c r="F1020" s="126">
        <v>1</v>
      </c>
      <c r="G1020" s="126">
        <v>1</v>
      </c>
      <c r="H1020" s="126">
        <v>1</v>
      </c>
      <c r="I1020" s="126">
        <v>1</v>
      </c>
      <c r="J1020" s="126">
        <v>51</v>
      </c>
      <c r="P1020" s="126">
        <v>295</v>
      </c>
      <c r="R1020" s="126" t="s">
        <v>549</v>
      </c>
      <c r="S1020" s="259">
        <v>0</v>
      </c>
      <c r="T1020" s="259">
        <v>45</v>
      </c>
      <c r="U1020" s="68" t="s">
        <v>1895</v>
      </c>
      <c r="V1020" s="126">
        <v>1</v>
      </c>
      <c r="Z1020" s="126">
        <v>1</v>
      </c>
      <c r="AA1020" s="126">
        <v>1</v>
      </c>
      <c r="AB1020" s="126">
        <v>4</v>
      </c>
      <c r="AC1020" s="126">
        <v>6</v>
      </c>
      <c r="AD1020" s="126">
        <v>2026</v>
      </c>
    </row>
    <row r="1021" spans="3:30">
      <c r="C1021" s="126">
        <v>1014</v>
      </c>
      <c r="D1021" s="126">
        <v>85</v>
      </c>
      <c r="E1021" s="126">
        <v>2</v>
      </c>
      <c r="F1021" s="126">
        <v>1</v>
      </c>
      <c r="G1021" s="126">
        <v>1</v>
      </c>
      <c r="H1021" s="126">
        <v>1</v>
      </c>
      <c r="I1021" s="126">
        <v>1</v>
      </c>
      <c r="R1021" s="126" t="s">
        <v>549</v>
      </c>
      <c r="S1021" s="259">
        <v>96.5</v>
      </c>
      <c r="T1021" s="259">
        <v>0</v>
      </c>
      <c r="U1021" s="68" t="s">
        <v>1897</v>
      </c>
      <c r="V1021" s="126">
        <v>1</v>
      </c>
      <c r="Z1021" s="126">
        <v>1</v>
      </c>
      <c r="AA1021" s="126">
        <v>1</v>
      </c>
      <c r="AB1021" s="126">
        <v>4</v>
      </c>
      <c r="AC1021" s="126">
        <v>6</v>
      </c>
      <c r="AD1021" s="126">
        <v>2026</v>
      </c>
    </row>
    <row r="1022" spans="3:30">
      <c r="C1022" s="126">
        <v>1015</v>
      </c>
      <c r="D1022" s="126">
        <v>85</v>
      </c>
      <c r="E1022" s="126">
        <v>3</v>
      </c>
      <c r="F1022" s="126">
        <v>1</v>
      </c>
      <c r="G1022" s="126">
        <v>1</v>
      </c>
      <c r="H1022" s="126">
        <v>1</v>
      </c>
      <c r="I1022" s="126">
        <v>1</v>
      </c>
      <c r="J1022" s="126">
        <v>183</v>
      </c>
      <c r="M1022" s="126">
        <v>336</v>
      </c>
      <c r="N1022" s="126">
        <v>0</v>
      </c>
      <c r="P1022" s="126">
        <v>296</v>
      </c>
      <c r="R1022" s="126" t="s">
        <v>549</v>
      </c>
      <c r="S1022" s="259">
        <v>0</v>
      </c>
      <c r="T1022" s="259">
        <v>64</v>
      </c>
      <c r="U1022" s="68" t="s">
        <v>1898</v>
      </c>
      <c r="V1022" s="126">
        <v>1</v>
      </c>
      <c r="Z1022" s="126">
        <v>1</v>
      </c>
      <c r="AA1022" s="126">
        <v>1</v>
      </c>
      <c r="AB1022" s="126">
        <v>4</v>
      </c>
      <c r="AC1022" s="126">
        <v>6</v>
      </c>
      <c r="AD1022" s="126">
        <v>2026</v>
      </c>
    </row>
    <row r="1023" spans="3:30">
      <c r="C1023" s="126">
        <v>1016</v>
      </c>
      <c r="D1023" s="126">
        <v>85</v>
      </c>
      <c r="E1023" s="126">
        <v>11</v>
      </c>
      <c r="F1023" s="126">
        <v>1</v>
      </c>
      <c r="G1023" s="126">
        <v>1</v>
      </c>
      <c r="H1023" s="126">
        <v>1</v>
      </c>
      <c r="I1023" s="126">
        <v>1</v>
      </c>
      <c r="J1023" s="126">
        <v>183</v>
      </c>
      <c r="M1023" s="126">
        <v>336</v>
      </c>
      <c r="N1023" s="126">
        <v>1</v>
      </c>
      <c r="P1023" s="126">
        <v>296</v>
      </c>
      <c r="R1023" s="126" t="s">
        <v>549</v>
      </c>
      <c r="S1023" s="259">
        <v>64</v>
      </c>
      <c r="T1023" s="259">
        <v>0</v>
      </c>
      <c r="U1023" s="68" t="s">
        <v>1899</v>
      </c>
      <c r="V1023" s="126">
        <v>1</v>
      </c>
      <c r="Z1023" s="126">
        <v>1</v>
      </c>
      <c r="AA1023" s="126">
        <v>1</v>
      </c>
      <c r="AB1023" s="126">
        <v>4</v>
      </c>
      <c r="AC1023" s="126">
        <v>6</v>
      </c>
      <c r="AD1023" s="126">
        <v>2026</v>
      </c>
    </row>
    <row r="1024" spans="3:30">
      <c r="C1024" s="126">
        <v>1017</v>
      </c>
      <c r="D1024" s="126">
        <v>85</v>
      </c>
      <c r="E1024" s="126">
        <v>10</v>
      </c>
      <c r="F1024" s="126">
        <v>1</v>
      </c>
      <c r="G1024" s="126">
        <v>1</v>
      </c>
      <c r="H1024" s="126">
        <v>1</v>
      </c>
      <c r="I1024" s="126">
        <v>1</v>
      </c>
      <c r="J1024" s="126">
        <v>183</v>
      </c>
      <c r="P1024" s="126">
        <v>296</v>
      </c>
      <c r="R1024" s="126" t="s">
        <v>549</v>
      </c>
      <c r="S1024" s="259">
        <v>0</v>
      </c>
      <c r="T1024" s="259">
        <v>64</v>
      </c>
      <c r="U1024" s="68" t="s">
        <v>1900</v>
      </c>
      <c r="V1024" s="126">
        <v>1</v>
      </c>
      <c r="Z1024" s="126">
        <v>1</v>
      </c>
      <c r="AA1024" s="126">
        <v>1</v>
      </c>
      <c r="AB1024" s="126">
        <v>4</v>
      </c>
      <c r="AC1024" s="126">
        <v>6</v>
      </c>
      <c r="AD1024" s="126">
        <v>2026</v>
      </c>
    </row>
    <row r="1025" spans="3:30">
      <c r="C1025" s="126">
        <v>1018</v>
      </c>
      <c r="D1025" s="126">
        <v>85</v>
      </c>
      <c r="E1025" s="126">
        <v>3</v>
      </c>
      <c r="F1025" s="126">
        <v>1</v>
      </c>
      <c r="G1025" s="126">
        <v>1</v>
      </c>
      <c r="H1025" s="126">
        <v>1</v>
      </c>
      <c r="I1025" s="126">
        <v>1</v>
      </c>
      <c r="J1025" s="126">
        <v>181</v>
      </c>
      <c r="M1025" s="126">
        <v>337</v>
      </c>
      <c r="N1025" s="126">
        <v>0</v>
      </c>
      <c r="P1025" s="126">
        <v>297</v>
      </c>
      <c r="R1025" s="126" t="s">
        <v>549</v>
      </c>
      <c r="S1025" s="259">
        <v>0</v>
      </c>
      <c r="T1025" s="259">
        <v>10</v>
      </c>
      <c r="U1025" s="68" t="s">
        <v>1901</v>
      </c>
      <c r="V1025" s="126">
        <v>1</v>
      </c>
      <c r="Z1025" s="126">
        <v>1</v>
      </c>
      <c r="AA1025" s="126">
        <v>1</v>
      </c>
      <c r="AB1025" s="126">
        <v>4</v>
      </c>
      <c r="AC1025" s="126">
        <v>6</v>
      </c>
      <c r="AD1025" s="126">
        <v>2026</v>
      </c>
    </row>
    <row r="1026" spans="3:30">
      <c r="C1026" s="126">
        <v>1019</v>
      </c>
      <c r="D1026" s="126">
        <v>85</v>
      </c>
      <c r="E1026" s="126">
        <v>11</v>
      </c>
      <c r="F1026" s="126">
        <v>1</v>
      </c>
      <c r="G1026" s="126">
        <v>1</v>
      </c>
      <c r="H1026" s="126">
        <v>1</v>
      </c>
      <c r="I1026" s="126">
        <v>1</v>
      </c>
      <c r="J1026" s="126">
        <v>181</v>
      </c>
      <c r="M1026" s="126">
        <v>337</v>
      </c>
      <c r="N1026" s="126">
        <v>1</v>
      </c>
      <c r="P1026" s="126">
        <v>297</v>
      </c>
      <c r="R1026" s="126" t="s">
        <v>549</v>
      </c>
      <c r="S1026" s="259">
        <v>10</v>
      </c>
      <c r="T1026" s="259">
        <v>0</v>
      </c>
      <c r="U1026" s="68" t="s">
        <v>1902</v>
      </c>
      <c r="V1026" s="126">
        <v>1</v>
      </c>
      <c r="Z1026" s="126">
        <v>1</v>
      </c>
      <c r="AA1026" s="126">
        <v>1</v>
      </c>
      <c r="AB1026" s="126">
        <v>4</v>
      </c>
      <c r="AC1026" s="126">
        <v>6</v>
      </c>
      <c r="AD1026" s="126">
        <v>2026</v>
      </c>
    </row>
    <row r="1027" spans="3:30">
      <c r="C1027" s="126">
        <v>1020</v>
      </c>
      <c r="D1027" s="126">
        <v>85</v>
      </c>
      <c r="E1027" s="126">
        <v>10</v>
      </c>
      <c r="F1027" s="126">
        <v>1</v>
      </c>
      <c r="G1027" s="126">
        <v>1</v>
      </c>
      <c r="H1027" s="126">
        <v>1</v>
      </c>
      <c r="I1027" s="126">
        <v>1</v>
      </c>
      <c r="J1027" s="126">
        <v>181</v>
      </c>
      <c r="P1027" s="126">
        <v>297</v>
      </c>
      <c r="R1027" s="126" t="s">
        <v>549</v>
      </c>
      <c r="S1027" s="259">
        <v>0</v>
      </c>
      <c r="T1027" s="259">
        <v>15</v>
      </c>
      <c r="U1027" s="68" t="s">
        <v>1903</v>
      </c>
      <c r="V1027" s="126">
        <v>1</v>
      </c>
      <c r="Z1027" s="126">
        <v>1</v>
      </c>
      <c r="AA1027" s="126">
        <v>1</v>
      </c>
      <c r="AB1027" s="126">
        <v>4</v>
      </c>
      <c r="AC1027" s="126">
        <v>6</v>
      </c>
      <c r="AD1027" s="126">
        <v>2026</v>
      </c>
    </row>
    <row r="1028" spans="3:30">
      <c r="C1028" s="126">
        <v>1021</v>
      </c>
      <c r="D1028" s="126">
        <v>85</v>
      </c>
      <c r="E1028" s="126">
        <v>3</v>
      </c>
      <c r="F1028" s="126">
        <v>1</v>
      </c>
      <c r="G1028" s="126">
        <v>1</v>
      </c>
      <c r="H1028" s="126">
        <v>1</v>
      </c>
      <c r="I1028" s="126">
        <v>1</v>
      </c>
      <c r="J1028" s="126">
        <v>195</v>
      </c>
      <c r="M1028" s="126">
        <v>338</v>
      </c>
      <c r="N1028" s="126">
        <v>0</v>
      </c>
      <c r="P1028" s="126">
        <v>298</v>
      </c>
      <c r="R1028" s="126" t="s">
        <v>549</v>
      </c>
      <c r="S1028" s="259">
        <v>0</v>
      </c>
      <c r="T1028" s="259">
        <v>12.56</v>
      </c>
      <c r="U1028" s="68" t="s">
        <v>1904</v>
      </c>
      <c r="V1028" s="126">
        <v>1</v>
      </c>
      <c r="Z1028" s="126">
        <v>1</v>
      </c>
      <c r="AA1028" s="126">
        <v>1</v>
      </c>
      <c r="AB1028" s="126">
        <v>4</v>
      </c>
      <c r="AC1028" s="126">
        <v>6</v>
      </c>
      <c r="AD1028" s="126">
        <v>2026</v>
      </c>
    </row>
    <row r="1029" spans="3:30">
      <c r="C1029" s="126">
        <v>1022</v>
      </c>
      <c r="D1029" s="126">
        <v>85</v>
      </c>
      <c r="E1029" s="126">
        <v>11</v>
      </c>
      <c r="F1029" s="126">
        <v>1</v>
      </c>
      <c r="G1029" s="126">
        <v>1</v>
      </c>
      <c r="H1029" s="126">
        <v>1</v>
      </c>
      <c r="I1029" s="126">
        <v>1</v>
      </c>
      <c r="J1029" s="126">
        <v>195</v>
      </c>
      <c r="M1029" s="126">
        <v>338</v>
      </c>
      <c r="N1029" s="126">
        <v>1</v>
      </c>
      <c r="P1029" s="126">
        <v>298</v>
      </c>
      <c r="R1029" s="126" t="s">
        <v>549</v>
      </c>
      <c r="S1029" s="259">
        <v>12.56</v>
      </c>
      <c r="T1029" s="259">
        <v>0</v>
      </c>
      <c r="U1029" s="68" t="s">
        <v>1905</v>
      </c>
      <c r="V1029" s="126">
        <v>1</v>
      </c>
      <c r="Z1029" s="126">
        <v>1</v>
      </c>
      <c r="AA1029" s="126">
        <v>1</v>
      </c>
      <c r="AB1029" s="126">
        <v>4</v>
      </c>
      <c r="AC1029" s="126">
        <v>6</v>
      </c>
      <c r="AD1029" s="126">
        <v>2026</v>
      </c>
    </row>
    <row r="1030" spans="3:30">
      <c r="C1030" s="126">
        <v>1023</v>
      </c>
      <c r="D1030" s="126">
        <v>85</v>
      </c>
      <c r="E1030" s="126">
        <v>10</v>
      </c>
      <c r="F1030" s="126">
        <v>1</v>
      </c>
      <c r="G1030" s="126">
        <v>1</v>
      </c>
      <c r="H1030" s="126">
        <v>1</v>
      </c>
      <c r="I1030" s="126">
        <v>1</v>
      </c>
      <c r="J1030" s="126">
        <v>195</v>
      </c>
      <c r="P1030" s="126">
        <v>298</v>
      </c>
      <c r="R1030" s="126" t="s">
        <v>549</v>
      </c>
      <c r="S1030" s="259">
        <v>0</v>
      </c>
      <c r="T1030" s="259">
        <v>12</v>
      </c>
      <c r="U1030" s="68" t="s">
        <v>1906</v>
      </c>
      <c r="V1030" s="126">
        <v>1</v>
      </c>
      <c r="Z1030" s="126">
        <v>1</v>
      </c>
      <c r="AA1030" s="126">
        <v>1</v>
      </c>
      <c r="AB1030" s="126">
        <v>4</v>
      </c>
      <c r="AC1030" s="126">
        <v>6</v>
      </c>
      <c r="AD1030" s="126">
        <v>2026</v>
      </c>
    </row>
    <row r="1031" spans="3:30">
      <c r="C1031" s="126">
        <v>1024</v>
      </c>
      <c r="D1031" s="126">
        <v>85</v>
      </c>
      <c r="E1031" s="126">
        <v>3</v>
      </c>
      <c r="F1031" s="126">
        <v>1</v>
      </c>
      <c r="G1031" s="126">
        <v>1</v>
      </c>
      <c r="H1031" s="126">
        <v>1</v>
      </c>
      <c r="I1031" s="126">
        <v>1</v>
      </c>
      <c r="J1031" s="126">
        <v>16</v>
      </c>
      <c r="M1031" s="126">
        <v>339</v>
      </c>
      <c r="N1031" s="126">
        <v>0</v>
      </c>
      <c r="P1031" s="126">
        <v>299</v>
      </c>
      <c r="R1031" s="126" t="s">
        <v>549</v>
      </c>
      <c r="S1031" s="259">
        <v>0</v>
      </c>
      <c r="T1031" s="259">
        <v>4.2</v>
      </c>
      <c r="U1031" s="68" t="s">
        <v>1907</v>
      </c>
      <c r="V1031" s="126">
        <v>1</v>
      </c>
      <c r="Z1031" s="126">
        <v>1</v>
      </c>
      <c r="AA1031" s="126">
        <v>1</v>
      </c>
      <c r="AB1031" s="126">
        <v>4</v>
      </c>
      <c r="AC1031" s="126">
        <v>6</v>
      </c>
      <c r="AD1031" s="126">
        <v>2026</v>
      </c>
    </row>
    <row r="1032" spans="3:30">
      <c r="C1032" s="126">
        <v>1025</v>
      </c>
      <c r="D1032" s="126">
        <v>85</v>
      </c>
      <c r="E1032" s="126">
        <v>11</v>
      </c>
      <c r="F1032" s="126">
        <v>1</v>
      </c>
      <c r="G1032" s="126">
        <v>1</v>
      </c>
      <c r="H1032" s="126">
        <v>1</v>
      </c>
      <c r="I1032" s="126">
        <v>1</v>
      </c>
      <c r="J1032" s="126">
        <v>16</v>
      </c>
      <c r="M1032" s="126">
        <v>339</v>
      </c>
      <c r="N1032" s="126">
        <v>1</v>
      </c>
      <c r="P1032" s="126">
        <v>299</v>
      </c>
      <c r="R1032" s="126" t="s">
        <v>549</v>
      </c>
      <c r="S1032" s="259">
        <v>4.2</v>
      </c>
      <c r="T1032" s="259">
        <v>0</v>
      </c>
      <c r="U1032" s="68" t="s">
        <v>1908</v>
      </c>
      <c r="V1032" s="126">
        <v>1</v>
      </c>
      <c r="Z1032" s="126">
        <v>1</v>
      </c>
      <c r="AA1032" s="126">
        <v>1</v>
      </c>
      <c r="AB1032" s="126">
        <v>4</v>
      </c>
      <c r="AC1032" s="126">
        <v>6</v>
      </c>
      <c r="AD1032" s="126">
        <v>2026</v>
      </c>
    </row>
    <row r="1033" spans="3:30">
      <c r="C1033" s="126">
        <v>1026</v>
      </c>
      <c r="D1033" s="126">
        <v>85</v>
      </c>
      <c r="E1033" s="126">
        <v>10</v>
      </c>
      <c r="F1033" s="126">
        <v>1</v>
      </c>
      <c r="G1033" s="126">
        <v>1</v>
      </c>
      <c r="H1033" s="126">
        <v>1</v>
      </c>
      <c r="I1033" s="126">
        <v>1</v>
      </c>
      <c r="J1033" s="126">
        <v>16</v>
      </c>
      <c r="P1033" s="126">
        <v>299</v>
      </c>
      <c r="R1033" s="126" t="s">
        <v>549</v>
      </c>
      <c r="S1033" s="259">
        <v>0</v>
      </c>
      <c r="T1033" s="259">
        <v>5.5</v>
      </c>
      <c r="U1033" s="68" t="s">
        <v>1909</v>
      </c>
      <c r="V1033" s="126">
        <v>1</v>
      </c>
      <c r="Z1033" s="126">
        <v>1</v>
      </c>
      <c r="AA1033" s="126">
        <v>1</v>
      </c>
      <c r="AB1033" s="126">
        <v>4</v>
      </c>
      <c r="AC1033" s="126">
        <v>6</v>
      </c>
      <c r="AD1033" s="126">
        <v>2026</v>
      </c>
    </row>
    <row r="1034" spans="3:30">
      <c r="C1034" s="126">
        <v>1027</v>
      </c>
      <c r="D1034" s="126">
        <v>86</v>
      </c>
      <c r="E1034" s="126">
        <v>2</v>
      </c>
      <c r="F1034" s="126">
        <v>1</v>
      </c>
      <c r="G1034" s="126">
        <v>1</v>
      </c>
      <c r="H1034" s="126">
        <v>1</v>
      </c>
      <c r="I1034" s="126">
        <v>1</v>
      </c>
      <c r="R1034" s="126" t="s">
        <v>549</v>
      </c>
      <c r="S1034" s="259">
        <v>67.5</v>
      </c>
      <c r="T1034" s="259">
        <v>0</v>
      </c>
      <c r="U1034" s="68" t="s">
        <v>1911</v>
      </c>
      <c r="V1034" s="126">
        <v>1</v>
      </c>
      <c r="Z1034" s="126">
        <v>1</v>
      </c>
      <c r="AA1034" s="126">
        <v>1</v>
      </c>
      <c r="AB1034" s="126">
        <v>4</v>
      </c>
      <c r="AC1034" s="126">
        <v>6</v>
      </c>
      <c r="AD1034" s="126">
        <v>2026</v>
      </c>
    </row>
    <row r="1035" spans="3:30">
      <c r="C1035" s="126">
        <v>1028</v>
      </c>
      <c r="D1035" s="126">
        <v>86</v>
      </c>
      <c r="E1035" s="126">
        <v>3</v>
      </c>
      <c r="F1035" s="126">
        <v>1</v>
      </c>
      <c r="G1035" s="126">
        <v>1</v>
      </c>
      <c r="H1035" s="126">
        <v>1</v>
      </c>
      <c r="I1035" s="126">
        <v>1</v>
      </c>
      <c r="J1035" s="126">
        <v>177</v>
      </c>
      <c r="M1035" s="126">
        <v>340</v>
      </c>
      <c r="N1035" s="126">
        <v>0</v>
      </c>
      <c r="P1035" s="126">
        <v>300</v>
      </c>
      <c r="R1035" s="126" t="s">
        <v>549</v>
      </c>
      <c r="S1035" s="259">
        <v>0</v>
      </c>
      <c r="T1035" s="259">
        <v>20.75</v>
      </c>
      <c r="U1035" s="68" t="s">
        <v>1912</v>
      </c>
      <c r="V1035" s="126">
        <v>1</v>
      </c>
      <c r="Z1035" s="126">
        <v>1</v>
      </c>
      <c r="AA1035" s="126">
        <v>1</v>
      </c>
      <c r="AB1035" s="126">
        <v>4</v>
      </c>
      <c r="AC1035" s="126">
        <v>6</v>
      </c>
      <c r="AD1035" s="126">
        <v>2026</v>
      </c>
    </row>
    <row r="1036" spans="3:30">
      <c r="C1036" s="126">
        <v>1029</v>
      </c>
      <c r="D1036" s="126">
        <v>86</v>
      </c>
      <c r="E1036" s="126">
        <v>11</v>
      </c>
      <c r="F1036" s="126">
        <v>1</v>
      </c>
      <c r="G1036" s="126">
        <v>1</v>
      </c>
      <c r="H1036" s="126">
        <v>1</v>
      </c>
      <c r="I1036" s="126">
        <v>1</v>
      </c>
      <c r="J1036" s="126">
        <v>177</v>
      </c>
      <c r="M1036" s="126">
        <v>340</v>
      </c>
      <c r="N1036" s="126">
        <v>1</v>
      </c>
      <c r="P1036" s="126">
        <v>300</v>
      </c>
      <c r="R1036" s="126" t="s">
        <v>549</v>
      </c>
      <c r="S1036" s="259">
        <v>20.75</v>
      </c>
      <c r="T1036" s="259">
        <v>0</v>
      </c>
      <c r="U1036" s="68" t="s">
        <v>1913</v>
      </c>
      <c r="V1036" s="126">
        <v>1</v>
      </c>
      <c r="Z1036" s="126">
        <v>1</v>
      </c>
      <c r="AA1036" s="126">
        <v>1</v>
      </c>
      <c r="AB1036" s="126">
        <v>4</v>
      </c>
      <c r="AC1036" s="126">
        <v>6</v>
      </c>
      <c r="AD1036" s="126">
        <v>2026</v>
      </c>
    </row>
    <row r="1037" spans="3:30">
      <c r="C1037" s="126">
        <v>1030</v>
      </c>
      <c r="D1037" s="126">
        <v>86</v>
      </c>
      <c r="E1037" s="126">
        <v>10</v>
      </c>
      <c r="F1037" s="126">
        <v>1</v>
      </c>
      <c r="G1037" s="126">
        <v>1</v>
      </c>
      <c r="H1037" s="126">
        <v>1</v>
      </c>
      <c r="I1037" s="126">
        <v>1</v>
      </c>
      <c r="J1037" s="126">
        <v>177</v>
      </c>
      <c r="P1037" s="126">
        <v>300</v>
      </c>
      <c r="R1037" s="126" t="s">
        <v>549</v>
      </c>
      <c r="S1037" s="259">
        <v>0</v>
      </c>
      <c r="T1037" s="259">
        <v>23.75</v>
      </c>
      <c r="U1037" s="68" t="s">
        <v>1914</v>
      </c>
      <c r="V1037" s="126">
        <v>1</v>
      </c>
      <c r="Z1037" s="126">
        <v>1</v>
      </c>
      <c r="AA1037" s="126">
        <v>1</v>
      </c>
      <c r="AB1037" s="126">
        <v>4</v>
      </c>
      <c r="AC1037" s="126">
        <v>6</v>
      </c>
      <c r="AD1037" s="126">
        <v>2026</v>
      </c>
    </row>
    <row r="1038" spans="3:30">
      <c r="C1038" s="126">
        <v>1031</v>
      </c>
      <c r="D1038" s="126">
        <v>86</v>
      </c>
      <c r="E1038" s="126">
        <v>3</v>
      </c>
      <c r="F1038" s="126">
        <v>1</v>
      </c>
      <c r="G1038" s="126">
        <v>1</v>
      </c>
      <c r="H1038" s="126">
        <v>1</v>
      </c>
      <c r="I1038" s="126">
        <v>1</v>
      </c>
      <c r="J1038" s="126">
        <v>4</v>
      </c>
      <c r="M1038" s="126">
        <v>341</v>
      </c>
      <c r="N1038" s="126">
        <v>0</v>
      </c>
      <c r="P1038" s="126">
        <v>301</v>
      </c>
      <c r="R1038" s="126" t="s">
        <v>549</v>
      </c>
      <c r="S1038" s="259">
        <v>0</v>
      </c>
      <c r="T1038" s="259">
        <v>40.6</v>
      </c>
      <c r="U1038" s="68" t="s">
        <v>1915</v>
      </c>
      <c r="V1038" s="126">
        <v>1</v>
      </c>
      <c r="Z1038" s="126">
        <v>1</v>
      </c>
      <c r="AA1038" s="126">
        <v>1</v>
      </c>
      <c r="AB1038" s="126">
        <v>4</v>
      </c>
      <c r="AC1038" s="126">
        <v>6</v>
      </c>
      <c r="AD1038" s="126">
        <v>2026</v>
      </c>
    </row>
    <row r="1039" spans="3:30">
      <c r="C1039" s="126">
        <v>1032</v>
      </c>
      <c r="D1039" s="126">
        <v>86</v>
      </c>
      <c r="E1039" s="126">
        <v>11</v>
      </c>
      <c r="F1039" s="126">
        <v>1</v>
      </c>
      <c r="G1039" s="126">
        <v>1</v>
      </c>
      <c r="H1039" s="126">
        <v>1</v>
      </c>
      <c r="I1039" s="126">
        <v>1</v>
      </c>
      <c r="J1039" s="126">
        <v>4</v>
      </c>
      <c r="M1039" s="126">
        <v>341</v>
      </c>
      <c r="N1039" s="126">
        <v>1</v>
      </c>
      <c r="P1039" s="126">
        <v>301</v>
      </c>
      <c r="R1039" s="126" t="s">
        <v>549</v>
      </c>
      <c r="S1039" s="259">
        <v>40.6</v>
      </c>
      <c r="T1039" s="259">
        <v>0</v>
      </c>
      <c r="U1039" s="68" t="s">
        <v>1916</v>
      </c>
      <c r="V1039" s="126">
        <v>1</v>
      </c>
      <c r="Z1039" s="126">
        <v>1</v>
      </c>
      <c r="AA1039" s="126">
        <v>1</v>
      </c>
      <c r="AB1039" s="126">
        <v>4</v>
      </c>
      <c r="AC1039" s="126">
        <v>6</v>
      </c>
      <c r="AD1039" s="126">
        <v>2026</v>
      </c>
    </row>
    <row r="1040" spans="3:30">
      <c r="C1040" s="126">
        <v>1033</v>
      </c>
      <c r="D1040" s="126">
        <v>86</v>
      </c>
      <c r="E1040" s="126">
        <v>10</v>
      </c>
      <c r="F1040" s="126">
        <v>1</v>
      </c>
      <c r="G1040" s="126">
        <v>1</v>
      </c>
      <c r="H1040" s="126">
        <v>1</v>
      </c>
      <c r="I1040" s="126">
        <v>1</v>
      </c>
      <c r="J1040" s="126">
        <v>4</v>
      </c>
      <c r="P1040" s="126">
        <v>301</v>
      </c>
      <c r="R1040" s="126" t="s">
        <v>549</v>
      </c>
      <c r="S1040" s="259">
        <v>0</v>
      </c>
      <c r="T1040" s="259">
        <v>43.75</v>
      </c>
      <c r="U1040" s="68" t="s">
        <v>1917</v>
      </c>
      <c r="V1040" s="126">
        <v>1</v>
      </c>
      <c r="Z1040" s="126">
        <v>1</v>
      </c>
      <c r="AA1040" s="126">
        <v>1</v>
      </c>
      <c r="AB1040" s="126">
        <v>4</v>
      </c>
      <c r="AC1040" s="126">
        <v>6</v>
      </c>
      <c r="AD1040" s="126">
        <v>2026</v>
      </c>
    </row>
    <row r="1041" spans="3:30">
      <c r="C1041" s="126">
        <v>1034</v>
      </c>
      <c r="D1041" s="126">
        <v>87</v>
      </c>
      <c r="E1041" s="126">
        <v>2</v>
      </c>
      <c r="F1041" s="126">
        <v>1</v>
      </c>
      <c r="G1041" s="126">
        <v>1</v>
      </c>
      <c r="H1041" s="126">
        <v>1</v>
      </c>
      <c r="I1041" s="126">
        <v>1</v>
      </c>
      <c r="R1041" s="126" t="s">
        <v>549</v>
      </c>
      <c r="S1041" s="259">
        <v>53.25</v>
      </c>
      <c r="T1041" s="259">
        <v>0</v>
      </c>
      <c r="U1041" s="68" t="s">
        <v>1920</v>
      </c>
      <c r="V1041" s="126">
        <v>1</v>
      </c>
      <c r="Z1041" s="126">
        <v>1</v>
      </c>
      <c r="AA1041" s="126">
        <v>1</v>
      </c>
      <c r="AB1041" s="126">
        <v>4</v>
      </c>
      <c r="AC1041" s="126">
        <v>6</v>
      </c>
      <c r="AD1041" s="126">
        <v>2026</v>
      </c>
    </row>
    <row r="1042" spans="3:30">
      <c r="C1042" s="126">
        <v>1035</v>
      </c>
      <c r="D1042" s="126">
        <v>87</v>
      </c>
      <c r="E1042" s="126">
        <v>3</v>
      </c>
      <c r="F1042" s="126">
        <v>1</v>
      </c>
      <c r="G1042" s="126">
        <v>1</v>
      </c>
      <c r="H1042" s="126">
        <v>1</v>
      </c>
      <c r="I1042" s="126">
        <v>1</v>
      </c>
      <c r="J1042" s="126">
        <v>177</v>
      </c>
      <c r="M1042" s="126">
        <v>342</v>
      </c>
      <c r="N1042" s="126">
        <v>0</v>
      </c>
      <c r="P1042" s="126">
        <v>302</v>
      </c>
      <c r="R1042" s="126" t="s">
        <v>549</v>
      </c>
      <c r="S1042" s="259">
        <v>0</v>
      </c>
      <c r="T1042" s="259">
        <v>41.5</v>
      </c>
      <c r="U1042" s="68" t="s">
        <v>1921</v>
      </c>
      <c r="V1042" s="126">
        <v>1</v>
      </c>
      <c r="Z1042" s="126">
        <v>1</v>
      </c>
      <c r="AA1042" s="126">
        <v>1</v>
      </c>
      <c r="AB1042" s="126">
        <v>4</v>
      </c>
      <c r="AC1042" s="126">
        <v>6</v>
      </c>
      <c r="AD1042" s="126">
        <v>2026</v>
      </c>
    </row>
    <row r="1043" spans="3:30">
      <c r="C1043" s="126">
        <v>1036</v>
      </c>
      <c r="D1043" s="126">
        <v>87</v>
      </c>
      <c r="E1043" s="126">
        <v>11</v>
      </c>
      <c r="F1043" s="126">
        <v>1</v>
      </c>
      <c r="G1043" s="126">
        <v>1</v>
      </c>
      <c r="H1043" s="126">
        <v>1</v>
      </c>
      <c r="I1043" s="126">
        <v>1</v>
      </c>
      <c r="J1043" s="126">
        <v>177</v>
      </c>
      <c r="M1043" s="126">
        <v>342</v>
      </c>
      <c r="N1043" s="126">
        <v>1</v>
      </c>
      <c r="P1043" s="126">
        <v>302</v>
      </c>
      <c r="R1043" s="126" t="s">
        <v>549</v>
      </c>
      <c r="S1043" s="259">
        <v>41.5</v>
      </c>
      <c r="T1043" s="259">
        <v>0</v>
      </c>
      <c r="U1043" s="68" t="s">
        <v>1922</v>
      </c>
      <c r="V1043" s="126">
        <v>1</v>
      </c>
      <c r="Z1043" s="126">
        <v>1</v>
      </c>
      <c r="AA1043" s="126">
        <v>1</v>
      </c>
      <c r="AB1043" s="126">
        <v>4</v>
      </c>
      <c r="AC1043" s="126">
        <v>6</v>
      </c>
      <c r="AD1043" s="126">
        <v>2026</v>
      </c>
    </row>
    <row r="1044" spans="3:30">
      <c r="C1044" s="126">
        <v>1037</v>
      </c>
      <c r="D1044" s="126">
        <v>87</v>
      </c>
      <c r="E1044" s="126">
        <v>10</v>
      </c>
      <c r="F1044" s="126">
        <v>1</v>
      </c>
      <c r="G1044" s="126">
        <v>1</v>
      </c>
      <c r="H1044" s="126">
        <v>1</v>
      </c>
      <c r="I1044" s="126">
        <v>1</v>
      </c>
      <c r="J1044" s="126">
        <v>177</v>
      </c>
      <c r="P1044" s="126">
        <v>302</v>
      </c>
      <c r="R1044" s="126" t="s">
        <v>549</v>
      </c>
      <c r="S1044" s="259">
        <v>0</v>
      </c>
      <c r="T1044" s="259">
        <v>45</v>
      </c>
      <c r="U1044" s="68" t="s">
        <v>1923</v>
      </c>
      <c r="V1044" s="126">
        <v>1</v>
      </c>
      <c r="Z1044" s="126">
        <v>1</v>
      </c>
      <c r="AA1044" s="126">
        <v>1</v>
      </c>
      <c r="AB1044" s="126">
        <v>4</v>
      </c>
      <c r="AC1044" s="126">
        <v>6</v>
      </c>
      <c r="AD1044" s="126">
        <v>2026</v>
      </c>
    </row>
    <row r="1045" spans="3:30">
      <c r="C1045" s="126">
        <v>1038</v>
      </c>
      <c r="D1045" s="126">
        <v>87</v>
      </c>
      <c r="E1045" s="126">
        <v>3</v>
      </c>
      <c r="F1045" s="126">
        <v>1</v>
      </c>
      <c r="G1045" s="126">
        <v>1</v>
      </c>
      <c r="H1045" s="126">
        <v>1</v>
      </c>
      <c r="I1045" s="126">
        <v>1</v>
      </c>
      <c r="J1045" s="126">
        <v>61</v>
      </c>
      <c r="M1045" s="126">
        <v>343</v>
      </c>
      <c r="N1045" s="126">
        <v>0</v>
      </c>
      <c r="P1045" s="126">
        <v>303</v>
      </c>
      <c r="R1045" s="126" t="s">
        <v>549</v>
      </c>
      <c r="S1045" s="259">
        <v>0</v>
      </c>
      <c r="T1045" s="259">
        <v>6.41</v>
      </c>
      <c r="U1045" s="68" t="s">
        <v>1926</v>
      </c>
      <c r="V1045" s="126">
        <v>1</v>
      </c>
      <c r="Z1045" s="126">
        <v>1</v>
      </c>
      <c r="AA1045" s="126">
        <v>1</v>
      </c>
      <c r="AB1045" s="126">
        <v>4</v>
      </c>
      <c r="AC1045" s="126">
        <v>6</v>
      </c>
      <c r="AD1045" s="126">
        <v>2026</v>
      </c>
    </row>
    <row r="1046" spans="3:30">
      <c r="C1046" s="126">
        <v>1039</v>
      </c>
      <c r="D1046" s="126">
        <v>87</v>
      </c>
      <c r="E1046" s="126">
        <v>11</v>
      </c>
      <c r="F1046" s="126">
        <v>1</v>
      </c>
      <c r="G1046" s="126">
        <v>1</v>
      </c>
      <c r="H1046" s="126">
        <v>1</v>
      </c>
      <c r="I1046" s="126">
        <v>1</v>
      </c>
      <c r="J1046" s="126">
        <v>61</v>
      </c>
      <c r="M1046" s="126">
        <v>343</v>
      </c>
      <c r="N1046" s="126">
        <v>1</v>
      </c>
      <c r="P1046" s="126">
        <v>303</v>
      </c>
      <c r="R1046" s="126" t="s">
        <v>549</v>
      </c>
      <c r="S1046" s="259">
        <v>6.41</v>
      </c>
      <c r="T1046" s="259">
        <v>0</v>
      </c>
      <c r="U1046" s="68" t="s">
        <v>1927</v>
      </c>
      <c r="V1046" s="126">
        <v>1</v>
      </c>
      <c r="Z1046" s="126">
        <v>1</v>
      </c>
      <c r="AA1046" s="126">
        <v>1</v>
      </c>
      <c r="AB1046" s="126">
        <v>4</v>
      </c>
      <c r="AC1046" s="126">
        <v>6</v>
      </c>
      <c r="AD1046" s="126">
        <v>2026</v>
      </c>
    </row>
    <row r="1047" spans="3:30">
      <c r="C1047" s="126">
        <v>1040</v>
      </c>
      <c r="D1047" s="126">
        <v>87</v>
      </c>
      <c r="E1047" s="126">
        <v>10</v>
      </c>
      <c r="F1047" s="126">
        <v>1</v>
      </c>
      <c r="G1047" s="126">
        <v>1</v>
      </c>
      <c r="H1047" s="126">
        <v>1</v>
      </c>
      <c r="I1047" s="126">
        <v>1</v>
      </c>
      <c r="J1047" s="126">
        <v>61</v>
      </c>
      <c r="P1047" s="126">
        <v>303</v>
      </c>
      <c r="R1047" s="126" t="s">
        <v>549</v>
      </c>
      <c r="S1047" s="259">
        <v>0</v>
      </c>
      <c r="T1047" s="259">
        <v>7</v>
      </c>
      <c r="U1047" s="68" t="s">
        <v>1928</v>
      </c>
      <c r="V1047" s="126">
        <v>1</v>
      </c>
      <c r="Z1047" s="126">
        <v>1</v>
      </c>
      <c r="AA1047" s="126">
        <v>1</v>
      </c>
      <c r="AB1047" s="126">
        <v>4</v>
      </c>
      <c r="AC1047" s="126">
        <v>6</v>
      </c>
      <c r="AD1047" s="126">
        <v>2026</v>
      </c>
    </row>
    <row r="1048" spans="3:30">
      <c r="C1048" s="126">
        <v>1041</v>
      </c>
      <c r="D1048" s="126">
        <v>87</v>
      </c>
      <c r="E1048" s="126">
        <v>3</v>
      </c>
      <c r="F1048" s="126">
        <v>1</v>
      </c>
      <c r="G1048" s="126">
        <v>1</v>
      </c>
      <c r="H1048" s="126">
        <v>1</v>
      </c>
      <c r="I1048" s="126">
        <v>1</v>
      </c>
      <c r="J1048" s="126">
        <v>146</v>
      </c>
      <c r="M1048" s="126">
        <v>344</v>
      </c>
      <c r="N1048" s="126">
        <v>0</v>
      </c>
      <c r="P1048" s="126">
        <v>304</v>
      </c>
      <c r="R1048" s="126" t="s">
        <v>549</v>
      </c>
      <c r="S1048" s="259">
        <v>0</v>
      </c>
      <c r="T1048" s="259">
        <v>0.2</v>
      </c>
      <c r="U1048" s="68" t="s">
        <v>1931</v>
      </c>
      <c r="V1048" s="126">
        <v>1</v>
      </c>
      <c r="Z1048" s="126">
        <v>1</v>
      </c>
      <c r="AA1048" s="126">
        <v>1</v>
      </c>
      <c r="AB1048" s="126">
        <v>4</v>
      </c>
      <c r="AC1048" s="126">
        <v>6</v>
      </c>
      <c r="AD1048" s="126">
        <v>2026</v>
      </c>
    </row>
    <row r="1049" spans="3:30">
      <c r="C1049" s="126">
        <v>1042</v>
      </c>
      <c r="D1049" s="126">
        <v>87</v>
      </c>
      <c r="E1049" s="126">
        <v>11</v>
      </c>
      <c r="F1049" s="126">
        <v>1</v>
      </c>
      <c r="G1049" s="126">
        <v>1</v>
      </c>
      <c r="H1049" s="126">
        <v>1</v>
      </c>
      <c r="I1049" s="126">
        <v>1</v>
      </c>
      <c r="J1049" s="126">
        <v>146</v>
      </c>
      <c r="M1049" s="126">
        <v>344</v>
      </c>
      <c r="N1049" s="126">
        <v>1</v>
      </c>
      <c r="P1049" s="126">
        <v>304</v>
      </c>
      <c r="R1049" s="126" t="s">
        <v>549</v>
      </c>
      <c r="S1049" s="259">
        <v>0.2</v>
      </c>
      <c r="T1049" s="259">
        <v>0</v>
      </c>
      <c r="U1049" s="68" t="s">
        <v>1932</v>
      </c>
      <c r="V1049" s="126">
        <v>1</v>
      </c>
      <c r="Z1049" s="126">
        <v>1</v>
      </c>
      <c r="AA1049" s="126">
        <v>1</v>
      </c>
      <c r="AB1049" s="126">
        <v>4</v>
      </c>
      <c r="AC1049" s="126">
        <v>6</v>
      </c>
      <c r="AD1049" s="126">
        <v>2026</v>
      </c>
    </row>
    <row r="1050" spans="3:30">
      <c r="C1050" s="126">
        <v>1043</v>
      </c>
      <c r="D1050" s="126">
        <v>87</v>
      </c>
      <c r="E1050" s="126">
        <v>10</v>
      </c>
      <c r="F1050" s="126">
        <v>1</v>
      </c>
      <c r="G1050" s="126">
        <v>1</v>
      </c>
      <c r="H1050" s="126">
        <v>1</v>
      </c>
      <c r="I1050" s="126">
        <v>1</v>
      </c>
      <c r="J1050" s="126">
        <v>146</v>
      </c>
      <c r="P1050" s="126">
        <v>304</v>
      </c>
      <c r="R1050" s="126" t="s">
        <v>549</v>
      </c>
      <c r="S1050" s="259">
        <v>0</v>
      </c>
      <c r="T1050" s="259">
        <v>1.25</v>
      </c>
      <c r="U1050" s="68" t="s">
        <v>1933</v>
      </c>
      <c r="V1050" s="126">
        <v>1</v>
      </c>
      <c r="Z1050" s="126">
        <v>1</v>
      </c>
      <c r="AA1050" s="126">
        <v>1</v>
      </c>
      <c r="AB1050" s="126">
        <v>4</v>
      </c>
      <c r="AC1050" s="126">
        <v>6</v>
      </c>
      <c r="AD1050" s="126">
        <v>2026</v>
      </c>
    </row>
    <row r="1051" spans="3:30">
      <c r="C1051" s="126">
        <v>1044</v>
      </c>
      <c r="D1051" s="126">
        <v>88</v>
      </c>
      <c r="E1051" s="126">
        <v>2</v>
      </c>
      <c r="F1051" s="126">
        <v>1</v>
      </c>
      <c r="G1051" s="126">
        <v>1</v>
      </c>
      <c r="H1051" s="126">
        <v>1</v>
      </c>
      <c r="I1051" s="126">
        <v>1</v>
      </c>
      <c r="R1051" s="126" t="s">
        <v>549</v>
      </c>
      <c r="S1051" s="259">
        <v>49.51</v>
      </c>
      <c r="T1051" s="259">
        <v>0</v>
      </c>
      <c r="U1051" s="68" t="s">
        <v>1935</v>
      </c>
      <c r="V1051" s="126">
        <v>1</v>
      </c>
      <c r="Z1051" s="126">
        <v>1</v>
      </c>
      <c r="AA1051" s="126">
        <v>1</v>
      </c>
      <c r="AB1051" s="126">
        <v>4</v>
      </c>
      <c r="AC1051" s="126">
        <v>6</v>
      </c>
      <c r="AD1051" s="126">
        <v>2026</v>
      </c>
    </row>
    <row r="1052" spans="3:30">
      <c r="C1052" s="126">
        <v>1045</v>
      </c>
      <c r="D1052" s="126">
        <v>88</v>
      </c>
      <c r="E1052" s="126">
        <v>3</v>
      </c>
      <c r="F1052" s="126">
        <v>1</v>
      </c>
      <c r="G1052" s="126">
        <v>1</v>
      </c>
      <c r="H1052" s="126">
        <v>1</v>
      </c>
      <c r="I1052" s="126">
        <v>1</v>
      </c>
      <c r="J1052" s="126">
        <v>176</v>
      </c>
      <c r="M1052" s="126">
        <v>345</v>
      </c>
      <c r="N1052" s="126">
        <v>0</v>
      </c>
      <c r="P1052" s="126">
        <v>305</v>
      </c>
      <c r="R1052" s="126" t="s">
        <v>549</v>
      </c>
      <c r="S1052" s="259">
        <v>0</v>
      </c>
      <c r="T1052" s="259">
        <v>4.25</v>
      </c>
      <c r="U1052" s="68" t="s">
        <v>1936</v>
      </c>
      <c r="V1052" s="126">
        <v>1</v>
      </c>
      <c r="Z1052" s="126">
        <v>1</v>
      </c>
      <c r="AA1052" s="126">
        <v>1</v>
      </c>
      <c r="AB1052" s="126">
        <v>4</v>
      </c>
      <c r="AC1052" s="126">
        <v>6</v>
      </c>
      <c r="AD1052" s="126">
        <v>2026</v>
      </c>
    </row>
    <row r="1053" spans="3:30">
      <c r="C1053" s="126">
        <v>1046</v>
      </c>
      <c r="D1053" s="126">
        <v>88</v>
      </c>
      <c r="E1053" s="126">
        <v>11</v>
      </c>
      <c r="F1053" s="126">
        <v>1</v>
      </c>
      <c r="G1053" s="126">
        <v>1</v>
      </c>
      <c r="H1053" s="126">
        <v>1</v>
      </c>
      <c r="I1053" s="126">
        <v>1</v>
      </c>
      <c r="J1053" s="126">
        <v>176</v>
      </c>
      <c r="M1053" s="126">
        <v>345</v>
      </c>
      <c r="N1053" s="126">
        <v>1</v>
      </c>
      <c r="P1053" s="126">
        <v>305</v>
      </c>
      <c r="R1053" s="126" t="s">
        <v>549</v>
      </c>
      <c r="S1053" s="259">
        <v>4.25</v>
      </c>
      <c r="T1053" s="259">
        <v>0</v>
      </c>
      <c r="U1053" s="68" t="s">
        <v>1937</v>
      </c>
      <c r="V1053" s="126">
        <v>1</v>
      </c>
      <c r="Z1053" s="126">
        <v>1</v>
      </c>
      <c r="AA1053" s="126">
        <v>1</v>
      </c>
      <c r="AB1053" s="126">
        <v>4</v>
      </c>
      <c r="AC1053" s="126">
        <v>6</v>
      </c>
      <c r="AD1053" s="126">
        <v>2026</v>
      </c>
    </row>
    <row r="1054" spans="3:30">
      <c r="C1054" s="126">
        <v>1047</v>
      </c>
      <c r="D1054" s="126">
        <v>88</v>
      </c>
      <c r="E1054" s="126">
        <v>10</v>
      </c>
      <c r="F1054" s="126">
        <v>1</v>
      </c>
      <c r="G1054" s="126">
        <v>1</v>
      </c>
      <c r="H1054" s="126">
        <v>1</v>
      </c>
      <c r="I1054" s="126">
        <v>1</v>
      </c>
      <c r="J1054" s="126">
        <v>176</v>
      </c>
      <c r="P1054" s="126">
        <v>305</v>
      </c>
      <c r="R1054" s="126" t="s">
        <v>549</v>
      </c>
      <c r="S1054" s="259">
        <v>0</v>
      </c>
      <c r="T1054" s="259">
        <v>4.75</v>
      </c>
      <c r="U1054" s="68" t="s">
        <v>1938</v>
      </c>
      <c r="V1054" s="126">
        <v>1</v>
      </c>
      <c r="Z1054" s="126">
        <v>1</v>
      </c>
      <c r="AA1054" s="126">
        <v>1</v>
      </c>
      <c r="AB1054" s="126">
        <v>4</v>
      </c>
      <c r="AC1054" s="126">
        <v>6</v>
      </c>
      <c r="AD1054" s="126">
        <v>2026</v>
      </c>
    </row>
    <row r="1055" spans="3:30">
      <c r="C1055" s="126">
        <v>1048</v>
      </c>
      <c r="D1055" s="126">
        <v>88</v>
      </c>
      <c r="E1055" s="126">
        <v>3</v>
      </c>
      <c r="F1055" s="126">
        <v>1</v>
      </c>
      <c r="G1055" s="126">
        <v>1</v>
      </c>
      <c r="H1055" s="126">
        <v>1</v>
      </c>
      <c r="I1055" s="126">
        <v>1</v>
      </c>
      <c r="J1055" s="126">
        <v>66</v>
      </c>
      <c r="M1055" s="126">
        <v>346</v>
      </c>
      <c r="N1055" s="126">
        <v>0</v>
      </c>
      <c r="P1055" s="126">
        <v>306</v>
      </c>
      <c r="R1055" s="126" t="s">
        <v>549</v>
      </c>
      <c r="S1055" s="259">
        <v>0</v>
      </c>
      <c r="T1055" s="259">
        <v>0.82</v>
      </c>
      <c r="U1055" s="68" t="s">
        <v>1939</v>
      </c>
      <c r="V1055" s="126">
        <v>1</v>
      </c>
      <c r="Z1055" s="126">
        <v>1</v>
      </c>
      <c r="AA1055" s="126">
        <v>1</v>
      </c>
      <c r="AB1055" s="126">
        <v>4</v>
      </c>
      <c r="AC1055" s="126">
        <v>6</v>
      </c>
      <c r="AD1055" s="126">
        <v>2026</v>
      </c>
    </row>
    <row r="1056" spans="3:30">
      <c r="C1056" s="126">
        <v>1049</v>
      </c>
      <c r="D1056" s="126">
        <v>88</v>
      </c>
      <c r="E1056" s="126">
        <v>11</v>
      </c>
      <c r="F1056" s="126">
        <v>1</v>
      </c>
      <c r="G1056" s="126">
        <v>1</v>
      </c>
      <c r="H1056" s="126">
        <v>1</v>
      </c>
      <c r="I1056" s="126">
        <v>1</v>
      </c>
      <c r="J1056" s="126">
        <v>66</v>
      </c>
      <c r="M1056" s="126">
        <v>346</v>
      </c>
      <c r="N1056" s="126">
        <v>1</v>
      </c>
      <c r="P1056" s="126">
        <v>306</v>
      </c>
      <c r="R1056" s="126" t="s">
        <v>549</v>
      </c>
      <c r="S1056" s="259">
        <v>0.82</v>
      </c>
      <c r="T1056" s="259">
        <v>0</v>
      </c>
      <c r="U1056" s="68" t="s">
        <v>1940</v>
      </c>
      <c r="V1056" s="126">
        <v>1</v>
      </c>
      <c r="Z1056" s="126">
        <v>1</v>
      </c>
      <c r="AA1056" s="126">
        <v>1</v>
      </c>
      <c r="AB1056" s="126">
        <v>4</v>
      </c>
      <c r="AC1056" s="126">
        <v>6</v>
      </c>
      <c r="AD1056" s="126">
        <v>2026</v>
      </c>
    </row>
    <row r="1057" spans="3:30">
      <c r="C1057" s="126">
        <v>1050</v>
      </c>
      <c r="D1057" s="126">
        <v>88</v>
      </c>
      <c r="E1057" s="126">
        <v>10</v>
      </c>
      <c r="F1057" s="126">
        <v>1</v>
      </c>
      <c r="G1057" s="126">
        <v>1</v>
      </c>
      <c r="H1057" s="126">
        <v>1</v>
      </c>
      <c r="I1057" s="126">
        <v>1</v>
      </c>
      <c r="J1057" s="126">
        <v>66</v>
      </c>
      <c r="P1057" s="126">
        <v>306</v>
      </c>
      <c r="R1057" s="126" t="s">
        <v>549</v>
      </c>
      <c r="S1057" s="259">
        <v>0</v>
      </c>
      <c r="T1057" s="259">
        <v>1.5</v>
      </c>
      <c r="U1057" s="68" t="s">
        <v>1941</v>
      </c>
      <c r="V1057" s="126">
        <v>1</v>
      </c>
      <c r="Z1057" s="126">
        <v>1</v>
      </c>
      <c r="AA1057" s="126">
        <v>1</v>
      </c>
      <c r="AB1057" s="126">
        <v>4</v>
      </c>
      <c r="AC1057" s="126">
        <v>6</v>
      </c>
      <c r="AD1057" s="126">
        <v>2026</v>
      </c>
    </row>
    <row r="1058" spans="3:30">
      <c r="C1058" s="126">
        <v>1051</v>
      </c>
      <c r="D1058" s="126">
        <v>88</v>
      </c>
      <c r="E1058" s="126">
        <v>3</v>
      </c>
      <c r="F1058" s="126">
        <v>1</v>
      </c>
      <c r="G1058" s="126">
        <v>1</v>
      </c>
      <c r="H1058" s="126">
        <v>1</v>
      </c>
      <c r="I1058" s="126">
        <v>1</v>
      </c>
      <c r="J1058" s="126">
        <v>75</v>
      </c>
      <c r="M1058" s="126">
        <v>347</v>
      </c>
      <c r="N1058" s="126">
        <v>0</v>
      </c>
      <c r="P1058" s="126">
        <v>307</v>
      </c>
      <c r="R1058" s="126" t="s">
        <v>549</v>
      </c>
      <c r="S1058" s="259">
        <v>0</v>
      </c>
      <c r="T1058" s="259">
        <v>0.26</v>
      </c>
      <c r="U1058" s="68" t="s">
        <v>1942</v>
      </c>
      <c r="V1058" s="126">
        <v>1</v>
      </c>
      <c r="Z1058" s="126">
        <v>1</v>
      </c>
      <c r="AA1058" s="126">
        <v>1</v>
      </c>
      <c r="AB1058" s="126">
        <v>4</v>
      </c>
      <c r="AC1058" s="126">
        <v>6</v>
      </c>
      <c r="AD1058" s="126">
        <v>2026</v>
      </c>
    </row>
    <row r="1059" spans="3:30">
      <c r="C1059" s="126">
        <v>1052</v>
      </c>
      <c r="D1059" s="126">
        <v>88</v>
      </c>
      <c r="E1059" s="126">
        <v>11</v>
      </c>
      <c r="F1059" s="126">
        <v>1</v>
      </c>
      <c r="G1059" s="126">
        <v>1</v>
      </c>
      <c r="H1059" s="126">
        <v>1</v>
      </c>
      <c r="I1059" s="126">
        <v>1</v>
      </c>
      <c r="J1059" s="126">
        <v>75</v>
      </c>
      <c r="M1059" s="126">
        <v>347</v>
      </c>
      <c r="N1059" s="126">
        <v>1</v>
      </c>
      <c r="P1059" s="126">
        <v>307</v>
      </c>
      <c r="R1059" s="126" t="s">
        <v>549</v>
      </c>
      <c r="S1059" s="259">
        <v>0.26</v>
      </c>
      <c r="T1059" s="259">
        <v>0</v>
      </c>
      <c r="U1059" s="68" t="s">
        <v>1943</v>
      </c>
      <c r="V1059" s="126">
        <v>1</v>
      </c>
      <c r="Z1059" s="126">
        <v>1</v>
      </c>
      <c r="AA1059" s="126">
        <v>1</v>
      </c>
      <c r="AB1059" s="126">
        <v>4</v>
      </c>
      <c r="AC1059" s="126">
        <v>6</v>
      </c>
      <c r="AD1059" s="126">
        <v>2026</v>
      </c>
    </row>
    <row r="1060" spans="3:30">
      <c r="C1060" s="126">
        <v>1053</v>
      </c>
      <c r="D1060" s="126">
        <v>88</v>
      </c>
      <c r="E1060" s="126">
        <v>10</v>
      </c>
      <c r="F1060" s="126">
        <v>1</v>
      </c>
      <c r="G1060" s="126">
        <v>1</v>
      </c>
      <c r="H1060" s="126">
        <v>1</v>
      </c>
      <c r="I1060" s="126">
        <v>1</v>
      </c>
      <c r="J1060" s="126">
        <v>75</v>
      </c>
      <c r="P1060" s="126">
        <v>307</v>
      </c>
      <c r="R1060" s="126" t="s">
        <v>549</v>
      </c>
      <c r="S1060" s="259">
        <v>0</v>
      </c>
      <c r="T1060" s="259">
        <v>0.5</v>
      </c>
      <c r="U1060" s="68" t="s">
        <v>1944</v>
      </c>
      <c r="V1060" s="126">
        <v>1</v>
      </c>
      <c r="Z1060" s="126">
        <v>1</v>
      </c>
      <c r="AA1060" s="126">
        <v>1</v>
      </c>
      <c r="AB1060" s="126">
        <v>4</v>
      </c>
      <c r="AC1060" s="126">
        <v>6</v>
      </c>
      <c r="AD1060" s="126">
        <v>2026</v>
      </c>
    </row>
    <row r="1061" spans="3:30">
      <c r="C1061" s="126">
        <v>1054</v>
      </c>
      <c r="D1061" s="126">
        <v>88</v>
      </c>
      <c r="E1061" s="126">
        <v>3</v>
      </c>
      <c r="F1061" s="126">
        <v>1</v>
      </c>
      <c r="G1061" s="126">
        <v>1</v>
      </c>
      <c r="H1061" s="126">
        <v>1</v>
      </c>
      <c r="I1061" s="126">
        <v>1</v>
      </c>
      <c r="J1061" s="126">
        <v>182</v>
      </c>
      <c r="M1061" s="126">
        <v>348</v>
      </c>
      <c r="N1061" s="126">
        <v>0</v>
      </c>
      <c r="P1061" s="126">
        <v>308</v>
      </c>
      <c r="R1061" s="126" t="s">
        <v>549</v>
      </c>
      <c r="S1061" s="259">
        <v>0</v>
      </c>
      <c r="T1061" s="259">
        <v>2</v>
      </c>
      <c r="U1061" s="68" t="s">
        <v>1945</v>
      </c>
      <c r="V1061" s="126">
        <v>1</v>
      </c>
      <c r="Z1061" s="126">
        <v>1</v>
      </c>
      <c r="AA1061" s="126">
        <v>1</v>
      </c>
      <c r="AB1061" s="126">
        <v>4</v>
      </c>
      <c r="AC1061" s="126">
        <v>6</v>
      </c>
      <c r="AD1061" s="126">
        <v>2026</v>
      </c>
    </row>
    <row r="1062" spans="3:30">
      <c r="C1062" s="126">
        <v>1055</v>
      </c>
      <c r="D1062" s="126">
        <v>88</v>
      </c>
      <c r="E1062" s="126">
        <v>11</v>
      </c>
      <c r="F1062" s="126">
        <v>1</v>
      </c>
      <c r="G1062" s="126">
        <v>1</v>
      </c>
      <c r="H1062" s="126">
        <v>1</v>
      </c>
      <c r="I1062" s="126">
        <v>1</v>
      </c>
      <c r="J1062" s="126">
        <v>182</v>
      </c>
      <c r="M1062" s="126">
        <v>348</v>
      </c>
      <c r="N1062" s="126">
        <v>1</v>
      </c>
      <c r="P1062" s="126">
        <v>308</v>
      </c>
      <c r="R1062" s="126" t="s">
        <v>549</v>
      </c>
      <c r="S1062" s="259">
        <v>2</v>
      </c>
      <c r="T1062" s="259">
        <v>0</v>
      </c>
      <c r="U1062" s="68" t="s">
        <v>1946</v>
      </c>
      <c r="V1062" s="126">
        <v>1</v>
      </c>
      <c r="Z1062" s="126">
        <v>1</v>
      </c>
      <c r="AA1062" s="126">
        <v>1</v>
      </c>
      <c r="AB1062" s="126">
        <v>4</v>
      </c>
      <c r="AC1062" s="126">
        <v>6</v>
      </c>
      <c r="AD1062" s="126">
        <v>2026</v>
      </c>
    </row>
    <row r="1063" spans="3:30">
      <c r="C1063" s="126">
        <v>1056</v>
      </c>
      <c r="D1063" s="126">
        <v>88</v>
      </c>
      <c r="E1063" s="126">
        <v>10</v>
      </c>
      <c r="F1063" s="126">
        <v>1</v>
      </c>
      <c r="G1063" s="126">
        <v>1</v>
      </c>
      <c r="H1063" s="126">
        <v>1</v>
      </c>
      <c r="I1063" s="126">
        <v>1</v>
      </c>
      <c r="J1063" s="126">
        <v>182</v>
      </c>
      <c r="P1063" s="126">
        <v>308</v>
      </c>
      <c r="R1063" s="126" t="s">
        <v>549</v>
      </c>
      <c r="S1063" s="259">
        <v>0</v>
      </c>
      <c r="T1063" s="259">
        <v>2.5</v>
      </c>
      <c r="U1063" s="68" t="s">
        <v>1947</v>
      </c>
      <c r="V1063" s="126">
        <v>1</v>
      </c>
      <c r="Z1063" s="126">
        <v>1</v>
      </c>
      <c r="AA1063" s="126">
        <v>1</v>
      </c>
      <c r="AB1063" s="126">
        <v>4</v>
      </c>
      <c r="AC1063" s="126">
        <v>6</v>
      </c>
      <c r="AD1063" s="126">
        <v>2026</v>
      </c>
    </row>
    <row r="1064" spans="3:30">
      <c r="C1064" s="126">
        <v>1057</v>
      </c>
      <c r="D1064" s="126">
        <v>88</v>
      </c>
      <c r="E1064" s="126">
        <v>3</v>
      </c>
      <c r="F1064" s="126">
        <v>1</v>
      </c>
      <c r="G1064" s="126">
        <v>1</v>
      </c>
      <c r="H1064" s="126">
        <v>1</v>
      </c>
      <c r="I1064" s="126">
        <v>1</v>
      </c>
      <c r="J1064" s="126">
        <v>105</v>
      </c>
      <c r="M1064" s="126">
        <v>349</v>
      </c>
      <c r="N1064" s="126">
        <v>0</v>
      </c>
      <c r="P1064" s="126">
        <v>309</v>
      </c>
      <c r="R1064" s="126" t="s">
        <v>549</v>
      </c>
      <c r="S1064" s="259">
        <v>0</v>
      </c>
      <c r="T1064" s="259">
        <v>1.1000000000000001</v>
      </c>
      <c r="U1064" s="68" t="s">
        <v>1948</v>
      </c>
      <c r="V1064" s="126">
        <v>1</v>
      </c>
      <c r="Z1064" s="126">
        <v>1</v>
      </c>
      <c r="AA1064" s="126">
        <v>1</v>
      </c>
      <c r="AB1064" s="126">
        <v>4</v>
      </c>
      <c r="AC1064" s="126">
        <v>6</v>
      </c>
      <c r="AD1064" s="126">
        <v>2026</v>
      </c>
    </row>
    <row r="1065" spans="3:30">
      <c r="C1065" s="126">
        <v>1058</v>
      </c>
      <c r="D1065" s="126">
        <v>88</v>
      </c>
      <c r="E1065" s="126">
        <v>11</v>
      </c>
      <c r="F1065" s="126">
        <v>1</v>
      </c>
      <c r="G1065" s="126">
        <v>1</v>
      </c>
      <c r="H1065" s="126">
        <v>1</v>
      </c>
      <c r="I1065" s="126">
        <v>1</v>
      </c>
      <c r="J1065" s="126">
        <v>105</v>
      </c>
      <c r="M1065" s="126">
        <v>349</v>
      </c>
      <c r="N1065" s="126">
        <v>1</v>
      </c>
      <c r="P1065" s="126">
        <v>309</v>
      </c>
      <c r="R1065" s="126" t="s">
        <v>549</v>
      </c>
      <c r="S1065" s="259">
        <v>1.1000000000000001</v>
      </c>
      <c r="T1065" s="259">
        <v>0</v>
      </c>
      <c r="U1065" s="68" t="s">
        <v>1949</v>
      </c>
      <c r="V1065" s="126">
        <v>1</v>
      </c>
      <c r="Z1065" s="126">
        <v>1</v>
      </c>
      <c r="AA1065" s="126">
        <v>1</v>
      </c>
      <c r="AB1065" s="126">
        <v>4</v>
      </c>
      <c r="AC1065" s="126">
        <v>6</v>
      </c>
      <c r="AD1065" s="126">
        <v>2026</v>
      </c>
    </row>
    <row r="1066" spans="3:30">
      <c r="C1066" s="126">
        <v>1059</v>
      </c>
      <c r="D1066" s="126">
        <v>88</v>
      </c>
      <c r="E1066" s="126">
        <v>10</v>
      </c>
      <c r="F1066" s="126">
        <v>1</v>
      </c>
      <c r="G1066" s="126">
        <v>1</v>
      </c>
      <c r="H1066" s="126">
        <v>1</v>
      </c>
      <c r="I1066" s="126">
        <v>1</v>
      </c>
      <c r="J1066" s="126">
        <v>105</v>
      </c>
      <c r="P1066" s="126">
        <v>309</v>
      </c>
      <c r="R1066" s="126" t="s">
        <v>549</v>
      </c>
      <c r="S1066" s="259">
        <v>0</v>
      </c>
      <c r="T1066" s="259">
        <v>1.5</v>
      </c>
      <c r="U1066" s="68" t="s">
        <v>1950</v>
      </c>
      <c r="V1066" s="126">
        <v>1</v>
      </c>
      <c r="Z1066" s="126">
        <v>1</v>
      </c>
      <c r="AA1066" s="126">
        <v>1</v>
      </c>
      <c r="AB1066" s="126">
        <v>4</v>
      </c>
      <c r="AC1066" s="126">
        <v>6</v>
      </c>
      <c r="AD1066" s="126">
        <v>2026</v>
      </c>
    </row>
    <row r="1067" spans="3:30">
      <c r="C1067" s="126">
        <v>1060</v>
      </c>
      <c r="D1067" s="126">
        <v>88</v>
      </c>
      <c r="E1067" s="126">
        <v>3</v>
      </c>
      <c r="F1067" s="126">
        <v>1</v>
      </c>
      <c r="G1067" s="126">
        <v>1</v>
      </c>
      <c r="H1067" s="126">
        <v>1</v>
      </c>
      <c r="I1067" s="126">
        <v>1</v>
      </c>
      <c r="J1067" s="126">
        <v>34</v>
      </c>
      <c r="M1067" s="126">
        <v>350</v>
      </c>
      <c r="N1067" s="126">
        <v>0</v>
      </c>
      <c r="P1067" s="126">
        <v>310</v>
      </c>
      <c r="R1067" s="126" t="s">
        <v>549</v>
      </c>
      <c r="S1067" s="259">
        <v>0</v>
      </c>
      <c r="T1067" s="259">
        <v>0.5</v>
      </c>
      <c r="U1067" s="68" t="s">
        <v>1951</v>
      </c>
      <c r="V1067" s="126">
        <v>1</v>
      </c>
      <c r="Z1067" s="126">
        <v>1</v>
      </c>
      <c r="AA1067" s="126">
        <v>1</v>
      </c>
      <c r="AB1067" s="126">
        <v>4</v>
      </c>
      <c r="AC1067" s="126">
        <v>6</v>
      </c>
      <c r="AD1067" s="126">
        <v>2026</v>
      </c>
    </row>
    <row r="1068" spans="3:30">
      <c r="C1068" s="126">
        <v>1061</v>
      </c>
      <c r="D1068" s="126">
        <v>88</v>
      </c>
      <c r="E1068" s="126">
        <v>11</v>
      </c>
      <c r="F1068" s="126">
        <v>1</v>
      </c>
      <c r="G1068" s="126">
        <v>1</v>
      </c>
      <c r="H1068" s="126">
        <v>1</v>
      </c>
      <c r="I1068" s="126">
        <v>1</v>
      </c>
      <c r="J1068" s="126">
        <v>34</v>
      </c>
      <c r="M1068" s="126">
        <v>350</v>
      </c>
      <c r="N1068" s="126">
        <v>1</v>
      </c>
      <c r="P1068" s="126">
        <v>310</v>
      </c>
      <c r="R1068" s="126" t="s">
        <v>549</v>
      </c>
      <c r="S1068" s="259">
        <v>0.5</v>
      </c>
      <c r="T1068" s="259">
        <v>0</v>
      </c>
      <c r="U1068" s="68" t="s">
        <v>1952</v>
      </c>
      <c r="V1068" s="126">
        <v>1</v>
      </c>
      <c r="Z1068" s="126">
        <v>1</v>
      </c>
      <c r="AA1068" s="126">
        <v>1</v>
      </c>
      <c r="AB1068" s="126">
        <v>4</v>
      </c>
      <c r="AC1068" s="126">
        <v>6</v>
      </c>
      <c r="AD1068" s="126">
        <v>2026</v>
      </c>
    </row>
    <row r="1069" spans="3:30">
      <c r="C1069" s="126">
        <v>1062</v>
      </c>
      <c r="D1069" s="126">
        <v>88</v>
      </c>
      <c r="E1069" s="126">
        <v>10</v>
      </c>
      <c r="F1069" s="126">
        <v>1</v>
      </c>
      <c r="G1069" s="126">
        <v>1</v>
      </c>
      <c r="H1069" s="126">
        <v>1</v>
      </c>
      <c r="I1069" s="126">
        <v>1</v>
      </c>
      <c r="J1069" s="126">
        <v>34</v>
      </c>
      <c r="P1069" s="126">
        <v>310</v>
      </c>
      <c r="R1069" s="126" t="s">
        <v>549</v>
      </c>
      <c r="S1069" s="259">
        <v>0</v>
      </c>
      <c r="T1069" s="259">
        <v>1</v>
      </c>
      <c r="U1069" s="68" t="s">
        <v>1953</v>
      </c>
      <c r="V1069" s="126">
        <v>1</v>
      </c>
      <c r="Z1069" s="126">
        <v>1</v>
      </c>
      <c r="AA1069" s="126">
        <v>1</v>
      </c>
      <c r="AB1069" s="126">
        <v>4</v>
      </c>
      <c r="AC1069" s="126">
        <v>6</v>
      </c>
      <c r="AD1069" s="126">
        <v>2026</v>
      </c>
    </row>
    <row r="1070" spans="3:30">
      <c r="C1070" s="126">
        <v>1063</v>
      </c>
      <c r="D1070" s="126">
        <v>88</v>
      </c>
      <c r="E1070" s="126">
        <v>3</v>
      </c>
      <c r="F1070" s="126">
        <v>1</v>
      </c>
      <c r="G1070" s="126">
        <v>1</v>
      </c>
      <c r="H1070" s="126">
        <v>1</v>
      </c>
      <c r="I1070" s="126">
        <v>1</v>
      </c>
      <c r="J1070" s="126">
        <v>50</v>
      </c>
      <c r="M1070" s="126">
        <v>351</v>
      </c>
      <c r="N1070" s="126">
        <v>0</v>
      </c>
      <c r="P1070" s="126">
        <v>311</v>
      </c>
      <c r="R1070" s="126" t="s">
        <v>549</v>
      </c>
      <c r="S1070" s="259">
        <v>0</v>
      </c>
      <c r="T1070" s="259">
        <v>0.48</v>
      </c>
      <c r="U1070" s="68" t="s">
        <v>1954</v>
      </c>
      <c r="V1070" s="126">
        <v>1</v>
      </c>
      <c r="Z1070" s="126">
        <v>1</v>
      </c>
      <c r="AA1070" s="126">
        <v>1</v>
      </c>
      <c r="AB1070" s="126">
        <v>4</v>
      </c>
      <c r="AC1070" s="126">
        <v>6</v>
      </c>
      <c r="AD1070" s="126">
        <v>2026</v>
      </c>
    </row>
    <row r="1071" spans="3:30">
      <c r="C1071" s="126">
        <v>1064</v>
      </c>
      <c r="D1071" s="126">
        <v>88</v>
      </c>
      <c r="E1071" s="126">
        <v>11</v>
      </c>
      <c r="F1071" s="126">
        <v>1</v>
      </c>
      <c r="G1071" s="126">
        <v>1</v>
      </c>
      <c r="H1071" s="126">
        <v>1</v>
      </c>
      <c r="I1071" s="126">
        <v>1</v>
      </c>
      <c r="J1071" s="126">
        <v>50</v>
      </c>
      <c r="M1071" s="126">
        <v>351</v>
      </c>
      <c r="N1071" s="126">
        <v>1</v>
      </c>
      <c r="P1071" s="126">
        <v>311</v>
      </c>
      <c r="R1071" s="126" t="s">
        <v>549</v>
      </c>
      <c r="S1071" s="259">
        <v>0.48</v>
      </c>
      <c r="T1071" s="259">
        <v>0</v>
      </c>
      <c r="U1071" s="68" t="s">
        <v>1955</v>
      </c>
      <c r="V1071" s="126">
        <v>1</v>
      </c>
      <c r="Z1071" s="126">
        <v>1</v>
      </c>
      <c r="AA1071" s="126">
        <v>1</v>
      </c>
      <c r="AB1071" s="126">
        <v>4</v>
      </c>
      <c r="AC1071" s="126">
        <v>6</v>
      </c>
      <c r="AD1071" s="126">
        <v>2026</v>
      </c>
    </row>
    <row r="1072" spans="3:30">
      <c r="C1072" s="126">
        <v>1065</v>
      </c>
      <c r="D1072" s="126">
        <v>88</v>
      </c>
      <c r="E1072" s="126">
        <v>10</v>
      </c>
      <c r="F1072" s="126">
        <v>1</v>
      </c>
      <c r="G1072" s="126">
        <v>1</v>
      </c>
      <c r="H1072" s="126">
        <v>1</v>
      </c>
      <c r="I1072" s="126">
        <v>1</v>
      </c>
      <c r="J1072" s="126">
        <v>50</v>
      </c>
      <c r="P1072" s="126">
        <v>311</v>
      </c>
      <c r="R1072" s="126" t="s">
        <v>549</v>
      </c>
      <c r="S1072" s="259">
        <v>0</v>
      </c>
      <c r="T1072" s="259">
        <v>1</v>
      </c>
      <c r="U1072" s="68" t="s">
        <v>1956</v>
      </c>
      <c r="V1072" s="126">
        <v>1</v>
      </c>
      <c r="Z1072" s="126">
        <v>1</v>
      </c>
      <c r="AA1072" s="126">
        <v>1</v>
      </c>
      <c r="AB1072" s="126">
        <v>4</v>
      </c>
      <c r="AC1072" s="126">
        <v>6</v>
      </c>
      <c r="AD1072" s="126">
        <v>2026</v>
      </c>
    </row>
    <row r="1073" spans="3:30">
      <c r="C1073" s="126">
        <v>1066</v>
      </c>
      <c r="D1073" s="126">
        <v>88</v>
      </c>
      <c r="E1073" s="126">
        <v>3</v>
      </c>
      <c r="F1073" s="126">
        <v>1</v>
      </c>
      <c r="G1073" s="126">
        <v>1</v>
      </c>
      <c r="H1073" s="126">
        <v>1</v>
      </c>
      <c r="I1073" s="126">
        <v>1</v>
      </c>
      <c r="J1073" s="126">
        <v>142</v>
      </c>
      <c r="M1073" s="126">
        <v>352</v>
      </c>
      <c r="N1073" s="126">
        <v>0</v>
      </c>
      <c r="P1073" s="126">
        <v>312</v>
      </c>
      <c r="R1073" s="126" t="s">
        <v>549</v>
      </c>
      <c r="S1073" s="259">
        <v>0</v>
      </c>
      <c r="T1073" s="259">
        <v>1.02</v>
      </c>
      <c r="U1073" s="68" t="s">
        <v>1957</v>
      </c>
      <c r="V1073" s="126">
        <v>1</v>
      </c>
      <c r="Z1073" s="126">
        <v>1</v>
      </c>
      <c r="AA1073" s="126">
        <v>1</v>
      </c>
      <c r="AB1073" s="126">
        <v>4</v>
      </c>
      <c r="AC1073" s="126">
        <v>6</v>
      </c>
      <c r="AD1073" s="126">
        <v>2026</v>
      </c>
    </row>
    <row r="1074" spans="3:30">
      <c r="C1074" s="126">
        <v>1067</v>
      </c>
      <c r="D1074" s="126">
        <v>88</v>
      </c>
      <c r="E1074" s="126">
        <v>11</v>
      </c>
      <c r="F1074" s="126">
        <v>1</v>
      </c>
      <c r="G1074" s="126">
        <v>1</v>
      </c>
      <c r="H1074" s="126">
        <v>1</v>
      </c>
      <c r="I1074" s="126">
        <v>1</v>
      </c>
      <c r="J1074" s="126">
        <v>142</v>
      </c>
      <c r="M1074" s="126">
        <v>352</v>
      </c>
      <c r="N1074" s="126">
        <v>1</v>
      </c>
      <c r="P1074" s="126">
        <v>312</v>
      </c>
      <c r="R1074" s="126" t="s">
        <v>549</v>
      </c>
      <c r="S1074" s="259">
        <v>1.02</v>
      </c>
      <c r="T1074" s="259">
        <v>0</v>
      </c>
      <c r="U1074" s="68" t="s">
        <v>1958</v>
      </c>
      <c r="V1074" s="126">
        <v>1</v>
      </c>
      <c r="Z1074" s="126">
        <v>1</v>
      </c>
      <c r="AA1074" s="126">
        <v>1</v>
      </c>
      <c r="AB1074" s="126">
        <v>4</v>
      </c>
      <c r="AC1074" s="126">
        <v>6</v>
      </c>
      <c r="AD1074" s="126">
        <v>2026</v>
      </c>
    </row>
    <row r="1075" spans="3:30">
      <c r="C1075" s="126">
        <v>1068</v>
      </c>
      <c r="D1075" s="126">
        <v>88</v>
      </c>
      <c r="E1075" s="126">
        <v>10</v>
      </c>
      <c r="F1075" s="126">
        <v>1</v>
      </c>
      <c r="G1075" s="126">
        <v>1</v>
      </c>
      <c r="H1075" s="126">
        <v>1</v>
      </c>
      <c r="I1075" s="126">
        <v>1</v>
      </c>
      <c r="J1075" s="126">
        <v>142</v>
      </c>
      <c r="P1075" s="126">
        <v>312</v>
      </c>
      <c r="R1075" s="126" t="s">
        <v>549</v>
      </c>
      <c r="S1075" s="259">
        <v>0</v>
      </c>
      <c r="T1075" s="259">
        <v>1.89</v>
      </c>
      <c r="U1075" s="68" t="s">
        <v>1959</v>
      </c>
      <c r="V1075" s="126">
        <v>1</v>
      </c>
      <c r="Z1075" s="126">
        <v>1</v>
      </c>
      <c r="AA1075" s="126">
        <v>1</v>
      </c>
      <c r="AB1075" s="126">
        <v>4</v>
      </c>
      <c r="AC1075" s="126">
        <v>6</v>
      </c>
      <c r="AD1075" s="126">
        <v>2026</v>
      </c>
    </row>
    <row r="1076" spans="3:30">
      <c r="C1076" s="126">
        <v>1069</v>
      </c>
      <c r="D1076" s="126">
        <v>88</v>
      </c>
      <c r="E1076" s="126">
        <v>3</v>
      </c>
      <c r="F1076" s="126">
        <v>1</v>
      </c>
      <c r="G1076" s="126">
        <v>1</v>
      </c>
      <c r="H1076" s="126">
        <v>1</v>
      </c>
      <c r="I1076" s="126">
        <v>1</v>
      </c>
      <c r="J1076" s="126">
        <v>144</v>
      </c>
      <c r="M1076" s="126">
        <v>353</v>
      </c>
      <c r="N1076" s="126">
        <v>0</v>
      </c>
      <c r="P1076" s="126">
        <v>313</v>
      </c>
      <c r="R1076" s="126" t="s">
        <v>549</v>
      </c>
      <c r="S1076" s="259">
        <v>0</v>
      </c>
      <c r="T1076" s="259">
        <v>0.6</v>
      </c>
      <c r="U1076" s="68" t="s">
        <v>1960</v>
      </c>
      <c r="V1076" s="126">
        <v>1</v>
      </c>
      <c r="Z1076" s="126">
        <v>1</v>
      </c>
      <c r="AA1076" s="126">
        <v>1</v>
      </c>
      <c r="AB1076" s="126">
        <v>4</v>
      </c>
      <c r="AC1076" s="126">
        <v>6</v>
      </c>
      <c r="AD1076" s="126">
        <v>2026</v>
      </c>
    </row>
    <row r="1077" spans="3:30">
      <c r="C1077" s="126">
        <v>1070</v>
      </c>
      <c r="D1077" s="126">
        <v>88</v>
      </c>
      <c r="E1077" s="126">
        <v>11</v>
      </c>
      <c r="F1077" s="126">
        <v>1</v>
      </c>
      <c r="G1077" s="126">
        <v>1</v>
      </c>
      <c r="H1077" s="126">
        <v>1</v>
      </c>
      <c r="I1077" s="126">
        <v>1</v>
      </c>
      <c r="J1077" s="126">
        <v>144</v>
      </c>
      <c r="M1077" s="126">
        <v>353</v>
      </c>
      <c r="N1077" s="126">
        <v>1</v>
      </c>
      <c r="P1077" s="126">
        <v>313</v>
      </c>
      <c r="R1077" s="126" t="s">
        <v>549</v>
      </c>
      <c r="S1077" s="259">
        <v>0.6</v>
      </c>
      <c r="T1077" s="259">
        <v>0</v>
      </c>
      <c r="U1077" s="68" t="s">
        <v>1961</v>
      </c>
      <c r="V1077" s="126">
        <v>1</v>
      </c>
      <c r="Z1077" s="126">
        <v>1</v>
      </c>
      <c r="AA1077" s="126">
        <v>1</v>
      </c>
      <c r="AB1077" s="126">
        <v>4</v>
      </c>
      <c r="AC1077" s="126">
        <v>6</v>
      </c>
      <c r="AD1077" s="126">
        <v>2026</v>
      </c>
    </row>
    <row r="1078" spans="3:30">
      <c r="C1078" s="126">
        <v>1071</v>
      </c>
      <c r="D1078" s="126">
        <v>88</v>
      </c>
      <c r="E1078" s="126">
        <v>10</v>
      </c>
      <c r="F1078" s="126">
        <v>1</v>
      </c>
      <c r="G1078" s="126">
        <v>1</v>
      </c>
      <c r="H1078" s="126">
        <v>1</v>
      </c>
      <c r="I1078" s="126">
        <v>1</v>
      </c>
      <c r="J1078" s="126">
        <v>144</v>
      </c>
      <c r="P1078" s="126">
        <v>313</v>
      </c>
      <c r="R1078" s="126" t="s">
        <v>549</v>
      </c>
      <c r="S1078" s="259">
        <v>0</v>
      </c>
      <c r="T1078" s="259">
        <v>1.5</v>
      </c>
      <c r="U1078" s="68" t="s">
        <v>1962</v>
      </c>
      <c r="V1078" s="126">
        <v>1</v>
      </c>
      <c r="Z1078" s="126">
        <v>1</v>
      </c>
      <c r="AA1078" s="126">
        <v>1</v>
      </c>
      <c r="AB1078" s="126">
        <v>4</v>
      </c>
      <c r="AC1078" s="126">
        <v>6</v>
      </c>
      <c r="AD1078" s="126">
        <v>2026</v>
      </c>
    </row>
    <row r="1079" spans="3:30">
      <c r="C1079" s="126">
        <v>1072</v>
      </c>
      <c r="D1079" s="126">
        <v>88</v>
      </c>
      <c r="E1079" s="126">
        <v>3</v>
      </c>
      <c r="F1079" s="126">
        <v>1</v>
      </c>
      <c r="G1079" s="126">
        <v>1</v>
      </c>
      <c r="H1079" s="126">
        <v>1</v>
      </c>
      <c r="I1079" s="126">
        <v>1</v>
      </c>
      <c r="J1079" s="126">
        <v>29</v>
      </c>
      <c r="M1079" s="126">
        <v>354</v>
      </c>
      <c r="N1079" s="126">
        <v>0</v>
      </c>
      <c r="P1079" s="126">
        <v>314</v>
      </c>
      <c r="R1079" s="126" t="s">
        <v>549</v>
      </c>
      <c r="S1079" s="259">
        <v>0</v>
      </c>
      <c r="T1079" s="259">
        <v>8.4600000000000009</v>
      </c>
      <c r="U1079" s="68" t="s">
        <v>1963</v>
      </c>
      <c r="V1079" s="126">
        <v>1</v>
      </c>
      <c r="Z1079" s="126">
        <v>1</v>
      </c>
      <c r="AA1079" s="126">
        <v>1</v>
      </c>
      <c r="AB1079" s="126">
        <v>4</v>
      </c>
      <c r="AC1079" s="126">
        <v>6</v>
      </c>
      <c r="AD1079" s="126">
        <v>2026</v>
      </c>
    </row>
    <row r="1080" spans="3:30">
      <c r="C1080" s="126">
        <v>1073</v>
      </c>
      <c r="D1080" s="126">
        <v>88</v>
      </c>
      <c r="E1080" s="126">
        <v>11</v>
      </c>
      <c r="F1080" s="126">
        <v>1</v>
      </c>
      <c r="G1080" s="126">
        <v>1</v>
      </c>
      <c r="H1080" s="126">
        <v>1</v>
      </c>
      <c r="I1080" s="126">
        <v>1</v>
      </c>
      <c r="J1080" s="126">
        <v>29</v>
      </c>
      <c r="M1080" s="126">
        <v>354</v>
      </c>
      <c r="N1080" s="126">
        <v>1</v>
      </c>
      <c r="P1080" s="126">
        <v>314</v>
      </c>
      <c r="R1080" s="126" t="s">
        <v>549</v>
      </c>
      <c r="S1080" s="259">
        <v>8.4600000000000009</v>
      </c>
      <c r="T1080" s="259">
        <v>0</v>
      </c>
      <c r="U1080" s="68" t="s">
        <v>1964</v>
      </c>
      <c r="V1080" s="126">
        <v>1</v>
      </c>
      <c r="Z1080" s="126">
        <v>1</v>
      </c>
      <c r="AA1080" s="126">
        <v>1</v>
      </c>
      <c r="AB1080" s="126">
        <v>4</v>
      </c>
      <c r="AC1080" s="126">
        <v>6</v>
      </c>
      <c r="AD1080" s="126">
        <v>2026</v>
      </c>
    </row>
    <row r="1081" spans="3:30">
      <c r="C1081" s="126">
        <v>1074</v>
      </c>
      <c r="D1081" s="126">
        <v>88</v>
      </c>
      <c r="E1081" s="126">
        <v>10</v>
      </c>
      <c r="F1081" s="126">
        <v>1</v>
      </c>
      <c r="G1081" s="126">
        <v>1</v>
      </c>
      <c r="H1081" s="126">
        <v>1</v>
      </c>
      <c r="I1081" s="126">
        <v>1</v>
      </c>
      <c r="J1081" s="126">
        <v>29</v>
      </c>
      <c r="P1081" s="126">
        <v>314</v>
      </c>
      <c r="R1081" s="126" t="s">
        <v>549</v>
      </c>
      <c r="S1081" s="259">
        <v>0</v>
      </c>
      <c r="T1081" s="259">
        <v>10</v>
      </c>
      <c r="U1081" s="68" t="s">
        <v>1965</v>
      </c>
      <c r="V1081" s="126">
        <v>1</v>
      </c>
      <c r="Z1081" s="126">
        <v>1</v>
      </c>
      <c r="AA1081" s="126">
        <v>1</v>
      </c>
      <c r="AB1081" s="126">
        <v>4</v>
      </c>
      <c r="AC1081" s="126">
        <v>6</v>
      </c>
      <c r="AD1081" s="126">
        <v>2026</v>
      </c>
    </row>
    <row r="1082" spans="3:30">
      <c r="C1082" s="126">
        <v>1075</v>
      </c>
      <c r="D1082" s="126">
        <v>88</v>
      </c>
      <c r="E1082" s="126">
        <v>3</v>
      </c>
      <c r="F1082" s="126">
        <v>1</v>
      </c>
      <c r="G1082" s="126">
        <v>1</v>
      </c>
      <c r="H1082" s="126">
        <v>1</v>
      </c>
      <c r="I1082" s="126">
        <v>1</v>
      </c>
      <c r="J1082" s="126">
        <v>37</v>
      </c>
      <c r="M1082" s="126">
        <v>355</v>
      </c>
      <c r="N1082" s="126">
        <v>0</v>
      </c>
      <c r="P1082" s="126">
        <v>315</v>
      </c>
      <c r="R1082" s="126" t="s">
        <v>549</v>
      </c>
      <c r="S1082" s="259">
        <v>0</v>
      </c>
      <c r="T1082" s="259">
        <v>0.66</v>
      </c>
      <c r="U1082" s="68" t="s">
        <v>1966</v>
      </c>
      <c r="V1082" s="126">
        <v>1</v>
      </c>
      <c r="Z1082" s="126">
        <v>1</v>
      </c>
      <c r="AA1082" s="126">
        <v>1</v>
      </c>
      <c r="AB1082" s="126">
        <v>4</v>
      </c>
      <c r="AC1082" s="126">
        <v>6</v>
      </c>
      <c r="AD1082" s="126">
        <v>2026</v>
      </c>
    </row>
    <row r="1083" spans="3:30">
      <c r="C1083" s="126">
        <v>1076</v>
      </c>
      <c r="D1083" s="126">
        <v>88</v>
      </c>
      <c r="E1083" s="126">
        <v>11</v>
      </c>
      <c r="F1083" s="126">
        <v>1</v>
      </c>
      <c r="G1083" s="126">
        <v>1</v>
      </c>
      <c r="H1083" s="126">
        <v>1</v>
      </c>
      <c r="I1083" s="126">
        <v>1</v>
      </c>
      <c r="J1083" s="126">
        <v>37</v>
      </c>
      <c r="M1083" s="126">
        <v>355</v>
      </c>
      <c r="N1083" s="126">
        <v>1</v>
      </c>
      <c r="P1083" s="126">
        <v>315</v>
      </c>
      <c r="R1083" s="126" t="s">
        <v>549</v>
      </c>
      <c r="S1083" s="259">
        <v>0.66</v>
      </c>
      <c r="T1083" s="259">
        <v>0</v>
      </c>
      <c r="U1083" s="68" t="s">
        <v>1967</v>
      </c>
      <c r="V1083" s="126">
        <v>1</v>
      </c>
      <c r="Z1083" s="126">
        <v>1</v>
      </c>
      <c r="AA1083" s="126">
        <v>1</v>
      </c>
      <c r="AB1083" s="126">
        <v>4</v>
      </c>
      <c r="AC1083" s="126">
        <v>6</v>
      </c>
      <c r="AD1083" s="126">
        <v>2026</v>
      </c>
    </row>
    <row r="1084" spans="3:30">
      <c r="C1084" s="126">
        <v>1077</v>
      </c>
      <c r="D1084" s="126">
        <v>88</v>
      </c>
      <c r="E1084" s="126">
        <v>10</v>
      </c>
      <c r="F1084" s="126">
        <v>1</v>
      </c>
      <c r="G1084" s="126">
        <v>1</v>
      </c>
      <c r="H1084" s="126">
        <v>1</v>
      </c>
      <c r="I1084" s="126">
        <v>1</v>
      </c>
      <c r="J1084" s="126">
        <v>37</v>
      </c>
      <c r="P1084" s="126">
        <v>315</v>
      </c>
      <c r="R1084" s="126" t="s">
        <v>549</v>
      </c>
      <c r="S1084" s="259">
        <v>0</v>
      </c>
      <c r="T1084" s="259">
        <v>2</v>
      </c>
      <c r="U1084" s="68" t="s">
        <v>1968</v>
      </c>
      <c r="V1084" s="126">
        <v>1</v>
      </c>
      <c r="Z1084" s="126">
        <v>1</v>
      </c>
      <c r="AA1084" s="126">
        <v>1</v>
      </c>
      <c r="AB1084" s="126">
        <v>4</v>
      </c>
      <c r="AC1084" s="126">
        <v>6</v>
      </c>
      <c r="AD1084" s="126">
        <v>2026</v>
      </c>
    </row>
    <row r="1085" spans="3:30">
      <c r="C1085" s="126">
        <v>1078</v>
      </c>
      <c r="D1085" s="126">
        <v>88</v>
      </c>
      <c r="E1085" s="126">
        <v>3</v>
      </c>
      <c r="F1085" s="126">
        <v>1</v>
      </c>
      <c r="G1085" s="126">
        <v>1</v>
      </c>
      <c r="H1085" s="126">
        <v>1</v>
      </c>
      <c r="I1085" s="126">
        <v>1</v>
      </c>
      <c r="J1085" s="126">
        <v>49</v>
      </c>
      <c r="M1085" s="126">
        <v>356</v>
      </c>
      <c r="N1085" s="126">
        <v>0</v>
      </c>
      <c r="P1085" s="126">
        <v>316</v>
      </c>
      <c r="R1085" s="126" t="s">
        <v>549</v>
      </c>
      <c r="S1085" s="259">
        <v>0</v>
      </c>
      <c r="T1085" s="259">
        <v>0.84000000000000008</v>
      </c>
      <c r="U1085" s="68" t="s">
        <v>1969</v>
      </c>
      <c r="V1085" s="126">
        <v>1</v>
      </c>
      <c r="Z1085" s="126">
        <v>1</v>
      </c>
      <c r="AA1085" s="126">
        <v>1</v>
      </c>
      <c r="AB1085" s="126">
        <v>4</v>
      </c>
      <c r="AC1085" s="126">
        <v>6</v>
      </c>
      <c r="AD1085" s="126">
        <v>2026</v>
      </c>
    </row>
    <row r="1086" spans="3:30">
      <c r="C1086" s="126">
        <v>1079</v>
      </c>
      <c r="D1086" s="126">
        <v>88</v>
      </c>
      <c r="E1086" s="126">
        <v>11</v>
      </c>
      <c r="F1086" s="126">
        <v>1</v>
      </c>
      <c r="G1086" s="126">
        <v>1</v>
      </c>
      <c r="H1086" s="126">
        <v>1</v>
      </c>
      <c r="I1086" s="126">
        <v>1</v>
      </c>
      <c r="J1086" s="126">
        <v>49</v>
      </c>
      <c r="M1086" s="126">
        <v>356</v>
      </c>
      <c r="N1086" s="126">
        <v>1</v>
      </c>
      <c r="P1086" s="126">
        <v>316</v>
      </c>
      <c r="R1086" s="126" t="s">
        <v>549</v>
      </c>
      <c r="S1086" s="259">
        <v>0.84000000000000008</v>
      </c>
      <c r="T1086" s="259">
        <v>0</v>
      </c>
      <c r="U1086" s="68" t="s">
        <v>1970</v>
      </c>
      <c r="V1086" s="126">
        <v>1</v>
      </c>
      <c r="Z1086" s="126">
        <v>1</v>
      </c>
      <c r="AA1086" s="126">
        <v>1</v>
      </c>
      <c r="AB1086" s="126">
        <v>4</v>
      </c>
      <c r="AC1086" s="126">
        <v>6</v>
      </c>
      <c r="AD1086" s="126">
        <v>2026</v>
      </c>
    </row>
    <row r="1087" spans="3:30">
      <c r="C1087" s="126">
        <v>1080</v>
      </c>
      <c r="D1087" s="126">
        <v>88</v>
      </c>
      <c r="E1087" s="126">
        <v>10</v>
      </c>
      <c r="F1087" s="126">
        <v>1</v>
      </c>
      <c r="G1087" s="126">
        <v>1</v>
      </c>
      <c r="H1087" s="126">
        <v>1</v>
      </c>
      <c r="I1087" s="126">
        <v>1</v>
      </c>
      <c r="J1087" s="126">
        <v>49</v>
      </c>
      <c r="P1087" s="126">
        <v>316</v>
      </c>
      <c r="R1087" s="126" t="s">
        <v>549</v>
      </c>
      <c r="S1087" s="259">
        <v>0</v>
      </c>
      <c r="T1087" s="259">
        <v>1.1399999999999999</v>
      </c>
      <c r="U1087" s="68" t="s">
        <v>1971</v>
      </c>
      <c r="V1087" s="126">
        <v>1</v>
      </c>
      <c r="Z1087" s="126">
        <v>1</v>
      </c>
      <c r="AA1087" s="126">
        <v>1</v>
      </c>
      <c r="AB1087" s="126">
        <v>4</v>
      </c>
      <c r="AC1087" s="126">
        <v>6</v>
      </c>
      <c r="AD1087" s="126">
        <v>2026</v>
      </c>
    </row>
    <row r="1088" spans="3:30">
      <c r="C1088" s="126">
        <v>1081</v>
      </c>
      <c r="D1088" s="126">
        <v>88</v>
      </c>
      <c r="E1088" s="126">
        <v>3</v>
      </c>
      <c r="F1088" s="126">
        <v>1</v>
      </c>
      <c r="G1088" s="126">
        <v>1</v>
      </c>
      <c r="H1088" s="126">
        <v>1</v>
      </c>
      <c r="I1088" s="126">
        <v>1</v>
      </c>
      <c r="J1088" s="126">
        <v>108</v>
      </c>
      <c r="M1088" s="126">
        <v>357</v>
      </c>
      <c r="N1088" s="126">
        <v>0</v>
      </c>
      <c r="P1088" s="126">
        <v>317</v>
      </c>
      <c r="R1088" s="126" t="s">
        <v>549</v>
      </c>
      <c r="S1088" s="259">
        <v>0</v>
      </c>
      <c r="T1088" s="259">
        <v>2.7</v>
      </c>
      <c r="U1088" s="68" t="s">
        <v>1972</v>
      </c>
      <c r="V1088" s="126">
        <v>1</v>
      </c>
      <c r="Z1088" s="126">
        <v>1</v>
      </c>
      <c r="AA1088" s="126">
        <v>1</v>
      </c>
      <c r="AB1088" s="126">
        <v>4</v>
      </c>
      <c r="AC1088" s="126">
        <v>6</v>
      </c>
      <c r="AD1088" s="126">
        <v>2026</v>
      </c>
    </row>
    <row r="1089" spans="3:30">
      <c r="C1089" s="126">
        <v>1082</v>
      </c>
      <c r="D1089" s="126">
        <v>88</v>
      </c>
      <c r="E1089" s="126">
        <v>11</v>
      </c>
      <c r="F1089" s="126">
        <v>1</v>
      </c>
      <c r="G1089" s="126">
        <v>1</v>
      </c>
      <c r="H1089" s="126">
        <v>1</v>
      </c>
      <c r="I1089" s="126">
        <v>1</v>
      </c>
      <c r="J1089" s="126">
        <v>108</v>
      </c>
      <c r="M1089" s="126">
        <v>357</v>
      </c>
      <c r="N1089" s="126">
        <v>1</v>
      </c>
      <c r="P1089" s="126">
        <v>317</v>
      </c>
      <c r="R1089" s="126" t="s">
        <v>549</v>
      </c>
      <c r="S1089" s="259">
        <v>2.7</v>
      </c>
      <c r="T1089" s="259">
        <v>0</v>
      </c>
      <c r="U1089" s="68" t="s">
        <v>1973</v>
      </c>
      <c r="V1089" s="126">
        <v>1</v>
      </c>
      <c r="Z1089" s="126">
        <v>1</v>
      </c>
      <c r="AA1089" s="126">
        <v>1</v>
      </c>
      <c r="AB1089" s="126">
        <v>4</v>
      </c>
      <c r="AC1089" s="126">
        <v>6</v>
      </c>
      <c r="AD1089" s="126">
        <v>2026</v>
      </c>
    </row>
    <row r="1090" spans="3:30">
      <c r="C1090" s="126">
        <v>1083</v>
      </c>
      <c r="D1090" s="126">
        <v>88</v>
      </c>
      <c r="E1090" s="126">
        <v>10</v>
      </c>
      <c r="F1090" s="126">
        <v>1</v>
      </c>
      <c r="G1090" s="126">
        <v>1</v>
      </c>
      <c r="H1090" s="126">
        <v>1</v>
      </c>
      <c r="I1090" s="126">
        <v>1</v>
      </c>
      <c r="J1090" s="126">
        <v>108</v>
      </c>
      <c r="P1090" s="126">
        <v>317</v>
      </c>
      <c r="R1090" s="126" t="s">
        <v>549</v>
      </c>
      <c r="S1090" s="259">
        <v>0</v>
      </c>
      <c r="T1090" s="259">
        <v>3</v>
      </c>
      <c r="U1090" s="68" t="s">
        <v>1974</v>
      </c>
      <c r="V1090" s="126">
        <v>1</v>
      </c>
      <c r="Z1090" s="126">
        <v>1</v>
      </c>
      <c r="AA1090" s="126">
        <v>1</v>
      </c>
      <c r="AB1090" s="126">
        <v>4</v>
      </c>
      <c r="AC1090" s="126">
        <v>6</v>
      </c>
      <c r="AD1090" s="126">
        <v>2026</v>
      </c>
    </row>
    <row r="1091" spans="3:30">
      <c r="C1091" s="126">
        <v>1084</v>
      </c>
      <c r="D1091" s="126">
        <v>88</v>
      </c>
      <c r="E1091" s="126">
        <v>3</v>
      </c>
      <c r="F1091" s="126">
        <v>1</v>
      </c>
      <c r="G1091" s="126">
        <v>1</v>
      </c>
      <c r="H1091" s="126">
        <v>1</v>
      </c>
      <c r="I1091" s="126">
        <v>1</v>
      </c>
      <c r="J1091" s="126">
        <v>153</v>
      </c>
      <c r="M1091" s="126">
        <v>358</v>
      </c>
      <c r="N1091" s="126">
        <v>0</v>
      </c>
      <c r="P1091" s="126">
        <v>318</v>
      </c>
      <c r="R1091" s="126" t="s">
        <v>549</v>
      </c>
      <c r="S1091" s="259">
        <v>0</v>
      </c>
      <c r="T1091" s="259">
        <v>6.6</v>
      </c>
      <c r="U1091" s="68" t="s">
        <v>1975</v>
      </c>
      <c r="V1091" s="126">
        <v>1</v>
      </c>
      <c r="Z1091" s="126">
        <v>1</v>
      </c>
      <c r="AA1091" s="126">
        <v>1</v>
      </c>
      <c r="AB1091" s="126">
        <v>4</v>
      </c>
      <c r="AC1091" s="126">
        <v>6</v>
      </c>
      <c r="AD1091" s="126">
        <v>2026</v>
      </c>
    </row>
    <row r="1092" spans="3:30">
      <c r="C1092" s="126">
        <v>1085</v>
      </c>
      <c r="D1092" s="126">
        <v>88</v>
      </c>
      <c r="E1092" s="126">
        <v>11</v>
      </c>
      <c r="F1092" s="126">
        <v>1</v>
      </c>
      <c r="G1092" s="126">
        <v>1</v>
      </c>
      <c r="H1092" s="126">
        <v>1</v>
      </c>
      <c r="I1092" s="126">
        <v>1</v>
      </c>
      <c r="J1092" s="126">
        <v>153</v>
      </c>
      <c r="M1092" s="126">
        <v>358</v>
      </c>
      <c r="N1092" s="126">
        <v>1</v>
      </c>
      <c r="P1092" s="126">
        <v>318</v>
      </c>
      <c r="R1092" s="126" t="s">
        <v>549</v>
      </c>
      <c r="S1092" s="259">
        <v>6.6</v>
      </c>
      <c r="T1092" s="259">
        <v>0</v>
      </c>
      <c r="U1092" s="68" t="s">
        <v>1976</v>
      </c>
      <c r="V1092" s="126">
        <v>1</v>
      </c>
      <c r="Z1092" s="126">
        <v>1</v>
      </c>
      <c r="AA1092" s="126">
        <v>1</v>
      </c>
      <c r="AB1092" s="126">
        <v>4</v>
      </c>
      <c r="AC1092" s="126">
        <v>6</v>
      </c>
      <c r="AD1092" s="126">
        <v>2026</v>
      </c>
    </row>
    <row r="1093" spans="3:30">
      <c r="C1093" s="126">
        <v>1086</v>
      </c>
      <c r="D1093" s="126">
        <v>88</v>
      </c>
      <c r="E1093" s="126">
        <v>10</v>
      </c>
      <c r="F1093" s="126">
        <v>1</v>
      </c>
      <c r="G1093" s="126">
        <v>1</v>
      </c>
      <c r="H1093" s="126">
        <v>1</v>
      </c>
      <c r="I1093" s="126">
        <v>1</v>
      </c>
      <c r="J1093" s="126">
        <v>153</v>
      </c>
      <c r="P1093" s="126">
        <v>318</v>
      </c>
      <c r="R1093" s="126" t="s">
        <v>549</v>
      </c>
      <c r="S1093" s="259">
        <v>0</v>
      </c>
      <c r="T1093" s="259">
        <v>7.5</v>
      </c>
      <c r="U1093" s="68" t="s">
        <v>1977</v>
      </c>
      <c r="V1093" s="126">
        <v>1</v>
      </c>
      <c r="Z1093" s="126">
        <v>1</v>
      </c>
      <c r="AA1093" s="126">
        <v>1</v>
      </c>
      <c r="AB1093" s="126">
        <v>4</v>
      </c>
      <c r="AC1093" s="126">
        <v>6</v>
      </c>
      <c r="AD1093" s="126">
        <v>2026</v>
      </c>
    </row>
    <row r="1094" spans="3:30">
      <c r="C1094" s="126">
        <v>1087</v>
      </c>
      <c r="D1094" s="126">
        <v>88</v>
      </c>
      <c r="E1094" s="126">
        <v>3</v>
      </c>
      <c r="F1094" s="126">
        <v>1</v>
      </c>
      <c r="G1094" s="126">
        <v>1</v>
      </c>
      <c r="H1094" s="126">
        <v>1</v>
      </c>
      <c r="I1094" s="126">
        <v>1</v>
      </c>
      <c r="J1094" s="126">
        <v>181</v>
      </c>
      <c r="M1094" s="126">
        <v>359</v>
      </c>
      <c r="N1094" s="126">
        <v>0</v>
      </c>
      <c r="P1094" s="126">
        <v>319</v>
      </c>
      <c r="R1094" s="126" t="s">
        <v>549</v>
      </c>
      <c r="S1094" s="259">
        <v>0</v>
      </c>
      <c r="T1094" s="259">
        <v>1</v>
      </c>
      <c r="U1094" s="68" t="s">
        <v>1978</v>
      </c>
      <c r="V1094" s="126">
        <v>1</v>
      </c>
      <c r="Z1094" s="126">
        <v>1</v>
      </c>
      <c r="AA1094" s="126">
        <v>1</v>
      </c>
      <c r="AB1094" s="126">
        <v>4</v>
      </c>
      <c r="AC1094" s="126">
        <v>6</v>
      </c>
      <c r="AD1094" s="126">
        <v>2026</v>
      </c>
    </row>
    <row r="1095" spans="3:30">
      <c r="C1095" s="126">
        <v>1088</v>
      </c>
      <c r="D1095" s="126">
        <v>88</v>
      </c>
      <c r="E1095" s="126">
        <v>11</v>
      </c>
      <c r="F1095" s="126">
        <v>1</v>
      </c>
      <c r="G1095" s="126">
        <v>1</v>
      </c>
      <c r="H1095" s="126">
        <v>1</v>
      </c>
      <c r="I1095" s="126">
        <v>1</v>
      </c>
      <c r="J1095" s="126">
        <v>181</v>
      </c>
      <c r="M1095" s="126">
        <v>359</v>
      </c>
      <c r="N1095" s="126">
        <v>1</v>
      </c>
      <c r="P1095" s="126">
        <v>319</v>
      </c>
      <c r="R1095" s="126" t="s">
        <v>549</v>
      </c>
      <c r="S1095" s="259">
        <v>1</v>
      </c>
      <c r="T1095" s="259">
        <v>0</v>
      </c>
      <c r="U1095" s="68" t="s">
        <v>1979</v>
      </c>
      <c r="V1095" s="126">
        <v>1</v>
      </c>
      <c r="Z1095" s="126">
        <v>1</v>
      </c>
      <c r="AA1095" s="126">
        <v>1</v>
      </c>
      <c r="AB1095" s="126">
        <v>4</v>
      </c>
      <c r="AC1095" s="126">
        <v>6</v>
      </c>
      <c r="AD1095" s="126">
        <v>2026</v>
      </c>
    </row>
    <row r="1096" spans="3:30">
      <c r="C1096" s="126">
        <v>1089</v>
      </c>
      <c r="D1096" s="126">
        <v>88</v>
      </c>
      <c r="E1096" s="126">
        <v>10</v>
      </c>
      <c r="F1096" s="126">
        <v>1</v>
      </c>
      <c r="G1096" s="126">
        <v>1</v>
      </c>
      <c r="H1096" s="126">
        <v>1</v>
      </c>
      <c r="I1096" s="126">
        <v>1</v>
      </c>
      <c r="J1096" s="126">
        <v>181</v>
      </c>
      <c r="P1096" s="126">
        <v>319</v>
      </c>
      <c r="R1096" s="126" t="s">
        <v>549</v>
      </c>
      <c r="S1096" s="259">
        <v>0</v>
      </c>
      <c r="T1096" s="259">
        <v>1.5</v>
      </c>
      <c r="U1096" s="68" t="s">
        <v>1980</v>
      </c>
      <c r="V1096" s="126">
        <v>1</v>
      </c>
      <c r="Z1096" s="126">
        <v>1</v>
      </c>
      <c r="AA1096" s="126">
        <v>1</v>
      </c>
      <c r="AB1096" s="126">
        <v>4</v>
      </c>
      <c r="AC1096" s="126">
        <v>6</v>
      </c>
      <c r="AD1096" s="126">
        <v>2026</v>
      </c>
    </row>
    <row r="1097" spans="3:30">
      <c r="C1097" s="126">
        <v>1090</v>
      </c>
      <c r="D1097" s="126">
        <v>88</v>
      </c>
      <c r="E1097" s="126">
        <v>3</v>
      </c>
      <c r="F1097" s="126">
        <v>1</v>
      </c>
      <c r="G1097" s="126">
        <v>1</v>
      </c>
      <c r="H1097" s="126">
        <v>1</v>
      </c>
      <c r="I1097" s="126">
        <v>1</v>
      </c>
      <c r="J1097" s="126">
        <v>7</v>
      </c>
      <c r="M1097" s="126">
        <v>361</v>
      </c>
      <c r="N1097" s="126">
        <v>0</v>
      </c>
      <c r="P1097" s="126">
        <v>321</v>
      </c>
      <c r="R1097" s="126" t="s">
        <v>549</v>
      </c>
      <c r="S1097" s="259">
        <v>0</v>
      </c>
      <c r="T1097" s="259">
        <v>1.79</v>
      </c>
      <c r="U1097" s="68" t="s">
        <v>1981</v>
      </c>
      <c r="V1097" s="126">
        <v>1</v>
      </c>
      <c r="Z1097" s="126">
        <v>1</v>
      </c>
      <c r="AA1097" s="126">
        <v>1</v>
      </c>
      <c r="AB1097" s="126">
        <v>4</v>
      </c>
      <c r="AC1097" s="126">
        <v>6</v>
      </c>
      <c r="AD1097" s="126">
        <v>2026</v>
      </c>
    </row>
    <row r="1098" spans="3:30">
      <c r="C1098" s="126">
        <v>1091</v>
      </c>
      <c r="D1098" s="126">
        <v>88</v>
      </c>
      <c r="E1098" s="126">
        <v>11</v>
      </c>
      <c r="F1098" s="126">
        <v>1</v>
      </c>
      <c r="G1098" s="126">
        <v>1</v>
      </c>
      <c r="H1098" s="126">
        <v>1</v>
      </c>
      <c r="I1098" s="126">
        <v>1</v>
      </c>
      <c r="J1098" s="126">
        <v>7</v>
      </c>
      <c r="M1098" s="126">
        <v>361</v>
      </c>
      <c r="N1098" s="126">
        <v>1</v>
      </c>
      <c r="P1098" s="126">
        <v>321</v>
      </c>
      <c r="R1098" s="126" t="s">
        <v>549</v>
      </c>
      <c r="S1098" s="259">
        <v>1.79</v>
      </c>
      <c r="T1098" s="259">
        <v>0</v>
      </c>
      <c r="U1098" s="68" t="s">
        <v>1982</v>
      </c>
      <c r="V1098" s="126">
        <v>1</v>
      </c>
      <c r="Z1098" s="126">
        <v>1</v>
      </c>
      <c r="AA1098" s="126">
        <v>1</v>
      </c>
      <c r="AB1098" s="126">
        <v>4</v>
      </c>
      <c r="AC1098" s="126">
        <v>6</v>
      </c>
      <c r="AD1098" s="126">
        <v>2026</v>
      </c>
    </row>
    <row r="1099" spans="3:30">
      <c r="C1099" s="126">
        <v>1092</v>
      </c>
      <c r="D1099" s="126">
        <v>88</v>
      </c>
      <c r="E1099" s="126">
        <v>10</v>
      </c>
      <c r="F1099" s="126">
        <v>1</v>
      </c>
      <c r="G1099" s="126">
        <v>1</v>
      </c>
      <c r="H1099" s="126">
        <v>1</v>
      </c>
      <c r="I1099" s="126">
        <v>1</v>
      </c>
      <c r="J1099" s="126">
        <v>7</v>
      </c>
      <c r="P1099" s="126">
        <v>321</v>
      </c>
      <c r="R1099" s="126" t="s">
        <v>549</v>
      </c>
      <c r="S1099" s="259">
        <v>0</v>
      </c>
      <c r="T1099" s="259">
        <v>2.5</v>
      </c>
      <c r="U1099" s="68" t="s">
        <v>1983</v>
      </c>
      <c r="V1099" s="126">
        <v>1</v>
      </c>
      <c r="Z1099" s="126">
        <v>1</v>
      </c>
      <c r="AA1099" s="126">
        <v>1</v>
      </c>
      <c r="AB1099" s="126">
        <v>4</v>
      </c>
      <c r="AC1099" s="126">
        <v>6</v>
      </c>
      <c r="AD1099" s="126">
        <v>2026</v>
      </c>
    </row>
    <row r="1100" spans="3:30">
      <c r="C1100" s="126">
        <v>1093</v>
      </c>
      <c r="D1100" s="126">
        <v>88</v>
      </c>
      <c r="E1100" s="126">
        <v>3</v>
      </c>
      <c r="F1100" s="126">
        <v>1</v>
      </c>
      <c r="G1100" s="126">
        <v>1</v>
      </c>
      <c r="H1100" s="126">
        <v>1</v>
      </c>
      <c r="I1100" s="126">
        <v>1</v>
      </c>
      <c r="J1100" s="126">
        <v>13</v>
      </c>
      <c r="M1100" s="126">
        <v>362</v>
      </c>
      <c r="N1100" s="126">
        <v>0</v>
      </c>
      <c r="P1100" s="126">
        <v>322</v>
      </c>
      <c r="R1100" s="126" t="s">
        <v>549</v>
      </c>
      <c r="S1100" s="259">
        <v>0</v>
      </c>
      <c r="T1100" s="259">
        <v>5.3</v>
      </c>
      <c r="U1100" s="68" t="s">
        <v>1984</v>
      </c>
      <c r="V1100" s="126">
        <v>1</v>
      </c>
      <c r="Z1100" s="126">
        <v>1</v>
      </c>
      <c r="AA1100" s="126">
        <v>1</v>
      </c>
      <c r="AB1100" s="126">
        <v>4</v>
      </c>
      <c r="AC1100" s="126">
        <v>6</v>
      </c>
      <c r="AD1100" s="126">
        <v>2026</v>
      </c>
    </row>
    <row r="1101" spans="3:30">
      <c r="C1101" s="126">
        <v>1094</v>
      </c>
      <c r="D1101" s="126">
        <v>88</v>
      </c>
      <c r="E1101" s="126">
        <v>11</v>
      </c>
      <c r="F1101" s="126">
        <v>1</v>
      </c>
      <c r="G1101" s="126">
        <v>1</v>
      </c>
      <c r="H1101" s="126">
        <v>1</v>
      </c>
      <c r="I1101" s="126">
        <v>1</v>
      </c>
      <c r="J1101" s="126">
        <v>13</v>
      </c>
      <c r="M1101" s="126">
        <v>362</v>
      </c>
      <c r="N1101" s="126">
        <v>1</v>
      </c>
      <c r="P1101" s="126">
        <v>322</v>
      </c>
      <c r="R1101" s="126" t="s">
        <v>549</v>
      </c>
      <c r="S1101" s="259">
        <v>5.3</v>
      </c>
      <c r="T1101" s="259">
        <v>0</v>
      </c>
      <c r="U1101" s="68" t="s">
        <v>1985</v>
      </c>
      <c r="V1101" s="126">
        <v>1</v>
      </c>
      <c r="Z1101" s="126">
        <v>1</v>
      </c>
      <c r="AA1101" s="126">
        <v>1</v>
      </c>
      <c r="AB1101" s="126">
        <v>4</v>
      </c>
      <c r="AC1101" s="126">
        <v>6</v>
      </c>
      <c r="AD1101" s="126">
        <v>2026</v>
      </c>
    </row>
    <row r="1102" spans="3:30">
      <c r="C1102" s="126">
        <v>1095</v>
      </c>
      <c r="D1102" s="126">
        <v>88</v>
      </c>
      <c r="E1102" s="126">
        <v>10</v>
      </c>
      <c r="F1102" s="126">
        <v>1</v>
      </c>
      <c r="G1102" s="126">
        <v>1</v>
      </c>
      <c r="H1102" s="126">
        <v>1</v>
      </c>
      <c r="I1102" s="126">
        <v>1</v>
      </c>
      <c r="J1102" s="126">
        <v>13</v>
      </c>
      <c r="P1102" s="126">
        <v>322</v>
      </c>
      <c r="R1102" s="126" t="s">
        <v>549</v>
      </c>
      <c r="S1102" s="259">
        <v>0</v>
      </c>
      <c r="T1102" s="259">
        <v>5</v>
      </c>
      <c r="U1102" s="68" t="s">
        <v>1986</v>
      </c>
      <c r="V1102" s="126">
        <v>1</v>
      </c>
      <c r="Z1102" s="126">
        <v>1</v>
      </c>
      <c r="AA1102" s="126">
        <v>1</v>
      </c>
      <c r="AB1102" s="126">
        <v>4</v>
      </c>
      <c r="AC1102" s="126">
        <v>6</v>
      </c>
      <c r="AD1102" s="126">
        <v>2026</v>
      </c>
    </row>
    <row r="1103" spans="3:30">
      <c r="C1103" s="126">
        <v>1096</v>
      </c>
      <c r="D1103" s="126">
        <v>89</v>
      </c>
      <c r="E1103" s="126">
        <v>2</v>
      </c>
      <c r="F1103" s="126">
        <v>1</v>
      </c>
      <c r="G1103" s="126">
        <v>1</v>
      </c>
      <c r="H1103" s="126">
        <v>1</v>
      </c>
      <c r="I1103" s="126">
        <v>1</v>
      </c>
      <c r="R1103" s="126" t="s">
        <v>549</v>
      </c>
      <c r="S1103" s="259">
        <v>113.38</v>
      </c>
      <c r="T1103" s="259">
        <v>0</v>
      </c>
      <c r="U1103" s="68" t="s">
        <v>1988</v>
      </c>
      <c r="V1103" s="126">
        <v>1</v>
      </c>
      <c r="Z1103" s="126">
        <v>1</v>
      </c>
      <c r="AA1103" s="126">
        <v>1</v>
      </c>
      <c r="AB1103" s="126">
        <v>4</v>
      </c>
      <c r="AC1103" s="126">
        <v>6</v>
      </c>
      <c r="AD1103" s="126">
        <v>2026</v>
      </c>
    </row>
    <row r="1104" spans="3:30">
      <c r="C1104" s="126">
        <v>1097</v>
      </c>
      <c r="D1104" s="126">
        <v>89</v>
      </c>
      <c r="E1104" s="126">
        <v>3</v>
      </c>
      <c r="F1104" s="126">
        <v>1</v>
      </c>
      <c r="G1104" s="126">
        <v>1</v>
      </c>
      <c r="H1104" s="126">
        <v>1</v>
      </c>
      <c r="I1104" s="126">
        <v>1</v>
      </c>
      <c r="J1104" s="126">
        <v>1</v>
      </c>
      <c r="M1104" s="126">
        <v>363</v>
      </c>
      <c r="N1104" s="126">
        <v>0</v>
      </c>
      <c r="P1104" s="126">
        <v>323</v>
      </c>
      <c r="R1104" s="126" t="s">
        <v>549</v>
      </c>
      <c r="S1104" s="259">
        <v>0</v>
      </c>
      <c r="T1104" s="259">
        <v>27.34</v>
      </c>
      <c r="U1104" s="68" t="s">
        <v>1989</v>
      </c>
      <c r="V1104" s="126">
        <v>1</v>
      </c>
      <c r="Z1104" s="126">
        <v>1</v>
      </c>
      <c r="AA1104" s="126">
        <v>1</v>
      </c>
      <c r="AB1104" s="126">
        <v>4</v>
      </c>
      <c r="AC1104" s="126">
        <v>6</v>
      </c>
      <c r="AD1104" s="126">
        <v>2026</v>
      </c>
    </row>
    <row r="1105" spans="3:30">
      <c r="C1105" s="126">
        <v>1098</v>
      </c>
      <c r="D1105" s="126">
        <v>89</v>
      </c>
      <c r="E1105" s="126">
        <v>11</v>
      </c>
      <c r="F1105" s="126">
        <v>1</v>
      </c>
      <c r="G1105" s="126">
        <v>1</v>
      </c>
      <c r="H1105" s="126">
        <v>1</v>
      </c>
      <c r="I1105" s="126">
        <v>1</v>
      </c>
      <c r="J1105" s="126">
        <v>1</v>
      </c>
      <c r="M1105" s="126">
        <v>363</v>
      </c>
      <c r="N1105" s="126">
        <v>1</v>
      </c>
      <c r="P1105" s="126">
        <v>323</v>
      </c>
      <c r="R1105" s="126" t="s">
        <v>549</v>
      </c>
      <c r="S1105" s="259">
        <v>27.34</v>
      </c>
      <c r="T1105" s="259">
        <v>0</v>
      </c>
      <c r="U1105" s="68" t="s">
        <v>1990</v>
      </c>
      <c r="V1105" s="126">
        <v>1</v>
      </c>
      <c r="Z1105" s="126">
        <v>1</v>
      </c>
      <c r="AA1105" s="126">
        <v>1</v>
      </c>
      <c r="AB1105" s="126">
        <v>4</v>
      </c>
      <c r="AC1105" s="126">
        <v>6</v>
      </c>
      <c r="AD1105" s="126">
        <v>2026</v>
      </c>
    </row>
    <row r="1106" spans="3:30">
      <c r="C1106" s="126">
        <v>1099</v>
      </c>
      <c r="D1106" s="126">
        <v>89</v>
      </c>
      <c r="E1106" s="126">
        <v>10</v>
      </c>
      <c r="F1106" s="126">
        <v>1</v>
      </c>
      <c r="G1106" s="126">
        <v>1</v>
      </c>
      <c r="H1106" s="126">
        <v>1</v>
      </c>
      <c r="I1106" s="126">
        <v>1</v>
      </c>
      <c r="J1106" s="126">
        <v>1</v>
      </c>
      <c r="P1106" s="126">
        <v>323</v>
      </c>
      <c r="R1106" s="126" t="s">
        <v>549</v>
      </c>
      <c r="S1106" s="259">
        <v>0</v>
      </c>
      <c r="T1106" s="259">
        <v>16</v>
      </c>
      <c r="U1106" s="68" t="s">
        <v>1991</v>
      </c>
      <c r="V1106" s="126">
        <v>1</v>
      </c>
      <c r="Z1106" s="126">
        <v>1</v>
      </c>
      <c r="AA1106" s="126">
        <v>1</v>
      </c>
      <c r="AB1106" s="126">
        <v>4</v>
      </c>
      <c r="AC1106" s="126">
        <v>6</v>
      </c>
      <c r="AD1106" s="126">
        <v>2026</v>
      </c>
    </row>
    <row r="1107" spans="3:30">
      <c r="C1107" s="126">
        <v>1100</v>
      </c>
      <c r="D1107" s="126">
        <v>89</v>
      </c>
      <c r="E1107" s="126">
        <v>3</v>
      </c>
      <c r="F1107" s="126">
        <v>1</v>
      </c>
      <c r="G1107" s="126">
        <v>1</v>
      </c>
      <c r="H1107" s="126">
        <v>1</v>
      </c>
      <c r="I1107" s="126">
        <v>1</v>
      </c>
      <c r="J1107" s="126">
        <v>26</v>
      </c>
      <c r="M1107" s="126">
        <v>364</v>
      </c>
      <c r="N1107" s="126">
        <v>0</v>
      </c>
      <c r="P1107" s="126">
        <v>324</v>
      </c>
      <c r="R1107" s="126" t="s">
        <v>549</v>
      </c>
      <c r="S1107" s="259">
        <v>0</v>
      </c>
      <c r="T1107" s="259">
        <v>3.01</v>
      </c>
      <c r="U1107" s="68" t="s">
        <v>1992</v>
      </c>
      <c r="V1107" s="126">
        <v>1</v>
      </c>
      <c r="Z1107" s="126">
        <v>1</v>
      </c>
      <c r="AA1107" s="126">
        <v>1</v>
      </c>
      <c r="AB1107" s="126">
        <v>4</v>
      </c>
      <c r="AC1107" s="126">
        <v>6</v>
      </c>
      <c r="AD1107" s="126">
        <v>2026</v>
      </c>
    </row>
    <row r="1108" spans="3:30">
      <c r="C1108" s="126">
        <v>1101</v>
      </c>
      <c r="D1108" s="126">
        <v>89</v>
      </c>
      <c r="E1108" s="126">
        <v>11</v>
      </c>
      <c r="F1108" s="126">
        <v>1</v>
      </c>
      <c r="G1108" s="126">
        <v>1</v>
      </c>
      <c r="H1108" s="126">
        <v>1</v>
      </c>
      <c r="I1108" s="126">
        <v>1</v>
      </c>
      <c r="J1108" s="126">
        <v>26</v>
      </c>
      <c r="M1108" s="126">
        <v>364</v>
      </c>
      <c r="N1108" s="126">
        <v>1</v>
      </c>
      <c r="P1108" s="126">
        <v>324</v>
      </c>
      <c r="R1108" s="126" t="s">
        <v>549</v>
      </c>
      <c r="S1108" s="259">
        <v>3.01</v>
      </c>
      <c r="T1108" s="259">
        <v>0</v>
      </c>
      <c r="U1108" s="68" t="s">
        <v>1993</v>
      </c>
      <c r="V1108" s="126">
        <v>1</v>
      </c>
      <c r="Z1108" s="126">
        <v>1</v>
      </c>
      <c r="AA1108" s="126">
        <v>1</v>
      </c>
      <c r="AB1108" s="126">
        <v>4</v>
      </c>
      <c r="AC1108" s="126">
        <v>6</v>
      </c>
      <c r="AD1108" s="126">
        <v>2026</v>
      </c>
    </row>
    <row r="1109" spans="3:30">
      <c r="C1109" s="126">
        <v>1102</v>
      </c>
      <c r="D1109" s="126">
        <v>89</v>
      </c>
      <c r="E1109" s="126">
        <v>10</v>
      </c>
      <c r="F1109" s="126">
        <v>1</v>
      </c>
      <c r="G1109" s="126">
        <v>1</v>
      </c>
      <c r="H1109" s="126">
        <v>1</v>
      </c>
      <c r="I1109" s="126">
        <v>1</v>
      </c>
      <c r="J1109" s="126">
        <v>26</v>
      </c>
      <c r="P1109" s="126">
        <v>324</v>
      </c>
      <c r="R1109" s="126" t="s">
        <v>549</v>
      </c>
      <c r="S1109" s="259">
        <v>0</v>
      </c>
      <c r="T1109" s="259">
        <v>3.5</v>
      </c>
      <c r="U1109" s="68" t="s">
        <v>1994</v>
      </c>
      <c r="V1109" s="126">
        <v>1</v>
      </c>
      <c r="Z1109" s="126">
        <v>1</v>
      </c>
      <c r="AA1109" s="126">
        <v>1</v>
      </c>
      <c r="AB1109" s="126">
        <v>4</v>
      </c>
      <c r="AC1109" s="126">
        <v>6</v>
      </c>
      <c r="AD1109" s="126">
        <v>2026</v>
      </c>
    </row>
    <row r="1110" spans="3:30">
      <c r="C1110" s="126">
        <v>1103</v>
      </c>
      <c r="D1110" s="126">
        <v>89</v>
      </c>
      <c r="E1110" s="126">
        <v>3</v>
      </c>
      <c r="F1110" s="126">
        <v>1</v>
      </c>
      <c r="G1110" s="126">
        <v>1</v>
      </c>
      <c r="H1110" s="126">
        <v>1</v>
      </c>
      <c r="I1110" s="126">
        <v>1</v>
      </c>
      <c r="J1110" s="126">
        <v>4</v>
      </c>
      <c r="M1110" s="126">
        <v>365</v>
      </c>
      <c r="N1110" s="126">
        <v>0</v>
      </c>
      <c r="P1110" s="126">
        <v>325</v>
      </c>
      <c r="R1110" s="126" t="s">
        <v>549</v>
      </c>
      <c r="S1110" s="259">
        <v>0</v>
      </c>
      <c r="T1110" s="259">
        <v>5.8</v>
      </c>
      <c r="U1110" s="68" t="s">
        <v>1995</v>
      </c>
      <c r="V1110" s="126">
        <v>1</v>
      </c>
      <c r="Z1110" s="126">
        <v>1</v>
      </c>
      <c r="AA1110" s="126">
        <v>1</v>
      </c>
      <c r="AB1110" s="126">
        <v>4</v>
      </c>
      <c r="AC1110" s="126">
        <v>6</v>
      </c>
      <c r="AD1110" s="126">
        <v>2026</v>
      </c>
    </row>
    <row r="1111" spans="3:30">
      <c r="C1111" s="126">
        <v>1104</v>
      </c>
      <c r="D1111" s="126">
        <v>89</v>
      </c>
      <c r="E1111" s="126">
        <v>11</v>
      </c>
      <c r="F1111" s="126">
        <v>1</v>
      </c>
      <c r="G1111" s="126">
        <v>1</v>
      </c>
      <c r="H1111" s="126">
        <v>1</v>
      </c>
      <c r="I1111" s="126">
        <v>1</v>
      </c>
      <c r="J1111" s="126">
        <v>4</v>
      </c>
      <c r="M1111" s="126">
        <v>365</v>
      </c>
      <c r="N1111" s="126">
        <v>1</v>
      </c>
      <c r="P1111" s="126">
        <v>325</v>
      </c>
      <c r="R1111" s="126" t="s">
        <v>549</v>
      </c>
      <c r="S1111" s="259">
        <v>5.8</v>
      </c>
      <c r="T1111" s="259">
        <v>0</v>
      </c>
      <c r="U1111" s="68" t="s">
        <v>1996</v>
      </c>
      <c r="V1111" s="126">
        <v>1</v>
      </c>
      <c r="Z1111" s="126">
        <v>1</v>
      </c>
      <c r="AA1111" s="126">
        <v>1</v>
      </c>
      <c r="AB1111" s="126">
        <v>4</v>
      </c>
      <c r="AC1111" s="126">
        <v>6</v>
      </c>
      <c r="AD1111" s="126">
        <v>2026</v>
      </c>
    </row>
    <row r="1112" spans="3:30">
      <c r="C1112" s="126">
        <v>1105</v>
      </c>
      <c r="D1112" s="126">
        <v>89</v>
      </c>
      <c r="E1112" s="126">
        <v>10</v>
      </c>
      <c r="F1112" s="126">
        <v>1</v>
      </c>
      <c r="G1112" s="126">
        <v>1</v>
      </c>
      <c r="H1112" s="126">
        <v>1</v>
      </c>
      <c r="I1112" s="126">
        <v>1</v>
      </c>
      <c r="J1112" s="126">
        <v>4</v>
      </c>
      <c r="P1112" s="126">
        <v>325</v>
      </c>
      <c r="R1112" s="126" t="s">
        <v>549</v>
      </c>
      <c r="S1112" s="259">
        <v>0</v>
      </c>
      <c r="T1112" s="259">
        <v>5</v>
      </c>
      <c r="U1112" s="68" t="s">
        <v>1997</v>
      </c>
      <c r="V1112" s="126">
        <v>1</v>
      </c>
      <c r="Z1112" s="126">
        <v>1</v>
      </c>
      <c r="AA1112" s="126">
        <v>1</v>
      </c>
      <c r="AB1112" s="126">
        <v>4</v>
      </c>
      <c r="AC1112" s="126">
        <v>6</v>
      </c>
      <c r="AD1112" s="126">
        <v>2026</v>
      </c>
    </row>
    <row r="1113" spans="3:30">
      <c r="C1113" s="126">
        <v>1106</v>
      </c>
      <c r="D1113" s="126">
        <v>89</v>
      </c>
      <c r="E1113" s="126">
        <v>3</v>
      </c>
      <c r="F1113" s="126">
        <v>1</v>
      </c>
      <c r="G1113" s="126">
        <v>1</v>
      </c>
      <c r="H1113" s="126">
        <v>1</v>
      </c>
      <c r="I1113" s="126">
        <v>1</v>
      </c>
      <c r="J1113" s="126">
        <v>34</v>
      </c>
      <c r="M1113" s="126">
        <v>366</v>
      </c>
      <c r="N1113" s="126">
        <v>0</v>
      </c>
      <c r="P1113" s="126">
        <v>326</v>
      </c>
      <c r="R1113" s="126" t="s">
        <v>549</v>
      </c>
      <c r="S1113" s="259">
        <v>0</v>
      </c>
      <c r="T1113" s="259">
        <v>0.5</v>
      </c>
      <c r="U1113" s="68" t="s">
        <v>1998</v>
      </c>
      <c r="V1113" s="126">
        <v>1</v>
      </c>
      <c r="Z1113" s="126">
        <v>1</v>
      </c>
      <c r="AA1113" s="126">
        <v>1</v>
      </c>
      <c r="AB1113" s="126">
        <v>4</v>
      </c>
      <c r="AC1113" s="126">
        <v>6</v>
      </c>
      <c r="AD1113" s="126">
        <v>2026</v>
      </c>
    </row>
    <row r="1114" spans="3:30">
      <c r="C1114" s="126">
        <v>1107</v>
      </c>
      <c r="D1114" s="126">
        <v>89</v>
      </c>
      <c r="E1114" s="126">
        <v>11</v>
      </c>
      <c r="F1114" s="126">
        <v>1</v>
      </c>
      <c r="G1114" s="126">
        <v>1</v>
      </c>
      <c r="H1114" s="126">
        <v>1</v>
      </c>
      <c r="I1114" s="126">
        <v>1</v>
      </c>
      <c r="J1114" s="126">
        <v>34</v>
      </c>
      <c r="M1114" s="126">
        <v>366</v>
      </c>
      <c r="N1114" s="126">
        <v>1</v>
      </c>
      <c r="P1114" s="126">
        <v>326</v>
      </c>
      <c r="R1114" s="126" t="s">
        <v>549</v>
      </c>
      <c r="S1114" s="259">
        <v>0.5</v>
      </c>
      <c r="T1114" s="259">
        <v>0</v>
      </c>
      <c r="U1114" s="68" t="s">
        <v>1999</v>
      </c>
      <c r="V1114" s="126">
        <v>1</v>
      </c>
      <c r="Z1114" s="126">
        <v>1</v>
      </c>
      <c r="AA1114" s="126">
        <v>1</v>
      </c>
      <c r="AB1114" s="126">
        <v>4</v>
      </c>
      <c r="AC1114" s="126">
        <v>6</v>
      </c>
      <c r="AD1114" s="126">
        <v>2026</v>
      </c>
    </row>
    <row r="1115" spans="3:30">
      <c r="C1115" s="126">
        <v>1108</v>
      </c>
      <c r="D1115" s="126">
        <v>89</v>
      </c>
      <c r="E1115" s="126">
        <v>10</v>
      </c>
      <c r="F1115" s="126">
        <v>1</v>
      </c>
      <c r="G1115" s="126">
        <v>1</v>
      </c>
      <c r="H1115" s="126">
        <v>1</v>
      </c>
      <c r="I1115" s="126">
        <v>1</v>
      </c>
      <c r="J1115" s="126">
        <v>34</v>
      </c>
      <c r="P1115" s="126">
        <v>326</v>
      </c>
      <c r="R1115" s="126" t="s">
        <v>549</v>
      </c>
      <c r="S1115" s="259">
        <v>0</v>
      </c>
      <c r="T1115" s="259">
        <v>1</v>
      </c>
      <c r="U1115" s="68" t="s">
        <v>2000</v>
      </c>
      <c r="V1115" s="126">
        <v>1</v>
      </c>
      <c r="Z1115" s="126">
        <v>1</v>
      </c>
      <c r="AA1115" s="126">
        <v>1</v>
      </c>
      <c r="AB1115" s="126">
        <v>4</v>
      </c>
      <c r="AC1115" s="126">
        <v>6</v>
      </c>
      <c r="AD1115" s="126">
        <v>2026</v>
      </c>
    </row>
    <row r="1116" spans="3:30">
      <c r="C1116" s="126">
        <v>1109</v>
      </c>
      <c r="D1116" s="126">
        <v>89</v>
      </c>
      <c r="E1116" s="126">
        <v>3</v>
      </c>
      <c r="F1116" s="126">
        <v>1</v>
      </c>
      <c r="G1116" s="126">
        <v>1</v>
      </c>
      <c r="H1116" s="126">
        <v>1</v>
      </c>
      <c r="I1116" s="126">
        <v>1</v>
      </c>
      <c r="J1116" s="126">
        <v>20</v>
      </c>
      <c r="M1116" s="126">
        <v>367</v>
      </c>
      <c r="N1116" s="126">
        <v>0</v>
      </c>
      <c r="P1116" s="126">
        <v>327</v>
      </c>
      <c r="R1116" s="126" t="s">
        <v>549</v>
      </c>
      <c r="S1116" s="259">
        <v>0</v>
      </c>
      <c r="T1116" s="259">
        <v>50.300000000000004</v>
      </c>
      <c r="U1116" s="68" t="s">
        <v>2001</v>
      </c>
      <c r="V1116" s="126">
        <v>1</v>
      </c>
      <c r="Z1116" s="126">
        <v>1</v>
      </c>
      <c r="AA1116" s="126">
        <v>1</v>
      </c>
      <c r="AB1116" s="126">
        <v>4</v>
      </c>
      <c r="AC1116" s="126">
        <v>6</v>
      </c>
      <c r="AD1116" s="126">
        <v>2026</v>
      </c>
    </row>
    <row r="1117" spans="3:30">
      <c r="C1117" s="126">
        <v>1110</v>
      </c>
      <c r="D1117" s="126">
        <v>89</v>
      </c>
      <c r="E1117" s="126">
        <v>11</v>
      </c>
      <c r="F1117" s="126">
        <v>1</v>
      </c>
      <c r="G1117" s="126">
        <v>1</v>
      </c>
      <c r="H1117" s="126">
        <v>1</v>
      </c>
      <c r="I1117" s="126">
        <v>1</v>
      </c>
      <c r="J1117" s="126">
        <v>20</v>
      </c>
      <c r="M1117" s="126">
        <v>367</v>
      </c>
      <c r="N1117" s="126">
        <v>1</v>
      </c>
      <c r="P1117" s="126">
        <v>327</v>
      </c>
      <c r="R1117" s="126" t="s">
        <v>549</v>
      </c>
      <c r="S1117" s="259">
        <v>50.300000000000004</v>
      </c>
      <c r="T1117" s="259">
        <v>0</v>
      </c>
      <c r="U1117" s="68" t="s">
        <v>2002</v>
      </c>
      <c r="V1117" s="126">
        <v>1</v>
      </c>
      <c r="Z1117" s="126">
        <v>1</v>
      </c>
      <c r="AA1117" s="126">
        <v>1</v>
      </c>
      <c r="AB1117" s="126">
        <v>4</v>
      </c>
      <c r="AC1117" s="126">
        <v>6</v>
      </c>
      <c r="AD1117" s="126">
        <v>2026</v>
      </c>
    </row>
    <row r="1118" spans="3:30">
      <c r="C1118" s="126">
        <v>1111</v>
      </c>
      <c r="D1118" s="126">
        <v>89</v>
      </c>
      <c r="E1118" s="126">
        <v>10</v>
      </c>
      <c r="F1118" s="126">
        <v>1</v>
      </c>
      <c r="G1118" s="126">
        <v>1</v>
      </c>
      <c r="H1118" s="126">
        <v>1</v>
      </c>
      <c r="I1118" s="126">
        <v>1</v>
      </c>
      <c r="J1118" s="126">
        <v>20</v>
      </c>
      <c r="P1118" s="126">
        <v>327</v>
      </c>
      <c r="R1118" s="126" t="s">
        <v>549</v>
      </c>
      <c r="S1118" s="259">
        <v>0</v>
      </c>
      <c r="T1118" s="259">
        <v>52.5</v>
      </c>
      <c r="U1118" s="68" t="s">
        <v>2003</v>
      </c>
      <c r="V1118" s="126">
        <v>1</v>
      </c>
      <c r="Z1118" s="126">
        <v>1</v>
      </c>
      <c r="AA1118" s="126">
        <v>1</v>
      </c>
      <c r="AB1118" s="126">
        <v>4</v>
      </c>
      <c r="AC1118" s="126">
        <v>6</v>
      </c>
      <c r="AD1118" s="126">
        <v>2026</v>
      </c>
    </row>
    <row r="1119" spans="3:30">
      <c r="C1119" s="126">
        <v>1112</v>
      </c>
      <c r="D1119" s="126">
        <v>89</v>
      </c>
      <c r="E1119" s="126">
        <v>3</v>
      </c>
      <c r="F1119" s="126">
        <v>1</v>
      </c>
      <c r="G1119" s="126">
        <v>1</v>
      </c>
      <c r="H1119" s="126">
        <v>1</v>
      </c>
      <c r="I1119" s="126">
        <v>1</v>
      </c>
      <c r="J1119" s="126">
        <v>49</v>
      </c>
      <c r="M1119" s="126">
        <v>368</v>
      </c>
      <c r="N1119" s="126">
        <v>0</v>
      </c>
      <c r="P1119" s="126">
        <v>328</v>
      </c>
      <c r="R1119" s="126" t="s">
        <v>549</v>
      </c>
      <c r="S1119" s="259">
        <v>0</v>
      </c>
      <c r="T1119" s="259">
        <v>1.4000000000000001</v>
      </c>
      <c r="U1119" s="68" t="s">
        <v>2004</v>
      </c>
      <c r="V1119" s="126">
        <v>1</v>
      </c>
      <c r="Z1119" s="126">
        <v>1</v>
      </c>
      <c r="AA1119" s="126">
        <v>1</v>
      </c>
      <c r="AB1119" s="126">
        <v>4</v>
      </c>
      <c r="AC1119" s="126">
        <v>6</v>
      </c>
      <c r="AD1119" s="126">
        <v>2026</v>
      </c>
    </row>
    <row r="1120" spans="3:30">
      <c r="C1120" s="126">
        <v>1113</v>
      </c>
      <c r="D1120" s="126">
        <v>89</v>
      </c>
      <c r="E1120" s="126">
        <v>11</v>
      </c>
      <c r="F1120" s="126">
        <v>1</v>
      </c>
      <c r="G1120" s="126">
        <v>1</v>
      </c>
      <c r="H1120" s="126">
        <v>1</v>
      </c>
      <c r="I1120" s="126">
        <v>1</v>
      </c>
      <c r="J1120" s="126">
        <v>49</v>
      </c>
      <c r="M1120" s="126">
        <v>368</v>
      </c>
      <c r="N1120" s="126">
        <v>1</v>
      </c>
      <c r="P1120" s="126">
        <v>328</v>
      </c>
      <c r="R1120" s="126" t="s">
        <v>549</v>
      </c>
      <c r="S1120" s="259">
        <v>1.4000000000000001</v>
      </c>
      <c r="T1120" s="259">
        <v>0</v>
      </c>
      <c r="U1120" s="68" t="s">
        <v>2005</v>
      </c>
      <c r="V1120" s="126">
        <v>1</v>
      </c>
      <c r="Z1120" s="126">
        <v>1</v>
      </c>
      <c r="AA1120" s="126">
        <v>1</v>
      </c>
      <c r="AB1120" s="126">
        <v>4</v>
      </c>
      <c r="AC1120" s="126">
        <v>6</v>
      </c>
      <c r="AD1120" s="126">
        <v>2026</v>
      </c>
    </row>
    <row r="1121" spans="3:30">
      <c r="C1121" s="126">
        <v>1114</v>
      </c>
      <c r="D1121" s="126">
        <v>89</v>
      </c>
      <c r="E1121" s="126">
        <v>10</v>
      </c>
      <c r="F1121" s="126">
        <v>1</v>
      </c>
      <c r="G1121" s="126">
        <v>1</v>
      </c>
      <c r="H1121" s="126">
        <v>1</v>
      </c>
      <c r="I1121" s="126">
        <v>1</v>
      </c>
      <c r="J1121" s="126">
        <v>49</v>
      </c>
      <c r="P1121" s="126">
        <v>328</v>
      </c>
      <c r="R1121" s="126" t="s">
        <v>549</v>
      </c>
      <c r="S1121" s="259">
        <v>0</v>
      </c>
      <c r="T1121" s="259">
        <v>1.9</v>
      </c>
      <c r="U1121" s="68" t="s">
        <v>2006</v>
      </c>
      <c r="V1121" s="126">
        <v>1</v>
      </c>
      <c r="Z1121" s="126">
        <v>1</v>
      </c>
      <c r="AA1121" s="126">
        <v>1</v>
      </c>
      <c r="AB1121" s="126">
        <v>4</v>
      </c>
      <c r="AC1121" s="126">
        <v>6</v>
      </c>
      <c r="AD1121" s="126">
        <v>2026</v>
      </c>
    </row>
    <row r="1122" spans="3:30">
      <c r="C1122" s="126">
        <v>1115</v>
      </c>
      <c r="D1122" s="126">
        <v>89</v>
      </c>
      <c r="E1122" s="126">
        <v>3</v>
      </c>
      <c r="F1122" s="126">
        <v>1</v>
      </c>
      <c r="G1122" s="126">
        <v>1</v>
      </c>
      <c r="H1122" s="126">
        <v>1</v>
      </c>
      <c r="I1122" s="126">
        <v>1</v>
      </c>
      <c r="J1122" s="126">
        <v>50</v>
      </c>
      <c r="M1122" s="126">
        <v>369</v>
      </c>
      <c r="N1122" s="126">
        <v>0</v>
      </c>
      <c r="P1122" s="126">
        <v>329</v>
      </c>
      <c r="R1122" s="126" t="s">
        <v>549</v>
      </c>
      <c r="S1122" s="259">
        <v>0</v>
      </c>
      <c r="T1122" s="259">
        <v>0.6</v>
      </c>
      <c r="U1122" s="68" t="s">
        <v>2007</v>
      </c>
      <c r="V1122" s="126">
        <v>1</v>
      </c>
      <c r="Z1122" s="126">
        <v>1</v>
      </c>
      <c r="AA1122" s="126">
        <v>1</v>
      </c>
      <c r="AB1122" s="126">
        <v>4</v>
      </c>
      <c r="AC1122" s="126">
        <v>6</v>
      </c>
      <c r="AD1122" s="126">
        <v>2026</v>
      </c>
    </row>
    <row r="1123" spans="3:30">
      <c r="C1123" s="126">
        <v>1116</v>
      </c>
      <c r="D1123" s="126">
        <v>89</v>
      </c>
      <c r="E1123" s="126">
        <v>11</v>
      </c>
      <c r="F1123" s="126">
        <v>1</v>
      </c>
      <c r="G1123" s="126">
        <v>1</v>
      </c>
      <c r="H1123" s="126">
        <v>1</v>
      </c>
      <c r="I1123" s="126">
        <v>1</v>
      </c>
      <c r="J1123" s="126">
        <v>50</v>
      </c>
      <c r="M1123" s="126">
        <v>369</v>
      </c>
      <c r="N1123" s="126">
        <v>1</v>
      </c>
      <c r="P1123" s="126">
        <v>329</v>
      </c>
      <c r="R1123" s="126" t="s">
        <v>549</v>
      </c>
      <c r="S1123" s="259">
        <v>0.6</v>
      </c>
      <c r="T1123" s="259">
        <v>0</v>
      </c>
      <c r="U1123" s="68" t="s">
        <v>2008</v>
      </c>
      <c r="V1123" s="126">
        <v>1</v>
      </c>
      <c r="Z1123" s="126">
        <v>1</v>
      </c>
      <c r="AA1123" s="126">
        <v>1</v>
      </c>
      <c r="AB1123" s="126">
        <v>4</v>
      </c>
      <c r="AC1123" s="126">
        <v>6</v>
      </c>
      <c r="AD1123" s="126">
        <v>2026</v>
      </c>
    </row>
    <row r="1124" spans="3:30">
      <c r="C1124" s="126">
        <v>1117</v>
      </c>
      <c r="D1124" s="126">
        <v>89</v>
      </c>
      <c r="E1124" s="126">
        <v>10</v>
      </c>
      <c r="F1124" s="126">
        <v>1</v>
      </c>
      <c r="G1124" s="126">
        <v>1</v>
      </c>
      <c r="H1124" s="126">
        <v>1</v>
      </c>
      <c r="I1124" s="126">
        <v>1</v>
      </c>
      <c r="J1124" s="126">
        <v>50</v>
      </c>
      <c r="P1124" s="126">
        <v>329</v>
      </c>
      <c r="R1124" s="126" t="s">
        <v>549</v>
      </c>
      <c r="S1124" s="259">
        <v>0</v>
      </c>
      <c r="T1124" s="259">
        <v>1.25</v>
      </c>
      <c r="U1124" s="68" t="s">
        <v>2009</v>
      </c>
      <c r="V1124" s="126">
        <v>1</v>
      </c>
      <c r="Z1124" s="126">
        <v>1</v>
      </c>
      <c r="AA1124" s="126">
        <v>1</v>
      </c>
      <c r="AB1124" s="126">
        <v>4</v>
      </c>
      <c r="AC1124" s="126">
        <v>6</v>
      </c>
      <c r="AD1124" s="126">
        <v>2026</v>
      </c>
    </row>
    <row r="1125" spans="3:30">
      <c r="C1125" s="126">
        <v>1118</v>
      </c>
      <c r="D1125" s="126">
        <v>89</v>
      </c>
      <c r="E1125" s="126">
        <v>3</v>
      </c>
      <c r="F1125" s="126">
        <v>1</v>
      </c>
      <c r="G1125" s="126">
        <v>1</v>
      </c>
      <c r="H1125" s="126">
        <v>1</v>
      </c>
      <c r="I1125" s="126">
        <v>1</v>
      </c>
      <c r="J1125" s="126">
        <v>71</v>
      </c>
      <c r="M1125" s="126">
        <v>370</v>
      </c>
      <c r="N1125" s="126">
        <v>0</v>
      </c>
      <c r="P1125" s="126">
        <v>330</v>
      </c>
      <c r="R1125" s="126" t="s">
        <v>549</v>
      </c>
      <c r="S1125" s="259">
        <v>0</v>
      </c>
      <c r="T1125" s="259">
        <v>0.22</v>
      </c>
      <c r="U1125" s="68" t="s">
        <v>2012</v>
      </c>
      <c r="V1125" s="126">
        <v>1</v>
      </c>
      <c r="Z1125" s="126">
        <v>1</v>
      </c>
      <c r="AA1125" s="126">
        <v>1</v>
      </c>
      <c r="AB1125" s="126">
        <v>4</v>
      </c>
      <c r="AC1125" s="126">
        <v>6</v>
      </c>
      <c r="AD1125" s="126">
        <v>2026</v>
      </c>
    </row>
    <row r="1126" spans="3:30">
      <c r="C1126" s="126">
        <v>1119</v>
      </c>
      <c r="D1126" s="126">
        <v>89</v>
      </c>
      <c r="E1126" s="126">
        <v>11</v>
      </c>
      <c r="F1126" s="126">
        <v>1</v>
      </c>
      <c r="G1126" s="126">
        <v>1</v>
      </c>
      <c r="H1126" s="126">
        <v>1</v>
      </c>
      <c r="I1126" s="126">
        <v>1</v>
      </c>
      <c r="J1126" s="126">
        <v>71</v>
      </c>
      <c r="M1126" s="126">
        <v>370</v>
      </c>
      <c r="N1126" s="126">
        <v>1</v>
      </c>
      <c r="P1126" s="126">
        <v>330</v>
      </c>
      <c r="R1126" s="126" t="s">
        <v>549</v>
      </c>
      <c r="S1126" s="259">
        <v>0.22</v>
      </c>
      <c r="T1126" s="259">
        <v>0</v>
      </c>
      <c r="U1126" s="68" t="s">
        <v>2013</v>
      </c>
      <c r="V1126" s="126">
        <v>1</v>
      </c>
      <c r="Z1126" s="126">
        <v>1</v>
      </c>
      <c r="AA1126" s="126">
        <v>1</v>
      </c>
      <c r="AB1126" s="126">
        <v>4</v>
      </c>
      <c r="AC1126" s="126">
        <v>6</v>
      </c>
      <c r="AD1126" s="126">
        <v>2026</v>
      </c>
    </row>
    <row r="1127" spans="3:30">
      <c r="C1127" s="126">
        <v>1120</v>
      </c>
      <c r="D1127" s="126">
        <v>89</v>
      </c>
      <c r="E1127" s="126">
        <v>10</v>
      </c>
      <c r="F1127" s="126">
        <v>1</v>
      </c>
      <c r="G1127" s="126">
        <v>1</v>
      </c>
      <c r="H1127" s="126">
        <v>1</v>
      </c>
      <c r="I1127" s="126">
        <v>1</v>
      </c>
      <c r="J1127" s="126">
        <v>71</v>
      </c>
      <c r="P1127" s="126">
        <v>330</v>
      </c>
      <c r="R1127" s="126" t="s">
        <v>549</v>
      </c>
      <c r="S1127" s="259">
        <v>0</v>
      </c>
      <c r="T1127" s="259">
        <v>0.5</v>
      </c>
      <c r="U1127" s="68" t="s">
        <v>2014</v>
      </c>
      <c r="V1127" s="126">
        <v>1</v>
      </c>
      <c r="Z1127" s="126">
        <v>1</v>
      </c>
      <c r="AA1127" s="126">
        <v>1</v>
      </c>
      <c r="AB1127" s="126">
        <v>4</v>
      </c>
      <c r="AC1127" s="126">
        <v>6</v>
      </c>
      <c r="AD1127" s="126">
        <v>2026</v>
      </c>
    </row>
    <row r="1128" spans="3:30">
      <c r="C1128" s="126">
        <v>1121</v>
      </c>
      <c r="D1128" s="126">
        <v>89</v>
      </c>
      <c r="E1128" s="126">
        <v>3</v>
      </c>
      <c r="F1128" s="126">
        <v>1</v>
      </c>
      <c r="G1128" s="126">
        <v>1</v>
      </c>
      <c r="H1128" s="126">
        <v>1</v>
      </c>
      <c r="I1128" s="126">
        <v>1</v>
      </c>
      <c r="J1128" s="126">
        <v>9</v>
      </c>
      <c r="M1128" s="126">
        <v>371</v>
      </c>
      <c r="N1128" s="126">
        <v>0</v>
      </c>
      <c r="P1128" s="126">
        <v>331</v>
      </c>
      <c r="R1128" s="126" t="s">
        <v>549</v>
      </c>
      <c r="S1128" s="259">
        <v>0</v>
      </c>
      <c r="T1128" s="259">
        <v>3.4499999999999997</v>
      </c>
      <c r="U1128" s="68" t="s">
        <v>2015</v>
      </c>
      <c r="V1128" s="126">
        <v>1</v>
      </c>
      <c r="Z1128" s="126">
        <v>1</v>
      </c>
      <c r="AA1128" s="126">
        <v>1</v>
      </c>
      <c r="AB1128" s="126">
        <v>4</v>
      </c>
      <c r="AC1128" s="126">
        <v>6</v>
      </c>
      <c r="AD1128" s="126">
        <v>2026</v>
      </c>
    </row>
    <row r="1129" spans="3:30">
      <c r="C1129" s="126">
        <v>1122</v>
      </c>
      <c r="D1129" s="126">
        <v>89</v>
      </c>
      <c r="E1129" s="126">
        <v>11</v>
      </c>
      <c r="F1129" s="126">
        <v>1</v>
      </c>
      <c r="G1129" s="126">
        <v>1</v>
      </c>
      <c r="H1129" s="126">
        <v>1</v>
      </c>
      <c r="I1129" s="126">
        <v>1</v>
      </c>
      <c r="J1129" s="126">
        <v>9</v>
      </c>
      <c r="M1129" s="126">
        <v>371</v>
      </c>
      <c r="N1129" s="126">
        <v>1</v>
      </c>
      <c r="P1129" s="126">
        <v>331</v>
      </c>
      <c r="R1129" s="126" t="s">
        <v>549</v>
      </c>
      <c r="S1129" s="259">
        <v>3.4499999999999997</v>
      </c>
      <c r="T1129" s="259">
        <v>0</v>
      </c>
      <c r="U1129" s="68" t="s">
        <v>2016</v>
      </c>
      <c r="V1129" s="126">
        <v>1</v>
      </c>
      <c r="Z1129" s="126">
        <v>1</v>
      </c>
      <c r="AA1129" s="126">
        <v>1</v>
      </c>
      <c r="AB1129" s="126">
        <v>4</v>
      </c>
      <c r="AC1129" s="126">
        <v>6</v>
      </c>
      <c r="AD1129" s="126">
        <v>2026</v>
      </c>
    </row>
    <row r="1130" spans="3:30">
      <c r="C1130" s="126">
        <v>1123</v>
      </c>
      <c r="D1130" s="126">
        <v>89</v>
      </c>
      <c r="E1130" s="126">
        <v>10</v>
      </c>
      <c r="F1130" s="126">
        <v>1</v>
      </c>
      <c r="G1130" s="126">
        <v>1</v>
      </c>
      <c r="H1130" s="126">
        <v>1</v>
      </c>
      <c r="I1130" s="126">
        <v>1</v>
      </c>
      <c r="J1130" s="126">
        <v>9</v>
      </c>
      <c r="P1130" s="126">
        <v>331</v>
      </c>
      <c r="R1130" s="126" t="s">
        <v>549</v>
      </c>
      <c r="S1130" s="259">
        <v>0</v>
      </c>
      <c r="T1130" s="259">
        <v>7.5</v>
      </c>
      <c r="U1130" s="68" t="s">
        <v>2017</v>
      </c>
      <c r="V1130" s="126">
        <v>1</v>
      </c>
      <c r="Z1130" s="126">
        <v>1</v>
      </c>
      <c r="AA1130" s="126">
        <v>1</v>
      </c>
      <c r="AB1130" s="126">
        <v>4</v>
      </c>
      <c r="AC1130" s="126">
        <v>6</v>
      </c>
      <c r="AD1130" s="126">
        <v>2026</v>
      </c>
    </row>
    <row r="1131" spans="3:30">
      <c r="C1131" s="126">
        <v>1124</v>
      </c>
      <c r="D1131" s="126">
        <v>89</v>
      </c>
      <c r="E1131" s="126">
        <v>3</v>
      </c>
      <c r="F1131" s="126">
        <v>1</v>
      </c>
      <c r="G1131" s="126">
        <v>1</v>
      </c>
      <c r="H1131" s="126">
        <v>1</v>
      </c>
      <c r="I1131" s="126">
        <v>1</v>
      </c>
      <c r="J1131" s="126">
        <v>70</v>
      </c>
      <c r="M1131" s="126">
        <v>372</v>
      </c>
      <c r="N1131" s="126">
        <v>0</v>
      </c>
      <c r="P1131" s="126">
        <v>332</v>
      </c>
      <c r="R1131" s="126" t="s">
        <v>549</v>
      </c>
      <c r="S1131" s="259">
        <v>0</v>
      </c>
      <c r="T1131" s="259">
        <v>0.15</v>
      </c>
      <c r="U1131" s="68" t="s">
        <v>2018</v>
      </c>
      <c r="V1131" s="126">
        <v>1</v>
      </c>
      <c r="Z1131" s="126">
        <v>1</v>
      </c>
      <c r="AA1131" s="126">
        <v>1</v>
      </c>
      <c r="AB1131" s="126">
        <v>4</v>
      </c>
      <c r="AC1131" s="126">
        <v>6</v>
      </c>
      <c r="AD1131" s="126">
        <v>2026</v>
      </c>
    </row>
    <row r="1132" spans="3:30">
      <c r="C1132" s="126">
        <v>1125</v>
      </c>
      <c r="D1132" s="126">
        <v>89</v>
      </c>
      <c r="E1132" s="126">
        <v>11</v>
      </c>
      <c r="F1132" s="126">
        <v>1</v>
      </c>
      <c r="G1132" s="126">
        <v>1</v>
      </c>
      <c r="H1132" s="126">
        <v>1</v>
      </c>
      <c r="I1132" s="126">
        <v>1</v>
      </c>
      <c r="J1132" s="126">
        <v>70</v>
      </c>
      <c r="M1132" s="126">
        <v>372</v>
      </c>
      <c r="N1132" s="126">
        <v>1</v>
      </c>
      <c r="P1132" s="126">
        <v>332</v>
      </c>
      <c r="R1132" s="126" t="s">
        <v>549</v>
      </c>
      <c r="S1132" s="259">
        <v>0.15</v>
      </c>
      <c r="T1132" s="259">
        <v>0</v>
      </c>
      <c r="U1132" s="68" t="s">
        <v>2019</v>
      </c>
      <c r="V1132" s="126">
        <v>1</v>
      </c>
      <c r="Z1132" s="126">
        <v>1</v>
      </c>
      <c r="AA1132" s="126">
        <v>1</v>
      </c>
      <c r="AB1132" s="126">
        <v>4</v>
      </c>
      <c r="AC1132" s="126">
        <v>6</v>
      </c>
      <c r="AD1132" s="126">
        <v>2026</v>
      </c>
    </row>
    <row r="1133" spans="3:30">
      <c r="C1133" s="126">
        <v>1126</v>
      </c>
      <c r="D1133" s="126">
        <v>89</v>
      </c>
      <c r="E1133" s="126">
        <v>10</v>
      </c>
      <c r="F1133" s="126">
        <v>1</v>
      </c>
      <c r="G1133" s="126">
        <v>1</v>
      </c>
      <c r="H1133" s="126">
        <v>1</v>
      </c>
      <c r="I1133" s="126">
        <v>1</v>
      </c>
      <c r="J1133" s="126">
        <v>70</v>
      </c>
      <c r="P1133" s="126">
        <v>332</v>
      </c>
      <c r="R1133" s="126" t="s">
        <v>549</v>
      </c>
      <c r="S1133" s="259">
        <v>0</v>
      </c>
      <c r="T1133" s="259">
        <v>0.25</v>
      </c>
      <c r="U1133" s="68" t="s">
        <v>2020</v>
      </c>
      <c r="V1133" s="126">
        <v>1</v>
      </c>
      <c r="Z1133" s="126">
        <v>1</v>
      </c>
      <c r="AA1133" s="126">
        <v>1</v>
      </c>
      <c r="AB1133" s="126">
        <v>4</v>
      </c>
      <c r="AC1133" s="126">
        <v>6</v>
      </c>
      <c r="AD1133" s="126">
        <v>2026</v>
      </c>
    </row>
    <row r="1134" spans="3:30">
      <c r="C1134" s="126">
        <v>1127</v>
      </c>
      <c r="D1134" s="126">
        <v>89</v>
      </c>
      <c r="E1134" s="126">
        <v>3</v>
      </c>
      <c r="F1134" s="126">
        <v>1</v>
      </c>
      <c r="G1134" s="126">
        <v>1</v>
      </c>
      <c r="H1134" s="126">
        <v>1</v>
      </c>
      <c r="I1134" s="126">
        <v>1</v>
      </c>
      <c r="J1134" s="126">
        <v>108</v>
      </c>
      <c r="M1134" s="126">
        <v>373</v>
      </c>
      <c r="N1134" s="126">
        <v>0</v>
      </c>
      <c r="P1134" s="126">
        <v>333</v>
      </c>
      <c r="R1134" s="126" t="s">
        <v>549</v>
      </c>
      <c r="S1134" s="259">
        <v>0</v>
      </c>
      <c r="T1134" s="259">
        <v>2.7</v>
      </c>
      <c r="U1134" s="68" t="s">
        <v>2021</v>
      </c>
      <c r="V1134" s="126">
        <v>1</v>
      </c>
      <c r="Z1134" s="126">
        <v>1</v>
      </c>
      <c r="AA1134" s="126">
        <v>1</v>
      </c>
      <c r="AB1134" s="126">
        <v>4</v>
      </c>
      <c r="AC1134" s="126">
        <v>6</v>
      </c>
      <c r="AD1134" s="126">
        <v>2026</v>
      </c>
    </row>
    <row r="1135" spans="3:30">
      <c r="C1135" s="126">
        <v>1128</v>
      </c>
      <c r="D1135" s="126">
        <v>89</v>
      </c>
      <c r="E1135" s="126">
        <v>11</v>
      </c>
      <c r="F1135" s="126">
        <v>1</v>
      </c>
      <c r="G1135" s="126">
        <v>1</v>
      </c>
      <c r="H1135" s="126">
        <v>1</v>
      </c>
      <c r="I1135" s="126">
        <v>1</v>
      </c>
      <c r="J1135" s="126">
        <v>108</v>
      </c>
      <c r="M1135" s="126">
        <v>373</v>
      </c>
      <c r="N1135" s="126">
        <v>1</v>
      </c>
      <c r="P1135" s="126">
        <v>333</v>
      </c>
      <c r="R1135" s="126" t="s">
        <v>549</v>
      </c>
      <c r="S1135" s="259">
        <v>2.7</v>
      </c>
      <c r="T1135" s="259">
        <v>0</v>
      </c>
      <c r="U1135" s="68" t="s">
        <v>2022</v>
      </c>
      <c r="V1135" s="126">
        <v>1</v>
      </c>
      <c r="Z1135" s="126">
        <v>1</v>
      </c>
      <c r="AA1135" s="126">
        <v>1</v>
      </c>
      <c r="AB1135" s="126">
        <v>4</v>
      </c>
      <c r="AC1135" s="126">
        <v>6</v>
      </c>
      <c r="AD1135" s="126">
        <v>2026</v>
      </c>
    </row>
    <row r="1136" spans="3:30">
      <c r="C1136" s="126">
        <v>1129</v>
      </c>
      <c r="D1136" s="126">
        <v>89</v>
      </c>
      <c r="E1136" s="126">
        <v>10</v>
      </c>
      <c r="F1136" s="126">
        <v>1</v>
      </c>
      <c r="G1136" s="126">
        <v>1</v>
      </c>
      <c r="H1136" s="126">
        <v>1</v>
      </c>
      <c r="I1136" s="126">
        <v>1</v>
      </c>
      <c r="J1136" s="126">
        <v>108</v>
      </c>
      <c r="P1136" s="126">
        <v>333</v>
      </c>
      <c r="R1136" s="126" t="s">
        <v>549</v>
      </c>
      <c r="S1136" s="259">
        <v>0</v>
      </c>
      <c r="T1136" s="259">
        <v>3</v>
      </c>
      <c r="U1136" s="68" t="s">
        <v>2023</v>
      </c>
      <c r="V1136" s="126">
        <v>1</v>
      </c>
      <c r="Z1136" s="126">
        <v>1</v>
      </c>
      <c r="AA1136" s="126">
        <v>1</v>
      </c>
      <c r="AB1136" s="126">
        <v>4</v>
      </c>
      <c r="AC1136" s="126">
        <v>6</v>
      </c>
      <c r="AD1136" s="126">
        <v>2026</v>
      </c>
    </row>
    <row r="1137" spans="3:30">
      <c r="C1137" s="126">
        <v>1130</v>
      </c>
      <c r="D1137" s="126">
        <v>89</v>
      </c>
      <c r="E1137" s="126">
        <v>3</v>
      </c>
      <c r="F1137" s="126">
        <v>1</v>
      </c>
      <c r="G1137" s="126">
        <v>1</v>
      </c>
      <c r="H1137" s="126">
        <v>1</v>
      </c>
      <c r="I1137" s="126">
        <v>1</v>
      </c>
      <c r="J1137" s="126">
        <v>17</v>
      </c>
      <c r="M1137" s="126">
        <v>374</v>
      </c>
      <c r="N1137" s="126">
        <v>0</v>
      </c>
      <c r="P1137" s="126">
        <v>334</v>
      </c>
      <c r="R1137" s="126" t="s">
        <v>549</v>
      </c>
      <c r="S1137" s="259">
        <v>0</v>
      </c>
      <c r="T1137" s="259">
        <v>1.63</v>
      </c>
      <c r="U1137" s="68" t="s">
        <v>2024</v>
      </c>
      <c r="V1137" s="126">
        <v>1</v>
      </c>
      <c r="Z1137" s="126">
        <v>1</v>
      </c>
      <c r="AA1137" s="126">
        <v>1</v>
      </c>
      <c r="AB1137" s="126">
        <v>4</v>
      </c>
      <c r="AC1137" s="126">
        <v>6</v>
      </c>
      <c r="AD1137" s="126">
        <v>2026</v>
      </c>
    </row>
    <row r="1138" spans="3:30">
      <c r="C1138" s="126">
        <v>1131</v>
      </c>
      <c r="D1138" s="126">
        <v>89</v>
      </c>
      <c r="E1138" s="126">
        <v>11</v>
      </c>
      <c r="F1138" s="126">
        <v>1</v>
      </c>
      <c r="G1138" s="126">
        <v>1</v>
      </c>
      <c r="H1138" s="126">
        <v>1</v>
      </c>
      <c r="I1138" s="126">
        <v>1</v>
      </c>
      <c r="J1138" s="126">
        <v>17</v>
      </c>
      <c r="M1138" s="126">
        <v>374</v>
      </c>
      <c r="N1138" s="126">
        <v>1</v>
      </c>
      <c r="P1138" s="126">
        <v>334</v>
      </c>
      <c r="R1138" s="126" t="s">
        <v>549</v>
      </c>
      <c r="S1138" s="259">
        <v>1.63</v>
      </c>
      <c r="T1138" s="259">
        <v>0</v>
      </c>
      <c r="U1138" s="68" t="s">
        <v>2025</v>
      </c>
      <c r="V1138" s="126">
        <v>1</v>
      </c>
      <c r="Z1138" s="126">
        <v>1</v>
      </c>
      <c r="AA1138" s="126">
        <v>1</v>
      </c>
      <c r="AB1138" s="126">
        <v>4</v>
      </c>
      <c r="AC1138" s="126">
        <v>6</v>
      </c>
      <c r="AD1138" s="126">
        <v>2026</v>
      </c>
    </row>
    <row r="1139" spans="3:30">
      <c r="C1139" s="126">
        <v>1132</v>
      </c>
      <c r="D1139" s="126">
        <v>89</v>
      </c>
      <c r="E1139" s="126">
        <v>10</v>
      </c>
      <c r="F1139" s="126">
        <v>1</v>
      </c>
      <c r="G1139" s="126">
        <v>1</v>
      </c>
      <c r="H1139" s="126">
        <v>1</v>
      </c>
      <c r="I1139" s="126">
        <v>1</v>
      </c>
      <c r="J1139" s="126">
        <v>17</v>
      </c>
      <c r="P1139" s="126">
        <v>334</v>
      </c>
      <c r="R1139" s="126" t="s">
        <v>549</v>
      </c>
      <c r="S1139" s="259">
        <v>0</v>
      </c>
      <c r="T1139" s="259">
        <v>2.5</v>
      </c>
      <c r="U1139" s="68" t="s">
        <v>2026</v>
      </c>
      <c r="V1139" s="126">
        <v>1</v>
      </c>
      <c r="Z1139" s="126">
        <v>1</v>
      </c>
      <c r="AA1139" s="126">
        <v>1</v>
      </c>
      <c r="AB1139" s="126">
        <v>4</v>
      </c>
      <c r="AC1139" s="126">
        <v>6</v>
      </c>
      <c r="AD1139" s="126">
        <v>2026</v>
      </c>
    </row>
    <row r="1140" spans="3:30">
      <c r="C1140" s="126">
        <v>1133</v>
      </c>
      <c r="D1140" s="126">
        <v>89</v>
      </c>
      <c r="E1140" s="126">
        <v>3</v>
      </c>
      <c r="F1140" s="126">
        <v>1</v>
      </c>
      <c r="G1140" s="126">
        <v>1</v>
      </c>
      <c r="H1140" s="126">
        <v>1</v>
      </c>
      <c r="I1140" s="126">
        <v>1</v>
      </c>
      <c r="J1140" s="126">
        <v>79</v>
      </c>
      <c r="M1140" s="126">
        <v>375</v>
      </c>
      <c r="N1140" s="126">
        <v>0</v>
      </c>
      <c r="P1140" s="126">
        <v>335</v>
      </c>
      <c r="R1140" s="126" t="s">
        <v>549</v>
      </c>
      <c r="S1140" s="259">
        <v>0</v>
      </c>
      <c r="T1140" s="259">
        <v>5</v>
      </c>
      <c r="U1140" s="68" t="s">
        <v>2030</v>
      </c>
      <c r="V1140" s="126">
        <v>1</v>
      </c>
      <c r="Z1140" s="126">
        <v>1</v>
      </c>
      <c r="AA1140" s="126">
        <v>1</v>
      </c>
      <c r="AB1140" s="126">
        <v>4</v>
      </c>
      <c r="AC1140" s="126">
        <v>6</v>
      </c>
      <c r="AD1140" s="126">
        <v>2026</v>
      </c>
    </row>
    <row r="1141" spans="3:30">
      <c r="C1141" s="126">
        <v>1134</v>
      </c>
      <c r="D1141" s="126">
        <v>89</v>
      </c>
      <c r="E1141" s="126">
        <v>11</v>
      </c>
      <c r="F1141" s="126">
        <v>1</v>
      </c>
      <c r="G1141" s="126">
        <v>1</v>
      </c>
      <c r="H1141" s="126">
        <v>1</v>
      </c>
      <c r="I1141" s="126">
        <v>1</v>
      </c>
      <c r="J1141" s="126">
        <v>79</v>
      </c>
      <c r="M1141" s="126">
        <v>375</v>
      </c>
      <c r="N1141" s="126">
        <v>1</v>
      </c>
      <c r="P1141" s="126">
        <v>335</v>
      </c>
      <c r="R1141" s="126" t="s">
        <v>549</v>
      </c>
      <c r="S1141" s="259">
        <v>5</v>
      </c>
      <c r="T1141" s="259">
        <v>0</v>
      </c>
      <c r="U1141" s="68" t="s">
        <v>2031</v>
      </c>
      <c r="V1141" s="126">
        <v>1</v>
      </c>
      <c r="Z1141" s="126">
        <v>1</v>
      </c>
      <c r="AA1141" s="126">
        <v>1</v>
      </c>
      <c r="AB1141" s="126">
        <v>4</v>
      </c>
      <c r="AC1141" s="126">
        <v>6</v>
      </c>
      <c r="AD1141" s="126">
        <v>2026</v>
      </c>
    </row>
    <row r="1142" spans="3:30">
      <c r="C1142" s="126">
        <v>1135</v>
      </c>
      <c r="D1142" s="126">
        <v>89</v>
      </c>
      <c r="E1142" s="126">
        <v>10</v>
      </c>
      <c r="F1142" s="126">
        <v>1</v>
      </c>
      <c r="G1142" s="126">
        <v>1</v>
      </c>
      <c r="H1142" s="126">
        <v>1</v>
      </c>
      <c r="I1142" s="126">
        <v>1</v>
      </c>
      <c r="J1142" s="126">
        <v>79</v>
      </c>
      <c r="P1142" s="126">
        <v>335</v>
      </c>
      <c r="R1142" s="126" t="s">
        <v>549</v>
      </c>
      <c r="S1142" s="259">
        <v>0</v>
      </c>
      <c r="T1142" s="259">
        <v>7.5</v>
      </c>
      <c r="U1142" s="68" t="s">
        <v>2032</v>
      </c>
      <c r="V1142" s="126">
        <v>1</v>
      </c>
      <c r="Z1142" s="126">
        <v>1</v>
      </c>
      <c r="AA1142" s="126">
        <v>1</v>
      </c>
      <c r="AB1142" s="126">
        <v>4</v>
      </c>
      <c r="AC1142" s="126">
        <v>6</v>
      </c>
      <c r="AD1142" s="126">
        <v>2026</v>
      </c>
    </row>
    <row r="1143" spans="3:30">
      <c r="C1143" s="126">
        <v>1136</v>
      </c>
      <c r="D1143" s="126">
        <v>89</v>
      </c>
      <c r="E1143" s="126">
        <v>3</v>
      </c>
      <c r="F1143" s="126">
        <v>1</v>
      </c>
      <c r="G1143" s="126">
        <v>1</v>
      </c>
      <c r="H1143" s="126">
        <v>1</v>
      </c>
      <c r="I1143" s="126">
        <v>1</v>
      </c>
      <c r="J1143" s="126">
        <v>77</v>
      </c>
      <c r="M1143" s="126">
        <v>376</v>
      </c>
      <c r="N1143" s="126">
        <v>0</v>
      </c>
      <c r="P1143" s="126">
        <v>336</v>
      </c>
      <c r="R1143" s="126" t="s">
        <v>549</v>
      </c>
      <c r="S1143" s="259">
        <v>0</v>
      </c>
      <c r="T1143" s="259">
        <v>8.8000000000000007</v>
      </c>
      <c r="U1143" s="68" t="s">
        <v>2035</v>
      </c>
      <c r="V1143" s="126">
        <v>1</v>
      </c>
      <c r="Z1143" s="126">
        <v>1</v>
      </c>
      <c r="AA1143" s="126">
        <v>1</v>
      </c>
      <c r="AB1143" s="126">
        <v>4</v>
      </c>
      <c r="AC1143" s="126">
        <v>6</v>
      </c>
      <c r="AD1143" s="126">
        <v>2026</v>
      </c>
    </row>
    <row r="1144" spans="3:30">
      <c r="C1144" s="126">
        <v>1137</v>
      </c>
      <c r="D1144" s="126">
        <v>89</v>
      </c>
      <c r="E1144" s="126">
        <v>11</v>
      </c>
      <c r="F1144" s="126">
        <v>1</v>
      </c>
      <c r="G1144" s="126">
        <v>1</v>
      </c>
      <c r="H1144" s="126">
        <v>1</v>
      </c>
      <c r="I1144" s="126">
        <v>1</v>
      </c>
      <c r="J1144" s="126">
        <v>77</v>
      </c>
      <c r="M1144" s="126">
        <v>376</v>
      </c>
      <c r="N1144" s="126">
        <v>1</v>
      </c>
      <c r="P1144" s="126">
        <v>336</v>
      </c>
      <c r="R1144" s="126" t="s">
        <v>549</v>
      </c>
      <c r="S1144" s="259">
        <v>8.8000000000000007</v>
      </c>
      <c r="T1144" s="259">
        <v>0</v>
      </c>
      <c r="U1144" s="68" t="s">
        <v>2036</v>
      </c>
      <c r="V1144" s="126">
        <v>1</v>
      </c>
      <c r="Z1144" s="126">
        <v>1</v>
      </c>
      <c r="AA1144" s="126">
        <v>1</v>
      </c>
      <c r="AB1144" s="126">
        <v>4</v>
      </c>
      <c r="AC1144" s="126">
        <v>6</v>
      </c>
      <c r="AD1144" s="126">
        <v>2026</v>
      </c>
    </row>
    <row r="1145" spans="3:30">
      <c r="C1145" s="126">
        <v>1138</v>
      </c>
      <c r="D1145" s="126">
        <v>89</v>
      </c>
      <c r="E1145" s="126">
        <v>10</v>
      </c>
      <c r="F1145" s="126">
        <v>1</v>
      </c>
      <c r="G1145" s="126">
        <v>1</v>
      </c>
      <c r="H1145" s="126">
        <v>1</v>
      </c>
      <c r="I1145" s="126">
        <v>1</v>
      </c>
      <c r="J1145" s="126">
        <v>77</v>
      </c>
      <c r="P1145" s="126">
        <v>336</v>
      </c>
      <c r="R1145" s="126" t="s">
        <v>549</v>
      </c>
      <c r="S1145" s="259">
        <v>0</v>
      </c>
      <c r="T1145" s="259">
        <v>9.5</v>
      </c>
      <c r="U1145" s="68" t="s">
        <v>2037</v>
      </c>
      <c r="V1145" s="126">
        <v>1</v>
      </c>
      <c r="Z1145" s="126">
        <v>1</v>
      </c>
      <c r="AA1145" s="126">
        <v>1</v>
      </c>
      <c r="AB1145" s="126">
        <v>4</v>
      </c>
      <c r="AC1145" s="126">
        <v>6</v>
      </c>
      <c r="AD1145" s="126">
        <v>2026</v>
      </c>
    </row>
    <row r="1146" spans="3:30">
      <c r="C1146" s="126">
        <v>1139</v>
      </c>
      <c r="D1146" s="126">
        <v>89</v>
      </c>
      <c r="E1146" s="126">
        <v>3</v>
      </c>
      <c r="F1146" s="126">
        <v>1</v>
      </c>
      <c r="G1146" s="126">
        <v>1</v>
      </c>
      <c r="H1146" s="126">
        <v>1</v>
      </c>
      <c r="I1146" s="126">
        <v>1</v>
      </c>
      <c r="J1146" s="126">
        <v>32</v>
      </c>
      <c r="M1146" s="126">
        <v>377</v>
      </c>
      <c r="N1146" s="126">
        <v>0</v>
      </c>
      <c r="P1146" s="126">
        <v>337</v>
      </c>
      <c r="R1146" s="126" t="s">
        <v>549</v>
      </c>
      <c r="S1146" s="259">
        <v>0</v>
      </c>
      <c r="T1146" s="259">
        <v>1.04</v>
      </c>
      <c r="U1146" s="68" t="s">
        <v>2038</v>
      </c>
      <c r="V1146" s="126">
        <v>1</v>
      </c>
      <c r="Z1146" s="126">
        <v>1</v>
      </c>
      <c r="AA1146" s="126">
        <v>1</v>
      </c>
      <c r="AB1146" s="126">
        <v>4</v>
      </c>
      <c r="AC1146" s="126">
        <v>6</v>
      </c>
      <c r="AD1146" s="126">
        <v>2026</v>
      </c>
    </row>
    <row r="1147" spans="3:30">
      <c r="C1147" s="126">
        <v>1140</v>
      </c>
      <c r="D1147" s="126">
        <v>89</v>
      </c>
      <c r="E1147" s="126">
        <v>11</v>
      </c>
      <c r="F1147" s="126">
        <v>1</v>
      </c>
      <c r="G1147" s="126">
        <v>1</v>
      </c>
      <c r="H1147" s="126">
        <v>1</v>
      </c>
      <c r="I1147" s="126">
        <v>1</v>
      </c>
      <c r="J1147" s="126">
        <v>32</v>
      </c>
      <c r="M1147" s="126">
        <v>377</v>
      </c>
      <c r="N1147" s="126">
        <v>1</v>
      </c>
      <c r="P1147" s="126">
        <v>337</v>
      </c>
      <c r="R1147" s="126" t="s">
        <v>549</v>
      </c>
      <c r="S1147" s="259">
        <v>1.04</v>
      </c>
      <c r="T1147" s="259">
        <v>0</v>
      </c>
      <c r="U1147" s="68" t="s">
        <v>2039</v>
      </c>
      <c r="V1147" s="126">
        <v>1</v>
      </c>
      <c r="Z1147" s="126">
        <v>1</v>
      </c>
      <c r="AA1147" s="126">
        <v>1</v>
      </c>
      <c r="AB1147" s="126">
        <v>4</v>
      </c>
      <c r="AC1147" s="126">
        <v>6</v>
      </c>
      <c r="AD1147" s="126">
        <v>2026</v>
      </c>
    </row>
    <row r="1148" spans="3:30">
      <c r="C1148" s="126">
        <v>1141</v>
      </c>
      <c r="D1148" s="126">
        <v>89</v>
      </c>
      <c r="E1148" s="126">
        <v>10</v>
      </c>
      <c r="F1148" s="126">
        <v>1</v>
      </c>
      <c r="G1148" s="126">
        <v>1</v>
      </c>
      <c r="H1148" s="126">
        <v>1</v>
      </c>
      <c r="I1148" s="126">
        <v>1</v>
      </c>
      <c r="J1148" s="126">
        <v>32</v>
      </c>
      <c r="P1148" s="126">
        <v>337</v>
      </c>
      <c r="R1148" s="126" t="s">
        <v>549</v>
      </c>
      <c r="S1148" s="259">
        <v>0</v>
      </c>
      <c r="T1148" s="259">
        <v>1.5</v>
      </c>
      <c r="U1148" s="68" t="s">
        <v>2040</v>
      </c>
      <c r="V1148" s="126">
        <v>1</v>
      </c>
      <c r="Z1148" s="126">
        <v>1</v>
      </c>
      <c r="AA1148" s="126">
        <v>1</v>
      </c>
      <c r="AB1148" s="126">
        <v>4</v>
      </c>
      <c r="AC1148" s="126">
        <v>6</v>
      </c>
      <c r="AD1148" s="126">
        <v>2026</v>
      </c>
    </row>
    <row r="1149" spans="3:30">
      <c r="C1149" s="126">
        <v>1142</v>
      </c>
      <c r="D1149" s="126">
        <v>90</v>
      </c>
      <c r="E1149" s="126">
        <v>2</v>
      </c>
      <c r="F1149" s="126">
        <v>1</v>
      </c>
      <c r="G1149" s="126">
        <v>1</v>
      </c>
      <c r="H1149" s="126">
        <v>1</v>
      </c>
      <c r="I1149" s="126">
        <v>1</v>
      </c>
      <c r="R1149" s="126" t="s">
        <v>549</v>
      </c>
      <c r="S1149" s="259">
        <v>45</v>
      </c>
      <c r="T1149" s="259">
        <v>0</v>
      </c>
      <c r="U1149" s="68" t="s">
        <v>2043</v>
      </c>
      <c r="V1149" s="126">
        <v>1</v>
      </c>
      <c r="Z1149" s="126">
        <v>1</v>
      </c>
      <c r="AA1149" s="126">
        <v>1</v>
      </c>
      <c r="AB1149" s="126">
        <v>4</v>
      </c>
      <c r="AC1149" s="126">
        <v>6</v>
      </c>
      <c r="AD1149" s="126">
        <v>2026</v>
      </c>
    </row>
    <row r="1150" spans="3:30">
      <c r="C1150" s="126">
        <v>1143</v>
      </c>
      <c r="D1150" s="126">
        <v>90</v>
      </c>
      <c r="E1150" s="126">
        <v>3</v>
      </c>
      <c r="F1150" s="126">
        <v>1</v>
      </c>
      <c r="G1150" s="126">
        <v>1</v>
      </c>
      <c r="H1150" s="126">
        <v>1</v>
      </c>
      <c r="I1150" s="126">
        <v>1</v>
      </c>
      <c r="J1150" s="126">
        <v>176</v>
      </c>
      <c r="M1150" s="126">
        <v>378</v>
      </c>
      <c r="N1150" s="126">
        <v>0</v>
      </c>
      <c r="P1150" s="126">
        <v>338</v>
      </c>
      <c r="R1150" s="126" t="s">
        <v>549</v>
      </c>
      <c r="S1150" s="259">
        <v>0</v>
      </c>
      <c r="T1150" s="259">
        <v>42.5</v>
      </c>
      <c r="U1150" s="68" t="s">
        <v>2044</v>
      </c>
      <c r="V1150" s="126">
        <v>1</v>
      </c>
      <c r="Z1150" s="126">
        <v>1</v>
      </c>
      <c r="AA1150" s="126">
        <v>1</v>
      </c>
      <c r="AB1150" s="126">
        <v>4</v>
      </c>
      <c r="AC1150" s="126">
        <v>6</v>
      </c>
      <c r="AD1150" s="126">
        <v>2026</v>
      </c>
    </row>
    <row r="1151" spans="3:30">
      <c r="C1151" s="126">
        <v>1144</v>
      </c>
      <c r="D1151" s="126">
        <v>90</v>
      </c>
      <c r="E1151" s="126">
        <v>11</v>
      </c>
      <c r="F1151" s="126">
        <v>1</v>
      </c>
      <c r="G1151" s="126">
        <v>1</v>
      </c>
      <c r="H1151" s="126">
        <v>1</v>
      </c>
      <c r="I1151" s="126">
        <v>1</v>
      </c>
      <c r="J1151" s="126">
        <v>176</v>
      </c>
      <c r="M1151" s="126">
        <v>378</v>
      </c>
      <c r="N1151" s="126">
        <v>1</v>
      </c>
      <c r="P1151" s="126">
        <v>338</v>
      </c>
      <c r="R1151" s="126" t="s">
        <v>549</v>
      </c>
      <c r="S1151" s="259">
        <v>42.5</v>
      </c>
      <c r="T1151" s="259">
        <v>0</v>
      </c>
      <c r="U1151" s="68" t="s">
        <v>2045</v>
      </c>
      <c r="V1151" s="126">
        <v>1</v>
      </c>
      <c r="Z1151" s="126">
        <v>1</v>
      </c>
      <c r="AA1151" s="126">
        <v>1</v>
      </c>
      <c r="AB1151" s="126">
        <v>4</v>
      </c>
      <c r="AC1151" s="126">
        <v>6</v>
      </c>
      <c r="AD1151" s="126">
        <v>2026</v>
      </c>
    </row>
    <row r="1152" spans="3:30">
      <c r="C1152" s="126">
        <v>1145</v>
      </c>
      <c r="D1152" s="126">
        <v>90</v>
      </c>
      <c r="E1152" s="126">
        <v>10</v>
      </c>
      <c r="F1152" s="126">
        <v>1</v>
      </c>
      <c r="G1152" s="126">
        <v>1</v>
      </c>
      <c r="H1152" s="126">
        <v>1</v>
      </c>
      <c r="I1152" s="126">
        <v>1</v>
      </c>
      <c r="J1152" s="126">
        <v>176</v>
      </c>
      <c r="P1152" s="126">
        <v>338</v>
      </c>
      <c r="R1152" s="126" t="s">
        <v>549</v>
      </c>
      <c r="S1152" s="259">
        <v>0</v>
      </c>
      <c r="T1152" s="259">
        <v>45</v>
      </c>
      <c r="U1152" s="68" t="s">
        <v>2046</v>
      </c>
      <c r="V1152" s="126">
        <v>1</v>
      </c>
      <c r="Z1152" s="126">
        <v>1</v>
      </c>
      <c r="AA1152" s="126">
        <v>1</v>
      </c>
      <c r="AB1152" s="126">
        <v>4</v>
      </c>
      <c r="AC1152" s="126">
        <v>6</v>
      </c>
      <c r="AD1152" s="126">
        <v>2026</v>
      </c>
    </row>
    <row r="1153" spans="3:30">
      <c r="C1153" s="126">
        <v>1146</v>
      </c>
      <c r="D1153" s="126">
        <v>91</v>
      </c>
      <c r="E1153" s="126">
        <v>2</v>
      </c>
      <c r="F1153" s="126">
        <v>1</v>
      </c>
      <c r="G1153" s="126">
        <v>1</v>
      </c>
      <c r="H1153" s="126">
        <v>1</v>
      </c>
      <c r="I1153" s="126">
        <v>1</v>
      </c>
      <c r="R1153" s="126" t="s">
        <v>549</v>
      </c>
      <c r="S1153" s="259">
        <v>109.5</v>
      </c>
      <c r="T1153" s="259">
        <v>0</v>
      </c>
      <c r="U1153" s="68" t="s">
        <v>2048</v>
      </c>
      <c r="V1153" s="126">
        <v>1</v>
      </c>
      <c r="Z1153" s="126">
        <v>1</v>
      </c>
      <c r="AA1153" s="126">
        <v>1</v>
      </c>
      <c r="AB1153" s="126">
        <v>4</v>
      </c>
      <c r="AC1153" s="126">
        <v>6</v>
      </c>
      <c r="AD1153" s="126">
        <v>2026</v>
      </c>
    </row>
    <row r="1154" spans="3:30">
      <c r="C1154" s="126">
        <v>1147</v>
      </c>
      <c r="D1154" s="126">
        <v>91</v>
      </c>
      <c r="E1154" s="126">
        <v>3</v>
      </c>
      <c r="F1154" s="126">
        <v>1</v>
      </c>
      <c r="G1154" s="126">
        <v>1</v>
      </c>
      <c r="H1154" s="126">
        <v>1</v>
      </c>
      <c r="I1154" s="126">
        <v>1</v>
      </c>
      <c r="J1154" s="126">
        <v>176</v>
      </c>
      <c r="M1154" s="126">
        <v>379</v>
      </c>
      <c r="N1154" s="126">
        <v>0</v>
      </c>
      <c r="P1154" s="126">
        <v>339</v>
      </c>
      <c r="R1154" s="126" t="s">
        <v>549</v>
      </c>
      <c r="S1154" s="259">
        <v>0</v>
      </c>
      <c r="T1154" s="259">
        <v>21.25</v>
      </c>
      <c r="U1154" s="68" t="s">
        <v>2049</v>
      </c>
      <c r="V1154" s="126">
        <v>1</v>
      </c>
      <c r="Z1154" s="126">
        <v>1</v>
      </c>
      <c r="AA1154" s="126">
        <v>1</v>
      </c>
      <c r="AB1154" s="126">
        <v>4</v>
      </c>
      <c r="AC1154" s="126">
        <v>6</v>
      </c>
      <c r="AD1154" s="126">
        <v>2026</v>
      </c>
    </row>
    <row r="1155" spans="3:30">
      <c r="C1155" s="126">
        <v>1148</v>
      </c>
      <c r="D1155" s="126">
        <v>91</v>
      </c>
      <c r="E1155" s="126">
        <v>11</v>
      </c>
      <c r="F1155" s="126">
        <v>1</v>
      </c>
      <c r="G1155" s="126">
        <v>1</v>
      </c>
      <c r="H1155" s="126">
        <v>1</v>
      </c>
      <c r="I1155" s="126">
        <v>1</v>
      </c>
      <c r="J1155" s="126">
        <v>176</v>
      </c>
      <c r="M1155" s="126">
        <v>379</v>
      </c>
      <c r="N1155" s="126">
        <v>1</v>
      </c>
      <c r="P1155" s="126">
        <v>339</v>
      </c>
      <c r="R1155" s="126" t="s">
        <v>549</v>
      </c>
      <c r="S1155" s="259">
        <v>21.25</v>
      </c>
      <c r="T1155" s="259">
        <v>0</v>
      </c>
      <c r="U1155" s="68" t="s">
        <v>2050</v>
      </c>
      <c r="V1155" s="126">
        <v>1</v>
      </c>
      <c r="Z1155" s="126">
        <v>1</v>
      </c>
      <c r="AA1155" s="126">
        <v>1</v>
      </c>
      <c r="AB1155" s="126">
        <v>4</v>
      </c>
      <c r="AC1155" s="126">
        <v>6</v>
      </c>
      <c r="AD1155" s="126">
        <v>2026</v>
      </c>
    </row>
    <row r="1156" spans="3:30">
      <c r="C1156" s="126">
        <v>1149</v>
      </c>
      <c r="D1156" s="126">
        <v>91</v>
      </c>
      <c r="E1156" s="126">
        <v>10</v>
      </c>
      <c r="F1156" s="126">
        <v>1</v>
      </c>
      <c r="G1156" s="126">
        <v>1</v>
      </c>
      <c r="H1156" s="126">
        <v>1</v>
      </c>
      <c r="I1156" s="126">
        <v>1</v>
      </c>
      <c r="J1156" s="126">
        <v>176</v>
      </c>
      <c r="P1156" s="126">
        <v>339</v>
      </c>
      <c r="R1156" s="126" t="s">
        <v>549</v>
      </c>
      <c r="S1156" s="259">
        <v>0</v>
      </c>
      <c r="T1156" s="259">
        <v>22.5</v>
      </c>
      <c r="U1156" s="68" t="s">
        <v>2051</v>
      </c>
      <c r="V1156" s="126">
        <v>1</v>
      </c>
      <c r="Z1156" s="126">
        <v>1</v>
      </c>
      <c r="AA1156" s="126">
        <v>1</v>
      </c>
      <c r="AB1156" s="126">
        <v>4</v>
      </c>
      <c r="AC1156" s="126">
        <v>6</v>
      </c>
      <c r="AD1156" s="126">
        <v>2026</v>
      </c>
    </row>
    <row r="1157" spans="3:30">
      <c r="C1157" s="126">
        <v>1150</v>
      </c>
      <c r="D1157" s="126">
        <v>91</v>
      </c>
      <c r="E1157" s="126">
        <v>3</v>
      </c>
      <c r="F1157" s="126">
        <v>1</v>
      </c>
      <c r="G1157" s="126">
        <v>1</v>
      </c>
      <c r="H1157" s="126">
        <v>1</v>
      </c>
      <c r="I1157" s="126">
        <v>1</v>
      </c>
      <c r="J1157" s="126">
        <v>156</v>
      </c>
      <c r="M1157" s="126">
        <v>380</v>
      </c>
      <c r="N1157" s="126">
        <v>0</v>
      </c>
      <c r="P1157" s="126">
        <v>340</v>
      </c>
      <c r="R1157" s="126" t="s">
        <v>549</v>
      </c>
      <c r="S1157" s="259">
        <v>0</v>
      </c>
      <c r="T1157" s="259">
        <v>26.46</v>
      </c>
      <c r="U1157" s="68" t="s">
        <v>2052</v>
      </c>
      <c r="V1157" s="126">
        <v>1</v>
      </c>
      <c r="Z1157" s="126">
        <v>1</v>
      </c>
      <c r="AA1157" s="126">
        <v>1</v>
      </c>
      <c r="AB1157" s="126">
        <v>4</v>
      </c>
      <c r="AC1157" s="126">
        <v>6</v>
      </c>
      <c r="AD1157" s="126">
        <v>2026</v>
      </c>
    </row>
    <row r="1158" spans="3:30">
      <c r="C1158" s="126">
        <v>1151</v>
      </c>
      <c r="D1158" s="126">
        <v>91</v>
      </c>
      <c r="E1158" s="126">
        <v>11</v>
      </c>
      <c r="F1158" s="126">
        <v>1</v>
      </c>
      <c r="G1158" s="126">
        <v>1</v>
      </c>
      <c r="H1158" s="126">
        <v>1</v>
      </c>
      <c r="I1158" s="126">
        <v>1</v>
      </c>
      <c r="J1158" s="126">
        <v>156</v>
      </c>
      <c r="M1158" s="126">
        <v>380</v>
      </c>
      <c r="N1158" s="126">
        <v>1</v>
      </c>
      <c r="P1158" s="126">
        <v>340</v>
      </c>
      <c r="R1158" s="126" t="s">
        <v>549</v>
      </c>
      <c r="S1158" s="259">
        <v>26.46</v>
      </c>
      <c r="T1158" s="259">
        <v>0</v>
      </c>
      <c r="U1158" s="68" t="s">
        <v>2053</v>
      </c>
      <c r="V1158" s="126">
        <v>1</v>
      </c>
      <c r="Z1158" s="126">
        <v>1</v>
      </c>
      <c r="AA1158" s="126">
        <v>1</v>
      </c>
      <c r="AB1158" s="126">
        <v>4</v>
      </c>
      <c r="AC1158" s="126">
        <v>6</v>
      </c>
      <c r="AD1158" s="126">
        <v>2026</v>
      </c>
    </row>
    <row r="1159" spans="3:30">
      <c r="C1159" s="126">
        <v>1152</v>
      </c>
      <c r="D1159" s="126">
        <v>91</v>
      </c>
      <c r="E1159" s="126">
        <v>10</v>
      </c>
      <c r="F1159" s="126">
        <v>1</v>
      </c>
      <c r="G1159" s="126">
        <v>1</v>
      </c>
      <c r="H1159" s="126">
        <v>1</v>
      </c>
      <c r="I1159" s="126">
        <v>1</v>
      </c>
      <c r="J1159" s="126">
        <v>156</v>
      </c>
      <c r="P1159" s="126">
        <v>340</v>
      </c>
      <c r="R1159" s="126" t="s">
        <v>549</v>
      </c>
      <c r="S1159" s="259">
        <v>0</v>
      </c>
      <c r="T1159" s="259">
        <v>30</v>
      </c>
      <c r="U1159" s="68" t="s">
        <v>2054</v>
      </c>
      <c r="V1159" s="126">
        <v>1</v>
      </c>
      <c r="Z1159" s="126">
        <v>1</v>
      </c>
      <c r="AA1159" s="126">
        <v>1</v>
      </c>
      <c r="AB1159" s="126">
        <v>4</v>
      </c>
      <c r="AC1159" s="126">
        <v>6</v>
      </c>
      <c r="AD1159" s="126">
        <v>2026</v>
      </c>
    </row>
    <row r="1160" spans="3:30">
      <c r="C1160" s="126">
        <v>1153</v>
      </c>
      <c r="D1160" s="126">
        <v>91</v>
      </c>
      <c r="E1160" s="126">
        <v>3</v>
      </c>
      <c r="F1160" s="126">
        <v>1</v>
      </c>
      <c r="G1160" s="126">
        <v>1</v>
      </c>
      <c r="H1160" s="126">
        <v>1</v>
      </c>
      <c r="I1160" s="126">
        <v>1</v>
      </c>
      <c r="J1160" s="126">
        <v>162</v>
      </c>
      <c r="M1160" s="126">
        <v>381</v>
      </c>
      <c r="N1160" s="126">
        <v>0</v>
      </c>
      <c r="P1160" s="126">
        <v>341</v>
      </c>
      <c r="R1160" s="126" t="s">
        <v>549</v>
      </c>
      <c r="S1160" s="259">
        <v>0</v>
      </c>
      <c r="T1160" s="259">
        <v>53</v>
      </c>
      <c r="U1160" s="68" t="s">
        <v>2055</v>
      </c>
      <c r="V1160" s="126">
        <v>1</v>
      </c>
      <c r="Z1160" s="126">
        <v>1</v>
      </c>
      <c r="AA1160" s="126">
        <v>1</v>
      </c>
      <c r="AB1160" s="126">
        <v>4</v>
      </c>
      <c r="AC1160" s="126">
        <v>6</v>
      </c>
      <c r="AD1160" s="126">
        <v>2026</v>
      </c>
    </row>
    <row r="1161" spans="3:30">
      <c r="C1161" s="126">
        <v>1154</v>
      </c>
      <c r="D1161" s="126">
        <v>91</v>
      </c>
      <c r="E1161" s="126">
        <v>11</v>
      </c>
      <c r="F1161" s="126">
        <v>1</v>
      </c>
      <c r="G1161" s="126">
        <v>1</v>
      </c>
      <c r="H1161" s="126">
        <v>1</v>
      </c>
      <c r="I1161" s="126">
        <v>1</v>
      </c>
      <c r="J1161" s="126">
        <v>162</v>
      </c>
      <c r="M1161" s="126">
        <v>381</v>
      </c>
      <c r="N1161" s="126">
        <v>1</v>
      </c>
      <c r="P1161" s="126">
        <v>341</v>
      </c>
      <c r="R1161" s="126" t="s">
        <v>549</v>
      </c>
      <c r="S1161" s="259">
        <v>53</v>
      </c>
      <c r="T1161" s="259">
        <v>0</v>
      </c>
      <c r="U1161" s="68" t="s">
        <v>2056</v>
      </c>
      <c r="V1161" s="126">
        <v>1</v>
      </c>
      <c r="Z1161" s="126">
        <v>1</v>
      </c>
      <c r="AA1161" s="126">
        <v>1</v>
      </c>
      <c r="AB1161" s="126">
        <v>4</v>
      </c>
      <c r="AC1161" s="126">
        <v>6</v>
      </c>
      <c r="AD1161" s="126">
        <v>2026</v>
      </c>
    </row>
    <row r="1162" spans="3:30">
      <c r="C1162" s="126">
        <v>1155</v>
      </c>
      <c r="D1162" s="126">
        <v>91</v>
      </c>
      <c r="E1162" s="126">
        <v>10</v>
      </c>
      <c r="F1162" s="126">
        <v>1</v>
      </c>
      <c r="G1162" s="126">
        <v>1</v>
      </c>
      <c r="H1162" s="126">
        <v>1</v>
      </c>
      <c r="I1162" s="126">
        <v>1</v>
      </c>
      <c r="J1162" s="126">
        <v>162</v>
      </c>
      <c r="P1162" s="126">
        <v>341</v>
      </c>
      <c r="R1162" s="126" t="s">
        <v>549</v>
      </c>
      <c r="S1162" s="259">
        <v>0</v>
      </c>
      <c r="T1162" s="259">
        <v>57</v>
      </c>
      <c r="U1162" s="68" t="s">
        <v>2057</v>
      </c>
      <c r="V1162" s="126">
        <v>1</v>
      </c>
      <c r="Z1162" s="126">
        <v>1</v>
      </c>
      <c r="AA1162" s="126">
        <v>1</v>
      </c>
      <c r="AB1162" s="126">
        <v>4</v>
      </c>
      <c r="AC1162" s="126">
        <v>6</v>
      </c>
      <c r="AD1162" s="126">
        <v>2026</v>
      </c>
    </row>
    <row r="1163" spans="3:30">
      <c r="C1163" s="126">
        <v>1156</v>
      </c>
      <c r="D1163" s="126">
        <v>92</v>
      </c>
      <c r="E1163" s="126">
        <v>2</v>
      </c>
      <c r="F1163" s="126">
        <v>1</v>
      </c>
      <c r="G1163" s="126">
        <v>1</v>
      </c>
      <c r="H1163" s="126">
        <v>1</v>
      </c>
      <c r="I1163" s="126">
        <v>1</v>
      </c>
      <c r="R1163" s="126" t="s">
        <v>549</v>
      </c>
      <c r="S1163" s="259">
        <v>51.61</v>
      </c>
      <c r="T1163" s="259">
        <v>0</v>
      </c>
      <c r="U1163" s="68" t="s">
        <v>2059</v>
      </c>
      <c r="V1163" s="126">
        <v>1</v>
      </c>
      <c r="Z1163" s="126">
        <v>1</v>
      </c>
      <c r="AA1163" s="126">
        <v>1</v>
      </c>
      <c r="AB1163" s="126">
        <v>4</v>
      </c>
      <c r="AC1163" s="126">
        <v>6</v>
      </c>
      <c r="AD1163" s="126">
        <v>2026</v>
      </c>
    </row>
    <row r="1164" spans="3:30">
      <c r="C1164" s="126">
        <v>1157</v>
      </c>
      <c r="D1164" s="126">
        <v>92</v>
      </c>
      <c r="E1164" s="126">
        <v>3</v>
      </c>
      <c r="F1164" s="126">
        <v>1</v>
      </c>
      <c r="G1164" s="126">
        <v>1</v>
      </c>
      <c r="H1164" s="126">
        <v>1</v>
      </c>
      <c r="I1164" s="126">
        <v>1</v>
      </c>
      <c r="J1164" s="126">
        <v>108</v>
      </c>
      <c r="M1164" s="126">
        <v>382</v>
      </c>
      <c r="N1164" s="126">
        <v>0</v>
      </c>
      <c r="P1164" s="126">
        <v>342</v>
      </c>
      <c r="R1164" s="126" t="s">
        <v>549</v>
      </c>
      <c r="S1164" s="259">
        <v>0</v>
      </c>
      <c r="T1164" s="259">
        <v>18.900000000000002</v>
      </c>
      <c r="U1164" s="68" t="s">
        <v>2060</v>
      </c>
      <c r="V1164" s="126">
        <v>1</v>
      </c>
      <c r="Z1164" s="126">
        <v>1</v>
      </c>
      <c r="AA1164" s="126">
        <v>1</v>
      </c>
      <c r="AB1164" s="126">
        <v>4</v>
      </c>
      <c r="AC1164" s="126">
        <v>6</v>
      </c>
      <c r="AD1164" s="126">
        <v>2026</v>
      </c>
    </row>
    <row r="1165" spans="3:30">
      <c r="C1165" s="126">
        <v>1158</v>
      </c>
      <c r="D1165" s="126">
        <v>92</v>
      </c>
      <c r="E1165" s="126">
        <v>11</v>
      </c>
      <c r="F1165" s="126">
        <v>1</v>
      </c>
      <c r="G1165" s="126">
        <v>1</v>
      </c>
      <c r="H1165" s="126">
        <v>1</v>
      </c>
      <c r="I1165" s="126">
        <v>1</v>
      </c>
      <c r="J1165" s="126">
        <v>108</v>
      </c>
      <c r="M1165" s="126">
        <v>382</v>
      </c>
      <c r="N1165" s="126">
        <v>1</v>
      </c>
      <c r="P1165" s="126">
        <v>342</v>
      </c>
      <c r="R1165" s="126" t="s">
        <v>549</v>
      </c>
      <c r="S1165" s="259">
        <v>18.900000000000002</v>
      </c>
      <c r="T1165" s="259">
        <v>0</v>
      </c>
      <c r="U1165" s="68" t="s">
        <v>2061</v>
      </c>
      <c r="V1165" s="126">
        <v>1</v>
      </c>
      <c r="Z1165" s="126">
        <v>1</v>
      </c>
      <c r="AA1165" s="126">
        <v>1</v>
      </c>
      <c r="AB1165" s="126">
        <v>4</v>
      </c>
      <c r="AC1165" s="126">
        <v>6</v>
      </c>
      <c r="AD1165" s="126">
        <v>2026</v>
      </c>
    </row>
    <row r="1166" spans="3:30">
      <c r="C1166" s="126">
        <v>1159</v>
      </c>
      <c r="D1166" s="126">
        <v>92</v>
      </c>
      <c r="E1166" s="126">
        <v>10</v>
      </c>
      <c r="F1166" s="126">
        <v>1</v>
      </c>
      <c r="G1166" s="126">
        <v>1</v>
      </c>
      <c r="H1166" s="126">
        <v>1</v>
      </c>
      <c r="I1166" s="126">
        <v>1</v>
      </c>
      <c r="J1166" s="126">
        <v>108</v>
      </c>
      <c r="P1166" s="126">
        <v>342</v>
      </c>
      <c r="R1166" s="126" t="s">
        <v>549</v>
      </c>
      <c r="S1166" s="259">
        <v>0</v>
      </c>
      <c r="T1166" s="259">
        <v>21</v>
      </c>
      <c r="U1166" s="68" t="s">
        <v>2062</v>
      </c>
      <c r="V1166" s="126">
        <v>1</v>
      </c>
      <c r="Z1166" s="126">
        <v>1</v>
      </c>
      <c r="AA1166" s="126">
        <v>1</v>
      </c>
      <c r="AB1166" s="126">
        <v>4</v>
      </c>
      <c r="AC1166" s="126">
        <v>6</v>
      </c>
      <c r="AD1166" s="126">
        <v>2026</v>
      </c>
    </row>
    <row r="1167" spans="3:30">
      <c r="C1167" s="126">
        <v>1160</v>
      </c>
      <c r="D1167" s="126">
        <v>92</v>
      </c>
      <c r="E1167" s="126">
        <v>3</v>
      </c>
      <c r="F1167" s="126">
        <v>1</v>
      </c>
      <c r="G1167" s="126">
        <v>1</v>
      </c>
      <c r="H1167" s="126">
        <v>1</v>
      </c>
      <c r="I1167" s="126">
        <v>1</v>
      </c>
      <c r="J1167" s="126">
        <v>150</v>
      </c>
      <c r="M1167" s="126">
        <v>383</v>
      </c>
      <c r="N1167" s="126">
        <v>0</v>
      </c>
      <c r="P1167" s="126">
        <v>343</v>
      </c>
      <c r="R1167" s="126" t="s">
        <v>549</v>
      </c>
      <c r="S1167" s="259">
        <v>0</v>
      </c>
      <c r="T1167" s="259">
        <v>2.6</v>
      </c>
      <c r="U1167" s="68" t="s">
        <v>2064</v>
      </c>
      <c r="V1167" s="126">
        <v>1</v>
      </c>
      <c r="Z1167" s="126">
        <v>1</v>
      </c>
      <c r="AA1167" s="126">
        <v>1</v>
      </c>
      <c r="AB1167" s="126">
        <v>4</v>
      </c>
      <c r="AC1167" s="126">
        <v>6</v>
      </c>
      <c r="AD1167" s="126">
        <v>2026</v>
      </c>
    </row>
    <row r="1168" spans="3:30">
      <c r="C1168" s="126">
        <v>1161</v>
      </c>
      <c r="D1168" s="126">
        <v>92</v>
      </c>
      <c r="E1168" s="126">
        <v>11</v>
      </c>
      <c r="F1168" s="126">
        <v>1</v>
      </c>
      <c r="G1168" s="126">
        <v>1</v>
      </c>
      <c r="H1168" s="126">
        <v>1</v>
      </c>
      <c r="I1168" s="126">
        <v>1</v>
      </c>
      <c r="J1168" s="126">
        <v>150</v>
      </c>
      <c r="M1168" s="126">
        <v>383</v>
      </c>
      <c r="N1168" s="126">
        <v>1</v>
      </c>
      <c r="P1168" s="126">
        <v>343</v>
      </c>
      <c r="R1168" s="126" t="s">
        <v>549</v>
      </c>
      <c r="S1168" s="259">
        <v>2.6</v>
      </c>
      <c r="T1168" s="259">
        <v>0</v>
      </c>
      <c r="U1168" s="68" t="s">
        <v>2065</v>
      </c>
      <c r="V1168" s="126">
        <v>1</v>
      </c>
      <c r="Z1168" s="126">
        <v>1</v>
      </c>
      <c r="AA1168" s="126">
        <v>1</v>
      </c>
      <c r="AB1168" s="126">
        <v>4</v>
      </c>
      <c r="AC1168" s="126">
        <v>6</v>
      </c>
      <c r="AD1168" s="126">
        <v>2026</v>
      </c>
    </row>
    <row r="1169" spans="3:30">
      <c r="C1169" s="126">
        <v>1162</v>
      </c>
      <c r="D1169" s="126">
        <v>92</v>
      </c>
      <c r="E1169" s="126">
        <v>10</v>
      </c>
      <c r="F1169" s="126">
        <v>1</v>
      </c>
      <c r="G1169" s="126">
        <v>1</v>
      </c>
      <c r="H1169" s="126">
        <v>1</v>
      </c>
      <c r="I1169" s="126">
        <v>1</v>
      </c>
      <c r="J1169" s="126">
        <v>150</v>
      </c>
      <c r="P1169" s="126">
        <v>343</v>
      </c>
      <c r="R1169" s="126" t="s">
        <v>549</v>
      </c>
      <c r="S1169" s="259">
        <v>0</v>
      </c>
      <c r="T1169" s="259">
        <v>5</v>
      </c>
      <c r="U1169" s="68" t="s">
        <v>2066</v>
      </c>
      <c r="V1169" s="126">
        <v>1</v>
      </c>
      <c r="Z1169" s="126">
        <v>1</v>
      </c>
      <c r="AA1169" s="126">
        <v>1</v>
      </c>
      <c r="AB1169" s="126">
        <v>4</v>
      </c>
      <c r="AC1169" s="126">
        <v>6</v>
      </c>
      <c r="AD1169" s="126">
        <v>2026</v>
      </c>
    </row>
    <row r="1170" spans="3:30">
      <c r="C1170" s="126">
        <v>1163</v>
      </c>
      <c r="D1170" s="126">
        <v>92</v>
      </c>
      <c r="E1170" s="126">
        <v>3</v>
      </c>
      <c r="F1170" s="126">
        <v>1</v>
      </c>
      <c r="G1170" s="126">
        <v>1</v>
      </c>
      <c r="H1170" s="126">
        <v>1</v>
      </c>
      <c r="I1170" s="126">
        <v>1</v>
      </c>
      <c r="J1170" s="126">
        <v>112</v>
      </c>
      <c r="M1170" s="126">
        <v>384</v>
      </c>
      <c r="N1170" s="126">
        <v>0</v>
      </c>
      <c r="P1170" s="126">
        <v>344</v>
      </c>
      <c r="R1170" s="126" t="s">
        <v>549</v>
      </c>
      <c r="S1170" s="259">
        <v>0</v>
      </c>
      <c r="T1170" s="259">
        <v>2.6</v>
      </c>
      <c r="U1170" s="68" t="s">
        <v>2069</v>
      </c>
      <c r="V1170" s="126">
        <v>1</v>
      </c>
      <c r="Z1170" s="126">
        <v>1</v>
      </c>
      <c r="AA1170" s="126">
        <v>1</v>
      </c>
      <c r="AB1170" s="126">
        <v>4</v>
      </c>
      <c r="AC1170" s="126">
        <v>6</v>
      </c>
      <c r="AD1170" s="126">
        <v>2026</v>
      </c>
    </row>
    <row r="1171" spans="3:30">
      <c r="C1171" s="126">
        <v>1164</v>
      </c>
      <c r="D1171" s="126">
        <v>92</v>
      </c>
      <c r="E1171" s="126">
        <v>11</v>
      </c>
      <c r="F1171" s="126">
        <v>1</v>
      </c>
      <c r="G1171" s="126">
        <v>1</v>
      </c>
      <c r="H1171" s="126">
        <v>1</v>
      </c>
      <c r="I1171" s="126">
        <v>1</v>
      </c>
      <c r="J1171" s="126">
        <v>112</v>
      </c>
      <c r="M1171" s="126">
        <v>384</v>
      </c>
      <c r="N1171" s="126">
        <v>1</v>
      </c>
      <c r="P1171" s="126">
        <v>344</v>
      </c>
      <c r="R1171" s="126" t="s">
        <v>549</v>
      </c>
      <c r="S1171" s="259">
        <v>2.6</v>
      </c>
      <c r="T1171" s="259">
        <v>0</v>
      </c>
      <c r="U1171" s="68" t="s">
        <v>2070</v>
      </c>
      <c r="V1171" s="126">
        <v>1</v>
      </c>
      <c r="Z1171" s="126">
        <v>1</v>
      </c>
      <c r="AA1171" s="126">
        <v>1</v>
      </c>
      <c r="AB1171" s="126">
        <v>4</v>
      </c>
      <c r="AC1171" s="126">
        <v>6</v>
      </c>
      <c r="AD1171" s="126">
        <v>2026</v>
      </c>
    </row>
    <row r="1172" spans="3:30">
      <c r="C1172" s="126">
        <v>1165</v>
      </c>
      <c r="D1172" s="126">
        <v>92</v>
      </c>
      <c r="E1172" s="126">
        <v>10</v>
      </c>
      <c r="F1172" s="126">
        <v>1</v>
      </c>
      <c r="G1172" s="126">
        <v>1</v>
      </c>
      <c r="H1172" s="126">
        <v>1</v>
      </c>
      <c r="I1172" s="126">
        <v>1</v>
      </c>
      <c r="J1172" s="126">
        <v>112</v>
      </c>
      <c r="P1172" s="126">
        <v>344</v>
      </c>
      <c r="R1172" s="126" t="s">
        <v>549</v>
      </c>
      <c r="S1172" s="259">
        <v>0</v>
      </c>
      <c r="T1172" s="259">
        <v>3</v>
      </c>
      <c r="U1172" s="68" t="s">
        <v>2071</v>
      </c>
      <c r="V1172" s="126">
        <v>1</v>
      </c>
      <c r="Z1172" s="126">
        <v>1</v>
      </c>
      <c r="AA1172" s="126">
        <v>1</v>
      </c>
      <c r="AB1172" s="126">
        <v>4</v>
      </c>
      <c r="AC1172" s="126">
        <v>6</v>
      </c>
      <c r="AD1172" s="126">
        <v>2026</v>
      </c>
    </row>
    <row r="1173" spans="3:30">
      <c r="C1173" s="126">
        <v>1166</v>
      </c>
      <c r="D1173" s="126">
        <v>92</v>
      </c>
      <c r="E1173" s="126">
        <v>3</v>
      </c>
      <c r="F1173" s="126">
        <v>1</v>
      </c>
      <c r="G1173" s="126">
        <v>1</v>
      </c>
      <c r="H1173" s="126">
        <v>1</v>
      </c>
      <c r="I1173" s="126">
        <v>1</v>
      </c>
      <c r="J1173" s="126">
        <v>76</v>
      </c>
      <c r="M1173" s="126">
        <v>385</v>
      </c>
      <c r="N1173" s="126">
        <v>0</v>
      </c>
      <c r="P1173" s="126">
        <v>345</v>
      </c>
      <c r="R1173" s="126" t="s">
        <v>549</v>
      </c>
      <c r="S1173" s="259">
        <v>0</v>
      </c>
      <c r="T1173" s="259">
        <v>1.35</v>
      </c>
      <c r="U1173" s="68" t="s">
        <v>2072</v>
      </c>
      <c r="V1173" s="126">
        <v>1</v>
      </c>
      <c r="Z1173" s="126">
        <v>1</v>
      </c>
      <c r="AA1173" s="126">
        <v>1</v>
      </c>
      <c r="AB1173" s="126">
        <v>4</v>
      </c>
      <c r="AC1173" s="126">
        <v>6</v>
      </c>
      <c r="AD1173" s="126">
        <v>2026</v>
      </c>
    </row>
    <row r="1174" spans="3:30">
      <c r="C1174" s="126">
        <v>1167</v>
      </c>
      <c r="D1174" s="126">
        <v>92</v>
      </c>
      <c r="E1174" s="126">
        <v>11</v>
      </c>
      <c r="F1174" s="126">
        <v>1</v>
      </c>
      <c r="G1174" s="126">
        <v>1</v>
      </c>
      <c r="H1174" s="126">
        <v>1</v>
      </c>
      <c r="I1174" s="126">
        <v>1</v>
      </c>
      <c r="J1174" s="126">
        <v>76</v>
      </c>
      <c r="M1174" s="126">
        <v>385</v>
      </c>
      <c r="N1174" s="126">
        <v>1</v>
      </c>
      <c r="P1174" s="126">
        <v>345</v>
      </c>
      <c r="R1174" s="126" t="s">
        <v>549</v>
      </c>
      <c r="S1174" s="259">
        <v>1.35</v>
      </c>
      <c r="T1174" s="259">
        <v>0</v>
      </c>
      <c r="U1174" s="68" t="s">
        <v>2073</v>
      </c>
      <c r="V1174" s="126">
        <v>1</v>
      </c>
      <c r="Z1174" s="126">
        <v>1</v>
      </c>
      <c r="AA1174" s="126">
        <v>1</v>
      </c>
      <c r="AB1174" s="126">
        <v>4</v>
      </c>
      <c r="AC1174" s="126">
        <v>6</v>
      </c>
      <c r="AD1174" s="126">
        <v>2026</v>
      </c>
    </row>
    <row r="1175" spans="3:30">
      <c r="C1175" s="126">
        <v>1168</v>
      </c>
      <c r="D1175" s="126">
        <v>92</v>
      </c>
      <c r="E1175" s="126">
        <v>10</v>
      </c>
      <c r="F1175" s="126">
        <v>1</v>
      </c>
      <c r="G1175" s="126">
        <v>1</v>
      </c>
      <c r="H1175" s="126">
        <v>1</v>
      </c>
      <c r="I1175" s="126">
        <v>1</v>
      </c>
      <c r="J1175" s="126">
        <v>76</v>
      </c>
      <c r="P1175" s="126">
        <v>345</v>
      </c>
      <c r="R1175" s="126" t="s">
        <v>549</v>
      </c>
      <c r="S1175" s="259">
        <v>0</v>
      </c>
      <c r="T1175" s="259">
        <v>1.75</v>
      </c>
      <c r="U1175" s="68" t="s">
        <v>2074</v>
      </c>
      <c r="V1175" s="126">
        <v>1</v>
      </c>
      <c r="Z1175" s="126">
        <v>1</v>
      </c>
      <c r="AA1175" s="126">
        <v>1</v>
      </c>
      <c r="AB1175" s="126">
        <v>4</v>
      </c>
      <c r="AC1175" s="126">
        <v>6</v>
      </c>
      <c r="AD1175" s="126">
        <v>2026</v>
      </c>
    </row>
    <row r="1176" spans="3:30">
      <c r="C1176" s="126">
        <v>1169</v>
      </c>
      <c r="D1176" s="126">
        <v>92</v>
      </c>
      <c r="E1176" s="126">
        <v>3</v>
      </c>
      <c r="F1176" s="126">
        <v>1</v>
      </c>
      <c r="G1176" s="126">
        <v>1</v>
      </c>
      <c r="H1176" s="126">
        <v>1</v>
      </c>
      <c r="I1176" s="126">
        <v>1</v>
      </c>
      <c r="J1176" s="126">
        <v>142</v>
      </c>
      <c r="M1176" s="126">
        <v>386</v>
      </c>
      <c r="N1176" s="126">
        <v>0</v>
      </c>
      <c r="P1176" s="126">
        <v>346</v>
      </c>
      <c r="R1176" s="126" t="s">
        <v>549</v>
      </c>
      <c r="S1176" s="259">
        <v>0</v>
      </c>
      <c r="T1176" s="259">
        <v>0.34</v>
      </c>
      <c r="U1176" s="68" t="s">
        <v>2075</v>
      </c>
      <c r="V1176" s="126">
        <v>1</v>
      </c>
      <c r="Z1176" s="126">
        <v>1</v>
      </c>
      <c r="AA1176" s="126">
        <v>1</v>
      </c>
      <c r="AB1176" s="126">
        <v>4</v>
      </c>
      <c r="AC1176" s="126">
        <v>6</v>
      </c>
      <c r="AD1176" s="126">
        <v>2026</v>
      </c>
    </row>
    <row r="1177" spans="3:30">
      <c r="C1177" s="126">
        <v>1170</v>
      </c>
      <c r="D1177" s="126">
        <v>92</v>
      </c>
      <c r="E1177" s="126">
        <v>11</v>
      </c>
      <c r="F1177" s="126">
        <v>1</v>
      </c>
      <c r="G1177" s="126">
        <v>1</v>
      </c>
      <c r="H1177" s="126">
        <v>1</v>
      </c>
      <c r="I1177" s="126">
        <v>1</v>
      </c>
      <c r="J1177" s="126">
        <v>142</v>
      </c>
      <c r="M1177" s="126">
        <v>386</v>
      </c>
      <c r="N1177" s="126">
        <v>1</v>
      </c>
      <c r="P1177" s="126">
        <v>346</v>
      </c>
      <c r="R1177" s="126" t="s">
        <v>549</v>
      </c>
      <c r="S1177" s="259">
        <v>0.34</v>
      </c>
      <c r="T1177" s="259">
        <v>0</v>
      </c>
      <c r="U1177" s="68" t="s">
        <v>2076</v>
      </c>
      <c r="V1177" s="126">
        <v>1</v>
      </c>
      <c r="Z1177" s="126">
        <v>1</v>
      </c>
      <c r="AA1177" s="126">
        <v>1</v>
      </c>
      <c r="AB1177" s="126">
        <v>4</v>
      </c>
      <c r="AC1177" s="126">
        <v>6</v>
      </c>
      <c r="AD1177" s="126">
        <v>2026</v>
      </c>
    </row>
    <row r="1178" spans="3:30">
      <c r="C1178" s="126">
        <v>1171</v>
      </c>
      <c r="D1178" s="126">
        <v>92</v>
      </c>
      <c r="E1178" s="126">
        <v>10</v>
      </c>
      <c r="F1178" s="126">
        <v>1</v>
      </c>
      <c r="G1178" s="126">
        <v>1</v>
      </c>
      <c r="H1178" s="126">
        <v>1</v>
      </c>
      <c r="I1178" s="126">
        <v>1</v>
      </c>
      <c r="J1178" s="126">
        <v>142</v>
      </c>
      <c r="P1178" s="126">
        <v>346</v>
      </c>
      <c r="R1178" s="126" t="s">
        <v>549</v>
      </c>
      <c r="S1178" s="259">
        <v>0</v>
      </c>
      <c r="T1178" s="259">
        <v>0.88</v>
      </c>
      <c r="U1178" s="68" t="s">
        <v>2077</v>
      </c>
      <c r="V1178" s="126">
        <v>1</v>
      </c>
      <c r="Z1178" s="126">
        <v>1</v>
      </c>
      <c r="AA1178" s="126">
        <v>1</v>
      </c>
      <c r="AB1178" s="126">
        <v>4</v>
      </c>
      <c r="AC1178" s="126">
        <v>6</v>
      </c>
      <c r="AD1178" s="126">
        <v>2026</v>
      </c>
    </row>
    <row r="1179" spans="3:30">
      <c r="C1179" s="126">
        <v>1172</v>
      </c>
      <c r="D1179" s="126">
        <v>92</v>
      </c>
      <c r="E1179" s="126">
        <v>3</v>
      </c>
      <c r="F1179" s="126">
        <v>1</v>
      </c>
      <c r="G1179" s="126">
        <v>1</v>
      </c>
      <c r="H1179" s="126">
        <v>1</v>
      </c>
      <c r="I1179" s="126">
        <v>1</v>
      </c>
      <c r="J1179" s="126">
        <v>187</v>
      </c>
      <c r="M1179" s="126">
        <v>387</v>
      </c>
      <c r="N1179" s="126">
        <v>0</v>
      </c>
      <c r="P1179" s="126">
        <v>347</v>
      </c>
      <c r="R1179" s="126" t="s">
        <v>549</v>
      </c>
      <c r="S1179" s="259">
        <v>0</v>
      </c>
      <c r="T1179" s="259">
        <v>13.48</v>
      </c>
      <c r="U1179" s="68" t="s">
        <v>2078</v>
      </c>
      <c r="V1179" s="126">
        <v>1</v>
      </c>
      <c r="Z1179" s="126">
        <v>1</v>
      </c>
      <c r="AA1179" s="126">
        <v>1</v>
      </c>
      <c r="AB1179" s="126">
        <v>4</v>
      </c>
      <c r="AC1179" s="126">
        <v>6</v>
      </c>
      <c r="AD1179" s="126">
        <v>2026</v>
      </c>
    </row>
    <row r="1180" spans="3:30">
      <c r="C1180" s="126">
        <v>1173</v>
      </c>
      <c r="D1180" s="126">
        <v>92</v>
      </c>
      <c r="E1180" s="126">
        <v>11</v>
      </c>
      <c r="F1180" s="126">
        <v>1</v>
      </c>
      <c r="G1180" s="126">
        <v>1</v>
      </c>
      <c r="H1180" s="126">
        <v>1</v>
      </c>
      <c r="I1180" s="126">
        <v>1</v>
      </c>
      <c r="J1180" s="126">
        <v>187</v>
      </c>
      <c r="M1180" s="126">
        <v>387</v>
      </c>
      <c r="N1180" s="126">
        <v>1</v>
      </c>
      <c r="P1180" s="126">
        <v>347</v>
      </c>
      <c r="R1180" s="126" t="s">
        <v>549</v>
      </c>
      <c r="S1180" s="259">
        <v>13.48</v>
      </c>
      <c r="T1180" s="259">
        <v>0</v>
      </c>
      <c r="U1180" s="68" t="s">
        <v>2079</v>
      </c>
      <c r="V1180" s="126">
        <v>1</v>
      </c>
      <c r="Z1180" s="126">
        <v>1</v>
      </c>
      <c r="AA1180" s="126">
        <v>1</v>
      </c>
      <c r="AB1180" s="126">
        <v>4</v>
      </c>
      <c r="AC1180" s="126">
        <v>6</v>
      </c>
      <c r="AD1180" s="126">
        <v>2026</v>
      </c>
    </row>
    <row r="1181" spans="3:30">
      <c r="C1181" s="126">
        <v>1174</v>
      </c>
      <c r="D1181" s="126">
        <v>92</v>
      </c>
      <c r="E1181" s="126">
        <v>10</v>
      </c>
      <c r="F1181" s="126">
        <v>1</v>
      </c>
      <c r="G1181" s="126">
        <v>1</v>
      </c>
      <c r="H1181" s="126">
        <v>1</v>
      </c>
      <c r="I1181" s="126">
        <v>1</v>
      </c>
      <c r="J1181" s="126">
        <v>187</v>
      </c>
      <c r="P1181" s="126">
        <v>347</v>
      </c>
      <c r="R1181" s="126" t="s">
        <v>549</v>
      </c>
      <c r="S1181" s="259">
        <v>0</v>
      </c>
      <c r="T1181" s="259">
        <v>13.6</v>
      </c>
      <c r="U1181" s="68" t="s">
        <v>2080</v>
      </c>
      <c r="V1181" s="126">
        <v>1</v>
      </c>
      <c r="Z1181" s="126">
        <v>1</v>
      </c>
      <c r="AA1181" s="126">
        <v>1</v>
      </c>
      <c r="AB1181" s="126">
        <v>4</v>
      </c>
      <c r="AC1181" s="126">
        <v>6</v>
      </c>
      <c r="AD1181" s="126">
        <v>2026</v>
      </c>
    </row>
    <row r="1182" spans="3:30">
      <c r="C1182" s="126">
        <v>1175</v>
      </c>
      <c r="D1182" s="126">
        <v>92</v>
      </c>
      <c r="E1182" s="126">
        <v>3</v>
      </c>
      <c r="F1182" s="126">
        <v>1</v>
      </c>
      <c r="G1182" s="126">
        <v>1</v>
      </c>
      <c r="H1182" s="126">
        <v>1</v>
      </c>
      <c r="I1182" s="126">
        <v>1</v>
      </c>
      <c r="J1182" s="126">
        <v>145</v>
      </c>
      <c r="M1182" s="126">
        <v>388</v>
      </c>
      <c r="N1182" s="126">
        <v>0</v>
      </c>
      <c r="P1182" s="126">
        <v>348</v>
      </c>
      <c r="R1182" s="126" t="s">
        <v>549</v>
      </c>
      <c r="S1182" s="259">
        <v>0</v>
      </c>
      <c r="T1182" s="259">
        <v>2.3199999999999998</v>
      </c>
      <c r="U1182" s="68" t="s">
        <v>2081</v>
      </c>
      <c r="V1182" s="126">
        <v>1</v>
      </c>
      <c r="Z1182" s="126">
        <v>1</v>
      </c>
      <c r="AA1182" s="126">
        <v>1</v>
      </c>
      <c r="AB1182" s="126">
        <v>4</v>
      </c>
      <c r="AC1182" s="126">
        <v>6</v>
      </c>
      <c r="AD1182" s="126">
        <v>2026</v>
      </c>
    </row>
    <row r="1183" spans="3:30">
      <c r="C1183" s="126">
        <v>1176</v>
      </c>
      <c r="D1183" s="126">
        <v>92</v>
      </c>
      <c r="E1183" s="126">
        <v>11</v>
      </c>
      <c r="F1183" s="126">
        <v>1</v>
      </c>
      <c r="G1183" s="126">
        <v>1</v>
      </c>
      <c r="H1183" s="126">
        <v>1</v>
      </c>
      <c r="I1183" s="126">
        <v>1</v>
      </c>
      <c r="J1183" s="126">
        <v>145</v>
      </c>
      <c r="M1183" s="126">
        <v>388</v>
      </c>
      <c r="N1183" s="126">
        <v>1</v>
      </c>
      <c r="P1183" s="126">
        <v>348</v>
      </c>
      <c r="R1183" s="126" t="s">
        <v>549</v>
      </c>
      <c r="S1183" s="259">
        <v>2.3199999999999998</v>
      </c>
      <c r="T1183" s="259">
        <v>0</v>
      </c>
      <c r="U1183" s="68" t="s">
        <v>2082</v>
      </c>
      <c r="V1183" s="126">
        <v>1</v>
      </c>
      <c r="Z1183" s="126">
        <v>1</v>
      </c>
      <c r="AA1183" s="126">
        <v>1</v>
      </c>
      <c r="AB1183" s="126">
        <v>4</v>
      </c>
      <c r="AC1183" s="126">
        <v>6</v>
      </c>
      <c r="AD1183" s="126">
        <v>2026</v>
      </c>
    </row>
    <row r="1184" spans="3:30">
      <c r="C1184" s="126">
        <v>1177</v>
      </c>
      <c r="D1184" s="126">
        <v>92</v>
      </c>
      <c r="E1184" s="126">
        <v>10</v>
      </c>
      <c r="F1184" s="126">
        <v>1</v>
      </c>
      <c r="G1184" s="126">
        <v>1</v>
      </c>
      <c r="H1184" s="126">
        <v>1</v>
      </c>
      <c r="I1184" s="126">
        <v>1</v>
      </c>
      <c r="J1184" s="126">
        <v>145</v>
      </c>
      <c r="P1184" s="126">
        <v>348</v>
      </c>
      <c r="R1184" s="126" t="s">
        <v>549</v>
      </c>
      <c r="S1184" s="259">
        <v>0</v>
      </c>
      <c r="T1184" s="259">
        <v>4</v>
      </c>
      <c r="U1184" s="68" t="s">
        <v>2083</v>
      </c>
      <c r="V1184" s="126">
        <v>1</v>
      </c>
      <c r="Z1184" s="126">
        <v>1</v>
      </c>
      <c r="AA1184" s="126">
        <v>1</v>
      </c>
      <c r="AB1184" s="126">
        <v>4</v>
      </c>
      <c r="AC1184" s="126">
        <v>6</v>
      </c>
      <c r="AD1184" s="126">
        <v>2026</v>
      </c>
    </row>
    <row r="1185" spans="3:30">
      <c r="C1185" s="126">
        <v>1178</v>
      </c>
      <c r="D1185" s="126">
        <v>92</v>
      </c>
      <c r="E1185" s="126">
        <v>3</v>
      </c>
      <c r="F1185" s="126">
        <v>1</v>
      </c>
      <c r="G1185" s="126">
        <v>1</v>
      </c>
      <c r="H1185" s="126">
        <v>1</v>
      </c>
      <c r="I1185" s="126">
        <v>1</v>
      </c>
      <c r="J1185" s="126">
        <v>144</v>
      </c>
      <c r="M1185" s="126">
        <v>389</v>
      </c>
      <c r="N1185" s="126">
        <v>0</v>
      </c>
      <c r="P1185" s="126">
        <v>349</v>
      </c>
      <c r="R1185" s="126" t="s">
        <v>549</v>
      </c>
      <c r="S1185" s="259">
        <v>0</v>
      </c>
      <c r="T1185" s="259">
        <v>0.3</v>
      </c>
      <c r="U1185" s="68" t="s">
        <v>2084</v>
      </c>
      <c r="V1185" s="126">
        <v>1</v>
      </c>
      <c r="Z1185" s="126">
        <v>1</v>
      </c>
      <c r="AA1185" s="126">
        <v>1</v>
      </c>
      <c r="AB1185" s="126">
        <v>4</v>
      </c>
      <c r="AC1185" s="126">
        <v>6</v>
      </c>
      <c r="AD1185" s="126">
        <v>2026</v>
      </c>
    </row>
    <row r="1186" spans="3:30">
      <c r="C1186" s="126">
        <v>1179</v>
      </c>
      <c r="D1186" s="126">
        <v>92</v>
      </c>
      <c r="E1186" s="126">
        <v>11</v>
      </c>
      <c r="F1186" s="126">
        <v>1</v>
      </c>
      <c r="G1186" s="126">
        <v>1</v>
      </c>
      <c r="H1186" s="126">
        <v>1</v>
      </c>
      <c r="I1186" s="126">
        <v>1</v>
      </c>
      <c r="J1186" s="126">
        <v>144</v>
      </c>
      <c r="M1186" s="126">
        <v>389</v>
      </c>
      <c r="N1186" s="126">
        <v>1</v>
      </c>
      <c r="P1186" s="126">
        <v>349</v>
      </c>
      <c r="R1186" s="126" t="s">
        <v>549</v>
      </c>
      <c r="S1186" s="259">
        <v>0.3</v>
      </c>
      <c r="T1186" s="259">
        <v>0</v>
      </c>
      <c r="U1186" s="68" t="s">
        <v>2085</v>
      </c>
      <c r="V1186" s="126">
        <v>1</v>
      </c>
      <c r="Z1186" s="126">
        <v>1</v>
      </c>
      <c r="AA1186" s="126">
        <v>1</v>
      </c>
      <c r="AB1186" s="126">
        <v>4</v>
      </c>
      <c r="AC1186" s="126">
        <v>6</v>
      </c>
      <c r="AD1186" s="126">
        <v>2026</v>
      </c>
    </row>
    <row r="1187" spans="3:30">
      <c r="C1187" s="126">
        <v>1180</v>
      </c>
      <c r="D1187" s="126">
        <v>92</v>
      </c>
      <c r="E1187" s="126">
        <v>10</v>
      </c>
      <c r="F1187" s="126">
        <v>1</v>
      </c>
      <c r="G1187" s="126">
        <v>1</v>
      </c>
      <c r="H1187" s="126">
        <v>1</v>
      </c>
      <c r="I1187" s="126">
        <v>1</v>
      </c>
      <c r="J1187" s="126">
        <v>144</v>
      </c>
      <c r="P1187" s="126">
        <v>349</v>
      </c>
      <c r="R1187" s="126" t="s">
        <v>549</v>
      </c>
      <c r="S1187" s="259">
        <v>0</v>
      </c>
      <c r="T1187" s="259">
        <v>0.63</v>
      </c>
      <c r="U1187" s="68" t="s">
        <v>2086</v>
      </c>
      <c r="V1187" s="126">
        <v>1</v>
      </c>
      <c r="Z1187" s="126">
        <v>1</v>
      </c>
      <c r="AA1187" s="126">
        <v>1</v>
      </c>
      <c r="AB1187" s="126">
        <v>4</v>
      </c>
      <c r="AC1187" s="126">
        <v>6</v>
      </c>
      <c r="AD1187" s="126">
        <v>2026</v>
      </c>
    </row>
    <row r="1188" spans="3:30">
      <c r="C1188" s="126">
        <v>1181</v>
      </c>
      <c r="D1188" s="126">
        <v>92</v>
      </c>
      <c r="E1188" s="126">
        <v>3</v>
      </c>
      <c r="F1188" s="126">
        <v>1</v>
      </c>
      <c r="G1188" s="126">
        <v>1</v>
      </c>
      <c r="H1188" s="126">
        <v>1</v>
      </c>
      <c r="I1188" s="126">
        <v>1</v>
      </c>
      <c r="J1188" s="126">
        <v>8</v>
      </c>
      <c r="M1188" s="126">
        <v>390</v>
      </c>
      <c r="N1188" s="126">
        <v>0</v>
      </c>
      <c r="P1188" s="126">
        <v>350</v>
      </c>
      <c r="R1188" s="126" t="s">
        <v>549</v>
      </c>
      <c r="S1188" s="259">
        <v>0</v>
      </c>
      <c r="T1188" s="259">
        <v>1.32</v>
      </c>
      <c r="U1188" s="68" t="s">
        <v>2087</v>
      </c>
      <c r="V1188" s="126">
        <v>1</v>
      </c>
      <c r="Z1188" s="126">
        <v>1</v>
      </c>
      <c r="AA1188" s="126">
        <v>1</v>
      </c>
      <c r="AB1188" s="126">
        <v>4</v>
      </c>
      <c r="AC1188" s="126">
        <v>6</v>
      </c>
      <c r="AD1188" s="126">
        <v>2026</v>
      </c>
    </row>
    <row r="1189" spans="3:30">
      <c r="C1189" s="126">
        <v>1182</v>
      </c>
      <c r="D1189" s="126">
        <v>92</v>
      </c>
      <c r="E1189" s="126">
        <v>11</v>
      </c>
      <c r="F1189" s="126">
        <v>1</v>
      </c>
      <c r="G1189" s="126">
        <v>1</v>
      </c>
      <c r="H1189" s="126">
        <v>1</v>
      </c>
      <c r="I1189" s="126">
        <v>1</v>
      </c>
      <c r="J1189" s="126">
        <v>8</v>
      </c>
      <c r="M1189" s="126">
        <v>390</v>
      </c>
      <c r="N1189" s="126">
        <v>1</v>
      </c>
      <c r="P1189" s="126">
        <v>350</v>
      </c>
      <c r="R1189" s="126" t="s">
        <v>549</v>
      </c>
      <c r="S1189" s="259">
        <v>1.32</v>
      </c>
      <c r="T1189" s="259">
        <v>0</v>
      </c>
      <c r="U1189" s="68" t="s">
        <v>2088</v>
      </c>
      <c r="V1189" s="126">
        <v>1</v>
      </c>
      <c r="Z1189" s="126">
        <v>1</v>
      </c>
      <c r="AA1189" s="126">
        <v>1</v>
      </c>
      <c r="AB1189" s="126">
        <v>4</v>
      </c>
      <c r="AC1189" s="126">
        <v>6</v>
      </c>
      <c r="AD1189" s="126">
        <v>2026</v>
      </c>
    </row>
    <row r="1190" spans="3:30">
      <c r="C1190" s="126">
        <v>1183</v>
      </c>
      <c r="D1190" s="126">
        <v>92</v>
      </c>
      <c r="E1190" s="126">
        <v>10</v>
      </c>
      <c r="F1190" s="126">
        <v>1</v>
      </c>
      <c r="G1190" s="126">
        <v>1</v>
      </c>
      <c r="H1190" s="126">
        <v>1</v>
      </c>
      <c r="I1190" s="126">
        <v>1</v>
      </c>
      <c r="J1190" s="126">
        <v>8</v>
      </c>
      <c r="P1190" s="126">
        <v>350</v>
      </c>
      <c r="R1190" s="126" t="s">
        <v>549</v>
      </c>
      <c r="S1190" s="259">
        <v>0</v>
      </c>
      <c r="T1190" s="259">
        <v>1.75</v>
      </c>
      <c r="U1190" s="68" t="s">
        <v>2089</v>
      </c>
      <c r="V1190" s="126">
        <v>1</v>
      </c>
      <c r="Z1190" s="126">
        <v>1</v>
      </c>
      <c r="AA1190" s="126">
        <v>1</v>
      </c>
      <c r="AB1190" s="126">
        <v>4</v>
      </c>
      <c r="AC1190" s="126">
        <v>6</v>
      </c>
      <c r="AD1190" s="126">
        <v>2026</v>
      </c>
    </row>
    <row r="1191" spans="3:30">
      <c r="C1191" s="126">
        <v>1184</v>
      </c>
      <c r="D1191" s="126">
        <v>93</v>
      </c>
      <c r="E1191" s="126">
        <v>2</v>
      </c>
      <c r="F1191" s="126">
        <v>1</v>
      </c>
      <c r="G1191" s="126">
        <v>1</v>
      </c>
      <c r="H1191" s="126">
        <v>1</v>
      </c>
      <c r="I1191" s="126">
        <v>1</v>
      </c>
      <c r="R1191" s="126" t="s">
        <v>549</v>
      </c>
      <c r="S1191" s="259">
        <v>64.5</v>
      </c>
      <c r="T1191" s="259">
        <v>0</v>
      </c>
      <c r="U1191" s="68" t="s">
        <v>2092</v>
      </c>
      <c r="V1191" s="126">
        <v>1</v>
      </c>
      <c r="Z1191" s="126">
        <v>1</v>
      </c>
      <c r="AA1191" s="126">
        <v>1</v>
      </c>
      <c r="AB1191" s="126">
        <v>4</v>
      </c>
      <c r="AC1191" s="126">
        <v>6</v>
      </c>
      <c r="AD1191" s="126">
        <v>2026</v>
      </c>
    </row>
    <row r="1192" spans="3:30">
      <c r="C1192" s="126">
        <v>1185</v>
      </c>
      <c r="D1192" s="126">
        <v>93</v>
      </c>
      <c r="E1192" s="126">
        <v>3</v>
      </c>
      <c r="F1192" s="126">
        <v>1</v>
      </c>
      <c r="G1192" s="126">
        <v>1</v>
      </c>
      <c r="H1192" s="126">
        <v>1</v>
      </c>
      <c r="I1192" s="126">
        <v>1</v>
      </c>
      <c r="J1192" s="126">
        <v>1</v>
      </c>
      <c r="M1192" s="126">
        <v>391</v>
      </c>
      <c r="N1192" s="126">
        <v>0</v>
      </c>
      <c r="P1192" s="126">
        <v>351</v>
      </c>
      <c r="R1192" s="126" t="s">
        <v>549</v>
      </c>
      <c r="S1192" s="259">
        <v>0</v>
      </c>
      <c r="T1192" s="259">
        <v>27.34</v>
      </c>
      <c r="U1192" s="68" t="s">
        <v>2093</v>
      </c>
      <c r="V1192" s="126">
        <v>1</v>
      </c>
      <c r="Z1192" s="126">
        <v>1</v>
      </c>
      <c r="AA1192" s="126">
        <v>1</v>
      </c>
      <c r="AB1192" s="126">
        <v>4</v>
      </c>
      <c r="AC1192" s="126">
        <v>6</v>
      </c>
      <c r="AD1192" s="126">
        <v>2026</v>
      </c>
    </row>
    <row r="1193" spans="3:30">
      <c r="C1193" s="126">
        <v>1186</v>
      </c>
      <c r="D1193" s="126">
        <v>93</v>
      </c>
      <c r="E1193" s="126">
        <v>11</v>
      </c>
      <c r="F1193" s="126">
        <v>1</v>
      </c>
      <c r="G1193" s="126">
        <v>1</v>
      </c>
      <c r="H1193" s="126">
        <v>1</v>
      </c>
      <c r="I1193" s="126">
        <v>1</v>
      </c>
      <c r="J1193" s="126">
        <v>1</v>
      </c>
      <c r="M1193" s="126">
        <v>391</v>
      </c>
      <c r="N1193" s="126">
        <v>1</v>
      </c>
      <c r="P1193" s="126">
        <v>351</v>
      </c>
      <c r="R1193" s="126" t="s">
        <v>549</v>
      </c>
      <c r="S1193" s="259">
        <v>27.34</v>
      </c>
      <c r="T1193" s="259">
        <v>0</v>
      </c>
      <c r="U1193" s="68" t="s">
        <v>2094</v>
      </c>
      <c r="V1193" s="126">
        <v>1</v>
      </c>
      <c r="Z1193" s="126">
        <v>1</v>
      </c>
      <c r="AA1193" s="126">
        <v>1</v>
      </c>
      <c r="AB1193" s="126">
        <v>4</v>
      </c>
      <c r="AC1193" s="126">
        <v>6</v>
      </c>
      <c r="AD1193" s="126">
        <v>2026</v>
      </c>
    </row>
    <row r="1194" spans="3:30">
      <c r="C1194" s="126">
        <v>1187</v>
      </c>
      <c r="D1194" s="126">
        <v>93</v>
      </c>
      <c r="E1194" s="126">
        <v>10</v>
      </c>
      <c r="F1194" s="126">
        <v>1</v>
      </c>
      <c r="G1194" s="126">
        <v>1</v>
      </c>
      <c r="H1194" s="126">
        <v>1</v>
      </c>
      <c r="I1194" s="126">
        <v>1</v>
      </c>
      <c r="J1194" s="126">
        <v>1</v>
      </c>
      <c r="P1194" s="126">
        <v>351</v>
      </c>
      <c r="R1194" s="126" t="s">
        <v>549</v>
      </c>
      <c r="S1194" s="259">
        <v>0</v>
      </c>
      <c r="T1194" s="259">
        <v>28.5</v>
      </c>
      <c r="U1194" s="68" t="s">
        <v>2095</v>
      </c>
      <c r="V1194" s="126">
        <v>1</v>
      </c>
      <c r="Z1194" s="126">
        <v>1</v>
      </c>
      <c r="AA1194" s="126">
        <v>1</v>
      </c>
      <c r="AB1194" s="126">
        <v>4</v>
      </c>
      <c r="AC1194" s="126">
        <v>6</v>
      </c>
      <c r="AD1194" s="126">
        <v>2026</v>
      </c>
    </row>
    <row r="1195" spans="3:30">
      <c r="C1195" s="126">
        <v>1188</v>
      </c>
      <c r="D1195" s="126">
        <v>93</v>
      </c>
      <c r="E1195" s="126">
        <v>3</v>
      </c>
      <c r="F1195" s="126">
        <v>1</v>
      </c>
      <c r="G1195" s="126">
        <v>1</v>
      </c>
      <c r="H1195" s="126">
        <v>1</v>
      </c>
      <c r="I1195" s="126">
        <v>1</v>
      </c>
      <c r="J1195" s="126">
        <v>174</v>
      </c>
      <c r="M1195" s="126">
        <v>392</v>
      </c>
      <c r="N1195" s="126">
        <v>0</v>
      </c>
      <c r="P1195" s="126">
        <v>352</v>
      </c>
      <c r="R1195" s="126" t="s">
        <v>549</v>
      </c>
      <c r="S1195" s="259">
        <v>0</v>
      </c>
      <c r="T1195" s="259">
        <v>0.4</v>
      </c>
      <c r="U1195" s="68" t="s">
        <v>2098</v>
      </c>
      <c r="V1195" s="126">
        <v>1</v>
      </c>
      <c r="Z1195" s="126">
        <v>1</v>
      </c>
      <c r="AA1195" s="126">
        <v>1</v>
      </c>
      <c r="AB1195" s="126">
        <v>4</v>
      </c>
      <c r="AC1195" s="126">
        <v>6</v>
      </c>
      <c r="AD1195" s="126">
        <v>2026</v>
      </c>
    </row>
    <row r="1196" spans="3:30">
      <c r="C1196" s="126">
        <v>1189</v>
      </c>
      <c r="D1196" s="126">
        <v>93</v>
      </c>
      <c r="E1196" s="126">
        <v>11</v>
      </c>
      <c r="F1196" s="126">
        <v>1</v>
      </c>
      <c r="G1196" s="126">
        <v>1</v>
      </c>
      <c r="H1196" s="126">
        <v>1</v>
      </c>
      <c r="I1196" s="126">
        <v>1</v>
      </c>
      <c r="J1196" s="126">
        <v>174</v>
      </c>
      <c r="M1196" s="126">
        <v>392</v>
      </c>
      <c r="N1196" s="126">
        <v>1</v>
      </c>
      <c r="P1196" s="126">
        <v>352</v>
      </c>
      <c r="R1196" s="126" t="s">
        <v>549</v>
      </c>
      <c r="S1196" s="259">
        <v>0.4</v>
      </c>
      <c r="T1196" s="259">
        <v>0</v>
      </c>
      <c r="U1196" s="68" t="s">
        <v>2099</v>
      </c>
      <c r="V1196" s="126">
        <v>1</v>
      </c>
      <c r="Z1196" s="126">
        <v>1</v>
      </c>
      <c r="AA1196" s="126">
        <v>1</v>
      </c>
      <c r="AB1196" s="126">
        <v>4</v>
      </c>
      <c r="AC1196" s="126">
        <v>6</v>
      </c>
      <c r="AD1196" s="126">
        <v>2026</v>
      </c>
    </row>
    <row r="1197" spans="3:30">
      <c r="C1197" s="126">
        <v>1190</v>
      </c>
      <c r="D1197" s="126">
        <v>93</v>
      </c>
      <c r="E1197" s="126">
        <v>10</v>
      </c>
      <c r="F1197" s="126">
        <v>1</v>
      </c>
      <c r="G1197" s="126">
        <v>1</v>
      </c>
      <c r="H1197" s="126">
        <v>1</v>
      </c>
      <c r="I1197" s="126">
        <v>1</v>
      </c>
      <c r="J1197" s="126">
        <v>174</v>
      </c>
      <c r="P1197" s="126">
        <v>352</v>
      </c>
      <c r="R1197" s="126" t="s">
        <v>549</v>
      </c>
      <c r="S1197" s="259">
        <v>0</v>
      </c>
      <c r="T1197" s="259">
        <v>1.5</v>
      </c>
      <c r="U1197" s="68" t="s">
        <v>2100</v>
      </c>
      <c r="V1197" s="126">
        <v>1</v>
      </c>
      <c r="Z1197" s="126">
        <v>1</v>
      </c>
      <c r="AA1197" s="126">
        <v>1</v>
      </c>
      <c r="AB1197" s="126">
        <v>4</v>
      </c>
      <c r="AC1197" s="126">
        <v>6</v>
      </c>
      <c r="AD1197" s="126">
        <v>2026</v>
      </c>
    </row>
    <row r="1198" spans="3:30">
      <c r="C1198" s="126">
        <v>1191</v>
      </c>
      <c r="D1198" s="126">
        <v>93</v>
      </c>
      <c r="E1198" s="126">
        <v>3</v>
      </c>
      <c r="F1198" s="126">
        <v>1</v>
      </c>
      <c r="G1198" s="126">
        <v>1</v>
      </c>
      <c r="H1198" s="126">
        <v>1</v>
      </c>
      <c r="I1198" s="126">
        <v>1</v>
      </c>
      <c r="J1198" s="126">
        <v>168</v>
      </c>
      <c r="M1198" s="126">
        <v>393</v>
      </c>
      <c r="N1198" s="126">
        <v>0</v>
      </c>
      <c r="P1198" s="126">
        <v>353</v>
      </c>
      <c r="R1198" s="126" t="s">
        <v>549</v>
      </c>
      <c r="S1198" s="259">
        <v>0</v>
      </c>
      <c r="T1198" s="259">
        <v>2.4</v>
      </c>
      <c r="U1198" s="68" t="s">
        <v>2103</v>
      </c>
      <c r="V1198" s="126">
        <v>1</v>
      </c>
      <c r="Z1198" s="126">
        <v>1</v>
      </c>
      <c r="AA1198" s="126">
        <v>1</v>
      </c>
      <c r="AB1198" s="126">
        <v>4</v>
      </c>
      <c r="AC1198" s="126">
        <v>6</v>
      </c>
      <c r="AD1198" s="126">
        <v>2026</v>
      </c>
    </row>
    <row r="1199" spans="3:30">
      <c r="C1199" s="126">
        <v>1192</v>
      </c>
      <c r="D1199" s="126">
        <v>93</v>
      </c>
      <c r="E1199" s="126">
        <v>11</v>
      </c>
      <c r="F1199" s="126">
        <v>1</v>
      </c>
      <c r="G1199" s="126">
        <v>1</v>
      </c>
      <c r="H1199" s="126">
        <v>1</v>
      </c>
      <c r="I1199" s="126">
        <v>1</v>
      </c>
      <c r="J1199" s="126">
        <v>168</v>
      </c>
      <c r="M1199" s="126">
        <v>393</v>
      </c>
      <c r="N1199" s="126">
        <v>1</v>
      </c>
      <c r="P1199" s="126">
        <v>353</v>
      </c>
      <c r="R1199" s="126" t="s">
        <v>549</v>
      </c>
      <c r="S1199" s="259">
        <v>2.4</v>
      </c>
      <c r="T1199" s="259">
        <v>0</v>
      </c>
      <c r="U1199" s="68" t="s">
        <v>2104</v>
      </c>
      <c r="V1199" s="126">
        <v>1</v>
      </c>
      <c r="Z1199" s="126">
        <v>1</v>
      </c>
      <c r="AA1199" s="126">
        <v>1</v>
      </c>
      <c r="AB1199" s="126">
        <v>4</v>
      </c>
      <c r="AC1199" s="126">
        <v>6</v>
      </c>
      <c r="AD1199" s="126">
        <v>2026</v>
      </c>
    </row>
    <row r="1200" spans="3:30">
      <c r="C1200" s="126">
        <v>1193</v>
      </c>
      <c r="D1200" s="126">
        <v>93</v>
      </c>
      <c r="E1200" s="126">
        <v>10</v>
      </c>
      <c r="F1200" s="126">
        <v>1</v>
      </c>
      <c r="G1200" s="126">
        <v>1</v>
      </c>
      <c r="H1200" s="126">
        <v>1</v>
      </c>
      <c r="I1200" s="126">
        <v>1</v>
      </c>
      <c r="J1200" s="126">
        <v>168</v>
      </c>
      <c r="P1200" s="126">
        <v>353</v>
      </c>
      <c r="R1200" s="126" t="s">
        <v>549</v>
      </c>
      <c r="S1200" s="259">
        <v>0</v>
      </c>
      <c r="T1200" s="259">
        <v>3</v>
      </c>
      <c r="U1200" s="68" t="s">
        <v>2105</v>
      </c>
      <c r="V1200" s="126">
        <v>1</v>
      </c>
      <c r="Z1200" s="126">
        <v>1</v>
      </c>
      <c r="AA1200" s="126">
        <v>1</v>
      </c>
      <c r="AB1200" s="126">
        <v>4</v>
      </c>
      <c r="AC1200" s="126">
        <v>6</v>
      </c>
      <c r="AD1200" s="126">
        <v>2026</v>
      </c>
    </row>
    <row r="1201" spans="3:30">
      <c r="C1201" s="126">
        <v>1194</v>
      </c>
      <c r="D1201" s="126">
        <v>93</v>
      </c>
      <c r="E1201" s="126">
        <v>3</v>
      </c>
      <c r="F1201" s="126">
        <v>1</v>
      </c>
      <c r="G1201" s="126">
        <v>1</v>
      </c>
      <c r="H1201" s="126">
        <v>1</v>
      </c>
      <c r="I1201" s="126">
        <v>1</v>
      </c>
      <c r="J1201" s="126">
        <v>172</v>
      </c>
      <c r="M1201" s="126">
        <v>394</v>
      </c>
      <c r="N1201" s="126">
        <v>0</v>
      </c>
      <c r="P1201" s="126">
        <v>354</v>
      </c>
      <c r="R1201" s="126" t="s">
        <v>549</v>
      </c>
      <c r="S1201" s="259">
        <v>0</v>
      </c>
      <c r="T1201" s="259">
        <v>0.2</v>
      </c>
      <c r="U1201" s="68" t="s">
        <v>2108</v>
      </c>
      <c r="V1201" s="126">
        <v>1</v>
      </c>
      <c r="Z1201" s="126">
        <v>1</v>
      </c>
      <c r="AA1201" s="126">
        <v>1</v>
      </c>
      <c r="AB1201" s="126">
        <v>4</v>
      </c>
      <c r="AC1201" s="126">
        <v>6</v>
      </c>
      <c r="AD1201" s="126">
        <v>2026</v>
      </c>
    </row>
    <row r="1202" spans="3:30">
      <c r="C1202" s="126">
        <v>1195</v>
      </c>
      <c r="D1202" s="126">
        <v>93</v>
      </c>
      <c r="E1202" s="126">
        <v>11</v>
      </c>
      <c r="F1202" s="126">
        <v>1</v>
      </c>
      <c r="G1202" s="126">
        <v>1</v>
      </c>
      <c r="H1202" s="126">
        <v>1</v>
      </c>
      <c r="I1202" s="126">
        <v>1</v>
      </c>
      <c r="J1202" s="126">
        <v>172</v>
      </c>
      <c r="M1202" s="126">
        <v>394</v>
      </c>
      <c r="N1202" s="126">
        <v>1</v>
      </c>
      <c r="P1202" s="126">
        <v>354</v>
      </c>
      <c r="R1202" s="126" t="s">
        <v>549</v>
      </c>
      <c r="S1202" s="259">
        <v>0.2</v>
      </c>
      <c r="T1202" s="259">
        <v>0</v>
      </c>
      <c r="U1202" s="68" t="s">
        <v>2109</v>
      </c>
      <c r="V1202" s="126">
        <v>1</v>
      </c>
      <c r="Z1202" s="126">
        <v>1</v>
      </c>
      <c r="AA1202" s="126">
        <v>1</v>
      </c>
      <c r="AB1202" s="126">
        <v>4</v>
      </c>
      <c r="AC1202" s="126">
        <v>6</v>
      </c>
      <c r="AD1202" s="126">
        <v>2026</v>
      </c>
    </row>
    <row r="1203" spans="3:30">
      <c r="C1203" s="126">
        <v>1196</v>
      </c>
      <c r="D1203" s="126">
        <v>93</v>
      </c>
      <c r="E1203" s="126">
        <v>10</v>
      </c>
      <c r="F1203" s="126">
        <v>1</v>
      </c>
      <c r="G1203" s="126">
        <v>1</v>
      </c>
      <c r="H1203" s="126">
        <v>1</v>
      </c>
      <c r="I1203" s="126">
        <v>1</v>
      </c>
      <c r="J1203" s="126">
        <v>172</v>
      </c>
      <c r="P1203" s="126">
        <v>354</v>
      </c>
      <c r="R1203" s="126" t="s">
        <v>549</v>
      </c>
      <c r="S1203" s="259">
        <v>0</v>
      </c>
      <c r="T1203" s="259">
        <v>0.5</v>
      </c>
      <c r="U1203" s="68" t="s">
        <v>2110</v>
      </c>
      <c r="V1203" s="126">
        <v>1</v>
      </c>
      <c r="Z1203" s="126">
        <v>1</v>
      </c>
      <c r="AA1203" s="126">
        <v>1</v>
      </c>
      <c r="AB1203" s="126">
        <v>4</v>
      </c>
      <c r="AC1203" s="126">
        <v>6</v>
      </c>
      <c r="AD1203" s="126">
        <v>2026</v>
      </c>
    </row>
    <row r="1204" spans="3:30">
      <c r="C1204" s="126">
        <v>1197</v>
      </c>
      <c r="D1204" s="126">
        <v>93</v>
      </c>
      <c r="E1204" s="126">
        <v>3</v>
      </c>
      <c r="F1204" s="126">
        <v>1</v>
      </c>
      <c r="G1204" s="126">
        <v>1</v>
      </c>
      <c r="H1204" s="126">
        <v>1</v>
      </c>
      <c r="I1204" s="126">
        <v>1</v>
      </c>
      <c r="J1204" s="126">
        <v>10</v>
      </c>
      <c r="M1204" s="126">
        <v>395</v>
      </c>
      <c r="N1204" s="126">
        <v>0</v>
      </c>
      <c r="P1204" s="126">
        <v>355</v>
      </c>
      <c r="R1204" s="126" t="s">
        <v>549</v>
      </c>
      <c r="S1204" s="259">
        <v>0</v>
      </c>
      <c r="T1204" s="259">
        <v>29.7</v>
      </c>
      <c r="U1204" s="68" t="s">
        <v>2111</v>
      </c>
      <c r="V1204" s="126">
        <v>1</v>
      </c>
      <c r="Z1204" s="126">
        <v>1</v>
      </c>
      <c r="AA1204" s="126">
        <v>1</v>
      </c>
      <c r="AB1204" s="126">
        <v>4</v>
      </c>
      <c r="AC1204" s="126">
        <v>6</v>
      </c>
      <c r="AD1204" s="126">
        <v>2026</v>
      </c>
    </row>
    <row r="1205" spans="3:30">
      <c r="C1205" s="126">
        <v>1198</v>
      </c>
      <c r="D1205" s="126">
        <v>93</v>
      </c>
      <c r="E1205" s="126">
        <v>11</v>
      </c>
      <c r="F1205" s="126">
        <v>1</v>
      </c>
      <c r="G1205" s="126">
        <v>1</v>
      </c>
      <c r="H1205" s="126">
        <v>1</v>
      </c>
      <c r="I1205" s="126">
        <v>1</v>
      </c>
      <c r="J1205" s="126">
        <v>10</v>
      </c>
      <c r="M1205" s="126">
        <v>395</v>
      </c>
      <c r="N1205" s="126">
        <v>1</v>
      </c>
      <c r="P1205" s="126">
        <v>355</v>
      </c>
      <c r="R1205" s="126" t="s">
        <v>549</v>
      </c>
      <c r="S1205" s="259">
        <v>29.7</v>
      </c>
      <c r="T1205" s="259">
        <v>0</v>
      </c>
      <c r="U1205" s="68" t="s">
        <v>2112</v>
      </c>
      <c r="V1205" s="126">
        <v>1</v>
      </c>
      <c r="Z1205" s="126">
        <v>1</v>
      </c>
      <c r="AA1205" s="126">
        <v>1</v>
      </c>
      <c r="AB1205" s="126">
        <v>4</v>
      </c>
      <c r="AC1205" s="126">
        <v>6</v>
      </c>
      <c r="AD1205" s="126">
        <v>2026</v>
      </c>
    </row>
    <row r="1206" spans="3:30">
      <c r="C1206" s="126">
        <v>1199</v>
      </c>
      <c r="D1206" s="126">
        <v>93</v>
      </c>
      <c r="E1206" s="126">
        <v>10</v>
      </c>
      <c r="F1206" s="126">
        <v>1</v>
      </c>
      <c r="G1206" s="126">
        <v>1</v>
      </c>
      <c r="H1206" s="126">
        <v>1</v>
      </c>
      <c r="I1206" s="126">
        <v>1</v>
      </c>
      <c r="J1206" s="126">
        <v>10</v>
      </c>
      <c r="P1206" s="126">
        <v>355</v>
      </c>
      <c r="R1206" s="126" t="s">
        <v>549</v>
      </c>
      <c r="S1206" s="259">
        <v>0</v>
      </c>
      <c r="T1206" s="259">
        <v>31</v>
      </c>
      <c r="U1206" s="68" t="s">
        <v>2113</v>
      </c>
      <c r="V1206" s="126">
        <v>1</v>
      </c>
      <c r="Z1206" s="126">
        <v>1</v>
      </c>
      <c r="AA1206" s="126">
        <v>1</v>
      </c>
      <c r="AB1206" s="126">
        <v>4</v>
      </c>
      <c r="AC1206" s="126">
        <v>6</v>
      </c>
      <c r="AD1206" s="126">
        <v>2026</v>
      </c>
    </row>
    <row r="1207" spans="3:30">
      <c r="C1207" s="126">
        <v>1200</v>
      </c>
      <c r="D1207" s="126">
        <v>94</v>
      </c>
      <c r="E1207" s="126">
        <v>2</v>
      </c>
      <c r="F1207" s="126">
        <v>1</v>
      </c>
      <c r="G1207" s="126">
        <v>1</v>
      </c>
      <c r="H1207" s="126">
        <v>1</v>
      </c>
      <c r="I1207" s="126">
        <v>1</v>
      </c>
      <c r="R1207" s="126" t="s">
        <v>549</v>
      </c>
      <c r="S1207" s="259">
        <v>37.630000000000003</v>
      </c>
      <c r="T1207" s="259">
        <v>0</v>
      </c>
      <c r="U1207" s="68" t="s">
        <v>2115</v>
      </c>
      <c r="V1207" s="126">
        <v>1</v>
      </c>
      <c r="Z1207" s="126">
        <v>1</v>
      </c>
      <c r="AA1207" s="126">
        <v>1</v>
      </c>
      <c r="AB1207" s="126">
        <v>4</v>
      </c>
      <c r="AC1207" s="126">
        <v>6</v>
      </c>
      <c r="AD1207" s="126">
        <v>2026</v>
      </c>
    </row>
    <row r="1208" spans="3:30">
      <c r="C1208" s="126">
        <v>1201</v>
      </c>
      <c r="D1208" s="126">
        <v>94</v>
      </c>
      <c r="E1208" s="126">
        <v>3</v>
      </c>
      <c r="F1208" s="126">
        <v>1</v>
      </c>
      <c r="G1208" s="126">
        <v>1</v>
      </c>
      <c r="H1208" s="126">
        <v>1</v>
      </c>
      <c r="I1208" s="126">
        <v>1</v>
      </c>
      <c r="J1208" s="126">
        <v>189</v>
      </c>
      <c r="M1208" s="126">
        <v>396</v>
      </c>
      <c r="N1208" s="126">
        <v>0</v>
      </c>
      <c r="P1208" s="126">
        <v>356</v>
      </c>
      <c r="R1208" s="126" t="s">
        <v>549</v>
      </c>
      <c r="S1208" s="259">
        <v>0</v>
      </c>
      <c r="T1208" s="259">
        <v>20.45</v>
      </c>
      <c r="U1208" s="68" t="s">
        <v>2116</v>
      </c>
      <c r="V1208" s="126">
        <v>1</v>
      </c>
      <c r="Z1208" s="126">
        <v>1</v>
      </c>
      <c r="AA1208" s="126">
        <v>1</v>
      </c>
      <c r="AB1208" s="126">
        <v>4</v>
      </c>
      <c r="AC1208" s="126">
        <v>6</v>
      </c>
      <c r="AD1208" s="126">
        <v>2026</v>
      </c>
    </row>
    <row r="1209" spans="3:30">
      <c r="C1209" s="126">
        <v>1202</v>
      </c>
      <c r="D1209" s="126">
        <v>94</v>
      </c>
      <c r="E1209" s="126">
        <v>11</v>
      </c>
      <c r="F1209" s="126">
        <v>1</v>
      </c>
      <c r="G1209" s="126">
        <v>1</v>
      </c>
      <c r="H1209" s="126">
        <v>1</v>
      </c>
      <c r="I1209" s="126">
        <v>1</v>
      </c>
      <c r="J1209" s="126">
        <v>189</v>
      </c>
      <c r="M1209" s="126">
        <v>396</v>
      </c>
      <c r="N1209" s="126">
        <v>1</v>
      </c>
      <c r="P1209" s="126">
        <v>356</v>
      </c>
      <c r="R1209" s="126" t="s">
        <v>549</v>
      </c>
      <c r="S1209" s="259">
        <v>20.45</v>
      </c>
      <c r="T1209" s="259">
        <v>0</v>
      </c>
      <c r="U1209" s="68" t="s">
        <v>2117</v>
      </c>
      <c r="V1209" s="126">
        <v>1</v>
      </c>
      <c r="Z1209" s="126">
        <v>1</v>
      </c>
      <c r="AA1209" s="126">
        <v>1</v>
      </c>
      <c r="AB1209" s="126">
        <v>4</v>
      </c>
      <c r="AC1209" s="126">
        <v>6</v>
      </c>
      <c r="AD1209" s="126">
        <v>2026</v>
      </c>
    </row>
    <row r="1210" spans="3:30">
      <c r="C1210" s="126">
        <v>1203</v>
      </c>
      <c r="D1210" s="126">
        <v>94</v>
      </c>
      <c r="E1210" s="126">
        <v>10</v>
      </c>
      <c r="F1210" s="126">
        <v>1</v>
      </c>
      <c r="G1210" s="126">
        <v>1</v>
      </c>
      <c r="H1210" s="126">
        <v>1</v>
      </c>
      <c r="I1210" s="126">
        <v>1</v>
      </c>
      <c r="J1210" s="126">
        <v>189</v>
      </c>
      <c r="P1210" s="126">
        <v>356</v>
      </c>
      <c r="R1210" s="126" t="s">
        <v>549</v>
      </c>
      <c r="S1210" s="259">
        <v>0</v>
      </c>
      <c r="T1210" s="259">
        <v>22.5</v>
      </c>
      <c r="U1210" s="68" t="s">
        <v>2118</v>
      </c>
      <c r="V1210" s="126">
        <v>1</v>
      </c>
      <c r="Z1210" s="126">
        <v>1</v>
      </c>
      <c r="AA1210" s="126">
        <v>1</v>
      </c>
      <c r="AB1210" s="126">
        <v>4</v>
      </c>
      <c r="AC1210" s="126">
        <v>6</v>
      </c>
      <c r="AD1210" s="126">
        <v>2026</v>
      </c>
    </row>
    <row r="1211" spans="3:30">
      <c r="C1211" s="126">
        <v>1204</v>
      </c>
      <c r="D1211" s="126">
        <v>94</v>
      </c>
      <c r="E1211" s="126">
        <v>3</v>
      </c>
      <c r="F1211" s="126">
        <v>1</v>
      </c>
      <c r="G1211" s="126">
        <v>1</v>
      </c>
      <c r="H1211" s="126">
        <v>1</v>
      </c>
      <c r="I1211" s="126">
        <v>1</v>
      </c>
      <c r="J1211" s="126">
        <v>183</v>
      </c>
      <c r="M1211" s="126">
        <v>397</v>
      </c>
      <c r="N1211" s="126">
        <v>0</v>
      </c>
      <c r="P1211" s="126">
        <v>357</v>
      </c>
      <c r="R1211" s="126" t="s">
        <v>549</v>
      </c>
      <c r="S1211" s="259">
        <v>0</v>
      </c>
      <c r="T1211" s="259">
        <v>8</v>
      </c>
      <c r="U1211" s="68" t="s">
        <v>2119</v>
      </c>
      <c r="V1211" s="126">
        <v>1</v>
      </c>
      <c r="Z1211" s="126">
        <v>1</v>
      </c>
      <c r="AA1211" s="126">
        <v>1</v>
      </c>
      <c r="AB1211" s="126">
        <v>4</v>
      </c>
      <c r="AC1211" s="126">
        <v>6</v>
      </c>
      <c r="AD1211" s="126">
        <v>2026</v>
      </c>
    </row>
    <row r="1212" spans="3:30">
      <c r="C1212" s="126">
        <v>1205</v>
      </c>
      <c r="D1212" s="126">
        <v>94</v>
      </c>
      <c r="E1212" s="126">
        <v>11</v>
      </c>
      <c r="F1212" s="126">
        <v>1</v>
      </c>
      <c r="G1212" s="126">
        <v>1</v>
      </c>
      <c r="H1212" s="126">
        <v>1</v>
      </c>
      <c r="I1212" s="126">
        <v>1</v>
      </c>
      <c r="J1212" s="126">
        <v>183</v>
      </c>
      <c r="M1212" s="126">
        <v>397</v>
      </c>
      <c r="N1212" s="126">
        <v>1</v>
      </c>
      <c r="P1212" s="126">
        <v>357</v>
      </c>
      <c r="R1212" s="126" t="s">
        <v>549</v>
      </c>
      <c r="S1212" s="259">
        <v>8</v>
      </c>
      <c r="T1212" s="259">
        <v>0</v>
      </c>
      <c r="U1212" s="68" t="s">
        <v>2120</v>
      </c>
      <c r="V1212" s="126">
        <v>1</v>
      </c>
      <c r="Z1212" s="126">
        <v>1</v>
      </c>
      <c r="AA1212" s="126">
        <v>1</v>
      </c>
      <c r="AB1212" s="126">
        <v>4</v>
      </c>
      <c r="AC1212" s="126">
        <v>6</v>
      </c>
      <c r="AD1212" s="126">
        <v>2026</v>
      </c>
    </row>
    <row r="1213" spans="3:30">
      <c r="C1213" s="126">
        <v>1206</v>
      </c>
      <c r="D1213" s="126">
        <v>94</v>
      </c>
      <c r="E1213" s="126">
        <v>10</v>
      </c>
      <c r="F1213" s="126">
        <v>1</v>
      </c>
      <c r="G1213" s="126">
        <v>1</v>
      </c>
      <c r="H1213" s="126">
        <v>1</v>
      </c>
      <c r="I1213" s="126">
        <v>1</v>
      </c>
      <c r="J1213" s="126">
        <v>183</v>
      </c>
      <c r="P1213" s="126">
        <v>357</v>
      </c>
      <c r="R1213" s="126" t="s">
        <v>549</v>
      </c>
      <c r="S1213" s="259">
        <v>0</v>
      </c>
      <c r="T1213" s="259">
        <v>9</v>
      </c>
      <c r="U1213" s="68" t="s">
        <v>2121</v>
      </c>
      <c r="V1213" s="126">
        <v>1</v>
      </c>
      <c r="Z1213" s="126">
        <v>1</v>
      </c>
      <c r="AA1213" s="126">
        <v>1</v>
      </c>
      <c r="AB1213" s="126">
        <v>4</v>
      </c>
      <c r="AC1213" s="126">
        <v>6</v>
      </c>
      <c r="AD1213" s="126">
        <v>2026</v>
      </c>
    </row>
    <row r="1214" spans="3:30">
      <c r="C1214" s="126">
        <v>1207</v>
      </c>
      <c r="D1214" s="126">
        <v>94</v>
      </c>
      <c r="E1214" s="126">
        <v>3</v>
      </c>
      <c r="F1214" s="126">
        <v>1</v>
      </c>
      <c r="G1214" s="126">
        <v>1</v>
      </c>
      <c r="H1214" s="126">
        <v>1</v>
      </c>
      <c r="I1214" s="126">
        <v>1</v>
      </c>
      <c r="J1214" s="126">
        <v>136</v>
      </c>
      <c r="M1214" s="126">
        <v>398</v>
      </c>
      <c r="N1214" s="126">
        <v>0</v>
      </c>
      <c r="P1214" s="126">
        <v>358</v>
      </c>
      <c r="R1214" s="126" t="s">
        <v>549</v>
      </c>
      <c r="S1214" s="259">
        <v>0</v>
      </c>
      <c r="T1214" s="259">
        <v>0.76</v>
      </c>
      <c r="U1214" s="68" t="s">
        <v>2124</v>
      </c>
      <c r="V1214" s="126">
        <v>1</v>
      </c>
      <c r="Z1214" s="126">
        <v>1</v>
      </c>
      <c r="AA1214" s="126">
        <v>1</v>
      </c>
      <c r="AB1214" s="126">
        <v>4</v>
      </c>
      <c r="AC1214" s="126">
        <v>6</v>
      </c>
      <c r="AD1214" s="126">
        <v>2026</v>
      </c>
    </row>
    <row r="1215" spans="3:30">
      <c r="C1215" s="126">
        <v>1208</v>
      </c>
      <c r="D1215" s="126">
        <v>94</v>
      </c>
      <c r="E1215" s="126">
        <v>11</v>
      </c>
      <c r="F1215" s="126">
        <v>1</v>
      </c>
      <c r="G1215" s="126">
        <v>1</v>
      </c>
      <c r="H1215" s="126">
        <v>1</v>
      </c>
      <c r="I1215" s="126">
        <v>1</v>
      </c>
      <c r="J1215" s="126">
        <v>136</v>
      </c>
      <c r="M1215" s="126">
        <v>398</v>
      </c>
      <c r="N1215" s="126">
        <v>1</v>
      </c>
      <c r="P1215" s="126">
        <v>358</v>
      </c>
      <c r="R1215" s="126" t="s">
        <v>549</v>
      </c>
      <c r="S1215" s="259">
        <v>0.76</v>
      </c>
      <c r="T1215" s="259">
        <v>0</v>
      </c>
      <c r="U1215" s="68" t="s">
        <v>2125</v>
      </c>
      <c r="V1215" s="126">
        <v>1</v>
      </c>
      <c r="Z1215" s="126">
        <v>1</v>
      </c>
      <c r="AA1215" s="126">
        <v>1</v>
      </c>
      <c r="AB1215" s="126">
        <v>4</v>
      </c>
      <c r="AC1215" s="126">
        <v>6</v>
      </c>
      <c r="AD1215" s="126">
        <v>2026</v>
      </c>
    </row>
    <row r="1216" spans="3:30">
      <c r="C1216" s="126">
        <v>1209</v>
      </c>
      <c r="D1216" s="126">
        <v>94</v>
      </c>
      <c r="E1216" s="126">
        <v>10</v>
      </c>
      <c r="F1216" s="126">
        <v>1</v>
      </c>
      <c r="G1216" s="126">
        <v>1</v>
      </c>
      <c r="H1216" s="126">
        <v>1</v>
      </c>
      <c r="I1216" s="126">
        <v>1</v>
      </c>
      <c r="J1216" s="126">
        <v>136</v>
      </c>
      <c r="P1216" s="126">
        <v>358</v>
      </c>
      <c r="R1216" s="126" t="s">
        <v>549</v>
      </c>
      <c r="S1216" s="259">
        <v>0</v>
      </c>
      <c r="T1216" s="259">
        <v>1</v>
      </c>
      <c r="U1216" s="68" t="s">
        <v>2126</v>
      </c>
      <c r="V1216" s="126">
        <v>1</v>
      </c>
      <c r="Z1216" s="126">
        <v>1</v>
      </c>
      <c r="AA1216" s="126">
        <v>1</v>
      </c>
      <c r="AB1216" s="126">
        <v>4</v>
      </c>
      <c r="AC1216" s="126">
        <v>6</v>
      </c>
      <c r="AD1216" s="126">
        <v>2026</v>
      </c>
    </row>
    <row r="1217" spans="3:30">
      <c r="C1217" s="126">
        <v>1210</v>
      </c>
      <c r="D1217" s="126">
        <v>94</v>
      </c>
      <c r="E1217" s="126">
        <v>3</v>
      </c>
      <c r="F1217" s="126">
        <v>1</v>
      </c>
      <c r="G1217" s="126">
        <v>1</v>
      </c>
      <c r="H1217" s="126">
        <v>1</v>
      </c>
      <c r="I1217" s="126">
        <v>1</v>
      </c>
      <c r="J1217" s="126">
        <v>142</v>
      </c>
      <c r="M1217" s="126">
        <v>399</v>
      </c>
      <c r="N1217" s="126">
        <v>0</v>
      </c>
      <c r="P1217" s="126">
        <v>359</v>
      </c>
      <c r="R1217" s="126" t="s">
        <v>549</v>
      </c>
      <c r="S1217" s="259">
        <v>0</v>
      </c>
      <c r="T1217" s="259">
        <v>0.34</v>
      </c>
      <c r="U1217" s="68" t="s">
        <v>2127</v>
      </c>
      <c r="V1217" s="126">
        <v>1</v>
      </c>
      <c r="Z1217" s="126">
        <v>1</v>
      </c>
      <c r="AA1217" s="126">
        <v>1</v>
      </c>
      <c r="AB1217" s="126">
        <v>4</v>
      </c>
      <c r="AC1217" s="126">
        <v>6</v>
      </c>
      <c r="AD1217" s="126">
        <v>2026</v>
      </c>
    </row>
    <row r="1218" spans="3:30">
      <c r="C1218" s="126">
        <v>1211</v>
      </c>
      <c r="D1218" s="126">
        <v>94</v>
      </c>
      <c r="E1218" s="126">
        <v>11</v>
      </c>
      <c r="F1218" s="126">
        <v>1</v>
      </c>
      <c r="G1218" s="126">
        <v>1</v>
      </c>
      <c r="H1218" s="126">
        <v>1</v>
      </c>
      <c r="I1218" s="126">
        <v>1</v>
      </c>
      <c r="J1218" s="126">
        <v>142</v>
      </c>
      <c r="M1218" s="126">
        <v>399</v>
      </c>
      <c r="N1218" s="126">
        <v>1</v>
      </c>
      <c r="P1218" s="126">
        <v>359</v>
      </c>
      <c r="R1218" s="126" t="s">
        <v>549</v>
      </c>
      <c r="S1218" s="259">
        <v>0.34</v>
      </c>
      <c r="T1218" s="259">
        <v>0</v>
      </c>
      <c r="U1218" s="68" t="s">
        <v>2128</v>
      </c>
      <c r="V1218" s="126">
        <v>1</v>
      </c>
      <c r="Z1218" s="126">
        <v>1</v>
      </c>
      <c r="AA1218" s="126">
        <v>1</v>
      </c>
      <c r="AB1218" s="126">
        <v>4</v>
      </c>
      <c r="AC1218" s="126">
        <v>6</v>
      </c>
      <c r="AD1218" s="126">
        <v>2026</v>
      </c>
    </row>
    <row r="1219" spans="3:30">
      <c r="C1219" s="126">
        <v>1212</v>
      </c>
      <c r="D1219" s="126">
        <v>94</v>
      </c>
      <c r="E1219" s="126">
        <v>10</v>
      </c>
      <c r="F1219" s="126">
        <v>1</v>
      </c>
      <c r="G1219" s="126">
        <v>1</v>
      </c>
      <c r="H1219" s="126">
        <v>1</v>
      </c>
      <c r="I1219" s="126">
        <v>1</v>
      </c>
      <c r="J1219" s="126">
        <v>142</v>
      </c>
      <c r="P1219" s="126">
        <v>359</v>
      </c>
      <c r="R1219" s="126" t="s">
        <v>549</v>
      </c>
      <c r="S1219" s="259">
        <v>0</v>
      </c>
      <c r="T1219" s="259">
        <v>0.88</v>
      </c>
      <c r="U1219" s="68" t="s">
        <v>2129</v>
      </c>
      <c r="V1219" s="126">
        <v>1</v>
      </c>
      <c r="Z1219" s="126">
        <v>1</v>
      </c>
      <c r="AA1219" s="126">
        <v>1</v>
      </c>
      <c r="AB1219" s="126">
        <v>4</v>
      </c>
      <c r="AC1219" s="126">
        <v>6</v>
      </c>
      <c r="AD1219" s="126">
        <v>2026</v>
      </c>
    </row>
    <row r="1220" spans="3:30">
      <c r="C1220" s="126">
        <v>1213</v>
      </c>
      <c r="D1220" s="126">
        <v>94</v>
      </c>
      <c r="E1220" s="126">
        <v>3</v>
      </c>
      <c r="F1220" s="126">
        <v>1</v>
      </c>
      <c r="G1220" s="126">
        <v>1</v>
      </c>
      <c r="H1220" s="126">
        <v>1</v>
      </c>
      <c r="I1220" s="126">
        <v>1</v>
      </c>
      <c r="J1220" s="126">
        <v>53</v>
      </c>
      <c r="M1220" s="126">
        <v>400</v>
      </c>
      <c r="N1220" s="126">
        <v>0</v>
      </c>
      <c r="P1220" s="126">
        <v>360</v>
      </c>
      <c r="R1220" s="126" t="s">
        <v>549</v>
      </c>
      <c r="S1220" s="259">
        <v>0</v>
      </c>
      <c r="T1220" s="259">
        <v>0.95</v>
      </c>
      <c r="U1220" s="68" t="s">
        <v>2130</v>
      </c>
      <c r="V1220" s="126">
        <v>1</v>
      </c>
      <c r="Z1220" s="126">
        <v>1</v>
      </c>
      <c r="AA1220" s="126">
        <v>1</v>
      </c>
      <c r="AB1220" s="126">
        <v>4</v>
      </c>
      <c r="AC1220" s="126">
        <v>6</v>
      </c>
      <c r="AD1220" s="126">
        <v>2026</v>
      </c>
    </row>
    <row r="1221" spans="3:30">
      <c r="C1221" s="126">
        <v>1214</v>
      </c>
      <c r="D1221" s="126">
        <v>94</v>
      </c>
      <c r="E1221" s="126">
        <v>11</v>
      </c>
      <c r="F1221" s="126">
        <v>1</v>
      </c>
      <c r="G1221" s="126">
        <v>1</v>
      </c>
      <c r="H1221" s="126">
        <v>1</v>
      </c>
      <c r="I1221" s="126">
        <v>1</v>
      </c>
      <c r="J1221" s="126">
        <v>53</v>
      </c>
      <c r="M1221" s="126">
        <v>400</v>
      </c>
      <c r="N1221" s="126">
        <v>1</v>
      </c>
      <c r="P1221" s="126">
        <v>360</v>
      </c>
      <c r="R1221" s="126" t="s">
        <v>549</v>
      </c>
      <c r="S1221" s="259">
        <v>0.95</v>
      </c>
      <c r="T1221" s="259">
        <v>0</v>
      </c>
      <c r="U1221" s="68" t="s">
        <v>2131</v>
      </c>
      <c r="V1221" s="126">
        <v>1</v>
      </c>
      <c r="Z1221" s="126">
        <v>1</v>
      </c>
      <c r="AA1221" s="126">
        <v>1</v>
      </c>
      <c r="AB1221" s="126">
        <v>4</v>
      </c>
      <c r="AC1221" s="126">
        <v>6</v>
      </c>
      <c r="AD1221" s="126">
        <v>2026</v>
      </c>
    </row>
    <row r="1222" spans="3:30">
      <c r="C1222" s="126">
        <v>1215</v>
      </c>
      <c r="D1222" s="126">
        <v>94</v>
      </c>
      <c r="E1222" s="126">
        <v>10</v>
      </c>
      <c r="F1222" s="126">
        <v>1</v>
      </c>
      <c r="G1222" s="126">
        <v>1</v>
      </c>
      <c r="H1222" s="126">
        <v>1</v>
      </c>
      <c r="I1222" s="126">
        <v>1</v>
      </c>
      <c r="J1222" s="126">
        <v>53</v>
      </c>
      <c r="P1222" s="126">
        <v>360</v>
      </c>
      <c r="R1222" s="126" t="s">
        <v>549</v>
      </c>
      <c r="S1222" s="259">
        <v>0</v>
      </c>
      <c r="T1222" s="259">
        <v>1.5</v>
      </c>
      <c r="U1222" s="68" t="s">
        <v>2132</v>
      </c>
      <c r="V1222" s="126">
        <v>1</v>
      </c>
      <c r="Z1222" s="126">
        <v>1</v>
      </c>
      <c r="AA1222" s="126">
        <v>1</v>
      </c>
      <c r="AB1222" s="126">
        <v>4</v>
      </c>
      <c r="AC1222" s="126">
        <v>6</v>
      </c>
      <c r="AD1222" s="126">
        <v>2026</v>
      </c>
    </row>
    <row r="1223" spans="3:30">
      <c r="C1223" s="126">
        <v>1216</v>
      </c>
      <c r="D1223" s="126">
        <v>94</v>
      </c>
      <c r="E1223" s="126">
        <v>3</v>
      </c>
      <c r="F1223" s="126">
        <v>1</v>
      </c>
      <c r="G1223" s="126">
        <v>1</v>
      </c>
      <c r="H1223" s="126">
        <v>1</v>
      </c>
      <c r="I1223" s="126">
        <v>1</v>
      </c>
      <c r="J1223" s="126">
        <v>50</v>
      </c>
      <c r="M1223" s="126">
        <v>401</v>
      </c>
      <c r="N1223" s="126">
        <v>0</v>
      </c>
      <c r="P1223" s="126">
        <v>361</v>
      </c>
      <c r="R1223" s="126" t="s">
        <v>549</v>
      </c>
      <c r="S1223" s="259">
        <v>0</v>
      </c>
      <c r="T1223" s="259">
        <v>0.24</v>
      </c>
      <c r="U1223" s="68" t="s">
        <v>2133</v>
      </c>
      <c r="V1223" s="126">
        <v>1</v>
      </c>
      <c r="Z1223" s="126">
        <v>1</v>
      </c>
      <c r="AA1223" s="126">
        <v>1</v>
      </c>
      <c r="AB1223" s="126">
        <v>4</v>
      </c>
      <c r="AC1223" s="126">
        <v>6</v>
      </c>
      <c r="AD1223" s="126">
        <v>2026</v>
      </c>
    </row>
    <row r="1224" spans="3:30">
      <c r="C1224" s="126">
        <v>1217</v>
      </c>
      <c r="D1224" s="126">
        <v>94</v>
      </c>
      <c r="E1224" s="126">
        <v>11</v>
      </c>
      <c r="F1224" s="126">
        <v>1</v>
      </c>
      <c r="G1224" s="126">
        <v>1</v>
      </c>
      <c r="H1224" s="126">
        <v>1</v>
      </c>
      <c r="I1224" s="126">
        <v>1</v>
      </c>
      <c r="J1224" s="126">
        <v>50</v>
      </c>
      <c r="M1224" s="126">
        <v>401</v>
      </c>
      <c r="N1224" s="126">
        <v>1</v>
      </c>
      <c r="P1224" s="126">
        <v>361</v>
      </c>
      <c r="R1224" s="126" t="s">
        <v>549</v>
      </c>
      <c r="S1224" s="259">
        <v>0.24</v>
      </c>
      <c r="T1224" s="259">
        <v>0</v>
      </c>
      <c r="U1224" s="68" t="s">
        <v>2134</v>
      </c>
      <c r="V1224" s="126">
        <v>1</v>
      </c>
      <c r="Z1224" s="126">
        <v>1</v>
      </c>
      <c r="AA1224" s="126">
        <v>1</v>
      </c>
      <c r="AB1224" s="126">
        <v>4</v>
      </c>
      <c r="AC1224" s="126">
        <v>6</v>
      </c>
      <c r="AD1224" s="126">
        <v>2026</v>
      </c>
    </row>
    <row r="1225" spans="3:30">
      <c r="C1225" s="126">
        <v>1218</v>
      </c>
      <c r="D1225" s="126">
        <v>94</v>
      </c>
      <c r="E1225" s="126">
        <v>10</v>
      </c>
      <c r="F1225" s="126">
        <v>1</v>
      </c>
      <c r="G1225" s="126">
        <v>1</v>
      </c>
      <c r="H1225" s="126">
        <v>1</v>
      </c>
      <c r="I1225" s="126">
        <v>1</v>
      </c>
      <c r="J1225" s="126">
        <v>50</v>
      </c>
      <c r="P1225" s="126">
        <v>361</v>
      </c>
      <c r="R1225" s="126" t="s">
        <v>549</v>
      </c>
      <c r="S1225" s="259">
        <v>0</v>
      </c>
      <c r="T1225" s="259">
        <v>0.5</v>
      </c>
      <c r="U1225" s="68" t="s">
        <v>2135</v>
      </c>
      <c r="V1225" s="126">
        <v>1</v>
      </c>
      <c r="Z1225" s="126">
        <v>1</v>
      </c>
      <c r="AA1225" s="126">
        <v>1</v>
      </c>
      <c r="AB1225" s="126">
        <v>4</v>
      </c>
      <c r="AC1225" s="126">
        <v>6</v>
      </c>
      <c r="AD1225" s="126">
        <v>2026</v>
      </c>
    </row>
    <row r="1226" spans="3:30">
      <c r="C1226" s="126">
        <v>1219</v>
      </c>
      <c r="D1226" s="126">
        <v>94</v>
      </c>
      <c r="E1226" s="126">
        <v>3</v>
      </c>
      <c r="F1226" s="126">
        <v>1</v>
      </c>
      <c r="G1226" s="126">
        <v>1</v>
      </c>
      <c r="H1226" s="126">
        <v>1</v>
      </c>
      <c r="I1226" s="126">
        <v>1</v>
      </c>
      <c r="J1226" s="126">
        <v>56</v>
      </c>
      <c r="M1226" s="126">
        <v>402</v>
      </c>
      <c r="N1226" s="126">
        <v>0</v>
      </c>
      <c r="P1226" s="126">
        <v>362</v>
      </c>
      <c r="R1226" s="126" t="s">
        <v>549</v>
      </c>
      <c r="S1226" s="259">
        <v>0</v>
      </c>
      <c r="T1226" s="259">
        <v>1.1000000000000001</v>
      </c>
      <c r="U1226" s="68" t="s">
        <v>2136</v>
      </c>
      <c r="V1226" s="126">
        <v>1</v>
      </c>
      <c r="Z1226" s="126">
        <v>1</v>
      </c>
      <c r="AA1226" s="126">
        <v>1</v>
      </c>
      <c r="AB1226" s="126">
        <v>4</v>
      </c>
      <c r="AC1226" s="126">
        <v>6</v>
      </c>
      <c r="AD1226" s="126">
        <v>2026</v>
      </c>
    </row>
    <row r="1227" spans="3:30">
      <c r="C1227" s="126">
        <v>1220</v>
      </c>
      <c r="D1227" s="126">
        <v>94</v>
      </c>
      <c r="E1227" s="126">
        <v>11</v>
      </c>
      <c r="F1227" s="126">
        <v>1</v>
      </c>
      <c r="G1227" s="126">
        <v>1</v>
      </c>
      <c r="H1227" s="126">
        <v>1</v>
      </c>
      <c r="I1227" s="126">
        <v>1</v>
      </c>
      <c r="J1227" s="126">
        <v>56</v>
      </c>
      <c r="M1227" s="126">
        <v>402</v>
      </c>
      <c r="N1227" s="126">
        <v>1</v>
      </c>
      <c r="P1227" s="126">
        <v>362</v>
      </c>
      <c r="R1227" s="126" t="s">
        <v>549</v>
      </c>
      <c r="S1227" s="259">
        <v>1.1000000000000001</v>
      </c>
      <c r="T1227" s="259">
        <v>0</v>
      </c>
      <c r="U1227" s="68" t="s">
        <v>2137</v>
      </c>
      <c r="V1227" s="126">
        <v>1</v>
      </c>
      <c r="Z1227" s="126">
        <v>1</v>
      </c>
      <c r="AA1227" s="126">
        <v>1</v>
      </c>
      <c r="AB1227" s="126">
        <v>4</v>
      </c>
      <c r="AC1227" s="126">
        <v>6</v>
      </c>
      <c r="AD1227" s="126">
        <v>2026</v>
      </c>
    </row>
    <row r="1228" spans="3:30">
      <c r="C1228" s="126">
        <v>1221</v>
      </c>
      <c r="D1228" s="126">
        <v>94</v>
      </c>
      <c r="E1228" s="126">
        <v>10</v>
      </c>
      <c r="F1228" s="126">
        <v>1</v>
      </c>
      <c r="G1228" s="126">
        <v>1</v>
      </c>
      <c r="H1228" s="126">
        <v>1</v>
      </c>
      <c r="I1228" s="126">
        <v>1</v>
      </c>
      <c r="J1228" s="126">
        <v>56</v>
      </c>
      <c r="P1228" s="126">
        <v>362</v>
      </c>
      <c r="R1228" s="126" t="s">
        <v>549</v>
      </c>
      <c r="S1228" s="259">
        <v>0</v>
      </c>
      <c r="T1228" s="259">
        <v>1.5</v>
      </c>
      <c r="U1228" s="68" t="s">
        <v>2138</v>
      </c>
      <c r="V1228" s="126">
        <v>1</v>
      </c>
      <c r="Z1228" s="126">
        <v>1</v>
      </c>
      <c r="AA1228" s="126">
        <v>1</v>
      </c>
      <c r="AB1228" s="126">
        <v>4</v>
      </c>
      <c r="AC1228" s="126">
        <v>6</v>
      </c>
      <c r="AD1228" s="126">
        <v>2026</v>
      </c>
    </row>
    <row r="1229" spans="3:30">
      <c r="C1229" s="126">
        <v>1222</v>
      </c>
      <c r="D1229" s="126">
        <v>94</v>
      </c>
      <c r="E1229" s="126">
        <v>3</v>
      </c>
      <c r="F1229" s="126">
        <v>1</v>
      </c>
      <c r="G1229" s="126">
        <v>1</v>
      </c>
      <c r="H1229" s="126">
        <v>1</v>
      </c>
      <c r="I1229" s="126">
        <v>1</v>
      </c>
      <c r="J1229" s="126">
        <v>34</v>
      </c>
      <c r="M1229" s="126">
        <v>403</v>
      </c>
      <c r="N1229" s="126">
        <v>0</v>
      </c>
      <c r="P1229" s="126">
        <v>363</v>
      </c>
      <c r="R1229" s="126" t="s">
        <v>549</v>
      </c>
      <c r="S1229" s="259">
        <v>0</v>
      </c>
      <c r="T1229" s="259">
        <v>0.5</v>
      </c>
      <c r="U1229" s="68" t="s">
        <v>2139</v>
      </c>
      <c r="V1229" s="126">
        <v>1</v>
      </c>
      <c r="Z1229" s="126">
        <v>1</v>
      </c>
      <c r="AA1229" s="126">
        <v>1</v>
      </c>
      <c r="AB1229" s="126">
        <v>4</v>
      </c>
      <c r="AC1229" s="126">
        <v>6</v>
      </c>
      <c r="AD1229" s="126">
        <v>2026</v>
      </c>
    </row>
    <row r="1230" spans="3:30">
      <c r="C1230" s="126">
        <v>1223</v>
      </c>
      <c r="D1230" s="126">
        <v>94</v>
      </c>
      <c r="E1230" s="126">
        <v>11</v>
      </c>
      <c r="F1230" s="126">
        <v>1</v>
      </c>
      <c r="G1230" s="126">
        <v>1</v>
      </c>
      <c r="H1230" s="126">
        <v>1</v>
      </c>
      <c r="I1230" s="126">
        <v>1</v>
      </c>
      <c r="J1230" s="126">
        <v>34</v>
      </c>
      <c r="M1230" s="126">
        <v>403</v>
      </c>
      <c r="N1230" s="126">
        <v>1</v>
      </c>
      <c r="P1230" s="126">
        <v>363</v>
      </c>
      <c r="R1230" s="126" t="s">
        <v>549</v>
      </c>
      <c r="S1230" s="259">
        <v>0.5</v>
      </c>
      <c r="T1230" s="259">
        <v>0</v>
      </c>
      <c r="U1230" s="68" t="s">
        <v>2140</v>
      </c>
      <c r="V1230" s="126">
        <v>1</v>
      </c>
      <c r="Z1230" s="126">
        <v>1</v>
      </c>
      <c r="AA1230" s="126">
        <v>1</v>
      </c>
      <c r="AB1230" s="126">
        <v>4</v>
      </c>
      <c r="AC1230" s="126">
        <v>6</v>
      </c>
      <c r="AD1230" s="126">
        <v>2026</v>
      </c>
    </row>
    <row r="1231" spans="3:30">
      <c r="C1231" s="126">
        <v>1224</v>
      </c>
      <c r="D1231" s="126">
        <v>94</v>
      </c>
      <c r="E1231" s="126">
        <v>10</v>
      </c>
      <c r="F1231" s="126">
        <v>1</v>
      </c>
      <c r="G1231" s="126">
        <v>1</v>
      </c>
      <c r="H1231" s="126">
        <v>1</v>
      </c>
      <c r="I1231" s="126">
        <v>1</v>
      </c>
      <c r="J1231" s="126">
        <v>34</v>
      </c>
      <c r="P1231" s="126">
        <v>363</v>
      </c>
      <c r="R1231" s="126" t="s">
        <v>549</v>
      </c>
      <c r="S1231" s="259">
        <v>0</v>
      </c>
      <c r="T1231" s="259">
        <v>0.75</v>
      </c>
      <c r="U1231" s="68" t="s">
        <v>2141</v>
      </c>
      <c r="V1231" s="126">
        <v>1</v>
      </c>
      <c r="Z1231" s="126">
        <v>1</v>
      </c>
      <c r="AA1231" s="126">
        <v>1</v>
      </c>
      <c r="AB1231" s="126">
        <v>4</v>
      </c>
      <c r="AC1231" s="126">
        <v>6</v>
      </c>
      <c r="AD1231" s="126">
        <v>2026</v>
      </c>
    </row>
    <row r="1232" spans="3:30">
      <c r="C1232" s="126">
        <v>1225</v>
      </c>
      <c r="D1232" s="126">
        <v>95</v>
      </c>
      <c r="E1232" s="126">
        <v>6</v>
      </c>
      <c r="F1232" s="126">
        <v>1</v>
      </c>
      <c r="G1232" s="126">
        <v>1</v>
      </c>
      <c r="H1232" s="126">
        <v>1</v>
      </c>
      <c r="I1232" s="126">
        <v>1</v>
      </c>
      <c r="R1232" s="126" t="s">
        <v>675</v>
      </c>
      <c r="S1232" s="259">
        <v>0</v>
      </c>
      <c r="T1232" s="259">
        <v>510.67999999999995</v>
      </c>
      <c r="U1232" s="68" t="s">
        <v>2143</v>
      </c>
      <c r="V1232" s="126">
        <v>2</v>
      </c>
      <c r="Z1232" s="126">
        <v>1</v>
      </c>
      <c r="AA1232" s="126">
        <v>1</v>
      </c>
      <c r="AB1232" s="126">
        <v>1</v>
      </c>
      <c r="AC1232" s="126">
        <v>6</v>
      </c>
      <c r="AD1232" s="126">
        <v>2026</v>
      </c>
    </row>
    <row r="1233" spans="3:30">
      <c r="C1233" s="126">
        <v>1226</v>
      </c>
      <c r="D1233" s="126">
        <v>95</v>
      </c>
      <c r="E1233" s="126">
        <v>3</v>
      </c>
      <c r="F1233" s="126">
        <v>1</v>
      </c>
      <c r="G1233" s="126">
        <v>1</v>
      </c>
      <c r="H1233" s="126">
        <v>1</v>
      </c>
      <c r="I1233" s="126">
        <v>1</v>
      </c>
      <c r="J1233" s="126">
        <v>4</v>
      </c>
      <c r="M1233" s="126">
        <v>404</v>
      </c>
      <c r="N1233" s="126">
        <v>0</v>
      </c>
      <c r="O1233" s="126">
        <v>41</v>
      </c>
      <c r="R1233" s="126" t="s">
        <v>675</v>
      </c>
      <c r="S1233" s="259">
        <v>46.4</v>
      </c>
      <c r="T1233" s="259">
        <v>0</v>
      </c>
      <c r="U1233" s="68" t="s">
        <v>2144</v>
      </c>
      <c r="V1233" s="126">
        <v>2</v>
      </c>
      <c r="Z1233" s="126">
        <v>1</v>
      </c>
      <c r="AA1233" s="126">
        <v>1</v>
      </c>
      <c r="AB1233" s="126">
        <v>1</v>
      </c>
      <c r="AC1233" s="126">
        <v>6</v>
      </c>
      <c r="AD1233" s="126">
        <v>2026</v>
      </c>
    </row>
    <row r="1234" spans="3:30">
      <c r="C1234" s="126">
        <v>1227</v>
      </c>
      <c r="D1234" s="126">
        <v>95</v>
      </c>
      <c r="E1234" s="126">
        <v>3</v>
      </c>
      <c r="F1234" s="126">
        <v>1</v>
      </c>
      <c r="G1234" s="126">
        <v>1</v>
      </c>
      <c r="H1234" s="126">
        <v>1</v>
      </c>
      <c r="I1234" s="126">
        <v>1</v>
      </c>
      <c r="J1234" s="126">
        <v>6</v>
      </c>
      <c r="M1234" s="126">
        <v>405</v>
      </c>
      <c r="N1234" s="126">
        <v>0</v>
      </c>
      <c r="O1234" s="126">
        <v>42</v>
      </c>
      <c r="R1234" s="126" t="s">
        <v>675</v>
      </c>
      <c r="S1234" s="259">
        <v>57.8</v>
      </c>
      <c r="T1234" s="259">
        <v>0</v>
      </c>
      <c r="U1234" s="68" t="s">
        <v>2145</v>
      </c>
      <c r="V1234" s="126">
        <v>2</v>
      </c>
      <c r="Z1234" s="126">
        <v>1</v>
      </c>
      <c r="AA1234" s="126">
        <v>1</v>
      </c>
      <c r="AB1234" s="126">
        <v>1</v>
      </c>
      <c r="AC1234" s="126">
        <v>6</v>
      </c>
      <c r="AD1234" s="126">
        <v>2026</v>
      </c>
    </row>
    <row r="1235" spans="3:30">
      <c r="C1235" s="126">
        <v>1228</v>
      </c>
      <c r="D1235" s="126">
        <v>95</v>
      </c>
      <c r="E1235" s="126">
        <v>3</v>
      </c>
      <c r="F1235" s="126">
        <v>1</v>
      </c>
      <c r="G1235" s="126">
        <v>1</v>
      </c>
      <c r="H1235" s="126">
        <v>1</v>
      </c>
      <c r="I1235" s="126">
        <v>1</v>
      </c>
      <c r="J1235" s="126">
        <v>7</v>
      </c>
      <c r="M1235" s="126">
        <v>406</v>
      </c>
      <c r="N1235" s="126">
        <v>0</v>
      </c>
      <c r="O1235" s="126">
        <v>43</v>
      </c>
      <c r="R1235" s="126" t="s">
        <v>675</v>
      </c>
      <c r="S1235" s="259">
        <v>32.22</v>
      </c>
      <c r="T1235" s="259">
        <v>0</v>
      </c>
      <c r="U1235" s="68" t="s">
        <v>2146</v>
      </c>
      <c r="V1235" s="126">
        <v>2</v>
      </c>
      <c r="Z1235" s="126">
        <v>1</v>
      </c>
      <c r="AA1235" s="126">
        <v>1</v>
      </c>
      <c r="AB1235" s="126">
        <v>1</v>
      </c>
      <c r="AC1235" s="126">
        <v>6</v>
      </c>
      <c r="AD1235" s="126">
        <v>2026</v>
      </c>
    </row>
    <row r="1236" spans="3:30">
      <c r="C1236" s="126">
        <v>1229</v>
      </c>
      <c r="D1236" s="126">
        <v>95</v>
      </c>
      <c r="E1236" s="126">
        <v>3</v>
      </c>
      <c r="F1236" s="126">
        <v>1</v>
      </c>
      <c r="G1236" s="126">
        <v>1</v>
      </c>
      <c r="H1236" s="126">
        <v>1</v>
      </c>
      <c r="I1236" s="126">
        <v>1</v>
      </c>
      <c r="J1236" s="126">
        <v>8</v>
      </c>
      <c r="M1236" s="126">
        <v>407</v>
      </c>
      <c r="N1236" s="126">
        <v>0</v>
      </c>
      <c r="O1236" s="126">
        <v>44</v>
      </c>
      <c r="R1236" s="126" t="s">
        <v>675</v>
      </c>
      <c r="S1236" s="259">
        <v>18.48</v>
      </c>
      <c r="T1236" s="259">
        <v>0</v>
      </c>
      <c r="U1236" s="68" t="s">
        <v>2147</v>
      </c>
      <c r="V1236" s="126">
        <v>2</v>
      </c>
      <c r="Z1236" s="126">
        <v>1</v>
      </c>
      <c r="AA1236" s="126">
        <v>1</v>
      </c>
      <c r="AB1236" s="126">
        <v>1</v>
      </c>
      <c r="AC1236" s="126">
        <v>6</v>
      </c>
      <c r="AD1236" s="126">
        <v>2026</v>
      </c>
    </row>
    <row r="1237" spans="3:30">
      <c r="C1237" s="126">
        <v>1230</v>
      </c>
      <c r="D1237" s="126">
        <v>95</v>
      </c>
      <c r="E1237" s="126">
        <v>3</v>
      </c>
      <c r="F1237" s="126">
        <v>1</v>
      </c>
      <c r="G1237" s="126">
        <v>1</v>
      </c>
      <c r="H1237" s="126">
        <v>1</v>
      </c>
      <c r="I1237" s="126">
        <v>1</v>
      </c>
      <c r="J1237" s="126">
        <v>9</v>
      </c>
      <c r="M1237" s="126">
        <v>408</v>
      </c>
      <c r="N1237" s="126">
        <v>0</v>
      </c>
      <c r="O1237" s="126">
        <v>45</v>
      </c>
      <c r="R1237" s="126" t="s">
        <v>675</v>
      </c>
      <c r="S1237" s="259">
        <v>41.4</v>
      </c>
      <c r="T1237" s="259">
        <v>0</v>
      </c>
      <c r="U1237" s="68" t="s">
        <v>2148</v>
      </c>
      <c r="V1237" s="126">
        <v>2</v>
      </c>
      <c r="Z1237" s="126">
        <v>1</v>
      </c>
      <c r="AA1237" s="126">
        <v>1</v>
      </c>
      <c r="AB1237" s="126">
        <v>1</v>
      </c>
      <c r="AC1237" s="126">
        <v>6</v>
      </c>
      <c r="AD1237" s="126">
        <v>2026</v>
      </c>
    </row>
    <row r="1238" spans="3:30">
      <c r="C1238" s="126">
        <v>1231</v>
      </c>
      <c r="D1238" s="126">
        <v>95</v>
      </c>
      <c r="E1238" s="126">
        <v>3</v>
      </c>
      <c r="F1238" s="126">
        <v>1</v>
      </c>
      <c r="G1238" s="126">
        <v>1</v>
      </c>
      <c r="H1238" s="126">
        <v>1</v>
      </c>
      <c r="I1238" s="126">
        <v>1</v>
      </c>
      <c r="J1238" s="126">
        <v>11</v>
      </c>
      <c r="M1238" s="126">
        <v>409</v>
      </c>
      <c r="N1238" s="126">
        <v>0</v>
      </c>
      <c r="O1238" s="126">
        <v>46</v>
      </c>
      <c r="R1238" s="126" t="s">
        <v>675</v>
      </c>
      <c r="S1238" s="259">
        <v>57.12</v>
      </c>
      <c r="T1238" s="259">
        <v>0</v>
      </c>
      <c r="U1238" s="68" t="s">
        <v>2149</v>
      </c>
      <c r="V1238" s="126">
        <v>2</v>
      </c>
      <c r="Z1238" s="126">
        <v>1</v>
      </c>
      <c r="AA1238" s="126">
        <v>1</v>
      </c>
      <c r="AB1238" s="126">
        <v>1</v>
      </c>
      <c r="AC1238" s="126">
        <v>6</v>
      </c>
      <c r="AD1238" s="126">
        <v>2026</v>
      </c>
    </row>
    <row r="1239" spans="3:30">
      <c r="C1239" s="126">
        <v>1232</v>
      </c>
      <c r="D1239" s="126">
        <v>95</v>
      </c>
      <c r="E1239" s="126">
        <v>3</v>
      </c>
      <c r="F1239" s="126">
        <v>1</v>
      </c>
      <c r="G1239" s="126">
        <v>1</v>
      </c>
      <c r="H1239" s="126">
        <v>1</v>
      </c>
      <c r="I1239" s="126">
        <v>1</v>
      </c>
      <c r="J1239" s="126">
        <v>16</v>
      </c>
      <c r="M1239" s="126">
        <v>410</v>
      </c>
      <c r="N1239" s="126">
        <v>0</v>
      </c>
      <c r="O1239" s="126">
        <v>47</v>
      </c>
      <c r="R1239" s="126" t="s">
        <v>675</v>
      </c>
      <c r="S1239" s="259">
        <v>63</v>
      </c>
      <c r="T1239" s="259">
        <v>0</v>
      </c>
      <c r="U1239" s="68" t="s">
        <v>2150</v>
      </c>
      <c r="V1239" s="126">
        <v>2</v>
      </c>
      <c r="Z1239" s="126">
        <v>1</v>
      </c>
      <c r="AA1239" s="126">
        <v>1</v>
      </c>
      <c r="AB1239" s="126">
        <v>1</v>
      </c>
      <c r="AC1239" s="126">
        <v>6</v>
      </c>
      <c r="AD1239" s="126">
        <v>2026</v>
      </c>
    </row>
    <row r="1240" spans="3:30">
      <c r="C1240" s="126">
        <v>1233</v>
      </c>
      <c r="D1240" s="126">
        <v>95</v>
      </c>
      <c r="E1240" s="126">
        <v>3</v>
      </c>
      <c r="F1240" s="126">
        <v>1</v>
      </c>
      <c r="G1240" s="126">
        <v>1</v>
      </c>
      <c r="H1240" s="126">
        <v>1</v>
      </c>
      <c r="I1240" s="126">
        <v>1</v>
      </c>
      <c r="J1240" s="126">
        <v>18</v>
      </c>
      <c r="M1240" s="126">
        <v>411</v>
      </c>
      <c r="N1240" s="126">
        <v>0</v>
      </c>
      <c r="O1240" s="126">
        <v>48</v>
      </c>
      <c r="R1240" s="126" t="s">
        <v>675</v>
      </c>
      <c r="S1240" s="259">
        <v>2.7</v>
      </c>
      <c r="T1240" s="259">
        <v>0</v>
      </c>
      <c r="U1240" s="68" t="s">
        <v>2151</v>
      </c>
      <c r="V1240" s="126">
        <v>2</v>
      </c>
      <c r="Z1240" s="126">
        <v>1</v>
      </c>
      <c r="AA1240" s="126">
        <v>1</v>
      </c>
      <c r="AB1240" s="126">
        <v>1</v>
      </c>
      <c r="AC1240" s="126">
        <v>6</v>
      </c>
      <c r="AD1240" s="126">
        <v>2026</v>
      </c>
    </row>
    <row r="1241" spans="3:30">
      <c r="C1241" s="126">
        <v>1234</v>
      </c>
      <c r="D1241" s="126">
        <v>95</v>
      </c>
      <c r="E1241" s="126">
        <v>3</v>
      </c>
      <c r="F1241" s="126">
        <v>1</v>
      </c>
      <c r="G1241" s="126">
        <v>1</v>
      </c>
      <c r="H1241" s="126">
        <v>1</v>
      </c>
      <c r="I1241" s="126">
        <v>1</v>
      </c>
      <c r="J1241" s="126">
        <v>20</v>
      </c>
      <c r="M1241" s="126">
        <v>412</v>
      </c>
      <c r="N1241" s="126">
        <v>0</v>
      </c>
      <c r="O1241" s="126">
        <v>49</v>
      </c>
      <c r="R1241" s="126" t="s">
        <v>675</v>
      </c>
      <c r="S1241" s="259">
        <v>70.42</v>
      </c>
      <c r="T1241" s="259">
        <v>0</v>
      </c>
      <c r="U1241" s="68" t="s">
        <v>2152</v>
      </c>
      <c r="V1241" s="126">
        <v>2</v>
      </c>
      <c r="Z1241" s="126">
        <v>1</v>
      </c>
      <c r="AA1241" s="126">
        <v>1</v>
      </c>
      <c r="AB1241" s="126">
        <v>1</v>
      </c>
      <c r="AC1241" s="126">
        <v>6</v>
      </c>
      <c r="AD1241" s="126">
        <v>2026</v>
      </c>
    </row>
    <row r="1242" spans="3:30">
      <c r="C1242" s="126">
        <v>1235</v>
      </c>
      <c r="D1242" s="126">
        <v>95</v>
      </c>
      <c r="E1242" s="126">
        <v>3</v>
      </c>
      <c r="F1242" s="126">
        <v>1</v>
      </c>
      <c r="G1242" s="126">
        <v>1</v>
      </c>
      <c r="H1242" s="126">
        <v>1</v>
      </c>
      <c r="I1242" s="126">
        <v>1</v>
      </c>
      <c r="J1242" s="126">
        <v>25</v>
      </c>
      <c r="M1242" s="126">
        <v>413</v>
      </c>
      <c r="N1242" s="126">
        <v>0</v>
      </c>
      <c r="O1242" s="126">
        <v>50</v>
      </c>
      <c r="R1242" s="126" t="s">
        <v>675</v>
      </c>
      <c r="S1242" s="259">
        <v>3.02</v>
      </c>
      <c r="T1242" s="259">
        <v>0</v>
      </c>
      <c r="U1242" s="68" t="s">
        <v>2153</v>
      </c>
      <c r="V1242" s="126">
        <v>2</v>
      </c>
      <c r="Z1242" s="126">
        <v>1</v>
      </c>
      <c r="AA1242" s="126">
        <v>1</v>
      </c>
      <c r="AB1242" s="126">
        <v>1</v>
      </c>
      <c r="AC1242" s="126">
        <v>6</v>
      </c>
      <c r="AD1242" s="126">
        <v>2026</v>
      </c>
    </row>
    <row r="1243" spans="3:30">
      <c r="C1243" s="126">
        <v>1236</v>
      </c>
      <c r="D1243" s="126">
        <v>95</v>
      </c>
      <c r="E1243" s="126">
        <v>3</v>
      </c>
      <c r="F1243" s="126">
        <v>1</v>
      </c>
      <c r="G1243" s="126">
        <v>1</v>
      </c>
      <c r="H1243" s="126">
        <v>1</v>
      </c>
      <c r="I1243" s="126">
        <v>1</v>
      </c>
      <c r="J1243" s="126">
        <v>29</v>
      </c>
      <c r="M1243" s="126">
        <v>414</v>
      </c>
      <c r="N1243" s="126">
        <v>0</v>
      </c>
      <c r="O1243" s="126">
        <v>51</v>
      </c>
      <c r="R1243" s="126" t="s">
        <v>675</v>
      </c>
      <c r="S1243" s="259">
        <v>101.52</v>
      </c>
      <c r="T1243" s="259">
        <v>0</v>
      </c>
      <c r="U1243" s="68" t="s">
        <v>2154</v>
      </c>
      <c r="V1243" s="126">
        <v>2</v>
      </c>
      <c r="Z1243" s="126">
        <v>1</v>
      </c>
      <c r="AA1243" s="126">
        <v>1</v>
      </c>
      <c r="AB1243" s="126">
        <v>1</v>
      </c>
      <c r="AC1243" s="126">
        <v>6</v>
      </c>
      <c r="AD1243" s="126">
        <v>2026</v>
      </c>
    </row>
    <row r="1244" spans="3:30">
      <c r="C1244" s="126">
        <v>1237</v>
      </c>
      <c r="D1244" s="126">
        <v>95</v>
      </c>
      <c r="E1244" s="126">
        <v>3</v>
      </c>
      <c r="F1244" s="126">
        <v>1</v>
      </c>
      <c r="G1244" s="126">
        <v>1</v>
      </c>
      <c r="H1244" s="126">
        <v>1</v>
      </c>
      <c r="I1244" s="126">
        <v>1</v>
      </c>
      <c r="J1244" s="126">
        <v>30</v>
      </c>
      <c r="M1244" s="126">
        <v>415</v>
      </c>
      <c r="N1244" s="126">
        <v>0</v>
      </c>
      <c r="O1244" s="126">
        <v>52</v>
      </c>
      <c r="R1244" s="126" t="s">
        <v>675</v>
      </c>
      <c r="S1244" s="259">
        <v>8.94</v>
      </c>
      <c r="T1244" s="259">
        <v>0</v>
      </c>
      <c r="U1244" s="68" t="s">
        <v>2155</v>
      </c>
      <c r="V1244" s="126">
        <v>2</v>
      </c>
      <c r="Z1244" s="126">
        <v>1</v>
      </c>
      <c r="AA1244" s="126">
        <v>1</v>
      </c>
      <c r="AB1244" s="126">
        <v>1</v>
      </c>
      <c r="AC1244" s="126">
        <v>6</v>
      </c>
      <c r="AD1244" s="126">
        <v>2026</v>
      </c>
    </row>
    <row r="1245" spans="3:30">
      <c r="C1245" s="126">
        <v>1238</v>
      </c>
      <c r="D1245" s="126">
        <v>95</v>
      </c>
      <c r="E1245" s="126">
        <v>3</v>
      </c>
      <c r="F1245" s="126">
        <v>1</v>
      </c>
      <c r="G1245" s="126">
        <v>1</v>
      </c>
      <c r="H1245" s="126">
        <v>1</v>
      </c>
      <c r="I1245" s="126">
        <v>1</v>
      </c>
      <c r="J1245" s="126">
        <v>32</v>
      </c>
      <c r="M1245" s="126">
        <v>416</v>
      </c>
      <c r="N1245" s="126">
        <v>0</v>
      </c>
      <c r="O1245" s="126">
        <v>53</v>
      </c>
      <c r="R1245" s="126" t="s">
        <v>675</v>
      </c>
      <c r="S1245" s="259">
        <v>4.16</v>
      </c>
      <c r="T1245" s="259">
        <v>0</v>
      </c>
      <c r="U1245" s="68" t="s">
        <v>2156</v>
      </c>
      <c r="V1245" s="126">
        <v>2</v>
      </c>
      <c r="Z1245" s="126">
        <v>1</v>
      </c>
      <c r="AA1245" s="126">
        <v>1</v>
      </c>
      <c r="AB1245" s="126">
        <v>1</v>
      </c>
      <c r="AC1245" s="126">
        <v>6</v>
      </c>
      <c r="AD1245" s="126">
        <v>2026</v>
      </c>
    </row>
    <row r="1246" spans="3:30">
      <c r="C1246" s="126">
        <v>1239</v>
      </c>
      <c r="D1246" s="126">
        <v>95</v>
      </c>
      <c r="E1246" s="126">
        <v>3</v>
      </c>
      <c r="F1246" s="126">
        <v>1</v>
      </c>
      <c r="G1246" s="126">
        <v>1</v>
      </c>
      <c r="H1246" s="126">
        <v>1</v>
      </c>
      <c r="I1246" s="126">
        <v>1</v>
      </c>
      <c r="J1246" s="126">
        <v>33</v>
      </c>
      <c r="M1246" s="126">
        <v>417</v>
      </c>
      <c r="N1246" s="126">
        <v>0</v>
      </c>
      <c r="O1246" s="126">
        <v>54</v>
      </c>
      <c r="R1246" s="126" t="s">
        <v>675</v>
      </c>
      <c r="S1246" s="259">
        <v>3.5</v>
      </c>
      <c r="T1246" s="259">
        <v>0</v>
      </c>
      <c r="U1246" s="68" t="s">
        <v>2157</v>
      </c>
      <c r="V1246" s="126">
        <v>2</v>
      </c>
      <c r="Z1246" s="126">
        <v>1</v>
      </c>
      <c r="AA1246" s="126">
        <v>1</v>
      </c>
      <c r="AB1246" s="126">
        <v>1</v>
      </c>
      <c r="AC1246" s="126">
        <v>6</v>
      </c>
      <c r="AD1246" s="126">
        <v>2026</v>
      </c>
    </row>
    <row r="1247" spans="3:30">
      <c r="C1247" s="126">
        <v>1240</v>
      </c>
      <c r="D1247" s="126">
        <v>96</v>
      </c>
      <c r="E1247" s="126">
        <v>6</v>
      </c>
      <c r="F1247" s="126">
        <v>1</v>
      </c>
      <c r="G1247" s="126">
        <v>1</v>
      </c>
      <c r="H1247" s="126">
        <v>1</v>
      </c>
      <c r="I1247" s="126">
        <v>1</v>
      </c>
      <c r="R1247" s="126" t="s">
        <v>675</v>
      </c>
      <c r="S1247" s="259">
        <v>0</v>
      </c>
      <c r="T1247" s="259">
        <v>230.48</v>
      </c>
      <c r="U1247" s="68" t="s">
        <v>2159</v>
      </c>
      <c r="V1247" s="126">
        <v>2</v>
      </c>
      <c r="Z1247" s="126">
        <v>1</v>
      </c>
      <c r="AA1247" s="126">
        <v>1</v>
      </c>
      <c r="AB1247" s="126">
        <v>1</v>
      </c>
      <c r="AC1247" s="126">
        <v>6</v>
      </c>
      <c r="AD1247" s="126">
        <v>2026</v>
      </c>
    </row>
    <row r="1248" spans="3:30">
      <c r="C1248" s="126">
        <v>1241</v>
      </c>
      <c r="D1248" s="126">
        <v>96</v>
      </c>
      <c r="E1248" s="126">
        <v>3</v>
      </c>
      <c r="F1248" s="126">
        <v>1</v>
      </c>
      <c r="G1248" s="126">
        <v>1</v>
      </c>
      <c r="H1248" s="126">
        <v>1</v>
      </c>
      <c r="I1248" s="126">
        <v>1</v>
      </c>
      <c r="J1248" s="126">
        <v>34</v>
      </c>
      <c r="M1248" s="126">
        <v>418</v>
      </c>
      <c r="N1248" s="126">
        <v>0</v>
      </c>
      <c r="O1248" s="126">
        <v>55</v>
      </c>
      <c r="R1248" s="126" t="s">
        <v>675</v>
      </c>
      <c r="S1248" s="259">
        <v>10</v>
      </c>
      <c r="T1248" s="259">
        <v>0</v>
      </c>
      <c r="U1248" s="68" t="s">
        <v>2160</v>
      </c>
      <c r="V1248" s="126">
        <v>2</v>
      </c>
      <c r="Z1248" s="126">
        <v>1</v>
      </c>
      <c r="AA1248" s="126">
        <v>1</v>
      </c>
      <c r="AB1248" s="126">
        <v>1</v>
      </c>
      <c r="AC1248" s="126">
        <v>6</v>
      </c>
      <c r="AD1248" s="126">
        <v>2026</v>
      </c>
    </row>
    <row r="1249" spans="3:30">
      <c r="C1249" s="126">
        <v>1242</v>
      </c>
      <c r="D1249" s="126">
        <v>96</v>
      </c>
      <c r="E1249" s="126">
        <v>3</v>
      </c>
      <c r="F1249" s="126">
        <v>1</v>
      </c>
      <c r="G1249" s="126">
        <v>1</v>
      </c>
      <c r="H1249" s="126">
        <v>1</v>
      </c>
      <c r="I1249" s="126">
        <v>1</v>
      </c>
      <c r="J1249" s="126">
        <v>37</v>
      </c>
      <c r="M1249" s="126">
        <v>419</v>
      </c>
      <c r="N1249" s="126">
        <v>0</v>
      </c>
      <c r="O1249" s="126">
        <v>56</v>
      </c>
      <c r="R1249" s="126" t="s">
        <v>675</v>
      </c>
      <c r="S1249" s="259">
        <v>2.64</v>
      </c>
      <c r="T1249" s="259">
        <v>0</v>
      </c>
      <c r="U1249" s="68" t="s">
        <v>2161</v>
      </c>
      <c r="V1249" s="126">
        <v>2</v>
      </c>
      <c r="Z1249" s="126">
        <v>1</v>
      </c>
      <c r="AA1249" s="126">
        <v>1</v>
      </c>
      <c r="AB1249" s="126">
        <v>1</v>
      </c>
      <c r="AC1249" s="126">
        <v>6</v>
      </c>
      <c r="AD1249" s="126">
        <v>2026</v>
      </c>
    </row>
    <row r="1250" spans="3:30">
      <c r="C1250" s="126">
        <v>1243</v>
      </c>
      <c r="D1250" s="126">
        <v>96</v>
      </c>
      <c r="E1250" s="126">
        <v>3</v>
      </c>
      <c r="F1250" s="126">
        <v>1</v>
      </c>
      <c r="G1250" s="126">
        <v>1</v>
      </c>
      <c r="H1250" s="126">
        <v>1</v>
      </c>
      <c r="I1250" s="126">
        <v>1</v>
      </c>
      <c r="J1250" s="126">
        <v>38</v>
      </c>
      <c r="M1250" s="126">
        <v>420</v>
      </c>
      <c r="N1250" s="126">
        <v>0</v>
      </c>
      <c r="O1250" s="126">
        <v>57</v>
      </c>
      <c r="R1250" s="126" t="s">
        <v>675</v>
      </c>
      <c r="S1250" s="259">
        <v>1.1599999999999999</v>
      </c>
      <c r="T1250" s="259">
        <v>0</v>
      </c>
      <c r="U1250" s="68" t="s">
        <v>2162</v>
      </c>
      <c r="V1250" s="126">
        <v>2</v>
      </c>
      <c r="Z1250" s="126">
        <v>1</v>
      </c>
      <c r="AA1250" s="126">
        <v>1</v>
      </c>
      <c r="AB1250" s="126">
        <v>1</v>
      </c>
      <c r="AC1250" s="126">
        <v>6</v>
      </c>
      <c r="AD1250" s="126">
        <v>2026</v>
      </c>
    </row>
    <row r="1251" spans="3:30">
      <c r="C1251" s="126">
        <v>1244</v>
      </c>
      <c r="D1251" s="126">
        <v>96</v>
      </c>
      <c r="E1251" s="126">
        <v>3</v>
      </c>
      <c r="F1251" s="126">
        <v>1</v>
      </c>
      <c r="G1251" s="126">
        <v>1</v>
      </c>
      <c r="H1251" s="126">
        <v>1</v>
      </c>
      <c r="I1251" s="126">
        <v>1</v>
      </c>
      <c r="J1251" s="126">
        <v>39</v>
      </c>
      <c r="M1251" s="126">
        <v>421</v>
      </c>
      <c r="N1251" s="126">
        <v>0</v>
      </c>
      <c r="O1251" s="126">
        <v>58</v>
      </c>
      <c r="R1251" s="126" t="s">
        <v>675</v>
      </c>
      <c r="S1251" s="259">
        <v>1.74</v>
      </c>
      <c r="T1251" s="259">
        <v>0</v>
      </c>
      <c r="U1251" s="68" t="s">
        <v>2163</v>
      </c>
      <c r="V1251" s="126">
        <v>2</v>
      </c>
      <c r="Z1251" s="126">
        <v>1</v>
      </c>
      <c r="AA1251" s="126">
        <v>1</v>
      </c>
      <c r="AB1251" s="126">
        <v>1</v>
      </c>
      <c r="AC1251" s="126">
        <v>6</v>
      </c>
      <c r="AD1251" s="126">
        <v>2026</v>
      </c>
    </row>
    <row r="1252" spans="3:30">
      <c r="C1252" s="126">
        <v>1245</v>
      </c>
      <c r="D1252" s="126">
        <v>96</v>
      </c>
      <c r="E1252" s="126">
        <v>3</v>
      </c>
      <c r="F1252" s="126">
        <v>1</v>
      </c>
      <c r="G1252" s="126">
        <v>1</v>
      </c>
      <c r="H1252" s="126">
        <v>1</v>
      </c>
      <c r="I1252" s="126">
        <v>1</v>
      </c>
      <c r="J1252" s="126">
        <v>40</v>
      </c>
      <c r="M1252" s="126">
        <v>422</v>
      </c>
      <c r="N1252" s="126">
        <v>0</v>
      </c>
      <c r="O1252" s="126">
        <v>59</v>
      </c>
      <c r="R1252" s="126" t="s">
        <v>675</v>
      </c>
      <c r="S1252" s="259">
        <v>0.92</v>
      </c>
      <c r="T1252" s="259">
        <v>0</v>
      </c>
      <c r="U1252" s="68" t="s">
        <v>2164</v>
      </c>
      <c r="V1252" s="126">
        <v>2</v>
      </c>
      <c r="Z1252" s="126">
        <v>1</v>
      </c>
      <c r="AA1252" s="126">
        <v>1</v>
      </c>
      <c r="AB1252" s="126">
        <v>1</v>
      </c>
      <c r="AC1252" s="126">
        <v>6</v>
      </c>
      <c r="AD1252" s="126">
        <v>2026</v>
      </c>
    </row>
    <row r="1253" spans="3:30">
      <c r="C1253" s="126">
        <v>1246</v>
      </c>
      <c r="D1253" s="126">
        <v>96</v>
      </c>
      <c r="E1253" s="126">
        <v>3</v>
      </c>
      <c r="F1253" s="126">
        <v>1</v>
      </c>
      <c r="G1253" s="126">
        <v>1</v>
      </c>
      <c r="H1253" s="126">
        <v>1</v>
      </c>
      <c r="I1253" s="126">
        <v>1</v>
      </c>
      <c r="J1253" s="126">
        <v>41</v>
      </c>
      <c r="M1253" s="126">
        <v>423</v>
      </c>
      <c r="N1253" s="126">
        <v>0</v>
      </c>
      <c r="O1253" s="126">
        <v>60</v>
      </c>
      <c r="R1253" s="126" t="s">
        <v>675</v>
      </c>
      <c r="S1253" s="259">
        <v>8.48</v>
      </c>
      <c r="T1253" s="259">
        <v>0</v>
      </c>
      <c r="U1253" s="68" t="s">
        <v>2165</v>
      </c>
      <c r="V1253" s="126">
        <v>2</v>
      </c>
      <c r="Z1253" s="126">
        <v>1</v>
      </c>
      <c r="AA1253" s="126">
        <v>1</v>
      </c>
      <c r="AB1253" s="126">
        <v>1</v>
      </c>
      <c r="AC1253" s="126">
        <v>6</v>
      </c>
      <c r="AD1253" s="126">
        <v>2026</v>
      </c>
    </row>
    <row r="1254" spans="3:30">
      <c r="C1254" s="126">
        <v>1247</v>
      </c>
      <c r="D1254" s="126">
        <v>96</v>
      </c>
      <c r="E1254" s="126">
        <v>3</v>
      </c>
      <c r="F1254" s="126">
        <v>1</v>
      </c>
      <c r="G1254" s="126">
        <v>1</v>
      </c>
      <c r="H1254" s="126">
        <v>1</v>
      </c>
      <c r="I1254" s="126">
        <v>1</v>
      </c>
      <c r="J1254" s="126">
        <v>42</v>
      </c>
      <c r="M1254" s="126">
        <v>424</v>
      </c>
      <c r="N1254" s="126">
        <v>0</v>
      </c>
      <c r="O1254" s="126">
        <v>61</v>
      </c>
      <c r="R1254" s="126" t="s">
        <v>675</v>
      </c>
      <c r="S1254" s="259">
        <v>7.68</v>
      </c>
      <c r="T1254" s="259">
        <v>0</v>
      </c>
      <c r="U1254" s="68" t="s">
        <v>2166</v>
      </c>
      <c r="V1254" s="126">
        <v>2</v>
      </c>
      <c r="Z1254" s="126">
        <v>1</v>
      </c>
      <c r="AA1254" s="126">
        <v>1</v>
      </c>
      <c r="AB1254" s="126">
        <v>1</v>
      </c>
      <c r="AC1254" s="126">
        <v>6</v>
      </c>
      <c r="AD1254" s="126">
        <v>2026</v>
      </c>
    </row>
    <row r="1255" spans="3:30">
      <c r="C1255" s="126">
        <v>1248</v>
      </c>
      <c r="D1255" s="126">
        <v>96</v>
      </c>
      <c r="E1255" s="126">
        <v>3</v>
      </c>
      <c r="F1255" s="126">
        <v>1</v>
      </c>
      <c r="G1255" s="126">
        <v>1</v>
      </c>
      <c r="H1255" s="126">
        <v>1</v>
      </c>
      <c r="I1255" s="126">
        <v>1</v>
      </c>
      <c r="J1255" s="126">
        <v>44</v>
      </c>
      <c r="M1255" s="126">
        <v>425</v>
      </c>
      <c r="N1255" s="126">
        <v>0</v>
      </c>
      <c r="O1255" s="126">
        <v>62</v>
      </c>
      <c r="R1255" s="126" t="s">
        <v>675</v>
      </c>
      <c r="S1255" s="259">
        <v>1.76</v>
      </c>
      <c r="T1255" s="259">
        <v>0</v>
      </c>
      <c r="U1255" s="68" t="s">
        <v>2167</v>
      </c>
      <c r="V1255" s="126">
        <v>2</v>
      </c>
      <c r="Z1255" s="126">
        <v>1</v>
      </c>
      <c r="AA1255" s="126">
        <v>1</v>
      </c>
      <c r="AB1255" s="126">
        <v>1</v>
      </c>
      <c r="AC1255" s="126">
        <v>6</v>
      </c>
      <c r="AD1255" s="126">
        <v>2026</v>
      </c>
    </row>
    <row r="1256" spans="3:30">
      <c r="C1256" s="126">
        <v>1249</v>
      </c>
      <c r="D1256" s="126">
        <v>96</v>
      </c>
      <c r="E1256" s="126">
        <v>3</v>
      </c>
      <c r="F1256" s="126">
        <v>1</v>
      </c>
      <c r="G1256" s="126">
        <v>1</v>
      </c>
      <c r="H1256" s="126">
        <v>1</v>
      </c>
      <c r="I1256" s="126">
        <v>1</v>
      </c>
      <c r="J1256" s="126">
        <v>45</v>
      </c>
      <c r="M1256" s="126">
        <v>426</v>
      </c>
      <c r="N1256" s="126">
        <v>0</v>
      </c>
      <c r="O1256" s="126">
        <v>63</v>
      </c>
      <c r="R1256" s="126" t="s">
        <v>675</v>
      </c>
      <c r="S1256" s="259">
        <v>10.199999999999999</v>
      </c>
      <c r="T1256" s="259">
        <v>0</v>
      </c>
      <c r="U1256" s="68" t="s">
        <v>2168</v>
      </c>
      <c r="V1256" s="126">
        <v>2</v>
      </c>
      <c r="Z1256" s="126">
        <v>1</v>
      </c>
      <c r="AA1256" s="126">
        <v>1</v>
      </c>
      <c r="AB1256" s="126">
        <v>1</v>
      </c>
      <c r="AC1256" s="126">
        <v>6</v>
      </c>
      <c r="AD1256" s="126">
        <v>2026</v>
      </c>
    </row>
    <row r="1257" spans="3:30">
      <c r="C1257" s="126">
        <v>1250</v>
      </c>
      <c r="D1257" s="126">
        <v>96</v>
      </c>
      <c r="E1257" s="126">
        <v>3</v>
      </c>
      <c r="F1257" s="126">
        <v>1</v>
      </c>
      <c r="G1257" s="126">
        <v>1</v>
      </c>
      <c r="H1257" s="126">
        <v>1</v>
      </c>
      <c r="I1257" s="126">
        <v>1</v>
      </c>
      <c r="J1257" s="126">
        <v>46</v>
      </c>
      <c r="M1257" s="126">
        <v>427</v>
      </c>
      <c r="N1257" s="126">
        <v>0</v>
      </c>
      <c r="O1257" s="126">
        <v>64</v>
      </c>
      <c r="R1257" s="126" t="s">
        <v>675</v>
      </c>
      <c r="S1257" s="259">
        <v>9</v>
      </c>
      <c r="T1257" s="259">
        <v>0</v>
      </c>
      <c r="U1257" s="68" t="s">
        <v>2169</v>
      </c>
      <c r="V1257" s="126">
        <v>2</v>
      </c>
      <c r="Z1257" s="126">
        <v>1</v>
      </c>
      <c r="AA1257" s="126">
        <v>1</v>
      </c>
      <c r="AB1257" s="126">
        <v>1</v>
      </c>
      <c r="AC1257" s="126">
        <v>6</v>
      </c>
      <c r="AD1257" s="126">
        <v>2026</v>
      </c>
    </row>
    <row r="1258" spans="3:30">
      <c r="C1258" s="126">
        <v>1251</v>
      </c>
      <c r="D1258" s="126">
        <v>96</v>
      </c>
      <c r="E1258" s="126">
        <v>3</v>
      </c>
      <c r="F1258" s="126">
        <v>1</v>
      </c>
      <c r="G1258" s="126">
        <v>1</v>
      </c>
      <c r="H1258" s="126">
        <v>1</v>
      </c>
      <c r="I1258" s="126">
        <v>1</v>
      </c>
      <c r="J1258" s="126">
        <v>48</v>
      </c>
      <c r="M1258" s="126">
        <v>428</v>
      </c>
      <c r="N1258" s="126">
        <v>0</v>
      </c>
      <c r="O1258" s="126">
        <v>65</v>
      </c>
      <c r="R1258" s="126" t="s">
        <v>675</v>
      </c>
      <c r="S1258" s="259">
        <v>1.68</v>
      </c>
      <c r="T1258" s="259">
        <v>0</v>
      </c>
      <c r="U1258" s="68" t="s">
        <v>2170</v>
      </c>
      <c r="V1258" s="126">
        <v>2</v>
      </c>
      <c r="Z1258" s="126">
        <v>1</v>
      </c>
      <c r="AA1258" s="126">
        <v>1</v>
      </c>
      <c r="AB1258" s="126">
        <v>1</v>
      </c>
      <c r="AC1258" s="126">
        <v>6</v>
      </c>
      <c r="AD1258" s="126">
        <v>2026</v>
      </c>
    </row>
    <row r="1259" spans="3:30">
      <c r="C1259" s="126">
        <v>1252</v>
      </c>
      <c r="D1259" s="126">
        <v>96</v>
      </c>
      <c r="E1259" s="126">
        <v>3</v>
      </c>
      <c r="F1259" s="126">
        <v>1</v>
      </c>
      <c r="G1259" s="126">
        <v>1</v>
      </c>
      <c r="H1259" s="126">
        <v>1</v>
      </c>
      <c r="I1259" s="126">
        <v>1</v>
      </c>
      <c r="J1259" s="126">
        <v>49</v>
      </c>
      <c r="M1259" s="126">
        <v>429</v>
      </c>
      <c r="N1259" s="126">
        <v>0</v>
      </c>
      <c r="O1259" s="126">
        <v>66</v>
      </c>
      <c r="R1259" s="126" t="s">
        <v>675</v>
      </c>
      <c r="S1259" s="259">
        <v>8.4</v>
      </c>
      <c r="T1259" s="259">
        <v>0</v>
      </c>
      <c r="U1259" s="68" t="s">
        <v>2171</v>
      </c>
      <c r="V1259" s="126">
        <v>2</v>
      </c>
      <c r="Z1259" s="126">
        <v>1</v>
      </c>
      <c r="AA1259" s="126">
        <v>1</v>
      </c>
      <c r="AB1259" s="126">
        <v>1</v>
      </c>
      <c r="AC1259" s="126">
        <v>6</v>
      </c>
      <c r="AD1259" s="126">
        <v>2026</v>
      </c>
    </row>
    <row r="1260" spans="3:30">
      <c r="C1260" s="126">
        <v>1253</v>
      </c>
      <c r="D1260" s="126">
        <v>96</v>
      </c>
      <c r="E1260" s="126">
        <v>3</v>
      </c>
      <c r="F1260" s="126">
        <v>1</v>
      </c>
      <c r="G1260" s="126">
        <v>1</v>
      </c>
      <c r="H1260" s="126">
        <v>1</v>
      </c>
      <c r="I1260" s="126">
        <v>1</v>
      </c>
      <c r="J1260" s="126">
        <v>50</v>
      </c>
      <c r="M1260" s="126">
        <v>430</v>
      </c>
      <c r="N1260" s="126">
        <v>0</v>
      </c>
      <c r="O1260" s="126">
        <v>67</v>
      </c>
      <c r="R1260" s="126" t="s">
        <v>675</v>
      </c>
      <c r="S1260" s="259">
        <v>14.16</v>
      </c>
      <c r="T1260" s="259">
        <v>0</v>
      </c>
      <c r="U1260" s="68" t="s">
        <v>2172</v>
      </c>
      <c r="V1260" s="126">
        <v>2</v>
      </c>
      <c r="Z1260" s="126">
        <v>1</v>
      </c>
      <c r="AA1260" s="126">
        <v>1</v>
      </c>
      <c r="AB1260" s="126">
        <v>1</v>
      </c>
      <c r="AC1260" s="126">
        <v>6</v>
      </c>
      <c r="AD1260" s="126">
        <v>2026</v>
      </c>
    </row>
    <row r="1261" spans="3:30">
      <c r="C1261" s="126">
        <v>1254</v>
      </c>
      <c r="D1261" s="126">
        <v>96</v>
      </c>
      <c r="E1261" s="126">
        <v>3</v>
      </c>
      <c r="F1261" s="126">
        <v>1</v>
      </c>
      <c r="G1261" s="126">
        <v>1</v>
      </c>
      <c r="H1261" s="126">
        <v>1</v>
      </c>
      <c r="I1261" s="126">
        <v>1</v>
      </c>
      <c r="J1261" s="126">
        <v>51</v>
      </c>
      <c r="M1261" s="126">
        <v>431</v>
      </c>
      <c r="N1261" s="126">
        <v>0</v>
      </c>
      <c r="O1261" s="126">
        <v>68</v>
      </c>
      <c r="R1261" s="126" t="s">
        <v>675</v>
      </c>
      <c r="S1261" s="259">
        <v>152.66</v>
      </c>
      <c r="T1261" s="259">
        <v>0</v>
      </c>
      <c r="U1261" s="68" t="s">
        <v>2173</v>
      </c>
      <c r="V1261" s="126">
        <v>2</v>
      </c>
      <c r="Z1261" s="126">
        <v>1</v>
      </c>
      <c r="AA1261" s="126">
        <v>1</v>
      </c>
      <c r="AB1261" s="126">
        <v>1</v>
      </c>
      <c r="AC1261" s="126">
        <v>6</v>
      </c>
      <c r="AD1261" s="126">
        <v>2026</v>
      </c>
    </row>
    <row r="1262" spans="3:30">
      <c r="C1262" s="126">
        <v>1255</v>
      </c>
      <c r="D1262" s="126">
        <v>97</v>
      </c>
      <c r="E1262" s="126">
        <v>6</v>
      </c>
      <c r="F1262" s="126">
        <v>1</v>
      </c>
      <c r="G1262" s="126">
        <v>1</v>
      </c>
      <c r="H1262" s="126">
        <v>1</v>
      </c>
      <c r="I1262" s="126">
        <v>1</v>
      </c>
      <c r="R1262" s="126" t="s">
        <v>675</v>
      </c>
      <c r="S1262" s="259">
        <v>0</v>
      </c>
      <c r="T1262" s="259">
        <v>175.40000000000003</v>
      </c>
      <c r="U1262" s="68" t="s">
        <v>2175</v>
      </c>
      <c r="V1262" s="126">
        <v>2</v>
      </c>
      <c r="Z1262" s="126">
        <v>1</v>
      </c>
      <c r="AA1262" s="126">
        <v>1</v>
      </c>
      <c r="AB1262" s="126">
        <v>1</v>
      </c>
      <c r="AC1262" s="126">
        <v>6</v>
      </c>
      <c r="AD1262" s="126">
        <v>2026</v>
      </c>
    </row>
    <row r="1263" spans="3:30">
      <c r="C1263" s="126">
        <v>1256</v>
      </c>
      <c r="D1263" s="126">
        <v>97</v>
      </c>
      <c r="E1263" s="126">
        <v>3</v>
      </c>
      <c r="F1263" s="126">
        <v>1</v>
      </c>
      <c r="G1263" s="126">
        <v>1</v>
      </c>
      <c r="H1263" s="126">
        <v>1</v>
      </c>
      <c r="I1263" s="126">
        <v>1</v>
      </c>
      <c r="J1263" s="126">
        <v>52</v>
      </c>
      <c r="M1263" s="126">
        <v>432</v>
      </c>
      <c r="N1263" s="126">
        <v>0</v>
      </c>
      <c r="O1263" s="126">
        <v>69</v>
      </c>
      <c r="R1263" s="126" t="s">
        <v>675</v>
      </c>
      <c r="S1263" s="259">
        <v>42.02</v>
      </c>
      <c r="T1263" s="259">
        <v>0</v>
      </c>
      <c r="U1263" s="68" t="s">
        <v>2176</v>
      </c>
      <c r="V1263" s="126">
        <v>2</v>
      </c>
      <c r="Z1263" s="126">
        <v>1</v>
      </c>
      <c r="AA1263" s="126">
        <v>1</v>
      </c>
      <c r="AB1263" s="126">
        <v>1</v>
      </c>
      <c r="AC1263" s="126">
        <v>6</v>
      </c>
      <c r="AD1263" s="126">
        <v>2026</v>
      </c>
    </row>
    <row r="1264" spans="3:30">
      <c r="C1264" s="126">
        <v>1257</v>
      </c>
      <c r="D1264" s="126">
        <v>97</v>
      </c>
      <c r="E1264" s="126">
        <v>3</v>
      </c>
      <c r="F1264" s="126">
        <v>1</v>
      </c>
      <c r="G1264" s="126">
        <v>1</v>
      </c>
      <c r="H1264" s="126">
        <v>1</v>
      </c>
      <c r="I1264" s="126">
        <v>1</v>
      </c>
      <c r="J1264" s="126">
        <v>53</v>
      </c>
      <c r="M1264" s="126">
        <v>433</v>
      </c>
      <c r="N1264" s="126">
        <v>0</v>
      </c>
      <c r="O1264" s="126">
        <v>70</v>
      </c>
      <c r="R1264" s="126" t="s">
        <v>675</v>
      </c>
      <c r="S1264" s="259">
        <v>3.8</v>
      </c>
      <c r="T1264" s="259">
        <v>0</v>
      </c>
      <c r="U1264" s="68" t="s">
        <v>2177</v>
      </c>
      <c r="V1264" s="126">
        <v>2</v>
      </c>
      <c r="Z1264" s="126">
        <v>1</v>
      </c>
      <c r="AA1264" s="126">
        <v>1</v>
      </c>
      <c r="AB1264" s="126">
        <v>1</v>
      </c>
      <c r="AC1264" s="126">
        <v>6</v>
      </c>
      <c r="AD1264" s="126">
        <v>2026</v>
      </c>
    </row>
    <row r="1265" spans="3:30">
      <c r="C1265" s="126">
        <v>1258</v>
      </c>
      <c r="D1265" s="126">
        <v>97</v>
      </c>
      <c r="E1265" s="126">
        <v>3</v>
      </c>
      <c r="F1265" s="126">
        <v>1</v>
      </c>
      <c r="G1265" s="126">
        <v>1</v>
      </c>
      <c r="H1265" s="126">
        <v>1</v>
      </c>
      <c r="I1265" s="126">
        <v>1</v>
      </c>
      <c r="J1265" s="126">
        <v>54</v>
      </c>
      <c r="M1265" s="126">
        <v>434</v>
      </c>
      <c r="N1265" s="126">
        <v>0</v>
      </c>
      <c r="O1265" s="126">
        <v>71</v>
      </c>
      <c r="R1265" s="126" t="s">
        <v>675</v>
      </c>
      <c r="S1265" s="259">
        <v>33.92</v>
      </c>
      <c r="T1265" s="259">
        <v>0</v>
      </c>
      <c r="U1265" s="68" t="s">
        <v>2178</v>
      </c>
      <c r="V1265" s="126">
        <v>2</v>
      </c>
      <c r="Z1265" s="126">
        <v>1</v>
      </c>
      <c r="AA1265" s="126">
        <v>1</v>
      </c>
      <c r="AB1265" s="126">
        <v>1</v>
      </c>
      <c r="AC1265" s="126">
        <v>6</v>
      </c>
      <c r="AD1265" s="126">
        <v>2026</v>
      </c>
    </row>
    <row r="1266" spans="3:30">
      <c r="C1266" s="126">
        <v>1259</v>
      </c>
      <c r="D1266" s="126">
        <v>97</v>
      </c>
      <c r="E1266" s="126">
        <v>3</v>
      </c>
      <c r="F1266" s="126">
        <v>1</v>
      </c>
      <c r="G1266" s="126">
        <v>1</v>
      </c>
      <c r="H1266" s="126">
        <v>1</v>
      </c>
      <c r="I1266" s="126">
        <v>1</v>
      </c>
      <c r="J1266" s="126">
        <v>56</v>
      </c>
      <c r="M1266" s="126">
        <v>435</v>
      </c>
      <c r="N1266" s="126">
        <v>0</v>
      </c>
      <c r="O1266" s="126">
        <v>72</v>
      </c>
      <c r="R1266" s="126" t="s">
        <v>675</v>
      </c>
      <c r="S1266" s="259">
        <v>7.7</v>
      </c>
      <c r="T1266" s="259">
        <v>0</v>
      </c>
      <c r="U1266" s="68" t="s">
        <v>2179</v>
      </c>
      <c r="V1266" s="126">
        <v>2</v>
      </c>
      <c r="Z1266" s="126">
        <v>1</v>
      </c>
      <c r="AA1266" s="126">
        <v>1</v>
      </c>
      <c r="AB1266" s="126">
        <v>1</v>
      </c>
      <c r="AC1266" s="126">
        <v>6</v>
      </c>
      <c r="AD1266" s="126">
        <v>2026</v>
      </c>
    </row>
    <row r="1267" spans="3:30">
      <c r="C1267" s="126">
        <v>1260</v>
      </c>
      <c r="D1267" s="126">
        <v>97</v>
      </c>
      <c r="E1267" s="126">
        <v>3</v>
      </c>
      <c r="F1267" s="126">
        <v>1</v>
      </c>
      <c r="G1267" s="126">
        <v>1</v>
      </c>
      <c r="H1267" s="126">
        <v>1</v>
      </c>
      <c r="I1267" s="126">
        <v>1</v>
      </c>
      <c r="J1267" s="126">
        <v>61</v>
      </c>
      <c r="M1267" s="126">
        <v>436</v>
      </c>
      <c r="N1267" s="126">
        <v>0</v>
      </c>
      <c r="O1267" s="126">
        <v>73</v>
      </c>
      <c r="R1267" s="126" t="s">
        <v>675</v>
      </c>
      <c r="S1267" s="259">
        <v>12.82</v>
      </c>
      <c r="T1267" s="259">
        <v>0</v>
      </c>
      <c r="U1267" s="68" t="s">
        <v>2180</v>
      </c>
      <c r="V1267" s="126">
        <v>2</v>
      </c>
      <c r="Z1267" s="126">
        <v>1</v>
      </c>
      <c r="AA1267" s="126">
        <v>1</v>
      </c>
      <c r="AB1267" s="126">
        <v>1</v>
      </c>
      <c r="AC1267" s="126">
        <v>6</v>
      </c>
      <c r="AD1267" s="126">
        <v>2026</v>
      </c>
    </row>
    <row r="1268" spans="3:30">
      <c r="C1268" s="126">
        <v>1261</v>
      </c>
      <c r="D1268" s="126">
        <v>97</v>
      </c>
      <c r="E1268" s="126">
        <v>3</v>
      </c>
      <c r="F1268" s="126">
        <v>1</v>
      </c>
      <c r="G1268" s="126">
        <v>1</v>
      </c>
      <c r="H1268" s="126">
        <v>1</v>
      </c>
      <c r="I1268" s="126">
        <v>1</v>
      </c>
      <c r="J1268" s="126">
        <v>63</v>
      </c>
      <c r="M1268" s="126">
        <v>437</v>
      </c>
      <c r="N1268" s="126">
        <v>0</v>
      </c>
      <c r="O1268" s="126">
        <v>74</v>
      </c>
      <c r="R1268" s="126" t="s">
        <v>675</v>
      </c>
      <c r="S1268" s="259">
        <v>51.96</v>
      </c>
      <c r="T1268" s="259">
        <v>0</v>
      </c>
      <c r="U1268" s="68" t="s">
        <v>2181</v>
      </c>
      <c r="V1268" s="126">
        <v>2</v>
      </c>
      <c r="Z1268" s="126">
        <v>1</v>
      </c>
      <c r="AA1268" s="126">
        <v>1</v>
      </c>
      <c r="AB1268" s="126">
        <v>1</v>
      </c>
      <c r="AC1268" s="126">
        <v>6</v>
      </c>
      <c r="AD1268" s="126">
        <v>2026</v>
      </c>
    </row>
    <row r="1269" spans="3:30">
      <c r="C1269" s="126">
        <v>1262</v>
      </c>
      <c r="D1269" s="126">
        <v>97</v>
      </c>
      <c r="E1269" s="126">
        <v>3</v>
      </c>
      <c r="F1269" s="126">
        <v>1</v>
      </c>
      <c r="G1269" s="126">
        <v>1</v>
      </c>
      <c r="H1269" s="126">
        <v>1</v>
      </c>
      <c r="I1269" s="126">
        <v>1</v>
      </c>
      <c r="J1269" s="126">
        <v>64</v>
      </c>
      <c r="M1269" s="126">
        <v>438</v>
      </c>
      <c r="N1269" s="126">
        <v>0</v>
      </c>
      <c r="O1269" s="126">
        <v>75</v>
      </c>
      <c r="R1269" s="126" t="s">
        <v>675</v>
      </c>
      <c r="S1269" s="259">
        <v>3.8</v>
      </c>
      <c r="T1269" s="259">
        <v>0</v>
      </c>
      <c r="U1269" s="68" t="s">
        <v>2182</v>
      </c>
      <c r="V1269" s="126">
        <v>2</v>
      </c>
      <c r="Z1269" s="126">
        <v>1</v>
      </c>
      <c r="AA1269" s="126">
        <v>1</v>
      </c>
      <c r="AB1269" s="126">
        <v>1</v>
      </c>
      <c r="AC1269" s="126">
        <v>6</v>
      </c>
      <c r="AD1269" s="126">
        <v>2026</v>
      </c>
    </row>
    <row r="1270" spans="3:30">
      <c r="C1270" s="126">
        <v>1263</v>
      </c>
      <c r="D1270" s="126">
        <v>97</v>
      </c>
      <c r="E1270" s="126">
        <v>3</v>
      </c>
      <c r="F1270" s="126">
        <v>1</v>
      </c>
      <c r="G1270" s="126">
        <v>1</v>
      </c>
      <c r="H1270" s="126">
        <v>1</v>
      </c>
      <c r="I1270" s="126">
        <v>1</v>
      </c>
      <c r="J1270" s="126">
        <v>66</v>
      </c>
      <c r="M1270" s="126">
        <v>439</v>
      </c>
      <c r="N1270" s="126">
        <v>0</v>
      </c>
      <c r="O1270" s="126">
        <v>76</v>
      </c>
      <c r="R1270" s="126" t="s">
        <v>675</v>
      </c>
      <c r="S1270" s="259">
        <v>4.92</v>
      </c>
      <c r="T1270" s="259">
        <v>0</v>
      </c>
      <c r="U1270" s="68" t="s">
        <v>2183</v>
      </c>
      <c r="V1270" s="126">
        <v>2</v>
      </c>
      <c r="Z1270" s="126">
        <v>1</v>
      </c>
      <c r="AA1270" s="126">
        <v>1</v>
      </c>
      <c r="AB1270" s="126">
        <v>1</v>
      </c>
      <c r="AC1270" s="126">
        <v>6</v>
      </c>
      <c r="AD1270" s="126">
        <v>2026</v>
      </c>
    </row>
    <row r="1271" spans="3:30">
      <c r="C1271" s="126">
        <v>1264</v>
      </c>
      <c r="D1271" s="126">
        <v>97</v>
      </c>
      <c r="E1271" s="126">
        <v>3</v>
      </c>
      <c r="F1271" s="126">
        <v>1</v>
      </c>
      <c r="G1271" s="126">
        <v>1</v>
      </c>
      <c r="H1271" s="126">
        <v>1</v>
      </c>
      <c r="I1271" s="126">
        <v>1</v>
      </c>
      <c r="J1271" s="126">
        <v>68</v>
      </c>
      <c r="M1271" s="126">
        <v>440</v>
      </c>
      <c r="N1271" s="126">
        <v>0</v>
      </c>
      <c r="O1271" s="126">
        <v>77</v>
      </c>
      <c r="R1271" s="126" t="s">
        <v>675</v>
      </c>
      <c r="S1271" s="259">
        <v>6.36</v>
      </c>
      <c r="T1271" s="259">
        <v>0</v>
      </c>
      <c r="U1271" s="68" t="s">
        <v>2184</v>
      </c>
      <c r="V1271" s="126">
        <v>2</v>
      </c>
      <c r="Z1271" s="126">
        <v>1</v>
      </c>
      <c r="AA1271" s="126">
        <v>1</v>
      </c>
      <c r="AB1271" s="126">
        <v>1</v>
      </c>
      <c r="AC1271" s="126">
        <v>6</v>
      </c>
      <c r="AD1271" s="126">
        <v>2026</v>
      </c>
    </row>
    <row r="1272" spans="3:30">
      <c r="C1272" s="126">
        <v>1265</v>
      </c>
      <c r="D1272" s="126">
        <v>97</v>
      </c>
      <c r="E1272" s="126">
        <v>3</v>
      </c>
      <c r="F1272" s="126">
        <v>1</v>
      </c>
      <c r="G1272" s="126">
        <v>1</v>
      </c>
      <c r="H1272" s="126">
        <v>1</v>
      </c>
      <c r="I1272" s="126">
        <v>1</v>
      </c>
      <c r="J1272" s="126">
        <v>69</v>
      </c>
      <c r="M1272" s="126">
        <v>441</v>
      </c>
      <c r="N1272" s="126">
        <v>0</v>
      </c>
      <c r="O1272" s="126">
        <v>78</v>
      </c>
      <c r="R1272" s="126" t="s">
        <v>675</v>
      </c>
      <c r="S1272" s="259">
        <v>3.5</v>
      </c>
      <c r="T1272" s="259">
        <v>0</v>
      </c>
      <c r="U1272" s="68" t="s">
        <v>2185</v>
      </c>
      <c r="V1272" s="126">
        <v>2</v>
      </c>
      <c r="Z1272" s="126">
        <v>1</v>
      </c>
      <c r="AA1272" s="126">
        <v>1</v>
      </c>
      <c r="AB1272" s="126">
        <v>1</v>
      </c>
      <c r="AC1272" s="126">
        <v>6</v>
      </c>
      <c r="AD1272" s="126">
        <v>2026</v>
      </c>
    </row>
    <row r="1273" spans="3:30">
      <c r="C1273" s="126">
        <v>1266</v>
      </c>
      <c r="D1273" s="126">
        <v>97</v>
      </c>
      <c r="E1273" s="126">
        <v>3</v>
      </c>
      <c r="F1273" s="126">
        <v>1</v>
      </c>
      <c r="G1273" s="126">
        <v>1</v>
      </c>
      <c r="H1273" s="126">
        <v>1</v>
      </c>
      <c r="I1273" s="126">
        <v>1</v>
      </c>
      <c r="J1273" s="126">
        <v>70</v>
      </c>
      <c r="M1273" s="126">
        <v>442</v>
      </c>
      <c r="N1273" s="126">
        <v>0</v>
      </c>
      <c r="O1273" s="126">
        <v>79</v>
      </c>
      <c r="R1273" s="126" t="s">
        <v>675</v>
      </c>
      <c r="S1273" s="259">
        <v>1.2</v>
      </c>
      <c r="T1273" s="259">
        <v>0</v>
      </c>
      <c r="U1273" s="68" t="s">
        <v>2186</v>
      </c>
      <c r="V1273" s="126">
        <v>2</v>
      </c>
      <c r="Z1273" s="126">
        <v>1</v>
      </c>
      <c r="AA1273" s="126">
        <v>1</v>
      </c>
      <c r="AB1273" s="126">
        <v>1</v>
      </c>
      <c r="AC1273" s="126">
        <v>6</v>
      </c>
      <c r="AD1273" s="126">
        <v>2026</v>
      </c>
    </row>
    <row r="1274" spans="3:30">
      <c r="C1274" s="126">
        <v>1267</v>
      </c>
      <c r="D1274" s="126">
        <v>97</v>
      </c>
      <c r="E1274" s="126">
        <v>3</v>
      </c>
      <c r="F1274" s="126">
        <v>1</v>
      </c>
      <c r="G1274" s="126">
        <v>1</v>
      </c>
      <c r="H1274" s="126">
        <v>1</v>
      </c>
      <c r="I1274" s="126">
        <v>1</v>
      </c>
      <c r="J1274" s="126">
        <v>71</v>
      </c>
      <c r="M1274" s="126">
        <v>443</v>
      </c>
      <c r="N1274" s="126">
        <v>0</v>
      </c>
      <c r="O1274" s="126">
        <v>80</v>
      </c>
      <c r="R1274" s="126" t="s">
        <v>675</v>
      </c>
      <c r="S1274" s="259">
        <v>0.44</v>
      </c>
      <c r="T1274" s="259">
        <v>0</v>
      </c>
      <c r="U1274" s="68" t="s">
        <v>2187</v>
      </c>
      <c r="V1274" s="126">
        <v>2</v>
      </c>
      <c r="Z1274" s="126">
        <v>1</v>
      </c>
      <c r="AA1274" s="126">
        <v>1</v>
      </c>
      <c r="AB1274" s="126">
        <v>1</v>
      </c>
      <c r="AC1274" s="126">
        <v>6</v>
      </c>
      <c r="AD1274" s="126">
        <v>2026</v>
      </c>
    </row>
    <row r="1275" spans="3:30">
      <c r="C1275" s="126">
        <v>1268</v>
      </c>
      <c r="D1275" s="126">
        <v>97</v>
      </c>
      <c r="E1275" s="126">
        <v>3</v>
      </c>
      <c r="F1275" s="126">
        <v>1</v>
      </c>
      <c r="G1275" s="126">
        <v>1</v>
      </c>
      <c r="H1275" s="126">
        <v>1</v>
      </c>
      <c r="I1275" s="126">
        <v>1</v>
      </c>
      <c r="J1275" s="126">
        <v>73</v>
      </c>
      <c r="M1275" s="126">
        <v>444</v>
      </c>
      <c r="N1275" s="126">
        <v>0</v>
      </c>
      <c r="O1275" s="126">
        <v>81</v>
      </c>
      <c r="R1275" s="126" t="s">
        <v>675</v>
      </c>
      <c r="S1275" s="259">
        <v>0.68</v>
      </c>
      <c r="T1275" s="259">
        <v>0</v>
      </c>
      <c r="U1275" s="68" t="s">
        <v>2188</v>
      </c>
      <c r="V1275" s="126">
        <v>2</v>
      </c>
      <c r="Z1275" s="126">
        <v>1</v>
      </c>
      <c r="AA1275" s="126">
        <v>1</v>
      </c>
      <c r="AB1275" s="126">
        <v>1</v>
      </c>
      <c r="AC1275" s="126">
        <v>6</v>
      </c>
      <c r="AD1275" s="126">
        <v>2026</v>
      </c>
    </row>
    <row r="1276" spans="3:30">
      <c r="C1276" s="126">
        <v>1269</v>
      </c>
      <c r="D1276" s="126">
        <v>97</v>
      </c>
      <c r="E1276" s="126">
        <v>3</v>
      </c>
      <c r="F1276" s="126">
        <v>1</v>
      </c>
      <c r="G1276" s="126">
        <v>1</v>
      </c>
      <c r="H1276" s="126">
        <v>1</v>
      </c>
      <c r="I1276" s="126">
        <v>1</v>
      </c>
      <c r="J1276" s="126">
        <v>74</v>
      </c>
      <c r="M1276" s="126">
        <v>445</v>
      </c>
      <c r="N1276" s="126">
        <v>0</v>
      </c>
      <c r="O1276" s="126">
        <v>82</v>
      </c>
      <c r="R1276" s="126" t="s">
        <v>675</v>
      </c>
      <c r="S1276" s="259">
        <v>2.2799999999999998</v>
      </c>
      <c r="T1276" s="259">
        <v>0</v>
      </c>
      <c r="U1276" s="68" t="s">
        <v>2189</v>
      </c>
      <c r="V1276" s="126">
        <v>2</v>
      </c>
      <c r="Z1276" s="126">
        <v>1</v>
      </c>
      <c r="AA1276" s="126">
        <v>1</v>
      </c>
      <c r="AB1276" s="126">
        <v>1</v>
      </c>
      <c r="AC1276" s="126">
        <v>6</v>
      </c>
      <c r="AD1276" s="126">
        <v>2026</v>
      </c>
    </row>
    <row r="1277" spans="3:30">
      <c r="C1277" s="126">
        <v>1270</v>
      </c>
      <c r="D1277" s="126">
        <v>98</v>
      </c>
      <c r="E1277" s="126">
        <v>6</v>
      </c>
      <c r="F1277" s="126">
        <v>1</v>
      </c>
      <c r="G1277" s="126">
        <v>1</v>
      </c>
      <c r="H1277" s="126">
        <v>1</v>
      </c>
      <c r="I1277" s="126">
        <v>1</v>
      </c>
      <c r="R1277" s="126" t="s">
        <v>675</v>
      </c>
      <c r="S1277" s="259">
        <v>0</v>
      </c>
      <c r="T1277" s="259">
        <v>234</v>
      </c>
      <c r="U1277" s="68" t="s">
        <v>2191</v>
      </c>
      <c r="V1277" s="126">
        <v>2</v>
      </c>
      <c r="Z1277" s="126">
        <v>1</v>
      </c>
      <c r="AA1277" s="126">
        <v>1</v>
      </c>
      <c r="AB1277" s="126">
        <v>1</v>
      </c>
      <c r="AC1277" s="126">
        <v>6</v>
      </c>
      <c r="AD1277" s="126">
        <v>2026</v>
      </c>
    </row>
    <row r="1278" spans="3:30">
      <c r="C1278" s="126">
        <v>1271</v>
      </c>
      <c r="D1278" s="126">
        <v>98</v>
      </c>
      <c r="E1278" s="126">
        <v>3</v>
      </c>
      <c r="F1278" s="126">
        <v>1</v>
      </c>
      <c r="G1278" s="126">
        <v>1</v>
      </c>
      <c r="H1278" s="126">
        <v>1</v>
      </c>
      <c r="I1278" s="126">
        <v>1</v>
      </c>
      <c r="J1278" s="126">
        <v>75</v>
      </c>
      <c r="M1278" s="126">
        <v>446</v>
      </c>
      <c r="N1278" s="126">
        <v>0</v>
      </c>
      <c r="O1278" s="126">
        <v>83</v>
      </c>
      <c r="R1278" s="126" t="s">
        <v>675</v>
      </c>
      <c r="S1278" s="259">
        <v>1.04</v>
      </c>
      <c r="T1278" s="259">
        <v>0</v>
      </c>
      <c r="U1278" s="68" t="s">
        <v>2192</v>
      </c>
      <c r="V1278" s="126">
        <v>2</v>
      </c>
      <c r="Z1278" s="126">
        <v>1</v>
      </c>
      <c r="AA1278" s="126">
        <v>1</v>
      </c>
      <c r="AB1278" s="126">
        <v>1</v>
      </c>
      <c r="AC1278" s="126">
        <v>6</v>
      </c>
      <c r="AD1278" s="126">
        <v>2026</v>
      </c>
    </row>
    <row r="1279" spans="3:30">
      <c r="C1279" s="126">
        <v>1272</v>
      </c>
      <c r="D1279" s="126">
        <v>98</v>
      </c>
      <c r="E1279" s="126">
        <v>3</v>
      </c>
      <c r="F1279" s="126">
        <v>1</v>
      </c>
      <c r="G1279" s="126">
        <v>1</v>
      </c>
      <c r="H1279" s="126">
        <v>1</v>
      </c>
      <c r="I1279" s="126">
        <v>1</v>
      </c>
      <c r="J1279" s="126">
        <v>76</v>
      </c>
      <c r="M1279" s="126">
        <v>447</v>
      </c>
      <c r="N1279" s="126">
        <v>0</v>
      </c>
      <c r="O1279" s="126">
        <v>84</v>
      </c>
      <c r="R1279" s="126" t="s">
        <v>675</v>
      </c>
      <c r="S1279" s="259">
        <v>16.2</v>
      </c>
      <c r="T1279" s="259">
        <v>0</v>
      </c>
      <c r="U1279" s="68" t="s">
        <v>2194</v>
      </c>
      <c r="V1279" s="126">
        <v>2</v>
      </c>
      <c r="Z1279" s="126">
        <v>1</v>
      </c>
      <c r="AA1279" s="126">
        <v>1</v>
      </c>
      <c r="AB1279" s="126">
        <v>1</v>
      </c>
      <c r="AC1279" s="126">
        <v>6</v>
      </c>
      <c r="AD1279" s="126">
        <v>2026</v>
      </c>
    </row>
    <row r="1280" spans="3:30">
      <c r="C1280" s="126">
        <v>1273</v>
      </c>
      <c r="D1280" s="126">
        <v>98</v>
      </c>
      <c r="E1280" s="126">
        <v>3</v>
      </c>
      <c r="F1280" s="126">
        <v>1</v>
      </c>
      <c r="G1280" s="126">
        <v>1</v>
      </c>
      <c r="H1280" s="126">
        <v>1</v>
      </c>
      <c r="I1280" s="126">
        <v>1</v>
      </c>
      <c r="J1280" s="126">
        <v>77</v>
      </c>
      <c r="M1280" s="126">
        <v>448</v>
      </c>
      <c r="N1280" s="126">
        <v>0</v>
      </c>
      <c r="O1280" s="126">
        <v>85</v>
      </c>
      <c r="R1280" s="126" t="s">
        <v>675</v>
      </c>
      <c r="S1280" s="259">
        <v>17.600000000000001</v>
      </c>
      <c r="T1280" s="259">
        <v>0</v>
      </c>
      <c r="U1280" s="68" t="s">
        <v>2196</v>
      </c>
      <c r="V1280" s="126">
        <v>2</v>
      </c>
      <c r="Z1280" s="126">
        <v>1</v>
      </c>
      <c r="AA1280" s="126">
        <v>1</v>
      </c>
      <c r="AB1280" s="126">
        <v>1</v>
      </c>
      <c r="AC1280" s="126">
        <v>6</v>
      </c>
      <c r="AD1280" s="126">
        <v>2026</v>
      </c>
    </row>
    <row r="1281" spans="3:30">
      <c r="C1281" s="126">
        <v>1274</v>
      </c>
      <c r="D1281" s="126">
        <v>98</v>
      </c>
      <c r="E1281" s="126">
        <v>3</v>
      </c>
      <c r="F1281" s="126">
        <v>1</v>
      </c>
      <c r="G1281" s="126">
        <v>1</v>
      </c>
      <c r="H1281" s="126">
        <v>1</v>
      </c>
      <c r="I1281" s="126">
        <v>1</v>
      </c>
      <c r="J1281" s="126">
        <v>79</v>
      </c>
      <c r="M1281" s="126">
        <v>449</v>
      </c>
      <c r="N1281" s="126">
        <v>0</v>
      </c>
      <c r="O1281" s="126">
        <v>86</v>
      </c>
      <c r="R1281" s="126" t="s">
        <v>675</v>
      </c>
      <c r="S1281" s="259">
        <v>10</v>
      </c>
      <c r="T1281" s="259">
        <v>0</v>
      </c>
      <c r="U1281" s="68" t="s">
        <v>2197</v>
      </c>
      <c r="V1281" s="126">
        <v>2</v>
      </c>
      <c r="Z1281" s="126">
        <v>1</v>
      </c>
      <c r="AA1281" s="126">
        <v>1</v>
      </c>
      <c r="AB1281" s="126">
        <v>1</v>
      </c>
      <c r="AC1281" s="126">
        <v>6</v>
      </c>
      <c r="AD1281" s="126">
        <v>2026</v>
      </c>
    </row>
    <row r="1282" spans="3:30">
      <c r="C1282" s="126">
        <v>1275</v>
      </c>
      <c r="D1282" s="126">
        <v>98</v>
      </c>
      <c r="E1282" s="126">
        <v>3</v>
      </c>
      <c r="F1282" s="126">
        <v>1</v>
      </c>
      <c r="G1282" s="126">
        <v>1</v>
      </c>
      <c r="H1282" s="126">
        <v>1</v>
      </c>
      <c r="I1282" s="126">
        <v>1</v>
      </c>
      <c r="J1282" s="126">
        <v>90</v>
      </c>
      <c r="M1282" s="126">
        <v>450</v>
      </c>
      <c r="N1282" s="126">
        <v>0</v>
      </c>
      <c r="O1282" s="126">
        <v>87</v>
      </c>
      <c r="R1282" s="126" t="s">
        <v>675</v>
      </c>
      <c r="S1282" s="259">
        <v>2.88</v>
      </c>
      <c r="T1282" s="259">
        <v>0</v>
      </c>
      <c r="U1282" s="68" t="s">
        <v>2198</v>
      </c>
      <c r="V1282" s="126">
        <v>2</v>
      </c>
      <c r="Z1282" s="126">
        <v>1</v>
      </c>
      <c r="AA1282" s="126">
        <v>1</v>
      </c>
      <c r="AB1282" s="126">
        <v>1</v>
      </c>
      <c r="AC1282" s="126">
        <v>6</v>
      </c>
      <c r="AD1282" s="126">
        <v>2026</v>
      </c>
    </row>
    <row r="1283" spans="3:30">
      <c r="C1283" s="126">
        <v>1276</v>
      </c>
      <c r="D1283" s="126">
        <v>98</v>
      </c>
      <c r="E1283" s="126">
        <v>3</v>
      </c>
      <c r="F1283" s="126">
        <v>1</v>
      </c>
      <c r="G1283" s="126">
        <v>1</v>
      </c>
      <c r="H1283" s="126">
        <v>1</v>
      </c>
      <c r="I1283" s="126">
        <v>1</v>
      </c>
      <c r="J1283" s="126">
        <v>92</v>
      </c>
      <c r="M1283" s="126">
        <v>451</v>
      </c>
      <c r="N1283" s="126">
        <v>0</v>
      </c>
      <c r="O1283" s="126">
        <v>88</v>
      </c>
      <c r="R1283" s="126" t="s">
        <v>675</v>
      </c>
      <c r="S1283" s="259">
        <v>31.2</v>
      </c>
      <c r="T1283" s="259">
        <v>0</v>
      </c>
      <c r="U1283" s="68" t="s">
        <v>2199</v>
      </c>
      <c r="V1283" s="126">
        <v>2</v>
      </c>
      <c r="Z1283" s="126">
        <v>1</v>
      </c>
      <c r="AA1283" s="126">
        <v>1</v>
      </c>
      <c r="AB1283" s="126">
        <v>1</v>
      </c>
      <c r="AC1283" s="126">
        <v>6</v>
      </c>
      <c r="AD1283" s="126">
        <v>2026</v>
      </c>
    </row>
    <row r="1284" spans="3:30">
      <c r="C1284" s="126">
        <v>1277</v>
      </c>
      <c r="D1284" s="126">
        <v>98</v>
      </c>
      <c r="E1284" s="126">
        <v>3</v>
      </c>
      <c r="F1284" s="126">
        <v>1</v>
      </c>
      <c r="G1284" s="126">
        <v>1</v>
      </c>
      <c r="H1284" s="126">
        <v>1</v>
      </c>
      <c r="I1284" s="126">
        <v>1</v>
      </c>
      <c r="J1284" s="126">
        <v>94</v>
      </c>
      <c r="M1284" s="126">
        <v>452</v>
      </c>
      <c r="N1284" s="126">
        <v>0</v>
      </c>
      <c r="O1284" s="126">
        <v>89</v>
      </c>
      <c r="R1284" s="126" t="s">
        <v>675</v>
      </c>
      <c r="S1284" s="259">
        <v>8.1999999999999993</v>
      </c>
      <c r="T1284" s="259">
        <v>0</v>
      </c>
      <c r="U1284" s="68" t="s">
        <v>2200</v>
      </c>
      <c r="V1284" s="126">
        <v>2</v>
      </c>
      <c r="Z1284" s="126">
        <v>1</v>
      </c>
      <c r="AA1284" s="126">
        <v>1</v>
      </c>
      <c r="AB1284" s="126">
        <v>1</v>
      </c>
      <c r="AC1284" s="126">
        <v>6</v>
      </c>
      <c r="AD1284" s="126">
        <v>2026</v>
      </c>
    </row>
    <row r="1285" spans="3:30">
      <c r="C1285" s="126">
        <v>1278</v>
      </c>
      <c r="D1285" s="126">
        <v>98</v>
      </c>
      <c r="E1285" s="126">
        <v>3</v>
      </c>
      <c r="F1285" s="126">
        <v>1</v>
      </c>
      <c r="G1285" s="126">
        <v>1</v>
      </c>
      <c r="H1285" s="126">
        <v>1</v>
      </c>
      <c r="I1285" s="126">
        <v>1</v>
      </c>
      <c r="J1285" s="126">
        <v>96</v>
      </c>
      <c r="M1285" s="126">
        <v>453</v>
      </c>
      <c r="N1285" s="126">
        <v>0</v>
      </c>
      <c r="O1285" s="126">
        <v>90</v>
      </c>
      <c r="R1285" s="126" t="s">
        <v>675</v>
      </c>
      <c r="S1285" s="259">
        <v>9.18</v>
      </c>
      <c r="T1285" s="259">
        <v>0</v>
      </c>
      <c r="U1285" s="68" t="s">
        <v>2201</v>
      </c>
      <c r="V1285" s="126">
        <v>2</v>
      </c>
      <c r="Z1285" s="126">
        <v>1</v>
      </c>
      <c r="AA1285" s="126">
        <v>1</v>
      </c>
      <c r="AB1285" s="126">
        <v>1</v>
      </c>
      <c r="AC1285" s="126">
        <v>6</v>
      </c>
      <c r="AD1285" s="126">
        <v>2026</v>
      </c>
    </row>
    <row r="1286" spans="3:30">
      <c r="C1286" s="126">
        <v>1279</v>
      </c>
      <c r="D1286" s="126">
        <v>98</v>
      </c>
      <c r="E1286" s="126">
        <v>3</v>
      </c>
      <c r="F1286" s="126">
        <v>1</v>
      </c>
      <c r="G1286" s="126">
        <v>1</v>
      </c>
      <c r="H1286" s="126">
        <v>1</v>
      </c>
      <c r="I1286" s="126">
        <v>1</v>
      </c>
      <c r="J1286" s="126">
        <v>97</v>
      </c>
      <c r="M1286" s="126">
        <v>454</v>
      </c>
      <c r="N1286" s="126">
        <v>0</v>
      </c>
      <c r="O1286" s="126">
        <v>91</v>
      </c>
      <c r="R1286" s="126" t="s">
        <v>675</v>
      </c>
      <c r="S1286" s="259">
        <v>2.4</v>
      </c>
      <c r="T1286" s="259">
        <v>0</v>
      </c>
      <c r="U1286" s="68" t="s">
        <v>2202</v>
      </c>
      <c r="V1286" s="126">
        <v>2</v>
      </c>
      <c r="Z1286" s="126">
        <v>1</v>
      </c>
      <c r="AA1286" s="126">
        <v>1</v>
      </c>
      <c r="AB1286" s="126">
        <v>1</v>
      </c>
      <c r="AC1286" s="126">
        <v>6</v>
      </c>
      <c r="AD1286" s="126">
        <v>2026</v>
      </c>
    </row>
    <row r="1287" spans="3:30">
      <c r="C1287" s="126">
        <v>1280</v>
      </c>
      <c r="D1287" s="126">
        <v>98</v>
      </c>
      <c r="E1287" s="126">
        <v>3</v>
      </c>
      <c r="F1287" s="126">
        <v>1</v>
      </c>
      <c r="G1287" s="126">
        <v>1</v>
      </c>
      <c r="H1287" s="126">
        <v>1</v>
      </c>
      <c r="I1287" s="126">
        <v>1</v>
      </c>
      <c r="J1287" s="126">
        <v>99</v>
      </c>
      <c r="M1287" s="126">
        <v>455</v>
      </c>
      <c r="N1287" s="126">
        <v>0</v>
      </c>
      <c r="O1287" s="126">
        <v>92</v>
      </c>
      <c r="R1287" s="126" t="s">
        <v>675</v>
      </c>
      <c r="S1287" s="259">
        <v>2.4</v>
      </c>
      <c r="T1287" s="259">
        <v>0</v>
      </c>
      <c r="U1287" s="68" t="s">
        <v>2203</v>
      </c>
      <c r="V1287" s="126">
        <v>2</v>
      </c>
      <c r="Z1287" s="126">
        <v>1</v>
      </c>
      <c r="AA1287" s="126">
        <v>1</v>
      </c>
      <c r="AB1287" s="126">
        <v>1</v>
      </c>
      <c r="AC1287" s="126">
        <v>6</v>
      </c>
      <c r="AD1287" s="126">
        <v>2026</v>
      </c>
    </row>
    <row r="1288" spans="3:30">
      <c r="C1288" s="126">
        <v>1281</v>
      </c>
      <c r="D1288" s="126">
        <v>98</v>
      </c>
      <c r="E1288" s="126">
        <v>3</v>
      </c>
      <c r="F1288" s="126">
        <v>1</v>
      </c>
      <c r="G1288" s="126">
        <v>1</v>
      </c>
      <c r="H1288" s="126">
        <v>1</v>
      </c>
      <c r="I1288" s="126">
        <v>1</v>
      </c>
      <c r="J1288" s="126">
        <v>103</v>
      </c>
      <c r="M1288" s="126">
        <v>456</v>
      </c>
      <c r="N1288" s="126">
        <v>0</v>
      </c>
      <c r="O1288" s="126">
        <v>93</v>
      </c>
      <c r="R1288" s="126" t="s">
        <v>675</v>
      </c>
      <c r="S1288" s="259">
        <v>4.5</v>
      </c>
      <c r="T1288" s="259">
        <v>0</v>
      </c>
      <c r="U1288" s="68" t="s">
        <v>2204</v>
      </c>
      <c r="V1288" s="126">
        <v>2</v>
      </c>
      <c r="Z1288" s="126">
        <v>1</v>
      </c>
      <c r="AA1288" s="126">
        <v>1</v>
      </c>
      <c r="AB1288" s="126">
        <v>1</v>
      </c>
      <c r="AC1288" s="126">
        <v>6</v>
      </c>
      <c r="AD1288" s="126">
        <v>2026</v>
      </c>
    </row>
    <row r="1289" spans="3:30">
      <c r="C1289" s="126">
        <v>1282</v>
      </c>
      <c r="D1289" s="126">
        <v>98</v>
      </c>
      <c r="E1289" s="126">
        <v>3</v>
      </c>
      <c r="F1289" s="126">
        <v>1</v>
      </c>
      <c r="G1289" s="126">
        <v>1</v>
      </c>
      <c r="H1289" s="126">
        <v>1</v>
      </c>
      <c r="I1289" s="126">
        <v>1</v>
      </c>
      <c r="J1289" s="126">
        <v>105</v>
      </c>
      <c r="M1289" s="126">
        <v>457</v>
      </c>
      <c r="N1289" s="126">
        <v>0</v>
      </c>
      <c r="O1289" s="126">
        <v>94</v>
      </c>
      <c r="R1289" s="126" t="s">
        <v>675</v>
      </c>
      <c r="S1289" s="259">
        <v>4.4000000000000004</v>
      </c>
      <c r="T1289" s="259">
        <v>0</v>
      </c>
      <c r="U1289" s="68" t="s">
        <v>2205</v>
      </c>
      <c r="V1289" s="126">
        <v>2</v>
      </c>
      <c r="Z1289" s="126">
        <v>1</v>
      </c>
      <c r="AA1289" s="126">
        <v>1</v>
      </c>
      <c r="AB1289" s="126">
        <v>1</v>
      </c>
      <c r="AC1289" s="126">
        <v>6</v>
      </c>
      <c r="AD1289" s="126">
        <v>2026</v>
      </c>
    </row>
    <row r="1290" spans="3:30">
      <c r="C1290" s="126">
        <v>1283</v>
      </c>
      <c r="D1290" s="126">
        <v>98</v>
      </c>
      <c r="E1290" s="126">
        <v>3</v>
      </c>
      <c r="F1290" s="126">
        <v>1</v>
      </c>
      <c r="G1290" s="126">
        <v>1</v>
      </c>
      <c r="H1290" s="126">
        <v>1</v>
      </c>
      <c r="I1290" s="126">
        <v>1</v>
      </c>
      <c r="J1290" s="126">
        <v>108</v>
      </c>
      <c r="M1290" s="126">
        <v>458</v>
      </c>
      <c r="N1290" s="126">
        <v>0</v>
      </c>
      <c r="O1290" s="126">
        <v>95</v>
      </c>
      <c r="R1290" s="126" t="s">
        <v>675</v>
      </c>
      <c r="S1290" s="259">
        <v>118.8</v>
      </c>
      <c r="T1290" s="259">
        <v>0</v>
      </c>
      <c r="U1290" s="68" t="s">
        <v>2206</v>
      </c>
      <c r="V1290" s="126">
        <v>2</v>
      </c>
      <c r="Z1290" s="126">
        <v>1</v>
      </c>
      <c r="AA1290" s="126">
        <v>1</v>
      </c>
      <c r="AB1290" s="126">
        <v>1</v>
      </c>
      <c r="AC1290" s="126">
        <v>6</v>
      </c>
      <c r="AD1290" s="126">
        <v>2026</v>
      </c>
    </row>
    <row r="1291" spans="3:30">
      <c r="C1291" s="126">
        <v>1284</v>
      </c>
      <c r="D1291" s="126">
        <v>98</v>
      </c>
      <c r="E1291" s="126">
        <v>3</v>
      </c>
      <c r="F1291" s="126">
        <v>1</v>
      </c>
      <c r="G1291" s="126">
        <v>1</v>
      </c>
      <c r="H1291" s="126">
        <v>1</v>
      </c>
      <c r="I1291" s="126">
        <v>1</v>
      </c>
      <c r="J1291" s="126">
        <v>112</v>
      </c>
      <c r="M1291" s="126">
        <v>459</v>
      </c>
      <c r="N1291" s="126">
        <v>0</v>
      </c>
      <c r="O1291" s="126">
        <v>96</v>
      </c>
      <c r="R1291" s="126" t="s">
        <v>675</v>
      </c>
      <c r="S1291" s="259">
        <v>5.2</v>
      </c>
      <c r="T1291" s="259">
        <v>0</v>
      </c>
      <c r="U1291" s="68" t="s">
        <v>2207</v>
      </c>
      <c r="V1291" s="126">
        <v>2</v>
      </c>
      <c r="Z1291" s="126">
        <v>1</v>
      </c>
      <c r="AA1291" s="126">
        <v>1</v>
      </c>
      <c r="AB1291" s="126">
        <v>1</v>
      </c>
      <c r="AC1291" s="126">
        <v>6</v>
      </c>
      <c r="AD1291" s="126">
        <v>2026</v>
      </c>
    </row>
    <row r="1292" spans="3:30">
      <c r="C1292" s="126">
        <v>1285</v>
      </c>
      <c r="D1292" s="126">
        <v>99</v>
      </c>
      <c r="E1292" s="126">
        <v>6</v>
      </c>
      <c r="F1292" s="126">
        <v>1</v>
      </c>
      <c r="G1292" s="126">
        <v>1</v>
      </c>
      <c r="H1292" s="126">
        <v>1</v>
      </c>
      <c r="I1292" s="126">
        <v>1</v>
      </c>
      <c r="R1292" s="126" t="s">
        <v>675</v>
      </c>
      <c r="S1292" s="259">
        <v>0</v>
      </c>
      <c r="T1292" s="259">
        <v>404.96000000000004</v>
      </c>
      <c r="U1292" s="68" t="s">
        <v>2209</v>
      </c>
      <c r="V1292" s="126">
        <v>2</v>
      </c>
      <c r="Z1292" s="126">
        <v>1</v>
      </c>
      <c r="AA1292" s="126">
        <v>1</v>
      </c>
      <c r="AB1292" s="126">
        <v>1</v>
      </c>
      <c r="AC1292" s="126">
        <v>6</v>
      </c>
      <c r="AD1292" s="126">
        <v>2026</v>
      </c>
    </row>
    <row r="1293" spans="3:30">
      <c r="C1293" s="126">
        <v>1286</v>
      </c>
      <c r="D1293" s="126">
        <v>99</v>
      </c>
      <c r="E1293" s="126">
        <v>3</v>
      </c>
      <c r="F1293" s="126">
        <v>1</v>
      </c>
      <c r="G1293" s="126">
        <v>1</v>
      </c>
      <c r="H1293" s="126">
        <v>1</v>
      </c>
      <c r="I1293" s="126">
        <v>1</v>
      </c>
      <c r="J1293" s="126">
        <v>131</v>
      </c>
      <c r="M1293" s="126">
        <v>460</v>
      </c>
      <c r="N1293" s="126">
        <v>0</v>
      </c>
      <c r="O1293" s="126">
        <v>97</v>
      </c>
      <c r="R1293" s="126" t="s">
        <v>675</v>
      </c>
      <c r="S1293" s="259">
        <v>1.4</v>
      </c>
      <c r="T1293" s="259">
        <v>0</v>
      </c>
      <c r="U1293" s="68" t="s">
        <v>2210</v>
      </c>
      <c r="V1293" s="126">
        <v>2</v>
      </c>
      <c r="Z1293" s="126">
        <v>1</v>
      </c>
      <c r="AA1293" s="126">
        <v>1</v>
      </c>
      <c r="AB1293" s="126">
        <v>1</v>
      </c>
      <c r="AC1293" s="126">
        <v>6</v>
      </c>
      <c r="AD1293" s="126">
        <v>2026</v>
      </c>
    </row>
    <row r="1294" spans="3:30">
      <c r="C1294" s="126">
        <v>1287</v>
      </c>
      <c r="D1294" s="126">
        <v>99</v>
      </c>
      <c r="E1294" s="126">
        <v>3</v>
      </c>
      <c r="F1294" s="126">
        <v>1</v>
      </c>
      <c r="G1294" s="126">
        <v>1</v>
      </c>
      <c r="H1294" s="126">
        <v>1</v>
      </c>
      <c r="I1294" s="126">
        <v>1</v>
      </c>
      <c r="J1294" s="126">
        <v>136</v>
      </c>
      <c r="M1294" s="126">
        <v>461</v>
      </c>
      <c r="N1294" s="126">
        <v>0</v>
      </c>
      <c r="O1294" s="126">
        <v>98</v>
      </c>
      <c r="R1294" s="126" t="s">
        <v>675</v>
      </c>
      <c r="S1294" s="259">
        <v>1.52</v>
      </c>
      <c r="T1294" s="259">
        <v>0</v>
      </c>
      <c r="U1294" s="68" t="s">
        <v>2211</v>
      </c>
      <c r="V1294" s="126">
        <v>2</v>
      </c>
      <c r="Z1294" s="126">
        <v>1</v>
      </c>
      <c r="AA1294" s="126">
        <v>1</v>
      </c>
      <c r="AB1294" s="126">
        <v>1</v>
      </c>
      <c r="AC1294" s="126">
        <v>6</v>
      </c>
      <c r="AD1294" s="126">
        <v>2026</v>
      </c>
    </row>
    <row r="1295" spans="3:30">
      <c r="C1295" s="126">
        <v>1288</v>
      </c>
      <c r="D1295" s="126">
        <v>99</v>
      </c>
      <c r="E1295" s="126">
        <v>3</v>
      </c>
      <c r="F1295" s="126">
        <v>1</v>
      </c>
      <c r="G1295" s="126">
        <v>1</v>
      </c>
      <c r="H1295" s="126">
        <v>1</v>
      </c>
      <c r="I1295" s="126">
        <v>1</v>
      </c>
      <c r="J1295" s="126">
        <v>142</v>
      </c>
      <c r="M1295" s="126">
        <v>462</v>
      </c>
      <c r="N1295" s="126">
        <v>0</v>
      </c>
      <c r="O1295" s="126">
        <v>99</v>
      </c>
      <c r="R1295" s="126" t="s">
        <v>675</v>
      </c>
      <c r="S1295" s="259">
        <v>4.76</v>
      </c>
      <c r="T1295" s="259">
        <v>0</v>
      </c>
      <c r="U1295" s="68" t="s">
        <v>2212</v>
      </c>
      <c r="V1295" s="126">
        <v>2</v>
      </c>
      <c r="Z1295" s="126">
        <v>1</v>
      </c>
      <c r="AA1295" s="126">
        <v>1</v>
      </c>
      <c r="AB1295" s="126">
        <v>1</v>
      </c>
      <c r="AC1295" s="126">
        <v>6</v>
      </c>
      <c r="AD1295" s="126">
        <v>2026</v>
      </c>
    </row>
    <row r="1296" spans="3:30">
      <c r="C1296" s="126">
        <v>1289</v>
      </c>
      <c r="D1296" s="126">
        <v>99</v>
      </c>
      <c r="E1296" s="126">
        <v>3</v>
      </c>
      <c r="F1296" s="126">
        <v>1</v>
      </c>
      <c r="G1296" s="126">
        <v>1</v>
      </c>
      <c r="H1296" s="126">
        <v>1</v>
      </c>
      <c r="I1296" s="126">
        <v>1</v>
      </c>
      <c r="J1296" s="126">
        <v>144</v>
      </c>
      <c r="M1296" s="126">
        <v>463</v>
      </c>
      <c r="N1296" s="126">
        <v>0</v>
      </c>
      <c r="O1296" s="126">
        <v>100</v>
      </c>
      <c r="R1296" s="126" t="s">
        <v>675</v>
      </c>
      <c r="S1296" s="259">
        <v>9</v>
      </c>
      <c r="T1296" s="259">
        <v>0</v>
      </c>
      <c r="U1296" s="68" t="s">
        <v>2213</v>
      </c>
      <c r="V1296" s="126">
        <v>2</v>
      </c>
      <c r="Z1296" s="126">
        <v>1</v>
      </c>
      <c r="AA1296" s="126">
        <v>1</v>
      </c>
      <c r="AB1296" s="126">
        <v>1</v>
      </c>
      <c r="AC1296" s="126">
        <v>6</v>
      </c>
      <c r="AD1296" s="126">
        <v>2026</v>
      </c>
    </row>
    <row r="1297" spans="3:30">
      <c r="C1297" s="126">
        <v>1290</v>
      </c>
      <c r="D1297" s="126">
        <v>99</v>
      </c>
      <c r="E1297" s="126">
        <v>3</v>
      </c>
      <c r="F1297" s="126">
        <v>1</v>
      </c>
      <c r="G1297" s="126">
        <v>1</v>
      </c>
      <c r="H1297" s="126">
        <v>1</v>
      </c>
      <c r="I1297" s="126">
        <v>1</v>
      </c>
      <c r="J1297" s="126">
        <v>145</v>
      </c>
      <c r="M1297" s="126">
        <v>464</v>
      </c>
      <c r="N1297" s="126">
        <v>0</v>
      </c>
      <c r="O1297" s="126">
        <v>101</v>
      </c>
      <c r="R1297" s="126" t="s">
        <v>675</v>
      </c>
      <c r="S1297" s="259">
        <v>5.8</v>
      </c>
      <c r="T1297" s="259">
        <v>0</v>
      </c>
      <c r="U1297" s="68" t="s">
        <v>2214</v>
      </c>
      <c r="V1297" s="126">
        <v>2</v>
      </c>
      <c r="Z1297" s="126">
        <v>1</v>
      </c>
      <c r="AA1297" s="126">
        <v>1</v>
      </c>
      <c r="AB1297" s="126">
        <v>1</v>
      </c>
      <c r="AC1297" s="126">
        <v>6</v>
      </c>
      <c r="AD1297" s="126">
        <v>2026</v>
      </c>
    </row>
    <row r="1298" spans="3:30">
      <c r="C1298" s="126">
        <v>1291</v>
      </c>
      <c r="D1298" s="126">
        <v>99</v>
      </c>
      <c r="E1298" s="126">
        <v>3</v>
      </c>
      <c r="F1298" s="126">
        <v>1</v>
      </c>
      <c r="G1298" s="126">
        <v>1</v>
      </c>
      <c r="H1298" s="126">
        <v>1</v>
      </c>
      <c r="I1298" s="126">
        <v>1</v>
      </c>
      <c r="J1298" s="126">
        <v>146</v>
      </c>
      <c r="M1298" s="126">
        <v>465</v>
      </c>
      <c r="N1298" s="126">
        <v>0</v>
      </c>
      <c r="O1298" s="126">
        <v>102</v>
      </c>
      <c r="R1298" s="126" t="s">
        <v>675</v>
      </c>
      <c r="S1298" s="259">
        <v>0.4</v>
      </c>
      <c r="T1298" s="259">
        <v>0</v>
      </c>
      <c r="U1298" s="68" t="s">
        <v>2215</v>
      </c>
      <c r="V1298" s="126">
        <v>2</v>
      </c>
      <c r="Z1298" s="126">
        <v>1</v>
      </c>
      <c r="AA1298" s="126">
        <v>1</v>
      </c>
      <c r="AB1298" s="126">
        <v>1</v>
      </c>
      <c r="AC1298" s="126">
        <v>6</v>
      </c>
      <c r="AD1298" s="126">
        <v>2026</v>
      </c>
    </row>
    <row r="1299" spans="3:30">
      <c r="C1299" s="126">
        <v>1292</v>
      </c>
      <c r="D1299" s="126">
        <v>99</v>
      </c>
      <c r="E1299" s="126">
        <v>3</v>
      </c>
      <c r="F1299" s="126">
        <v>1</v>
      </c>
      <c r="G1299" s="126">
        <v>1</v>
      </c>
      <c r="H1299" s="126">
        <v>1</v>
      </c>
      <c r="I1299" s="126">
        <v>1</v>
      </c>
      <c r="J1299" s="126">
        <v>150</v>
      </c>
      <c r="M1299" s="126">
        <v>466</v>
      </c>
      <c r="N1299" s="126">
        <v>0</v>
      </c>
      <c r="O1299" s="126">
        <v>103</v>
      </c>
      <c r="R1299" s="126" t="s">
        <v>675</v>
      </c>
      <c r="S1299" s="259">
        <v>11.44</v>
      </c>
      <c r="T1299" s="259">
        <v>0</v>
      </c>
      <c r="U1299" s="68" t="s">
        <v>2217</v>
      </c>
      <c r="V1299" s="126">
        <v>2</v>
      </c>
      <c r="Z1299" s="126">
        <v>1</v>
      </c>
      <c r="AA1299" s="126">
        <v>1</v>
      </c>
      <c r="AB1299" s="126">
        <v>1</v>
      </c>
      <c r="AC1299" s="126">
        <v>6</v>
      </c>
      <c r="AD1299" s="126">
        <v>2026</v>
      </c>
    </row>
    <row r="1300" spans="3:30">
      <c r="C1300" s="126">
        <v>1293</v>
      </c>
      <c r="D1300" s="126">
        <v>99</v>
      </c>
      <c r="E1300" s="126">
        <v>3</v>
      </c>
      <c r="F1300" s="126">
        <v>1</v>
      </c>
      <c r="G1300" s="126">
        <v>1</v>
      </c>
      <c r="H1300" s="126">
        <v>1</v>
      </c>
      <c r="I1300" s="126">
        <v>1</v>
      </c>
      <c r="J1300" s="126">
        <v>153</v>
      </c>
      <c r="M1300" s="126">
        <v>467</v>
      </c>
      <c r="N1300" s="126">
        <v>0</v>
      </c>
      <c r="O1300" s="126">
        <v>104</v>
      </c>
      <c r="R1300" s="126" t="s">
        <v>675</v>
      </c>
      <c r="S1300" s="259">
        <v>46.2</v>
      </c>
      <c r="T1300" s="259">
        <v>0</v>
      </c>
      <c r="U1300" s="68" t="s">
        <v>2219</v>
      </c>
      <c r="V1300" s="126">
        <v>2</v>
      </c>
      <c r="Z1300" s="126">
        <v>1</v>
      </c>
      <c r="AA1300" s="126">
        <v>1</v>
      </c>
      <c r="AB1300" s="126">
        <v>1</v>
      </c>
      <c r="AC1300" s="126">
        <v>6</v>
      </c>
      <c r="AD1300" s="126">
        <v>2026</v>
      </c>
    </row>
    <row r="1301" spans="3:30">
      <c r="C1301" s="126">
        <v>1294</v>
      </c>
      <c r="D1301" s="126">
        <v>99</v>
      </c>
      <c r="E1301" s="126">
        <v>3</v>
      </c>
      <c r="F1301" s="126">
        <v>1</v>
      </c>
      <c r="G1301" s="126">
        <v>1</v>
      </c>
      <c r="H1301" s="126">
        <v>1</v>
      </c>
      <c r="I1301" s="126">
        <v>1</v>
      </c>
      <c r="J1301" s="126">
        <v>156</v>
      </c>
      <c r="M1301" s="126">
        <v>468</v>
      </c>
      <c r="N1301" s="126">
        <v>0</v>
      </c>
      <c r="O1301" s="126">
        <v>105</v>
      </c>
      <c r="R1301" s="126" t="s">
        <v>675</v>
      </c>
      <c r="S1301" s="259">
        <v>17.64</v>
      </c>
      <c r="T1301" s="259">
        <v>0</v>
      </c>
      <c r="U1301" s="68" t="s">
        <v>2221</v>
      </c>
      <c r="V1301" s="126">
        <v>2</v>
      </c>
      <c r="Z1301" s="126">
        <v>1</v>
      </c>
      <c r="AA1301" s="126">
        <v>1</v>
      </c>
      <c r="AB1301" s="126">
        <v>1</v>
      </c>
      <c r="AC1301" s="126">
        <v>6</v>
      </c>
      <c r="AD1301" s="126">
        <v>2026</v>
      </c>
    </row>
    <row r="1302" spans="3:30">
      <c r="C1302" s="126">
        <v>1295</v>
      </c>
      <c r="D1302" s="126">
        <v>99</v>
      </c>
      <c r="E1302" s="126">
        <v>3</v>
      </c>
      <c r="F1302" s="126">
        <v>1</v>
      </c>
      <c r="G1302" s="126">
        <v>1</v>
      </c>
      <c r="H1302" s="126">
        <v>1</v>
      </c>
      <c r="I1302" s="126">
        <v>1</v>
      </c>
      <c r="J1302" s="126">
        <v>158</v>
      </c>
      <c r="M1302" s="126">
        <v>469</v>
      </c>
      <c r="N1302" s="126">
        <v>0</v>
      </c>
      <c r="O1302" s="126">
        <v>106</v>
      </c>
      <c r="R1302" s="126" t="s">
        <v>675</v>
      </c>
      <c r="S1302" s="259">
        <v>106</v>
      </c>
      <c r="T1302" s="259">
        <v>0</v>
      </c>
      <c r="U1302" s="68" t="s">
        <v>2223</v>
      </c>
      <c r="V1302" s="126">
        <v>2</v>
      </c>
      <c r="Z1302" s="126">
        <v>1</v>
      </c>
      <c r="AA1302" s="126">
        <v>1</v>
      </c>
      <c r="AB1302" s="126">
        <v>1</v>
      </c>
      <c r="AC1302" s="126">
        <v>6</v>
      </c>
      <c r="AD1302" s="126">
        <v>2026</v>
      </c>
    </row>
    <row r="1303" spans="3:30">
      <c r="C1303" s="126">
        <v>1296</v>
      </c>
      <c r="D1303" s="126">
        <v>99</v>
      </c>
      <c r="E1303" s="126">
        <v>3</v>
      </c>
      <c r="F1303" s="126">
        <v>1</v>
      </c>
      <c r="G1303" s="126">
        <v>1</v>
      </c>
      <c r="H1303" s="126">
        <v>1</v>
      </c>
      <c r="I1303" s="126">
        <v>1</v>
      </c>
      <c r="J1303" s="126">
        <v>160</v>
      </c>
      <c r="M1303" s="126">
        <v>470</v>
      </c>
      <c r="N1303" s="126">
        <v>0</v>
      </c>
      <c r="O1303" s="126">
        <v>107</v>
      </c>
      <c r="R1303" s="126" t="s">
        <v>675</v>
      </c>
      <c r="S1303" s="259">
        <v>94</v>
      </c>
      <c r="T1303" s="259">
        <v>0</v>
      </c>
      <c r="U1303" s="68" t="s">
        <v>2226</v>
      </c>
      <c r="V1303" s="126">
        <v>2</v>
      </c>
      <c r="Z1303" s="126">
        <v>1</v>
      </c>
      <c r="AA1303" s="126">
        <v>1</v>
      </c>
      <c r="AB1303" s="126">
        <v>1</v>
      </c>
      <c r="AC1303" s="126">
        <v>6</v>
      </c>
      <c r="AD1303" s="126">
        <v>2026</v>
      </c>
    </row>
    <row r="1304" spans="3:30">
      <c r="C1304" s="126">
        <v>1297</v>
      </c>
      <c r="D1304" s="126">
        <v>99</v>
      </c>
      <c r="E1304" s="126">
        <v>3</v>
      </c>
      <c r="F1304" s="126">
        <v>1</v>
      </c>
      <c r="G1304" s="126">
        <v>1</v>
      </c>
      <c r="H1304" s="126">
        <v>1</v>
      </c>
      <c r="I1304" s="126">
        <v>1</v>
      </c>
      <c r="J1304" s="126">
        <v>163</v>
      </c>
      <c r="M1304" s="126">
        <v>471</v>
      </c>
      <c r="N1304" s="126">
        <v>0</v>
      </c>
      <c r="O1304" s="126">
        <v>108</v>
      </c>
      <c r="R1304" s="126" t="s">
        <v>675</v>
      </c>
      <c r="S1304" s="259">
        <v>51</v>
      </c>
      <c r="T1304" s="259">
        <v>0</v>
      </c>
      <c r="U1304" s="68" t="s">
        <v>2228</v>
      </c>
      <c r="V1304" s="126">
        <v>2</v>
      </c>
      <c r="Z1304" s="126">
        <v>1</v>
      </c>
      <c r="AA1304" s="126">
        <v>1</v>
      </c>
      <c r="AB1304" s="126">
        <v>1</v>
      </c>
      <c r="AC1304" s="126">
        <v>6</v>
      </c>
      <c r="AD1304" s="126">
        <v>2026</v>
      </c>
    </row>
    <row r="1305" spans="3:30">
      <c r="C1305" s="126">
        <v>1298</v>
      </c>
      <c r="D1305" s="126">
        <v>99</v>
      </c>
      <c r="E1305" s="126">
        <v>3</v>
      </c>
      <c r="F1305" s="126">
        <v>1</v>
      </c>
      <c r="G1305" s="126">
        <v>1</v>
      </c>
      <c r="H1305" s="126">
        <v>1</v>
      </c>
      <c r="I1305" s="126">
        <v>1</v>
      </c>
      <c r="J1305" s="126">
        <v>165</v>
      </c>
      <c r="M1305" s="126">
        <v>472</v>
      </c>
      <c r="N1305" s="126">
        <v>0</v>
      </c>
      <c r="O1305" s="126">
        <v>109</v>
      </c>
      <c r="R1305" s="126" t="s">
        <v>675</v>
      </c>
      <c r="S1305" s="259">
        <v>40.5</v>
      </c>
      <c r="T1305" s="259">
        <v>0</v>
      </c>
      <c r="U1305" s="68" t="s">
        <v>2230</v>
      </c>
      <c r="V1305" s="126">
        <v>2</v>
      </c>
      <c r="Z1305" s="126">
        <v>1</v>
      </c>
      <c r="AA1305" s="126">
        <v>1</v>
      </c>
      <c r="AB1305" s="126">
        <v>1</v>
      </c>
      <c r="AC1305" s="126">
        <v>6</v>
      </c>
      <c r="AD1305" s="126">
        <v>2026</v>
      </c>
    </row>
    <row r="1306" spans="3:30">
      <c r="C1306" s="126">
        <v>1299</v>
      </c>
      <c r="D1306" s="126">
        <v>99</v>
      </c>
      <c r="E1306" s="126">
        <v>3</v>
      </c>
      <c r="F1306" s="126">
        <v>1</v>
      </c>
      <c r="G1306" s="126">
        <v>1</v>
      </c>
      <c r="H1306" s="126">
        <v>1</v>
      </c>
      <c r="I1306" s="126">
        <v>1</v>
      </c>
      <c r="J1306" s="126">
        <v>167</v>
      </c>
      <c r="M1306" s="126">
        <v>473</v>
      </c>
      <c r="N1306" s="126">
        <v>0</v>
      </c>
      <c r="O1306" s="126">
        <v>110</v>
      </c>
      <c r="R1306" s="126" t="s">
        <v>675</v>
      </c>
      <c r="S1306" s="259">
        <v>15.3</v>
      </c>
      <c r="T1306" s="259">
        <v>0</v>
      </c>
      <c r="U1306" s="68" t="s">
        <v>2231</v>
      </c>
      <c r="V1306" s="126">
        <v>2</v>
      </c>
      <c r="Z1306" s="126">
        <v>1</v>
      </c>
      <c r="AA1306" s="126">
        <v>1</v>
      </c>
      <c r="AB1306" s="126">
        <v>1</v>
      </c>
      <c r="AC1306" s="126">
        <v>6</v>
      </c>
      <c r="AD1306" s="126">
        <v>2026</v>
      </c>
    </row>
    <row r="1307" spans="3:30">
      <c r="C1307" s="126">
        <v>1300</v>
      </c>
      <c r="D1307" s="126">
        <v>100</v>
      </c>
      <c r="E1307" s="126">
        <v>6</v>
      </c>
      <c r="F1307" s="126">
        <v>1</v>
      </c>
      <c r="G1307" s="126">
        <v>1</v>
      </c>
      <c r="H1307" s="126">
        <v>1</v>
      </c>
      <c r="I1307" s="126">
        <v>1</v>
      </c>
      <c r="R1307" s="126" t="s">
        <v>675</v>
      </c>
      <c r="S1307" s="259">
        <v>0</v>
      </c>
      <c r="T1307" s="259">
        <v>883.42</v>
      </c>
      <c r="U1307" s="68" t="s">
        <v>2233</v>
      </c>
      <c r="V1307" s="126">
        <v>2</v>
      </c>
      <c r="Z1307" s="126">
        <v>1</v>
      </c>
      <c r="AA1307" s="126">
        <v>1</v>
      </c>
      <c r="AB1307" s="126">
        <v>1</v>
      </c>
      <c r="AC1307" s="126">
        <v>6</v>
      </c>
      <c r="AD1307" s="126">
        <v>2026</v>
      </c>
    </row>
    <row r="1308" spans="3:30">
      <c r="C1308" s="126">
        <v>1301</v>
      </c>
      <c r="D1308" s="126">
        <v>100</v>
      </c>
      <c r="E1308" s="126">
        <v>3</v>
      </c>
      <c r="F1308" s="126">
        <v>1</v>
      </c>
      <c r="G1308" s="126">
        <v>1</v>
      </c>
      <c r="H1308" s="126">
        <v>1</v>
      </c>
      <c r="I1308" s="126">
        <v>1</v>
      </c>
      <c r="J1308" s="126">
        <v>168</v>
      </c>
      <c r="M1308" s="126">
        <v>474</v>
      </c>
      <c r="N1308" s="126">
        <v>0</v>
      </c>
      <c r="O1308" s="126">
        <v>111</v>
      </c>
      <c r="R1308" s="126" t="s">
        <v>675</v>
      </c>
      <c r="S1308" s="259">
        <v>4.8</v>
      </c>
      <c r="T1308" s="259">
        <v>0</v>
      </c>
      <c r="U1308" s="68" t="s">
        <v>2234</v>
      </c>
      <c r="V1308" s="126">
        <v>2</v>
      </c>
      <c r="Z1308" s="126">
        <v>1</v>
      </c>
      <c r="AA1308" s="126">
        <v>1</v>
      </c>
      <c r="AB1308" s="126">
        <v>1</v>
      </c>
      <c r="AC1308" s="126">
        <v>6</v>
      </c>
      <c r="AD1308" s="126">
        <v>2026</v>
      </c>
    </row>
    <row r="1309" spans="3:30">
      <c r="C1309" s="126">
        <v>1302</v>
      </c>
      <c r="D1309" s="126">
        <v>100</v>
      </c>
      <c r="E1309" s="126">
        <v>3</v>
      </c>
      <c r="F1309" s="126">
        <v>1</v>
      </c>
      <c r="G1309" s="126">
        <v>1</v>
      </c>
      <c r="H1309" s="126">
        <v>1</v>
      </c>
      <c r="I1309" s="126">
        <v>1</v>
      </c>
      <c r="J1309" s="126">
        <v>169</v>
      </c>
      <c r="M1309" s="126">
        <v>475</v>
      </c>
      <c r="N1309" s="126">
        <v>0</v>
      </c>
      <c r="O1309" s="126">
        <v>112</v>
      </c>
      <c r="R1309" s="126" t="s">
        <v>675</v>
      </c>
      <c r="S1309" s="259">
        <v>16</v>
      </c>
      <c r="T1309" s="259">
        <v>0</v>
      </c>
      <c r="U1309" s="68" t="s">
        <v>2235</v>
      </c>
      <c r="V1309" s="126">
        <v>2</v>
      </c>
      <c r="Z1309" s="126">
        <v>1</v>
      </c>
      <c r="AA1309" s="126">
        <v>1</v>
      </c>
      <c r="AB1309" s="126">
        <v>1</v>
      </c>
      <c r="AC1309" s="126">
        <v>6</v>
      </c>
      <c r="AD1309" s="126">
        <v>2026</v>
      </c>
    </row>
    <row r="1310" spans="3:30">
      <c r="C1310" s="126">
        <v>1303</v>
      </c>
      <c r="D1310" s="126">
        <v>100</v>
      </c>
      <c r="E1310" s="126">
        <v>3</v>
      </c>
      <c r="F1310" s="126">
        <v>1</v>
      </c>
      <c r="G1310" s="126">
        <v>1</v>
      </c>
      <c r="H1310" s="126">
        <v>1</v>
      </c>
      <c r="I1310" s="126">
        <v>1</v>
      </c>
      <c r="J1310" s="126">
        <v>170</v>
      </c>
      <c r="M1310" s="126">
        <v>476</v>
      </c>
      <c r="N1310" s="126">
        <v>0</v>
      </c>
      <c r="O1310" s="126">
        <v>113</v>
      </c>
      <c r="R1310" s="126" t="s">
        <v>675</v>
      </c>
      <c r="S1310" s="259">
        <v>8</v>
      </c>
      <c r="T1310" s="259">
        <v>0</v>
      </c>
      <c r="U1310" s="68" t="s">
        <v>2236</v>
      </c>
      <c r="V1310" s="126">
        <v>2</v>
      </c>
      <c r="Z1310" s="126">
        <v>1</v>
      </c>
      <c r="AA1310" s="126">
        <v>1</v>
      </c>
      <c r="AB1310" s="126">
        <v>1</v>
      </c>
      <c r="AC1310" s="126">
        <v>6</v>
      </c>
      <c r="AD1310" s="126">
        <v>2026</v>
      </c>
    </row>
    <row r="1311" spans="3:30">
      <c r="C1311" s="126">
        <v>1304</v>
      </c>
      <c r="D1311" s="126">
        <v>100</v>
      </c>
      <c r="E1311" s="126">
        <v>3</v>
      </c>
      <c r="F1311" s="126">
        <v>1</v>
      </c>
      <c r="G1311" s="126">
        <v>1</v>
      </c>
      <c r="H1311" s="126">
        <v>1</v>
      </c>
      <c r="I1311" s="126">
        <v>1</v>
      </c>
      <c r="J1311" s="126">
        <v>172</v>
      </c>
      <c r="M1311" s="126">
        <v>477</v>
      </c>
      <c r="N1311" s="126">
        <v>0</v>
      </c>
      <c r="O1311" s="126">
        <v>114</v>
      </c>
      <c r="R1311" s="126" t="s">
        <v>675</v>
      </c>
      <c r="S1311" s="259">
        <v>0.4</v>
      </c>
      <c r="T1311" s="259">
        <v>0</v>
      </c>
      <c r="U1311" s="68" t="s">
        <v>2237</v>
      </c>
      <c r="V1311" s="126">
        <v>2</v>
      </c>
      <c r="Z1311" s="126">
        <v>1</v>
      </c>
      <c r="AA1311" s="126">
        <v>1</v>
      </c>
      <c r="AB1311" s="126">
        <v>1</v>
      </c>
      <c r="AC1311" s="126">
        <v>6</v>
      </c>
      <c r="AD1311" s="126">
        <v>2026</v>
      </c>
    </row>
    <row r="1312" spans="3:30">
      <c r="C1312" s="126">
        <v>1305</v>
      </c>
      <c r="D1312" s="126">
        <v>100</v>
      </c>
      <c r="E1312" s="126">
        <v>3</v>
      </c>
      <c r="F1312" s="126">
        <v>1</v>
      </c>
      <c r="G1312" s="126">
        <v>1</v>
      </c>
      <c r="H1312" s="126">
        <v>1</v>
      </c>
      <c r="I1312" s="126">
        <v>1</v>
      </c>
      <c r="J1312" s="126">
        <v>174</v>
      </c>
      <c r="M1312" s="126">
        <v>478</v>
      </c>
      <c r="N1312" s="126">
        <v>0</v>
      </c>
      <c r="O1312" s="126">
        <v>115</v>
      </c>
      <c r="R1312" s="126" t="s">
        <v>675</v>
      </c>
      <c r="S1312" s="259">
        <v>0.8</v>
      </c>
      <c r="T1312" s="259">
        <v>0</v>
      </c>
      <c r="U1312" s="68" t="s">
        <v>2238</v>
      </c>
      <c r="V1312" s="126">
        <v>2</v>
      </c>
      <c r="Z1312" s="126">
        <v>1</v>
      </c>
      <c r="AA1312" s="126">
        <v>1</v>
      </c>
      <c r="AB1312" s="126">
        <v>1</v>
      </c>
      <c r="AC1312" s="126">
        <v>6</v>
      </c>
      <c r="AD1312" s="126">
        <v>2026</v>
      </c>
    </row>
    <row r="1313" spans="2:30">
      <c r="C1313" s="126">
        <v>1306</v>
      </c>
      <c r="D1313" s="126">
        <v>100</v>
      </c>
      <c r="E1313" s="126">
        <v>3</v>
      </c>
      <c r="F1313" s="126">
        <v>1</v>
      </c>
      <c r="G1313" s="126">
        <v>1</v>
      </c>
      <c r="H1313" s="126">
        <v>1</v>
      </c>
      <c r="I1313" s="126">
        <v>1</v>
      </c>
      <c r="J1313" s="126">
        <v>181</v>
      </c>
      <c r="M1313" s="126">
        <v>479</v>
      </c>
      <c r="N1313" s="126">
        <v>0</v>
      </c>
      <c r="O1313" s="126">
        <v>116</v>
      </c>
      <c r="R1313" s="126" t="s">
        <v>675</v>
      </c>
      <c r="S1313" s="259">
        <v>28</v>
      </c>
      <c r="T1313" s="259">
        <v>0</v>
      </c>
      <c r="U1313" s="68" t="s">
        <v>2239</v>
      </c>
      <c r="V1313" s="126">
        <v>2</v>
      </c>
      <c r="Z1313" s="126">
        <v>1</v>
      </c>
      <c r="AA1313" s="126">
        <v>1</v>
      </c>
      <c r="AB1313" s="126">
        <v>1</v>
      </c>
      <c r="AC1313" s="126">
        <v>6</v>
      </c>
      <c r="AD1313" s="126">
        <v>2026</v>
      </c>
    </row>
    <row r="1314" spans="2:30">
      <c r="C1314" s="126">
        <v>1307</v>
      </c>
      <c r="D1314" s="126">
        <v>100</v>
      </c>
      <c r="E1314" s="126">
        <v>3</v>
      </c>
      <c r="F1314" s="126">
        <v>1</v>
      </c>
      <c r="G1314" s="126">
        <v>1</v>
      </c>
      <c r="H1314" s="126">
        <v>1</v>
      </c>
      <c r="I1314" s="126">
        <v>1</v>
      </c>
      <c r="J1314" s="126">
        <v>182</v>
      </c>
      <c r="M1314" s="126">
        <v>480</v>
      </c>
      <c r="N1314" s="126">
        <v>0</v>
      </c>
      <c r="O1314" s="126">
        <v>117</v>
      </c>
      <c r="R1314" s="126" t="s">
        <v>675</v>
      </c>
      <c r="S1314" s="259">
        <v>44</v>
      </c>
      <c r="T1314" s="259">
        <v>0</v>
      </c>
      <c r="U1314" s="68" t="s">
        <v>2240</v>
      </c>
      <c r="V1314" s="126">
        <v>2</v>
      </c>
      <c r="Z1314" s="126">
        <v>1</v>
      </c>
      <c r="AA1314" s="126">
        <v>1</v>
      </c>
      <c r="AB1314" s="126">
        <v>1</v>
      </c>
      <c r="AC1314" s="126">
        <v>6</v>
      </c>
      <c r="AD1314" s="126">
        <v>2026</v>
      </c>
    </row>
    <row r="1315" spans="2:30">
      <c r="C1315" s="126">
        <v>1308</v>
      </c>
      <c r="D1315" s="126">
        <v>100</v>
      </c>
      <c r="E1315" s="126">
        <v>3</v>
      </c>
      <c r="F1315" s="126">
        <v>1</v>
      </c>
      <c r="G1315" s="126">
        <v>1</v>
      </c>
      <c r="H1315" s="126">
        <v>1</v>
      </c>
      <c r="I1315" s="126">
        <v>1</v>
      </c>
      <c r="J1315" s="126">
        <v>183</v>
      </c>
      <c r="M1315" s="126">
        <v>481</v>
      </c>
      <c r="N1315" s="126">
        <v>0</v>
      </c>
      <c r="O1315" s="126">
        <v>118</v>
      </c>
      <c r="R1315" s="126" t="s">
        <v>675</v>
      </c>
      <c r="S1315" s="259">
        <v>280</v>
      </c>
      <c r="T1315" s="259">
        <v>0</v>
      </c>
      <c r="U1315" s="68" t="s">
        <v>2241</v>
      </c>
      <c r="V1315" s="126">
        <v>2</v>
      </c>
      <c r="Z1315" s="126">
        <v>1</v>
      </c>
      <c r="AA1315" s="126">
        <v>1</v>
      </c>
      <c r="AB1315" s="126">
        <v>1</v>
      </c>
      <c r="AC1315" s="126">
        <v>6</v>
      </c>
      <c r="AD1315" s="126">
        <v>2026</v>
      </c>
    </row>
    <row r="1316" spans="2:30">
      <c r="C1316" s="126">
        <v>1309</v>
      </c>
      <c r="D1316" s="126">
        <v>100</v>
      </c>
      <c r="E1316" s="126">
        <v>3</v>
      </c>
      <c r="F1316" s="126">
        <v>1</v>
      </c>
      <c r="G1316" s="126">
        <v>1</v>
      </c>
      <c r="H1316" s="126">
        <v>1</v>
      </c>
      <c r="I1316" s="126">
        <v>1</v>
      </c>
      <c r="J1316" s="126">
        <v>184</v>
      </c>
      <c r="M1316" s="126">
        <v>482</v>
      </c>
      <c r="N1316" s="126">
        <v>0</v>
      </c>
      <c r="O1316" s="126">
        <v>119</v>
      </c>
      <c r="R1316" s="126" t="s">
        <v>675</v>
      </c>
      <c r="S1316" s="259">
        <v>96</v>
      </c>
      <c r="T1316" s="259">
        <v>0</v>
      </c>
      <c r="U1316" s="68" t="s">
        <v>2242</v>
      </c>
      <c r="V1316" s="126">
        <v>2</v>
      </c>
      <c r="Z1316" s="126">
        <v>1</v>
      </c>
      <c r="AA1316" s="126">
        <v>1</v>
      </c>
      <c r="AB1316" s="126">
        <v>1</v>
      </c>
      <c r="AC1316" s="126">
        <v>6</v>
      </c>
      <c r="AD1316" s="126">
        <v>2026</v>
      </c>
    </row>
    <row r="1317" spans="2:30">
      <c r="C1317" s="126">
        <v>1310</v>
      </c>
      <c r="D1317" s="126">
        <v>100</v>
      </c>
      <c r="E1317" s="126">
        <v>3</v>
      </c>
      <c r="F1317" s="126">
        <v>1</v>
      </c>
      <c r="G1317" s="126">
        <v>1</v>
      </c>
      <c r="H1317" s="126">
        <v>1</v>
      </c>
      <c r="I1317" s="126">
        <v>1</v>
      </c>
      <c r="J1317" s="126">
        <v>185</v>
      </c>
      <c r="M1317" s="126">
        <v>483</v>
      </c>
      <c r="N1317" s="126">
        <v>0</v>
      </c>
      <c r="O1317" s="126">
        <v>120</v>
      </c>
      <c r="R1317" s="126" t="s">
        <v>675</v>
      </c>
      <c r="S1317" s="259">
        <v>16</v>
      </c>
      <c r="T1317" s="259">
        <v>0</v>
      </c>
      <c r="U1317" s="68" t="s">
        <v>2243</v>
      </c>
      <c r="V1317" s="126">
        <v>2</v>
      </c>
      <c r="Z1317" s="126">
        <v>1</v>
      </c>
      <c r="AA1317" s="126">
        <v>1</v>
      </c>
      <c r="AB1317" s="126">
        <v>1</v>
      </c>
      <c r="AC1317" s="126">
        <v>6</v>
      </c>
      <c r="AD1317" s="126">
        <v>2026</v>
      </c>
    </row>
    <row r="1318" spans="2:30">
      <c r="C1318" s="126">
        <v>1311</v>
      </c>
      <c r="D1318" s="126">
        <v>100</v>
      </c>
      <c r="E1318" s="126">
        <v>3</v>
      </c>
      <c r="F1318" s="126">
        <v>1</v>
      </c>
      <c r="G1318" s="126">
        <v>1</v>
      </c>
      <c r="H1318" s="126">
        <v>1</v>
      </c>
      <c r="I1318" s="126">
        <v>1</v>
      </c>
      <c r="J1318" s="126">
        <v>187</v>
      </c>
      <c r="M1318" s="126">
        <v>484</v>
      </c>
      <c r="N1318" s="126">
        <v>0</v>
      </c>
      <c r="O1318" s="126">
        <v>121</v>
      </c>
      <c r="R1318" s="126" t="s">
        <v>675</v>
      </c>
      <c r="S1318" s="259">
        <v>107.84</v>
      </c>
      <c r="T1318" s="259">
        <v>0</v>
      </c>
      <c r="U1318" s="68" t="s">
        <v>2244</v>
      </c>
      <c r="V1318" s="126">
        <v>2</v>
      </c>
      <c r="Z1318" s="126">
        <v>1</v>
      </c>
      <c r="AA1318" s="126">
        <v>1</v>
      </c>
      <c r="AB1318" s="126">
        <v>1</v>
      </c>
      <c r="AC1318" s="126">
        <v>6</v>
      </c>
      <c r="AD1318" s="126">
        <v>2026</v>
      </c>
    </row>
    <row r="1319" spans="2:30">
      <c r="C1319" s="126">
        <v>1312</v>
      </c>
      <c r="D1319" s="126">
        <v>100</v>
      </c>
      <c r="E1319" s="126">
        <v>3</v>
      </c>
      <c r="F1319" s="126">
        <v>1</v>
      </c>
      <c r="G1319" s="126">
        <v>1</v>
      </c>
      <c r="H1319" s="126">
        <v>1</v>
      </c>
      <c r="I1319" s="126">
        <v>1</v>
      </c>
      <c r="J1319" s="126">
        <v>189</v>
      </c>
      <c r="M1319" s="126">
        <v>485</v>
      </c>
      <c r="N1319" s="126">
        <v>0</v>
      </c>
      <c r="O1319" s="126">
        <v>122</v>
      </c>
      <c r="R1319" s="126" t="s">
        <v>675</v>
      </c>
      <c r="S1319" s="259">
        <v>130.88</v>
      </c>
      <c r="T1319" s="259">
        <v>0</v>
      </c>
      <c r="U1319" s="68" t="s">
        <v>2245</v>
      </c>
      <c r="V1319" s="126">
        <v>2</v>
      </c>
      <c r="Z1319" s="126">
        <v>1</v>
      </c>
      <c r="AA1319" s="126">
        <v>1</v>
      </c>
      <c r="AB1319" s="126">
        <v>1</v>
      </c>
      <c r="AC1319" s="126">
        <v>6</v>
      </c>
      <c r="AD1319" s="126">
        <v>2026</v>
      </c>
    </row>
    <row r="1320" spans="2:30">
      <c r="C1320" s="126">
        <v>1313</v>
      </c>
      <c r="D1320" s="126">
        <v>100</v>
      </c>
      <c r="E1320" s="126">
        <v>3</v>
      </c>
      <c r="F1320" s="126">
        <v>1</v>
      </c>
      <c r="G1320" s="126">
        <v>1</v>
      </c>
      <c r="H1320" s="126">
        <v>1</v>
      </c>
      <c r="I1320" s="126">
        <v>1</v>
      </c>
      <c r="J1320" s="126">
        <v>192</v>
      </c>
      <c r="M1320" s="126">
        <v>486</v>
      </c>
      <c r="N1320" s="126">
        <v>0</v>
      </c>
      <c r="O1320" s="126">
        <v>123</v>
      </c>
      <c r="R1320" s="126" t="s">
        <v>675</v>
      </c>
      <c r="S1320" s="259">
        <v>12.06</v>
      </c>
      <c r="T1320" s="259">
        <v>0</v>
      </c>
      <c r="U1320" s="68" t="s">
        <v>2246</v>
      </c>
      <c r="V1320" s="126">
        <v>2</v>
      </c>
      <c r="Z1320" s="126">
        <v>1</v>
      </c>
      <c r="AA1320" s="126">
        <v>1</v>
      </c>
      <c r="AB1320" s="126">
        <v>1</v>
      </c>
      <c r="AC1320" s="126">
        <v>6</v>
      </c>
      <c r="AD1320" s="126">
        <v>2026</v>
      </c>
    </row>
    <row r="1321" spans="2:30">
      <c r="C1321" s="126">
        <v>1314</v>
      </c>
      <c r="D1321" s="126">
        <v>100</v>
      </c>
      <c r="E1321" s="126">
        <v>3</v>
      </c>
      <c r="F1321" s="126">
        <v>1</v>
      </c>
      <c r="G1321" s="126">
        <v>1</v>
      </c>
      <c r="H1321" s="126">
        <v>1</v>
      </c>
      <c r="I1321" s="126">
        <v>1</v>
      </c>
      <c r="J1321" s="126">
        <v>195</v>
      </c>
      <c r="M1321" s="126">
        <v>487</v>
      </c>
      <c r="N1321" s="126">
        <v>0</v>
      </c>
      <c r="O1321" s="126">
        <v>124</v>
      </c>
      <c r="R1321" s="126" t="s">
        <v>675</v>
      </c>
      <c r="S1321" s="259">
        <v>62.8</v>
      </c>
      <c r="T1321" s="259">
        <v>0</v>
      </c>
      <c r="U1321" s="68" t="s">
        <v>2247</v>
      </c>
      <c r="V1321" s="126">
        <v>2</v>
      </c>
      <c r="Z1321" s="126">
        <v>1</v>
      </c>
      <c r="AA1321" s="126">
        <v>1</v>
      </c>
      <c r="AB1321" s="126">
        <v>1</v>
      </c>
      <c r="AC1321" s="126">
        <v>6</v>
      </c>
      <c r="AD1321" s="126">
        <v>2026</v>
      </c>
    </row>
    <row r="1322" spans="2:30" s="423" customFormat="1">
      <c r="B1322" s="412"/>
      <c r="C1322" s="172">
        <v>1315</v>
      </c>
      <c r="D1322" s="172">
        <v>100</v>
      </c>
      <c r="E1322" s="172">
        <v>3</v>
      </c>
      <c r="F1322" s="172">
        <v>1</v>
      </c>
      <c r="G1322" s="172">
        <v>1</v>
      </c>
      <c r="H1322" s="172">
        <v>1</v>
      </c>
      <c r="I1322" s="172">
        <v>1</v>
      </c>
      <c r="J1322" s="172">
        <v>198</v>
      </c>
      <c r="K1322" s="421"/>
      <c r="L1322" s="421"/>
      <c r="M1322" s="172">
        <v>488</v>
      </c>
      <c r="N1322" s="172">
        <v>0</v>
      </c>
      <c r="O1322" s="172">
        <v>125</v>
      </c>
      <c r="P1322" s="172"/>
      <c r="Q1322" s="421"/>
      <c r="R1322" s="172" t="s">
        <v>675</v>
      </c>
      <c r="S1322" s="422">
        <v>75.84</v>
      </c>
      <c r="T1322" s="422">
        <v>0</v>
      </c>
      <c r="U1322" s="406" t="s">
        <v>2248</v>
      </c>
      <c r="V1322" s="172">
        <v>2</v>
      </c>
      <c r="W1322" s="172"/>
      <c r="X1322" s="172"/>
      <c r="Y1322" s="172"/>
      <c r="Z1322" s="172">
        <v>1</v>
      </c>
      <c r="AA1322" s="172">
        <v>1</v>
      </c>
      <c r="AB1322" s="172">
        <v>1</v>
      </c>
      <c r="AC1322" s="172">
        <v>6</v>
      </c>
      <c r="AD1322" s="172">
        <v>2026</v>
      </c>
    </row>
    <row r="1323" spans="2:30">
      <c r="C1323" s="126">
        <v>1316</v>
      </c>
      <c r="D1323" s="126">
        <v>101</v>
      </c>
      <c r="E1323" s="126">
        <v>2</v>
      </c>
      <c r="F1323" s="126">
        <v>1</v>
      </c>
      <c r="G1323" s="126">
        <v>1</v>
      </c>
      <c r="H1323" s="126">
        <v>1</v>
      </c>
      <c r="I1323" s="126">
        <v>1</v>
      </c>
      <c r="R1323" s="126" t="s">
        <v>549</v>
      </c>
      <c r="S1323" s="259">
        <v>82</v>
      </c>
      <c r="T1323" s="259">
        <v>0</v>
      </c>
      <c r="U1323" s="68" t="s">
        <v>2285</v>
      </c>
      <c r="V1323" s="126">
        <v>1</v>
      </c>
      <c r="Z1323" s="126">
        <v>1</v>
      </c>
      <c r="AA1323" s="126">
        <v>1</v>
      </c>
      <c r="AB1323" s="126">
        <v>1</v>
      </c>
      <c r="AC1323" s="126">
        <v>7</v>
      </c>
      <c r="AD1323" s="126">
        <v>2026</v>
      </c>
    </row>
    <row r="1324" spans="2:30">
      <c r="C1324" s="126">
        <v>1317</v>
      </c>
      <c r="D1324" s="126">
        <v>101</v>
      </c>
      <c r="E1324" s="126">
        <v>3</v>
      </c>
      <c r="F1324" s="126">
        <v>1</v>
      </c>
      <c r="G1324" s="126">
        <v>1</v>
      </c>
      <c r="H1324" s="126">
        <v>1</v>
      </c>
      <c r="I1324" s="126">
        <v>1</v>
      </c>
      <c r="J1324" s="126">
        <v>187</v>
      </c>
      <c r="M1324" s="126">
        <v>489</v>
      </c>
      <c r="N1324" s="126">
        <v>0</v>
      </c>
      <c r="P1324" s="126">
        <v>364</v>
      </c>
      <c r="R1324" s="126" t="s">
        <v>549</v>
      </c>
      <c r="S1324" s="259">
        <v>0</v>
      </c>
      <c r="T1324" s="259">
        <v>16.850000000000001</v>
      </c>
      <c r="U1324" s="68" t="s">
        <v>2286</v>
      </c>
      <c r="V1324" s="126">
        <v>1</v>
      </c>
      <c r="Z1324" s="126">
        <v>1</v>
      </c>
      <c r="AA1324" s="126">
        <v>1</v>
      </c>
      <c r="AB1324" s="126">
        <v>1</v>
      </c>
      <c r="AC1324" s="126">
        <v>7</v>
      </c>
      <c r="AD1324" s="126">
        <v>2026</v>
      </c>
    </row>
    <row r="1325" spans="2:30">
      <c r="C1325" s="126">
        <v>1318</v>
      </c>
      <c r="D1325" s="126">
        <v>101</v>
      </c>
      <c r="E1325" s="126">
        <v>11</v>
      </c>
      <c r="F1325" s="126">
        <v>1</v>
      </c>
      <c r="G1325" s="126">
        <v>1</v>
      </c>
      <c r="H1325" s="126">
        <v>1</v>
      </c>
      <c r="I1325" s="126">
        <v>1</v>
      </c>
      <c r="J1325" s="126">
        <v>187</v>
      </c>
      <c r="M1325" s="126">
        <v>489</v>
      </c>
      <c r="N1325" s="126">
        <v>1</v>
      </c>
      <c r="P1325" s="126">
        <v>364</v>
      </c>
      <c r="R1325" s="126" t="s">
        <v>549</v>
      </c>
      <c r="S1325" s="259">
        <v>16.850000000000001</v>
      </c>
      <c r="T1325" s="259">
        <v>0</v>
      </c>
      <c r="U1325" s="68" t="s">
        <v>2287</v>
      </c>
      <c r="V1325" s="126">
        <v>1</v>
      </c>
      <c r="Z1325" s="126">
        <v>1</v>
      </c>
      <c r="AA1325" s="126">
        <v>1</v>
      </c>
      <c r="AB1325" s="126">
        <v>1</v>
      </c>
      <c r="AC1325" s="126">
        <v>7</v>
      </c>
      <c r="AD1325" s="126">
        <v>2026</v>
      </c>
    </row>
    <row r="1326" spans="2:30">
      <c r="C1326" s="126">
        <v>1319</v>
      </c>
      <c r="D1326" s="126">
        <v>101</v>
      </c>
      <c r="E1326" s="126">
        <v>10</v>
      </c>
      <c r="F1326" s="126">
        <v>1</v>
      </c>
      <c r="G1326" s="126">
        <v>1</v>
      </c>
      <c r="H1326" s="126">
        <v>1</v>
      </c>
      <c r="I1326" s="126">
        <v>1</v>
      </c>
      <c r="J1326" s="126">
        <v>187</v>
      </c>
      <c r="P1326" s="126">
        <v>364</v>
      </c>
      <c r="R1326" s="126" t="s">
        <v>549</v>
      </c>
      <c r="S1326" s="259">
        <v>0</v>
      </c>
      <c r="T1326" s="259">
        <v>17.5</v>
      </c>
      <c r="U1326" s="68" t="s">
        <v>2288</v>
      </c>
      <c r="V1326" s="126">
        <v>1</v>
      </c>
      <c r="Z1326" s="126">
        <v>1</v>
      </c>
      <c r="AA1326" s="126">
        <v>1</v>
      </c>
      <c r="AB1326" s="126">
        <v>1</v>
      </c>
      <c r="AC1326" s="126">
        <v>7</v>
      </c>
      <c r="AD1326" s="126">
        <v>2026</v>
      </c>
    </row>
    <row r="1327" spans="2:30">
      <c r="C1327" s="126">
        <v>1320</v>
      </c>
      <c r="D1327" s="126">
        <v>101</v>
      </c>
      <c r="E1327" s="126">
        <v>3</v>
      </c>
      <c r="F1327" s="126">
        <v>1</v>
      </c>
      <c r="G1327" s="126">
        <v>1</v>
      </c>
      <c r="H1327" s="126">
        <v>1</v>
      </c>
      <c r="I1327" s="126">
        <v>1</v>
      </c>
      <c r="J1327" s="126">
        <v>193</v>
      </c>
      <c r="M1327" s="126">
        <v>490</v>
      </c>
      <c r="N1327" s="126">
        <v>0</v>
      </c>
      <c r="P1327" s="126">
        <v>365</v>
      </c>
      <c r="R1327" s="126" t="s">
        <v>549</v>
      </c>
      <c r="S1327" s="259">
        <v>0</v>
      </c>
      <c r="T1327" s="259">
        <v>7.76</v>
      </c>
      <c r="U1327" s="68" t="s">
        <v>2289</v>
      </c>
      <c r="V1327" s="126">
        <v>1</v>
      </c>
      <c r="Z1327" s="126">
        <v>1</v>
      </c>
      <c r="AA1327" s="126">
        <v>1</v>
      </c>
      <c r="AB1327" s="126">
        <v>1</v>
      </c>
      <c r="AC1327" s="126">
        <v>7</v>
      </c>
      <c r="AD1327" s="126">
        <v>2026</v>
      </c>
    </row>
    <row r="1328" spans="2:30">
      <c r="C1328" s="126">
        <v>1321</v>
      </c>
      <c r="D1328" s="126">
        <v>101</v>
      </c>
      <c r="E1328" s="126">
        <v>11</v>
      </c>
      <c r="F1328" s="126">
        <v>1</v>
      </c>
      <c r="G1328" s="126">
        <v>1</v>
      </c>
      <c r="H1328" s="126">
        <v>1</v>
      </c>
      <c r="I1328" s="126">
        <v>1</v>
      </c>
      <c r="J1328" s="126">
        <v>193</v>
      </c>
      <c r="M1328" s="126">
        <v>490</v>
      </c>
      <c r="N1328" s="126">
        <v>1</v>
      </c>
      <c r="P1328" s="126">
        <v>365</v>
      </c>
      <c r="R1328" s="126" t="s">
        <v>549</v>
      </c>
      <c r="S1328" s="259">
        <v>7.76</v>
      </c>
      <c r="T1328" s="259">
        <v>0</v>
      </c>
      <c r="U1328" s="68" t="s">
        <v>2290</v>
      </c>
      <c r="V1328" s="126">
        <v>1</v>
      </c>
      <c r="Z1328" s="126">
        <v>1</v>
      </c>
      <c r="AA1328" s="126">
        <v>1</v>
      </c>
      <c r="AB1328" s="126">
        <v>1</v>
      </c>
      <c r="AC1328" s="126">
        <v>7</v>
      </c>
      <c r="AD1328" s="126">
        <v>2026</v>
      </c>
    </row>
    <row r="1329" spans="3:30">
      <c r="C1329" s="126">
        <v>1322</v>
      </c>
      <c r="D1329" s="126">
        <v>101</v>
      </c>
      <c r="E1329" s="126">
        <v>10</v>
      </c>
      <c r="F1329" s="126">
        <v>1</v>
      </c>
      <c r="G1329" s="126">
        <v>1</v>
      </c>
      <c r="H1329" s="126">
        <v>1</v>
      </c>
      <c r="I1329" s="126">
        <v>1</v>
      </c>
      <c r="J1329" s="126">
        <v>193</v>
      </c>
      <c r="P1329" s="126">
        <v>365</v>
      </c>
      <c r="R1329" s="126" t="s">
        <v>549</v>
      </c>
      <c r="S1329" s="259">
        <v>0</v>
      </c>
      <c r="T1329" s="259">
        <v>9</v>
      </c>
      <c r="U1329" s="68" t="s">
        <v>2291</v>
      </c>
      <c r="V1329" s="126">
        <v>1</v>
      </c>
      <c r="Z1329" s="126">
        <v>1</v>
      </c>
      <c r="AA1329" s="126">
        <v>1</v>
      </c>
      <c r="AB1329" s="126">
        <v>1</v>
      </c>
      <c r="AC1329" s="126">
        <v>7</v>
      </c>
      <c r="AD1329" s="126">
        <v>2026</v>
      </c>
    </row>
    <row r="1330" spans="3:30">
      <c r="C1330" s="126">
        <v>1323</v>
      </c>
      <c r="D1330" s="126">
        <v>101</v>
      </c>
      <c r="E1330" s="126">
        <v>3</v>
      </c>
      <c r="F1330" s="126">
        <v>1</v>
      </c>
      <c r="G1330" s="126">
        <v>1</v>
      </c>
      <c r="H1330" s="126">
        <v>1</v>
      </c>
      <c r="I1330" s="126">
        <v>1</v>
      </c>
      <c r="J1330" s="126">
        <v>235</v>
      </c>
      <c r="M1330" s="126">
        <v>491</v>
      </c>
      <c r="N1330" s="126">
        <v>0</v>
      </c>
      <c r="P1330" s="126">
        <v>366</v>
      </c>
      <c r="R1330" s="126" t="s">
        <v>549</v>
      </c>
      <c r="S1330" s="259">
        <v>0</v>
      </c>
      <c r="T1330" s="259">
        <v>11</v>
      </c>
      <c r="U1330" s="68" t="s">
        <v>2295</v>
      </c>
      <c r="V1330" s="126">
        <v>1</v>
      </c>
      <c r="Z1330" s="126">
        <v>1</v>
      </c>
      <c r="AA1330" s="126">
        <v>1</v>
      </c>
      <c r="AB1330" s="126">
        <v>1</v>
      </c>
      <c r="AC1330" s="126">
        <v>7</v>
      </c>
      <c r="AD1330" s="126">
        <v>2026</v>
      </c>
    </row>
    <row r="1331" spans="3:30">
      <c r="C1331" s="126">
        <v>1324</v>
      </c>
      <c r="D1331" s="126">
        <v>101</v>
      </c>
      <c r="E1331" s="126">
        <v>11</v>
      </c>
      <c r="F1331" s="126">
        <v>1</v>
      </c>
      <c r="G1331" s="126">
        <v>1</v>
      </c>
      <c r="H1331" s="126">
        <v>1</v>
      </c>
      <c r="I1331" s="126">
        <v>1</v>
      </c>
      <c r="J1331" s="126">
        <v>235</v>
      </c>
      <c r="M1331" s="126">
        <v>491</v>
      </c>
      <c r="N1331" s="126">
        <v>1</v>
      </c>
      <c r="P1331" s="126">
        <v>366</v>
      </c>
      <c r="R1331" s="126" t="s">
        <v>549</v>
      </c>
      <c r="S1331" s="259">
        <v>11</v>
      </c>
      <c r="T1331" s="259">
        <v>0</v>
      </c>
      <c r="U1331" s="68" t="s">
        <v>2296</v>
      </c>
      <c r="V1331" s="126">
        <v>1</v>
      </c>
      <c r="Z1331" s="126">
        <v>1</v>
      </c>
      <c r="AA1331" s="126">
        <v>1</v>
      </c>
      <c r="AB1331" s="126">
        <v>1</v>
      </c>
      <c r="AC1331" s="126">
        <v>7</v>
      </c>
      <c r="AD1331" s="126">
        <v>2026</v>
      </c>
    </row>
    <row r="1332" spans="3:30">
      <c r="C1332" s="126">
        <v>1325</v>
      </c>
      <c r="D1332" s="126">
        <v>101</v>
      </c>
      <c r="E1332" s="126">
        <v>10</v>
      </c>
      <c r="F1332" s="126">
        <v>1</v>
      </c>
      <c r="G1332" s="126">
        <v>1</v>
      </c>
      <c r="H1332" s="126">
        <v>1</v>
      </c>
      <c r="I1332" s="126">
        <v>1</v>
      </c>
      <c r="J1332" s="126">
        <v>235</v>
      </c>
      <c r="P1332" s="126">
        <v>366</v>
      </c>
      <c r="R1332" s="126" t="s">
        <v>549</v>
      </c>
      <c r="S1332" s="259">
        <v>0</v>
      </c>
      <c r="T1332" s="259">
        <v>11.5</v>
      </c>
      <c r="U1332" s="68" t="s">
        <v>2297</v>
      </c>
      <c r="V1332" s="126">
        <v>1</v>
      </c>
      <c r="Z1332" s="126">
        <v>1</v>
      </c>
      <c r="AA1332" s="126">
        <v>1</v>
      </c>
      <c r="AB1332" s="126">
        <v>1</v>
      </c>
      <c r="AC1332" s="126">
        <v>7</v>
      </c>
      <c r="AD1332" s="126">
        <v>2026</v>
      </c>
    </row>
    <row r="1333" spans="3:30">
      <c r="C1333" s="126">
        <v>1326</v>
      </c>
      <c r="D1333" s="126">
        <v>101</v>
      </c>
      <c r="E1333" s="126">
        <v>3</v>
      </c>
      <c r="F1333" s="126">
        <v>1</v>
      </c>
      <c r="G1333" s="126">
        <v>1</v>
      </c>
      <c r="H1333" s="126">
        <v>1</v>
      </c>
      <c r="I1333" s="126">
        <v>1</v>
      </c>
      <c r="J1333" s="126">
        <v>178</v>
      </c>
      <c r="M1333" s="126">
        <v>492</v>
      </c>
      <c r="N1333" s="126">
        <v>0</v>
      </c>
      <c r="P1333" s="126">
        <v>367</v>
      </c>
      <c r="R1333" s="126" t="s">
        <v>549</v>
      </c>
      <c r="S1333" s="259">
        <v>0</v>
      </c>
      <c r="T1333" s="259">
        <v>33.25</v>
      </c>
      <c r="U1333" s="68" t="s">
        <v>2298</v>
      </c>
      <c r="V1333" s="126">
        <v>1</v>
      </c>
      <c r="Z1333" s="126">
        <v>1</v>
      </c>
      <c r="AA1333" s="126">
        <v>1</v>
      </c>
      <c r="AB1333" s="126">
        <v>1</v>
      </c>
      <c r="AC1333" s="126">
        <v>7</v>
      </c>
      <c r="AD1333" s="126">
        <v>2026</v>
      </c>
    </row>
    <row r="1334" spans="3:30">
      <c r="C1334" s="126">
        <v>1327</v>
      </c>
      <c r="D1334" s="126">
        <v>101</v>
      </c>
      <c r="E1334" s="126">
        <v>11</v>
      </c>
      <c r="F1334" s="126">
        <v>1</v>
      </c>
      <c r="G1334" s="126">
        <v>1</v>
      </c>
      <c r="H1334" s="126">
        <v>1</v>
      </c>
      <c r="I1334" s="126">
        <v>1</v>
      </c>
      <c r="J1334" s="126">
        <v>178</v>
      </c>
      <c r="M1334" s="126">
        <v>492</v>
      </c>
      <c r="N1334" s="126">
        <v>1</v>
      </c>
      <c r="P1334" s="126">
        <v>367</v>
      </c>
      <c r="R1334" s="126" t="s">
        <v>549</v>
      </c>
      <c r="S1334" s="259">
        <v>33.25</v>
      </c>
      <c r="T1334" s="259">
        <v>0</v>
      </c>
      <c r="U1334" s="68" t="s">
        <v>2299</v>
      </c>
      <c r="V1334" s="126">
        <v>1</v>
      </c>
      <c r="Z1334" s="126">
        <v>1</v>
      </c>
      <c r="AA1334" s="126">
        <v>1</v>
      </c>
      <c r="AB1334" s="126">
        <v>1</v>
      </c>
      <c r="AC1334" s="126">
        <v>7</v>
      </c>
      <c r="AD1334" s="126">
        <v>2026</v>
      </c>
    </row>
    <row r="1335" spans="3:30">
      <c r="C1335" s="126">
        <v>1328</v>
      </c>
      <c r="D1335" s="126">
        <v>101</v>
      </c>
      <c r="E1335" s="126">
        <v>10</v>
      </c>
      <c r="F1335" s="126">
        <v>1</v>
      </c>
      <c r="G1335" s="126">
        <v>1</v>
      </c>
      <c r="H1335" s="126">
        <v>1</v>
      </c>
      <c r="I1335" s="126">
        <v>1</v>
      </c>
      <c r="J1335" s="126">
        <v>178</v>
      </c>
      <c r="P1335" s="126">
        <v>367</v>
      </c>
      <c r="R1335" s="126" t="s">
        <v>549</v>
      </c>
      <c r="S1335" s="259">
        <v>0</v>
      </c>
      <c r="T1335" s="259">
        <v>35</v>
      </c>
      <c r="U1335" s="68" t="s">
        <v>2300</v>
      </c>
      <c r="V1335" s="126">
        <v>1</v>
      </c>
      <c r="Z1335" s="126">
        <v>1</v>
      </c>
      <c r="AA1335" s="126">
        <v>1</v>
      </c>
      <c r="AB1335" s="126">
        <v>1</v>
      </c>
      <c r="AC1335" s="126">
        <v>7</v>
      </c>
      <c r="AD1335" s="126">
        <v>2026</v>
      </c>
    </row>
    <row r="1336" spans="3:30">
      <c r="C1336" s="126">
        <v>1329</v>
      </c>
      <c r="D1336" s="126">
        <v>101</v>
      </c>
      <c r="E1336" s="126">
        <v>3</v>
      </c>
      <c r="F1336" s="126">
        <v>1</v>
      </c>
      <c r="G1336" s="126">
        <v>1</v>
      </c>
      <c r="H1336" s="126">
        <v>1</v>
      </c>
      <c r="I1336" s="126">
        <v>1</v>
      </c>
      <c r="J1336" s="126">
        <v>241</v>
      </c>
      <c r="M1336" s="126">
        <v>493</v>
      </c>
      <c r="N1336" s="126">
        <v>0</v>
      </c>
      <c r="P1336" s="126">
        <v>368</v>
      </c>
      <c r="R1336" s="126" t="s">
        <v>549</v>
      </c>
      <c r="S1336" s="259">
        <v>0</v>
      </c>
      <c r="T1336" s="259">
        <v>1</v>
      </c>
      <c r="U1336" s="68" t="s">
        <v>2303</v>
      </c>
      <c r="V1336" s="126">
        <v>1</v>
      </c>
      <c r="Z1336" s="126">
        <v>1</v>
      </c>
      <c r="AA1336" s="126">
        <v>1</v>
      </c>
      <c r="AB1336" s="126">
        <v>1</v>
      </c>
      <c r="AC1336" s="126">
        <v>7</v>
      </c>
      <c r="AD1336" s="126">
        <v>2026</v>
      </c>
    </row>
    <row r="1337" spans="3:30">
      <c r="C1337" s="126">
        <v>1330</v>
      </c>
      <c r="D1337" s="126">
        <v>101</v>
      </c>
      <c r="E1337" s="126">
        <v>11</v>
      </c>
      <c r="F1337" s="126">
        <v>1</v>
      </c>
      <c r="G1337" s="126">
        <v>1</v>
      </c>
      <c r="H1337" s="126">
        <v>1</v>
      </c>
      <c r="I1337" s="126">
        <v>1</v>
      </c>
      <c r="J1337" s="126">
        <v>241</v>
      </c>
      <c r="M1337" s="126">
        <v>493</v>
      </c>
      <c r="N1337" s="126">
        <v>1</v>
      </c>
      <c r="P1337" s="126">
        <v>368</v>
      </c>
      <c r="R1337" s="126" t="s">
        <v>549</v>
      </c>
      <c r="S1337" s="259">
        <v>1</v>
      </c>
      <c r="T1337" s="259">
        <v>0</v>
      </c>
      <c r="U1337" s="68" t="s">
        <v>2304</v>
      </c>
      <c r="V1337" s="126">
        <v>1</v>
      </c>
      <c r="Z1337" s="126">
        <v>1</v>
      </c>
      <c r="AA1337" s="126">
        <v>1</v>
      </c>
      <c r="AB1337" s="126">
        <v>1</v>
      </c>
      <c r="AC1337" s="126">
        <v>7</v>
      </c>
      <c r="AD1337" s="126">
        <v>2026</v>
      </c>
    </row>
    <row r="1338" spans="3:30">
      <c r="C1338" s="126">
        <v>1331</v>
      </c>
      <c r="D1338" s="126">
        <v>101</v>
      </c>
      <c r="E1338" s="126">
        <v>10</v>
      </c>
      <c r="F1338" s="126">
        <v>1</v>
      </c>
      <c r="G1338" s="126">
        <v>1</v>
      </c>
      <c r="H1338" s="126">
        <v>1</v>
      </c>
      <c r="I1338" s="126">
        <v>1</v>
      </c>
      <c r="J1338" s="126">
        <v>241</v>
      </c>
      <c r="P1338" s="126">
        <v>368</v>
      </c>
      <c r="R1338" s="126" t="s">
        <v>549</v>
      </c>
      <c r="S1338" s="259">
        <v>0</v>
      </c>
      <c r="T1338" s="259">
        <v>1.5</v>
      </c>
      <c r="U1338" s="68" t="s">
        <v>2305</v>
      </c>
      <c r="V1338" s="126">
        <v>1</v>
      </c>
      <c r="Z1338" s="126">
        <v>1</v>
      </c>
      <c r="AA1338" s="126">
        <v>1</v>
      </c>
      <c r="AB1338" s="126">
        <v>1</v>
      </c>
      <c r="AC1338" s="126">
        <v>7</v>
      </c>
      <c r="AD1338" s="126">
        <v>2026</v>
      </c>
    </row>
    <row r="1339" spans="3:30">
      <c r="C1339" s="126">
        <v>1332</v>
      </c>
      <c r="D1339" s="126">
        <v>101</v>
      </c>
      <c r="E1339" s="126">
        <v>3</v>
      </c>
      <c r="F1339" s="126">
        <v>1</v>
      </c>
      <c r="G1339" s="126">
        <v>1</v>
      </c>
      <c r="H1339" s="126">
        <v>1</v>
      </c>
      <c r="I1339" s="126">
        <v>1</v>
      </c>
      <c r="J1339" s="126">
        <v>287</v>
      </c>
      <c r="M1339" s="126">
        <v>494</v>
      </c>
      <c r="N1339" s="126">
        <v>0</v>
      </c>
      <c r="P1339" s="126">
        <v>369</v>
      </c>
      <c r="R1339" s="126" t="s">
        <v>549</v>
      </c>
      <c r="S1339" s="259">
        <v>0</v>
      </c>
      <c r="T1339" s="259">
        <v>6.75</v>
      </c>
      <c r="U1339" s="68" t="s">
        <v>2309</v>
      </c>
      <c r="V1339" s="126">
        <v>1</v>
      </c>
      <c r="Z1339" s="126">
        <v>1</v>
      </c>
      <c r="AA1339" s="126">
        <v>1</v>
      </c>
      <c r="AB1339" s="126">
        <v>1</v>
      </c>
      <c r="AC1339" s="126">
        <v>7</v>
      </c>
      <c r="AD1339" s="126">
        <v>2026</v>
      </c>
    </row>
    <row r="1340" spans="3:30">
      <c r="C1340" s="126">
        <v>1333</v>
      </c>
      <c r="D1340" s="126">
        <v>101</v>
      </c>
      <c r="E1340" s="126">
        <v>11</v>
      </c>
      <c r="F1340" s="126">
        <v>1</v>
      </c>
      <c r="G1340" s="126">
        <v>1</v>
      </c>
      <c r="H1340" s="126">
        <v>1</v>
      </c>
      <c r="I1340" s="126">
        <v>1</v>
      </c>
      <c r="J1340" s="126">
        <v>287</v>
      </c>
      <c r="M1340" s="126">
        <v>494</v>
      </c>
      <c r="N1340" s="126">
        <v>1</v>
      </c>
      <c r="P1340" s="126">
        <v>369</v>
      </c>
      <c r="R1340" s="126" t="s">
        <v>549</v>
      </c>
      <c r="S1340" s="259">
        <v>6.75</v>
      </c>
      <c r="T1340" s="259">
        <v>0</v>
      </c>
      <c r="U1340" s="68" t="s">
        <v>2310</v>
      </c>
      <c r="V1340" s="126">
        <v>1</v>
      </c>
      <c r="Z1340" s="126">
        <v>1</v>
      </c>
      <c r="AA1340" s="126">
        <v>1</v>
      </c>
      <c r="AB1340" s="126">
        <v>1</v>
      </c>
      <c r="AC1340" s="126">
        <v>7</v>
      </c>
      <c r="AD1340" s="126">
        <v>2026</v>
      </c>
    </row>
    <row r="1341" spans="3:30">
      <c r="C1341" s="126">
        <v>1334</v>
      </c>
      <c r="D1341" s="126">
        <v>101</v>
      </c>
      <c r="E1341" s="126">
        <v>10</v>
      </c>
      <c r="F1341" s="126">
        <v>1</v>
      </c>
      <c r="G1341" s="126">
        <v>1</v>
      </c>
      <c r="H1341" s="126">
        <v>1</v>
      </c>
      <c r="I1341" s="126">
        <v>1</v>
      </c>
      <c r="J1341" s="126">
        <v>287</v>
      </c>
      <c r="P1341" s="126">
        <v>369</v>
      </c>
      <c r="R1341" s="126" t="s">
        <v>549</v>
      </c>
      <c r="S1341" s="259">
        <v>0</v>
      </c>
      <c r="T1341" s="259">
        <v>7.5</v>
      </c>
      <c r="U1341" s="68" t="s">
        <v>2311</v>
      </c>
      <c r="V1341" s="126">
        <v>1</v>
      </c>
      <c r="Z1341" s="126">
        <v>1</v>
      </c>
      <c r="AA1341" s="126">
        <v>1</v>
      </c>
      <c r="AB1341" s="126">
        <v>1</v>
      </c>
      <c r="AC1341" s="126">
        <v>7</v>
      </c>
      <c r="AD1341" s="126">
        <v>2026</v>
      </c>
    </row>
    <row r="1342" spans="3:30">
      <c r="C1342" s="126">
        <v>1335</v>
      </c>
      <c r="D1342" s="126">
        <v>102</v>
      </c>
      <c r="E1342" s="126">
        <v>2</v>
      </c>
      <c r="F1342" s="126">
        <v>1</v>
      </c>
      <c r="G1342" s="126">
        <v>1</v>
      </c>
      <c r="H1342" s="126">
        <v>1</v>
      </c>
      <c r="I1342" s="126">
        <v>1</v>
      </c>
      <c r="R1342" s="126" t="s">
        <v>549</v>
      </c>
      <c r="S1342" s="259">
        <v>37.5</v>
      </c>
      <c r="T1342" s="259">
        <v>0</v>
      </c>
      <c r="U1342" s="68" t="s">
        <v>2314</v>
      </c>
      <c r="V1342" s="126">
        <v>1</v>
      </c>
      <c r="Z1342" s="126">
        <v>1</v>
      </c>
      <c r="AA1342" s="126">
        <v>1</v>
      </c>
      <c r="AB1342" s="126">
        <v>1</v>
      </c>
      <c r="AC1342" s="126">
        <v>7</v>
      </c>
      <c r="AD1342" s="126">
        <v>2026</v>
      </c>
    </row>
    <row r="1343" spans="3:30">
      <c r="C1343" s="126">
        <v>1336</v>
      </c>
      <c r="D1343" s="126">
        <v>102</v>
      </c>
      <c r="E1343" s="126">
        <v>3</v>
      </c>
      <c r="F1343" s="126">
        <v>1</v>
      </c>
      <c r="G1343" s="126">
        <v>1</v>
      </c>
      <c r="H1343" s="126">
        <v>1</v>
      </c>
      <c r="I1343" s="126">
        <v>1</v>
      </c>
      <c r="J1343" s="126">
        <v>177</v>
      </c>
      <c r="M1343" s="126">
        <v>495</v>
      </c>
      <c r="N1343" s="126">
        <v>0</v>
      </c>
      <c r="P1343" s="126">
        <v>370</v>
      </c>
      <c r="R1343" s="126" t="s">
        <v>549</v>
      </c>
      <c r="S1343" s="259">
        <v>0</v>
      </c>
      <c r="T1343" s="259">
        <v>20.75</v>
      </c>
      <c r="U1343" s="68" t="s">
        <v>2315</v>
      </c>
      <c r="V1343" s="126">
        <v>1</v>
      </c>
      <c r="Z1343" s="126">
        <v>1</v>
      </c>
      <c r="AA1343" s="126">
        <v>1</v>
      </c>
      <c r="AB1343" s="126">
        <v>1</v>
      </c>
      <c r="AC1343" s="126">
        <v>7</v>
      </c>
      <c r="AD1343" s="126">
        <v>2026</v>
      </c>
    </row>
    <row r="1344" spans="3:30">
      <c r="C1344" s="126">
        <v>1337</v>
      </c>
      <c r="D1344" s="126">
        <v>102</v>
      </c>
      <c r="E1344" s="126">
        <v>11</v>
      </c>
      <c r="F1344" s="126">
        <v>1</v>
      </c>
      <c r="G1344" s="126">
        <v>1</v>
      </c>
      <c r="H1344" s="126">
        <v>1</v>
      </c>
      <c r="I1344" s="126">
        <v>1</v>
      </c>
      <c r="J1344" s="126">
        <v>177</v>
      </c>
      <c r="M1344" s="126">
        <v>495</v>
      </c>
      <c r="N1344" s="126">
        <v>1</v>
      </c>
      <c r="P1344" s="126">
        <v>370</v>
      </c>
      <c r="R1344" s="126" t="s">
        <v>549</v>
      </c>
      <c r="S1344" s="259">
        <v>20.75</v>
      </c>
      <c r="T1344" s="259">
        <v>0</v>
      </c>
      <c r="U1344" s="68" t="s">
        <v>2316</v>
      </c>
      <c r="V1344" s="126">
        <v>1</v>
      </c>
      <c r="Z1344" s="126">
        <v>1</v>
      </c>
      <c r="AA1344" s="126">
        <v>1</v>
      </c>
      <c r="AB1344" s="126">
        <v>1</v>
      </c>
      <c r="AC1344" s="126">
        <v>7</v>
      </c>
      <c r="AD1344" s="126">
        <v>2026</v>
      </c>
    </row>
    <row r="1345" spans="3:30">
      <c r="C1345" s="126">
        <v>1338</v>
      </c>
      <c r="D1345" s="126">
        <v>102</v>
      </c>
      <c r="E1345" s="126">
        <v>10</v>
      </c>
      <c r="F1345" s="126">
        <v>1</v>
      </c>
      <c r="G1345" s="126">
        <v>1</v>
      </c>
      <c r="H1345" s="126">
        <v>1</v>
      </c>
      <c r="I1345" s="126">
        <v>1</v>
      </c>
      <c r="J1345" s="126">
        <v>177</v>
      </c>
      <c r="P1345" s="126">
        <v>370</v>
      </c>
      <c r="R1345" s="126" t="s">
        <v>549</v>
      </c>
      <c r="S1345" s="259">
        <v>0</v>
      </c>
      <c r="T1345" s="259">
        <v>22.5</v>
      </c>
      <c r="U1345" s="68" t="s">
        <v>2317</v>
      </c>
      <c r="V1345" s="126">
        <v>1</v>
      </c>
      <c r="Z1345" s="126">
        <v>1</v>
      </c>
      <c r="AA1345" s="126">
        <v>1</v>
      </c>
      <c r="AB1345" s="126">
        <v>1</v>
      </c>
      <c r="AC1345" s="126">
        <v>7</v>
      </c>
      <c r="AD1345" s="126">
        <v>2026</v>
      </c>
    </row>
    <row r="1346" spans="3:30">
      <c r="C1346" s="126">
        <v>1339</v>
      </c>
      <c r="D1346" s="126">
        <v>102</v>
      </c>
      <c r="E1346" s="126">
        <v>3</v>
      </c>
      <c r="F1346" s="126">
        <v>1</v>
      </c>
      <c r="G1346" s="126">
        <v>1</v>
      </c>
      <c r="H1346" s="126">
        <v>1</v>
      </c>
      <c r="I1346" s="126">
        <v>1</v>
      </c>
      <c r="J1346" s="126">
        <v>298</v>
      </c>
      <c r="M1346" s="126">
        <v>496</v>
      </c>
      <c r="N1346" s="126">
        <v>0</v>
      </c>
      <c r="P1346" s="126">
        <v>371</v>
      </c>
      <c r="R1346" s="126" t="s">
        <v>549</v>
      </c>
      <c r="S1346" s="259">
        <v>0</v>
      </c>
      <c r="T1346" s="259">
        <v>11.399999999999999</v>
      </c>
      <c r="U1346" s="68" t="s">
        <v>2321</v>
      </c>
      <c r="V1346" s="126">
        <v>1</v>
      </c>
      <c r="Z1346" s="126">
        <v>1</v>
      </c>
      <c r="AA1346" s="126">
        <v>1</v>
      </c>
      <c r="AB1346" s="126">
        <v>1</v>
      </c>
      <c r="AC1346" s="126">
        <v>7</v>
      </c>
      <c r="AD1346" s="126">
        <v>2026</v>
      </c>
    </row>
    <row r="1347" spans="3:30">
      <c r="C1347" s="126">
        <v>1340</v>
      </c>
      <c r="D1347" s="126">
        <v>102</v>
      </c>
      <c r="E1347" s="126">
        <v>11</v>
      </c>
      <c r="F1347" s="126">
        <v>1</v>
      </c>
      <c r="G1347" s="126">
        <v>1</v>
      </c>
      <c r="H1347" s="126">
        <v>1</v>
      </c>
      <c r="I1347" s="126">
        <v>1</v>
      </c>
      <c r="J1347" s="126">
        <v>298</v>
      </c>
      <c r="M1347" s="126">
        <v>496</v>
      </c>
      <c r="N1347" s="126">
        <v>1</v>
      </c>
      <c r="P1347" s="126">
        <v>371</v>
      </c>
      <c r="R1347" s="126" t="s">
        <v>549</v>
      </c>
      <c r="S1347" s="259">
        <v>11.399999999999999</v>
      </c>
      <c r="T1347" s="259">
        <v>0</v>
      </c>
      <c r="U1347" s="68" t="s">
        <v>2322</v>
      </c>
      <c r="V1347" s="126">
        <v>1</v>
      </c>
      <c r="Z1347" s="126">
        <v>1</v>
      </c>
      <c r="AA1347" s="126">
        <v>1</v>
      </c>
      <c r="AB1347" s="126">
        <v>1</v>
      </c>
      <c r="AC1347" s="126">
        <v>7</v>
      </c>
      <c r="AD1347" s="126">
        <v>2026</v>
      </c>
    </row>
    <row r="1348" spans="3:30">
      <c r="C1348" s="126">
        <v>1341</v>
      </c>
      <c r="D1348" s="126">
        <v>102</v>
      </c>
      <c r="E1348" s="126">
        <v>10</v>
      </c>
      <c r="F1348" s="126">
        <v>1</v>
      </c>
      <c r="G1348" s="126">
        <v>1</v>
      </c>
      <c r="H1348" s="126">
        <v>1</v>
      </c>
      <c r="I1348" s="126">
        <v>1</v>
      </c>
      <c r="J1348" s="126">
        <v>298</v>
      </c>
      <c r="P1348" s="126">
        <v>371</v>
      </c>
      <c r="R1348" s="126" t="s">
        <v>549</v>
      </c>
      <c r="S1348" s="259">
        <v>0</v>
      </c>
      <c r="T1348" s="259">
        <v>15</v>
      </c>
      <c r="U1348" s="68" t="s">
        <v>2323</v>
      </c>
      <c r="V1348" s="126">
        <v>1</v>
      </c>
      <c r="Z1348" s="126">
        <v>1</v>
      </c>
      <c r="AA1348" s="126">
        <v>1</v>
      </c>
      <c r="AB1348" s="126">
        <v>1</v>
      </c>
      <c r="AC1348" s="126">
        <v>7</v>
      </c>
      <c r="AD1348" s="126">
        <v>2026</v>
      </c>
    </row>
    <row r="1349" spans="3:30">
      <c r="C1349" s="126">
        <v>1342</v>
      </c>
      <c r="D1349" s="126">
        <v>103</v>
      </c>
      <c r="E1349" s="126">
        <v>2</v>
      </c>
      <c r="F1349" s="126">
        <v>1</v>
      </c>
      <c r="G1349" s="126">
        <v>1</v>
      </c>
      <c r="H1349" s="126">
        <v>1</v>
      </c>
      <c r="I1349" s="126">
        <v>1</v>
      </c>
      <c r="R1349" s="126" t="s">
        <v>549</v>
      </c>
      <c r="S1349" s="259">
        <v>42.5</v>
      </c>
      <c r="T1349" s="259">
        <v>0</v>
      </c>
      <c r="U1349" s="68" t="s">
        <v>2325</v>
      </c>
      <c r="V1349" s="126">
        <v>1</v>
      </c>
      <c r="Z1349" s="126">
        <v>1</v>
      </c>
      <c r="AA1349" s="126">
        <v>1</v>
      </c>
      <c r="AB1349" s="126">
        <v>1</v>
      </c>
      <c r="AC1349" s="126">
        <v>7</v>
      </c>
      <c r="AD1349" s="126">
        <v>2026</v>
      </c>
    </row>
    <row r="1350" spans="3:30">
      <c r="C1350" s="126">
        <v>1343</v>
      </c>
      <c r="D1350" s="126">
        <v>103</v>
      </c>
      <c r="E1350" s="126">
        <v>3</v>
      </c>
      <c r="F1350" s="126">
        <v>1</v>
      </c>
      <c r="G1350" s="126">
        <v>1</v>
      </c>
      <c r="H1350" s="126">
        <v>1</v>
      </c>
      <c r="I1350" s="126">
        <v>1</v>
      </c>
      <c r="J1350" s="126">
        <v>295</v>
      </c>
      <c r="M1350" s="126">
        <v>497</v>
      </c>
      <c r="N1350" s="126">
        <v>0</v>
      </c>
      <c r="P1350" s="126">
        <v>372</v>
      </c>
      <c r="R1350" s="126" t="s">
        <v>549</v>
      </c>
      <c r="S1350" s="259">
        <v>0</v>
      </c>
      <c r="T1350" s="259">
        <v>32</v>
      </c>
      <c r="U1350" s="68" t="s">
        <v>2329</v>
      </c>
      <c r="V1350" s="126">
        <v>1</v>
      </c>
      <c r="Z1350" s="126">
        <v>1</v>
      </c>
      <c r="AA1350" s="126">
        <v>1</v>
      </c>
      <c r="AB1350" s="126">
        <v>1</v>
      </c>
      <c r="AC1350" s="126">
        <v>7</v>
      </c>
      <c r="AD1350" s="126">
        <v>2026</v>
      </c>
    </row>
    <row r="1351" spans="3:30">
      <c r="C1351" s="126">
        <v>1344</v>
      </c>
      <c r="D1351" s="126">
        <v>103</v>
      </c>
      <c r="E1351" s="126">
        <v>11</v>
      </c>
      <c r="F1351" s="126">
        <v>1</v>
      </c>
      <c r="G1351" s="126">
        <v>1</v>
      </c>
      <c r="H1351" s="126">
        <v>1</v>
      </c>
      <c r="I1351" s="126">
        <v>1</v>
      </c>
      <c r="J1351" s="126">
        <v>295</v>
      </c>
      <c r="M1351" s="126">
        <v>497</v>
      </c>
      <c r="N1351" s="126">
        <v>1</v>
      </c>
      <c r="P1351" s="126">
        <v>372</v>
      </c>
      <c r="R1351" s="126" t="s">
        <v>549</v>
      </c>
      <c r="S1351" s="259">
        <v>32</v>
      </c>
      <c r="T1351" s="259">
        <v>0</v>
      </c>
      <c r="U1351" s="68" t="s">
        <v>2330</v>
      </c>
      <c r="V1351" s="126">
        <v>1</v>
      </c>
      <c r="Z1351" s="126">
        <v>1</v>
      </c>
      <c r="AA1351" s="126">
        <v>1</v>
      </c>
      <c r="AB1351" s="126">
        <v>1</v>
      </c>
      <c r="AC1351" s="126">
        <v>7</v>
      </c>
      <c r="AD1351" s="126">
        <v>2026</v>
      </c>
    </row>
    <row r="1352" spans="3:30">
      <c r="C1352" s="126">
        <v>1345</v>
      </c>
      <c r="D1352" s="126">
        <v>103</v>
      </c>
      <c r="E1352" s="126">
        <v>10</v>
      </c>
      <c r="F1352" s="126">
        <v>1</v>
      </c>
      <c r="G1352" s="126">
        <v>1</v>
      </c>
      <c r="H1352" s="126">
        <v>1</v>
      </c>
      <c r="I1352" s="126">
        <v>1</v>
      </c>
      <c r="J1352" s="126">
        <v>295</v>
      </c>
      <c r="P1352" s="126">
        <v>372</v>
      </c>
      <c r="R1352" s="126" t="s">
        <v>549</v>
      </c>
      <c r="S1352" s="259">
        <v>0</v>
      </c>
      <c r="T1352" s="259">
        <v>38</v>
      </c>
      <c r="U1352" s="68" t="s">
        <v>2331</v>
      </c>
      <c r="V1352" s="126">
        <v>1</v>
      </c>
      <c r="Z1352" s="126">
        <v>1</v>
      </c>
      <c r="AA1352" s="126">
        <v>1</v>
      </c>
      <c r="AB1352" s="126">
        <v>1</v>
      </c>
      <c r="AC1352" s="126">
        <v>7</v>
      </c>
      <c r="AD1352" s="126">
        <v>2026</v>
      </c>
    </row>
    <row r="1353" spans="3:30">
      <c r="C1353" s="126">
        <v>1346</v>
      </c>
      <c r="D1353" s="126">
        <v>103</v>
      </c>
      <c r="E1353" s="126">
        <v>3</v>
      </c>
      <c r="F1353" s="126">
        <v>1</v>
      </c>
      <c r="G1353" s="126">
        <v>1</v>
      </c>
      <c r="H1353" s="126">
        <v>1</v>
      </c>
      <c r="I1353" s="126">
        <v>1</v>
      </c>
      <c r="J1353" s="126">
        <v>177</v>
      </c>
      <c r="M1353" s="126">
        <v>498</v>
      </c>
      <c r="N1353" s="126">
        <v>0</v>
      </c>
      <c r="P1353" s="126">
        <v>373</v>
      </c>
      <c r="R1353" s="126" t="s">
        <v>549</v>
      </c>
      <c r="S1353" s="259">
        <v>0</v>
      </c>
      <c r="T1353" s="259">
        <v>4.1500000000000004</v>
      </c>
      <c r="U1353" s="68" t="s">
        <v>2332</v>
      </c>
      <c r="V1353" s="126">
        <v>1</v>
      </c>
      <c r="Z1353" s="126">
        <v>1</v>
      </c>
      <c r="AA1353" s="126">
        <v>1</v>
      </c>
      <c r="AB1353" s="126">
        <v>1</v>
      </c>
      <c r="AC1353" s="126">
        <v>7</v>
      </c>
      <c r="AD1353" s="126">
        <v>2026</v>
      </c>
    </row>
    <row r="1354" spans="3:30">
      <c r="C1354" s="126">
        <v>1347</v>
      </c>
      <c r="D1354" s="126">
        <v>103</v>
      </c>
      <c r="E1354" s="126">
        <v>11</v>
      </c>
      <c r="F1354" s="126">
        <v>1</v>
      </c>
      <c r="G1354" s="126">
        <v>1</v>
      </c>
      <c r="H1354" s="126">
        <v>1</v>
      </c>
      <c r="I1354" s="126">
        <v>1</v>
      </c>
      <c r="J1354" s="126">
        <v>177</v>
      </c>
      <c r="M1354" s="126">
        <v>498</v>
      </c>
      <c r="N1354" s="126">
        <v>1</v>
      </c>
      <c r="P1354" s="126">
        <v>373</v>
      </c>
      <c r="R1354" s="126" t="s">
        <v>549</v>
      </c>
      <c r="S1354" s="259">
        <v>4.1500000000000004</v>
      </c>
      <c r="T1354" s="259">
        <v>0</v>
      </c>
      <c r="U1354" s="68" t="s">
        <v>2333</v>
      </c>
      <c r="V1354" s="126">
        <v>1</v>
      </c>
      <c r="Z1354" s="126">
        <v>1</v>
      </c>
      <c r="AA1354" s="126">
        <v>1</v>
      </c>
      <c r="AB1354" s="126">
        <v>1</v>
      </c>
      <c r="AC1354" s="126">
        <v>7</v>
      </c>
      <c r="AD1354" s="126">
        <v>2026</v>
      </c>
    </row>
    <row r="1355" spans="3:30">
      <c r="C1355" s="126">
        <v>1348</v>
      </c>
      <c r="D1355" s="126">
        <v>103</v>
      </c>
      <c r="E1355" s="126">
        <v>10</v>
      </c>
      <c r="F1355" s="126">
        <v>1</v>
      </c>
      <c r="G1355" s="126">
        <v>1</v>
      </c>
      <c r="H1355" s="126">
        <v>1</v>
      </c>
      <c r="I1355" s="126">
        <v>1</v>
      </c>
      <c r="J1355" s="126">
        <v>177</v>
      </c>
      <c r="P1355" s="126">
        <v>373</v>
      </c>
      <c r="R1355" s="126" t="s">
        <v>549</v>
      </c>
      <c r="S1355" s="259">
        <v>0</v>
      </c>
      <c r="T1355" s="259">
        <v>4.5</v>
      </c>
      <c r="U1355" s="68" t="s">
        <v>2334</v>
      </c>
      <c r="V1355" s="126">
        <v>1</v>
      </c>
      <c r="Z1355" s="126">
        <v>1</v>
      </c>
      <c r="AA1355" s="126">
        <v>1</v>
      </c>
      <c r="AB1355" s="126">
        <v>1</v>
      </c>
      <c r="AC1355" s="126">
        <v>7</v>
      </c>
      <c r="AD1355" s="126">
        <v>2026</v>
      </c>
    </row>
    <row r="1356" spans="3:30">
      <c r="C1356" s="126">
        <v>1349</v>
      </c>
      <c r="D1356" s="126">
        <v>104</v>
      </c>
      <c r="E1356" s="126">
        <v>2</v>
      </c>
      <c r="F1356" s="126">
        <v>1</v>
      </c>
      <c r="G1356" s="126">
        <v>1</v>
      </c>
      <c r="H1356" s="126">
        <v>1</v>
      </c>
      <c r="I1356" s="126">
        <v>1</v>
      </c>
      <c r="R1356" s="126" t="s">
        <v>549</v>
      </c>
      <c r="S1356" s="259">
        <v>37</v>
      </c>
      <c r="T1356" s="259">
        <v>0</v>
      </c>
      <c r="U1356" s="68" t="s">
        <v>2336</v>
      </c>
      <c r="V1356" s="126">
        <v>1</v>
      </c>
      <c r="Z1356" s="126">
        <v>1</v>
      </c>
      <c r="AA1356" s="126">
        <v>1</v>
      </c>
      <c r="AB1356" s="126">
        <v>1</v>
      </c>
      <c r="AC1356" s="126">
        <v>7</v>
      </c>
      <c r="AD1356" s="126">
        <v>2026</v>
      </c>
    </row>
    <row r="1357" spans="3:30">
      <c r="C1357" s="126">
        <v>1350</v>
      </c>
      <c r="D1357" s="126">
        <v>104</v>
      </c>
      <c r="E1357" s="126">
        <v>3</v>
      </c>
      <c r="F1357" s="126">
        <v>1</v>
      </c>
      <c r="G1357" s="126">
        <v>1</v>
      </c>
      <c r="H1357" s="126">
        <v>1</v>
      </c>
      <c r="I1357" s="126">
        <v>1</v>
      </c>
      <c r="J1357" s="126">
        <v>327</v>
      </c>
      <c r="M1357" s="126">
        <v>499</v>
      </c>
      <c r="N1357" s="126">
        <v>0</v>
      </c>
      <c r="P1357" s="126">
        <v>374</v>
      </c>
      <c r="R1357" s="126" t="s">
        <v>549</v>
      </c>
      <c r="S1357" s="259">
        <v>0</v>
      </c>
      <c r="T1357" s="259">
        <v>24</v>
      </c>
      <c r="U1357" s="68" t="s">
        <v>2339</v>
      </c>
      <c r="V1357" s="126">
        <v>1</v>
      </c>
      <c r="Z1357" s="126">
        <v>1</v>
      </c>
      <c r="AA1357" s="126">
        <v>1</v>
      </c>
      <c r="AB1357" s="126">
        <v>1</v>
      </c>
      <c r="AC1357" s="126">
        <v>7</v>
      </c>
      <c r="AD1357" s="126">
        <v>2026</v>
      </c>
    </row>
    <row r="1358" spans="3:30">
      <c r="C1358" s="126">
        <v>1351</v>
      </c>
      <c r="D1358" s="126">
        <v>104</v>
      </c>
      <c r="E1358" s="126">
        <v>11</v>
      </c>
      <c r="F1358" s="126">
        <v>1</v>
      </c>
      <c r="G1358" s="126">
        <v>1</v>
      </c>
      <c r="H1358" s="126">
        <v>1</v>
      </c>
      <c r="I1358" s="126">
        <v>1</v>
      </c>
      <c r="J1358" s="126">
        <v>327</v>
      </c>
      <c r="M1358" s="126">
        <v>499</v>
      </c>
      <c r="N1358" s="126">
        <v>1</v>
      </c>
      <c r="P1358" s="126">
        <v>374</v>
      </c>
      <c r="R1358" s="126" t="s">
        <v>549</v>
      </c>
      <c r="S1358" s="259">
        <v>24</v>
      </c>
      <c r="T1358" s="259">
        <v>0</v>
      </c>
      <c r="U1358" s="68" t="s">
        <v>2340</v>
      </c>
      <c r="V1358" s="126">
        <v>1</v>
      </c>
      <c r="Z1358" s="126">
        <v>1</v>
      </c>
      <c r="AA1358" s="126">
        <v>1</v>
      </c>
      <c r="AB1358" s="126">
        <v>1</v>
      </c>
      <c r="AC1358" s="126">
        <v>7</v>
      </c>
      <c r="AD1358" s="126">
        <v>2026</v>
      </c>
    </row>
    <row r="1359" spans="3:30">
      <c r="C1359" s="126">
        <v>1352</v>
      </c>
      <c r="D1359" s="126">
        <v>104</v>
      </c>
      <c r="E1359" s="126">
        <v>10</v>
      </c>
      <c r="F1359" s="126">
        <v>1</v>
      </c>
      <c r="G1359" s="126">
        <v>1</v>
      </c>
      <c r="H1359" s="126">
        <v>1</v>
      </c>
      <c r="I1359" s="126">
        <v>1</v>
      </c>
      <c r="J1359" s="126">
        <v>327</v>
      </c>
      <c r="P1359" s="126">
        <v>374</v>
      </c>
      <c r="R1359" s="126" t="s">
        <v>549</v>
      </c>
      <c r="S1359" s="259">
        <v>0</v>
      </c>
      <c r="T1359" s="259">
        <v>35</v>
      </c>
      <c r="U1359" s="68" t="s">
        <v>2341</v>
      </c>
      <c r="V1359" s="126">
        <v>1</v>
      </c>
      <c r="Z1359" s="126">
        <v>1</v>
      </c>
      <c r="AA1359" s="126">
        <v>1</v>
      </c>
      <c r="AB1359" s="126">
        <v>1</v>
      </c>
      <c r="AC1359" s="126">
        <v>7</v>
      </c>
      <c r="AD1359" s="126">
        <v>2026</v>
      </c>
    </row>
    <row r="1360" spans="3:30">
      <c r="C1360" s="126">
        <v>1353</v>
      </c>
      <c r="D1360" s="126">
        <v>104</v>
      </c>
      <c r="E1360" s="126">
        <v>3</v>
      </c>
      <c r="F1360" s="126">
        <v>1</v>
      </c>
      <c r="G1360" s="126">
        <v>1</v>
      </c>
      <c r="H1360" s="126">
        <v>1</v>
      </c>
      <c r="I1360" s="126">
        <v>1</v>
      </c>
      <c r="J1360" s="126">
        <v>213</v>
      </c>
      <c r="M1360" s="126">
        <v>500</v>
      </c>
      <c r="N1360" s="126">
        <v>0</v>
      </c>
      <c r="P1360" s="126">
        <v>375</v>
      </c>
      <c r="R1360" s="126" t="s">
        <v>549</v>
      </c>
      <c r="S1360" s="259">
        <v>0</v>
      </c>
      <c r="T1360" s="259">
        <v>0.75</v>
      </c>
      <c r="U1360" s="68" t="s">
        <v>2344</v>
      </c>
      <c r="V1360" s="126">
        <v>1</v>
      </c>
      <c r="Z1360" s="126">
        <v>1</v>
      </c>
      <c r="AA1360" s="126">
        <v>1</v>
      </c>
      <c r="AB1360" s="126">
        <v>1</v>
      </c>
      <c r="AC1360" s="126">
        <v>7</v>
      </c>
      <c r="AD1360" s="126">
        <v>2026</v>
      </c>
    </row>
    <row r="1361" spans="3:30">
      <c r="C1361" s="126">
        <v>1354</v>
      </c>
      <c r="D1361" s="126">
        <v>104</v>
      </c>
      <c r="E1361" s="126">
        <v>11</v>
      </c>
      <c r="F1361" s="126">
        <v>1</v>
      </c>
      <c r="G1361" s="126">
        <v>1</v>
      </c>
      <c r="H1361" s="126">
        <v>1</v>
      </c>
      <c r="I1361" s="126">
        <v>1</v>
      </c>
      <c r="J1361" s="126">
        <v>213</v>
      </c>
      <c r="M1361" s="126">
        <v>500</v>
      </c>
      <c r="N1361" s="126">
        <v>1</v>
      </c>
      <c r="P1361" s="126">
        <v>375</v>
      </c>
      <c r="R1361" s="126" t="s">
        <v>549</v>
      </c>
      <c r="S1361" s="259">
        <v>0.75</v>
      </c>
      <c r="T1361" s="259">
        <v>0</v>
      </c>
      <c r="U1361" s="68" t="s">
        <v>2345</v>
      </c>
      <c r="V1361" s="126">
        <v>1</v>
      </c>
      <c r="Z1361" s="126">
        <v>1</v>
      </c>
      <c r="AA1361" s="126">
        <v>1</v>
      </c>
      <c r="AB1361" s="126">
        <v>1</v>
      </c>
      <c r="AC1361" s="126">
        <v>7</v>
      </c>
      <c r="AD1361" s="126">
        <v>2026</v>
      </c>
    </row>
    <row r="1362" spans="3:30">
      <c r="C1362" s="126">
        <v>1355</v>
      </c>
      <c r="D1362" s="126">
        <v>104</v>
      </c>
      <c r="E1362" s="126">
        <v>10</v>
      </c>
      <c r="F1362" s="126">
        <v>1</v>
      </c>
      <c r="G1362" s="126">
        <v>1</v>
      </c>
      <c r="H1362" s="126">
        <v>1</v>
      </c>
      <c r="I1362" s="126">
        <v>1</v>
      </c>
      <c r="J1362" s="126">
        <v>213</v>
      </c>
      <c r="P1362" s="126">
        <v>375</v>
      </c>
      <c r="R1362" s="126" t="s">
        <v>549</v>
      </c>
      <c r="S1362" s="259">
        <v>0</v>
      </c>
      <c r="T1362" s="259">
        <v>1.5</v>
      </c>
      <c r="U1362" s="68" t="s">
        <v>2346</v>
      </c>
      <c r="V1362" s="126">
        <v>1</v>
      </c>
      <c r="Z1362" s="126">
        <v>1</v>
      </c>
      <c r="AA1362" s="126">
        <v>1</v>
      </c>
      <c r="AB1362" s="126">
        <v>1</v>
      </c>
      <c r="AC1362" s="126">
        <v>7</v>
      </c>
      <c r="AD1362" s="126">
        <v>2026</v>
      </c>
    </row>
    <row r="1363" spans="3:30">
      <c r="C1363" s="126">
        <v>1356</v>
      </c>
      <c r="D1363" s="126">
        <v>104</v>
      </c>
      <c r="E1363" s="126">
        <v>3</v>
      </c>
      <c r="F1363" s="126">
        <v>1</v>
      </c>
      <c r="G1363" s="126">
        <v>1</v>
      </c>
      <c r="H1363" s="126">
        <v>1</v>
      </c>
      <c r="I1363" s="126">
        <v>1</v>
      </c>
      <c r="J1363" s="126">
        <v>228</v>
      </c>
      <c r="M1363" s="126">
        <v>501</v>
      </c>
      <c r="N1363" s="126">
        <v>0</v>
      </c>
      <c r="P1363" s="126">
        <v>376</v>
      </c>
      <c r="R1363" s="126" t="s">
        <v>549</v>
      </c>
      <c r="S1363" s="259">
        <v>0</v>
      </c>
      <c r="T1363" s="259">
        <v>0.4</v>
      </c>
      <c r="U1363" s="68" t="s">
        <v>2349</v>
      </c>
      <c r="V1363" s="126">
        <v>1</v>
      </c>
      <c r="Z1363" s="126">
        <v>1</v>
      </c>
      <c r="AA1363" s="126">
        <v>1</v>
      </c>
      <c r="AB1363" s="126">
        <v>1</v>
      </c>
      <c r="AC1363" s="126">
        <v>7</v>
      </c>
      <c r="AD1363" s="126">
        <v>2026</v>
      </c>
    </row>
    <row r="1364" spans="3:30">
      <c r="C1364" s="126">
        <v>1357</v>
      </c>
      <c r="D1364" s="126">
        <v>104</v>
      </c>
      <c r="E1364" s="126">
        <v>11</v>
      </c>
      <c r="F1364" s="126">
        <v>1</v>
      </c>
      <c r="G1364" s="126">
        <v>1</v>
      </c>
      <c r="H1364" s="126">
        <v>1</v>
      </c>
      <c r="I1364" s="126">
        <v>1</v>
      </c>
      <c r="J1364" s="126">
        <v>228</v>
      </c>
      <c r="M1364" s="126">
        <v>501</v>
      </c>
      <c r="N1364" s="126">
        <v>1</v>
      </c>
      <c r="P1364" s="126">
        <v>376</v>
      </c>
      <c r="R1364" s="126" t="s">
        <v>549</v>
      </c>
      <c r="S1364" s="259">
        <v>0.4</v>
      </c>
      <c r="T1364" s="259">
        <v>0</v>
      </c>
      <c r="U1364" s="68" t="s">
        <v>2350</v>
      </c>
      <c r="V1364" s="126">
        <v>1</v>
      </c>
      <c r="Z1364" s="126">
        <v>1</v>
      </c>
      <c r="AA1364" s="126">
        <v>1</v>
      </c>
      <c r="AB1364" s="126">
        <v>1</v>
      </c>
      <c r="AC1364" s="126">
        <v>7</v>
      </c>
      <c r="AD1364" s="126">
        <v>2026</v>
      </c>
    </row>
    <row r="1365" spans="3:30">
      <c r="C1365" s="126">
        <v>1358</v>
      </c>
      <c r="D1365" s="126">
        <v>104</v>
      </c>
      <c r="E1365" s="126">
        <v>10</v>
      </c>
      <c r="F1365" s="126">
        <v>1</v>
      </c>
      <c r="G1365" s="126">
        <v>1</v>
      </c>
      <c r="H1365" s="126">
        <v>1</v>
      </c>
      <c r="I1365" s="126">
        <v>1</v>
      </c>
      <c r="J1365" s="126">
        <v>228</v>
      </c>
      <c r="P1365" s="126">
        <v>376</v>
      </c>
      <c r="R1365" s="126" t="s">
        <v>549</v>
      </c>
      <c r="S1365" s="259">
        <v>0</v>
      </c>
      <c r="T1365" s="259">
        <v>0.5</v>
      </c>
      <c r="U1365" s="68" t="s">
        <v>2351</v>
      </c>
      <c r="V1365" s="126">
        <v>1</v>
      </c>
      <c r="Z1365" s="126">
        <v>1</v>
      </c>
      <c r="AA1365" s="126">
        <v>1</v>
      </c>
      <c r="AB1365" s="126">
        <v>1</v>
      </c>
      <c r="AC1365" s="126">
        <v>7</v>
      </c>
      <c r="AD1365" s="126">
        <v>2026</v>
      </c>
    </row>
    <row r="1366" spans="3:30">
      <c r="C1366" s="126">
        <v>1359</v>
      </c>
      <c r="D1366" s="126">
        <v>105</v>
      </c>
      <c r="E1366" s="126">
        <v>2</v>
      </c>
      <c r="F1366" s="126">
        <v>1</v>
      </c>
      <c r="G1366" s="126">
        <v>1</v>
      </c>
      <c r="H1366" s="126">
        <v>1</v>
      </c>
      <c r="I1366" s="126">
        <v>1</v>
      </c>
      <c r="R1366" s="126" t="s">
        <v>549</v>
      </c>
      <c r="S1366" s="259">
        <v>75.900000000000006</v>
      </c>
      <c r="T1366" s="259">
        <v>0</v>
      </c>
      <c r="U1366" s="68" t="s">
        <v>2354</v>
      </c>
      <c r="V1366" s="126">
        <v>1</v>
      </c>
      <c r="Z1366" s="126">
        <v>1</v>
      </c>
      <c r="AA1366" s="126">
        <v>1</v>
      </c>
      <c r="AB1366" s="126">
        <v>1</v>
      </c>
      <c r="AC1366" s="126">
        <v>7</v>
      </c>
      <c r="AD1366" s="126">
        <v>2026</v>
      </c>
    </row>
    <row r="1367" spans="3:30">
      <c r="C1367" s="126">
        <v>1360</v>
      </c>
      <c r="D1367" s="126">
        <v>105</v>
      </c>
      <c r="E1367" s="126">
        <v>3</v>
      </c>
      <c r="F1367" s="126">
        <v>1</v>
      </c>
      <c r="G1367" s="126">
        <v>1</v>
      </c>
      <c r="H1367" s="126">
        <v>1</v>
      </c>
      <c r="I1367" s="126">
        <v>1</v>
      </c>
      <c r="J1367" s="126">
        <v>195</v>
      </c>
      <c r="M1367" s="126">
        <v>502</v>
      </c>
      <c r="N1367" s="126">
        <v>0</v>
      </c>
      <c r="P1367" s="126">
        <v>377</v>
      </c>
      <c r="R1367" s="126" t="s">
        <v>549</v>
      </c>
      <c r="S1367" s="259">
        <v>0</v>
      </c>
      <c r="T1367" s="259">
        <v>37.68</v>
      </c>
      <c r="U1367" s="68" t="s">
        <v>2355</v>
      </c>
      <c r="V1367" s="126">
        <v>1</v>
      </c>
      <c r="Z1367" s="126">
        <v>1</v>
      </c>
      <c r="AA1367" s="126">
        <v>1</v>
      </c>
      <c r="AB1367" s="126">
        <v>1</v>
      </c>
      <c r="AC1367" s="126">
        <v>7</v>
      </c>
      <c r="AD1367" s="126">
        <v>2026</v>
      </c>
    </row>
    <row r="1368" spans="3:30">
      <c r="C1368" s="126">
        <v>1361</v>
      </c>
      <c r="D1368" s="126">
        <v>105</v>
      </c>
      <c r="E1368" s="126">
        <v>11</v>
      </c>
      <c r="F1368" s="126">
        <v>1</v>
      </c>
      <c r="G1368" s="126">
        <v>1</v>
      </c>
      <c r="H1368" s="126">
        <v>1</v>
      </c>
      <c r="I1368" s="126">
        <v>1</v>
      </c>
      <c r="J1368" s="126">
        <v>195</v>
      </c>
      <c r="M1368" s="126">
        <v>502</v>
      </c>
      <c r="N1368" s="126">
        <v>1</v>
      </c>
      <c r="P1368" s="126">
        <v>377</v>
      </c>
      <c r="R1368" s="126" t="s">
        <v>549</v>
      </c>
      <c r="S1368" s="259">
        <v>37.68</v>
      </c>
      <c r="T1368" s="259">
        <v>0</v>
      </c>
      <c r="U1368" s="68" t="s">
        <v>2356</v>
      </c>
      <c r="V1368" s="126">
        <v>1</v>
      </c>
      <c r="Z1368" s="126">
        <v>1</v>
      </c>
      <c r="AA1368" s="126">
        <v>1</v>
      </c>
      <c r="AB1368" s="126">
        <v>1</v>
      </c>
      <c r="AC1368" s="126">
        <v>7</v>
      </c>
      <c r="AD1368" s="126">
        <v>2026</v>
      </c>
    </row>
    <row r="1369" spans="3:30">
      <c r="C1369" s="126">
        <v>1362</v>
      </c>
      <c r="D1369" s="126">
        <v>105</v>
      </c>
      <c r="E1369" s="126">
        <v>10</v>
      </c>
      <c r="F1369" s="126">
        <v>1</v>
      </c>
      <c r="G1369" s="126">
        <v>1</v>
      </c>
      <c r="H1369" s="126">
        <v>1</v>
      </c>
      <c r="I1369" s="126">
        <v>1</v>
      </c>
      <c r="J1369" s="126">
        <v>195</v>
      </c>
      <c r="P1369" s="126">
        <v>377</v>
      </c>
      <c r="R1369" s="126" t="s">
        <v>549</v>
      </c>
      <c r="S1369" s="259">
        <v>0</v>
      </c>
      <c r="T1369" s="259">
        <v>35.4</v>
      </c>
      <c r="U1369" s="68" t="s">
        <v>2357</v>
      </c>
      <c r="V1369" s="126">
        <v>1</v>
      </c>
      <c r="Z1369" s="126">
        <v>1</v>
      </c>
      <c r="AA1369" s="126">
        <v>1</v>
      </c>
      <c r="AB1369" s="126">
        <v>1</v>
      </c>
      <c r="AC1369" s="126">
        <v>7</v>
      </c>
      <c r="AD1369" s="126">
        <v>2026</v>
      </c>
    </row>
    <row r="1370" spans="3:30">
      <c r="C1370" s="126">
        <v>1363</v>
      </c>
      <c r="D1370" s="126">
        <v>105</v>
      </c>
      <c r="E1370" s="126">
        <v>3</v>
      </c>
      <c r="F1370" s="126">
        <v>1</v>
      </c>
      <c r="G1370" s="126">
        <v>1</v>
      </c>
      <c r="H1370" s="126">
        <v>1</v>
      </c>
      <c r="I1370" s="126">
        <v>1</v>
      </c>
      <c r="J1370" s="126">
        <v>187</v>
      </c>
      <c r="M1370" s="126">
        <v>503</v>
      </c>
      <c r="N1370" s="126">
        <v>0</v>
      </c>
      <c r="P1370" s="126">
        <v>378</v>
      </c>
      <c r="R1370" s="126" t="s">
        <v>549</v>
      </c>
      <c r="S1370" s="259">
        <v>0</v>
      </c>
      <c r="T1370" s="259">
        <v>23.59</v>
      </c>
      <c r="U1370" s="68" t="s">
        <v>2358</v>
      </c>
      <c r="V1370" s="126">
        <v>1</v>
      </c>
      <c r="Z1370" s="126">
        <v>1</v>
      </c>
      <c r="AA1370" s="126">
        <v>1</v>
      </c>
      <c r="AB1370" s="126">
        <v>1</v>
      </c>
      <c r="AC1370" s="126">
        <v>7</v>
      </c>
      <c r="AD1370" s="126">
        <v>2026</v>
      </c>
    </row>
    <row r="1371" spans="3:30">
      <c r="C1371" s="126">
        <v>1364</v>
      </c>
      <c r="D1371" s="126">
        <v>105</v>
      </c>
      <c r="E1371" s="126">
        <v>11</v>
      </c>
      <c r="F1371" s="126">
        <v>1</v>
      </c>
      <c r="G1371" s="126">
        <v>1</v>
      </c>
      <c r="H1371" s="126">
        <v>1</v>
      </c>
      <c r="I1371" s="126">
        <v>1</v>
      </c>
      <c r="J1371" s="126">
        <v>187</v>
      </c>
      <c r="M1371" s="126">
        <v>503</v>
      </c>
      <c r="N1371" s="126">
        <v>1</v>
      </c>
      <c r="P1371" s="126">
        <v>378</v>
      </c>
      <c r="R1371" s="126" t="s">
        <v>549</v>
      </c>
      <c r="S1371" s="259">
        <v>23.59</v>
      </c>
      <c r="T1371" s="259">
        <v>0</v>
      </c>
      <c r="U1371" s="68" t="s">
        <v>2359</v>
      </c>
      <c r="V1371" s="126">
        <v>1</v>
      </c>
      <c r="Z1371" s="126">
        <v>1</v>
      </c>
      <c r="AA1371" s="126">
        <v>1</v>
      </c>
      <c r="AB1371" s="126">
        <v>1</v>
      </c>
      <c r="AC1371" s="126">
        <v>7</v>
      </c>
      <c r="AD1371" s="126">
        <v>2026</v>
      </c>
    </row>
    <row r="1372" spans="3:30">
      <c r="C1372" s="126">
        <v>1365</v>
      </c>
      <c r="D1372" s="126">
        <v>105</v>
      </c>
      <c r="E1372" s="126">
        <v>10</v>
      </c>
      <c r="F1372" s="126">
        <v>1</v>
      </c>
      <c r="G1372" s="126">
        <v>1</v>
      </c>
      <c r="H1372" s="126">
        <v>1</v>
      </c>
      <c r="I1372" s="126">
        <v>1</v>
      </c>
      <c r="J1372" s="126">
        <v>187</v>
      </c>
      <c r="P1372" s="126">
        <v>378</v>
      </c>
      <c r="R1372" s="126" t="s">
        <v>549</v>
      </c>
      <c r="S1372" s="259">
        <v>0</v>
      </c>
      <c r="T1372" s="259">
        <v>24.5</v>
      </c>
      <c r="U1372" s="68" t="s">
        <v>2360</v>
      </c>
      <c r="V1372" s="126">
        <v>1</v>
      </c>
      <c r="Z1372" s="126">
        <v>1</v>
      </c>
      <c r="AA1372" s="126">
        <v>1</v>
      </c>
      <c r="AB1372" s="126">
        <v>1</v>
      </c>
      <c r="AC1372" s="126">
        <v>7</v>
      </c>
      <c r="AD1372" s="126">
        <v>2026</v>
      </c>
    </row>
    <row r="1373" spans="3:30">
      <c r="C1373" s="126">
        <v>1366</v>
      </c>
      <c r="D1373" s="126">
        <v>105</v>
      </c>
      <c r="E1373" s="126">
        <v>3</v>
      </c>
      <c r="F1373" s="126">
        <v>1</v>
      </c>
      <c r="G1373" s="126">
        <v>1</v>
      </c>
      <c r="H1373" s="126">
        <v>1</v>
      </c>
      <c r="I1373" s="126">
        <v>1</v>
      </c>
      <c r="J1373" s="126">
        <v>197</v>
      </c>
      <c r="M1373" s="126">
        <v>504</v>
      </c>
      <c r="N1373" s="126">
        <v>0</v>
      </c>
      <c r="P1373" s="126">
        <v>379</v>
      </c>
      <c r="R1373" s="126" t="s">
        <v>549</v>
      </c>
      <c r="S1373" s="259">
        <v>0</v>
      </c>
      <c r="T1373" s="259">
        <v>16.72</v>
      </c>
      <c r="U1373" s="68" t="s">
        <v>2361</v>
      </c>
      <c r="V1373" s="126">
        <v>1</v>
      </c>
      <c r="Z1373" s="126">
        <v>1</v>
      </c>
      <c r="AA1373" s="126">
        <v>1</v>
      </c>
      <c r="AB1373" s="126">
        <v>1</v>
      </c>
      <c r="AC1373" s="126">
        <v>7</v>
      </c>
      <c r="AD1373" s="126">
        <v>2026</v>
      </c>
    </row>
    <row r="1374" spans="3:30">
      <c r="C1374" s="126">
        <v>1367</v>
      </c>
      <c r="D1374" s="126">
        <v>105</v>
      </c>
      <c r="E1374" s="126">
        <v>11</v>
      </c>
      <c r="F1374" s="126">
        <v>1</v>
      </c>
      <c r="G1374" s="126">
        <v>1</v>
      </c>
      <c r="H1374" s="126">
        <v>1</v>
      </c>
      <c r="I1374" s="126">
        <v>1</v>
      </c>
      <c r="J1374" s="126">
        <v>197</v>
      </c>
      <c r="M1374" s="126">
        <v>504</v>
      </c>
      <c r="N1374" s="126">
        <v>1</v>
      </c>
      <c r="P1374" s="126">
        <v>379</v>
      </c>
      <c r="R1374" s="126" t="s">
        <v>549</v>
      </c>
      <c r="S1374" s="259">
        <v>16.72</v>
      </c>
      <c r="T1374" s="259">
        <v>0</v>
      </c>
      <c r="U1374" s="68" t="s">
        <v>2362</v>
      </c>
      <c r="V1374" s="126">
        <v>1</v>
      </c>
      <c r="Z1374" s="126">
        <v>1</v>
      </c>
      <c r="AA1374" s="126">
        <v>1</v>
      </c>
      <c r="AB1374" s="126">
        <v>1</v>
      </c>
      <c r="AC1374" s="126">
        <v>7</v>
      </c>
      <c r="AD1374" s="126">
        <v>2026</v>
      </c>
    </row>
    <row r="1375" spans="3:30">
      <c r="C1375" s="126">
        <v>1368</v>
      </c>
      <c r="D1375" s="126">
        <v>105</v>
      </c>
      <c r="E1375" s="126">
        <v>10</v>
      </c>
      <c r="F1375" s="126">
        <v>1</v>
      </c>
      <c r="G1375" s="126">
        <v>1</v>
      </c>
      <c r="H1375" s="126">
        <v>1</v>
      </c>
      <c r="I1375" s="126">
        <v>1</v>
      </c>
      <c r="J1375" s="126">
        <v>197</v>
      </c>
      <c r="P1375" s="126">
        <v>379</v>
      </c>
      <c r="R1375" s="126" t="s">
        <v>549</v>
      </c>
      <c r="S1375" s="259">
        <v>0</v>
      </c>
      <c r="T1375" s="259">
        <v>16</v>
      </c>
      <c r="U1375" s="68" t="s">
        <v>2363</v>
      </c>
      <c r="V1375" s="126">
        <v>1</v>
      </c>
      <c r="Z1375" s="126">
        <v>1</v>
      </c>
      <c r="AA1375" s="126">
        <v>1</v>
      </c>
      <c r="AB1375" s="126">
        <v>1</v>
      </c>
      <c r="AC1375" s="126">
        <v>7</v>
      </c>
      <c r="AD1375" s="126">
        <v>2026</v>
      </c>
    </row>
  </sheetData>
  <phoneticPr fontId="34" type="noConversion"/>
  <pageMargins left="0.7" right="0.7" top="0.75" bottom="0.75" header="0.3" footer="0.3"/>
  <pageSetup paperSize="9" orientation="portrait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F7B1F-0AB9-477F-BB4A-B002E4B636F6}">
  <sheetPr codeName="Sheet8"/>
  <dimension ref="C1:AP1828"/>
  <sheetViews>
    <sheetView showGridLines="0" topLeftCell="A3" zoomScale="80" zoomScaleNormal="80" zoomScaleSheetLayoutView="96" workbookViewId="0">
      <pane ySplit="5" topLeftCell="A87" activePane="bottomLeft" state="frozen"/>
      <selection activeCell="L28" sqref="L28"/>
      <selection pane="bottomLeft" activeCell="S103" sqref="S103"/>
    </sheetView>
  </sheetViews>
  <sheetFormatPr defaultColWidth="16.140625" defaultRowHeight="24" customHeight="1"/>
  <cols>
    <col min="1" max="1" width="2.85546875" customWidth="1"/>
    <col min="2" max="2" width="4.140625" customWidth="1"/>
    <col min="3" max="3" width="7.85546875" style="174" customWidth="1"/>
    <col min="4" max="4" width="19.42578125" style="174" customWidth="1"/>
    <col min="5" max="5" width="18.28515625" style="175" customWidth="1"/>
    <col min="6" max="6" width="14" style="401" customWidth="1"/>
    <col min="7" max="7" width="19.140625" style="174" hidden="1" customWidth="1"/>
    <col min="8" max="16" width="4.85546875" style="174" bestFit="1" customWidth="1"/>
    <col min="17" max="17" width="24.28515625" style="174" customWidth="1"/>
    <col min="18" max="18" width="34.5703125" style="328" bestFit="1" customWidth="1"/>
    <col min="19" max="19" width="33.140625" style="329" bestFit="1" customWidth="1"/>
    <col min="20" max="20" width="9.85546875" style="180" customWidth="1"/>
    <col min="21" max="24" width="5.5703125" style="202" bestFit="1" customWidth="1"/>
    <col min="25" max="25" width="20.140625" style="392" customWidth="1"/>
    <col min="26" max="26" width="16.5703125" style="392" customWidth="1"/>
    <col min="27" max="28" width="15.7109375" style="391" customWidth="1"/>
    <col min="29" max="29" width="15.7109375" style="416" customWidth="1"/>
    <col min="30" max="30" width="15.7109375" style="419" customWidth="1"/>
    <col min="31" max="31" width="18.7109375" style="417" customWidth="1"/>
    <col min="32" max="32" width="18.7109375" style="177" customWidth="1"/>
    <col min="33" max="33" width="12.85546875" style="178" customWidth="1"/>
    <col min="34" max="34" width="9" style="174" customWidth="1"/>
    <col min="35" max="35" width="11.140625" style="174" customWidth="1"/>
    <col min="36" max="36" width="16.140625" style="139"/>
    <col min="37" max="37" width="17.85546875" customWidth="1"/>
    <col min="42" max="42" width="27.85546875" style="130" customWidth="1"/>
  </cols>
  <sheetData>
    <row r="1" spans="3:42" ht="24" hidden="1" customHeight="1">
      <c r="C1" s="126"/>
      <c r="D1" s="126"/>
      <c r="E1" s="139"/>
      <c r="F1" s="400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42"/>
      <c r="S1" s="252"/>
      <c r="T1" s="142"/>
      <c r="U1" s="131"/>
      <c r="V1" s="131"/>
      <c r="W1" s="131"/>
      <c r="X1" s="131"/>
      <c r="Y1" s="253"/>
      <c r="Z1" s="253"/>
      <c r="AA1" s="254"/>
      <c r="AB1" s="254"/>
      <c r="AC1" s="255"/>
      <c r="AD1" s="256"/>
      <c r="AE1" s="189"/>
      <c r="AF1" s="189"/>
      <c r="AG1" s="141"/>
      <c r="AH1" s="126"/>
      <c r="AI1" s="126"/>
    </row>
    <row r="2" spans="3:42" ht="24" hidden="1" customHeight="1">
      <c r="C2" s="126"/>
      <c r="D2" s="126"/>
      <c r="E2" s="139"/>
      <c r="F2" s="400"/>
      <c r="G2" s="235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42"/>
      <c r="S2" s="252"/>
      <c r="T2" s="142"/>
      <c r="U2" s="131"/>
      <c r="V2" s="131"/>
      <c r="W2" s="131"/>
      <c r="X2" s="131"/>
      <c r="Y2" s="253"/>
      <c r="Z2" s="253"/>
      <c r="AA2" s="254"/>
      <c r="AB2" s="254"/>
      <c r="AC2" s="255"/>
      <c r="AD2" s="256"/>
      <c r="AE2" s="189"/>
      <c r="AF2" s="189"/>
      <c r="AG2" s="141"/>
      <c r="AH2" s="126"/>
      <c r="AI2" s="126"/>
    </row>
    <row r="3" spans="3:42" ht="45" thickBot="1">
      <c r="C3" s="462" t="s">
        <v>463</v>
      </c>
      <c r="D3" s="231"/>
      <c r="E3" s="222"/>
      <c r="F3" s="402"/>
      <c r="G3" s="222"/>
      <c r="H3" s="222"/>
      <c r="I3" s="222"/>
      <c r="J3" s="222"/>
      <c r="K3" s="222"/>
      <c r="L3" s="222"/>
      <c r="M3" s="222"/>
      <c r="N3" s="222"/>
      <c r="O3" s="222"/>
      <c r="P3" s="222"/>
      <c r="Q3" s="222"/>
      <c r="R3" s="222"/>
      <c r="S3" s="222"/>
      <c r="T3" s="222"/>
      <c r="U3" s="222"/>
      <c r="V3" s="222"/>
      <c r="W3" s="222"/>
      <c r="X3" s="222"/>
      <c r="Y3" s="223"/>
      <c r="Z3" s="223"/>
      <c r="AA3" s="222"/>
      <c r="AB3" s="222"/>
      <c r="AC3" s="223"/>
      <c r="AD3" s="224"/>
      <c r="AE3" s="181"/>
      <c r="AF3" s="181"/>
      <c r="AG3"/>
      <c r="AH3"/>
      <c r="AI3" s="13"/>
      <c r="AJ3" s="384" t="s">
        <v>6</v>
      </c>
      <c r="AK3" s="385">
        <f>IF(AJ3&lt;&gt;"",MID(AJ3,1,2)*1,"")</f>
        <v>3</v>
      </c>
      <c r="AL3" s="386" t="s">
        <v>281</v>
      </c>
      <c r="AM3" s="378" t="s">
        <v>218</v>
      </c>
      <c r="AN3" s="378"/>
    </row>
    <row r="4" spans="3:42" ht="24" customHeight="1">
      <c r="C4" s="219"/>
      <c r="D4" s="219"/>
      <c r="E4" s="220"/>
      <c r="F4" s="403"/>
      <c r="G4" s="220"/>
      <c r="H4" s="220"/>
      <c r="I4" s="220"/>
      <c r="J4" s="220"/>
      <c r="K4" s="220"/>
      <c r="L4" s="220"/>
      <c r="M4" s="220"/>
      <c r="N4" s="220"/>
      <c r="O4" s="220"/>
      <c r="P4" s="220"/>
      <c r="Q4" s="220"/>
      <c r="R4" s="220"/>
      <c r="S4" s="220"/>
      <c r="T4" s="220"/>
      <c r="U4" s="220"/>
      <c r="V4" s="220"/>
      <c r="W4" s="220"/>
      <c r="X4" s="220"/>
      <c r="Y4" s="221"/>
      <c r="Z4" s="221"/>
      <c r="AA4" s="205">
        <v>-1</v>
      </c>
      <c r="AB4" s="205">
        <v>1</v>
      </c>
      <c r="AC4" s="225">
        <v>3</v>
      </c>
      <c r="AD4" s="205">
        <v>2</v>
      </c>
      <c r="AE4" s="189"/>
      <c r="AF4" s="189"/>
      <c r="AG4"/>
      <c r="AH4"/>
      <c r="AI4" s="13"/>
      <c r="AJ4" s="379" t="str">
        <f>"ប្រចាំឆ្នាំ "&amp;MID(AJ3,4,30)</f>
        <v>ប្រចាំឆ្នាំ មីនា</v>
      </c>
      <c r="AK4" s="380" t="str">
        <f>IF(AJ3="","","01/"&amp;MID(AJ3,1,2)&amp;"/"&amp;AL3)</f>
        <v>01/03/2026</v>
      </c>
      <c r="AL4" s="381">
        <f>IF(AJ3="","",EOMONTH(AK4,0))</f>
        <v>46112</v>
      </c>
      <c r="AM4" s="379" t="s">
        <v>218</v>
      </c>
      <c r="AN4" s="9"/>
    </row>
    <row r="5" spans="3:42" ht="23.25" customHeight="1">
      <c r="C5" s="193"/>
      <c r="D5" s="193"/>
      <c r="E5" s="179"/>
      <c r="F5" s="403"/>
      <c r="G5" s="195"/>
      <c r="H5" s="179"/>
      <c r="I5" s="179"/>
      <c r="J5" s="179"/>
      <c r="K5" s="179"/>
      <c r="L5" s="179"/>
      <c r="M5" s="179"/>
      <c r="N5" s="179"/>
      <c r="O5" s="179"/>
      <c r="P5" s="179"/>
      <c r="Q5" s="179"/>
      <c r="R5" s="179"/>
      <c r="S5" s="331"/>
      <c r="T5" s="331"/>
      <c r="U5" s="195"/>
      <c r="V5" s="195"/>
      <c r="W5" s="195"/>
      <c r="X5" s="195"/>
      <c r="Y5" s="201"/>
      <c r="Z5" s="201"/>
      <c r="AA5" s="420" t="s">
        <v>2280</v>
      </c>
      <c r="AB5" s="160" t="s">
        <v>127</v>
      </c>
      <c r="AC5" s="200" t="s">
        <v>129</v>
      </c>
      <c r="AD5" s="169" t="s">
        <v>128</v>
      </c>
      <c r="AE5" s="189"/>
      <c r="AF5" s="189"/>
      <c r="AG5"/>
      <c r="AH5"/>
      <c r="AI5" s="13"/>
      <c r="AJ5" s="382" t="str">
        <f>IF(AJ3="","",IF(MID($AM$3,1,1)="1","ចាប់ពីថ្ងៃទី ( 01/01/2024","ប្រចាំខែ "&amp;MID($AJ$3,4,40)&amp;"( 01/"&amp;MID($AJ$3,1,2)&amp;"/"&amp;$AL$3)&amp;" - "&amp;DAY($AL$4)&amp;"/"&amp;MID(TEXT(MONTH($AL$4),"00"),1,2)&amp;"/"&amp;YEAR($AL$4)&amp;" )")</f>
        <v>ចាប់ពីថ្ងៃទី ( 01/01/2024 - 31/03/2026 )</v>
      </c>
      <c r="AK5" s="387"/>
      <c r="AL5" s="387"/>
      <c r="AM5" s="127" t="s">
        <v>217</v>
      </c>
    </row>
    <row r="6" spans="3:42" ht="16.5" customHeight="1">
      <c r="C6" s="298"/>
      <c r="D6" s="298"/>
      <c r="E6" s="298"/>
      <c r="F6" s="298"/>
      <c r="G6" s="298"/>
      <c r="H6" s="300"/>
      <c r="I6" s="300"/>
      <c r="J6" s="300"/>
      <c r="K6" s="300"/>
      <c r="L6" s="300"/>
      <c r="M6" s="300"/>
      <c r="N6" s="300"/>
      <c r="O6" s="300"/>
      <c r="P6" s="300"/>
      <c r="Q6" s="298"/>
      <c r="R6" s="298"/>
      <c r="S6" s="298"/>
      <c r="T6" s="298"/>
      <c r="U6" s="298"/>
      <c r="V6" s="298"/>
      <c r="W6" s="298"/>
      <c r="X6" s="298"/>
      <c r="Y6" s="303"/>
      <c r="Z6" s="303"/>
      <c r="AA6" s="303"/>
      <c r="AB6" s="303"/>
      <c r="AC6" s="303"/>
      <c r="AD6" s="303"/>
      <c r="AE6" s="303"/>
      <c r="AF6" s="303"/>
      <c r="AG6" s="303"/>
      <c r="AH6" s="303"/>
      <c r="AI6" s="303"/>
      <c r="AJ6"/>
      <c r="AK6" s="387" t="s">
        <v>544</v>
      </c>
      <c r="AL6" s="388"/>
    </row>
    <row r="7" spans="3:42" s="143" customFormat="1" ht="91.5">
      <c r="C7" s="299" t="s">
        <v>139</v>
      </c>
      <c r="D7" s="299" t="s">
        <v>478</v>
      </c>
      <c r="E7" s="299" t="s">
        <v>29</v>
      </c>
      <c r="F7" s="299" t="s">
        <v>40</v>
      </c>
      <c r="G7" s="299" t="s">
        <v>285</v>
      </c>
      <c r="H7" s="301" t="s">
        <v>102</v>
      </c>
      <c r="I7" s="301" t="s">
        <v>291</v>
      </c>
      <c r="J7" s="301" t="s">
        <v>110</v>
      </c>
      <c r="K7" s="301" t="s">
        <v>103</v>
      </c>
      <c r="L7" s="301" t="s">
        <v>106</v>
      </c>
      <c r="M7" s="301" t="s">
        <v>104</v>
      </c>
      <c r="N7" s="301" t="s">
        <v>100</v>
      </c>
      <c r="O7" s="301" t="s">
        <v>390</v>
      </c>
      <c r="P7" s="301" t="s">
        <v>219</v>
      </c>
      <c r="Q7" s="299" t="s">
        <v>392</v>
      </c>
      <c r="R7" s="299" t="s">
        <v>105</v>
      </c>
      <c r="S7" s="299" t="s">
        <v>97</v>
      </c>
      <c r="T7" s="302" t="s">
        <v>3</v>
      </c>
      <c r="U7" s="302" t="s">
        <v>370</v>
      </c>
      <c r="V7" s="302" t="s">
        <v>232</v>
      </c>
      <c r="W7" s="302" t="s">
        <v>283</v>
      </c>
      <c r="X7" s="302" t="s">
        <v>234</v>
      </c>
      <c r="Y7" s="304" t="s">
        <v>30</v>
      </c>
      <c r="Z7" s="304" t="s">
        <v>284</v>
      </c>
      <c r="AA7" s="304" t="s">
        <v>31</v>
      </c>
      <c r="AB7" s="304" t="s">
        <v>206</v>
      </c>
      <c r="AC7" s="304" t="s">
        <v>32</v>
      </c>
      <c r="AD7" s="418" t="s">
        <v>98</v>
      </c>
      <c r="AE7" s="304" t="s">
        <v>28</v>
      </c>
      <c r="AF7" s="304" t="s">
        <v>290</v>
      </c>
      <c r="AG7" s="304" t="s">
        <v>26</v>
      </c>
      <c r="AH7" s="304" t="s">
        <v>2</v>
      </c>
      <c r="AI7" s="304" t="s">
        <v>121</v>
      </c>
      <c r="AJ7" s="334" t="s">
        <v>200</v>
      </c>
      <c r="AK7" s="389" t="s">
        <v>2249</v>
      </c>
      <c r="AL7" s="390" t="s">
        <v>2250</v>
      </c>
      <c r="AM7"/>
      <c r="AN7"/>
      <c r="AO7" s="126"/>
      <c r="AP7" s="126"/>
    </row>
    <row r="8" spans="3:42" ht="24" customHeight="1">
      <c r="C8" s="430">
        <v>1</v>
      </c>
      <c r="D8" s="430" t="s">
        <v>789</v>
      </c>
      <c r="E8" s="175" t="s">
        <v>1016</v>
      </c>
      <c r="F8" s="401">
        <v>46174</v>
      </c>
      <c r="G8" s="176">
        <v>46222.633958333332</v>
      </c>
      <c r="H8" s="430">
        <v>1</v>
      </c>
      <c r="I8" s="174">
        <v>1</v>
      </c>
      <c r="J8" s="174">
        <v>1</v>
      </c>
      <c r="K8" s="174">
        <v>2</v>
      </c>
      <c r="L8" s="174">
        <v>1</v>
      </c>
      <c r="M8" s="174">
        <v>1</v>
      </c>
      <c r="N8" s="174">
        <v>1</v>
      </c>
      <c r="O8" s="174">
        <v>5</v>
      </c>
      <c r="P8" s="174">
        <v>1</v>
      </c>
      <c r="Q8" s="430">
        <v>2</v>
      </c>
      <c r="R8" s="328" t="s">
        <v>547</v>
      </c>
      <c r="S8" s="329" t="s">
        <v>548</v>
      </c>
      <c r="T8" s="431">
        <v>4026</v>
      </c>
      <c r="V8" s="202">
        <v>0</v>
      </c>
      <c r="Y8" s="432">
        <v>40.5</v>
      </c>
      <c r="Z8" s="392">
        <v>0</v>
      </c>
      <c r="AA8" s="433">
        <v>0</v>
      </c>
      <c r="AB8" s="433">
        <v>0</v>
      </c>
      <c r="AC8" s="434">
        <v>40.5</v>
      </c>
      <c r="AD8" s="419">
        <v>1</v>
      </c>
      <c r="AF8" s="177">
        <v>1</v>
      </c>
      <c r="AG8" s="178">
        <v>1</v>
      </c>
      <c r="AH8" s="174">
        <v>6</v>
      </c>
      <c r="AI8" s="174">
        <v>2026</v>
      </c>
      <c r="AJ8" s="139">
        <f>IF(C8="","",C8)</f>
        <v>1</v>
      </c>
      <c r="AK8" s="435" t="str" cm="1">
        <f t="array" ref="AK8:AK40">_xlfn.UNIQUE(D8:D10000)</f>
        <v>KSINV26-0055</v>
      </c>
      <c r="AL8" s="383">
        <f>SUMIFS(AC8:AC10000,AD8:AD10000,"&gt;0",D8:D10000,AK8,AH8:AH10000,6,AI8:AI10000,2026)</f>
        <v>83.759999999999991</v>
      </c>
      <c r="AO8" s="13"/>
      <c r="AP8" s="376"/>
    </row>
    <row r="9" spans="3:42" ht="24" customHeight="1">
      <c r="C9" s="174">
        <v>2</v>
      </c>
      <c r="D9" s="430" t="s">
        <v>789</v>
      </c>
      <c r="E9" s="175" t="s">
        <v>857</v>
      </c>
      <c r="F9" s="401">
        <v>46174</v>
      </c>
      <c r="G9" s="176">
        <v>46222.698009259257</v>
      </c>
      <c r="H9" s="174">
        <v>1</v>
      </c>
      <c r="I9" s="174">
        <v>1</v>
      </c>
      <c r="J9" s="174">
        <v>1</v>
      </c>
      <c r="K9" s="174">
        <v>2</v>
      </c>
      <c r="L9" s="174">
        <v>1</v>
      </c>
      <c r="M9" s="174">
        <v>1</v>
      </c>
      <c r="N9" s="174">
        <v>1</v>
      </c>
      <c r="O9" s="174">
        <v>1</v>
      </c>
      <c r="P9" s="174">
        <v>1</v>
      </c>
      <c r="Q9" s="174">
        <v>2</v>
      </c>
      <c r="R9" s="328" t="s">
        <v>547</v>
      </c>
      <c r="S9" s="329" t="s">
        <v>548</v>
      </c>
      <c r="T9" s="431">
        <v>4026</v>
      </c>
      <c r="V9" s="202">
        <v>0</v>
      </c>
      <c r="Y9" s="392">
        <v>43.26</v>
      </c>
      <c r="Z9" s="392">
        <v>0</v>
      </c>
      <c r="AA9" s="433">
        <v>0</v>
      </c>
      <c r="AB9" s="433">
        <v>0</v>
      </c>
      <c r="AC9" s="416">
        <v>43.26</v>
      </c>
      <c r="AD9" s="419">
        <v>1</v>
      </c>
      <c r="AF9" s="177">
        <v>1</v>
      </c>
      <c r="AG9" s="178">
        <v>1</v>
      </c>
      <c r="AH9" s="174">
        <v>6</v>
      </c>
      <c r="AI9" s="174">
        <v>2026</v>
      </c>
      <c r="AJ9" s="139">
        <f t="shared" ref="AJ9:AJ72" si="0">IF(C9="","",C9)</f>
        <v>2</v>
      </c>
      <c r="AK9" s="435" t="str">
        <v>KSINV26-0056</v>
      </c>
      <c r="AL9" s="383">
        <f t="shared" ref="AL9:AL72" si="1">SUMIFS(AC9:AC10001,AD9:AD10001,"&gt;0",D9:D10001,AK9,AH9:AH10001,6,AI9:AI10001,2026)</f>
        <v>140.25</v>
      </c>
      <c r="AO9" s="13"/>
      <c r="AP9" s="376"/>
    </row>
    <row r="10" spans="3:42" ht="24" customHeight="1">
      <c r="C10" s="174">
        <v>3</v>
      </c>
      <c r="D10" s="430" t="s">
        <v>790</v>
      </c>
      <c r="E10" s="175" t="s">
        <v>858</v>
      </c>
      <c r="F10" s="401">
        <v>46175</v>
      </c>
      <c r="G10" s="176">
        <v>46223.450949074075</v>
      </c>
      <c r="H10" s="174">
        <v>1</v>
      </c>
      <c r="I10" s="174">
        <v>1</v>
      </c>
      <c r="J10" s="174">
        <v>1</v>
      </c>
      <c r="K10" s="174">
        <v>2</v>
      </c>
      <c r="L10" s="174">
        <v>1</v>
      </c>
      <c r="M10" s="174">
        <v>1</v>
      </c>
      <c r="N10" s="174">
        <v>1</v>
      </c>
      <c r="O10" s="174">
        <v>1</v>
      </c>
      <c r="P10" s="174">
        <v>1</v>
      </c>
      <c r="Q10" s="174">
        <v>2</v>
      </c>
      <c r="R10" s="328" t="s">
        <v>547</v>
      </c>
      <c r="S10" s="329" t="s">
        <v>548</v>
      </c>
      <c r="T10" s="431">
        <v>4026</v>
      </c>
      <c r="V10" s="202">
        <v>0</v>
      </c>
      <c r="Y10" s="392">
        <v>58</v>
      </c>
      <c r="Z10" s="392">
        <v>0</v>
      </c>
      <c r="AA10" s="433">
        <v>0</v>
      </c>
      <c r="AB10" s="433">
        <v>0</v>
      </c>
      <c r="AC10" s="416">
        <v>58</v>
      </c>
      <c r="AD10" s="419">
        <v>1</v>
      </c>
      <c r="AF10" s="177">
        <v>1</v>
      </c>
      <c r="AG10" s="178">
        <v>1</v>
      </c>
      <c r="AH10" s="174">
        <v>6</v>
      </c>
      <c r="AI10" s="174">
        <v>2026</v>
      </c>
      <c r="AJ10" s="139">
        <f t="shared" si="0"/>
        <v>3</v>
      </c>
      <c r="AK10" s="435" t="str">
        <v>KSINV26-0057</v>
      </c>
      <c r="AL10" s="383">
        <f t="shared" si="1"/>
        <v>104.25999999999999</v>
      </c>
      <c r="AO10" s="13"/>
      <c r="AP10" s="376"/>
    </row>
    <row r="11" spans="3:42" ht="24" customHeight="1">
      <c r="C11" s="436">
        <v>4</v>
      </c>
      <c r="D11" s="430" t="s">
        <v>790</v>
      </c>
      <c r="E11" s="175" t="s">
        <v>859</v>
      </c>
      <c r="F11" s="437">
        <v>46175</v>
      </c>
      <c r="G11" s="176">
        <v>46223.52480324074</v>
      </c>
      <c r="H11" s="174">
        <v>1</v>
      </c>
      <c r="I11" s="174">
        <v>1</v>
      </c>
      <c r="J11" s="174">
        <v>1</v>
      </c>
      <c r="K11" s="174">
        <v>2</v>
      </c>
      <c r="L11" s="174">
        <v>1</v>
      </c>
      <c r="M11" s="174">
        <v>1</v>
      </c>
      <c r="N11" s="174">
        <v>1</v>
      </c>
      <c r="O11" s="174">
        <v>1</v>
      </c>
      <c r="P11" s="174">
        <v>1</v>
      </c>
      <c r="Q11" s="174">
        <v>2</v>
      </c>
      <c r="R11" s="328" t="s">
        <v>547</v>
      </c>
      <c r="S11" s="329" t="s">
        <v>548</v>
      </c>
      <c r="T11" s="431">
        <v>4026</v>
      </c>
      <c r="V11" s="202">
        <v>0</v>
      </c>
      <c r="Y11" s="392">
        <v>54.5</v>
      </c>
      <c r="Z11" s="392">
        <v>0</v>
      </c>
      <c r="AA11" s="433">
        <v>0</v>
      </c>
      <c r="AB11" s="433">
        <v>0</v>
      </c>
      <c r="AC11" s="416">
        <v>54.5</v>
      </c>
      <c r="AD11" s="419">
        <v>1</v>
      </c>
      <c r="AE11" s="417">
        <v>1173</v>
      </c>
      <c r="AF11" s="177">
        <v>1</v>
      </c>
      <c r="AG11" s="178">
        <v>1</v>
      </c>
      <c r="AH11" s="174">
        <v>6</v>
      </c>
      <c r="AI11" s="174">
        <v>2026</v>
      </c>
      <c r="AJ11" s="139">
        <f t="shared" si="0"/>
        <v>4</v>
      </c>
      <c r="AK11" s="435" t="str">
        <v>KSINV26-0058</v>
      </c>
      <c r="AL11" s="383">
        <f t="shared" si="1"/>
        <v>209.05</v>
      </c>
      <c r="AO11" s="13"/>
      <c r="AP11" s="376"/>
    </row>
    <row r="12" spans="3:42" ht="24" customHeight="1">
      <c r="C12" s="436">
        <v>5</v>
      </c>
      <c r="D12" s="430" t="s">
        <v>790</v>
      </c>
      <c r="E12" s="175" t="s">
        <v>860</v>
      </c>
      <c r="F12" s="437">
        <v>46175</v>
      </c>
      <c r="G12" s="176">
        <v>46223.656875000001</v>
      </c>
      <c r="H12" s="174">
        <v>1</v>
      </c>
      <c r="I12" s="174">
        <v>1</v>
      </c>
      <c r="J12" s="174">
        <v>1</v>
      </c>
      <c r="K12" s="174">
        <v>2</v>
      </c>
      <c r="L12" s="174">
        <v>1</v>
      </c>
      <c r="M12" s="174">
        <v>1</v>
      </c>
      <c r="N12" s="174">
        <v>1</v>
      </c>
      <c r="O12" s="174">
        <v>1</v>
      </c>
      <c r="P12" s="174">
        <v>1</v>
      </c>
      <c r="Q12" s="174">
        <v>2</v>
      </c>
      <c r="R12" s="328" t="s">
        <v>547</v>
      </c>
      <c r="S12" s="329" t="s">
        <v>548</v>
      </c>
      <c r="T12" s="180">
        <v>4026</v>
      </c>
      <c r="V12" s="202">
        <v>0</v>
      </c>
      <c r="Y12" s="392">
        <v>27.75</v>
      </c>
      <c r="Z12" s="392">
        <v>0</v>
      </c>
      <c r="AA12" s="433">
        <v>0</v>
      </c>
      <c r="AB12" s="433">
        <v>0</v>
      </c>
      <c r="AC12" s="416">
        <v>27.75</v>
      </c>
      <c r="AD12" s="419">
        <v>1</v>
      </c>
      <c r="AF12" s="177">
        <v>1</v>
      </c>
      <c r="AG12" s="178">
        <v>1</v>
      </c>
      <c r="AH12" s="174">
        <v>6</v>
      </c>
      <c r="AI12" s="174">
        <v>2026</v>
      </c>
      <c r="AJ12" s="139">
        <f t="shared" si="0"/>
        <v>5</v>
      </c>
      <c r="AK12" s="435" t="str">
        <v>KSINV26-0059</v>
      </c>
      <c r="AL12" s="383">
        <f t="shared" si="1"/>
        <v>175</v>
      </c>
      <c r="AO12" s="13"/>
      <c r="AP12" s="376"/>
    </row>
    <row r="13" spans="3:42" ht="24" customHeight="1">
      <c r="C13" s="436">
        <v>6</v>
      </c>
      <c r="D13" s="430" t="s">
        <v>791</v>
      </c>
      <c r="E13" s="175" t="s">
        <v>861</v>
      </c>
      <c r="F13" s="401">
        <v>46176</v>
      </c>
      <c r="G13" s="176">
        <v>46224.857037037036</v>
      </c>
      <c r="H13" s="174">
        <v>1</v>
      </c>
      <c r="I13" s="174">
        <v>1</v>
      </c>
      <c r="J13" s="174">
        <v>1</v>
      </c>
      <c r="K13" s="174">
        <v>2</v>
      </c>
      <c r="L13" s="174">
        <v>1</v>
      </c>
      <c r="M13" s="174">
        <v>1</v>
      </c>
      <c r="N13" s="174">
        <v>1</v>
      </c>
      <c r="O13" s="174">
        <v>1</v>
      </c>
      <c r="P13" s="174">
        <v>1</v>
      </c>
      <c r="Q13" s="174">
        <v>2</v>
      </c>
      <c r="R13" s="328" t="s">
        <v>547</v>
      </c>
      <c r="S13" s="329" t="s">
        <v>548</v>
      </c>
      <c r="T13" s="180">
        <v>4026</v>
      </c>
      <c r="V13" s="202">
        <v>0</v>
      </c>
      <c r="Y13" s="392">
        <v>52.26</v>
      </c>
      <c r="Z13" s="392">
        <v>0</v>
      </c>
      <c r="AA13" s="433">
        <v>0</v>
      </c>
      <c r="AB13" s="433">
        <v>0</v>
      </c>
      <c r="AC13" s="416">
        <v>52.26</v>
      </c>
      <c r="AD13" s="419">
        <v>1</v>
      </c>
      <c r="AF13" s="177">
        <v>1</v>
      </c>
      <c r="AG13" s="178">
        <v>1</v>
      </c>
      <c r="AH13" s="174">
        <v>6</v>
      </c>
      <c r="AI13" s="174">
        <v>2026</v>
      </c>
      <c r="AJ13" s="139">
        <f t="shared" si="0"/>
        <v>6</v>
      </c>
      <c r="AK13" s="435" t="str">
        <v>KSINV26-0060</v>
      </c>
      <c r="AL13" s="383">
        <f t="shared" si="1"/>
        <v>165.55</v>
      </c>
      <c r="AO13" s="13"/>
      <c r="AP13" s="376"/>
    </row>
    <row r="14" spans="3:42" ht="24" customHeight="1">
      <c r="C14" s="436">
        <v>7</v>
      </c>
      <c r="D14" s="430" t="s">
        <v>791</v>
      </c>
      <c r="E14" s="175" t="s">
        <v>862</v>
      </c>
      <c r="F14" s="401">
        <v>46176</v>
      </c>
      <c r="G14" s="176">
        <v>46224.890914351854</v>
      </c>
      <c r="H14" s="174">
        <v>1</v>
      </c>
      <c r="I14" s="174">
        <v>1</v>
      </c>
      <c r="J14" s="174">
        <v>1</v>
      </c>
      <c r="K14" s="174">
        <v>2</v>
      </c>
      <c r="L14" s="174">
        <v>1</v>
      </c>
      <c r="M14" s="174">
        <v>1</v>
      </c>
      <c r="N14" s="174">
        <v>1</v>
      </c>
      <c r="O14" s="174">
        <v>1</v>
      </c>
      <c r="P14" s="174">
        <v>1</v>
      </c>
      <c r="Q14" s="174">
        <v>2</v>
      </c>
      <c r="R14" s="328" t="s">
        <v>547</v>
      </c>
      <c r="S14" s="329" t="s">
        <v>548</v>
      </c>
      <c r="T14" s="180">
        <v>4026</v>
      </c>
      <c r="V14" s="202">
        <v>0</v>
      </c>
      <c r="Y14" s="392">
        <v>52</v>
      </c>
      <c r="Z14" s="392">
        <v>0</v>
      </c>
      <c r="AA14" s="391">
        <v>0</v>
      </c>
      <c r="AB14" s="433">
        <v>0</v>
      </c>
      <c r="AC14" s="416">
        <v>52</v>
      </c>
      <c r="AD14" s="419">
        <v>1</v>
      </c>
      <c r="AF14" s="177">
        <v>1</v>
      </c>
      <c r="AG14" s="178">
        <v>1</v>
      </c>
      <c r="AH14" s="174">
        <v>6</v>
      </c>
      <c r="AI14" s="174">
        <v>2026</v>
      </c>
      <c r="AJ14" s="139">
        <f t="shared" si="0"/>
        <v>7</v>
      </c>
      <c r="AK14" s="435" t="str">
        <v>KSINV26-0061</v>
      </c>
      <c r="AL14" s="383">
        <f t="shared" si="1"/>
        <v>161.25</v>
      </c>
      <c r="AO14" s="13"/>
      <c r="AP14" s="376"/>
    </row>
    <row r="15" spans="3:42" ht="24" customHeight="1">
      <c r="C15" s="436">
        <v>8</v>
      </c>
      <c r="D15" s="430" t="s">
        <v>833</v>
      </c>
      <c r="E15" s="175" t="s">
        <v>863</v>
      </c>
      <c r="F15" s="401">
        <v>46177</v>
      </c>
      <c r="G15" s="176">
        <v>46225.027615740742</v>
      </c>
      <c r="H15" s="174">
        <v>1</v>
      </c>
      <c r="I15" s="174">
        <v>1</v>
      </c>
      <c r="J15" s="174">
        <v>1</v>
      </c>
      <c r="K15" s="174">
        <v>2</v>
      </c>
      <c r="L15" s="174">
        <v>1</v>
      </c>
      <c r="M15" s="174">
        <v>1</v>
      </c>
      <c r="N15" s="174">
        <v>1</v>
      </c>
      <c r="O15" s="174">
        <v>1</v>
      </c>
      <c r="P15" s="174">
        <v>1</v>
      </c>
      <c r="Q15" s="174">
        <v>2</v>
      </c>
      <c r="R15" s="328" t="s">
        <v>547</v>
      </c>
      <c r="S15" s="329" t="s">
        <v>548</v>
      </c>
      <c r="T15" s="180">
        <v>4026</v>
      </c>
      <c r="V15" s="202">
        <v>0</v>
      </c>
      <c r="Y15" s="392">
        <v>93.75</v>
      </c>
      <c r="Z15" s="392">
        <v>0</v>
      </c>
      <c r="AA15" s="391">
        <v>0</v>
      </c>
      <c r="AB15" s="433">
        <v>0</v>
      </c>
      <c r="AC15" s="416">
        <v>93.75</v>
      </c>
      <c r="AD15" s="419">
        <v>1</v>
      </c>
      <c r="AF15" s="177">
        <v>1</v>
      </c>
      <c r="AG15" s="178">
        <v>1</v>
      </c>
      <c r="AH15" s="174">
        <v>6</v>
      </c>
      <c r="AI15" s="174">
        <v>2026</v>
      </c>
      <c r="AJ15" s="139">
        <f t="shared" si="0"/>
        <v>8</v>
      </c>
      <c r="AK15" s="438" t="str">
        <v>KSINV26-0062</v>
      </c>
      <c r="AL15" s="383">
        <f t="shared" si="1"/>
        <v>173.1</v>
      </c>
      <c r="AO15" s="13"/>
      <c r="AP15" s="376"/>
    </row>
    <row r="16" spans="3:42" ht="24" customHeight="1">
      <c r="C16" s="436">
        <v>9</v>
      </c>
      <c r="D16" s="430" t="s">
        <v>833</v>
      </c>
      <c r="E16" s="175" t="s">
        <v>864</v>
      </c>
      <c r="F16" s="401">
        <v>46177</v>
      </c>
      <c r="G16" s="176">
        <v>46225.055312500001</v>
      </c>
      <c r="H16" s="174">
        <v>1</v>
      </c>
      <c r="I16" s="174">
        <v>1</v>
      </c>
      <c r="J16" s="174">
        <v>1</v>
      </c>
      <c r="K16" s="174">
        <v>2</v>
      </c>
      <c r="L16" s="174">
        <v>1</v>
      </c>
      <c r="M16" s="174">
        <v>1</v>
      </c>
      <c r="N16" s="174">
        <v>1</v>
      </c>
      <c r="O16" s="174">
        <v>1</v>
      </c>
      <c r="P16" s="174">
        <v>1</v>
      </c>
      <c r="Q16" s="174">
        <v>2</v>
      </c>
      <c r="R16" s="328" t="s">
        <v>547</v>
      </c>
      <c r="S16" s="329" t="s">
        <v>548</v>
      </c>
      <c r="T16" s="180">
        <v>4026</v>
      </c>
      <c r="V16" s="202">
        <v>0</v>
      </c>
      <c r="Y16" s="392">
        <v>59</v>
      </c>
      <c r="Z16" s="392">
        <v>0</v>
      </c>
      <c r="AA16" s="391">
        <v>0</v>
      </c>
      <c r="AB16" s="433">
        <v>0</v>
      </c>
      <c r="AC16" s="416">
        <v>59</v>
      </c>
      <c r="AD16" s="419">
        <v>1</v>
      </c>
      <c r="AF16" s="177">
        <v>1</v>
      </c>
      <c r="AG16" s="178">
        <v>1</v>
      </c>
      <c r="AH16" s="174">
        <v>6</v>
      </c>
      <c r="AI16" s="174">
        <v>2026</v>
      </c>
      <c r="AJ16" s="139">
        <f t="shared" si="0"/>
        <v>9</v>
      </c>
      <c r="AK16" s="438" t="str">
        <v>KSINV26-0063</v>
      </c>
      <c r="AL16" s="383">
        <f t="shared" si="1"/>
        <v>175</v>
      </c>
      <c r="AO16" s="13"/>
      <c r="AP16" s="376"/>
    </row>
    <row r="17" spans="3:42" ht="24" customHeight="1">
      <c r="C17" s="436">
        <v>10</v>
      </c>
      <c r="D17" s="430" t="s">
        <v>833</v>
      </c>
      <c r="E17" s="175" t="s">
        <v>865</v>
      </c>
      <c r="F17" s="401">
        <v>46177</v>
      </c>
      <c r="G17" s="176">
        <v>46225.08792824074</v>
      </c>
      <c r="H17" s="174">
        <v>1</v>
      </c>
      <c r="I17" s="174">
        <v>1</v>
      </c>
      <c r="J17" s="174">
        <v>1</v>
      </c>
      <c r="K17" s="174">
        <v>2</v>
      </c>
      <c r="L17" s="174">
        <v>1</v>
      </c>
      <c r="M17" s="174">
        <v>1</v>
      </c>
      <c r="N17" s="174">
        <v>1</v>
      </c>
      <c r="O17" s="174">
        <v>1</v>
      </c>
      <c r="P17" s="174">
        <v>1</v>
      </c>
      <c r="Q17" s="174">
        <v>2</v>
      </c>
      <c r="R17" s="328" t="s">
        <v>547</v>
      </c>
      <c r="S17" s="329" t="s">
        <v>548</v>
      </c>
      <c r="T17" s="180">
        <v>4026</v>
      </c>
      <c r="V17" s="202">
        <v>0</v>
      </c>
      <c r="Y17" s="392">
        <v>56.3</v>
      </c>
      <c r="Z17" s="392">
        <v>0</v>
      </c>
      <c r="AA17" s="391">
        <v>0</v>
      </c>
      <c r="AB17" s="433">
        <v>0</v>
      </c>
      <c r="AC17" s="416">
        <v>56.3</v>
      </c>
      <c r="AD17" s="419">
        <v>1</v>
      </c>
      <c r="AE17" s="417">
        <v>1223</v>
      </c>
      <c r="AF17" s="177">
        <v>1</v>
      </c>
      <c r="AG17" s="178">
        <v>1</v>
      </c>
      <c r="AH17" s="174">
        <v>6</v>
      </c>
      <c r="AI17" s="174">
        <v>2026</v>
      </c>
      <c r="AJ17" s="139">
        <f t="shared" si="0"/>
        <v>10</v>
      </c>
      <c r="AK17" s="438" t="str">
        <v>KSINV26-0064</v>
      </c>
      <c r="AL17" s="383">
        <f t="shared" si="1"/>
        <v>176.65</v>
      </c>
      <c r="AO17" s="13"/>
      <c r="AP17" s="376"/>
    </row>
    <row r="18" spans="3:42" ht="24" customHeight="1">
      <c r="C18" s="436">
        <v>11</v>
      </c>
      <c r="D18" s="430" t="s">
        <v>848</v>
      </c>
      <c r="E18" s="175" t="s">
        <v>866</v>
      </c>
      <c r="F18" s="401">
        <v>46178</v>
      </c>
      <c r="G18" s="176">
        <v>46225.101134259261</v>
      </c>
      <c r="H18" s="174">
        <v>1</v>
      </c>
      <c r="I18" s="174">
        <v>1</v>
      </c>
      <c r="J18" s="174">
        <v>1</v>
      </c>
      <c r="K18" s="174">
        <v>2</v>
      </c>
      <c r="L18" s="174">
        <v>1</v>
      </c>
      <c r="M18" s="174">
        <v>1</v>
      </c>
      <c r="N18" s="174">
        <v>1</v>
      </c>
      <c r="O18" s="174">
        <v>1</v>
      </c>
      <c r="P18" s="174">
        <v>1</v>
      </c>
      <c r="Q18" s="174">
        <v>2</v>
      </c>
      <c r="R18" s="328" t="s">
        <v>547</v>
      </c>
      <c r="S18" s="329" t="s">
        <v>548</v>
      </c>
      <c r="T18" s="180">
        <v>4027</v>
      </c>
      <c r="V18" s="202">
        <v>0</v>
      </c>
      <c r="Y18" s="392">
        <v>47.5</v>
      </c>
      <c r="Z18" s="392">
        <v>0</v>
      </c>
      <c r="AA18" s="391">
        <v>0</v>
      </c>
      <c r="AB18" s="433">
        <v>0</v>
      </c>
      <c r="AC18" s="416">
        <v>47.5</v>
      </c>
      <c r="AD18" s="419">
        <v>1</v>
      </c>
      <c r="AE18" s="417">
        <v>1226</v>
      </c>
      <c r="AF18" s="177">
        <v>1</v>
      </c>
      <c r="AG18" s="178">
        <v>1</v>
      </c>
      <c r="AH18" s="174">
        <v>6</v>
      </c>
      <c r="AI18" s="174">
        <v>2026</v>
      </c>
      <c r="AJ18" s="139">
        <f t="shared" si="0"/>
        <v>11</v>
      </c>
      <c r="AK18" s="438" t="str">
        <v>KSINV26-0065</v>
      </c>
      <c r="AL18" s="383">
        <f t="shared" si="1"/>
        <v>186.88</v>
      </c>
      <c r="AO18" s="13"/>
      <c r="AP18" s="376"/>
    </row>
    <row r="19" spans="3:42" ht="24" customHeight="1">
      <c r="C19" s="436">
        <v>12</v>
      </c>
      <c r="D19" s="430" t="s">
        <v>848</v>
      </c>
      <c r="E19" s="175" t="s">
        <v>875</v>
      </c>
      <c r="F19" s="401">
        <v>46178</v>
      </c>
      <c r="G19" s="176">
        <v>46225.352233796293</v>
      </c>
      <c r="H19" s="174">
        <v>1</v>
      </c>
      <c r="I19" s="174">
        <v>1</v>
      </c>
      <c r="J19" s="174">
        <v>1</v>
      </c>
      <c r="K19" s="174">
        <v>2</v>
      </c>
      <c r="L19" s="174">
        <v>1</v>
      </c>
      <c r="M19" s="174">
        <v>1</v>
      </c>
      <c r="N19" s="174">
        <v>1</v>
      </c>
      <c r="O19" s="174">
        <v>1</v>
      </c>
      <c r="P19" s="174">
        <v>1</v>
      </c>
      <c r="Q19" s="174">
        <v>2</v>
      </c>
      <c r="R19" s="328" t="s">
        <v>547</v>
      </c>
      <c r="S19" s="329" t="s">
        <v>548</v>
      </c>
      <c r="T19" s="180">
        <v>4027</v>
      </c>
      <c r="V19" s="202">
        <v>0</v>
      </c>
      <c r="Y19" s="392">
        <v>38.25</v>
      </c>
      <c r="Z19" s="392">
        <v>0</v>
      </c>
      <c r="AA19" s="391">
        <v>0</v>
      </c>
      <c r="AB19" s="433">
        <v>0</v>
      </c>
      <c r="AC19" s="416">
        <v>38.25</v>
      </c>
      <c r="AD19" s="419">
        <v>1</v>
      </c>
      <c r="AE19" s="417">
        <v>1236</v>
      </c>
      <c r="AF19" s="177">
        <v>1</v>
      </c>
      <c r="AG19" s="178">
        <v>1</v>
      </c>
      <c r="AH19" s="174">
        <v>6</v>
      </c>
      <c r="AI19" s="174">
        <v>2026</v>
      </c>
      <c r="AJ19" s="139">
        <f t="shared" si="0"/>
        <v>12</v>
      </c>
      <c r="AK19" s="438" t="str">
        <v>KSINV26-0066</v>
      </c>
      <c r="AL19" s="383">
        <f t="shared" si="1"/>
        <v>209.54000000000002</v>
      </c>
      <c r="AO19" s="13"/>
      <c r="AP19" s="376"/>
    </row>
    <row r="20" spans="3:42" ht="24" customHeight="1">
      <c r="C20" s="436">
        <v>13</v>
      </c>
      <c r="D20" s="430" t="s">
        <v>848</v>
      </c>
      <c r="E20" s="175" t="s">
        <v>881</v>
      </c>
      <c r="F20" s="401">
        <v>46178</v>
      </c>
      <c r="G20" s="176">
        <v>46225.355312500003</v>
      </c>
      <c r="H20" s="174">
        <v>1</v>
      </c>
      <c r="I20" s="174">
        <v>1</v>
      </c>
      <c r="J20" s="174">
        <v>1</v>
      </c>
      <c r="K20" s="174">
        <v>2</v>
      </c>
      <c r="L20" s="174">
        <v>1</v>
      </c>
      <c r="M20" s="174">
        <v>1</v>
      </c>
      <c r="N20" s="174">
        <v>1</v>
      </c>
      <c r="O20" s="174">
        <v>1</v>
      </c>
      <c r="P20" s="174">
        <v>1</v>
      </c>
      <c r="Q20" s="174">
        <v>2</v>
      </c>
      <c r="R20" s="328" t="s">
        <v>547</v>
      </c>
      <c r="S20" s="329" t="s">
        <v>548</v>
      </c>
      <c r="T20" s="180">
        <v>4027</v>
      </c>
      <c r="V20" s="202">
        <v>0</v>
      </c>
      <c r="Y20" s="392">
        <v>45</v>
      </c>
      <c r="Z20" s="392">
        <v>0</v>
      </c>
      <c r="AA20" s="391">
        <v>0</v>
      </c>
      <c r="AB20" s="433">
        <v>0</v>
      </c>
      <c r="AC20" s="416">
        <v>45</v>
      </c>
      <c r="AD20" s="419">
        <v>1</v>
      </c>
      <c r="AF20" s="177">
        <v>1</v>
      </c>
      <c r="AG20" s="178">
        <v>1</v>
      </c>
      <c r="AH20" s="174">
        <v>6</v>
      </c>
      <c r="AI20" s="174">
        <v>2026</v>
      </c>
      <c r="AJ20" s="139">
        <f t="shared" si="0"/>
        <v>13</v>
      </c>
      <c r="AK20" s="438" t="str">
        <v>KSINV26-0067</v>
      </c>
      <c r="AL20" s="383">
        <f t="shared" si="1"/>
        <v>108.75</v>
      </c>
      <c r="AO20" s="13"/>
      <c r="AP20" s="376"/>
    </row>
    <row r="21" spans="3:42" ht="24" customHeight="1">
      <c r="C21" s="436">
        <v>14</v>
      </c>
      <c r="D21" s="430" t="s">
        <v>848</v>
      </c>
      <c r="E21" s="175" t="s">
        <v>911</v>
      </c>
      <c r="F21" s="401">
        <v>46178</v>
      </c>
      <c r="G21" s="176">
        <v>46225.358194444445</v>
      </c>
      <c r="H21" s="174">
        <v>1</v>
      </c>
      <c r="I21" s="174">
        <v>1</v>
      </c>
      <c r="J21" s="174">
        <v>1</v>
      </c>
      <c r="K21" s="174">
        <v>2</v>
      </c>
      <c r="L21" s="174">
        <v>1</v>
      </c>
      <c r="M21" s="174">
        <v>1</v>
      </c>
      <c r="N21" s="174">
        <v>1</v>
      </c>
      <c r="O21" s="174">
        <v>1</v>
      </c>
      <c r="P21" s="174">
        <v>1</v>
      </c>
      <c r="Q21" s="174">
        <v>2</v>
      </c>
      <c r="R21" s="328" t="s">
        <v>547</v>
      </c>
      <c r="S21" s="329" t="s">
        <v>548</v>
      </c>
      <c r="T21" s="180">
        <v>4027</v>
      </c>
      <c r="V21" s="202">
        <v>0</v>
      </c>
      <c r="Y21" s="392">
        <v>44.25</v>
      </c>
      <c r="Z21" s="392">
        <v>0</v>
      </c>
      <c r="AA21" s="391">
        <v>0</v>
      </c>
      <c r="AB21" s="433">
        <v>0</v>
      </c>
      <c r="AC21" s="416">
        <v>44.25</v>
      </c>
      <c r="AD21" s="419">
        <v>1</v>
      </c>
      <c r="AE21" s="417">
        <v>1239</v>
      </c>
      <c r="AF21" s="177">
        <v>1</v>
      </c>
      <c r="AG21" s="178">
        <v>1</v>
      </c>
      <c r="AH21" s="174">
        <v>6</v>
      </c>
      <c r="AI21" s="174">
        <v>2026</v>
      </c>
      <c r="AJ21" s="139">
        <f t="shared" si="0"/>
        <v>14</v>
      </c>
      <c r="AK21" s="438" t="str">
        <v>KSINV26-0068</v>
      </c>
      <c r="AL21" s="383">
        <f t="shared" si="1"/>
        <v>195</v>
      </c>
      <c r="AO21" s="13"/>
      <c r="AP21" s="376"/>
    </row>
    <row r="22" spans="3:42" ht="24" customHeight="1">
      <c r="C22" s="436">
        <v>15</v>
      </c>
      <c r="D22" s="430" t="s">
        <v>924</v>
      </c>
      <c r="E22" s="175" t="s">
        <v>916</v>
      </c>
      <c r="F22" s="401">
        <v>46179</v>
      </c>
      <c r="G22" s="176">
        <v>46225.385636574072</v>
      </c>
      <c r="H22" s="174">
        <v>1</v>
      </c>
      <c r="I22" s="174">
        <v>1</v>
      </c>
      <c r="J22" s="174">
        <v>1</v>
      </c>
      <c r="K22" s="174">
        <v>2</v>
      </c>
      <c r="L22" s="174">
        <v>1</v>
      </c>
      <c r="M22" s="174">
        <v>1</v>
      </c>
      <c r="N22" s="174">
        <v>1</v>
      </c>
      <c r="O22" s="174">
        <v>1</v>
      </c>
      <c r="P22" s="174">
        <v>1</v>
      </c>
      <c r="Q22" s="174">
        <v>2</v>
      </c>
      <c r="R22" s="328" t="s">
        <v>547</v>
      </c>
      <c r="S22" s="329" t="s">
        <v>548</v>
      </c>
      <c r="T22" s="180">
        <v>4027</v>
      </c>
      <c r="V22" s="202">
        <v>0</v>
      </c>
      <c r="Y22" s="392">
        <v>75.55</v>
      </c>
      <c r="Z22" s="392">
        <v>0</v>
      </c>
      <c r="AA22" s="391">
        <v>0</v>
      </c>
      <c r="AB22" s="433">
        <v>0</v>
      </c>
      <c r="AC22" s="416">
        <v>75.55</v>
      </c>
      <c r="AD22" s="419">
        <v>1</v>
      </c>
      <c r="AE22" s="417">
        <v>1247</v>
      </c>
      <c r="AF22" s="177">
        <v>1</v>
      </c>
      <c r="AG22" s="178">
        <v>1</v>
      </c>
      <c r="AH22" s="174">
        <v>6</v>
      </c>
      <c r="AI22" s="174">
        <v>2026</v>
      </c>
      <c r="AJ22" s="139">
        <f t="shared" si="0"/>
        <v>15</v>
      </c>
      <c r="AK22" s="438" t="str">
        <v>KSINV26-0069</v>
      </c>
      <c r="AL22" s="383">
        <f t="shared" si="1"/>
        <v>189.25</v>
      </c>
      <c r="AO22" s="13"/>
      <c r="AP22" s="376"/>
    </row>
    <row r="23" spans="3:42" ht="24" customHeight="1">
      <c r="C23" s="436">
        <v>16</v>
      </c>
      <c r="D23" s="430" t="s">
        <v>924</v>
      </c>
      <c r="E23" s="175" t="s">
        <v>925</v>
      </c>
      <c r="F23" s="401">
        <v>46179</v>
      </c>
      <c r="G23" s="176">
        <v>46225.388078703705</v>
      </c>
      <c r="H23" s="174">
        <v>1</v>
      </c>
      <c r="I23" s="174">
        <v>1</v>
      </c>
      <c r="J23" s="174">
        <v>1</v>
      </c>
      <c r="K23" s="174">
        <v>2</v>
      </c>
      <c r="L23" s="174">
        <v>1</v>
      </c>
      <c r="M23" s="174">
        <v>1</v>
      </c>
      <c r="N23" s="174">
        <v>1</v>
      </c>
      <c r="O23" s="174">
        <v>1</v>
      </c>
      <c r="P23" s="174">
        <v>1</v>
      </c>
      <c r="Q23" s="174">
        <v>2</v>
      </c>
      <c r="R23" s="328" t="s">
        <v>547</v>
      </c>
      <c r="S23" s="329" t="s">
        <v>548</v>
      </c>
      <c r="T23" s="180">
        <v>4027</v>
      </c>
      <c r="V23" s="202">
        <v>0</v>
      </c>
      <c r="Y23" s="392">
        <v>90</v>
      </c>
      <c r="Z23" s="392">
        <v>0</v>
      </c>
      <c r="AA23" s="391">
        <v>0</v>
      </c>
      <c r="AB23" s="433">
        <v>0</v>
      </c>
      <c r="AC23" s="416">
        <v>90</v>
      </c>
      <c r="AD23" s="419">
        <v>1</v>
      </c>
      <c r="AF23" s="177">
        <v>1</v>
      </c>
      <c r="AG23" s="178">
        <v>1</v>
      </c>
      <c r="AH23" s="174">
        <v>6</v>
      </c>
      <c r="AI23" s="174">
        <v>2026</v>
      </c>
      <c r="AJ23" s="139">
        <f t="shared" si="0"/>
        <v>16</v>
      </c>
      <c r="AK23" s="438" t="str">
        <v>KSINV26-0070</v>
      </c>
      <c r="AL23" s="383">
        <f t="shared" si="1"/>
        <v>212.25</v>
      </c>
      <c r="AO23" s="13"/>
      <c r="AP23" s="376"/>
    </row>
    <row r="24" spans="3:42" ht="24" customHeight="1">
      <c r="C24" s="436">
        <v>17</v>
      </c>
      <c r="D24" s="430" t="s">
        <v>944</v>
      </c>
      <c r="E24" s="175" t="s">
        <v>938</v>
      </c>
      <c r="F24" s="401">
        <v>46180</v>
      </c>
      <c r="G24" s="176">
        <v>46225.41233796296</v>
      </c>
      <c r="H24" s="174">
        <v>1</v>
      </c>
      <c r="I24" s="174">
        <v>1</v>
      </c>
      <c r="J24" s="174">
        <v>1</v>
      </c>
      <c r="K24" s="174">
        <v>2</v>
      </c>
      <c r="L24" s="174">
        <v>1</v>
      </c>
      <c r="M24" s="174">
        <v>1</v>
      </c>
      <c r="N24" s="174">
        <v>1</v>
      </c>
      <c r="O24" s="174">
        <v>1</v>
      </c>
      <c r="P24" s="174">
        <v>1</v>
      </c>
      <c r="Q24" s="174">
        <v>2</v>
      </c>
      <c r="R24" s="328" t="s">
        <v>547</v>
      </c>
      <c r="S24" s="329" t="s">
        <v>548</v>
      </c>
      <c r="T24" s="180">
        <v>4027</v>
      </c>
      <c r="V24" s="202">
        <v>0</v>
      </c>
      <c r="Y24" s="392">
        <v>44</v>
      </c>
      <c r="Z24" s="392">
        <v>0</v>
      </c>
      <c r="AA24" s="391">
        <v>0</v>
      </c>
      <c r="AB24" s="433">
        <v>0</v>
      </c>
      <c r="AC24" s="416">
        <v>44</v>
      </c>
      <c r="AD24" s="419">
        <v>1</v>
      </c>
      <c r="AF24" s="177">
        <v>1</v>
      </c>
      <c r="AG24" s="178">
        <v>1</v>
      </c>
      <c r="AH24" s="174">
        <v>6</v>
      </c>
      <c r="AI24" s="174">
        <v>2026</v>
      </c>
      <c r="AJ24" s="139">
        <f t="shared" si="0"/>
        <v>17</v>
      </c>
      <c r="AK24" s="438" t="str">
        <v>KSINV26-0071</v>
      </c>
      <c r="AL24" s="383">
        <f t="shared" si="1"/>
        <v>214.15</v>
      </c>
      <c r="AO24" s="13"/>
      <c r="AP24" s="376"/>
    </row>
    <row r="25" spans="3:42" ht="24" customHeight="1">
      <c r="C25" s="436">
        <v>18</v>
      </c>
      <c r="D25" s="430" t="s">
        <v>944</v>
      </c>
      <c r="E25" s="175" t="s">
        <v>945</v>
      </c>
      <c r="F25" s="401">
        <v>46180</v>
      </c>
      <c r="G25" s="176">
        <v>46225.415694444448</v>
      </c>
      <c r="H25" s="174">
        <v>1</v>
      </c>
      <c r="I25" s="174">
        <v>1</v>
      </c>
      <c r="J25" s="174">
        <v>1</v>
      </c>
      <c r="K25" s="174">
        <v>2</v>
      </c>
      <c r="L25" s="174">
        <v>1</v>
      </c>
      <c r="M25" s="174">
        <v>1</v>
      </c>
      <c r="N25" s="174">
        <v>1</v>
      </c>
      <c r="O25" s="174">
        <v>1</v>
      </c>
      <c r="P25" s="174">
        <v>1</v>
      </c>
      <c r="Q25" s="174">
        <v>2</v>
      </c>
      <c r="R25" s="328" t="s">
        <v>547</v>
      </c>
      <c r="S25" s="329" t="s">
        <v>548</v>
      </c>
      <c r="T25" s="180">
        <v>4027</v>
      </c>
      <c r="V25" s="202">
        <v>0</v>
      </c>
      <c r="Y25" s="392">
        <v>47.5</v>
      </c>
      <c r="Z25" s="392">
        <v>0</v>
      </c>
      <c r="AA25" s="391">
        <v>0</v>
      </c>
      <c r="AB25" s="433">
        <v>0</v>
      </c>
      <c r="AC25" s="416">
        <v>47.5</v>
      </c>
      <c r="AD25" s="419">
        <v>1</v>
      </c>
      <c r="AE25" s="417">
        <v>1271</v>
      </c>
      <c r="AF25" s="177">
        <v>1</v>
      </c>
      <c r="AG25" s="178">
        <v>1</v>
      </c>
      <c r="AH25" s="174">
        <v>6</v>
      </c>
      <c r="AI25" s="174">
        <v>2026</v>
      </c>
      <c r="AJ25" s="139">
        <f t="shared" si="0"/>
        <v>18</v>
      </c>
      <c r="AK25" s="438" t="str">
        <v>KSINV26-0072</v>
      </c>
      <c r="AL25" s="383">
        <f t="shared" si="1"/>
        <v>219.89</v>
      </c>
      <c r="AO25" s="13"/>
      <c r="AP25" s="376"/>
    </row>
    <row r="26" spans="3:42" ht="24" customHeight="1">
      <c r="C26" s="439">
        <v>19</v>
      </c>
      <c r="D26" s="440" t="s">
        <v>944</v>
      </c>
      <c r="E26" s="175" t="s">
        <v>953</v>
      </c>
      <c r="F26" s="401">
        <v>46180</v>
      </c>
      <c r="G26" s="176">
        <v>46225.425000000003</v>
      </c>
      <c r="H26" s="174">
        <v>1</v>
      </c>
      <c r="I26" s="174">
        <v>1</v>
      </c>
      <c r="J26" s="174">
        <v>1</v>
      </c>
      <c r="K26" s="174">
        <v>2</v>
      </c>
      <c r="L26" s="174">
        <v>1</v>
      </c>
      <c r="M26" s="174">
        <v>1</v>
      </c>
      <c r="N26" s="174">
        <v>1</v>
      </c>
      <c r="O26" s="174">
        <v>1</v>
      </c>
      <c r="P26" s="174">
        <v>1</v>
      </c>
      <c r="Q26" s="174">
        <v>2</v>
      </c>
      <c r="R26" s="328" t="s">
        <v>547</v>
      </c>
      <c r="S26" s="329" t="s">
        <v>548</v>
      </c>
      <c r="T26" s="180">
        <v>4027</v>
      </c>
      <c r="V26" s="202">
        <v>0</v>
      </c>
      <c r="Y26" s="392">
        <v>69.75</v>
      </c>
      <c r="Z26" s="392">
        <v>0</v>
      </c>
      <c r="AA26" s="391">
        <v>0</v>
      </c>
      <c r="AB26" s="433">
        <v>0</v>
      </c>
      <c r="AC26" s="416">
        <v>69.75</v>
      </c>
      <c r="AD26" s="419">
        <v>1</v>
      </c>
      <c r="AE26" s="417">
        <v>1272</v>
      </c>
      <c r="AF26" s="177">
        <v>1</v>
      </c>
      <c r="AG26" s="178">
        <v>1</v>
      </c>
      <c r="AH26" s="174">
        <v>6</v>
      </c>
      <c r="AI26" s="174">
        <v>2026</v>
      </c>
      <c r="AJ26" s="139">
        <f t="shared" si="0"/>
        <v>19</v>
      </c>
      <c r="AK26" s="438" t="str">
        <v>KSINV26-0073</v>
      </c>
      <c r="AL26" s="383">
        <f t="shared" si="1"/>
        <v>149.63</v>
      </c>
      <c r="AO26" s="13"/>
      <c r="AP26" s="376"/>
    </row>
    <row r="27" spans="3:42" ht="24" customHeight="1">
      <c r="C27" s="439">
        <v>20</v>
      </c>
      <c r="D27" s="440" t="s">
        <v>969</v>
      </c>
      <c r="E27" s="175" t="s">
        <v>958</v>
      </c>
      <c r="F27" s="401">
        <v>46181</v>
      </c>
      <c r="G27" s="176">
        <v>46225.441111111111</v>
      </c>
      <c r="H27" s="174">
        <v>1</v>
      </c>
      <c r="I27" s="174">
        <v>1</v>
      </c>
      <c r="J27" s="174">
        <v>1</v>
      </c>
      <c r="K27" s="174">
        <v>2</v>
      </c>
      <c r="L27" s="174">
        <v>1</v>
      </c>
      <c r="M27" s="174">
        <v>1</v>
      </c>
      <c r="N27" s="174">
        <v>1</v>
      </c>
      <c r="O27" s="174">
        <v>1</v>
      </c>
      <c r="P27" s="174">
        <v>1</v>
      </c>
      <c r="Q27" s="174">
        <v>2</v>
      </c>
      <c r="R27" s="328" t="s">
        <v>547</v>
      </c>
      <c r="S27" s="329" t="s">
        <v>548</v>
      </c>
      <c r="T27" s="180">
        <v>4027</v>
      </c>
      <c r="V27" s="202">
        <v>0</v>
      </c>
      <c r="Y27" s="392">
        <v>64.5</v>
      </c>
      <c r="Z27" s="392">
        <v>0</v>
      </c>
      <c r="AA27" s="391">
        <v>0</v>
      </c>
      <c r="AB27" s="433">
        <v>0</v>
      </c>
      <c r="AC27" s="416">
        <v>64.5</v>
      </c>
      <c r="AD27" s="419">
        <v>1</v>
      </c>
      <c r="AE27" s="417">
        <v>1277</v>
      </c>
      <c r="AF27" s="177">
        <v>1</v>
      </c>
      <c r="AG27" s="178">
        <v>2</v>
      </c>
      <c r="AH27" s="174">
        <v>6</v>
      </c>
      <c r="AI27" s="174">
        <v>2026</v>
      </c>
      <c r="AJ27" s="139">
        <f t="shared" si="0"/>
        <v>20</v>
      </c>
      <c r="AK27" s="438" t="str">
        <v>KSINV26-0074</v>
      </c>
      <c r="AL27" s="383">
        <f t="shared" si="1"/>
        <v>169</v>
      </c>
      <c r="AO27" s="13"/>
      <c r="AP27" s="376"/>
    </row>
    <row r="28" spans="3:42" ht="24" customHeight="1">
      <c r="C28" s="439">
        <v>21</v>
      </c>
      <c r="D28" s="440" t="s">
        <v>969</v>
      </c>
      <c r="E28" s="175" t="s">
        <v>970</v>
      </c>
      <c r="F28" s="401">
        <v>46181</v>
      </c>
      <c r="G28" s="176">
        <v>46225.459583333337</v>
      </c>
      <c r="H28" s="174">
        <v>1</v>
      </c>
      <c r="I28" s="174">
        <v>1</v>
      </c>
      <c r="J28" s="174">
        <v>1</v>
      </c>
      <c r="K28" s="174">
        <v>2</v>
      </c>
      <c r="L28" s="174">
        <v>1</v>
      </c>
      <c r="M28" s="174">
        <v>1</v>
      </c>
      <c r="N28" s="174">
        <v>1</v>
      </c>
      <c r="O28" s="174">
        <v>1</v>
      </c>
      <c r="P28" s="174">
        <v>1</v>
      </c>
      <c r="Q28" s="174">
        <v>2</v>
      </c>
      <c r="R28" s="328" t="s">
        <v>547</v>
      </c>
      <c r="S28" s="329" t="s">
        <v>548</v>
      </c>
      <c r="T28" s="180">
        <v>4027</v>
      </c>
      <c r="V28" s="202">
        <v>0</v>
      </c>
      <c r="Y28" s="392">
        <v>60.6</v>
      </c>
      <c r="Z28" s="392">
        <v>0</v>
      </c>
      <c r="AA28" s="391">
        <v>0</v>
      </c>
      <c r="AB28" s="433">
        <v>0</v>
      </c>
      <c r="AC28" s="416">
        <v>60.6</v>
      </c>
      <c r="AD28" s="419">
        <v>1</v>
      </c>
      <c r="AE28" s="417">
        <v>1279</v>
      </c>
      <c r="AF28" s="177">
        <v>1</v>
      </c>
      <c r="AG28" s="178">
        <v>2</v>
      </c>
      <c r="AH28" s="174">
        <v>6</v>
      </c>
      <c r="AI28" s="174">
        <v>2026</v>
      </c>
      <c r="AJ28" s="139">
        <f t="shared" si="0"/>
        <v>21</v>
      </c>
      <c r="AK28" s="438" t="str">
        <v>KSINV26-0075</v>
      </c>
      <c r="AL28" s="383">
        <f t="shared" si="1"/>
        <v>141.30000000000001</v>
      </c>
      <c r="AO28" s="13"/>
      <c r="AP28" s="376"/>
    </row>
    <row r="29" spans="3:42" ht="24" customHeight="1">
      <c r="C29" s="439">
        <v>22</v>
      </c>
      <c r="D29" s="440" t="s">
        <v>969</v>
      </c>
      <c r="E29" s="175" t="s">
        <v>988</v>
      </c>
      <c r="F29" s="401">
        <v>46181</v>
      </c>
      <c r="G29" s="176">
        <v>46225.463854166665</v>
      </c>
      <c r="H29" s="174">
        <v>1</v>
      </c>
      <c r="I29" s="174">
        <v>1</v>
      </c>
      <c r="J29" s="174">
        <v>1</v>
      </c>
      <c r="K29" s="174">
        <v>2</v>
      </c>
      <c r="L29" s="174">
        <v>1</v>
      </c>
      <c r="M29" s="174">
        <v>1</v>
      </c>
      <c r="N29" s="174">
        <v>1</v>
      </c>
      <c r="O29" s="174">
        <v>1</v>
      </c>
      <c r="P29" s="174">
        <v>1</v>
      </c>
      <c r="Q29" s="174">
        <v>2</v>
      </c>
      <c r="R29" s="328" t="s">
        <v>547</v>
      </c>
      <c r="S29" s="329" t="s">
        <v>548</v>
      </c>
      <c r="T29" s="180">
        <v>4027</v>
      </c>
      <c r="V29" s="202">
        <v>0</v>
      </c>
      <c r="Y29" s="392">
        <v>48</v>
      </c>
      <c r="Z29" s="392">
        <v>0</v>
      </c>
      <c r="AA29" s="391">
        <v>0</v>
      </c>
      <c r="AB29" s="433">
        <v>0</v>
      </c>
      <c r="AC29" s="416">
        <v>48</v>
      </c>
      <c r="AD29" s="419">
        <v>1</v>
      </c>
      <c r="AE29" s="417">
        <v>1282</v>
      </c>
      <c r="AF29" s="177">
        <v>1</v>
      </c>
      <c r="AG29" s="178">
        <v>2</v>
      </c>
      <c r="AH29" s="174">
        <v>6</v>
      </c>
      <c r="AI29" s="174">
        <v>2026</v>
      </c>
      <c r="AJ29" s="139">
        <f t="shared" si="0"/>
        <v>22</v>
      </c>
      <c r="AK29" s="438" t="str">
        <v>KSINV26-0076</v>
      </c>
      <c r="AL29" s="383">
        <f t="shared" si="1"/>
        <v>202.75</v>
      </c>
      <c r="AO29" s="13"/>
      <c r="AP29" s="376"/>
    </row>
    <row r="30" spans="3:42" ht="24" customHeight="1">
      <c r="C30" s="439">
        <v>23</v>
      </c>
      <c r="D30" s="440" t="s">
        <v>1017</v>
      </c>
      <c r="E30" s="175" t="s">
        <v>1004</v>
      </c>
      <c r="F30" s="401">
        <v>46182</v>
      </c>
      <c r="G30" s="176">
        <v>46225.630381944444</v>
      </c>
      <c r="H30" s="174">
        <v>1</v>
      </c>
      <c r="I30" s="174">
        <v>1</v>
      </c>
      <c r="J30" s="174">
        <v>1</v>
      </c>
      <c r="K30" s="174">
        <v>2</v>
      </c>
      <c r="L30" s="174">
        <v>1</v>
      </c>
      <c r="M30" s="174">
        <v>1</v>
      </c>
      <c r="N30" s="174">
        <v>1</v>
      </c>
      <c r="O30" s="174">
        <v>1</v>
      </c>
      <c r="P30" s="174">
        <v>1</v>
      </c>
      <c r="Q30" s="174">
        <v>2</v>
      </c>
      <c r="R30" s="328" t="s">
        <v>547</v>
      </c>
      <c r="S30" s="329" t="s">
        <v>548</v>
      </c>
      <c r="T30" s="180">
        <v>4027</v>
      </c>
      <c r="V30" s="202">
        <v>0</v>
      </c>
      <c r="Y30" s="392">
        <v>91</v>
      </c>
      <c r="Z30" s="392">
        <v>0</v>
      </c>
      <c r="AA30" s="391">
        <v>0</v>
      </c>
      <c r="AB30" s="433">
        <v>0</v>
      </c>
      <c r="AC30" s="416">
        <v>91</v>
      </c>
      <c r="AD30" s="419">
        <v>1</v>
      </c>
      <c r="AF30" s="177">
        <v>1</v>
      </c>
      <c r="AG30" s="178">
        <v>2</v>
      </c>
      <c r="AH30" s="174">
        <v>6</v>
      </c>
      <c r="AI30" s="174">
        <v>2026</v>
      </c>
      <c r="AJ30" s="139">
        <f t="shared" si="0"/>
        <v>23</v>
      </c>
      <c r="AK30" s="438" t="str">
        <v>KSINV26-0077</v>
      </c>
      <c r="AL30" s="383">
        <f t="shared" si="1"/>
        <v>239.75</v>
      </c>
      <c r="AO30" s="13"/>
      <c r="AP30" s="441"/>
    </row>
    <row r="31" spans="3:42" ht="24" customHeight="1">
      <c r="C31" s="439">
        <v>24</v>
      </c>
      <c r="D31" s="440" t="s">
        <v>1017</v>
      </c>
      <c r="E31" s="175" t="s">
        <v>1045</v>
      </c>
      <c r="F31" s="401">
        <v>46182</v>
      </c>
      <c r="G31" s="176">
        <v>46225.644062500003</v>
      </c>
      <c r="H31" s="174">
        <v>1</v>
      </c>
      <c r="I31" s="174">
        <v>1</v>
      </c>
      <c r="J31" s="174">
        <v>1</v>
      </c>
      <c r="K31" s="174">
        <v>2</v>
      </c>
      <c r="L31" s="174">
        <v>1</v>
      </c>
      <c r="M31" s="174">
        <v>1</v>
      </c>
      <c r="N31" s="174">
        <v>1</v>
      </c>
      <c r="O31" s="174">
        <v>1</v>
      </c>
      <c r="P31" s="174">
        <v>1</v>
      </c>
      <c r="Q31" s="174">
        <v>2</v>
      </c>
      <c r="R31" s="328" t="s">
        <v>547</v>
      </c>
      <c r="S31" s="329" t="s">
        <v>548</v>
      </c>
      <c r="T31" s="180">
        <v>4027</v>
      </c>
      <c r="V31" s="202">
        <v>0</v>
      </c>
      <c r="Y31" s="392">
        <v>84</v>
      </c>
      <c r="Z31" s="392">
        <v>0</v>
      </c>
      <c r="AA31" s="391">
        <v>0</v>
      </c>
      <c r="AB31" s="433">
        <v>0</v>
      </c>
      <c r="AC31" s="416">
        <v>84</v>
      </c>
      <c r="AD31" s="419">
        <v>1</v>
      </c>
      <c r="AF31" s="177">
        <v>1</v>
      </c>
      <c r="AG31" s="178">
        <v>2</v>
      </c>
      <c r="AH31" s="174">
        <v>6</v>
      </c>
      <c r="AI31" s="174">
        <v>2026</v>
      </c>
      <c r="AJ31" s="139">
        <f t="shared" si="0"/>
        <v>24</v>
      </c>
      <c r="AK31" s="438" t="str">
        <v>KSINV26-0078</v>
      </c>
      <c r="AL31" s="383">
        <f t="shared" si="1"/>
        <v>247.75</v>
      </c>
      <c r="AO31" s="13"/>
      <c r="AP31" s="441"/>
    </row>
    <row r="32" spans="3:42" ht="24" customHeight="1">
      <c r="C32" s="439">
        <v>25</v>
      </c>
      <c r="D32" s="440" t="s">
        <v>1062</v>
      </c>
      <c r="E32" s="175" t="s">
        <v>1063</v>
      </c>
      <c r="F32" s="401">
        <v>46183</v>
      </c>
      <c r="G32" s="176">
        <v>46225.651469907411</v>
      </c>
      <c r="H32" s="174">
        <v>1</v>
      </c>
      <c r="I32" s="174">
        <v>1</v>
      </c>
      <c r="J32" s="174">
        <v>1</v>
      </c>
      <c r="K32" s="174">
        <v>2</v>
      </c>
      <c r="L32" s="174">
        <v>1</v>
      </c>
      <c r="M32" s="174">
        <v>1</v>
      </c>
      <c r="N32" s="174">
        <v>1</v>
      </c>
      <c r="O32" s="174">
        <v>1</v>
      </c>
      <c r="P32" s="174">
        <v>1</v>
      </c>
      <c r="Q32" s="174">
        <v>2</v>
      </c>
      <c r="R32" s="328" t="s">
        <v>547</v>
      </c>
      <c r="S32" s="329" t="s">
        <v>548</v>
      </c>
      <c r="T32" s="180">
        <v>4027</v>
      </c>
      <c r="V32" s="202">
        <v>0</v>
      </c>
      <c r="Y32" s="392">
        <v>77.5</v>
      </c>
      <c r="Z32" s="392">
        <v>0</v>
      </c>
      <c r="AA32" s="391">
        <v>0</v>
      </c>
      <c r="AB32" s="433">
        <v>0</v>
      </c>
      <c r="AC32" s="416">
        <v>77.5</v>
      </c>
      <c r="AD32" s="419">
        <v>1</v>
      </c>
      <c r="AF32" s="177">
        <v>1</v>
      </c>
      <c r="AG32" s="178">
        <v>2</v>
      </c>
      <c r="AH32" s="174">
        <v>6</v>
      </c>
      <c r="AI32" s="174">
        <v>2026</v>
      </c>
      <c r="AJ32" s="139">
        <f t="shared" si="0"/>
        <v>25</v>
      </c>
      <c r="AK32" s="438" t="str">
        <v>KSINV26-0079</v>
      </c>
      <c r="AL32" s="383">
        <f t="shared" si="1"/>
        <v>195.57999999999998</v>
      </c>
      <c r="AO32" s="13"/>
      <c r="AP32" s="441"/>
    </row>
    <row r="33" spans="3:42" ht="24" customHeight="1">
      <c r="C33" s="442">
        <v>26</v>
      </c>
      <c r="D33" s="443" t="s">
        <v>1062</v>
      </c>
      <c r="E33" s="175" t="s">
        <v>1071</v>
      </c>
      <c r="F33" s="401">
        <v>46183</v>
      </c>
      <c r="G33" s="176">
        <v>46225.658680555556</v>
      </c>
      <c r="H33" s="174">
        <v>1</v>
      </c>
      <c r="I33" s="174">
        <v>1</v>
      </c>
      <c r="J33" s="174">
        <v>1</v>
      </c>
      <c r="K33" s="174">
        <v>2</v>
      </c>
      <c r="L33" s="174">
        <v>1</v>
      </c>
      <c r="M33" s="174">
        <v>1</v>
      </c>
      <c r="N33" s="174">
        <v>1</v>
      </c>
      <c r="O33" s="174">
        <v>1</v>
      </c>
      <c r="P33" s="174">
        <v>1</v>
      </c>
      <c r="Q33" s="174">
        <v>2</v>
      </c>
      <c r="R33" s="328" t="s">
        <v>547</v>
      </c>
      <c r="S33" s="329" t="s">
        <v>548</v>
      </c>
      <c r="T33" s="180">
        <v>4027</v>
      </c>
      <c r="V33" s="202">
        <v>0</v>
      </c>
      <c r="Y33" s="392">
        <v>30.4</v>
      </c>
      <c r="Z33" s="392">
        <v>0</v>
      </c>
      <c r="AA33" s="391">
        <v>0</v>
      </c>
      <c r="AB33" s="433">
        <v>0</v>
      </c>
      <c r="AC33" s="416">
        <v>30.4</v>
      </c>
      <c r="AD33" s="419">
        <v>1</v>
      </c>
      <c r="AF33" s="177">
        <v>1</v>
      </c>
      <c r="AG33" s="178">
        <v>2</v>
      </c>
      <c r="AH33" s="174">
        <v>6</v>
      </c>
      <c r="AI33" s="174">
        <v>2026</v>
      </c>
      <c r="AJ33" s="139">
        <f t="shared" si="0"/>
        <v>26</v>
      </c>
      <c r="AK33" s="438" t="str">
        <v>KSINV26-0080</v>
      </c>
      <c r="AL33" s="383">
        <f t="shared" si="1"/>
        <v>142</v>
      </c>
      <c r="AO33" s="13"/>
      <c r="AP33" s="441"/>
    </row>
    <row r="34" spans="3:42" ht="24" customHeight="1">
      <c r="C34" s="436">
        <v>27</v>
      </c>
      <c r="D34" s="430" t="s">
        <v>1062</v>
      </c>
      <c r="E34" s="175" t="s">
        <v>1079</v>
      </c>
      <c r="F34" s="401">
        <v>46183</v>
      </c>
      <c r="G34" s="176">
        <v>46225.670752314814</v>
      </c>
      <c r="H34" s="174">
        <v>1</v>
      </c>
      <c r="I34" s="174">
        <v>1</v>
      </c>
      <c r="J34" s="174">
        <v>1</v>
      </c>
      <c r="K34" s="174">
        <v>2</v>
      </c>
      <c r="L34" s="174">
        <v>1</v>
      </c>
      <c r="M34" s="174">
        <v>1</v>
      </c>
      <c r="N34" s="174">
        <v>1</v>
      </c>
      <c r="O34" s="174">
        <v>1</v>
      </c>
      <c r="P34" s="174">
        <v>1</v>
      </c>
      <c r="Q34" s="174">
        <v>2</v>
      </c>
      <c r="R34" s="328" t="s">
        <v>547</v>
      </c>
      <c r="S34" s="329" t="s">
        <v>548</v>
      </c>
      <c r="T34" s="180">
        <v>4027</v>
      </c>
      <c r="V34" s="202">
        <v>0</v>
      </c>
      <c r="Y34" s="392">
        <v>68.75</v>
      </c>
      <c r="Z34" s="392">
        <v>0</v>
      </c>
      <c r="AA34" s="391">
        <v>0</v>
      </c>
      <c r="AB34" s="433">
        <v>0</v>
      </c>
      <c r="AC34" s="416">
        <v>68.75</v>
      </c>
      <c r="AD34" s="419">
        <v>1</v>
      </c>
      <c r="AE34" s="417">
        <v>1308</v>
      </c>
      <c r="AF34" s="177">
        <v>1</v>
      </c>
      <c r="AG34" s="178">
        <v>2</v>
      </c>
      <c r="AH34" s="174">
        <v>6</v>
      </c>
      <c r="AI34" s="174">
        <v>2026</v>
      </c>
      <c r="AJ34" s="139">
        <f t="shared" si="0"/>
        <v>27</v>
      </c>
      <c r="AK34" s="438" t="str">
        <v>KSINV26-0081</v>
      </c>
      <c r="AL34" s="383">
        <f t="shared" si="1"/>
        <v>209</v>
      </c>
      <c r="AO34" s="13"/>
      <c r="AP34" s="441"/>
    </row>
    <row r="35" spans="3:42" ht="24" customHeight="1">
      <c r="C35" s="436">
        <v>28</v>
      </c>
      <c r="D35" s="430" t="s">
        <v>1091</v>
      </c>
      <c r="E35" s="175" t="s">
        <v>1092</v>
      </c>
      <c r="F35" s="401">
        <v>46184</v>
      </c>
      <c r="G35" s="176">
        <v>46225.685636574075</v>
      </c>
      <c r="H35" s="174">
        <v>1</v>
      </c>
      <c r="I35" s="174">
        <v>1</v>
      </c>
      <c r="J35" s="174">
        <v>1</v>
      </c>
      <c r="K35" s="174">
        <v>2</v>
      </c>
      <c r="L35" s="174">
        <v>1</v>
      </c>
      <c r="M35" s="174">
        <v>1</v>
      </c>
      <c r="N35" s="174">
        <v>1</v>
      </c>
      <c r="O35" s="174">
        <v>1</v>
      </c>
      <c r="P35" s="174">
        <v>1</v>
      </c>
      <c r="Q35" s="174">
        <v>2</v>
      </c>
      <c r="R35" s="328" t="s">
        <v>547</v>
      </c>
      <c r="S35" s="329" t="s">
        <v>548</v>
      </c>
      <c r="T35" s="180">
        <v>4026</v>
      </c>
      <c r="V35" s="202">
        <v>0</v>
      </c>
      <c r="Y35" s="392">
        <v>32.5</v>
      </c>
      <c r="Z35" s="392">
        <v>0</v>
      </c>
      <c r="AA35" s="391">
        <v>0</v>
      </c>
      <c r="AB35" s="391">
        <v>0</v>
      </c>
      <c r="AC35" s="416">
        <v>32.5</v>
      </c>
      <c r="AD35" s="419">
        <v>1</v>
      </c>
      <c r="AF35" s="177">
        <v>1</v>
      </c>
      <c r="AG35" s="178">
        <v>2</v>
      </c>
      <c r="AH35" s="174">
        <v>6</v>
      </c>
      <c r="AI35" s="174">
        <v>2026</v>
      </c>
      <c r="AJ35" s="139">
        <f t="shared" si="0"/>
        <v>28</v>
      </c>
      <c r="AK35" s="438" t="str">
        <v>KSINV26-0082</v>
      </c>
      <c r="AL35" s="383">
        <f t="shared" si="1"/>
        <v>216.14</v>
      </c>
      <c r="AO35" s="13"/>
      <c r="AP35" s="441"/>
    </row>
    <row r="36" spans="3:42" ht="24" customHeight="1">
      <c r="C36" s="436">
        <v>29</v>
      </c>
      <c r="D36" s="430" t="s">
        <v>1091</v>
      </c>
      <c r="E36" s="175" t="s">
        <v>1106</v>
      </c>
      <c r="F36" s="401">
        <v>46184</v>
      </c>
      <c r="G36" s="176">
        <v>46225.798460648148</v>
      </c>
      <c r="H36" s="174">
        <v>1</v>
      </c>
      <c r="I36" s="174">
        <v>1</v>
      </c>
      <c r="J36" s="174">
        <v>1</v>
      </c>
      <c r="K36" s="174">
        <v>2</v>
      </c>
      <c r="L36" s="174">
        <v>1</v>
      </c>
      <c r="M36" s="174">
        <v>1</v>
      </c>
      <c r="N36" s="174">
        <v>1</v>
      </c>
      <c r="O36" s="174">
        <v>1</v>
      </c>
      <c r="P36" s="174">
        <v>1</v>
      </c>
      <c r="Q36" s="174">
        <v>2</v>
      </c>
      <c r="R36" s="328" t="s">
        <v>547</v>
      </c>
      <c r="S36" s="329" t="s">
        <v>548</v>
      </c>
      <c r="T36" s="180">
        <v>4026</v>
      </c>
      <c r="V36" s="202">
        <v>0</v>
      </c>
      <c r="Y36" s="392">
        <v>42.13</v>
      </c>
      <c r="Z36" s="392">
        <v>0</v>
      </c>
      <c r="AA36" s="391">
        <v>0</v>
      </c>
      <c r="AB36" s="391">
        <v>0</v>
      </c>
      <c r="AC36" s="416">
        <v>42.13</v>
      </c>
      <c r="AD36" s="419">
        <v>1</v>
      </c>
      <c r="AF36" s="177">
        <v>1</v>
      </c>
      <c r="AG36" s="178">
        <v>2</v>
      </c>
      <c r="AH36" s="174">
        <v>6</v>
      </c>
      <c r="AI36" s="174">
        <v>2026</v>
      </c>
      <c r="AJ36" s="139">
        <f t="shared" si="0"/>
        <v>29</v>
      </c>
      <c r="AK36" s="438" t="str">
        <v>KSINV26-0083</v>
      </c>
      <c r="AL36" s="383">
        <f t="shared" si="1"/>
        <v>206.11</v>
      </c>
      <c r="AO36" s="13"/>
      <c r="AP36" s="441"/>
    </row>
    <row r="37" spans="3:42" ht="24" customHeight="1">
      <c r="C37" s="436">
        <v>30</v>
      </c>
      <c r="D37" s="430" t="s">
        <v>1091</v>
      </c>
      <c r="E37" s="175" t="s">
        <v>1160</v>
      </c>
      <c r="F37" s="401">
        <v>46184</v>
      </c>
      <c r="G37" s="176">
        <v>46226.015185185184</v>
      </c>
      <c r="H37" s="174">
        <v>1</v>
      </c>
      <c r="I37" s="174">
        <v>1</v>
      </c>
      <c r="J37" s="174">
        <v>1</v>
      </c>
      <c r="K37" s="174">
        <v>2</v>
      </c>
      <c r="L37" s="174">
        <v>1</v>
      </c>
      <c r="M37" s="174">
        <v>1</v>
      </c>
      <c r="N37" s="174">
        <v>1</v>
      </c>
      <c r="O37" s="174">
        <v>1</v>
      </c>
      <c r="P37" s="174">
        <v>1</v>
      </c>
      <c r="Q37" s="174">
        <v>2</v>
      </c>
      <c r="R37" s="328" t="s">
        <v>547</v>
      </c>
      <c r="S37" s="329" t="s">
        <v>548</v>
      </c>
      <c r="T37" s="180">
        <v>4026</v>
      </c>
      <c r="V37" s="202">
        <v>0</v>
      </c>
      <c r="Y37" s="392">
        <v>23.75</v>
      </c>
      <c r="Z37" s="392">
        <v>0</v>
      </c>
      <c r="AA37" s="391">
        <v>0</v>
      </c>
      <c r="AB37" s="391">
        <v>0</v>
      </c>
      <c r="AC37" s="416">
        <v>23.75</v>
      </c>
      <c r="AD37" s="419">
        <v>1</v>
      </c>
      <c r="AF37" s="177">
        <v>1</v>
      </c>
      <c r="AG37" s="178">
        <v>2</v>
      </c>
      <c r="AH37" s="174">
        <v>6</v>
      </c>
      <c r="AI37" s="174">
        <v>2026</v>
      </c>
      <c r="AJ37" s="139">
        <f t="shared" si="0"/>
        <v>30</v>
      </c>
      <c r="AK37" s="438" t="str">
        <v>KSINV26-0084</v>
      </c>
      <c r="AL37" s="383">
        <f t="shared" si="1"/>
        <v>102.13</v>
      </c>
      <c r="AO37" s="13"/>
      <c r="AP37" s="441"/>
    </row>
    <row r="38" spans="3:42" ht="24" customHeight="1">
      <c r="C38" s="436">
        <v>31</v>
      </c>
      <c r="D38" s="430" t="s">
        <v>1091</v>
      </c>
      <c r="E38" s="175" t="s">
        <v>1165</v>
      </c>
      <c r="F38" s="401">
        <v>46184</v>
      </c>
      <c r="G38" s="176">
        <v>46226.024560185186</v>
      </c>
      <c r="H38" s="174">
        <v>1</v>
      </c>
      <c r="I38" s="174">
        <v>1</v>
      </c>
      <c r="J38" s="174">
        <v>1</v>
      </c>
      <c r="K38" s="174">
        <v>2</v>
      </c>
      <c r="L38" s="174">
        <v>1</v>
      </c>
      <c r="M38" s="174">
        <v>1</v>
      </c>
      <c r="N38" s="174">
        <v>1</v>
      </c>
      <c r="O38" s="174">
        <v>1</v>
      </c>
      <c r="P38" s="174">
        <v>1</v>
      </c>
      <c r="Q38" s="174">
        <v>2</v>
      </c>
      <c r="R38" s="328" t="s">
        <v>547</v>
      </c>
      <c r="S38" s="329" t="s">
        <v>548</v>
      </c>
      <c r="T38" s="180">
        <v>4026</v>
      </c>
      <c r="V38" s="202">
        <v>0</v>
      </c>
      <c r="Y38" s="392">
        <v>88.5</v>
      </c>
      <c r="Z38" s="392">
        <v>0</v>
      </c>
      <c r="AA38" s="391">
        <v>0</v>
      </c>
      <c r="AB38" s="391">
        <v>0</v>
      </c>
      <c r="AC38" s="416">
        <v>88.5</v>
      </c>
      <c r="AD38" s="419">
        <v>1</v>
      </c>
      <c r="AF38" s="177">
        <v>1</v>
      </c>
      <c r="AG38" s="178">
        <v>2</v>
      </c>
      <c r="AH38" s="174">
        <v>6</v>
      </c>
      <c r="AI38" s="174">
        <v>2026</v>
      </c>
      <c r="AJ38" s="139">
        <f t="shared" si="0"/>
        <v>31</v>
      </c>
      <c r="AK38" s="388" t="str">
        <v>KSINV26-0085</v>
      </c>
      <c r="AL38" s="383">
        <f t="shared" si="1"/>
        <v>0</v>
      </c>
      <c r="AO38" s="13"/>
      <c r="AP38" s="441"/>
    </row>
    <row r="39" spans="3:42" ht="24" customHeight="1">
      <c r="C39" s="174">
        <v>32</v>
      </c>
      <c r="D39" s="174" t="s">
        <v>1178</v>
      </c>
      <c r="E39" s="175" t="s">
        <v>1179</v>
      </c>
      <c r="F39" s="401">
        <v>46185</v>
      </c>
      <c r="G39" s="176">
        <v>46226.247384259259</v>
      </c>
      <c r="H39" s="174">
        <v>1</v>
      </c>
      <c r="I39" s="174">
        <v>1</v>
      </c>
      <c r="J39" s="174">
        <v>1</v>
      </c>
      <c r="K39" s="174">
        <v>2</v>
      </c>
      <c r="L39" s="174">
        <v>1</v>
      </c>
      <c r="M39" s="174">
        <v>1</v>
      </c>
      <c r="N39" s="174">
        <v>1</v>
      </c>
      <c r="O39" s="174">
        <v>1</v>
      </c>
      <c r="P39" s="174">
        <v>1</v>
      </c>
      <c r="Q39" s="174">
        <v>2</v>
      </c>
      <c r="R39" s="328" t="s">
        <v>547</v>
      </c>
      <c r="S39" s="329" t="s">
        <v>548</v>
      </c>
      <c r="T39" s="180">
        <v>4026</v>
      </c>
      <c r="V39" s="202">
        <v>0</v>
      </c>
      <c r="Y39" s="392">
        <v>69.540000000000006</v>
      </c>
      <c r="Z39" s="392">
        <v>0</v>
      </c>
      <c r="AA39" s="391">
        <v>0</v>
      </c>
      <c r="AB39" s="391">
        <v>0</v>
      </c>
      <c r="AC39" s="416">
        <v>69.540000000000006</v>
      </c>
      <c r="AD39" s="419">
        <v>1</v>
      </c>
      <c r="AF39" s="177">
        <v>1</v>
      </c>
      <c r="AG39" s="178">
        <v>2</v>
      </c>
      <c r="AH39" s="174">
        <v>6</v>
      </c>
      <c r="AI39" s="174">
        <v>2026</v>
      </c>
      <c r="AJ39" s="139">
        <f t="shared" si="0"/>
        <v>32</v>
      </c>
      <c r="AK39" s="388" t="str">
        <v>KSINV26-0086</v>
      </c>
      <c r="AL39" s="383">
        <f t="shared" si="1"/>
        <v>0</v>
      </c>
      <c r="AO39" s="13"/>
      <c r="AP39" s="441"/>
    </row>
    <row r="40" spans="3:42" ht="24" customHeight="1">
      <c r="C40" s="174">
        <v>33</v>
      </c>
      <c r="D40" s="174" t="s">
        <v>1178</v>
      </c>
      <c r="E40" s="175" t="s">
        <v>1250</v>
      </c>
      <c r="F40" s="401">
        <v>46185</v>
      </c>
      <c r="G40" s="176">
        <v>46226.249699074076</v>
      </c>
      <c r="H40" s="174">
        <v>1</v>
      </c>
      <c r="I40" s="174">
        <v>1</v>
      </c>
      <c r="J40" s="174">
        <v>1</v>
      </c>
      <c r="K40" s="174">
        <v>2</v>
      </c>
      <c r="L40" s="174">
        <v>1</v>
      </c>
      <c r="M40" s="174">
        <v>1</v>
      </c>
      <c r="N40" s="174">
        <v>1</v>
      </c>
      <c r="O40" s="174">
        <v>1</v>
      </c>
      <c r="P40" s="174">
        <v>1</v>
      </c>
      <c r="Q40" s="174">
        <v>2</v>
      </c>
      <c r="R40" s="328" t="s">
        <v>547</v>
      </c>
      <c r="S40" s="329" t="s">
        <v>548</v>
      </c>
      <c r="T40" s="180">
        <v>4026</v>
      </c>
      <c r="V40" s="202">
        <v>0</v>
      </c>
      <c r="Y40" s="392">
        <v>45</v>
      </c>
      <c r="Z40" s="392">
        <v>0</v>
      </c>
      <c r="AA40" s="391">
        <v>0</v>
      </c>
      <c r="AB40" s="391">
        <v>0</v>
      </c>
      <c r="AC40" s="416">
        <v>45</v>
      </c>
      <c r="AD40" s="419">
        <v>1</v>
      </c>
      <c r="AF40" s="177">
        <v>1</v>
      </c>
      <c r="AG40" s="178">
        <v>2</v>
      </c>
      <c r="AH40" s="174">
        <v>6</v>
      </c>
      <c r="AI40" s="174">
        <v>2026</v>
      </c>
      <c r="AJ40" s="139">
        <f t="shared" si="0"/>
        <v>33</v>
      </c>
      <c r="AK40" s="388">
        <v>0</v>
      </c>
      <c r="AL40" s="383">
        <f t="shared" si="1"/>
        <v>0</v>
      </c>
      <c r="AO40" s="13"/>
      <c r="AP40" s="441"/>
    </row>
    <row r="41" spans="3:42" ht="24" customHeight="1">
      <c r="C41" s="174">
        <v>34</v>
      </c>
      <c r="D41" s="174" t="s">
        <v>1178</v>
      </c>
      <c r="E41" s="175" t="s">
        <v>1255</v>
      </c>
      <c r="F41" s="401">
        <v>46185</v>
      </c>
      <c r="G41" s="176">
        <v>46226.254780092589</v>
      </c>
      <c r="H41" s="174">
        <v>1</v>
      </c>
      <c r="I41" s="174">
        <v>1</v>
      </c>
      <c r="J41" s="174">
        <v>1</v>
      </c>
      <c r="K41" s="174">
        <v>2</v>
      </c>
      <c r="L41" s="174">
        <v>1</v>
      </c>
      <c r="M41" s="174">
        <v>1</v>
      </c>
      <c r="N41" s="174">
        <v>1</v>
      </c>
      <c r="O41" s="174">
        <v>1</v>
      </c>
      <c r="P41" s="174">
        <v>1</v>
      </c>
      <c r="Q41" s="174">
        <v>2</v>
      </c>
      <c r="R41" s="328" t="s">
        <v>547</v>
      </c>
      <c r="S41" s="329" t="s">
        <v>548</v>
      </c>
      <c r="T41" s="180">
        <v>4026</v>
      </c>
      <c r="V41" s="202">
        <v>0</v>
      </c>
      <c r="Y41" s="392">
        <v>95</v>
      </c>
      <c r="Z41" s="392">
        <v>0</v>
      </c>
      <c r="AA41" s="391">
        <v>0</v>
      </c>
      <c r="AB41" s="391">
        <v>0</v>
      </c>
      <c r="AC41" s="416">
        <v>95</v>
      </c>
      <c r="AD41" s="419">
        <v>1</v>
      </c>
      <c r="AE41" s="417">
        <v>1343</v>
      </c>
      <c r="AF41" s="177">
        <v>1</v>
      </c>
      <c r="AG41" s="178">
        <v>2</v>
      </c>
      <c r="AH41" s="174">
        <v>6</v>
      </c>
      <c r="AI41" s="174">
        <v>2026</v>
      </c>
      <c r="AJ41" s="139">
        <f t="shared" si="0"/>
        <v>34</v>
      </c>
      <c r="AK41" s="388"/>
      <c r="AL41" s="383">
        <f t="shared" si="1"/>
        <v>0</v>
      </c>
      <c r="AO41" s="13"/>
    </row>
    <row r="42" spans="3:42" ht="24" customHeight="1">
      <c r="C42" s="174">
        <v>35</v>
      </c>
      <c r="D42" s="174" t="s">
        <v>1260</v>
      </c>
      <c r="E42" s="175" t="s">
        <v>1261</v>
      </c>
      <c r="F42" s="401">
        <v>46186</v>
      </c>
      <c r="G42" s="176">
        <v>46226.263368055559</v>
      </c>
      <c r="H42" s="174">
        <v>1</v>
      </c>
      <c r="I42" s="174">
        <v>1</v>
      </c>
      <c r="J42" s="174">
        <v>1</v>
      </c>
      <c r="K42" s="174">
        <v>2</v>
      </c>
      <c r="L42" s="174">
        <v>1</v>
      </c>
      <c r="M42" s="174">
        <v>1</v>
      </c>
      <c r="N42" s="174">
        <v>1</v>
      </c>
      <c r="O42" s="174">
        <v>1</v>
      </c>
      <c r="P42" s="174">
        <v>1</v>
      </c>
      <c r="Q42" s="174">
        <v>2</v>
      </c>
      <c r="R42" s="328" t="s">
        <v>547</v>
      </c>
      <c r="S42" s="329" t="s">
        <v>548</v>
      </c>
      <c r="T42" s="180">
        <v>4026</v>
      </c>
      <c r="V42" s="202">
        <v>0</v>
      </c>
      <c r="Y42" s="392">
        <v>48.75</v>
      </c>
      <c r="Z42" s="392">
        <v>0</v>
      </c>
      <c r="AA42" s="391">
        <v>0</v>
      </c>
      <c r="AB42" s="391">
        <v>0</v>
      </c>
      <c r="AC42" s="416">
        <v>48.75</v>
      </c>
      <c r="AD42" s="419">
        <v>1</v>
      </c>
      <c r="AF42" s="177">
        <v>1</v>
      </c>
      <c r="AG42" s="178">
        <v>2</v>
      </c>
      <c r="AH42" s="174">
        <v>6</v>
      </c>
      <c r="AI42" s="174">
        <v>2026</v>
      </c>
      <c r="AJ42" s="139">
        <f t="shared" si="0"/>
        <v>35</v>
      </c>
      <c r="AK42" s="388"/>
      <c r="AL42" s="383">
        <f t="shared" si="1"/>
        <v>0</v>
      </c>
    </row>
    <row r="43" spans="3:42" ht="24" customHeight="1">
      <c r="C43" s="174">
        <v>36</v>
      </c>
      <c r="D43" s="174" t="s">
        <v>1260</v>
      </c>
      <c r="E43" s="175" t="s">
        <v>1269</v>
      </c>
      <c r="F43" s="401">
        <v>46186</v>
      </c>
      <c r="G43" s="176">
        <v>46226.32471064815</v>
      </c>
      <c r="H43" s="174">
        <v>1</v>
      </c>
      <c r="I43" s="174">
        <v>1</v>
      </c>
      <c r="J43" s="174">
        <v>1</v>
      </c>
      <c r="K43" s="174">
        <v>2</v>
      </c>
      <c r="L43" s="174">
        <v>1</v>
      </c>
      <c r="M43" s="174">
        <v>1</v>
      </c>
      <c r="N43" s="174">
        <v>1</v>
      </c>
      <c r="O43" s="174">
        <v>1</v>
      </c>
      <c r="P43" s="174">
        <v>1</v>
      </c>
      <c r="Q43" s="174">
        <v>2</v>
      </c>
      <c r="R43" s="328" t="s">
        <v>547</v>
      </c>
      <c r="S43" s="329" t="s">
        <v>548</v>
      </c>
      <c r="T43" s="180">
        <v>4026</v>
      </c>
      <c r="V43" s="202">
        <v>0</v>
      </c>
      <c r="Y43" s="392">
        <v>19</v>
      </c>
      <c r="Z43" s="392">
        <v>0</v>
      </c>
      <c r="AA43" s="391">
        <v>0</v>
      </c>
      <c r="AB43" s="391">
        <v>0</v>
      </c>
      <c r="AC43" s="416">
        <v>19</v>
      </c>
      <c r="AD43" s="419">
        <v>1</v>
      </c>
      <c r="AE43" s="417">
        <v>1366</v>
      </c>
      <c r="AF43" s="177">
        <v>1</v>
      </c>
      <c r="AG43" s="178">
        <v>2</v>
      </c>
      <c r="AH43" s="174">
        <v>6</v>
      </c>
      <c r="AI43" s="174">
        <v>2026</v>
      </c>
      <c r="AJ43" s="139">
        <f t="shared" si="0"/>
        <v>36</v>
      </c>
      <c r="AK43" s="388"/>
      <c r="AL43" s="383">
        <f t="shared" si="1"/>
        <v>0</v>
      </c>
    </row>
    <row r="44" spans="3:42" ht="24" customHeight="1">
      <c r="C44" s="174">
        <v>37</v>
      </c>
      <c r="D44" s="174" t="s">
        <v>1260</v>
      </c>
      <c r="E44" s="175" t="s">
        <v>1311</v>
      </c>
      <c r="F44" s="401">
        <v>46186</v>
      </c>
      <c r="G44" s="176">
        <v>46226.391192129631</v>
      </c>
      <c r="H44" s="174">
        <v>1</v>
      </c>
      <c r="I44" s="174">
        <v>1</v>
      </c>
      <c r="J44" s="174">
        <v>1</v>
      </c>
      <c r="K44" s="174">
        <v>2</v>
      </c>
      <c r="L44" s="174">
        <v>1</v>
      </c>
      <c r="M44" s="174">
        <v>1</v>
      </c>
      <c r="N44" s="174">
        <v>1</v>
      </c>
      <c r="O44" s="174">
        <v>1</v>
      </c>
      <c r="P44" s="174">
        <v>1</v>
      </c>
      <c r="Q44" s="174">
        <v>2</v>
      </c>
      <c r="R44" s="328" t="s">
        <v>547</v>
      </c>
      <c r="S44" s="329" t="s">
        <v>548</v>
      </c>
      <c r="T44" s="180">
        <v>4026</v>
      </c>
      <c r="V44" s="202">
        <v>0</v>
      </c>
      <c r="Y44" s="392">
        <v>41</v>
      </c>
      <c r="Z44" s="392">
        <v>0</v>
      </c>
      <c r="AA44" s="391">
        <v>0</v>
      </c>
      <c r="AB44" s="391">
        <v>0</v>
      </c>
      <c r="AC44" s="416">
        <v>41</v>
      </c>
      <c r="AD44" s="419">
        <v>1</v>
      </c>
      <c r="AF44" s="177">
        <v>1</v>
      </c>
      <c r="AG44" s="178">
        <v>2</v>
      </c>
      <c r="AH44" s="174">
        <v>6</v>
      </c>
      <c r="AI44" s="174">
        <v>2026</v>
      </c>
      <c r="AJ44" s="139">
        <f t="shared" si="0"/>
        <v>37</v>
      </c>
      <c r="AK44" s="388"/>
      <c r="AL44" s="383">
        <f t="shared" si="1"/>
        <v>0</v>
      </c>
    </row>
    <row r="45" spans="3:42" ht="24" customHeight="1">
      <c r="C45" s="174">
        <v>38</v>
      </c>
      <c r="D45" s="174" t="s">
        <v>1328</v>
      </c>
      <c r="E45" s="175" t="s">
        <v>1329</v>
      </c>
      <c r="F45" s="401">
        <v>46187</v>
      </c>
      <c r="G45" s="176">
        <v>46226.400694444441</v>
      </c>
      <c r="H45" s="174">
        <v>1</v>
      </c>
      <c r="I45" s="174">
        <v>1</v>
      </c>
      <c r="J45" s="174">
        <v>1</v>
      </c>
      <c r="K45" s="174">
        <v>2</v>
      </c>
      <c r="L45" s="174">
        <v>1</v>
      </c>
      <c r="M45" s="174">
        <v>1</v>
      </c>
      <c r="N45" s="174">
        <v>1</v>
      </c>
      <c r="O45" s="174">
        <v>1</v>
      </c>
      <c r="P45" s="174">
        <v>1</v>
      </c>
      <c r="Q45" s="174">
        <v>2</v>
      </c>
      <c r="R45" s="328" t="s">
        <v>547</v>
      </c>
      <c r="S45" s="329" t="s">
        <v>548</v>
      </c>
      <c r="T45" s="180">
        <v>4026</v>
      </c>
      <c r="V45" s="202">
        <v>0</v>
      </c>
      <c r="Y45" s="392">
        <v>67.5</v>
      </c>
      <c r="Z45" s="392">
        <v>0</v>
      </c>
      <c r="AA45" s="391">
        <v>0</v>
      </c>
      <c r="AB45" s="391">
        <v>0</v>
      </c>
      <c r="AC45" s="416">
        <v>67.5</v>
      </c>
      <c r="AD45" s="419">
        <v>1</v>
      </c>
      <c r="AE45" s="417">
        <v>1373</v>
      </c>
      <c r="AF45" s="177">
        <v>1</v>
      </c>
      <c r="AG45" s="178">
        <v>2</v>
      </c>
      <c r="AH45" s="174">
        <v>6</v>
      </c>
      <c r="AI45" s="174">
        <v>2026</v>
      </c>
      <c r="AJ45" s="139">
        <f t="shared" si="0"/>
        <v>38</v>
      </c>
      <c r="AK45" s="388"/>
      <c r="AL45" s="383">
        <f t="shared" si="1"/>
        <v>0</v>
      </c>
    </row>
    <row r="46" spans="3:42" ht="24" customHeight="1">
      <c r="C46" s="174">
        <v>39</v>
      </c>
      <c r="D46" s="174" t="s">
        <v>1328</v>
      </c>
      <c r="E46" s="175" t="s">
        <v>1334</v>
      </c>
      <c r="F46" s="401">
        <v>46187</v>
      </c>
      <c r="G46" s="176">
        <v>46226.454305555555</v>
      </c>
      <c r="H46" s="174">
        <v>1</v>
      </c>
      <c r="I46" s="174">
        <v>1</v>
      </c>
      <c r="J46" s="174">
        <v>1</v>
      </c>
      <c r="K46" s="174">
        <v>2</v>
      </c>
      <c r="L46" s="174">
        <v>1</v>
      </c>
      <c r="M46" s="174">
        <v>1</v>
      </c>
      <c r="N46" s="174">
        <v>1</v>
      </c>
      <c r="O46" s="174">
        <v>1</v>
      </c>
      <c r="P46" s="174">
        <v>1</v>
      </c>
      <c r="Q46" s="174">
        <v>2</v>
      </c>
      <c r="R46" s="328" t="s">
        <v>547</v>
      </c>
      <c r="S46" s="329" t="s">
        <v>548</v>
      </c>
      <c r="T46" s="180">
        <v>4026</v>
      </c>
      <c r="V46" s="202">
        <v>0</v>
      </c>
      <c r="Y46" s="392">
        <v>127.5</v>
      </c>
      <c r="Z46" s="392">
        <v>0</v>
      </c>
      <c r="AA46" s="391">
        <v>0</v>
      </c>
      <c r="AB46" s="391">
        <v>0</v>
      </c>
      <c r="AC46" s="416">
        <v>127.5</v>
      </c>
      <c r="AD46" s="419">
        <v>1</v>
      </c>
      <c r="AE46" s="417">
        <v>1377</v>
      </c>
      <c r="AF46" s="177">
        <v>1</v>
      </c>
      <c r="AG46" s="178">
        <v>2</v>
      </c>
      <c r="AH46" s="174">
        <v>6</v>
      </c>
      <c r="AI46" s="174">
        <v>2026</v>
      </c>
      <c r="AJ46" s="139">
        <f t="shared" si="0"/>
        <v>39</v>
      </c>
      <c r="AK46" s="388"/>
      <c r="AL46" s="383">
        <f t="shared" si="1"/>
        <v>0</v>
      </c>
    </row>
    <row r="47" spans="3:42" ht="24" customHeight="1">
      <c r="C47" s="174">
        <v>40</v>
      </c>
      <c r="D47" s="174" t="s">
        <v>1347</v>
      </c>
      <c r="E47" s="175" t="s">
        <v>1348</v>
      </c>
      <c r="F47" s="401">
        <v>46188</v>
      </c>
      <c r="G47" s="176">
        <v>46226.458645833336</v>
      </c>
      <c r="H47" s="174">
        <v>1</v>
      </c>
      <c r="I47" s="174">
        <v>1</v>
      </c>
      <c r="J47" s="174">
        <v>1</v>
      </c>
      <c r="K47" s="174">
        <v>2</v>
      </c>
      <c r="L47" s="174">
        <v>1</v>
      </c>
      <c r="M47" s="174">
        <v>1</v>
      </c>
      <c r="N47" s="174">
        <v>1</v>
      </c>
      <c r="O47" s="174">
        <v>1</v>
      </c>
      <c r="P47" s="174">
        <v>1</v>
      </c>
      <c r="Q47" s="174">
        <v>2</v>
      </c>
      <c r="R47" s="328" t="s">
        <v>547</v>
      </c>
      <c r="S47" s="329" t="s">
        <v>548</v>
      </c>
      <c r="T47" s="180">
        <v>4025</v>
      </c>
      <c r="V47" s="202">
        <v>0</v>
      </c>
      <c r="Y47" s="392">
        <v>53</v>
      </c>
      <c r="Z47" s="392">
        <v>0</v>
      </c>
      <c r="AA47" s="391">
        <v>0</v>
      </c>
      <c r="AB47" s="391">
        <v>0</v>
      </c>
      <c r="AC47" s="416">
        <v>53</v>
      </c>
      <c r="AD47" s="419">
        <v>1</v>
      </c>
      <c r="AF47" s="177">
        <v>1</v>
      </c>
      <c r="AG47" s="178">
        <v>3</v>
      </c>
      <c r="AH47" s="174">
        <v>6</v>
      </c>
      <c r="AI47" s="174">
        <v>2026</v>
      </c>
      <c r="AJ47" s="139">
        <f t="shared" si="0"/>
        <v>40</v>
      </c>
      <c r="AK47" s="388"/>
      <c r="AL47" s="383">
        <f t="shared" si="1"/>
        <v>0</v>
      </c>
    </row>
    <row r="48" spans="3:42" ht="24" customHeight="1">
      <c r="C48" s="174">
        <v>41</v>
      </c>
      <c r="D48" s="174" t="s">
        <v>1347</v>
      </c>
      <c r="E48" s="175" t="s">
        <v>1356</v>
      </c>
      <c r="F48" s="401">
        <v>46188</v>
      </c>
      <c r="G48" s="176">
        <v>46226.472453703704</v>
      </c>
      <c r="H48" s="174">
        <v>1</v>
      </c>
      <c r="I48" s="174">
        <v>1</v>
      </c>
      <c r="J48" s="174">
        <v>1</v>
      </c>
      <c r="K48" s="174">
        <v>2</v>
      </c>
      <c r="L48" s="174">
        <v>1</v>
      </c>
      <c r="M48" s="174">
        <v>1</v>
      </c>
      <c r="N48" s="174">
        <v>1</v>
      </c>
      <c r="O48" s="174">
        <v>1</v>
      </c>
      <c r="P48" s="174">
        <v>1</v>
      </c>
      <c r="Q48" s="174">
        <v>2</v>
      </c>
      <c r="R48" s="328" t="s">
        <v>547</v>
      </c>
      <c r="S48" s="329" t="s">
        <v>548</v>
      </c>
      <c r="T48" s="180">
        <v>4025</v>
      </c>
      <c r="V48" s="202">
        <v>0</v>
      </c>
      <c r="Y48" s="392">
        <v>10.5</v>
      </c>
      <c r="Z48" s="392">
        <v>0</v>
      </c>
      <c r="AA48" s="391">
        <v>0</v>
      </c>
      <c r="AB48" s="391">
        <v>0</v>
      </c>
      <c r="AC48" s="416">
        <v>10.5</v>
      </c>
      <c r="AD48" s="419">
        <v>1</v>
      </c>
      <c r="AE48" s="417">
        <v>1403</v>
      </c>
      <c r="AF48" s="177">
        <v>1</v>
      </c>
      <c r="AG48" s="178">
        <v>3</v>
      </c>
      <c r="AH48" s="174">
        <v>6</v>
      </c>
      <c r="AI48" s="174">
        <v>2026</v>
      </c>
      <c r="AJ48" s="139">
        <f t="shared" si="0"/>
        <v>41</v>
      </c>
      <c r="AK48" s="388"/>
      <c r="AL48" s="383">
        <f t="shared" si="1"/>
        <v>0</v>
      </c>
    </row>
    <row r="49" spans="3:38" ht="24" customHeight="1">
      <c r="C49" s="174">
        <v>42</v>
      </c>
      <c r="D49" s="174" t="s">
        <v>1347</v>
      </c>
      <c r="E49" s="175" t="s">
        <v>1389</v>
      </c>
      <c r="F49" s="401">
        <v>46188</v>
      </c>
      <c r="G49" s="176">
        <v>46226.481585648151</v>
      </c>
      <c r="H49" s="174">
        <v>1</v>
      </c>
      <c r="I49" s="174">
        <v>1</v>
      </c>
      <c r="J49" s="174">
        <v>1</v>
      </c>
      <c r="K49" s="174">
        <v>2</v>
      </c>
      <c r="L49" s="174">
        <v>1</v>
      </c>
      <c r="M49" s="174">
        <v>1</v>
      </c>
      <c r="N49" s="174">
        <v>1</v>
      </c>
      <c r="O49" s="174">
        <v>1</v>
      </c>
      <c r="P49" s="174">
        <v>1</v>
      </c>
      <c r="Q49" s="174">
        <v>2</v>
      </c>
      <c r="R49" s="328" t="s">
        <v>547</v>
      </c>
      <c r="S49" s="329" t="s">
        <v>548</v>
      </c>
      <c r="T49" s="180">
        <v>4025</v>
      </c>
      <c r="V49" s="202">
        <v>0</v>
      </c>
      <c r="Y49" s="392">
        <v>53.75</v>
      </c>
      <c r="Z49" s="392">
        <v>0</v>
      </c>
      <c r="AA49" s="391">
        <v>0</v>
      </c>
      <c r="AB49" s="391">
        <v>0</v>
      </c>
      <c r="AC49" s="416">
        <v>53.75</v>
      </c>
      <c r="AD49" s="419">
        <v>1</v>
      </c>
      <c r="AE49" s="417">
        <v>1408</v>
      </c>
      <c r="AF49" s="177">
        <v>1</v>
      </c>
      <c r="AG49" s="178">
        <v>3</v>
      </c>
      <c r="AH49" s="174">
        <v>6</v>
      </c>
      <c r="AI49" s="174">
        <v>2026</v>
      </c>
      <c r="AJ49" s="139">
        <f t="shared" si="0"/>
        <v>42</v>
      </c>
      <c r="AK49" s="388"/>
      <c r="AL49" s="383">
        <f t="shared" si="1"/>
        <v>0</v>
      </c>
    </row>
    <row r="50" spans="3:38" ht="24" customHeight="1">
      <c r="C50" s="174">
        <v>43</v>
      </c>
      <c r="D50" s="174" t="s">
        <v>1347</v>
      </c>
      <c r="E50" s="175" t="s">
        <v>1397</v>
      </c>
      <c r="F50" s="401">
        <v>46188</v>
      </c>
      <c r="G50" s="176">
        <v>46226.53361111111</v>
      </c>
      <c r="H50" s="174">
        <v>1</v>
      </c>
      <c r="I50" s="174">
        <v>1</v>
      </c>
      <c r="J50" s="174">
        <v>1</v>
      </c>
      <c r="K50" s="174">
        <v>2</v>
      </c>
      <c r="L50" s="174">
        <v>1</v>
      </c>
      <c r="M50" s="174">
        <v>1</v>
      </c>
      <c r="N50" s="174">
        <v>1</v>
      </c>
      <c r="O50" s="174">
        <v>1</v>
      </c>
      <c r="P50" s="174">
        <v>1</v>
      </c>
      <c r="Q50" s="174">
        <v>2</v>
      </c>
      <c r="R50" s="328" t="s">
        <v>547</v>
      </c>
      <c r="S50" s="329" t="s">
        <v>548</v>
      </c>
      <c r="T50" s="180">
        <v>4025</v>
      </c>
      <c r="V50" s="202">
        <v>0</v>
      </c>
      <c r="Y50" s="392">
        <v>72</v>
      </c>
      <c r="Z50" s="392">
        <v>0</v>
      </c>
      <c r="AA50" s="391">
        <v>0</v>
      </c>
      <c r="AB50" s="391">
        <v>0</v>
      </c>
      <c r="AC50" s="416">
        <v>72</v>
      </c>
      <c r="AD50" s="419">
        <v>1</v>
      </c>
      <c r="AE50" s="417">
        <v>1409</v>
      </c>
      <c r="AF50" s="177">
        <v>1</v>
      </c>
      <c r="AG50" s="178">
        <v>3</v>
      </c>
      <c r="AH50" s="174">
        <v>6</v>
      </c>
      <c r="AI50" s="174">
        <v>2026</v>
      </c>
      <c r="AJ50" s="139">
        <f t="shared" si="0"/>
        <v>43</v>
      </c>
      <c r="AK50" s="388"/>
      <c r="AL50" s="383">
        <f t="shared" si="1"/>
        <v>0</v>
      </c>
    </row>
    <row r="51" spans="3:38" ht="24" customHeight="1">
      <c r="C51" s="174">
        <v>44</v>
      </c>
      <c r="D51" s="174" t="s">
        <v>1429</v>
      </c>
      <c r="E51" s="175" t="s">
        <v>1430</v>
      </c>
      <c r="F51" s="401">
        <v>46189</v>
      </c>
      <c r="G51" s="176">
        <v>46226.670694444445</v>
      </c>
      <c r="H51" s="174">
        <v>1</v>
      </c>
      <c r="I51" s="174">
        <v>1</v>
      </c>
      <c r="J51" s="174">
        <v>1</v>
      </c>
      <c r="K51" s="174">
        <v>2</v>
      </c>
      <c r="L51" s="174">
        <v>1</v>
      </c>
      <c r="M51" s="174">
        <v>1</v>
      </c>
      <c r="N51" s="174">
        <v>1</v>
      </c>
      <c r="O51" s="174">
        <v>1</v>
      </c>
      <c r="P51" s="174">
        <v>1</v>
      </c>
      <c r="Q51" s="174">
        <v>2</v>
      </c>
      <c r="R51" s="328" t="s">
        <v>547</v>
      </c>
      <c r="S51" s="329" t="s">
        <v>548</v>
      </c>
      <c r="T51" s="180">
        <v>4025</v>
      </c>
      <c r="V51" s="202">
        <v>0</v>
      </c>
      <c r="Y51" s="392">
        <v>47.5</v>
      </c>
      <c r="Z51" s="392">
        <v>0</v>
      </c>
      <c r="AA51" s="391">
        <v>0</v>
      </c>
      <c r="AB51" s="391">
        <v>0</v>
      </c>
      <c r="AC51" s="416">
        <v>47.5</v>
      </c>
      <c r="AD51" s="419">
        <v>1</v>
      </c>
      <c r="AF51" s="177">
        <v>1</v>
      </c>
      <c r="AG51" s="178">
        <v>3</v>
      </c>
      <c r="AH51" s="174">
        <v>6</v>
      </c>
      <c r="AI51" s="174">
        <v>2026</v>
      </c>
      <c r="AJ51" s="139">
        <f t="shared" si="0"/>
        <v>44</v>
      </c>
      <c r="AK51" s="388"/>
      <c r="AL51" s="383">
        <f t="shared" si="1"/>
        <v>0</v>
      </c>
    </row>
    <row r="52" spans="3:38" ht="24" customHeight="1">
      <c r="C52" s="174">
        <v>45</v>
      </c>
      <c r="D52" s="174" t="s">
        <v>1429</v>
      </c>
      <c r="E52" s="175" t="s">
        <v>1435</v>
      </c>
      <c r="F52" s="401">
        <v>46189</v>
      </c>
      <c r="G52" s="176">
        <v>46226.673831018517</v>
      </c>
      <c r="H52" s="174">
        <v>1</v>
      </c>
      <c r="I52" s="174">
        <v>1</v>
      </c>
      <c r="J52" s="174">
        <v>1</v>
      </c>
      <c r="K52" s="174">
        <v>2</v>
      </c>
      <c r="L52" s="174">
        <v>1</v>
      </c>
      <c r="M52" s="174">
        <v>1</v>
      </c>
      <c r="N52" s="174">
        <v>1</v>
      </c>
      <c r="O52" s="174">
        <v>1</v>
      </c>
      <c r="P52" s="174">
        <v>1</v>
      </c>
      <c r="Q52" s="174">
        <v>2</v>
      </c>
      <c r="R52" s="328" t="s">
        <v>547</v>
      </c>
      <c r="S52" s="329" t="s">
        <v>548</v>
      </c>
      <c r="T52" s="180">
        <v>4025</v>
      </c>
      <c r="V52" s="202">
        <v>0</v>
      </c>
      <c r="Y52" s="392">
        <v>44.25</v>
      </c>
      <c r="Z52" s="392">
        <v>0</v>
      </c>
      <c r="AA52" s="391">
        <v>0</v>
      </c>
      <c r="AB52" s="391">
        <v>0</v>
      </c>
      <c r="AC52" s="416">
        <v>44.25</v>
      </c>
      <c r="AD52" s="419">
        <v>1</v>
      </c>
      <c r="AF52" s="177">
        <v>1</v>
      </c>
      <c r="AG52" s="178">
        <v>3</v>
      </c>
      <c r="AH52" s="174">
        <v>6</v>
      </c>
      <c r="AI52" s="174">
        <v>2026</v>
      </c>
      <c r="AJ52" s="139">
        <f t="shared" si="0"/>
        <v>45</v>
      </c>
      <c r="AK52" s="388"/>
      <c r="AL52" s="383">
        <f t="shared" si="1"/>
        <v>0</v>
      </c>
    </row>
    <row r="53" spans="3:38" ht="24" customHeight="1">
      <c r="C53" s="174">
        <v>46</v>
      </c>
      <c r="D53" s="174" t="s">
        <v>1429</v>
      </c>
      <c r="E53" s="175" t="s">
        <v>1443</v>
      </c>
      <c r="F53" s="401">
        <v>46189</v>
      </c>
      <c r="G53" s="176">
        <v>46226.685115740744</v>
      </c>
      <c r="H53" s="174">
        <v>1</v>
      </c>
      <c r="I53" s="174">
        <v>1</v>
      </c>
      <c r="J53" s="174">
        <v>1</v>
      </c>
      <c r="K53" s="174">
        <v>2</v>
      </c>
      <c r="L53" s="174">
        <v>1</v>
      </c>
      <c r="M53" s="174">
        <v>1</v>
      </c>
      <c r="N53" s="174">
        <v>1</v>
      </c>
      <c r="O53" s="174">
        <v>1</v>
      </c>
      <c r="P53" s="174">
        <v>1</v>
      </c>
      <c r="Q53" s="174">
        <v>2</v>
      </c>
      <c r="R53" s="328" t="s">
        <v>547</v>
      </c>
      <c r="S53" s="329" t="s">
        <v>548</v>
      </c>
      <c r="T53" s="180">
        <v>4025</v>
      </c>
      <c r="V53" s="202">
        <v>0</v>
      </c>
      <c r="Y53" s="392">
        <v>120.5</v>
      </c>
      <c r="Z53" s="392">
        <v>0</v>
      </c>
      <c r="AA53" s="391">
        <v>0</v>
      </c>
      <c r="AB53" s="391">
        <v>0</v>
      </c>
      <c r="AC53" s="416">
        <v>120.5</v>
      </c>
      <c r="AD53" s="419">
        <v>1</v>
      </c>
      <c r="AE53" s="417">
        <v>1424</v>
      </c>
      <c r="AF53" s="177">
        <v>1</v>
      </c>
      <c r="AG53" s="178">
        <v>3</v>
      </c>
      <c r="AH53" s="174">
        <v>6</v>
      </c>
      <c r="AI53" s="174">
        <v>2026</v>
      </c>
      <c r="AJ53" s="139">
        <f t="shared" si="0"/>
        <v>46</v>
      </c>
      <c r="AK53" s="388"/>
      <c r="AL53" s="383">
        <f t="shared" si="1"/>
        <v>0</v>
      </c>
    </row>
    <row r="54" spans="3:38" ht="24" customHeight="1">
      <c r="C54" s="174">
        <v>47</v>
      </c>
      <c r="D54" s="174" t="s">
        <v>1460</v>
      </c>
      <c r="E54" s="175" t="s">
        <v>1461</v>
      </c>
      <c r="F54" s="401">
        <v>46190</v>
      </c>
      <c r="G54" s="176">
        <v>46226.695104166669</v>
      </c>
      <c r="H54" s="174">
        <v>1</v>
      </c>
      <c r="I54" s="174">
        <v>1</v>
      </c>
      <c r="J54" s="174">
        <v>1</v>
      </c>
      <c r="K54" s="174">
        <v>2</v>
      </c>
      <c r="L54" s="174">
        <v>1</v>
      </c>
      <c r="M54" s="174">
        <v>1</v>
      </c>
      <c r="N54" s="174">
        <v>1</v>
      </c>
      <c r="O54" s="174">
        <v>1</v>
      </c>
      <c r="P54" s="174">
        <v>1</v>
      </c>
      <c r="Q54" s="174">
        <v>2</v>
      </c>
      <c r="R54" s="328" t="s">
        <v>547</v>
      </c>
      <c r="S54" s="329" t="s">
        <v>548</v>
      </c>
      <c r="T54" s="180">
        <v>4024</v>
      </c>
      <c r="V54" s="202">
        <v>0</v>
      </c>
      <c r="Y54" s="392">
        <v>101.5</v>
      </c>
      <c r="Z54" s="392">
        <v>0</v>
      </c>
      <c r="AA54" s="391">
        <v>0</v>
      </c>
      <c r="AB54" s="391">
        <v>0</v>
      </c>
      <c r="AC54" s="416">
        <v>101.5</v>
      </c>
      <c r="AD54" s="419">
        <v>1</v>
      </c>
      <c r="AE54" s="417">
        <v>1435</v>
      </c>
      <c r="AF54" s="177">
        <v>1</v>
      </c>
      <c r="AG54" s="178">
        <v>3</v>
      </c>
      <c r="AH54" s="174">
        <v>6</v>
      </c>
      <c r="AI54" s="174">
        <v>2026</v>
      </c>
      <c r="AJ54" s="139">
        <f t="shared" si="0"/>
        <v>47</v>
      </c>
      <c r="AK54" s="388"/>
      <c r="AL54" s="383">
        <f t="shared" si="1"/>
        <v>0</v>
      </c>
    </row>
    <row r="55" spans="3:38" ht="24" customHeight="1">
      <c r="C55" s="174">
        <v>48</v>
      </c>
      <c r="D55" s="174" t="s">
        <v>1460</v>
      </c>
      <c r="E55" s="175" t="s">
        <v>1472</v>
      </c>
      <c r="F55" s="401">
        <v>46190</v>
      </c>
      <c r="G55" s="176">
        <v>46226.702476851853</v>
      </c>
      <c r="H55" s="174">
        <v>1</v>
      </c>
      <c r="I55" s="174">
        <v>1</v>
      </c>
      <c r="J55" s="174">
        <v>1</v>
      </c>
      <c r="K55" s="174">
        <v>2</v>
      </c>
      <c r="L55" s="174">
        <v>1</v>
      </c>
      <c r="M55" s="174">
        <v>1</v>
      </c>
      <c r="N55" s="174">
        <v>1</v>
      </c>
      <c r="O55" s="174">
        <v>1</v>
      </c>
      <c r="P55" s="174">
        <v>1</v>
      </c>
      <c r="Q55" s="174">
        <v>2</v>
      </c>
      <c r="R55" s="328" t="s">
        <v>547</v>
      </c>
      <c r="S55" s="329" t="s">
        <v>548</v>
      </c>
      <c r="T55" s="180">
        <v>4024</v>
      </c>
      <c r="V55" s="202">
        <v>0</v>
      </c>
      <c r="Y55" s="392">
        <v>99.25</v>
      </c>
      <c r="Z55" s="392">
        <v>0</v>
      </c>
      <c r="AA55" s="391">
        <v>0</v>
      </c>
      <c r="AB55" s="391">
        <v>0</v>
      </c>
      <c r="AC55" s="416">
        <v>99.25</v>
      </c>
      <c r="AD55" s="419">
        <v>1</v>
      </c>
      <c r="AE55" s="417">
        <v>1437</v>
      </c>
      <c r="AF55" s="177">
        <v>1</v>
      </c>
      <c r="AG55" s="178">
        <v>3</v>
      </c>
      <c r="AH55" s="174">
        <v>6</v>
      </c>
      <c r="AI55" s="174">
        <v>2026</v>
      </c>
      <c r="AJ55" s="139">
        <f t="shared" si="0"/>
        <v>48</v>
      </c>
      <c r="AK55" s="388"/>
      <c r="AL55" s="383">
        <f t="shared" si="1"/>
        <v>0</v>
      </c>
    </row>
    <row r="56" spans="3:38" ht="24" customHeight="1">
      <c r="C56" s="174">
        <v>49</v>
      </c>
      <c r="D56" s="174" t="s">
        <v>1460</v>
      </c>
      <c r="E56" s="175" t="s">
        <v>1483</v>
      </c>
      <c r="F56" s="401">
        <v>46190</v>
      </c>
      <c r="G56" s="176">
        <v>46226.759652777779</v>
      </c>
      <c r="H56" s="174">
        <v>1</v>
      </c>
      <c r="I56" s="174">
        <v>1</v>
      </c>
      <c r="J56" s="174">
        <v>1</v>
      </c>
      <c r="K56" s="174">
        <v>2</v>
      </c>
      <c r="L56" s="174">
        <v>1</v>
      </c>
      <c r="M56" s="174">
        <v>1</v>
      </c>
      <c r="N56" s="174">
        <v>1</v>
      </c>
      <c r="O56" s="174">
        <v>1</v>
      </c>
      <c r="P56" s="174">
        <v>1</v>
      </c>
      <c r="Q56" s="174">
        <v>2</v>
      </c>
      <c r="R56" s="328" t="s">
        <v>547</v>
      </c>
      <c r="S56" s="329" t="s">
        <v>548</v>
      </c>
      <c r="T56" s="180">
        <v>4024</v>
      </c>
      <c r="V56" s="202">
        <v>0</v>
      </c>
      <c r="Y56" s="392">
        <v>13.4</v>
      </c>
      <c r="Z56" s="392">
        <v>0</v>
      </c>
      <c r="AA56" s="391">
        <v>0</v>
      </c>
      <c r="AB56" s="391">
        <v>0</v>
      </c>
      <c r="AC56" s="416">
        <v>13.4</v>
      </c>
      <c r="AD56" s="419">
        <v>1</v>
      </c>
      <c r="AE56" s="417">
        <v>1432</v>
      </c>
      <c r="AF56" s="177">
        <v>1</v>
      </c>
      <c r="AG56" s="178">
        <v>3</v>
      </c>
      <c r="AH56" s="174">
        <v>6</v>
      </c>
      <c r="AI56" s="174">
        <v>2026</v>
      </c>
      <c r="AJ56" s="139">
        <f t="shared" si="0"/>
        <v>49</v>
      </c>
      <c r="AK56" s="388"/>
      <c r="AL56" s="383">
        <f t="shared" si="1"/>
        <v>0</v>
      </c>
    </row>
    <row r="57" spans="3:38" ht="24" customHeight="1">
      <c r="C57" s="174">
        <v>50</v>
      </c>
      <c r="D57" s="174" t="s">
        <v>1503</v>
      </c>
      <c r="E57" s="175" t="s">
        <v>1504</v>
      </c>
      <c r="F57" s="401">
        <v>46191</v>
      </c>
      <c r="G57" s="176">
        <v>46226.767488425925</v>
      </c>
      <c r="H57" s="174">
        <v>1</v>
      </c>
      <c r="I57" s="174">
        <v>1</v>
      </c>
      <c r="J57" s="174">
        <v>1</v>
      </c>
      <c r="K57" s="174">
        <v>2</v>
      </c>
      <c r="L57" s="174">
        <v>1</v>
      </c>
      <c r="M57" s="174">
        <v>1</v>
      </c>
      <c r="N57" s="174">
        <v>1</v>
      </c>
      <c r="O57" s="174">
        <v>1</v>
      </c>
      <c r="P57" s="174">
        <v>1</v>
      </c>
      <c r="Q57" s="174">
        <v>2</v>
      </c>
      <c r="R57" s="328" t="s">
        <v>547</v>
      </c>
      <c r="S57" s="329" t="s">
        <v>548</v>
      </c>
      <c r="T57" s="180">
        <v>4024</v>
      </c>
      <c r="V57" s="202">
        <v>0</v>
      </c>
      <c r="Y57" s="392">
        <v>71.39</v>
      </c>
      <c r="Z57" s="392">
        <v>0</v>
      </c>
      <c r="AA57" s="391">
        <v>0</v>
      </c>
      <c r="AB57" s="391">
        <v>0</v>
      </c>
      <c r="AC57" s="416">
        <v>71.39</v>
      </c>
      <c r="AD57" s="419">
        <v>1</v>
      </c>
      <c r="AE57" s="417">
        <v>1449</v>
      </c>
      <c r="AF57" s="177">
        <v>1</v>
      </c>
      <c r="AG57" s="178">
        <v>3</v>
      </c>
      <c r="AH57" s="174">
        <v>6</v>
      </c>
      <c r="AI57" s="174">
        <v>2026</v>
      </c>
      <c r="AJ57" s="139">
        <f t="shared" si="0"/>
        <v>50</v>
      </c>
      <c r="AK57" s="388"/>
      <c r="AL57" s="383">
        <f t="shared" si="1"/>
        <v>0</v>
      </c>
    </row>
    <row r="58" spans="3:38" ht="24" customHeight="1">
      <c r="C58" s="174">
        <v>51</v>
      </c>
      <c r="D58" s="174" t="s">
        <v>1503</v>
      </c>
      <c r="E58" s="175" t="s">
        <v>1537</v>
      </c>
      <c r="F58" s="401">
        <v>46191</v>
      </c>
      <c r="G58" s="176">
        <v>46226.775509259256</v>
      </c>
      <c r="H58" s="174">
        <v>1</v>
      </c>
      <c r="I58" s="174">
        <v>1</v>
      </c>
      <c r="J58" s="174">
        <v>1</v>
      </c>
      <c r="K58" s="174">
        <v>2</v>
      </c>
      <c r="L58" s="174">
        <v>1</v>
      </c>
      <c r="M58" s="174">
        <v>1</v>
      </c>
      <c r="N58" s="174">
        <v>1</v>
      </c>
      <c r="O58" s="174">
        <v>1</v>
      </c>
      <c r="P58" s="174">
        <v>1</v>
      </c>
      <c r="Q58" s="174">
        <v>2</v>
      </c>
      <c r="R58" s="328" t="s">
        <v>547</v>
      </c>
      <c r="S58" s="329" t="s">
        <v>548</v>
      </c>
      <c r="T58" s="180">
        <v>4024</v>
      </c>
      <c r="V58" s="202">
        <v>0</v>
      </c>
      <c r="Y58" s="392">
        <v>47.5</v>
      </c>
      <c r="Z58" s="392">
        <v>0</v>
      </c>
      <c r="AA58" s="391">
        <v>0</v>
      </c>
      <c r="AB58" s="391">
        <v>0</v>
      </c>
      <c r="AC58" s="416">
        <v>47.5</v>
      </c>
      <c r="AD58" s="419">
        <v>1</v>
      </c>
      <c r="AE58" s="417">
        <v>1450</v>
      </c>
      <c r="AF58" s="177">
        <v>1</v>
      </c>
      <c r="AG58" s="178">
        <v>3</v>
      </c>
      <c r="AH58" s="174">
        <v>6</v>
      </c>
      <c r="AI58" s="174">
        <v>2026</v>
      </c>
      <c r="AJ58" s="139">
        <f t="shared" si="0"/>
        <v>51</v>
      </c>
      <c r="AK58" s="388"/>
      <c r="AL58" s="383">
        <f t="shared" si="1"/>
        <v>0</v>
      </c>
    </row>
    <row r="59" spans="3:38" ht="24" customHeight="1">
      <c r="C59" s="174">
        <v>52</v>
      </c>
      <c r="D59" s="174" t="s">
        <v>1503</v>
      </c>
      <c r="E59" s="175" t="s">
        <v>1542</v>
      </c>
      <c r="F59" s="401">
        <v>46191</v>
      </c>
      <c r="G59" s="176">
        <v>46226.782534722224</v>
      </c>
      <c r="H59" s="174">
        <v>1</v>
      </c>
      <c r="I59" s="174">
        <v>1</v>
      </c>
      <c r="J59" s="174">
        <v>1</v>
      </c>
      <c r="K59" s="174">
        <v>2</v>
      </c>
      <c r="L59" s="174">
        <v>1</v>
      </c>
      <c r="M59" s="174">
        <v>1</v>
      </c>
      <c r="N59" s="174">
        <v>1</v>
      </c>
      <c r="O59" s="174">
        <v>1</v>
      </c>
      <c r="P59" s="174">
        <v>1</v>
      </c>
      <c r="Q59" s="174">
        <v>2</v>
      </c>
      <c r="R59" s="328" t="s">
        <v>547</v>
      </c>
      <c r="S59" s="329" t="s">
        <v>548</v>
      </c>
      <c r="T59" s="180">
        <v>4024</v>
      </c>
      <c r="V59" s="202">
        <v>0</v>
      </c>
      <c r="Y59" s="392">
        <v>101</v>
      </c>
      <c r="Z59" s="392">
        <v>0</v>
      </c>
      <c r="AA59" s="391">
        <v>0</v>
      </c>
      <c r="AB59" s="391">
        <v>0</v>
      </c>
      <c r="AC59" s="416">
        <v>101</v>
      </c>
      <c r="AD59" s="419">
        <v>1</v>
      </c>
      <c r="AE59" s="417">
        <v>1451</v>
      </c>
      <c r="AF59" s="177">
        <v>1</v>
      </c>
      <c r="AG59" s="178">
        <v>3</v>
      </c>
      <c r="AH59" s="174">
        <v>6</v>
      </c>
      <c r="AI59" s="174">
        <v>2026</v>
      </c>
      <c r="AJ59" s="139">
        <f t="shared" si="0"/>
        <v>52</v>
      </c>
      <c r="AK59" s="388"/>
      <c r="AL59" s="383">
        <f t="shared" si="1"/>
        <v>0</v>
      </c>
    </row>
    <row r="60" spans="3:38" ht="24" customHeight="1">
      <c r="C60" s="174">
        <v>53</v>
      </c>
      <c r="D60" s="174" t="s">
        <v>1562</v>
      </c>
      <c r="E60" s="175" t="s">
        <v>1563</v>
      </c>
      <c r="F60" s="401">
        <v>46192</v>
      </c>
      <c r="G60" s="176">
        <v>46226.786620370367</v>
      </c>
      <c r="H60" s="174">
        <v>1</v>
      </c>
      <c r="I60" s="174">
        <v>1</v>
      </c>
      <c r="J60" s="174">
        <v>1</v>
      </c>
      <c r="K60" s="174">
        <v>2</v>
      </c>
      <c r="L60" s="174">
        <v>1</v>
      </c>
      <c r="M60" s="174">
        <v>1</v>
      </c>
      <c r="N60" s="174">
        <v>1</v>
      </c>
      <c r="O60" s="174">
        <v>1</v>
      </c>
      <c r="P60" s="174">
        <v>1</v>
      </c>
      <c r="Q60" s="174">
        <v>2</v>
      </c>
      <c r="R60" s="328" t="s">
        <v>547</v>
      </c>
      <c r="S60" s="329" t="s">
        <v>548</v>
      </c>
      <c r="T60" s="180">
        <v>4024</v>
      </c>
      <c r="V60" s="202">
        <v>0</v>
      </c>
      <c r="Y60" s="392">
        <v>28.13</v>
      </c>
      <c r="Z60" s="392">
        <v>0</v>
      </c>
      <c r="AA60" s="391">
        <v>0</v>
      </c>
      <c r="AB60" s="391">
        <v>0</v>
      </c>
      <c r="AC60" s="416">
        <v>28.13</v>
      </c>
      <c r="AD60" s="419">
        <v>1</v>
      </c>
      <c r="AE60" s="417">
        <v>1462</v>
      </c>
      <c r="AF60" s="177">
        <v>1</v>
      </c>
      <c r="AG60" s="178">
        <v>3</v>
      </c>
      <c r="AH60" s="174">
        <v>6</v>
      </c>
      <c r="AI60" s="174">
        <v>2026</v>
      </c>
      <c r="AJ60" s="139">
        <f t="shared" si="0"/>
        <v>53</v>
      </c>
      <c r="AK60" s="388"/>
      <c r="AL60" s="383">
        <f t="shared" si="1"/>
        <v>0</v>
      </c>
    </row>
    <row r="61" spans="3:38" ht="24" customHeight="1">
      <c r="C61" s="174">
        <v>54</v>
      </c>
      <c r="D61" s="174" t="s">
        <v>1562</v>
      </c>
      <c r="E61" s="175" t="s">
        <v>1574</v>
      </c>
      <c r="F61" s="401">
        <v>46192</v>
      </c>
      <c r="G61" s="176">
        <v>46226.787731481483</v>
      </c>
      <c r="H61" s="174">
        <v>1</v>
      </c>
      <c r="I61" s="174">
        <v>1</v>
      </c>
      <c r="J61" s="174">
        <v>1</v>
      </c>
      <c r="K61" s="174">
        <v>2</v>
      </c>
      <c r="L61" s="174">
        <v>1</v>
      </c>
      <c r="M61" s="174">
        <v>1</v>
      </c>
      <c r="N61" s="174">
        <v>1</v>
      </c>
      <c r="O61" s="174">
        <v>1</v>
      </c>
      <c r="P61" s="174">
        <v>1</v>
      </c>
      <c r="Q61" s="174">
        <v>2</v>
      </c>
      <c r="R61" s="328" t="s">
        <v>547</v>
      </c>
      <c r="S61" s="329" t="s">
        <v>548</v>
      </c>
      <c r="T61" s="180">
        <v>4024</v>
      </c>
      <c r="V61" s="202">
        <v>0</v>
      </c>
      <c r="Y61" s="392">
        <v>18</v>
      </c>
      <c r="Z61" s="392">
        <v>0</v>
      </c>
      <c r="AA61" s="391">
        <v>0</v>
      </c>
      <c r="AB61" s="391">
        <v>0</v>
      </c>
      <c r="AC61" s="416">
        <v>18</v>
      </c>
      <c r="AD61" s="419">
        <v>1</v>
      </c>
      <c r="AE61" s="417">
        <v>1464</v>
      </c>
      <c r="AF61" s="177">
        <v>1</v>
      </c>
      <c r="AG61" s="178">
        <v>3</v>
      </c>
      <c r="AH61" s="174">
        <v>6</v>
      </c>
      <c r="AI61" s="174">
        <v>2026</v>
      </c>
      <c r="AJ61" s="139">
        <f t="shared" si="0"/>
        <v>54</v>
      </c>
      <c r="AK61" s="388"/>
      <c r="AL61" s="383">
        <f t="shared" si="1"/>
        <v>0</v>
      </c>
    </row>
    <row r="62" spans="3:38" ht="24" customHeight="1">
      <c r="C62" s="174">
        <v>55</v>
      </c>
      <c r="D62" s="174" t="s">
        <v>1562</v>
      </c>
      <c r="E62" s="175" t="s">
        <v>1582</v>
      </c>
      <c r="F62" s="401">
        <v>46192</v>
      </c>
      <c r="G62" s="176">
        <v>46226.809293981481</v>
      </c>
      <c r="H62" s="174">
        <v>1</v>
      </c>
      <c r="I62" s="174">
        <v>1</v>
      </c>
      <c r="J62" s="174">
        <v>1</v>
      </c>
      <c r="K62" s="174">
        <v>2</v>
      </c>
      <c r="L62" s="174">
        <v>1</v>
      </c>
      <c r="M62" s="174">
        <v>1</v>
      </c>
      <c r="N62" s="174">
        <v>1</v>
      </c>
      <c r="O62" s="174">
        <v>1</v>
      </c>
      <c r="P62" s="174">
        <v>1</v>
      </c>
      <c r="Q62" s="174">
        <v>2</v>
      </c>
      <c r="R62" s="328" t="s">
        <v>547</v>
      </c>
      <c r="S62" s="329" t="s">
        <v>548</v>
      </c>
      <c r="T62" s="180">
        <v>4024</v>
      </c>
      <c r="V62" s="202">
        <v>0</v>
      </c>
      <c r="Y62" s="392">
        <v>103.5</v>
      </c>
      <c r="Z62" s="392">
        <v>0</v>
      </c>
      <c r="AA62" s="391">
        <v>0</v>
      </c>
      <c r="AB62" s="391">
        <v>0</v>
      </c>
      <c r="AC62" s="416">
        <v>103.5</v>
      </c>
      <c r="AD62" s="419">
        <v>1</v>
      </c>
      <c r="AE62" s="417">
        <v>1469</v>
      </c>
      <c r="AF62" s="177">
        <v>1</v>
      </c>
      <c r="AG62" s="178">
        <v>3</v>
      </c>
      <c r="AH62" s="174">
        <v>6</v>
      </c>
      <c r="AI62" s="174">
        <v>2026</v>
      </c>
      <c r="AJ62" s="139">
        <f t="shared" si="0"/>
        <v>55</v>
      </c>
      <c r="AK62" s="388"/>
      <c r="AL62" s="383">
        <f t="shared" si="1"/>
        <v>0</v>
      </c>
    </row>
    <row r="63" spans="3:38" ht="24" customHeight="1">
      <c r="C63" s="174">
        <v>56</v>
      </c>
      <c r="D63" s="174" t="s">
        <v>1593</v>
      </c>
      <c r="E63" s="175" t="s">
        <v>1594</v>
      </c>
      <c r="F63" s="401">
        <v>46193</v>
      </c>
      <c r="G63" s="176">
        <v>46226.811782407407</v>
      </c>
      <c r="H63" s="174">
        <v>1</v>
      </c>
      <c r="I63" s="174">
        <v>1</v>
      </c>
      <c r="J63" s="174">
        <v>1</v>
      </c>
      <c r="K63" s="174">
        <v>2</v>
      </c>
      <c r="L63" s="174">
        <v>1</v>
      </c>
      <c r="M63" s="174">
        <v>1</v>
      </c>
      <c r="N63" s="174">
        <v>1</v>
      </c>
      <c r="O63" s="174">
        <v>1</v>
      </c>
      <c r="P63" s="174">
        <v>1</v>
      </c>
      <c r="Q63" s="174">
        <v>2</v>
      </c>
      <c r="R63" s="328" t="s">
        <v>547</v>
      </c>
      <c r="S63" s="329" t="s">
        <v>548</v>
      </c>
      <c r="T63" s="180">
        <v>4024</v>
      </c>
      <c r="V63" s="202">
        <v>0</v>
      </c>
      <c r="Y63" s="392">
        <v>60</v>
      </c>
      <c r="Z63" s="392">
        <v>0</v>
      </c>
      <c r="AA63" s="391">
        <v>0</v>
      </c>
      <c r="AB63" s="391">
        <v>0</v>
      </c>
      <c r="AC63" s="416">
        <v>60</v>
      </c>
      <c r="AD63" s="419">
        <v>1</v>
      </c>
      <c r="AE63" s="417">
        <v>1473</v>
      </c>
      <c r="AF63" s="177">
        <v>1</v>
      </c>
      <c r="AG63" s="178">
        <v>3</v>
      </c>
      <c r="AH63" s="174">
        <v>6</v>
      </c>
      <c r="AI63" s="174">
        <v>2026</v>
      </c>
      <c r="AJ63" s="139">
        <f t="shared" si="0"/>
        <v>56</v>
      </c>
      <c r="AK63" s="388"/>
      <c r="AL63" s="383">
        <f t="shared" si="1"/>
        <v>0</v>
      </c>
    </row>
    <row r="64" spans="3:38" ht="24" customHeight="1">
      <c r="C64" s="174">
        <v>57</v>
      </c>
      <c r="D64" s="174" t="s">
        <v>1593</v>
      </c>
      <c r="E64" s="175" t="s">
        <v>1599</v>
      </c>
      <c r="F64" s="401">
        <v>46193</v>
      </c>
      <c r="G64" s="176">
        <v>46226.869756944441</v>
      </c>
      <c r="H64" s="174">
        <v>1</v>
      </c>
      <c r="I64" s="174">
        <v>1</v>
      </c>
      <c r="J64" s="174">
        <v>1</v>
      </c>
      <c r="K64" s="174">
        <v>2</v>
      </c>
      <c r="L64" s="174">
        <v>1</v>
      </c>
      <c r="M64" s="174">
        <v>1</v>
      </c>
      <c r="N64" s="174">
        <v>1</v>
      </c>
      <c r="O64" s="174">
        <v>1</v>
      </c>
      <c r="P64" s="174">
        <v>1</v>
      </c>
      <c r="Q64" s="174">
        <v>2</v>
      </c>
      <c r="R64" s="328" t="s">
        <v>547</v>
      </c>
      <c r="S64" s="329" t="s">
        <v>548</v>
      </c>
      <c r="T64" s="180">
        <v>4024</v>
      </c>
      <c r="V64" s="202">
        <v>0</v>
      </c>
      <c r="Y64" s="392">
        <v>64</v>
      </c>
      <c r="Z64" s="392">
        <v>0</v>
      </c>
      <c r="AA64" s="391">
        <v>0</v>
      </c>
      <c r="AB64" s="391">
        <v>0</v>
      </c>
      <c r="AC64" s="416">
        <v>64</v>
      </c>
      <c r="AD64" s="419">
        <v>1</v>
      </c>
      <c r="AE64" s="417">
        <v>1480</v>
      </c>
      <c r="AF64" s="177">
        <v>1</v>
      </c>
      <c r="AG64" s="178">
        <v>3</v>
      </c>
      <c r="AH64" s="174">
        <v>6</v>
      </c>
      <c r="AI64" s="174">
        <v>2026</v>
      </c>
      <c r="AJ64" s="139">
        <f t="shared" si="0"/>
        <v>57</v>
      </c>
      <c r="AK64" s="388"/>
      <c r="AL64" s="383">
        <f t="shared" si="1"/>
        <v>0</v>
      </c>
    </row>
    <row r="65" spans="3:38" ht="24" customHeight="1">
      <c r="C65" s="174">
        <v>58</v>
      </c>
      <c r="D65" s="174" t="s">
        <v>1593</v>
      </c>
      <c r="E65" s="175" t="s">
        <v>1619</v>
      </c>
      <c r="F65" s="401">
        <v>46193</v>
      </c>
      <c r="G65" s="176">
        <v>46226.870567129627</v>
      </c>
      <c r="H65" s="174">
        <v>1</v>
      </c>
      <c r="I65" s="174">
        <v>1</v>
      </c>
      <c r="J65" s="174">
        <v>1</v>
      </c>
      <c r="K65" s="174">
        <v>2</v>
      </c>
      <c r="L65" s="174">
        <v>1</v>
      </c>
      <c r="M65" s="174">
        <v>1</v>
      </c>
      <c r="N65" s="174">
        <v>1</v>
      </c>
      <c r="O65" s="174">
        <v>1</v>
      </c>
      <c r="P65" s="174">
        <v>1</v>
      </c>
      <c r="Q65" s="174">
        <v>2</v>
      </c>
      <c r="R65" s="328" t="s">
        <v>547</v>
      </c>
      <c r="S65" s="329" t="s">
        <v>548</v>
      </c>
      <c r="T65" s="180">
        <v>4024</v>
      </c>
      <c r="V65" s="202">
        <v>0</v>
      </c>
      <c r="Y65" s="392">
        <v>45</v>
      </c>
      <c r="Z65" s="392">
        <v>0</v>
      </c>
      <c r="AA65" s="391">
        <v>0</v>
      </c>
      <c r="AB65" s="391">
        <v>0</v>
      </c>
      <c r="AC65" s="416">
        <v>45</v>
      </c>
      <c r="AD65" s="419">
        <v>1</v>
      </c>
      <c r="AE65" s="417">
        <v>1481</v>
      </c>
      <c r="AF65" s="177">
        <v>1</v>
      </c>
      <c r="AG65" s="178">
        <v>3</v>
      </c>
      <c r="AH65" s="174">
        <v>6</v>
      </c>
      <c r="AI65" s="174">
        <v>2026</v>
      </c>
      <c r="AJ65" s="139">
        <f t="shared" si="0"/>
        <v>58</v>
      </c>
      <c r="AK65" s="388"/>
      <c r="AL65" s="383">
        <f t="shared" si="1"/>
        <v>0</v>
      </c>
    </row>
    <row r="66" spans="3:38" ht="24" customHeight="1">
      <c r="C66" s="174">
        <v>59</v>
      </c>
      <c r="D66" s="174" t="s">
        <v>1624</v>
      </c>
      <c r="E66" s="175" t="s">
        <v>1625</v>
      </c>
      <c r="F66" s="401">
        <v>46194</v>
      </c>
      <c r="G66" s="176">
        <v>46226.878495370373</v>
      </c>
      <c r="H66" s="174">
        <v>1</v>
      </c>
      <c r="I66" s="174">
        <v>1</v>
      </c>
      <c r="J66" s="174">
        <v>1</v>
      </c>
      <c r="K66" s="174">
        <v>2</v>
      </c>
      <c r="L66" s="174">
        <v>1</v>
      </c>
      <c r="M66" s="174">
        <v>1</v>
      </c>
      <c r="N66" s="174">
        <v>1</v>
      </c>
      <c r="O66" s="174">
        <v>1</v>
      </c>
      <c r="P66" s="174">
        <v>1</v>
      </c>
      <c r="Q66" s="174">
        <v>2</v>
      </c>
      <c r="R66" s="328" t="s">
        <v>547</v>
      </c>
      <c r="S66" s="329" t="s">
        <v>548</v>
      </c>
      <c r="T66" s="180">
        <v>4024</v>
      </c>
      <c r="V66" s="202">
        <v>0</v>
      </c>
      <c r="Y66" s="392">
        <v>50.8</v>
      </c>
      <c r="Z66" s="392">
        <v>0</v>
      </c>
      <c r="AA66" s="391">
        <v>0</v>
      </c>
      <c r="AB66" s="391">
        <v>0</v>
      </c>
      <c r="AC66" s="416">
        <v>50.8</v>
      </c>
      <c r="AD66" s="419">
        <v>1</v>
      </c>
      <c r="AE66" s="417">
        <v>1485</v>
      </c>
      <c r="AF66" s="177">
        <v>1</v>
      </c>
      <c r="AG66" s="178">
        <v>3</v>
      </c>
      <c r="AH66" s="174">
        <v>6</v>
      </c>
      <c r="AI66" s="174">
        <v>2026</v>
      </c>
      <c r="AJ66" s="139">
        <f t="shared" si="0"/>
        <v>59</v>
      </c>
      <c r="AK66" s="388"/>
      <c r="AL66" s="383">
        <f t="shared" si="1"/>
        <v>0</v>
      </c>
    </row>
    <row r="67" spans="3:38" ht="24" customHeight="1">
      <c r="C67" s="174">
        <v>60</v>
      </c>
      <c r="D67" s="174" t="s">
        <v>1624</v>
      </c>
      <c r="E67" s="175" t="s">
        <v>1633</v>
      </c>
      <c r="F67" s="401">
        <v>46194</v>
      </c>
      <c r="G67" s="176">
        <v>46226.879999999997</v>
      </c>
      <c r="H67" s="174">
        <v>1</v>
      </c>
      <c r="I67" s="174">
        <v>1</v>
      </c>
      <c r="J67" s="174">
        <v>1</v>
      </c>
      <c r="K67" s="174">
        <v>2</v>
      </c>
      <c r="L67" s="174">
        <v>1</v>
      </c>
      <c r="M67" s="174">
        <v>1</v>
      </c>
      <c r="N67" s="174">
        <v>1</v>
      </c>
      <c r="O67" s="174">
        <v>1</v>
      </c>
      <c r="P67" s="174">
        <v>1</v>
      </c>
      <c r="Q67" s="174">
        <v>2</v>
      </c>
      <c r="R67" s="328" t="s">
        <v>547</v>
      </c>
      <c r="S67" s="329" t="s">
        <v>548</v>
      </c>
      <c r="T67" s="180">
        <v>4024</v>
      </c>
      <c r="V67" s="202">
        <v>0</v>
      </c>
      <c r="Y67" s="392">
        <v>39</v>
      </c>
      <c r="Z67" s="392">
        <v>0</v>
      </c>
      <c r="AA67" s="391">
        <v>0</v>
      </c>
      <c r="AB67" s="391">
        <v>0</v>
      </c>
      <c r="AC67" s="416">
        <v>39</v>
      </c>
      <c r="AD67" s="419">
        <v>1</v>
      </c>
      <c r="AE67" s="417">
        <v>1491</v>
      </c>
      <c r="AF67" s="177">
        <v>1</v>
      </c>
      <c r="AG67" s="178">
        <v>3</v>
      </c>
      <c r="AH67" s="174">
        <v>6</v>
      </c>
      <c r="AI67" s="174">
        <v>2026</v>
      </c>
      <c r="AJ67" s="139">
        <f t="shared" si="0"/>
        <v>60</v>
      </c>
      <c r="AK67" s="388"/>
      <c r="AL67" s="383">
        <f t="shared" si="1"/>
        <v>0</v>
      </c>
    </row>
    <row r="68" spans="3:38" ht="24" customHeight="1">
      <c r="C68" s="174">
        <v>61</v>
      </c>
      <c r="D68" s="174" t="s">
        <v>1624</v>
      </c>
      <c r="E68" s="175" t="s">
        <v>1641</v>
      </c>
      <c r="F68" s="401">
        <v>46194</v>
      </c>
      <c r="G68" s="176">
        <v>46226.885972222219</v>
      </c>
      <c r="H68" s="174">
        <v>1</v>
      </c>
      <c r="I68" s="174">
        <v>1</v>
      </c>
      <c r="J68" s="174">
        <v>1</v>
      </c>
      <c r="K68" s="174">
        <v>2</v>
      </c>
      <c r="L68" s="174">
        <v>1</v>
      </c>
      <c r="M68" s="174">
        <v>1</v>
      </c>
      <c r="N68" s="174">
        <v>1</v>
      </c>
      <c r="O68" s="174">
        <v>1</v>
      </c>
      <c r="P68" s="174">
        <v>1</v>
      </c>
      <c r="Q68" s="174">
        <v>2</v>
      </c>
      <c r="R68" s="328" t="s">
        <v>547</v>
      </c>
      <c r="S68" s="329" t="s">
        <v>548</v>
      </c>
      <c r="T68" s="180">
        <v>4024</v>
      </c>
      <c r="V68" s="202">
        <v>0</v>
      </c>
      <c r="Y68" s="392">
        <v>51.5</v>
      </c>
      <c r="Z68" s="392">
        <v>0</v>
      </c>
      <c r="AA68" s="391">
        <v>0</v>
      </c>
      <c r="AB68" s="391">
        <v>0</v>
      </c>
      <c r="AC68" s="416">
        <v>51.5</v>
      </c>
      <c r="AD68" s="419">
        <v>1</v>
      </c>
      <c r="AE68" s="417">
        <v>1495</v>
      </c>
      <c r="AF68" s="177">
        <v>1</v>
      </c>
      <c r="AG68" s="178">
        <v>3</v>
      </c>
      <c r="AH68" s="174">
        <v>6</v>
      </c>
      <c r="AI68" s="174">
        <v>2026</v>
      </c>
      <c r="AJ68" s="139">
        <f t="shared" si="0"/>
        <v>61</v>
      </c>
      <c r="AK68" s="388"/>
      <c r="AL68" s="383">
        <f t="shared" si="1"/>
        <v>0</v>
      </c>
    </row>
    <row r="69" spans="3:38" ht="24" customHeight="1">
      <c r="C69" s="174">
        <v>62</v>
      </c>
      <c r="D69" s="174" t="s">
        <v>1652</v>
      </c>
      <c r="E69" s="175" t="s">
        <v>1653</v>
      </c>
      <c r="F69" s="401">
        <v>46195</v>
      </c>
      <c r="G69" s="176">
        <v>46226.899259259262</v>
      </c>
      <c r="H69" s="174">
        <v>1</v>
      </c>
      <c r="I69" s="174">
        <v>1</v>
      </c>
      <c r="J69" s="174">
        <v>1</v>
      </c>
      <c r="K69" s="174">
        <v>2</v>
      </c>
      <c r="L69" s="174">
        <v>1</v>
      </c>
      <c r="M69" s="174">
        <v>1</v>
      </c>
      <c r="N69" s="174">
        <v>1</v>
      </c>
      <c r="O69" s="174">
        <v>1</v>
      </c>
      <c r="P69" s="174">
        <v>1</v>
      </c>
      <c r="Q69" s="174">
        <v>2</v>
      </c>
      <c r="R69" s="328" t="s">
        <v>547</v>
      </c>
      <c r="S69" s="329" t="s">
        <v>548</v>
      </c>
      <c r="T69" s="180">
        <v>4024</v>
      </c>
      <c r="V69" s="202">
        <v>0</v>
      </c>
      <c r="Y69" s="392">
        <v>71.25</v>
      </c>
      <c r="Z69" s="392">
        <v>0</v>
      </c>
      <c r="AA69" s="391">
        <v>0</v>
      </c>
      <c r="AB69" s="391">
        <v>0</v>
      </c>
      <c r="AC69" s="416">
        <v>71.25</v>
      </c>
      <c r="AD69" s="419">
        <v>1</v>
      </c>
      <c r="AE69" s="417">
        <v>7</v>
      </c>
      <c r="AF69" s="177">
        <v>1</v>
      </c>
      <c r="AG69" s="178">
        <v>4</v>
      </c>
      <c r="AH69" s="174">
        <v>6</v>
      </c>
      <c r="AI69" s="174">
        <v>2026</v>
      </c>
      <c r="AJ69" s="139">
        <f t="shared" si="0"/>
        <v>62</v>
      </c>
      <c r="AK69" s="388"/>
      <c r="AL69" s="383">
        <f t="shared" si="1"/>
        <v>0</v>
      </c>
    </row>
    <row r="70" spans="3:38" ht="24" customHeight="1">
      <c r="C70" s="174">
        <v>63</v>
      </c>
      <c r="D70" s="174" t="s">
        <v>1652</v>
      </c>
      <c r="E70" s="175" t="s">
        <v>1661</v>
      </c>
      <c r="F70" s="401">
        <v>46195</v>
      </c>
      <c r="G70" s="176">
        <v>46226.902592592596</v>
      </c>
      <c r="H70" s="174">
        <v>1</v>
      </c>
      <c r="I70" s="174">
        <v>1</v>
      </c>
      <c r="J70" s="174">
        <v>1</v>
      </c>
      <c r="K70" s="174">
        <v>2</v>
      </c>
      <c r="L70" s="174">
        <v>1</v>
      </c>
      <c r="M70" s="174">
        <v>1</v>
      </c>
      <c r="N70" s="174">
        <v>1</v>
      </c>
      <c r="O70" s="174">
        <v>1</v>
      </c>
      <c r="P70" s="174">
        <v>1</v>
      </c>
      <c r="Q70" s="174">
        <v>2</v>
      </c>
      <c r="R70" s="328" t="s">
        <v>547</v>
      </c>
      <c r="S70" s="329" t="s">
        <v>548</v>
      </c>
      <c r="T70" s="180">
        <v>4024</v>
      </c>
      <c r="V70" s="202">
        <v>0</v>
      </c>
      <c r="Y70" s="392">
        <v>35.25</v>
      </c>
      <c r="Z70" s="392">
        <v>0</v>
      </c>
      <c r="AA70" s="391">
        <v>0</v>
      </c>
      <c r="AB70" s="391">
        <v>0</v>
      </c>
      <c r="AC70" s="416">
        <v>35.25</v>
      </c>
      <c r="AD70" s="419">
        <v>1</v>
      </c>
      <c r="AE70" s="417">
        <v>13</v>
      </c>
      <c r="AF70" s="177">
        <v>1</v>
      </c>
      <c r="AG70" s="178">
        <v>4</v>
      </c>
      <c r="AH70" s="174">
        <v>6</v>
      </c>
      <c r="AI70" s="174">
        <v>2026</v>
      </c>
      <c r="AJ70" s="139">
        <f t="shared" si="0"/>
        <v>63</v>
      </c>
      <c r="AK70" s="388"/>
      <c r="AL70" s="383">
        <f t="shared" si="1"/>
        <v>0</v>
      </c>
    </row>
    <row r="71" spans="3:38" ht="24" customHeight="1">
      <c r="C71" s="174">
        <v>64</v>
      </c>
      <c r="D71" s="174" t="s">
        <v>1652</v>
      </c>
      <c r="E71" s="175" t="s">
        <v>1669</v>
      </c>
      <c r="F71" s="401">
        <v>46195</v>
      </c>
      <c r="G71" s="176">
        <v>46226.922083333331</v>
      </c>
      <c r="H71" s="174">
        <v>1</v>
      </c>
      <c r="I71" s="174">
        <v>1</v>
      </c>
      <c r="J71" s="174">
        <v>1</v>
      </c>
      <c r="K71" s="174">
        <v>2</v>
      </c>
      <c r="L71" s="174">
        <v>1</v>
      </c>
      <c r="M71" s="174">
        <v>1</v>
      </c>
      <c r="N71" s="174">
        <v>1</v>
      </c>
      <c r="O71" s="174">
        <v>1</v>
      </c>
      <c r="P71" s="174">
        <v>1</v>
      </c>
      <c r="Q71" s="174">
        <v>2</v>
      </c>
      <c r="R71" s="328" t="s">
        <v>547</v>
      </c>
      <c r="S71" s="329" t="s">
        <v>548</v>
      </c>
      <c r="T71" s="180">
        <v>4024</v>
      </c>
      <c r="V71" s="202">
        <v>0</v>
      </c>
      <c r="Y71" s="392">
        <v>51.25</v>
      </c>
      <c r="Z71" s="392">
        <v>0</v>
      </c>
      <c r="AA71" s="391">
        <v>0</v>
      </c>
      <c r="AB71" s="391">
        <v>0</v>
      </c>
      <c r="AC71" s="416">
        <v>51.25</v>
      </c>
      <c r="AD71" s="419">
        <v>1</v>
      </c>
      <c r="AE71" s="417">
        <v>17</v>
      </c>
      <c r="AF71" s="177">
        <v>1</v>
      </c>
      <c r="AG71" s="178">
        <v>4</v>
      </c>
      <c r="AH71" s="174">
        <v>6</v>
      </c>
      <c r="AI71" s="174">
        <v>2026</v>
      </c>
      <c r="AJ71" s="139">
        <f t="shared" si="0"/>
        <v>64</v>
      </c>
      <c r="AK71" s="388"/>
      <c r="AL71" s="383">
        <f t="shared" si="1"/>
        <v>0</v>
      </c>
    </row>
    <row r="72" spans="3:38" ht="24" customHeight="1">
      <c r="C72" s="174">
        <v>65</v>
      </c>
      <c r="D72" s="174" t="s">
        <v>1652</v>
      </c>
      <c r="E72" s="175" t="s">
        <v>1683</v>
      </c>
      <c r="F72" s="401">
        <v>46195</v>
      </c>
      <c r="G72" s="176">
        <v>46226.923055555555</v>
      </c>
      <c r="H72" s="174">
        <v>1</v>
      </c>
      <c r="I72" s="174">
        <v>1</v>
      </c>
      <c r="J72" s="174">
        <v>1</v>
      </c>
      <c r="K72" s="174">
        <v>2</v>
      </c>
      <c r="L72" s="174">
        <v>1</v>
      </c>
      <c r="M72" s="174">
        <v>1</v>
      </c>
      <c r="N72" s="174">
        <v>1</v>
      </c>
      <c r="O72" s="174">
        <v>1</v>
      </c>
      <c r="P72" s="174">
        <v>1</v>
      </c>
      <c r="Q72" s="174">
        <v>2</v>
      </c>
      <c r="R72" s="328" t="s">
        <v>547</v>
      </c>
      <c r="S72" s="329" t="s">
        <v>548</v>
      </c>
      <c r="T72" s="180">
        <v>4024</v>
      </c>
      <c r="V72" s="202">
        <v>0</v>
      </c>
      <c r="Y72" s="392">
        <v>45</v>
      </c>
      <c r="Z72" s="392">
        <v>0</v>
      </c>
      <c r="AA72" s="391">
        <v>0</v>
      </c>
      <c r="AB72" s="391">
        <v>0</v>
      </c>
      <c r="AC72" s="416">
        <v>45</v>
      </c>
      <c r="AD72" s="419">
        <v>1</v>
      </c>
      <c r="AE72" s="417">
        <v>21</v>
      </c>
      <c r="AF72" s="177">
        <v>1</v>
      </c>
      <c r="AG72" s="178">
        <v>4</v>
      </c>
      <c r="AH72" s="174">
        <v>6</v>
      </c>
      <c r="AI72" s="174">
        <v>2026</v>
      </c>
      <c r="AJ72" s="139">
        <f t="shared" si="0"/>
        <v>65</v>
      </c>
      <c r="AK72" s="388"/>
      <c r="AL72" s="383">
        <f t="shared" si="1"/>
        <v>0</v>
      </c>
    </row>
    <row r="73" spans="3:38" ht="24" customHeight="1">
      <c r="C73" s="174">
        <v>66</v>
      </c>
      <c r="D73" s="174" t="s">
        <v>1699</v>
      </c>
      <c r="E73" s="175" t="s">
        <v>1688</v>
      </c>
      <c r="F73" s="401">
        <v>46196</v>
      </c>
      <c r="G73" s="176">
        <v>46226.932488425926</v>
      </c>
      <c r="H73" s="174">
        <v>1</v>
      </c>
      <c r="I73" s="174">
        <v>1</v>
      </c>
      <c r="J73" s="174">
        <v>1</v>
      </c>
      <c r="K73" s="174">
        <v>2</v>
      </c>
      <c r="L73" s="174">
        <v>1</v>
      </c>
      <c r="M73" s="174">
        <v>1</v>
      </c>
      <c r="N73" s="174">
        <v>1</v>
      </c>
      <c r="O73" s="174">
        <v>1</v>
      </c>
      <c r="P73" s="174">
        <v>1</v>
      </c>
      <c r="Q73" s="174">
        <v>2</v>
      </c>
      <c r="R73" s="328" t="s">
        <v>547</v>
      </c>
      <c r="S73" s="329" t="s">
        <v>548</v>
      </c>
      <c r="T73" s="180">
        <v>4024</v>
      </c>
      <c r="V73" s="202">
        <v>0</v>
      </c>
      <c r="Y73" s="392">
        <v>63.75</v>
      </c>
      <c r="Z73" s="392">
        <v>0</v>
      </c>
      <c r="AA73" s="391">
        <v>0</v>
      </c>
      <c r="AB73" s="391">
        <v>0</v>
      </c>
      <c r="AC73" s="416">
        <v>63.75</v>
      </c>
      <c r="AD73" s="419">
        <v>1</v>
      </c>
      <c r="AE73" s="417">
        <v>26</v>
      </c>
      <c r="AF73" s="177">
        <v>1</v>
      </c>
      <c r="AG73" s="178">
        <v>4</v>
      </c>
      <c r="AH73" s="174">
        <v>6</v>
      </c>
      <c r="AI73" s="174">
        <v>2026</v>
      </c>
      <c r="AJ73" s="139">
        <f t="shared" ref="AJ73:AJ136" si="2">IF(C73="","",C73)</f>
        <v>66</v>
      </c>
      <c r="AK73" s="388"/>
      <c r="AL73" s="383">
        <f t="shared" ref="AL73:AL136" si="3">SUMIFS(AC73:AC10065,AD73:AD10065,"&gt;0",D73:D10065,AK73,AH73:AH10065,6,AI73:AI10065,2026)</f>
        <v>0</v>
      </c>
    </row>
    <row r="74" spans="3:38" ht="24" customHeight="1">
      <c r="C74" s="174">
        <v>67</v>
      </c>
      <c r="D74" s="174" t="s">
        <v>1699</v>
      </c>
      <c r="E74" s="175" t="s">
        <v>1700</v>
      </c>
      <c r="F74" s="401">
        <v>46196</v>
      </c>
      <c r="G74" s="176">
        <v>46226.942037037035</v>
      </c>
      <c r="H74" s="174">
        <v>1</v>
      </c>
      <c r="I74" s="174">
        <v>1</v>
      </c>
      <c r="J74" s="174">
        <v>1</v>
      </c>
      <c r="K74" s="174">
        <v>2</v>
      </c>
      <c r="L74" s="174">
        <v>1</v>
      </c>
      <c r="M74" s="174">
        <v>1</v>
      </c>
      <c r="N74" s="174">
        <v>1</v>
      </c>
      <c r="O74" s="174">
        <v>1</v>
      </c>
      <c r="P74" s="174">
        <v>1</v>
      </c>
      <c r="Q74" s="174">
        <v>2</v>
      </c>
      <c r="R74" s="328" t="s">
        <v>547</v>
      </c>
      <c r="S74" s="329" t="s">
        <v>548</v>
      </c>
      <c r="T74" s="180">
        <v>4024</v>
      </c>
      <c r="V74" s="202">
        <v>0</v>
      </c>
      <c r="Y74" s="392">
        <v>116</v>
      </c>
      <c r="Z74" s="392">
        <v>0</v>
      </c>
      <c r="AA74" s="391">
        <v>0</v>
      </c>
      <c r="AB74" s="391">
        <v>0</v>
      </c>
      <c r="AC74" s="416">
        <v>116</v>
      </c>
      <c r="AD74" s="419">
        <v>1</v>
      </c>
      <c r="AE74" s="417">
        <v>27</v>
      </c>
      <c r="AF74" s="177">
        <v>1</v>
      </c>
      <c r="AG74" s="178">
        <v>4</v>
      </c>
      <c r="AH74" s="174">
        <v>6</v>
      </c>
      <c r="AI74" s="174">
        <v>2026</v>
      </c>
      <c r="AJ74" s="139">
        <f t="shared" si="2"/>
        <v>67</v>
      </c>
      <c r="AK74" s="388"/>
      <c r="AL74" s="383">
        <f t="shared" si="3"/>
        <v>0</v>
      </c>
    </row>
    <row r="75" spans="3:38" ht="24" customHeight="1">
      <c r="C75" s="174">
        <v>68</v>
      </c>
      <c r="D75" s="174" t="s">
        <v>1699</v>
      </c>
      <c r="E75" s="175" t="s">
        <v>1716</v>
      </c>
      <c r="F75" s="401">
        <v>46196</v>
      </c>
      <c r="G75" s="176">
        <v>46226.947048611109</v>
      </c>
      <c r="H75" s="174">
        <v>1</v>
      </c>
      <c r="I75" s="174">
        <v>1</v>
      </c>
      <c r="J75" s="174">
        <v>1</v>
      </c>
      <c r="K75" s="174">
        <v>2</v>
      </c>
      <c r="L75" s="174">
        <v>1</v>
      </c>
      <c r="M75" s="174">
        <v>1</v>
      </c>
      <c r="N75" s="174">
        <v>1</v>
      </c>
      <c r="O75" s="174">
        <v>1</v>
      </c>
      <c r="P75" s="174">
        <v>1</v>
      </c>
      <c r="Q75" s="174">
        <v>2</v>
      </c>
      <c r="R75" s="328" t="s">
        <v>547</v>
      </c>
      <c r="S75" s="329" t="s">
        <v>548</v>
      </c>
      <c r="T75" s="180">
        <v>4024</v>
      </c>
      <c r="V75" s="202">
        <v>0</v>
      </c>
      <c r="Y75" s="392">
        <v>60</v>
      </c>
      <c r="Z75" s="392">
        <v>0</v>
      </c>
      <c r="AA75" s="391">
        <v>0</v>
      </c>
      <c r="AB75" s="391">
        <v>0</v>
      </c>
      <c r="AC75" s="416">
        <v>60</v>
      </c>
      <c r="AD75" s="419">
        <v>1</v>
      </c>
      <c r="AE75" s="417">
        <v>29</v>
      </c>
      <c r="AF75" s="177">
        <v>1</v>
      </c>
      <c r="AG75" s="178">
        <v>4</v>
      </c>
      <c r="AH75" s="174">
        <v>6</v>
      </c>
      <c r="AI75" s="174">
        <v>2026</v>
      </c>
      <c r="AJ75" s="139">
        <f t="shared" si="2"/>
        <v>68</v>
      </c>
      <c r="AK75" s="388"/>
      <c r="AL75" s="383">
        <f t="shared" si="3"/>
        <v>0</v>
      </c>
    </row>
    <row r="76" spans="3:38" ht="24" customHeight="1">
      <c r="C76" s="174">
        <v>69</v>
      </c>
      <c r="D76" s="174" t="s">
        <v>1721</v>
      </c>
      <c r="E76" s="175" t="s">
        <v>1722</v>
      </c>
      <c r="F76" s="401">
        <v>46197</v>
      </c>
      <c r="G76" s="176">
        <v>46226.956666666665</v>
      </c>
      <c r="H76" s="174">
        <v>1</v>
      </c>
      <c r="I76" s="174">
        <v>1</v>
      </c>
      <c r="J76" s="174">
        <v>1</v>
      </c>
      <c r="K76" s="174">
        <v>2</v>
      </c>
      <c r="L76" s="174">
        <v>1</v>
      </c>
      <c r="M76" s="174">
        <v>1</v>
      </c>
      <c r="N76" s="174">
        <v>1</v>
      </c>
      <c r="O76" s="174">
        <v>1</v>
      </c>
      <c r="P76" s="174">
        <v>1</v>
      </c>
      <c r="Q76" s="174">
        <v>2</v>
      </c>
      <c r="R76" s="328" t="s">
        <v>547</v>
      </c>
      <c r="S76" s="329" t="s">
        <v>548</v>
      </c>
      <c r="T76" s="180">
        <v>4024</v>
      </c>
      <c r="V76" s="202">
        <v>0</v>
      </c>
      <c r="Y76" s="392">
        <v>16.5</v>
      </c>
      <c r="Z76" s="392">
        <v>0</v>
      </c>
      <c r="AA76" s="391">
        <v>0</v>
      </c>
      <c r="AB76" s="391">
        <v>0</v>
      </c>
      <c r="AC76" s="416">
        <v>16.5</v>
      </c>
      <c r="AD76" s="419">
        <v>1</v>
      </c>
      <c r="AE76" s="417">
        <v>33</v>
      </c>
      <c r="AF76" s="177">
        <v>1</v>
      </c>
      <c r="AG76" s="178">
        <v>4</v>
      </c>
      <c r="AH76" s="174">
        <v>6</v>
      </c>
      <c r="AI76" s="174">
        <v>2026</v>
      </c>
      <c r="AJ76" s="139">
        <f t="shared" si="2"/>
        <v>69</v>
      </c>
      <c r="AK76" s="388"/>
      <c r="AL76" s="383">
        <f t="shared" si="3"/>
        <v>0</v>
      </c>
    </row>
    <row r="77" spans="3:38" ht="24" customHeight="1">
      <c r="C77" s="174">
        <v>70</v>
      </c>
      <c r="D77" s="174" t="s">
        <v>1721</v>
      </c>
      <c r="E77" s="175" t="s">
        <v>1730</v>
      </c>
      <c r="F77" s="401">
        <v>46197</v>
      </c>
      <c r="G77" s="176">
        <v>46226.960601851853</v>
      </c>
      <c r="H77" s="174">
        <v>1</v>
      </c>
      <c r="I77" s="174">
        <v>1</v>
      </c>
      <c r="J77" s="174">
        <v>1</v>
      </c>
      <c r="K77" s="174">
        <v>2</v>
      </c>
      <c r="L77" s="174">
        <v>1</v>
      </c>
      <c r="M77" s="174">
        <v>1</v>
      </c>
      <c r="N77" s="174">
        <v>1</v>
      </c>
      <c r="O77" s="174">
        <v>1</v>
      </c>
      <c r="P77" s="174">
        <v>1</v>
      </c>
      <c r="Q77" s="174">
        <v>2</v>
      </c>
      <c r="R77" s="328" t="s">
        <v>547</v>
      </c>
      <c r="S77" s="329" t="s">
        <v>548</v>
      </c>
      <c r="T77" s="180">
        <v>4024</v>
      </c>
      <c r="V77" s="202">
        <v>0</v>
      </c>
      <c r="Y77" s="392">
        <v>60.25</v>
      </c>
      <c r="Z77" s="392">
        <v>0</v>
      </c>
      <c r="AA77" s="391">
        <v>0</v>
      </c>
      <c r="AB77" s="391">
        <v>0</v>
      </c>
      <c r="AC77" s="416">
        <v>60.25</v>
      </c>
      <c r="AD77" s="419">
        <v>1</v>
      </c>
      <c r="AE77" s="417">
        <v>39</v>
      </c>
      <c r="AF77" s="177">
        <v>1</v>
      </c>
      <c r="AG77" s="178">
        <v>4</v>
      </c>
      <c r="AH77" s="174">
        <v>6</v>
      </c>
      <c r="AI77" s="174">
        <v>2026</v>
      </c>
      <c r="AJ77" s="139">
        <f t="shared" si="2"/>
        <v>70</v>
      </c>
      <c r="AK77" s="388"/>
      <c r="AL77" s="383">
        <f t="shared" si="3"/>
        <v>0</v>
      </c>
    </row>
    <row r="78" spans="3:38" ht="24" customHeight="1">
      <c r="C78" s="174">
        <v>71</v>
      </c>
      <c r="D78" s="174" t="s">
        <v>1721</v>
      </c>
      <c r="E78" s="175" t="s">
        <v>1738</v>
      </c>
      <c r="F78" s="401">
        <v>46197</v>
      </c>
      <c r="G78" s="176">
        <v>46226.967905092592</v>
      </c>
      <c r="H78" s="174">
        <v>1</v>
      </c>
      <c r="I78" s="174">
        <v>1</v>
      </c>
      <c r="J78" s="174">
        <v>1</v>
      </c>
      <c r="K78" s="174">
        <v>2</v>
      </c>
      <c r="L78" s="174">
        <v>1</v>
      </c>
      <c r="M78" s="174">
        <v>1</v>
      </c>
      <c r="N78" s="174">
        <v>1</v>
      </c>
      <c r="O78" s="174">
        <v>1</v>
      </c>
      <c r="P78" s="174">
        <v>1</v>
      </c>
      <c r="Q78" s="174">
        <v>2</v>
      </c>
      <c r="R78" s="328" t="s">
        <v>547</v>
      </c>
      <c r="S78" s="329" t="s">
        <v>548</v>
      </c>
      <c r="T78" s="180">
        <v>4024</v>
      </c>
      <c r="V78" s="202">
        <v>0</v>
      </c>
      <c r="Y78" s="392">
        <v>81.75</v>
      </c>
      <c r="Z78" s="392">
        <v>0</v>
      </c>
      <c r="AA78" s="391">
        <v>0</v>
      </c>
      <c r="AB78" s="391">
        <v>0</v>
      </c>
      <c r="AC78" s="416">
        <v>81.75</v>
      </c>
      <c r="AD78" s="419">
        <v>1</v>
      </c>
      <c r="AE78" s="417">
        <v>41</v>
      </c>
      <c r="AF78" s="177">
        <v>1</v>
      </c>
      <c r="AG78" s="178">
        <v>4</v>
      </c>
      <c r="AH78" s="174">
        <v>6</v>
      </c>
      <c r="AI78" s="174">
        <v>2026</v>
      </c>
      <c r="AJ78" s="139">
        <f t="shared" si="2"/>
        <v>71</v>
      </c>
      <c r="AK78" s="388"/>
      <c r="AL78" s="383">
        <f t="shared" si="3"/>
        <v>0</v>
      </c>
    </row>
    <row r="79" spans="3:38" ht="24" customHeight="1">
      <c r="C79" s="174">
        <v>72</v>
      </c>
      <c r="D79" s="174" t="s">
        <v>1721</v>
      </c>
      <c r="E79" s="175" t="s">
        <v>1756</v>
      </c>
      <c r="F79" s="401">
        <v>46197</v>
      </c>
      <c r="G79" s="176">
        <v>46226.975428240738</v>
      </c>
      <c r="H79" s="174">
        <v>1</v>
      </c>
      <c r="I79" s="174">
        <v>1</v>
      </c>
      <c r="J79" s="174">
        <v>1</v>
      </c>
      <c r="K79" s="174">
        <v>2</v>
      </c>
      <c r="L79" s="174">
        <v>1</v>
      </c>
      <c r="M79" s="174">
        <v>1</v>
      </c>
      <c r="N79" s="174">
        <v>1</v>
      </c>
      <c r="O79" s="174">
        <v>1</v>
      </c>
      <c r="P79" s="174">
        <v>1</v>
      </c>
      <c r="Q79" s="174">
        <v>2</v>
      </c>
      <c r="R79" s="328" t="s">
        <v>547</v>
      </c>
      <c r="S79" s="329" t="s">
        <v>548</v>
      </c>
      <c r="T79" s="180">
        <v>4024</v>
      </c>
      <c r="V79" s="202">
        <v>0</v>
      </c>
      <c r="Y79" s="392">
        <v>89.25</v>
      </c>
      <c r="Z79" s="392">
        <v>0</v>
      </c>
      <c r="AA79" s="391">
        <v>0</v>
      </c>
      <c r="AB79" s="391">
        <v>0</v>
      </c>
      <c r="AC79" s="416">
        <v>89.25</v>
      </c>
      <c r="AD79" s="419">
        <v>1</v>
      </c>
      <c r="AE79" s="417">
        <v>51</v>
      </c>
      <c r="AF79" s="177">
        <v>1</v>
      </c>
      <c r="AG79" s="178">
        <v>4</v>
      </c>
      <c r="AH79" s="174">
        <v>6</v>
      </c>
      <c r="AI79" s="174">
        <v>2026</v>
      </c>
      <c r="AJ79" s="139">
        <f t="shared" si="2"/>
        <v>72</v>
      </c>
      <c r="AK79" s="388"/>
      <c r="AL79" s="383">
        <f t="shared" si="3"/>
        <v>0</v>
      </c>
    </row>
    <row r="80" spans="3:38" ht="24" customHeight="1">
      <c r="C80" s="174">
        <v>73</v>
      </c>
      <c r="D80" s="174" t="s">
        <v>1770</v>
      </c>
      <c r="E80" s="175" t="s">
        <v>1771</v>
      </c>
      <c r="F80" s="401">
        <v>46198</v>
      </c>
      <c r="G80" s="176">
        <v>46226.983715277776</v>
      </c>
      <c r="H80" s="174">
        <v>1</v>
      </c>
      <c r="I80" s="174">
        <v>1</v>
      </c>
      <c r="J80" s="174">
        <v>1</v>
      </c>
      <c r="K80" s="174">
        <v>2</v>
      </c>
      <c r="L80" s="174">
        <v>1</v>
      </c>
      <c r="M80" s="174">
        <v>1</v>
      </c>
      <c r="N80" s="174">
        <v>1</v>
      </c>
      <c r="O80" s="174">
        <v>1</v>
      </c>
      <c r="P80" s="174">
        <v>1</v>
      </c>
      <c r="Q80" s="174">
        <v>2</v>
      </c>
      <c r="R80" s="328" t="s">
        <v>547</v>
      </c>
      <c r="S80" s="329" t="s">
        <v>548</v>
      </c>
      <c r="T80" s="180">
        <v>4024</v>
      </c>
      <c r="V80" s="202">
        <v>0</v>
      </c>
      <c r="Y80" s="392">
        <v>62.5</v>
      </c>
      <c r="Z80" s="392">
        <v>0</v>
      </c>
      <c r="AA80" s="391">
        <v>0</v>
      </c>
      <c r="AB80" s="391">
        <v>0</v>
      </c>
      <c r="AC80" s="416">
        <v>62.5</v>
      </c>
      <c r="AD80" s="419">
        <v>1</v>
      </c>
      <c r="AE80" s="417">
        <v>56</v>
      </c>
      <c r="AF80" s="177">
        <v>1</v>
      </c>
      <c r="AG80" s="178">
        <v>4</v>
      </c>
      <c r="AH80" s="174">
        <v>6</v>
      </c>
      <c r="AI80" s="174">
        <v>2026</v>
      </c>
      <c r="AJ80" s="139">
        <f t="shared" si="2"/>
        <v>73</v>
      </c>
      <c r="AK80" s="388"/>
      <c r="AL80" s="383">
        <f t="shared" si="3"/>
        <v>0</v>
      </c>
    </row>
    <row r="81" spans="3:38" ht="24" customHeight="1">
      <c r="C81" s="174">
        <v>74</v>
      </c>
      <c r="D81" s="174" t="s">
        <v>1770</v>
      </c>
      <c r="E81" s="175" t="s">
        <v>1782</v>
      </c>
      <c r="F81" s="401">
        <v>46198</v>
      </c>
      <c r="G81" s="176">
        <v>46227.027627314812</v>
      </c>
      <c r="H81" s="174">
        <v>1</v>
      </c>
      <c r="I81" s="174">
        <v>1</v>
      </c>
      <c r="J81" s="174">
        <v>1</v>
      </c>
      <c r="K81" s="174">
        <v>2</v>
      </c>
      <c r="L81" s="174">
        <v>1</v>
      </c>
      <c r="M81" s="174">
        <v>1</v>
      </c>
      <c r="N81" s="174">
        <v>1</v>
      </c>
      <c r="O81" s="174">
        <v>1</v>
      </c>
      <c r="P81" s="174">
        <v>1</v>
      </c>
      <c r="Q81" s="174">
        <v>2</v>
      </c>
      <c r="R81" s="328" t="s">
        <v>547</v>
      </c>
      <c r="S81" s="329" t="s">
        <v>548</v>
      </c>
      <c r="T81" s="180">
        <v>4024</v>
      </c>
      <c r="V81" s="202">
        <v>0</v>
      </c>
      <c r="Y81" s="392">
        <v>59.58</v>
      </c>
      <c r="Z81" s="392">
        <v>0</v>
      </c>
      <c r="AA81" s="391">
        <v>0</v>
      </c>
      <c r="AB81" s="391">
        <v>0</v>
      </c>
      <c r="AC81" s="416">
        <v>59.58</v>
      </c>
      <c r="AD81" s="419">
        <v>1</v>
      </c>
      <c r="AE81" s="417">
        <v>59</v>
      </c>
      <c r="AF81" s="177">
        <v>1</v>
      </c>
      <c r="AG81" s="178">
        <v>4</v>
      </c>
      <c r="AH81" s="174">
        <v>6</v>
      </c>
      <c r="AI81" s="174">
        <v>2026</v>
      </c>
      <c r="AJ81" s="139">
        <f t="shared" si="2"/>
        <v>74</v>
      </c>
      <c r="AK81" s="388"/>
      <c r="AL81" s="383">
        <f t="shared" si="3"/>
        <v>0</v>
      </c>
    </row>
    <row r="82" spans="3:38" ht="24" customHeight="1">
      <c r="C82" s="174">
        <v>75</v>
      </c>
      <c r="D82" s="174" t="s">
        <v>1770</v>
      </c>
      <c r="E82" s="175" t="s">
        <v>1799</v>
      </c>
      <c r="F82" s="401">
        <v>46198</v>
      </c>
      <c r="G82" s="176">
        <v>46227.038923611108</v>
      </c>
      <c r="H82" s="174">
        <v>1</v>
      </c>
      <c r="I82" s="174">
        <v>1</v>
      </c>
      <c r="J82" s="174">
        <v>1</v>
      </c>
      <c r="K82" s="174">
        <v>2</v>
      </c>
      <c r="L82" s="174">
        <v>1</v>
      </c>
      <c r="M82" s="174">
        <v>1</v>
      </c>
      <c r="N82" s="174">
        <v>1</v>
      </c>
      <c r="O82" s="174">
        <v>1</v>
      </c>
      <c r="P82" s="174">
        <v>1</v>
      </c>
      <c r="Q82" s="174">
        <v>2</v>
      </c>
      <c r="R82" s="328" t="s">
        <v>547</v>
      </c>
      <c r="S82" s="329" t="s">
        <v>548</v>
      </c>
      <c r="T82" s="180">
        <v>4024</v>
      </c>
      <c r="V82" s="202">
        <v>0</v>
      </c>
      <c r="Y82" s="392">
        <v>23</v>
      </c>
      <c r="Z82" s="392">
        <v>0</v>
      </c>
      <c r="AA82" s="391">
        <v>0</v>
      </c>
      <c r="AB82" s="391">
        <v>0</v>
      </c>
      <c r="AC82" s="416">
        <v>23</v>
      </c>
      <c r="AD82" s="419">
        <v>1</v>
      </c>
      <c r="AE82" s="417">
        <v>67</v>
      </c>
      <c r="AF82" s="177">
        <v>1</v>
      </c>
      <c r="AG82" s="178">
        <v>4</v>
      </c>
      <c r="AH82" s="174">
        <v>6</v>
      </c>
      <c r="AI82" s="174">
        <v>2026</v>
      </c>
      <c r="AJ82" s="139">
        <f t="shared" si="2"/>
        <v>75</v>
      </c>
      <c r="AK82" s="388"/>
      <c r="AL82" s="383">
        <f t="shared" si="3"/>
        <v>0</v>
      </c>
    </row>
    <row r="83" spans="3:38" ht="24" customHeight="1">
      <c r="C83" s="174">
        <v>76</v>
      </c>
      <c r="D83" s="174" t="s">
        <v>1770</v>
      </c>
      <c r="E83" s="175" t="s">
        <v>1827</v>
      </c>
      <c r="F83" s="401">
        <v>46198</v>
      </c>
      <c r="G83" s="176">
        <v>46227.066759259258</v>
      </c>
      <c r="H83" s="174">
        <v>1</v>
      </c>
      <c r="I83" s="174">
        <v>1</v>
      </c>
      <c r="J83" s="174">
        <v>1</v>
      </c>
      <c r="K83" s="174">
        <v>2</v>
      </c>
      <c r="L83" s="174">
        <v>1</v>
      </c>
      <c r="M83" s="174">
        <v>1</v>
      </c>
      <c r="N83" s="174">
        <v>1</v>
      </c>
      <c r="O83" s="174">
        <v>1</v>
      </c>
      <c r="P83" s="174">
        <v>1</v>
      </c>
      <c r="Q83" s="174">
        <v>2</v>
      </c>
      <c r="R83" s="328" t="s">
        <v>547</v>
      </c>
      <c r="S83" s="329" t="s">
        <v>548</v>
      </c>
      <c r="T83" s="180">
        <v>4024</v>
      </c>
      <c r="V83" s="202">
        <v>0</v>
      </c>
      <c r="Y83" s="392">
        <v>50.5</v>
      </c>
      <c r="Z83" s="392">
        <v>0</v>
      </c>
      <c r="AA83" s="391">
        <v>0</v>
      </c>
      <c r="AB83" s="391">
        <v>0</v>
      </c>
      <c r="AC83" s="416">
        <v>50.5</v>
      </c>
      <c r="AD83" s="419">
        <v>1</v>
      </c>
      <c r="AE83" s="417">
        <v>69</v>
      </c>
      <c r="AF83" s="177">
        <v>1</v>
      </c>
      <c r="AG83" s="178">
        <v>4</v>
      </c>
      <c r="AH83" s="174">
        <v>6</v>
      </c>
      <c r="AI83" s="174">
        <v>2026</v>
      </c>
      <c r="AJ83" s="139">
        <f t="shared" si="2"/>
        <v>76</v>
      </c>
      <c r="AK83" s="388"/>
      <c r="AL83" s="383">
        <f t="shared" si="3"/>
        <v>0</v>
      </c>
    </row>
    <row r="84" spans="3:38" ht="24" customHeight="1">
      <c r="C84" s="174">
        <v>77</v>
      </c>
      <c r="D84" s="174" t="s">
        <v>1856</v>
      </c>
      <c r="E84" s="175" t="s">
        <v>1857</v>
      </c>
      <c r="F84" s="401">
        <v>46199</v>
      </c>
      <c r="G84" s="176">
        <v>46227.073946759258</v>
      </c>
      <c r="H84" s="174">
        <v>1</v>
      </c>
      <c r="I84" s="174">
        <v>1</v>
      </c>
      <c r="J84" s="174">
        <v>1</v>
      </c>
      <c r="K84" s="174">
        <v>2</v>
      </c>
      <c r="L84" s="174">
        <v>1</v>
      </c>
      <c r="M84" s="174">
        <v>1</v>
      </c>
      <c r="N84" s="174">
        <v>1</v>
      </c>
      <c r="O84" s="174">
        <v>1</v>
      </c>
      <c r="P84" s="174">
        <v>1</v>
      </c>
      <c r="Q84" s="174">
        <v>2</v>
      </c>
      <c r="R84" s="328" t="s">
        <v>547</v>
      </c>
      <c r="S84" s="329" t="s">
        <v>548</v>
      </c>
      <c r="T84" s="180">
        <v>4024</v>
      </c>
      <c r="V84" s="202">
        <v>0</v>
      </c>
      <c r="Y84" s="392">
        <v>39.5</v>
      </c>
      <c r="Z84" s="392">
        <v>0</v>
      </c>
      <c r="AA84" s="391">
        <v>0</v>
      </c>
      <c r="AB84" s="391">
        <v>0</v>
      </c>
      <c r="AC84" s="416">
        <v>39.5</v>
      </c>
      <c r="AD84" s="419">
        <v>1</v>
      </c>
      <c r="AE84" s="417">
        <v>72</v>
      </c>
      <c r="AF84" s="177">
        <v>1</v>
      </c>
      <c r="AG84" s="178">
        <v>4</v>
      </c>
      <c r="AH84" s="174">
        <v>6</v>
      </c>
      <c r="AI84" s="174">
        <v>2026</v>
      </c>
      <c r="AJ84" s="139">
        <f t="shared" si="2"/>
        <v>77</v>
      </c>
      <c r="AK84" s="388"/>
      <c r="AL84" s="383">
        <f t="shared" si="3"/>
        <v>0</v>
      </c>
    </row>
    <row r="85" spans="3:38" ht="24" customHeight="1">
      <c r="C85" s="174">
        <v>78</v>
      </c>
      <c r="D85" s="174" t="s">
        <v>1856</v>
      </c>
      <c r="E85" s="175" t="s">
        <v>1874</v>
      </c>
      <c r="F85" s="401">
        <v>46199</v>
      </c>
      <c r="G85" s="176">
        <v>46227.075613425928</v>
      </c>
      <c r="H85" s="174">
        <v>1</v>
      </c>
      <c r="I85" s="174">
        <v>1</v>
      </c>
      <c r="J85" s="174">
        <v>1</v>
      </c>
      <c r="K85" s="174">
        <v>2</v>
      </c>
      <c r="L85" s="174">
        <v>1</v>
      </c>
      <c r="M85" s="174">
        <v>1</v>
      </c>
      <c r="N85" s="174">
        <v>1</v>
      </c>
      <c r="O85" s="174">
        <v>1</v>
      </c>
      <c r="P85" s="174">
        <v>1</v>
      </c>
      <c r="Q85" s="174">
        <v>2</v>
      </c>
      <c r="R85" s="328" t="s">
        <v>547</v>
      </c>
      <c r="S85" s="329" t="s">
        <v>548</v>
      </c>
      <c r="T85" s="180">
        <v>4024</v>
      </c>
      <c r="V85" s="202">
        <v>0</v>
      </c>
      <c r="Y85" s="392">
        <v>45</v>
      </c>
      <c r="Z85" s="392">
        <v>0</v>
      </c>
      <c r="AA85" s="391">
        <v>0</v>
      </c>
      <c r="AB85" s="391">
        <v>0</v>
      </c>
      <c r="AC85" s="416">
        <v>45</v>
      </c>
      <c r="AD85" s="419">
        <v>1</v>
      </c>
      <c r="AE85" s="417">
        <v>77</v>
      </c>
      <c r="AF85" s="177">
        <v>1</v>
      </c>
      <c r="AG85" s="178">
        <v>4</v>
      </c>
      <c r="AH85" s="174">
        <v>6</v>
      </c>
      <c r="AI85" s="174">
        <v>2026</v>
      </c>
      <c r="AJ85" s="139">
        <f t="shared" si="2"/>
        <v>78</v>
      </c>
      <c r="AK85" s="388"/>
      <c r="AL85" s="383">
        <f t="shared" si="3"/>
        <v>0</v>
      </c>
    </row>
    <row r="86" spans="3:38" ht="24" customHeight="1">
      <c r="C86" s="174">
        <v>79</v>
      </c>
      <c r="D86" s="174" t="s">
        <v>1856</v>
      </c>
      <c r="E86" s="175" t="s">
        <v>1879</v>
      </c>
      <c r="F86" s="401">
        <v>46199</v>
      </c>
      <c r="G86" s="176">
        <v>46227.084236111114</v>
      </c>
      <c r="H86" s="174">
        <v>1</v>
      </c>
      <c r="I86" s="174">
        <v>1</v>
      </c>
      <c r="J86" s="174">
        <v>1</v>
      </c>
      <c r="K86" s="174">
        <v>2</v>
      </c>
      <c r="L86" s="174">
        <v>1</v>
      </c>
      <c r="M86" s="174">
        <v>1</v>
      </c>
      <c r="N86" s="174">
        <v>1</v>
      </c>
      <c r="O86" s="174">
        <v>1</v>
      </c>
      <c r="P86" s="174">
        <v>1</v>
      </c>
      <c r="Q86" s="174">
        <v>2</v>
      </c>
      <c r="R86" s="328" t="s">
        <v>547</v>
      </c>
      <c r="S86" s="329" t="s">
        <v>548</v>
      </c>
      <c r="T86" s="180">
        <v>4024</v>
      </c>
      <c r="V86" s="202">
        <v>0</v>
      </c>
      <c r="Y86" s="392">
        <v>57.5</v>
      </c>
      <c r="Z86" s="392">
        <v>0</v>
      </c>
      <c r="AA86" s="391">
        <v>0</v>
      </c>
      <c r="AB86" s="391">
        <v>0</v>
      </c>
      <c r="AC86" s="416">
        <v>57.5</v>
      </c>
      <c r="AD86" s="419">
        <v>1</v>
      </c>
      <c r="AE86" s="417">
        <v>81</v>
      </c>
      <c r="AF86" s="177">
        <v>1</v>
      </c>
      <c r="AG86" s="178">
        <v>4</v>
      </c>
      <c r="AH86" s="174">
        <v>6</v>
      </c>
      <c r="AI86" s="174">
        <v>2026</v>
      </c>
      <c r="AJ86" s="139">
        <f t="shared" si="2"/>
        <v>79</v>
      </c>
      <c r="AK86" s="388"/>
      <c r="AL86" s="383">
        <f t="shared" si="3"/>
        <v>0</v>
      </c>
    </row>
    <row r="87" spans="3:38" ht="24" customHeight="1">
      <c r="C87" s="174">
        <v>80</v>
      </c>
      <c r="D87" s="174" t="s">
        <v>1890</v>
      </c>
      <c r="E87" s="175" t="s">
        <v>1891</v>
      </c>
      <c r="F87" s="401">
        <v>46200</v>
      </c>
      <c r="G87" s="176">
        <v>46227.27244212963</v>
      </c>
      <c r="H87" s="174">
        <v>1</v>
      </c>
      <c r="I87" s="174">
        <v>1</v>
      </c>
      <c r="J87" s="174">
        <v>1</v>
      </c>
      <c r="K87" s="174">
        <v>2</v>
      </c>
      <c r="L87" s="174">
        <v>1</v>
      </c>
      <c r="M87" s="174">
        <v>1</v>
      </c>
      <c r="N87" s="174">
        <v>1</v>
      </c>
      <c r="O87" s="174">
        <v>1</v>
      </c>
      <c r="P87" s="174">
        <v>1</v>
      </c>
      <c r="Q87" s="174">
        <v>2</v>
      </c>
      <c r="R87" s="328" t="s">
        <v>547</v>
      </c>
      <c r="S87" s="329" t="s">
        <v>548</v>
      </c>
      <c r="T87" s="180">
        <v>4024</v>
      </c>
      <c r="V87" s="202">
        <v>0</v>
      </c>
      <c r="Y87" s="392">
        <v>45</v>
      </c>
      <c r="Z87" s="392">
        <v>0</v>
      </c>
      <c r="AA87" s="391">
        <v>0</v>
      </c>
      <c r="AB87" s="391">
        <v>0</v>
      </c>
      <c r="AC87" s="416">
        <v>45</v>
      </c>
      <c r="AD87" s="419">
        <v>1</v>
      </c>
      <c r="AE87" s="417">
        <v>92</v>
      </c>
      <c r="AF87" s="177">
        <v>1</v>
      </c>
      <c r="AG87" s="178">
        <v>4</v>
      </c>
      <c r="AH87" s="174">
        <v>6</v>
      </c>
      <c r="AI87" s="174">
        <v>2026</v>
      </c>
      <c r="AJ87" s="139">
        <f t="shared" si="2"/>
        <v>80</v>
      </c>
      <c r="AK87" s="388"/>
      <c r="AL87" s="383">
        <f t="shared" si="3"/>
        <v>0</v>
      </c>
    </row>
    <row r="88" spans="3:38" ht="24" customHeight="1">
      <c r="C88" s="174">
        <v>81</v>
      </c>
      <c r="D88" s="174" t="s">
        <v>1890</v>
      </c>
      <c r="E88" s="175" t="s">
        <v>1896</v>
      </c>
      <c r="F88" s="401">
        <v>46200</v>
      </c>
      <c r="G88" s="176">
        <v>46227.276273148149</v>
      </c>
      <c r="H88" s="174">
        <v>1</v>
      </c>
      <c r="I88" s="174">
        <v>1</v>
      </c>
      <c r="J88" s="174">
        <v>1</v>
      </c>
      <c r="K88" s="174">
        <v>2</v>
      </c>
      <c r="L88" s="174">
        <v>1</v>
      </c>
      <c r="M88" s="174">
        <v>1</v>
      </c>
      <c r="N88" s="174">
        <v>1</v>
      </c>
      <c r="O88" s="174">
        <v>1</v>
      </c>
      <c r="P88" s="174">
        <v>1</v>
      </c>
      <c r="Q88" s="174">
        <v>2</v>
      </c>
      <c r="R88" s="328" t="s">
        <v>547</v>
      </c>
      <c r="S88" s="329" t="s">
        <v>548</v>
      </c>
      <c r="T88" s="180">
        <v>4024</v>
      </c>
      <c r="V88" s="202">
        <v>0</v>
      </c>
      <c r="Y88" s="392">
        <v>96.5</v>
      </c>
      <c r="Z88" s="392">
        <v>0</v>
      </c>
      <c r="AA88" s="391">
        <v>0</v>
      </c>
      <c r="AB88" s="391">
        <v>0</v>
      </c>
      <c r="AC88" s="416">
        <v>96.5</v>
      </c>
      <c r="AD88" s="419">
        <v>1</v>
      </c>
      <c r="AE88" s="417">
        <v>97</v>
      </c>
      <c r="AF88" s="177">
        <v>1</v>
      </c>
      <c r="AG88" s="178">
        <v>4</v>
      </c>
      <c r="AH88" s="174">
        <v>6</v>
      </c>
      <c r="AI88" s="174">
        <v>2026</v>
      </c>
      <c r="AJ88" s="139">
        <f t="shared" si="2"/>
        <v>81</v>
      </c>
      <c r="AK88" s="388"/>
      <c r="AL88" s="383">
        <f t="shared" si="3"/>
        <v>0</v>
      </c>
    </row>
    <row r="89" spans="3:38" ht="24" customHeight="1">
      <c r="C89" s="174">
        <v>82</v>
      </c>
      <c r="D89" s="174" t="s">
        <v>1890</v>
      </c>
      <c r="E89" s="175" t="s">
        <v>1910</v>
      </c>
      <c r="F89" s="401">
        <v>46200</v>
      </c>
      <c r="G89" s="176">
        <v>46227.278680555559</v>
      </c>
      <c r="H89" s="174">
        <v>1</v>
      </c>
      <c r="I89" s="174">
        <v>1</v>
      </c>
      <c r="J89" s="174">
        <v>1</v>
      </c>
      <c r="K89" s="174">
        <v>2</v>
      </c>
      <c r="L89" s="174">
        <v>1</v>
      </c>
      <c r="M89" s="174">
        <v>1</v>
      </c>
      <c r="N89" s="174">
        <v>1</v>
      </c>
      <c r="O89" s="174">
        <v>1</v>
      </c>
      <c r="P89" s="174">
        <v>1</v>
      </c>
      <c r="Q89" s="174">
        <v>2</v>
      </c>
      <c r="R89" s="328" t="s">
        <v>547</v>
      </c>
      <c r="S89" s="329" t="s">
        <v>548</v>
      </c>
      <c r="T89" s="180">
        <v>4024</v>
      </c>
      <c r="V89" s="202">
        <v>0</v>
      </c>
      <c r="Y89" s="392">
        <v>67.5</v>
      </c>
      <c r="Z89" s="392">
        <v>0</v>
      </c>
      <c r="AA89" s="391">
        <v>0</v>
      </c>
      <c r="AB89" s="391">
        <v>0</v>
      </c>
      <c r="AC89" s="416">
        <v>67.5</v>
      </c>
      <c r="AD89" s="419">
        <v>1</v>
      </c>
      <c r="AE89" s="417">
        <v>100</v>
      </c>
      <c r="AF89" s="177">
        <v>1</v>
      </c>
      <c r="AG89" s="178">
        <v>4</v>
      </c>
      <c r="AH89" s="174">
        <v>6</v>
      </c>
      <c r="AI89" s="174">
        <v>2026</v>
      </c>
      <c r="AJ89" s="139">
        <f t="shared" si="2"/>
        <v>82</v>
      </c>
      <c r="AK89" s="388"/>
      <c r="AL89" s="383">
        <f t="shared" si="3"/>
        <v>0</v>
      </c>
    </row>
    <row r="90" spans="3:38" ht="24" customHeight="1">
      <c r="C90" s="174">
        <v>83</v>
      </c>
      <c r="D90" s="174" t="s">
        <v>1918</v>
      </c>
      <c r="E90" s="175" t="s">
        <v>1919</v>
      </c>
      <c r="F90" s="401">
        <v>46201</v>
      </c>
      <c r="G90" s="176">
        <v>46227.298263888886</v>
      </c>
      <c r="H90" s="174">
        <v>1</v>
      </c>
      <c r="I90" s="174">
        <v>1</v>
      </c>
      <c r="J90" s="174">
        <v>1</v>
      </c>
      <c r="K90" s="174">
        <v>2</v>
      </c>
      <c r="L90" s="174">
        <v>1</v>
      </c>
      <c r="M90" s="174">
        <v>1</v>
      </c>
      <c r="N90" s="174">
        <v>1</v>
      </c>
      <c r="O90" s="174">
        <v>1</v>
      </c>
      <c r="P90" s="174">
        <v>1</v>
      </c>
      <c r="Q90" s="174">
        <v>2</v>
      </c>
      <c r="R90" s="328" t="s">
        <v>547</v>
      </c>
      <c r="S90" s="329" t="s">
        <v>548</v>
      </c>
      <c r="T90" s="180">
        <v>4024</v>
      </c>
      <c r="V90" s="202">
        <v>0</v>
      </c>
      <c r="Y90" s="392">
        <v>53.25</v>
      </c>
      <c r="Z90" s="392">
        <v>0</v>
      </c>
      <c r="AA90" s="391">
        <v>0</v>
      </c>
      <c r="AB90" s="391">
        <v>0</v>
      </c>
      <c r="AC90" s="416">
        <v>53.25</v>
      </c>
      <c r="AD90" s="419">
        <v>1</v>
      </c>
      <c r="AE90" s="417">
        <v>102</v>
      </c>
      <c r="AF90" s="177">
        <v>1</v>
      </c>
      <c r="AG90" s="178">
        <v>4</v>
      </c>
      <c r="AH90" s="174">
        <v>6</v>
      </c>
      <c r="AI90" s="174">
        <v>2026</v>
      </c>
      <c r="AJ90" s="139">
        <f t="shared" si="2"/>
        <v>83</v>
      </c>
      <c r="AK90" s="388"/>
      <c r="AL90" s="383">
        <f t="shared" si="3"/>
        <v>0</v>
      </c>
    </row>
    <row r="91" spans="3:38" ht="24" customHeight="1">
      <c r="C91" s="174">
        <v>84</v>
      </c>
      <c r="D91" s="174" t="s">
        <v>1918</v>
      </c>
      <c r="E91" s="175" t="s">
        <v>1934</v>
      </c>
      <c r="F91" s="401">
        <v>46201</v>
      </c>
      <c r="G91" s="176">
        <v>46227.418321759258</v>
      </c>
      <c r="H91" s="174">
        <v>1</v>
      </c>
      <c r="I91" s="174">
        <v>1</v>
      </c>
      <c r="J91" s="174">
        <v>1</v>
      </c>
      <c r="K91" s="174">
        <v>2</v>
      </c>
      <c r="L91" s="174">
        <v>1</v>
      </c>
      <c r="M91" s="174">
        <v>1</v>
      </c>
      <c r="N91" s="174">
        <v>1</v>
      </c>
      <c r="O91" s="174">
        <v>1</v>
      </c>
      <c r="P91" s="174">
        <v>1</v>
      </c>
      <c r="Q91" s="174">
        <v>2</v>
      </c>
      <c r="R91" s="328" t="s">
        <v>547</v>
      </c>
      <c r="S91" s="329" t="s">
        <v>548</v>
      </c>
      <c r="T91" s="180">
        <v>4024</v>
      </c>
      <c r="V91" s="202">
        <v>0</v>
      </c>
      <c r="Y91" s="392">
        <v>49.51</v>
      </c>
      <c r="Z91" s="392">
        <v>0</v>
      </c>
      <c r="AA91" s="391">
        <v>0</v>
      </c>
      <c r="AB91" s="391">
        <v>0</v>
      </c>
      <c r="AC91" s="416">
        <v>49.51</v>
      </c>
      <c r="AD91" s="419">
        <v>1</v>
      </c>
      <c r="AE91" s="417">
        <v>109</v>
      </c>
      <c r="AF91" s="177">
        <v>1</v>
      </c>
      <c r="AG91" s="178">
        <v>4</v>
      </c>
      <c r="AH91" s="174">
        <v>6</v>
      </c>
      <c r="AI91" s="174">
        <v>2026</v>
      </c>
      <c r="AJ91" s="139">
        <f t="shared" si="2"/>
        <v>84</v>
      </c>
      <c r="AK91" s="388"/>
      <c r="AL91" s="383">
        <f t="shared" si="3"/>
        <v>0</v>
      </c>
    </row>
    <row r="92" spans="3:38" ht="24" customHeight="1">
      <c r="C92" s="174">
        <v>85</v>
      </c>
      <c r="D92" s="174" t="s">
        <v>1918</v>
      </c>
      <c r="E92" s="175" t="s">
        <v>1987</v>
      </c>
      <c r="F92" s="401">
        <v>46201</v>
      </c>
      <c r="G92" s="176">
        <v>46227.447060185186</v>
      </c>
      <c r="H92" s="174">
        <v>1</v>
      </c>
      <c r="I92" s="174">
        <v>1</v>
      </c>
      <c r="J92" s="174">
        <v>1</v>
      </c>
      <c r="K92" s="174">
        <v>2</v>
      </c>
      <c r="L92" s="174">
        <v>1</v>
      </c>
      <c r="M92" s="174">
        <v>1</v>
      </c>
      <c r="N92" s="174">
        <v>1</v>
      </c>
      <c r="O92" s="174">
        <v>1</v>
      </c>
      <c r="P92" s="174">
        <v>1</v>
      </c>
      <c r="Q92" s="174">
        <v>2</v>
      </c>
      <c r="R92" s="328" t="s">
        <v>547</v>
      </c>
      <c r="S92" s="329" t="s">
        <v>548</v>
      </c>
      <c r="T92" s="180">
        <v>4024</v>
      </c>
      <c r="V92" s="202">
        <v>0</v>
      </c>
      <c r="Y92" s="392">
        <v>113.38</v>
      </c>
      <c r="Z92" s="392">
        <v>0</v>
      </c>
      <c r="AA92" s="391">
        <v>0</v>
      </c>
      <c r="AB92" s="391">
        <v>0</v>
      </c>
      <c r="AC92" s="416">
        <v>113.38</v>
      </c>
      <c r="AD92" s="419">
        <v>1</v>
      </c>
      <c r="AE92" s="417">
        <v>112</v>
      </c>
      <c r="AF92" s="177">
        <v>1</v>
      </c>
      <c r="AG92" s="178">
        <v>4</v>
      </c>
      <c r="AH92" s="174">
        <v>6</v>
      </c>
      <c r="AI92" s="174">
        <v>2026</v>
      </c>
      <c r="AJ92" s="139">
        <f t="shared" si="2"/>
        <v>85</v>
      </c>
      <c r="AK92" s="388"/>
      <c r="AL92" s="383">
        <f t="shared" si="3"/>
        <v>0</v>
      </c>
    </row>
    <row r="93" spans="3:38" ht="24" customHeight="1">
      <c r="C93" s="174">
        <v>86</v>
      </c>
      <c r="D93" s="174" t="s">
        <v>2041</v>
      </c>
      <c r="E93" s="175" t="s">
        <v>2042</v>
      </c>
      <c r="F93" s="401">
        <v>46202</v>
      </c>
      <c r="G93" s="176">
        <v>46227.454108796293</v>
      </c>
      <c r="H93" s="174">
        <v>1</v>
      </c>
      <c r="I93" s="174">
        <v>1</v>
      </c>
      <c r="J93" s="174">
        <v>1</v>
      </c>
      <c r="K93" s="174">
        <v>2</v>
      </c>
      <c r="L93" s="174">
        <v>1</v>
      </c>
      <c r="M93" s="174">
        <v>1</v>
      </c>
      <c r="N93" s="174">
        <v>1</v>
      </c>
      <c r="O93" s="174">
        <v>1</v>
      </c>
      <c r="P93" s="174">
        <v>1</v>
      </c>
      <c r="Q93" s="174">
        <v>2</v>
      </c>
      <c r="R93" s="328" t="s">
        <v>547</v>
      </c>
      <c r="S93" s="329" t="s">
        <v>548</v>
      </c>
      <c r="T93" s="180">
        <v>4024</v>
      </c>
      <c r="V93" s="202">
        <v>0</v>
      </c>
      <c r="Y93" s="392">
        <v>45</v>
      </c>
      <c r="Z93" s="392">
        <v>0</v>
      </c>
      <c r="AA93" s="391">
        <v>0</v>
      </c>
      <c r="AB93" s="391">
        <v>0</v>
      </c>
      <c r="AC93" s="416">
        <v>45</v>
      </c>
      <c r="AD93" s="419">
        <v>1</v>
      </c>
      <c r="AE93" s="417">
        <v>118</v>
      </c>
      <c r="AF93" s="177">
        <v>1</v>
      </c>
      <c r="AG93" s="178">
        <v>4</v>
      </c>
      <c r="AH93" s="174">
        <v>6</v>
      </c>
      <c r="AI93" s="174">
        <v>2026</v>
      </c>
      <c r="AJ93" s="139">
        <f t="shared" si="2"/>
        <v>86</v>
      </c>
      <c r="AK93" s="388"/>
      <c r="AL93" s="383">
        <f t="shared" si="3"/>
        <v>0</v>
      </c>
    </row>
    <row r="94" spans="3:38" ht="24" customHeight="1">
      <c r="C94" s="174">
        <v>87</v>
      </c>
      <c r="D94" s="174" t="s">
        <v>2041</v>
      </c>
      <c r="E94" s="175" t="s">
        <v>2047</v>
      </c>
      <c r="F94" s="401">
        <v>46202</v>
      </c>
      <c r="G94" s="176">
        <v>46227.458807870367</v>
      </c>
      <c r="H94" s="174">
        <v>1</v>
      </c>
      <c r="I94" s="174">
        <v>1</v>
      </c>
      <c r="J94" s="174">
        <v>1</v>
      </c>
      <c r="K94" s="174">
        <v>2</v>
      </c>
      <c r="L94" s="174">
        <v>1</v>
      </c>
      <c r="M94" s="174">
        <v>1</v>
      </c>
      <c r="N94" s="174">
        <v>1</v>
      </c>
      <c r="O94" s="174">
        <v>1</v>
      </c>
      <c r="P94" s="174">
        <v>1</v>
      </c>
      <c r="Q94" s="174">
        <v>2</v>
      </c>
      <c r="R94" s="328" t="s">
        <v>547</v>
      </c>
      <c r="S94" s="329" t="s">
        <v>548</v>
      </c>
      <c r="T94" s="180">
        <v>4026</v>
      </c>
      <c r="V94" s="202">
        <v>0</v>
      </c>
      <c r="Y94" s="392">
        <v>109.5</v>
      </c>
      <c r="Z94" s="392">
        <v>0</v>
      </c>
      <c r="AA94" s="391">
        <v>0</v>
      </c>
      <c r="AB94" s="391">
        <v>0</v>
      </c>
      <c r="AC94" s="416">
        <v>109.5</v>
      </c>
      <c r="AD94" s="419">
        <v>1</v>
      </c>
      <c r="AE94" s="417">
        <v>123</v>
      </c>
      <c r="AF94" s="177">
        <v>1</v>
      </c>
      <c r="AG94" s="178">
        <v>4</v>
      </c>
      <c r="AH94" s="174">
        <v>6</v>
      </c>
      <c r="AI94" s="174">
        <v>2026</v>
      </c>
      <c r="AJ94" s="139">
        <f t="shared" si="2"/>
        <v>87</v>
      </c>
      <c r="AK94" s="388"/>
      <c r="AL94" s="383">
        <f t="shared" si="3"/>
        <v>0</v>
      </c>
    </row>
    <row r="95" spans="3:38" ht="24" customHeight="1">
      <c r="C95" s="174">
        <v>88</v>
      </c>
      <c r="D95" s="174" t="s">
        <v>2041</v>
      </c>
      <c r="E95" s="175" t="s">
        <v>2058</v>
      </c>
      <c r="F95" s="401">
        <v>46202</v>
      </c>
      <c r="G95" s="176">
        <v>46227.464999999997</v>
      </c>
      <c r="H95" s="174">
        <v>1</v>
      </c>
      <c r="I95" s="174">
        <v>1</v>
      </c>
      <c r="J95" s="174">
        <v>1</v>
      </c>
      <c r="K95" s="174">
        <v>2</v>
      </c>
      <c r="L95" s="174">
        <v>1</v>
      </c>
      <c r="M95" s="174">
        <v>1</v>
      </c>
      <c r="N95" s="174">
        <v>1</v>
      </c>
      <c r="O95" s="174">
        <v>1</v>
      </c>
      <c r="P95" s="174">
        <v>1</v>
      </c>
      <c r="Q95" s="174">
        <v>2</v>
      </c>
      <c r="R95" s="328" t="s">
        <v>547</v>
      </c>
      <c r="S95" s="329" t="s">
        <v>548</v>
      </c>
      <c r="T95" s="180">
        <v>4026</v>
      </c>
      <c r="V95" s="202">
        <v>0</v>
      </c>
      <c r="Y95" s="392">
        <v>51.61</v>
      </c>
      <c r="Z95" s="392">
        <v>0</v>
      </c>
      <c r="AA95" s="391">
        <v>0</v>
      </c>
      <c r="AB95" s="391">
        <v>0</v>
      </c>
      <c r="AC95" s="416">
        <v>51.61</v>
      </c>
      <c r="AD95" s="419">
        <v>1</v>
      </c>
      <c r="AE95" s="417">
        <v>125</v>
      </c>
      <c r="AF95" s="177">
        <v>1</v>
      </c>
      <c r="AG95" s="178">
        <v>4</v>
      </c>
      <c r="AH95" s="174">
        <v>6</v>
      </c>
      <c r="AI95" s="174">
        <v>2026</v>
      </c>
      <c r="AJ95" s="139">
        <f t="shared" si="2"/>
        <v>88</v>
      </c>
      <c r="AK95" s="388"/>
      <c r="AL95" s="383">
        <f t="shared" si="3"/>
        <v>0</v>
      </c>
    </row>
    <row r="96" spans="3:38" ht="24" customHeight="1">
      <c r="C96" s="174">
        <v>89</v>
      </c>
      <c r="D96" s="174" t="s">
        <v>2090</v>
      </c>
      <c r="E96" s="175" t="s">
        <v>2091</v>
      </c>
      <c r="F96" s="401">
        <v>46203</v>
      </c>
      <c r="G96" s="176">
        <v>46227.474745370368</v>
      </c>
      <c r="H96" s="174">
        <v>1</v>
      </c>
      <c r="I96" s="174">
        <v>1</v>
      </c>
      <c r="J96" s="174">
        <v>1</v>
      </c>
      <c r="K96" s="174">
        <v>2</v>
      </c>
      <c r="L96" s="174">
        <v>1</v>
      </c>
      <c r="M96" s="174">
        <v>1</v>
      </c>
      <c r="N96" s="174">
        <v>1</v>
      </c>
      <c r="O96" s="174">
        <v>1</v>
      </c>
      <c r="P96" s="174">
        <v>1</v>
      </c>
      <c r="Q96" s="174">
        <v>2</v>
      </c>
      <c r="R96" s="328" t="s">
        <v>547</v>
      </c>
      <c r="S96" s="329" t="s">
        <v>548</v>
      </c>
      <c r="T96" s="180">
        <v>4026</v>
      </c>
      <c r="V96" s="202">
        <v>0</v>
      </c>
      <c r="Y96" s="392">
        <v>64.5</v>
      </c>
      <c r="Z96" s="392">
        <v>0</v>
      </c>
      <c r="AA96" s="391">
        <v>0</v>
      </c>
      <c r="AB96" s="391">
        <v>0</v>
      </c>
      <c r="AC96" s="416">
        <v>64.5</v>
      </c>
      <c r="AD96" s="419">
        <v>1</v>
      </c>
      <c r="AE96" s="417">
        <v>134</v>
      </c>
      <c r="AF96" s="177">
        <v>1</v>
      </c>
      <c r="AG96" s="178">
        <v>4</v>
      </c>
      <c r="AH96" s="174">
        <v>6</v>
      </c>
      <c r="AI96" s="174">
        <v>2026</v>
      </c>
      <c r="AJ96" s="139">
        <f t="shared" si="2"/>
        <v>89</v>
      </c>
      <c r="AK96" s="388"/>
      <c r="AL96" s="383">
        <f t="shared" si="3"/>
        <v>0</v>
      </c>
    </row>
    <row r="97" spans="3:42" s="423" customFormat="1" ht="24" customHeight="1">
      <c r="C97" s="444">
        <v>90</v>
      </c>
      <c r="D97" s="444" t="s">
        <v>2090</v>
      </c>
      <c r="E97" s="445" t="s">
        <v>2114</v>
      </c>
      <c r="F97" s="446">
        <v>46203</v>
      </c>
      <c r="G97" s="447">
        <v>46227.47934027778</v>
      </c>
      <c r="H97" s="444">
        <v>1</v>
      </c>
      <c r="I97" s="444">
        <v>1</v>
      </c>
      <c r="J97" s="444">
        <v>1</v>
      </c>
      <c r="K97" s="444">
        <v>2</v>
      </c>
      <c r="L97" s="444">
        <v>1</v>
      </c>
      <c r="M97" s="444">
        <v>1</v>
      </c>
      <c r="N97" s="444">
        <v>1</v>
      </c>
      <c r="O97" s="444">
        <v>1</v>
      </c>
      <c r="P97" s="444">
        <v>1</v>
      </c>
      <c r="Q97" s="444">
        <v>2</v>
      </c>
      <c r="R97" s="448" t="s">
        <v>547</v>
      </c>
      <c r="S97" s="449" t="s">
        <v>548</v>
      </c>
      <c r="T97" s="450">
        <v>4026</v>
      </c>
      <c r="U97" s="451"/>
      <c r="V97" s="451">
        <v>0</v>
      </c>
      <c r="W97" s="451"/>
      <c r="X97" s="451"/>
      <c r="Y97" s="452">
        <v>37.630000000000003</v>
      </c>
      <c r="Z97" s="452">
        <v>0</v>
      </c>
      <c r="AA97" s="453">
        <v>0</v>
      </c>
      <c r="AB97" s="453">
        <v>0</v>
      </c>
      <c r="AC97" s="454">
        <v>37.630000000000003</v>
      </c>
      <c r="AD97" s="455">
        <v>1</v>
      </c>
      <c r="AE97" s="456">
        <v>139</v>
      </c>
      <c r="AF97" s="457">
        <v>1</v>
      </c>
      <c r="AG97" s="458">
        <v>4</v>
      </c>
      <c r="AH97" s="444">
        <v>6</v>
      </c>
      <c r="AI97" s="444">
        <v>2026</v>
      </c>
      <c r="AJ97" s="459">
        <f t="shared" si="2"/>
        <v>90</v>
      </c>
      <c r="AK97" s="460"/>
      <c r="AL97" s="461">
        <f t="shared" si="3"/>
        <v>0</v>
      </c>
      <c r="AP97" s="421"/>
    </row>
    <row r="98" spans="3:42" ht="24" customHeight="1">
      <c r="C98" s="174">
        <v>91</v>
      </c>
      <c r="D98" s="174" t="s">
        <v>2283</v>
      </c>
      <c r="E98" s="175" t="s">
        <v>2284</v>
      </c>
      <c r="F98" s="401">
        <v>46204</v>
      </c>
      <c r="G98" s="176">
        <v>46255.4297337963</v>
      </c>
      <c r="H98" s="174">
        <v>1</v>
      </c>
      <c r="I98" s="174">
        <v>1</v>
      </c>
      <c r="J98" s="174">
        <v>1</v>
      </c>
      <c r="K98" s="174">
        <v>2</v>
      </c>
      <c r="L98" s="174">
        <v>1</v>
      </c>
      <c r="M98" s="174">
        <v>1</v>
      </c>
      <c r="N98" s="174">
        <v>1</v>
      </c>
      <c r="O98" s="174">
        <v>1</v>
      </c>
      <c r="P98" s="174">
        <v>1</v>
      </c>
      <c r="Q98" s="174">
        <v>2</v>
      </c>
      <c r="R98" s="328" t="s">
        <v>547</v>
      </c>
      <c r="S98" s="329" t="s">
        <v>548</v>
      </c>
      <c r="T98" s="180" t="s">
        <v>2312</v>
      </c>
      <c r="V98" s="202">
        <v>0</v>
      </c>
      <c r="Y98" s="392">
        <v>82</v>
      </c>
      <c r="Z98" s="392">
        <v>0</v>
      </c>
      <c r="AA98" s="391">
        <v>0</v>
      </c>
      <c r="AB98" s="391">
        <v>0</v>
      </c>
      <c r="AC98" s="416">
        <v>82</v>
      </c>
      <c r="AD98" s="419">
        <v>1</v>
      </c>
      <c r="AE98" s="417">
        <v>157</v>
      </c>
      <c r="AF98" s="177">
        <v>1</v>
      </c>
      <c r="AG98" s="178">
        <v>1</v>
      </c>
      <c r="AH98" s="174">
        <v>7</v>
      </c>
      <c r="AI98" s="174">
        <v>2026</v>
      </c>
      <c r="AJ98" s="139">
        <f t="shared" si="2"/>
        <v>91</v>
      </c>
      <c r="AK98" s="388"/>
      <c r="AL98" s="383">
        <f t="shared" si="3"/>
        <v>0</v>
      </c>
    </row>
    <row r="99" spans="3:42" ht="24" customHeight="1">
      <c r="C99" s="174">
        <v>92</v>
      </c>
      <c r="D99" s="174" t="s">
        <v>2283</v>
      </c>
      <c r="E99" s="175" t="s">
        <v>2313</v>
      </c>
      <c r="F99" s="401">
        <v>46204</v>
      </c>
      <c r="G99" s="176">
        <v>46255.443240740744</v>
      </c>
      <c r="H99" s="174">
        <v>1</v>
      </c>
      <c r="I99" s="174">
        <v>1</v>
      </c>
      <c r="J99" s="174">
        <v>1</v>
      </c>
      <c r="K99" s="174">
        <v>2</v>
      </c>
      <c r="L99" s="174">
        <v>1</v>
      </c>
      <c r="M99" s="174">
        <v>1</v>
      </c>
      <c r="N99" s="174">
        <v>1</v>
      </c>
      <c r="O99" s="174">
        <v>1</v>
      </c>
      <c r="P99" s="174">
        <v>1</v>
      </c>
      <c r="Q99" s="174">
        <v>2</v>
      </c>
      <c r="R99" s="328" t="s">
        <v>547</v>
      </c>
      <c r="S99" s="329" t="s">
        <v>548</v>
      </c>
      <c r="T99" s="180">
        <v>4027</v>
      </c>
      <c r="V99" s="202">
        <v>0</v>
      </c>
      <c r="Y99" s="392">
        <v>37.5</v>
      </c>
      <c r="Z99" s="392">
        <v>0</v>
      </c>
      <c r="AA99" s="391">
        <v>0</v>
      </c>
      <c r="AB99" s="391">
        <v>0</v>
      </c>
      <c r="AC99" s="416">
        <v>37.5</v>
      </c>
      <c r="AD99" s="419">
        <v>1</v>
      </c>
      <c r="AE99" s="417">
        <v>158</v>
      </c>
      <c r="AF99" s="177">
        <v>1</v>
      </c>
      <c r="AG99" s="178">
        <v>1</v>
      </c>
      <c r="AH99" s="174">
        <v>7</v>
      </c>
      <c r="AI99" s="174">
        <v>2026</v>
      </c>
      <c r="AJ99" s="139">
        <f t="shared" si="2"/>
        <v>92</v>
      </c>
      <c r="AK99" s="388"/>
      <c r="AL99" s="383">
        <f t="shared" si="3"/>
        <v>0</v>
      </c>
    </row>
    <row r="100" spans="3:42" ht="24" customHeight="1">
      <c r="C100" s="174">
        <v>93</v>
      </c>
      <c r="D100" s="174" t="s">
        <v>2283</v>
      </c>
      <c r="E100" s="175" t="s">
        <v>2324</v>
      </c>
      <c r="F100" s="401">
        <v>46204</v>
      </c>
      <c r="G100" s="176">
        <v>46255.458796296298</v>
      </c>
      <c r="H100" s="174">
        <v>1</v>
      </c>
      <c r="I100" s="174">
        <v>1</v>
      </c>
      <c r="J100" s="174">
        <v>1</v>
      </c>
      <c r="K100" s="174">
        <v>2</v>
      </c>
      <c r="L100" s="174">
        <v>1</v>
      </c>
      <c r="M100" s="174">
        <v>1</v>
      </c>
      <c r="N100" s="174">
        <v>1</v>
      </c>
      <c r="O100" s="174">
        <v>1</v>
      </c>
      <c r="P100" s="174">
        <v>1</v>
      </c>
      <c r="Q100" s="174">
        <v>2</v>
      </c>
      <c r="R100" s="328" t="s">
        <v>547</v>
      </c>
      <c r="S100" s="329" t="s">
        <v>548</v>
      </c>
      <c r="T100" s="180">
        <v>4027</v>
      </c>
      <c r="V100" s="202">
        <v>0</v>
      </c>
      <c r="Y100" s="392">
        <v>42.5</v>
      </c>
      <c r="Z100" s="392">
        <v>0</v>
      </c>
      <c r="AA100" s="391">
        <v>0</v>
      </c>
      <c r="AB100" s="391">
        <v>0</v>
      </c>
      <c r="AC100" s="416">
        <v>42.5</v>
      </c>
      <c r="AD100" s="419">
        <v>1</v>
      </c>
      <c r="AE100" s="417">
        <v>163</v>
      </c>
      <c r="AF100" s="177">
        <v>1</v>
      </c>
      <c r="AG100" s="178">
        <v>1</v>
      </c>
      <c r="AH100" s="174">
        <v>7</v>
      </c>
      <c r="AI100" s="174">
        <v>2026</v>
      </c>
      <c r="AJ100" s="139">
        <f t="shared" si="2"/>
        <v>93</v>
      </c>
      <c r="AK100" s="388"/>
      <c r="AL100" s="383">
        <f t="shared" si="3"/>
        <v>0</v>
      </c>
    </row>
    <row r="101" spans="3:42" ht="24" customHeight="1">
      <c r="C101" s="174">
        <v>94</v>
      </c>
      <c r="D101" s="174" t="s">
        <v>2283</v>
      </c>
      <c r="E101" s="175" t="s">
        <v>2335</v>
      </c>
      <c r="F101" s="401">
        <v>46204</v>
      </c>
      <c r="G101" s="176">
        <v>46255.46361111111</v>
      </c>
      <c r="H101" s="174">
        <v>1</v>
      </c>
      <c r="I101" s="174">
        <v>1</v>
      </c>
      <c r="J101" s="174">
        <v>1</v>
      </c>
      <c r="K101" s="174">
        <v>2</v>
      </c>
      <c r="L101" s="174">
        <v>1</v>
      </c>
      <c r="M101" s="174">
        <v>1</v>
      </c>
      <c r="N101" s="174">
        <v>1</v>
      </c>
      <c r="O101" s="174">
        <v>1</v>
      </c>
      <c r="P101" s="174">
        <v>1</v>
      </c>
      <c r="Q101" s="174">
        <v>2</v>
      </c>
      <c r="R101" s="328" t="s">
        <v>547</v>
      </c>
      <c r="S101" s="329" t="s">
        <v>548</v>
      </c>
      <c r="T101" s="180">
        <v>4027</v>
      </c>
      <c r="V101" s="202">
        <v>0</v>
      </c>
      <c r="Y101" s="392">
        <v>37</v>
      </c>
      <c r="Z101" s="392">
        <v>0</v>
      </c>
      <c r="AA101" s="391">
        <v>0</v>
      </c>
      <c r="AB101" s="391">
        <v>0</v>
      </c>
      <c r="AC101" s="416">
        <v>37</v>
      </c>
      <c r="AD101" s="419">
        <v>1</v>
      </c>
      <c r="AE101" s="417">
        <v>166</v>
      </c>
      <c r="AF101" s="177">
        <v>1</v>
      </c>
      <c r="AG101" s="178">
        <v>1</v>
      </c>
      <c r="AH101" s="174">
        <v>7</v>
      </c>
      <c r="AI101" s="174">
        <v>2026</v>
      </c>
      <c r="AJ101" s="139">
        <f t="shared" si="2"/>
        <v>94</v>
      </c>
      <c r="AK101" s="388"/>
      <c r="AL101" s="383">
        <f t="shared" si="3"/>
        <v>0</v>
      </c>
    </row>
    <row r="102" spans="3:42" ht="24" customHeight="1">
      <c r="C102" s="174">
        <v>95</v>
      </c>
      <c r="D102" s="174" t="s">
        <v>2352</v>
      </c>
      <c r="E102" s="175" t="s">
        <v>2353</v>
      </c>
      <c r="F102" s="401">
        <v>46205</v>
      </c>
      <c r="G102" s="176">
        <v>46255.482870370368</v>
      </c>
      <c r="H102" s="174">
        <v>1</v>
      </c>
      <c r="I102" s="174">
        <v>1</v>
      </c>
      <c r="J102" s="174">
        <v>1</v>
      </c>
      <c r="K102" s="174">
        <v>2</v>
      </c>
      <c r="L102" s="174">
        <v>1</v>
      </c>
      <c r="M102" s="174">
        <v>1</v>
      </c>
      <c r="N102" s="174">
        <v>1</v>
      </c>
      <c r="O102" s="174">
        <v>1</v>
      </c>
      <c r="P102" s="174">
        <v>1</v>
      </c>
      <c r="Q102" s="174">
        <v>2</v>
      </c>
      <c r="R102" s="328" t="s">
        <v>547</v>
      </c>
      <c r="S102" s="329" t="s">
        <v>548</v>
      </c>
      <c r="T102" s="180">
        <v>4030</v>
      </c>
      <c r="V102" s="202">
        <v>0</v>
      </c>
      <c r="Y102" s="392">
        <v>75.900000000000006</v>
      </c>
      <c r="Z102" s="392">
        <v>0</v>
      </c>
      <c r="AA102" s="391">
        <v>0</v>
      </c>
      <c r="AB102" s="391">
        <v>0</v>
      </c>
      <c r="AC102" s="416">
        <v>75.900000000000006</v>
      </c>
      <c r="AD102" s="419">
        <v>1</v>
      </c>
      <c r="AF102" s="177">
        <v>1</v>
      </c>
      <c r="AG102" s="178">
        <v>1</v>
      </c>
      <c r="AH102" s="174">
        <v>7</v>
      </c>
      <c r="AI102" s="174">
        <v>2026</v>
      </c>
      <c r="AJ102" s="139">
        <f t="shared" si="2"/>
        <v>95</v>
      </c>
      <c r="AK102" s="388"/>
      <c r="AL102" s="383">
        <f t="shared" si="3"/>
        <v>0</v>
      </c>
    </row>
    <row r="103" spans="3:42" ht="24" customHeight="1">
      <c r="G103" s="176"/>
      <c r="AJ103" s="139" t="str">
        <f t="shared" si="2"/>
        <v/>
      </c>
      <c r="AK103" s="388"/>
      <c r="AL103" s="383">
        <f t="shared" si="3"/>
        <v>0</v>
      </c>
    </row>
    <row r="104" spans="3:42" ht="24" customHeight="1">
      <c r="G104" s="176"/>
      <c r="AJ104" s="139" t="str">
        <f t="shared" si="2"/>
        <v/>
      </c>
      <c r="AK104" s="388"/>
      <c r="AL104" s="383">
        <f t="shared" si="3"/>
        <v>0</v>
      </c>
    </row>
    <row r="105" spans="3:42" ht="24" customHeight="1">
      <c r="G105" s="176"/>
      <c r="AJ105" s="139" t="str">
        <f t="shared" si="2"/>
        <v/>
      </c>
      <c r="AK105" s="388"/>
      <c r="AL105" s="383">
        <f t="shared" si="3"/>
        <v>0</v>
      </c>
    </row>
    <row r="106" spans="3:42" ht="24" customHeight="1">
      <c r="G106" s="176"/>
      <c r="AJ106" s="139" t="str">
        <f t="shared" si="2"/>
        <v/>
      </c>
      <c r="AK106" s="388"/>
      <c r="AL106" s="383">
        <f t="shared" si="3"/>
        <v>0</v>
      </c>
    </row>
    <row r="107" spans="3:42" ht="24" customHeight="1">
      <c r="G107" s="176"/>
      <c r="AJ107" s="139" t="str">
        <f t="shared" si="2"/>
        <v/>
      </c>
      <c r="AK107" s="388"/>
      <c r="AL107" s="383">
        <f t="shared" si="3"/>
        <v>0</v>
      </c>
    </row>
    <row r="108" spans="3:42" ht="24" customHeight="1">
      <c r="G108" s="176"/>
      <c r="AJ108" s="139" t="str">
        <f t="shared" si="2"/>
        <v/>
      </c>
      <c r="AK108" s="388"/>
      <c r="AL108" s="383">
        <f t="shared" si="3"/>
        <v>0</v>
      </c>
    </row>
    <row r="109" spans="3:42" ht="24" customHeight="1">
      <c r="G109" s="176"/>
      <c r="AJ109" s="139" t="str">
        <f t="shared" si="2"/>
        <v/>
      </c>
      <c r="AK109" s="388"/>
      <c r="AL109" s="383">
        <f t="shared" si="3"/>
        <v>0</v>
      </c>
    </row>
    <row r="110" spans="3:42" ht="24" customHeight="1">
      <c r="G110" s="176"/>
      <c r="AJ110" s="139" t="str">
        <f t="shared" si="2"/>
        <v/>
      </c>
      <c r="AK110" s="388"/>
      <c r="AL110" s="383">
        <f t="shared" si="3"/>
        <v>0</v>
      </c>
    </row>
    <row r="111" spans="3:42" ht="24" customHeight="1">
      <c r="G111" s="176"/>
      <c r="AJ111" s="139" t="str">
        <f t="shared" si="2"/>
        <v/>
      </c>
      <c r="AK111" s="388"/>
      <c r="AL111" s="383">
        <f t="shared" si="3"/>
        <v>0</v>
      </c>
    </row>
    <row r="112" spans="3:42" ht="24" customHeight="1">
      <c r="G112" s="176"/>
      <c r="AJ112" s="139" t="str">
        <f t="shared" si="2"/>
        <v/>
      </c>
      <c r="AK112" s="388"/>
      <c r="AL112" s="383">
        <f t="shared" si="3"/>
        <v>0</v>
      </c>
    </row>
    <row r="113" spans="7:38" ht="24" customHeight="1">
      <c r="G113" s="176"/>
      <c r="AJ113" s="139" t="str">
        <f t="shared" si="2"/>
        <v/>
      </c>
      <c r="AK113" s="388"/>
      <c r="AL113" s="383">
        <f t="shared" si="3"/>
        <v>0</v>
      </c>
    </row>
    <row r="114" spans="7:38" ht="24" customHeight="1">
      <c r="G114" s="176"/>
      <c r="AJ114" s="139" t="str">
        <f t="shared" si="2"/>
        <v/>
      </c>
      <c r="AK114" s="388"/>
      <c r="AL114" s="383">
        <f t="shared" si="3"/>
        <v>0</v>
      </c>
    </row>
    <row r="115" spans="7:38" ht="24" customHeight="1">
      <c r="G115" s="176"/>
      <c r="AJ115" s="139" t="str">
        <f t="shared" si="2"/>
        <v/>
      </c>
      <c r="AK115" s="388"/>
      <c r="AL115" s="383">
        <f t="shared" si="3"/>
        <v>0</v>
      </c>
    </row>
    <row r="116" spans="7:38" ht="24" customHeight="1">
      <c r="G116" s="176"/>
      <c r="AJ116" s="139" t="str">
        <f t="shared" si="2"/>
        <v/>
      </c>
      <c r="AK116" s="388"/>
      <c r="AL116" s="383">
        <f t="shared" si="3"/>
        <v>0</v>
      </c>
    </row>
    <row r="117" spans="7:38" ht="24" customHeight="1">
      <c r="G117" s="176"/>
      <c r="AJ117" s="139" t="str">
        <f t="shared" si="2"/>
        <v/>
      </c>
      <c r="AK117" s="388"/>
      <c r="AL117" s="383">
        <f t="shared" si="3"/>
        <v>0</v>
      </c>
    </row>
    <row r="118" spans="7:38" ht="24" customHeight="1">
      <c r="G118" s="176"/>
      <c r="AJ118" s="139" t="str">
        <f t="shared" si="2"/>
        <v/>
      </c>
      <c r="AK118" s="388"/>
      <c r="AL118" s="383">
        <f t="shared" si="3"/>
        <v>0</v>
      </c>
    </row>
    <row r="119" spans="7:38" ht="24" customHeight="1">
      <c r="G119" s="176"/>
      <c r="AJ119" s="139" t="str">
        <f t="shared" si="2"/>
        <v/>
      </c>
      <c r="AK119" s="388"/>
      <c r="AL119" s="383">
        <f t="shared" si="3"/>
        <v>0</v>
      </c>
    </row>
    <row r="120" spans="7:38" ht="24" customHeight="1">
      <c r="G120" s="176"/>
      <c r="AJ120" s="139" t="str">
        <f t="shared" si="2"/>
        <v/>
      </c>
      <c r="AK120" s="388"/>
      <c r="AL120" s="383">
        <f t="shared" si="3"/>
        <v>0</v>
      </c>
    </row>
    <row r="121" spans="7:38" ht="24" customHeight="1">
      <c r="G121" s="176"/>
      <c r="AJ121" s="139" t="str">
        <f t="shared" si="2"/>
        <v/>
      </c>
      <c r="AK121" s="388"/>
      <c r="AL121" s="383">
        <f t="shared" si="3"/>
        <v>0</v>
      </c>
    </row>
    <row r="122" spans="7:38" ht="24" customHeight="1">
      <c r="G122" s="176"/>
      <c r="AJ122" s="139" t="str">
        <f t="shared" si="2"/>
        <v/>
      </c>
      <c r="AK122" s="388"/>
      <c r="AL122" s="383">
        <f t="shared" si="3"/>
        <v>0</v>
      </c>
    </row>
    <row r="123" spans="7:38" ht="24" customHeight="1">
      <c r="G123" s="176"/>
      <c r="AJ123" s="139" t="str">
        <f t="shared" si="2"/>
        <v/>
      </c>
      <c r="AK123" s="388"/>
      <c r="AL123" s="383">
        <f t="shared" si="3"/>
        <v>0</v>
      </c>
    </row>
    <row r="124" spans="7:38" ht="24" customHeight="1">
      <c r="G124" s="176"/>
      <c r="AJ124" s="139" t="str">
        <f t="shared" si="2"/>
        <v/>
      </c>
      <c r="AK124" s="388"/>
      <c r="AL124" s="383">
        <f t="shared" si="3"/>
        <v>0</v>
      </c>
    </row>
    <row r="125" spans="7:38" ht="24" customHeight="1">
      <c r="G125" s="176"/>
      <c r="AJ125" s="139" t="str">
        <f t="shared" si="2"/>
        <v/>
      </c>
      <c r="AK125" s="388"/>
      <c r="AL125" s="383">
        <f t="shared" si="3"/>
        <v>0</v>
      </c>
    </row>
    <row r="126" spans="7:38" ht="24" customHeight="1">
      <c r="G126" s="176"/>
      <c r="AJ126" s="139" t="str">
        <f t="shared" si="2"/>
        <v/>
      </c>
      <c r="AK126" s="388"/>
      <c r="AL126" s="383">
        <f t="shared" si="3"/>
        <v>0</v>
      </c>
    </row>
    <row r="127" spans="7:38" ht="24" customHeight="1">
      <c r="G127" s="176"/>
      <c r="AJ127" s="139" t="str">
        <f t="shared" si="2"/>
        <v/>
      </c>
      <c r="AK127" s="388"/>
      <c r="AL127" s="383">
        <f t="shared" si="3"/>
        <v>0</v>
      </c>
    </row>
    <row r="128" spans="7:38" ht="24" customHeight="1">
      <c r="G128" s="176"/>
      <c r="AJ128" s="139" t="str">
        <f t="shared" si="2"/>
        <v/>
      </c>
      <c r="AK128" s="388"/>
      <c r="AL128" s="383">
        <f t="shared" si="3"/>
        <v>0</v>
      </c>
    </row>
    <row r="129" spans="7:38" ht="24" customHeight="1">
      <c r="G129" s="176"/>
      <c r="AJ129" s="139" t="str">
        <f t="shared" si="2"/>
        <v/>
      </c>
      <c r="AK129" s="388"/>
      <c r="AL129" s="383">
        <f t="shared" si="3"/>
        <v>0</v>
      </c>
    </row>
    <row r="130" spans="7:38" ht="24" customHeight="1">
      <c r="G130" s="176"/>
      <c r="AJ130" s="139" t="str">
        <f t="shared" si="2"/>
        <v/>
      </c>
      <c r="AK130" s="388"/>
      <c r="AL130" s="383">
        <f t="shared" si="3"/>
        <v>0</v>
      </c>
    </row>
    <row r="131" spans="7:38" ht="24" customHeight="1">
      <c r="G131" s="176"/>
      <c r="AJ131" s="139" t="str">
        <f t="shared" si="2"/>
        <v/>
      </c>
      <c r="AK131" s="388"/>
      <c r="AL131" s="383">
        <f t="shared" si="3"/>
        <v>0</v>
      </c>
    </row>
    <row r="132" spans="7:38" ht="24" customHeight="1">
      <c r="G132" s="176"/>
      <c r="AJ132" s="139" t="str">
        <f t="shared" si="2"/>
        <v/>
      </c>
      <c r="AK132" s="388"/>
      <c r="AL132" s="383">
        <f t="shared" si="3"/>
        <v>0</v>
      </c>
    </row>
    <row r="133" spans="7:38" ht="24" customHeight="1">
      <c r="G133" s="176"/>
      <c r="AJ133" s="139" t="str">
        <f t="shared" si="2"/>
        <v/>
      </c>
      <c r="AK133" s="388"/>
      <c r="AL133" s="383">
        <f t="shared" si="3"/>
        <v>0</v>
      </c>
    </row>
    <row r="134" spans="7:38" ht="24" customHeight="1">
      <c r="G134" s="176"/>
      <c r="AJ134" s="139" t="str">
        <f t="shared" si="2"/>
        <v/>
      </c>
      <c r="AK134" s="388"/>
      <c r="AL134" s="383">
        <f t="shared" si="3"/>
        <v>0</v>
      </c>
    </row>
    <row r="135" spans="7:38" ht="24" customHeight="1">
      <c r="G135" s="176"/>
      <c r="AJ135" s="139" t="str">
        <f t="shared" si="2"/>
        <v/>
      </c>
      <c r="AK135" s="388"/>
      <c r="AL135" s="383">
        <f t="shared" si="3"/>
        <v>0</v>
      </c>
    </row>
    <row r="136" spans="7:38" ht="24" customHeight="1">
      <c r="G136" s="176"/>
      <c r="AJ136" s="139" t="str">
        <f t="shared" si="2"/>
        <v/>
      </c>
      <c r="AK136" s="388"/>
      <c r="AL136" s="383">
        <f t="shared" si="3"/>
        <v>0</v>
      </c>
    </row>
    <row r="137" spans="7:38" ht="24" customHeight="1">
      <c r="G137" s="176"/>
      <c r="AJ137" s="139" t="str">
        <f t="shared" ref="AJ137:AJ200" si="4">IF(C137="","",C137)</f>
        <v/>
      </c>
      <c r="AK137" s="388"/>
      <c r="AL137" s="383">
        <f t="shared" ref="AL137:AL200" si="5">SUMIFS(AC137:AC10129,AD137:AD10129,"&gt;0",D137:D10129,AK137,AH137:AH10129,6,AI137:AI10129,2026)</f>
        <v>0</v>
      </c>
    </row>
    <row r="138" spans="7:38" ht="24" customHeight="1">
      <c r="G138" s="176"/>
      <c r="AJ138" s="139" t="str">
        <f t="shared" si="4"/>
        <v/>
      </c>
      <c r="AK138" s="388"/>
      <c r="AL138" s="383">
        <f t="shared" si="5"/>
        <v>0</v>
      </c>
    </row>
    <row r="139" spans="7:38" ht="24" customHeight="1">
      <c r="G139" s="176"/>
      <c r="AJ139" s="139" t="str">
        <f t="shared" si="4"/>
        <v/>
      </c>
      <c r="AK139" s="388"/>
      <c r="AL139" s="383">
        <f t="shared" si="5"/>
        <v>0</v>
      </c>
    </row>
    <row r="140" spans="7:38" ht="24" customHeight="1">
      <c r="G140" s="176"/>
      <c r="AJ140" s="139" t="str">
        <f t="shared" si="4"/>
        <v/>
      </c>
      <c r="AK140" s="388"/>
      <c r="AL140" s="383">
        <f t="shared" si="5"/>
        <v>0</v>
      </c>
    </row>
    <row r="141" spans="7:38" ht="24" customHeight="1">
      <c r="G141" s="176"/>
      <c r="AJ141" s="139" t="str">
        <f t="shared" si="4"/>
        <v/>
      </c>
      <c r="AK141" s="388"/>
      <c r="AL141" s="383">
        <f t="shared" si="5"/>
        <v>0</v>
      </c>
    </row>
    <row r="142" spans="7:38" ht="24" customHeight="1">
      <c r="G142" s="176"/>
      <c r="AJ142" s="139" t="str">
        <f t="shared" si="4"/>
        <v/>
      </c>
      <c r="AK142" s="388"/>
      <c r="AL142" s="383">
        <f t="shared" si="5"/>
        <v>0</v>
      </c>
    </row>
    <row r="143" spans="7:38" ht="24" customHeight="1">
      <c r="G143" s="176"/>
      <c r="AJ143" s="139" t="str">
        <f t="shared" si="4"/>
        <v/>
      </c>
      <c r="AK143" s="388"/>
      <c r="AL143" s="383">
        <f t="shared" si="5"/>
        <v>0</v>
      </c>
    </row>
    <row r="144" spans="7:38" ht="24" customHeight="1">
      <c r="G144" s="176"/>
      <c r="AJ144" s="139" t="str">
        <f t="shared" si="4"/>
        <v/>
      </c>
      <c r="AK144" s="388"/>
      <c r="AL144" s="383">
        <f t="shared" si="5"/>
        <v>0</v>
      </c>
    </row>
    <row r="145" spans="7:38" ht="24" customHeight="1">
      <c r="G145" s="176"/>
      <c r="AJ145" s="139" t="str">
        <f t="shared" si="4"/>
        <v/>
      </c>
      <c r="AK145" s="388"/>
      <c r="AL145" s="383">
        <f t="shared" si="5"/>
        <v>0</v>
      </c>
    </row>
    <row r="146" spans="7:38" ht="24" customHeight="1">
      <c r="G146" s="176"/>
      <c r="AJ146" s="139" t="str">
        <f t="shared" si="4"/>
        <v/>
      </c>
      <c r="AK146" s="388"/>
      <c r="AL146" s="383">
        <f t="shared" si="5"/>
        <v>0</v>
      </c>
    </row>
    <row r="147" spans="7:38" ht="24" customHeight="1">
      <c r="G147" s="176"/>
      <c r="AJ147" s="139" t="str">
        <f t="shared" si="4"/>
        <v/>
      </c>
      <c r="AK147" s="388"/>
      <c r="AL147" s="383">
        <f t="shared" si="5"/>
        <v>0</v>
      </c>
    </row>
    <row r="148" spans="7:38" ht="24" customHeight="1">
      <c r="G148" s="176"/>
      <c r="AJ148" s="139" t="str">
        <f t="shared" si="4"/>
        <v/>
      </c>
      <c r="AK148" s="388"/>
      <c r="AL148" s="383">
        <f t="shared" si="5"/>
        <v>0</v>
      </c>
    </row>
    <row r="149" spans="7:38" ht="24" customHeight="1">
      <c r="G149" s="176"/>
      <c r="AJ149" s="139" t="str">
        <f t="shared" si="4"/>
        <v/>
      </c>
      <c r="AK149" s="388"/>
      <c r="AL149" s="383">
        <f t="shared" si="5"/>
        <v>0</v>
      </c>
    </row>
    <row r="150" spans="7:38" ht="24" customHeight="1">
      <c r="G150" s="176"/>
      <c r="AJ150" s="139" t="str">
        <f t="shared" si="4"/>
        <v/>
      </c>
      <c r="AK150" s="388"/>
      <c r="AL150" s="383">
        <f t="shared" si="5"/>
        <v>0</v>
      </c>
    </row>
    <row r="151" spans="7:38" ht="24" customHeight="1">
      <c r="G151" s="176"/>
      <c r="AJ151" s="139" t="str">
        <f t="shared" si="4"/>
        <v/>
      </c>
      <c r="AK151" s="388"/>
      <c r="AL151" s="383">
        <f t="shared" si="5"/>
        <v>0</v>
      </c>
    </row>
    <row r="152" spans="7:38" ht="24" customHeight="1">
      <c r="G152" s="176"/>
      <c r="AJ152" s="139" t="str">
        <f t="shared" si="4"/>
        <v/>
      </c>
      <c r="AK152" s="388"/>
      <c r="AL152" s="383">
        <f t="shared" si="5"/>
        <v>0</v>
      </c>
    </row>
    <row r="153" spans="7:38" ht="24" customHeight="1">
      <c r="G153" s="176"/>
      <c r="AJ153" s="139" t="str">
        <f t="shared" si="4"/>
        <v/>
      </c>
      <c r="AK153" s="388"/>
      <c r="AL153" s="383">
        <f t="shared" si="5"/>
        <v>0</v>
      </c>
    </row>
    <row r="154" spans="7:38" ht="24" customHeight="1">
      <c r="G154" s="176"/>
      <c r="AJ154" s="139" t="str">
        <f t="shared" si="4"/>
        <v/>
      </c>
      <c r="AK154" s="388"/>
      <c r="AL154" s="383">
        <f t="shared" si="5"/>
        <v>0</v>
      </c>
    </row>
    <row r="155" spans="7:38" ht="24" customHeight="1">
      <c r="G155" s="176"/>
      <c r="AJ155" s="139" t="str">
        <f t="shared" si="4"/>
        <v/>
      </c>
      <c r="AK155" s="388"/>
      <c r="AL155" s="383">
        <f t="shared" si="5"/>
        <v>0</v>
      </c>
    </row>
    <row r="156" spans="7:38" ht="24" customHeight="1">
      <c r="G156" s="176"/>
      <c r="AJ156" s="139" t="str">
        <f t="shared" si="4"/>
        <v/>
      </c>
      <c r="AK156" s="388"/>
      <c r="AL156" s="383">
        <f t="shared" si="5"/>
        <v>0</v>
      </c>
    </row>
    <row r="157" spans="7:38" ht="24" customHeight="1">
      <c r="G157" s="176"/>
      <c r="AJ157" s="139" t="str">
        <f t="shared" si="4"/>
        <v/>
      </c>
      <c r="AK157" s="388"/>
      <c r="AL157" s="383">
        <f t="shared" si="5"/>
        <v>0</v>
      </c>
    </row>
    <row r="158" spans="7:38" ht="24" customHeight="1">
      <c r="G158" s="176"/>
      <c r="AJ158" s="139" t="str">
        <f t="shared" si="4"/>
        <v/>
      </c>
      <c r="AK158" s="388"/>
      <c r="AL158" s="383">
        <f t="shared" si="5"/>
        <v>0</v>
      </c>
    </row>
    <row r="159" spans="7:38" ht="24" customHeight="1">
      <c r="G159" s="176"/>
      <c r="AJ159" s="139" t="str">
        <f t="shared" si="4"/>
        <v/>
      </c>
      <c r="AK159" s="388"/>
      <c r="AL159" s="383">
        <f t="shared" si="5"/>
        <v>0</v>
      </c>
    </row>
    <row r="160" spans="7:38" ht="24" customHeight="1">
      <c r="G160" s="176"/>
      <c r="AJ160" s="139" t="str">
        <f t="shared" si="4"/>
        <v/>
      </c>
      <c r="AK160" s="388"/>
      <c r="AL160" s="383">
        <f t="shared" si="5"/>
        <v>0</v>
      </c>
    </row>
    <row r="161" spans="7:38" ht="24" customHeight="1">
      <c r="G161" s="176"/>
      <c r="AJ161" s="139" t="str">
        <f t="shared" si="4"/>
        <v/>
      </c>
      <c r="AK161" s="388"/>
      <c r="AL161" s="383">
        <f t="shared" si="5"/>
        <v>0</v>
      </c>
    </row>
    <row r="162" spans="7:38" ht="24" customHeight="1">
      <c r="G162" s="176"/>
      <c r="AJ162" s="139" t="str">
        <f t="shared" si="4"/>
        <v/>
      </c>
      <c r="AK162" s="388"/>
      <c r="AL162" s="383">
        <f t="shared" si="5"/>
        <v>0</v>
      </c>
    </row>
    <row r="163" spans="7:38" ht="24" customHeight="1">
      <c r="G163" s="176"/>
      <c r="AJ163" s="139" t="str">
        <f t="shared" si="4"/>
        <v/>
      </c>
      <c r="AK163" s="388"/>
      <c r="AL163" s="383">
        <f t="shared" si="5"/>
        <v>0</v>
      </c>
    </row>
    <row r="164" spans="7:38" ht="24" customHeight="1">
      <c r="G164" s="176"/>
      <c r="AJ164" s="139" t="str">
        <f t="shared" si="4"/>
        <v/>
      </c>
      <c r="AK164" s="388"/>
      <c r="AL164" s="383">
        <f t="shared" si="5"/>
        <v>0</v>
      </c>
    </row>
    <row r="165" spans="7:38" ht="24" customHeight="1">
      <c r="G165" s="176"/>
      <c r="AJ165" s="139" t="str">
        <f t="shared" si="4"/>
        <v/>
      </c>
      <c r="AK165" s="388"/>
      <c r="AL165" s="383">
        <f t="shared" si="5"/>
        <v>0</v>
      </c>
    </row>
    <row r="166" spans="7:38" ht="24" customHeight="1">
      <c r="G166" s="176"/>
      <c r="AJ166" s="139" t="str">
        <f t="shared" si="4"/>
        <v/>
      </c>
      <c r="AK166" s="388"/>
      <c r="AL166" s="383">
        <f t="shared" si="5"/>
        <v>0</v>
      </c>
    </row>
    <row r="167" spans="7:38" ht="24" customHeight="1">
      <c r="G167" s="176"/>
      <c r="AJ167" s="139" t="str">
        <f t="shared" si="4"/>
        <v/>
      </c>
      <c r="AK167" s="388"/>
      <c r="AL167" s="383">
        <f t="shared" si="5"/>
        <v>0</v>
      </c>
    </row>
    <row r="168" spans="7:38" ht="24" customHeight="1">
      <c r="G168" s="176"/>
      <c r="AJ168" s="139" t="str">
        <f t="shared" si="4"/>
        <v/>
      </c>
      <c r="AK168" s="388"/>
      <c r="AL168" s="383">
        <f t="shared" si="5"/>
        <v>0</v>
      </c>
    </row>
    <row r="169" spans="7:38" ht="24" customHeight="1">
      <c r="G169" s="176"/>
      <c r="AJ169" s="139" t="str">
        <f t="shared" si="4"/>
        <v/>
      </c>
      <c r="AK169" s="388"/>
      <c r="AL169" s="383">
        <f t="shared" si="5"/>
        <v>0</v>
      </c>
    </row>
    <row r="170" spans="7:38" ht="24" customHeight="1">
      <c r="G170" s="176"/>
      <c r="AJ170" s="139" t="str">
        <f t="shared" si="4"/>
        <v/>
      </c>
      <c r="AK170" s="388"/>
      <c r="AL170" s="383">
        <f t="shared" si="5"/>
        <v>0</v>
      </c>
    </row>
    <row r="171" spans="7:38" ht="24" customHeight="1">
      <c r="G171" s="176"/>
      <c r="AJ171" s="139" t="str">
        <f t="shared" si="4"/>
        <v/>
      </c>
      <c r="AK171" s="388"/>
      <c r="AL171" s="383">
        <f t="shared" si="5"/>
        <v>0</v>
      </c>
    </row>
    <row r="172" spans="7:38" ht="24" customHeight="1">
      <c r="G172" s="176"/>
      <c r="AJ172" s="139" t="str">
        <f t="shared" si="4"/>
        <v/>
      </c>
      <c r="AK172" s="388"/>
      <c r="AL172" s="383">
        <f t="shared" si="5"/>
        <v>0</v>
      </c>
    </row>
    <row r="173" spans="7:38" ht="24" customHeight="1">
      <c r="G173" s="176"/>
      <c r="AJ173" s="139" t="str">
        <f t="shared" si="4"/>
        <v/>
      </c>
      <c r="AK173" s="388"/>
      <c r="AL173" s="383">
        <f t="shared" si="5"/>
        <v>0</v>
      </c>
    </row>
    <row r="174" spans="7:38" ht="24" customHeight="1">
      <c r="G174" s="176"/>
      <c r="AJ174" s="139" t="str">
        <f t="shared" si="4"/>
        <v/>
      </c>
      <c r="AK174" s="388"/>
      <c r="AL174" s="383">
        <f t="shared" si="5"/>
        <v>0</v>
      </c>
    </row>
    <row r="175" spans="7:38" ht="24" customHeight="1">
      <c r="G175" s="176"/>
      <c r="AJ175" s="139" t="str">
        <f t="shared" si="4"/>
        <v/>
      </c>
      <c r="AK175" s="388"/>
      <c r="AL175" s="383">
        <f t="shared" si="5"/>
        <v>0</v>
      </c>
    </row>
    <row r="176" spans="7:38" ht="24" customHeight="1">
      <c r="G176" s="176"/>
      <c r="AJ176" s="139" t="str">
        <f t="shared" si="4"/>
        <v/>
      </c>
      <c r="AK176" s="388"/>
      <c r="AL176" s="383">
        <f t="shared" si="5"/>
        <v>0</v>
      </c>
    </row>
    <row r="177" spans="7:38" ht="24" customHeight="1">
      <c r="G177" s="176"/>
      <c r="AJ177" s="139" t="str">
        <f t="shared" si="4"/>
        <v/>
      </c>
      <c r="AK177" s="388"/>
      <c r="AL177" s="383">
        <f t="shared" si="5"/>
        <v>0</v>
      </c>
    </row>
    <row r="178" spans="7:38" ht="24" customHeight="1">
      <c r="G178" s="176"/>
      <c r="AJ178" s="139" t="str">
        <f t="shared" si="4"/>
        <v/>
      </c>
      <c r="AK178" s="388"/>
      <c r="AL178" s="383">
        <f t="shared" si="5"/>
        <v>0</v>
      </c>
    </row>
    <row r="179" spans="7:38" ht="24" customHeight="1">
      <c r="G179" s="176"/>
      <c r="AJ179" s="139" t="str">
        <f t="shared" si="4"/>
        <v/>
      </c>
      <c r="AK179" s="388"/>
      <c r="AL179" s="383">
        <f t="shared" si="5"/>
        <v>0</v>
      </c>
    </row>
    <row r="180" spans="7:38" ht="24" customHeight="1">
      <c r="G180" s="176"/>
      <c r="AJ180" s="139" t="str">
        <f t="shared" si="4"/>
        <v/>
      </c>
      <c r="AK180" s="388"/>
      <c r="AL180" s="383">
        <f t="shared" si="5"/>
        <v>0</v>
      </c>
    </row>
    <row r="181" spans="7:38" ht="24" customHeight="1">
      <c r="G181" s="176"/>
      <c r="AJ181" s="139" t="str">
        <f t="shared" si="4"/>
        <v/>
      </c>
      <c r="AK181" s="388"/>
      <c r="AL181" s="383">
        <f t="shared" si="5"/>
        <v>0</v>
      </c>
    </row>
    <row r="182" spans="7:38" ht="24" customHeight="1">
      <c r="G182" s="176"/>
      <c r="AJ182" s="139" t="str">
        <f t="shared" si="4"/>
        <v/>
      </c>
      <c r="AK182" s="388"/>
      <c r="AL182" s="383">
        <f t="shared" si="5"/>
        <v>0</v>
      </c>
    </row>
    <row r="183" spans="7:38" ht="24" customHeight="1">
      <c r="G183" s="176"/>
      <c r="AJ183" s="139" t="str">
        <f t="shared" si="4"/>
        <v/>
      </c>
      <c r="AK183" s="388"/>
      <c r="AL183" s="383">
        <f t="shared" si="5"/>
        <v>0</v>
      </c>
    </row>
    <row r="184" spans="7:38" ht="24" customHeight="1">
      <c r="G184" s="176"/>
      <c r="AJ184" s="139" t="str">
        <f t="shared" si="4"/>
        <v/>
      </c>
      <c r="AK184" s="388"/>
      <c r="AL184" s="383">
        <f t="shared" si="5"/>
        <v>0</v>
      </c>
    </row>
    <row r="185" spans="7:38" ht="24" customHeight="1">
      <c r="G185" s="176"/>
      <c r="AJ185" s="139" t="str">
        <f t="shared" si="4"/>
        <v/>
      </c>
      <c r="AK185" s="388"/>
      <c r="AL185" s="383">
        <f t="shared" si="5"/>
        <v>0</v>
      </c>
    </row>
    <row r="186" spans="7:38" ht="24" customHeight="1">
      <c r="G186" s="176"/>
      <c r="AJ186" s="139" t="str">
        <f t="shared" si="4"/>
        <v/>
      </c>
      <c r="AK186" s="388"/>
      <c r="AL186" s="383">
        <f t="shared" si="5"/>
        <v>0</v>
      </c>
    </row>
    <row r="187" spans="7:38" ht="24" customHeight="1">
      <c r="G187" s="176"/>
      <c r="AJ187" s="139" t="str">
        <f t="shared" si="4"/>
        <v/>
      </c>
      <c r="AK187" s="388"/>
      <c r="AL187" s="383">
        <f t="shared" si="5"/>
        <v>0</v>
      </c>
    </row>
    <row r="188" spans="7:38" ht="24" customHeight="1">
      <c r="G188" s="176"/>
      <c r="AJ188" s="139" t="str">
        <f t="shared" si="4"/>
        <v/>
      </c>
      <c r="AK188" s="388"/>
      <c r="AL188" s="383">
        <f t="shared" si="5"/>
        <v>0</v>
      </c>
    </row>
    <row r="189" spans="7:38" ht="24" customHeight="1">
      <c r="G189" s="176"/>
      <c r="AJ189" s="139" t="str">
        <f t="shared" si="4"/>
        <v/>
      </c>
      <c r="AK189" s="388"/>
      <c r="AL189" s="383">
        <f t="shared" si="5"/>
        <v>0</v>
      </c>
    </row>
    <row r="190" spans="7:38" ht="24" customHeight="1">
      <c r="G190" s="176"/>
      <c r="AJ190" s="139" t="str">
        <f t="shared" si="4"/>
        <v/>
      </c>
      <c r="AK190" s="388"/>
      <c r="AL190" s="383">
        <f t="shared" si="5"/>
        <v>0</v>
      </c>
    </row>
    <row r="191" spans="7:38" ht="24" customHeight="1">
      <c r="G191" s="176"/>
      <c r="AJ191" s="139" t="str">
        <f t="shared" si="4"/>
        <v/>
      </c>
      <c r="AK191" s="388"/>
      <c r="AL191" s="383">
        <f t="shared" si="5"/>
        <v>0</v>
      </c>
    </row>
    <row r="192" spans="7:38" ht="24" customHeight="1">
      <c r="G192" s="176"/>
      <c r="AJ192" s="139" t="str">
        <f t="shared" si="4"/>
        <v/>
      </c>
      <c r="AK192" s="388"/>
      <c r="AL192" s="383">
        <f t="shared" si="5"/>
        <v>0</v>
      </c>
    </row>
    <row r="193" spans="7:38" ht="24" customHeight="1">
      <c r="G193" s="176"/>
      <c r="AJ193" s="139" t="str">
        <f t="shared" si="4"/>
        <v/>
      </c>
      <c r="AK193" s="388"/>
      <c r="AL193" s="383">
        <f t="shared" si="5"/>
        <v>0</v>
      </c>
    </row>
    <row r="194" spans="7:38" ht="24" customHeight="1">
      <c r="G194" s="176"/>
      <c r="AJ194" s="139" t="str">
        <f t="shared" si="4"/>
        <v/>
      </c>
      <c r="AK194" s="388"/>
      <c r="AL194" s="383">
        <f t="shared" si="5"/>
        <v>0</v>
      </c>
    </row>
    <row r="195" spans="7:38" ht="24" customHeight="1">
      <c r="G195" s="176"/>
      <c r="AJ195" s="139" t="str">
        <f t="shared" si="4"/>
        <v/>
      </c>
      <c r="AK195" s="388"/>
      <c r="AL195" s="383">
        <f t="shared" si="5"/>
        <v>0</v>
      </c>
    </row>
    <row r="196" spans="7:38" ht="24" customHeight="1">
      <c r="G196" s="176"/>
      <c r="AJ196" s="139" t="str">
        <f t="shared" si="4"/>
        <v/>
      </c>
      <c r="AK196" s="388"/>
      <c r="AL196" s="383">
        <f t="shared" si="5"/>
        <v>0</v>
      </c>
    </row>
    <row r="197" spans="7:38" ht="24" customHeight="1">
      <c r="G197" s="176"/>
      <c r="AJ197" s="139" t="str">
        <f t="shared" si="4"/>
        <v/>
      </c>
      <c r="AK197" s="388"/>
      <c r="AL197" s="383">
        <f t="shared" si="5"/>
        <v>0</v>
      </c>
    </row>
    <row r="198" spans="7:38" ht="24" customHeight="1">
      <c r="G198" s="176"/>
      <c r="AJ198" s="139" t="str">
        <f t="shared" si="4"/>
        <v/>
      </c>
      <c r="AK198" s="388"/>
      <c r="AL198" s="383">
        <f t="shared" si="5"/>
        <v>0</v>
      </c>
    </row>
    <row r="199" spans="7:38" ht="24" customHeight="1">
      <c r="G199" s="176"/>
      <c r="AJ199" s="139" t="str">
        <f t="shared" si="4"/>
        <v/>
      </c>
      <c r="AK199" s="388"/>
      <c r="AL199" s="383">
        <f t="shared" si="5"/>
        <v>0</v>
      </c>
    </row>
    <row r="200" spans="7:38" ht="24" customHeight="1">
      <c r="G200" s="176"/>
      <c r="AJ200" s="139" t="str">
        <f t="shared" si="4"/>
        <v/>
      </c>
      <c r="AK200" s="388"/>
      <c r="AL200" s="383">
        <f t="shared" si="5"/>
        <v>0</v>
      </c>
    </row>
    <row r="201" spans="7:38" ht="24" customHeight="1">
      <c r="G201" s="176"/>
      <c r="AJ201" s="139" t="str">
        <f t="shared" ref="AJ201:AJ264" si="6">IF(C201="","",C201)</f>
        <v/>
      </c>
      <c r="AK201" s="388"/>
      <c r="AL201" s="383">
        <f t="shared" ref="AL201:AL207" si="7">SUMIFS(AC201:AC10193,AD201:AD10193,"&gt;0",D201:D10193,AK201,AH201:AH10193,6,AI201:AI10193,2026)</f>
        <v>0</v>
      </c>
    </row>
    <row r="202" spans="7:38" ht="24" customHeight="1">
      <c r="G202" s="176"/>
      <c r="AJ202" s="139" t="str">
        <f t="shared" si="6"/>
        <v/>
      </c>
      <c r="AK202" s="388"/>
      <c r="AL202" s="383">
        <f t="shared" si="7"/>
        <v>0</v>
      </c>
    </row>
    <row r="203" spans="7:38" ht="24" customHeight="1">
      <c r="G203" s="176"/>
      <c r="AJ203" s="139" t="str">
        <f t="shared" si="6"/>
        <v/>
      </c>
      <c r="AK203" s="388"/>
      <c r="AL203" s="383">
        <f t="shared" si="7"/>
        <v>0</v>
      </c>
    </row>
    <row r="204" spans="7:38" ht="24" customHeight="1">
      <c r="G204" s="176"/>
      <c r="AJ204" s="139" t="str">
        <f t="shared" si="6"/>
        <v/>
      </c>
      <c r="AK204" s="388"/>
      <c r="AL204" s="383">
        <f t="shared" si="7"/>
        <v>0</v>
      </c>
    </row>
    <row r="205" spans="7:38" ht="24" customHeight="1">
      <c r="G205" s="176"/>
      <c r="AJ205" s="139" t="str">
        <f t="shared" si="6"/>
        <v/>
      </c>
      <c r="AK205" s="388"/>
      <c r="AL205" s="383">
        <f t="shared" si="7"/>
        <v>0</v>
      </c>
    </row>
    <row r="206" spans="7:38" ht="24" customHeight="1">
      <c r="G206" s="176"/>
      <c r="AJ206" s="139" t="str">
        <f t="shared" si="6"/>
        <v/>
      </c>
      <c r="AK206" s="388"/>
      <c r="AL206" s="383">
        <f t="shared" si="7"/>
        <v>0</v>
      </c>
    </row>
    <row r="207" spans="7:38" ht="24" customHeight="1">
      <c r="G207" s="176"/>
      <c r="AJ207" s="139" t="str">
        <f t="shared" si="6"/>
        <v/>
      </c>
      <c r="AK207" s="388"/>
      <c r="AL207" s="383">
        <f t="shared" si="7"/>
        <v>0</v>
      </c>
    </row>
    <row r="208" spans="7:38" ht="24" customHeight="1">
      <c r="G208" s="176"/>
      <c r="AJ208" s="139" t="str">
        <f t="shared" si="6"/>
        <v/>
      </c>
      <c r="AK208" s="388"/>
    </row>
    <row r="209" spans="7:37" ht="24" customHeight="1">
      <c r="G209" s="176"/>
      <c r="AJ209" s="139" t="str">
        <f t="shared" si="6"/>
        <v/>
      </c>
      <c r="AK209" s="388"/>
    </row>
    <row r="210" spans="7:37" ht="24" customHeight="1">
      <c r="G210" s="176"/>
      <c r="AJ210" s="139" t="str">
        <f t="shared" si="6"/>
        <v/>
      </c>
      <c r="AK210" s="388"/>
    </row>
    <row r="211" spans="7:37" ht="24" customHeight="1">
      <c r="G211" s="176"/>
      <c r="AJ211" s="139" t="str">
        <f t="shared" si="6"/>
        <v/>
      </c>
      <c r="AK211" s="388"/>
    </row>
    <row r="212" spans="7:37" ht="24" customHeight="1">
      <c r="G212" s="176"/>
      <c r="AJ212" s="139" t="str">
        <f t="shared" si="6"/>
        <v/>
      </c>
      <c r="AK212" s="388"/>
    </row>
    <row r="213" spans="7:37" ht="24" customHeight="1">
      <c r="G213" s="176"/>
      <c r="AJ213" s="139" t="str">
        <f t="shared" si="6"/>
        <v/>
      </c>
      <c r="AK213" s="388"/>
    </row>
    <row r="214" spans="7:37" ht="24" customHeight="1">
      <c r="G214" s="176"/>
      <c r="AJ214" s="139" t="str">
        <f t="shared" si="6"/>
        <v/>
      </c>
      <c r="AK214" s="388"/>
    </row>
    <row r="215" spans="7:37" ht="24" customHeight="1">
      <c r="G215" s="176"/>
      <c r="AJ215" s="139" t="str">
        <f t="shared" si="6"/>
        <v/>
      </c>
      <c r="AK215" s="388"/>
    </row>
    <row r="216" spans="7:37" ht="24" customHeight="1">
      <c r="G216" s="176"/>
      <c r="AJ216" s="139" t="str">
        <f t="shared" si="6"/>
        <v/>
      </c>
      <c r="AK216" s="388"/>
    </row>
    <row r="217" spans="7:37" ht="24" customHeight="1">
      <c r="G217" s="176"/>
      <c r="AJ217" s="139" t="str">
        <f t="shared" si="6"/>
        <v/>
      </c>
      <c r="AK217" s="388"/>
    </row>
    <row r="218" spans="7:37" ht="24" customHeight="1">
      <c r="G218" s="176"/>
      <c r="AJ218" s="139" t="str">
        <f t="shared" si="6"/>
        <v/>
      </c>
      <c r="AK218" s="388"/>
    </row>
    <row r="219" spans="7:37" ht="24" customHeight="1">
      <c r="G219" s="176"/>
      <c r="AJ219" s="139" t="str">
        <f t="shared" si="6"/>
        <v/>
      </c>
      <c r="AK219" s="388"/>
    </row>
    <row r="220" spans="7:37" ht="24" customHeight="1">
      <c r="G220" s="176"/>
      <c r="AJ220" s="139" t="str">
        <f t="shared" si="6"/>
        <v/>
      </c>
      <c r="AK220" s="388"/>
    </row>
    <row r="221" spans="7:37" ht="24" customHeight="1">
      <c r="G221" s="176"/>
      <c r="AJ221" s="139" t="str">
        <f t="shared" si="6"/>
        <v/>
      </c>
      <c r="AK221" s="388"/>
    </row>
    <row r="222" spans="7:37" ht="24" customHeight="1">
      <c r="G222" s="176"/>
      <c r="AJ222" s="139" t="str">
        <f t="shared" si="6"/>
        <v/>
      </c>
      <c r="AK222" s="388"/>
    </row>
    <row r="223" spans="7:37" ht="24" customHeight="1">
      <c r="G223" s="176"/>
      <c r="AJ223" s="139" t="str">
        <f t="shared" si="6"/>
        <v/>
      </c>
      <c r="AK223" s="388"/>
    </row>
    <row r="224" spans="7:37" ht="18" customHeight="1">
      <c r="G224" s="176"/>
      <c r="AJ224" s="139" t="str">
        <f t="shared" si="6"/>
        <v/>
      </c>
      <c r="AK224" s="388"/>
    </row>
    <row r="225" spans="7:37" ht="24" customHeight="1">
      <c r="G225" s="176"/>
      <c r="H225" s="192"/>
      <c r="I225" s="192"/>
      <c r="J225" s="192"/>
      <c r="K225" s="192"/>
      <c r="L225" s="192"/>
      <c r="M225" s="192"/>
      <c r="AJ225" s="139" t="str">
        <f t="shared" si="6"/>
        <v/>
      </c>
      <c r="AK225" s="388"/>
    </row>
    <row r="226" spans="7:37" ht="24" customHeight="1">
      <c r="G226" s="176"/>
      <c r="AJ226" s="139" t="str">
        <f t="shared" si="6"/>
        <v/>
      </c>
      <c r="AK226" s="388"/>
    </row>
    <row r="227" spans="7:37" ht="24" customHeight="1">
      <c r="G227" s="176"/>
      <c r="AJ227" s="139" t="str">
        <f t="shared" si="6"/>
        <v/>
      </c>
      <c r="AK227" s="388"/>
    </row>
    <row r="228" spans="7:37" ht="24" customHeight="1">
      <c r="G228" s="176"/>
      <c r="AJ228" s="139" t="str">
        <f t="shared" si="6"/>
        <v/>
      </c>
      <c r="AK228" s="388"/>
    </row>
    <row r="229" spans="7:37" ht="24" customHeight="1">
      <c r="G229" s="176"/>
      <c r="AJ229" s="139" t="str">
        <f t="shared" si="6"/>
        <v/>
      </c>
      <c r="AK229" s="388"/>
    </row>
    <row r="230" spans="7:37" ht="24" customHeight="1">
      <c r="G230" s="176"/>
      <c r="AJ230" s="139" t="str">
        <f t="shared" si="6"/>
        <v/>
      </c>
      <c r="AK230" s="388"/>
    </row>
    <row r="231" spans="7:37" ht="24" customHeight="1">
      <c r="G231" s="176"/>
      <c r="AJ231" s="139" t="str">
        <f t="shared" si="6"/>
        <v/>
      </c>
      <c r="AK231" s="388"/>
    </row>
    <row r="232" spans="7:37" ht="24" customHeight="1">
      <c r="G232" s="176"/>
      <c r="AJ232" s="139" t="str">
        <f t="shared" si="6"/>
        <v/>
      </c>
      <c r="AK232" s="388"/>
    </row>
    <row r="233" spans="7:37" ht="24" customHeight="1">
      <c r="G233" s="176"/>
      <c r="AJ233" s="139" t="str">
        <f t="shared" si="6"/>
        <v/>
      </c>
      <c r="AK233" s="388"/>
    </row>
    <row r="234" spans="7:37" ht="24" customHeight="1">
      <c r="G234" s="176"/>
      <c r="AJ234" s="139" t="str">
        <f t="shared" si="6"/>
        <v/>
      </c>
      <c r="AK234" s="388"/>
    </row>
    <row r="235" spans="7:37" ht="24" customHeight="1">
      <c r="G235" s="176"/>
      <c r="AJ235" s="139" t="str">
        <f t="shared" si="6"/>
        <v/>
      </c>
      <c r="AK235" s="388"/>
    </row>
    <row r="236" spans="7:37" ht="24" customHeight="1">
      <c r="G236" s="176"/>
      <c r="AJ236" s="139" t="str">
        <f t="shared" si="6"/>
        <v/>
      </c>
      <c r="AK236" s="388"/>
    </row>
    <row r="237" spans="7:37" ht="24" customHeight="1">
      <c r="G237" s="176"/>
      <c r="AJ237" s="139" t="str">
        <f t="shared" si="6"/>
        <v/>
      </c>
      <c r="AK237" s="388"/>
    </row>
    <row r="238" spans="7:37" ht="24" customHeight="1">
      <c r="G238" s="176"/>
      <c r="AJ238" s="139" t="str">
        <f t="shared" si="6"/>
        <v/>
      </c>
      <c r="AK238" s="388"/>
    </row>
    <row r="239" spans="7:37" ht="24" customHeight="1">
      <c r="G239" s="176"/>
      <c r="AJ239" s="139" t="str">
        <f t="shared" si="6"/>
        <v/>
      </c>
      <c r="AK239" s="388"/>
    </row>
    <row r="240" spans="7:37" ht="24" customHeight="1">
      <c r="G240" s="176"/>
      <c r="AJ240" s="139" t="str">
        <f t="shared" si="6"/>
        <v/>
      </c>
      <c r="AK240" s="388"/>
    </row>
    <row r="241" spans="7:37" ht="24" customHeight="1">
      <c r="G241" s="176"/>
      <c r="AJ241" s="139" t="str">
        <f t="shared" si="6"/>
        <v/>
      </c>
      <c r="AK241" s="388"/>
    </row>
    <row r="242" spans="7:37" ht="24" customHeight="1">
      <c r="G242" s="176"/>
      <c r="AJ242" s="139" t="str">
        <f t="shared" si="6"/>
        <v/>
      </c>
      <c r="AK242" s="388"/>
    </row>
    <row r="243" spans="7:37" ht="24" customHeight="1">
      <c r="G243" s="176"/>
      <c r="AJ243" s="139" t="str">
        <f t="shared" si="6"/>
        <v/>
      </c>
      <c r="AK243" s="388"/>
    </row>
    <row r="244" spans="7:37" ht="24" customHeight="1">
      <c r="G244" s="176"/>
      <c r="AJ244" s="139" t="str">
        <f t="shared" si="6"/>
        <v/>
      </c>
      <c r="AK244" s="388"/>
    </row>
    <row r="245" spans="7:37" ht="24" customHeight="1">
      <c r="G245" s="176"/>
      <c r="AJ245" s="139" t="str">
        <f t="shared" si="6"/>
        <v/>
      </c>
      <c r="AK245" s="388"/>
    </row>
    <row r="246" spans="7:37" ht="24" customHeight="1">
      <c r="G246" s="176"/>
      <c r="AJ246" s="139" t="str">
        <f t="shared" si="6"/>
        <v/>
      </c>
      <c r="AK246" s="388"/>
    </row>
    <row r="247" spans="7:37" ht="24" customHeight="1">
      <c r="G247" s="176"/>
      <c r="AJ247" s="139" t="str">
        <f t="shared" si="6"/>
        <v/>
      </c>
      <c r="AK247" s="388"/>
    </row>
    <row r="248" spans="7:37" ht="24" customHeight="1">
      <c r="G248" s="176"/>
      <c r="AJ248" s="139" t="str">
        <f t="shared" si="6"/>
        <v/>
      </c>
      <c r="AK248" s="388"/>
    </row>
    <row r="249" spans="7:37" ht="24" customHeight="1">
      <c r="G249" s="176"/>
      <c r="AJ249" s="139" t="str">
        <f t="shared" si="6"/>
        <v/>
      </c>
      <c r="AK249" s="388"/>
    </row>
    <row r="250" spans="7:37" ht="24" customHeight="1">
      <c r="G250" s="176"/>
      <c r="AJ250" s="139" t="str">
        <f t="shared" si="6"/>
        <v/>
      </c>
      <c r="AK250" s="388"/>
    </row>
    <row r="251" spans="7:37" ht="24" customHeight="1">
      <c r="G251" s="176"/>
      <c r="AJ251" s="139" t="str">
        <f t="shared" si="6"/>
        <v/>
      </c>
      <c r="AK251" s="388"/>
    </row>
    <row r="252" spans="7:37" ht="24" customHeight="1">
      <c r="G252" s="176"/>
      <c r="AJ252" s="139" t="str">
        <f t="shared" si="6"/>
        <v/>
      </c>
      <c r="AK252" s="388"/>
    </row>
    <row r="253" spans="7:37" ht="24" customHeight="1">
      <c r="G253" s="176"/>
      <c r="AJ253" s="139" t="str">
        <f t="shared" si="6"/>
        <v/>
      </c>
      <c r="AK253" s="388"/>
    </row>
    <row r="254" spans="7:37" ht="24" customHeight="1">
      <c r="G254" s="176"/>
      <c r="AJ254" s="139" t="str">
        <f t="shared" si="6"/>
        <v/>
      </c>
      <c r="AK254" s="388"/>
    </row>
    <row r="255" spans="7:37" ht="24" customHeight="1">
      <c r="G255" s="176"/>
      <c r="AJ255" s="139" t="str">
        <f t="shared" si="6"/>
        <v/>
      </c>
      <c r="AK255" s="388"/>
    </row>
    <row r="256" spans="7:37" ht="24" customHeight="1">
      <c r="G256" s="176"/>
      <c r="AJ256" s="139" t="str">
        <f t="shared" si="6"/>
        <v/>
      </c>
      <c r="AK256" s="388"/>
    </row>
    <row r="257" spans="7:37" ht="24" customHeight="1">
      <c r="G257" s="176"/>
      <c r="AJ257" s="139" t="str">
        <f t="shared" si="6"/>
        <v/>
      </c>
      <c r="AK257" s="388"/>
    </row>
    <row r="258" spans="7:37" ht="24" customHeight="1">
      <c r="G258" s="176"/>
      <c r="AJ258" s="139" t="str">
        <f t="shared" si="6"/>
        <v/>
      </c>
      <c r="AK258" s="388"/>
    </row>
    <row r="259" spans="7:37" ht="24" customHeight="1">
      <c r="G259" s="176"/>
      <c r="AJ259" s="139" t="str">
        <f t="shared" si="6"/>
        <v/>
      </c>
      <c r="AK259" s="388"/>
    </row>
    <row r="260" spans="7:37" ht="24" customHeight="1">
      <c r="G260" s="176"/>
      <c r="AJ260" s="139" t="str">
        <f t="shared" si="6"/>
        <v/>
      </c>
      <c r="AK260" s="388"/>
    </row>
    <row r="261" spans="7:37" ht="24" customHeight="1">
      <c r="G261" s="176"/>
      <c r="AJ261" s="139" t="str">
        <f t="shared" si="6"/>
        <v/>
      </c>
      <c r="AK261" s="388"/>
    </row>
    <row r="262" spans="7:37" ht="24" customHeight="1">
      <c r="G262" s="176"/>
      <c r="AJ262" s="139" t="str">
        <f t="shared" si="6"/>
        <v/>
      </c>
      <c r="AK262" s="388"/>
    </row>
    <row r="263" spans="7:37" ht="24" customHeight="1">
      <c r="G263" s="176"/>
      <c r="AJ263" s="139" t="str">
        <f t="shared" si="6"/>
        <v/>
      </c>
      <c r="AK263" s="388"/>
    </row>
    <row r="264" spans="7:37" ht="24" customHeight="1">
      <c r="G264" s="176"/>
      <c r="AJ264" s="139" t="str">
        <f t="shared" si="6"/>
        <v/>
      </c>
      <c r="AK264" s="388"/>
    </row>
    <row r="265" spans="7:37" ht="24" customHeight="1">
      <c r="G265" s="176"/>
      <c r="AJ265" s="139" t="str">
        <f t="shared" ref="AJ265:AJ328" si="8">IF(C265="","",C265)</f>
        <v/>
      </c>
      <c r="AK265" s="388"/>
    </row>
    <row r="266" spans="7:37" ht="24" customHeight="1">
      <c r="G266" s="176"/>
      <c r="AJ266" s="139" t="str">
        <f t="shared" si="8"/>
        <v/>
      </c>
      <c r="AK266" s="388"/>
    </row>
    <row r="267" spans="7:37" ht="24" customHeight="1">
      <c r="G267" s="176"/>
      <c r="AJ267" s="139" t="str">
        <f t="shared" si="8"/>
        <v/>
      </c>
      <c r="AK267" s="388"/>
    </row>
    <row r="268" spans="7:37" ht="24" customHeight="1">
      <c r="G268" s="176"/>
      <c r="AJ268" s="139" t="str">
        <f t="shared" si="8"/>
        <v/>
      </c>
      <c r="AK268" s="388"/>
    </row>
    <row r="269" spans="7:37" ht="24" customHeight="1">
      <c r="G269" s="176"/>
      <c r="AJ269" s="139" t="str">
        <f t="shared" si="8"/>
        <v/>
      </c>
      <c r="AK269" s="388"/>
    </row>
    <row r="270" spans="7:37" ht="24" customHeight="1">
      <c r="G270" s="176"/>
      <c r="AJ270" s="139" t="str">
        <f t="shared" si="8"/>
        <v/>
      </c>
      <c r="AK270" s="388"/>
    </row>
    <row r="271" spans="7:37" ht="24" customHeight="1">
      <c r="G271" s="176"/>
      <c r="AJ271" s="139" t="str">
        <f t="shared" si="8"/>
        <v/>
      </c>
      <c r="AK271" s="388"/>
    </row>
    <row r="272" spans="7:37" ht="24" customHeight="1">
      <c r="G272" s="176"/>
      <c r="AJ272" s="139" t="str">
        <f t="shared" si="8"/>
        <v/>
      </c>
      <c r="AK272" s="388"/>
    </row>
    <row r="273" spans="7:37" ht="24" customHeight="1">
      <c r="G273" s="176"/>
      <c r="AJ273" s="139" t="str">
        <f t="shared" si="8"/>
        <v/>
      </c>
      <c r="AK273" s="388"/>
    </row>
    <row r="274" spans="7:37" ht="24" customHeight="1">
      <c r="G274" s="176"/>
      <c r="AJ274" s="139" t="str">
        <f t="shared" si="8"/>
        <v/>
      </c>
      <c r="AK274" s="388"/>
    </row>
    <row r="275" spans="7:37" ht="24" customHeight="1">
      <c r="G275" s="176"/>
      <c r="AJ275" s="139" t="str">
        <f t="shared" si="8"/>
        <v/>
      </c>
      <c r="AK275" s="388"/>
    </row>
    <row r="276" spans="7:37" ht="24" customHeight="1">
      <c r="G276" s="176"/>
      <c r="AJ276" s="139" t="str">
        <f t="shared" si="8"/>
        <v/>
      </c>
      <c r="AK276" s="388"/>
    </row>
    <row r="277" spans="7:37" ht="24" customHeight="1">
      <c r="G277" s="176"/>
      <c r="AJ277" s="139" t="str">
        <f t="shared" si="8"/>
        <v/>
      </c>
      <c r="AK277" s="388"/>
    </row>
    <row r="278" spans="7:37" ht="24" customHeight="1">
      <c r="G278" s="176"/>
      <c r="AJ278" s="139" t="str">
        <f t="shared" si="8"/>
        <v/>
      </c>
      <c r="AK278" s="388"/>
    </row>
    <row r="279" spans="7:37" ht="24" customHeight="1">
      <c r="G279" s="176"/>
      <c r="AJ279" s="139" t="str">
        <f t="shared" si="8"/>
        <v/>
      </c>
      <c r="AK279" s="388"/>
    </row>
    <row r="280" spans="7:37" ht="24" customHeight="1">
      <c r="G280" s="176"/>
      <c r="AJ280" s="139" t="str">
        <f t="shared" si="8"/>
        <v/>
      </c>
      <c r="AK280" s="388"/>
    </row>
    <row r="281" spans="7:37" ht="24" customHeight="1">
      <c r="G281" s="176"/>
      <c r="AJ281" s="139" t="str">
        <f t="shared" si="8"/>
        <v/>
      </c>
      <c r="AK281" s="388"/>
    </row>
    <row r="282" spans="7:37" ht="24" customHeight="1">
      <c r="G282" s="176"/>
      <c r="AJ282" s="139" t="str">
        <f t="shared" si="8"/>
        <v/>
      </c>
      <c r="AK282" s="388"/>
    </row>
    <row r="283" spans="7:37" ht="24" customHeight="1">
      <c r="G283" s="176"/>
      <c r="AJ283" s="139" t="str">
        <f t="shared" si="8"/>
        <v/>
      </c>
      <c r="AK283" s="388"/>
    </row>
    <row r="284" spans="7:37" ht="24" customHeight="1">
      <c r="G284" s="176"/>
      <c r="AJ284" s="139" t="str">
        <f t="shared" si="8"/>
        <v/>
      </c>
      <c r="AK284" s="388"/>
    </row>
    <row r="285" spans="7:37" ht="24" customHeight="1">
      <c r="G285" s="176"/>
      <c r="AJ285" s="139" t="str">
        <f t="shared" si="8"/>
        <v/>
      </c>
      <c r="AK285" s="388"/>
    </row>
    <row r="286" spans="7:37" ht="24" customHeight="1">
      <c r="G286" s="176"/>
      <c r="AJ286" s="139" t="str">
        <f t="shared" si="8"/>
        <v/>
      </c>
      <c r="AK286" s="388"/>
    </row>
    <row r="287" spans="7:37" ht="24" customHeight="1">
      <c r="G287" s="176"/>
      <c r="AJ287" s="139" t="str">
        <f t="shared" si="8"/>
        <v/>
      </c>
      <c r="AK287" s="388"/>
    </row>
    <row r="288" spans="7:37" ht="24" customHeight="1">
      <c r="G288" s="176"/>
      <c r="AJ288" s="139" t="str">
        <f t="shared" si="8"/>
        <v/>
      </c>
      <c r="AK288" s="388"/>
    </row>
    <row r="289" spans="7:37" ht="24" customHeight="1">
      <c r="G289" s="176"/>
      <c r="AJ289" s="139" t="str">
        <f t="shared" si="8"/>
        <v/>
      </c>
      <c r="AK289" s="388"/>
    </row>
    <row r="290" spans="7:37" ht="24" customHeight="1">
      <c r="G290" s="176"/>
      <c r="AJ290" s="139" t="str">
        <f t="shared" si="8"/>
        <v/>
      </c>
      <c r="AK290" s="388"/>
    </row>
    <row r="291" spans="7:37" ht="24" customHeight="1">
      <c r="G291" s="176"/>
      <c r="AJ291" s="139" t="str">
        <f t="shared" si="8"/>
        <v/>
      </c>
      <c r="AK291" s="388"/>
    </row>
    <row r="292" spans="7:37" ht="24" customHeight="1">
      <c r="G292" s="176"/>
      <c r="AJ292" s="139" t="str">
        <f t="shared" si="8"/>
        <v/>
      </c>
      <c r="AK292" s="388"/>
    </row>
    <row r="293" spans="7:37" ht="24" customHeight="1">
      <c r="G293" s="176"/>
      <c r="AJ293" s="139" t="str">
        <f t="shared" si="8"/>
        <v/>
      </c>
      <c r="AK293" s="388"/>
    </row>
    <row r="294" spans="7:37" ht="24" customHeight="1">
      <c r="G294" s="176"/>
      <c r="AJ294" s="139" t="str">
        <f t="shared" si="8"/>
        <v/>
      </c>
      <c r="AK294" s="388"/>
    </row>
    <row r="295" spans="7:37" ht="24" customHeight="1">
      <c r="G295" s="176"/>
      <c r="AJ295" s="139" t="str">
        <f t="shared" si="8"/>
        <v/>
      </c>
      <c r="AK295" s="388"/>
    </row>
    <row r="296" spans="7:37" ht="24" customHeight="1">
      <c r="G296" s="176"/>
      <c r="AJ296" s="139" t="str">
        <f t="shared" si="8"/>
        <v/>
      </c>
      <c r="AK296" s="388"/>
    </row>
    <row r="297" spans="7:37" ht="24" customHeight="1">
      <c r="G297" s="176"/>
      <c r="AJ297" s="139" t="str">
        <f t="shared" si="8"/>
        <v/>
      </c>
      <c r="AK297" s="388"/>
    </row>
    <row r="298" spans="7:37" ht="24" customHeight="1">
      <c r="G298" s="176"/>
      <c r="AJ298" s="139" t="str">
        <f t="shared" si="8"/>
        <v/>
      </c>
      <c r="AK298" s="388"/>
    </row>
    <row r="299" spans="7:37" ht="24" customHeight="1">
      <c r="G299" s="176"/>
      <c r="AJ299" s="139" t="str">
        <f t="shared" si="8"/>
        <v/>
      </c>
      <c r="AK299" s="388"/>
    </row>
    <row r="300" spans="7:37" ht="24" customHeight="1">
      <c r="G300" s="176"/>
      <c r="AJ300" s="139" t="str">
        <f t="shared" si="8"/>
        <v/>
      </c>
      <c r="AK300" s="388"/>
    </row>
    <row r="301" spans="7:37" ht="24" customHeight="1">
      <c r="G301" s="176"/>
      <c r="AJ301" s="139" t="str">
        <f t="shared" si="8"/>
        <v/>
      </c>
      <c r="AK301" s="388"/>
    </row>
    <row r="302" spans="7:37" ht="24" customHeight="1">
      <c r="G302" s="176"/>
      <c r="AJ302" s="139" t="str">
        <f t="shared" si="8"/>
        <v/>
      </c>
      <c r="AK302" s="388"/>
    </row>
    <row r="303" spans="7:37" ht="24" customHeight="1">
      <c r="G303" s="176"/>
      <c r="AJ303" s="139" t="str">
        <f t="shared" si="8"/>
        <v/>
      </c>
      <c r="AK303" s="388"/>
    </row>
    <row r="304" spans="7:37" ht="24" customHeight="1">
      <c r="G304" s="176"/>
      <c r="AJ304" s="139" t="str">
        <f t="shared" si="8"/>
        <v/>
      </c>
      <c r="AK304" s="388"/>
    </row>
    <row r="305" spans="7:37" ht="24" customHeight="1">
      <c r="G305" s="176"/>
      <c r="AJ305" s="139" t="str">
        <f t="shared" si="8"/>
        <v/>
      </c>
      <c r="AK305" s="388"/>
    </row>
    <row r="306" spans="7:37" ht="24" customHeight="1">
      <c r="G306" s="176"/>
      <c r="AJ306" s="139" t="str">
        <f t="shared" si="8"/>
        <v/>
      </c>
      <c r="AK306" s="388"/>
    </row>
    <row r="307" spans="7:37" ht="24" customHeight="1">
      <c r="G307" s="176"/>
      <c r="AJ307" s="139" t="str">
        <f t="shared" si="8"/>
        <v/>
      </c>
      <c r="AK307" s="388"/>
    </row>
    <row r="308" spans="7:37" ht="24" customHeight="1">
      <c r="G308" s="176"/>
      <c r="AJ308" s="139" t="str">
        <f t="shared" si="8"/>
        <v/>
      </c>
      <c r="AK308" s="388"/>
    </row>
    <row r="309" spans="7:37" ht="24" customHeight="1">
      <c r="G309" s="176"/>
      <c r="AJ309" s="139" t="str">
        <f t="shared" si="8"/>
        <v/>
      </c>
      <c r="AK309" s="388"/>
    </row>
    <row r="310" spans="7:37" ht="24" customHeight="1">
      <c r="G310" s="176"/>
      <c r="AJ310" s="139" t="str">
        <f t="shared" si="8"/>
        <v/>
      </c>
      <c r="AK310" s="388"/>
    </row>
    <row r="311" spans="7:37" ht="24" customHeight="1">
      <c r="G311" s="176"/>
      <c r="AJ311" s="139" t="str">
        <f t="shared" si="8"/>
        <v/>
      </c>
      <c r="AK311" s="388"/>
    </row>
    <row r="312" spans="7:37" ht="24" customHeight="1">
      <c r="G312" s="176"/>
      <c r="AJ312" s="139" t="str">
        <f t="shared" si="8"/>
        <v/>
      </c>
      <c r="AK312" s="388"/>
    </row>
    <row r="313" spans="7:37" ht="24" customHeight="1">
      <c r="G313" s="176"/>
      <c r="AJ313" s="139" t="str">
        <f t="shared" si="8"/>
        <v/>
      </c>
      <c r="AK313" s="388"/>
    </row>
    <row r="314" spans="7:37" ht="24" customHeight="1">
      <c r="G314" s="176"/>
      <c r="AJ314" s="139" t="str">
        <f t="shared" si="8"/>
        <v/>
      </c>
      <c r="AK314" s="388"/>
    </row>
    <row r="315" spans="7:37" ht="24" customHeight="1">
      <c r="G315" s="176"/>
      <c r="AJ315" s="139" t="str">
        <f t="shared" si="8"/>
        <v/>
      </c>
      <c r="AK315" s="388"/>
    </row>
    <row r="316" spans="7:37" ht="24" customHeight="1">
      <c r="G316" s="176"/>
      <c r="AJ316" s="139" t="str">
        <f t="shared" si="8"/>
        <v/>
      </c>
      <c r="AK316" s="388"/>
    </row>
    <row r="317" spans="7:37" ht="24" customHeight="1">
      <c r="G317" s="176"/>
      <c r="AJ317" s="139" t="str">
        <f t="shared" si="8"/>
        <v/>
      </c>
      <c r="AK317" s="388"/>
    </row>
    <row r="318" spans="7:37" ht="24" customHeight="1">
      <c r="G318" s="176"/>
      <c r="H318" s="192"/>
      <c r="I318" s="192"/>
      <c r="J318" s="192"/>
      <c r="K318" s="192"/>
      <c r="L318" s="192"/>
      <c r="M318" s="192"/>
      <c r="AJ318" s="139" t="str">
        <f t="shared" si="8"/>
        <v/>
      </c>
      <c r="AK318" s="388"/>
    </row>
    <row r="319" spans="7:37" ht="24" customHeight="1">
      <c r="G319" s="176"/>
      <c r="AJ319" s="139" t="str">
        <f t="shared" si="8"/>
        <v/>
      </c>
      <c r="AK319" s="388"/>
    </row>
    <row r="320" spans="7:37" ht="24" customHeight="1">
      <c r="G320" s="176"/>
      <c r="AJ320" s="139" t="str">
        <f t="shared" si="8"/>
        <v/>
      </c>
      <c r="AK320" s="388"/>
    </row>
    <row r="321" spans="7:37" ht="24" customHeight="1">
      <c r="G321" s="176"/>
      <c r="AJ321" s="139" t="str">
        <f t="shared" si="8"/>
        <v/>
      </c>
      <c r="AK321" s="388"/>
    </row>
    <row r="322" spans="7:37" ht="24" customHeight="1">
      <c r="G322" s="176"/>
      <c r="AJ322" s="139" t="str">
        <f t="shared" si="8"/>
        <v/>
      </c>
      <c r="AK322" s="388"/>
    </row>
    <row r="323" spans="7:37" ht="24" customHeight="1">
      <c r="G323" s="176"/>
      <c r="AJ323" s="139" t="str">
        <f t="shared" si="8"/>
        <v/>
      </c>
      <c r="AK323" s="388"/>
    </row>
    <row r="324" spans="7:37" ht="24" customHeight="1">
      <c r="G324" s="176"/>
      <c r="AJ324" s="139" t="str">
        <f t="shared" si="8"/>
        <v/>
      </c>
      <c r="AK324" s="388"/>
    </row>
    <row r="325" spans="7:37" ht="24" customHeight="1">
      <c r="G325" s="176"/>
      <c r="AJ325" s="139" t="str">
        <f t="shared" si="8"/>
        <v/>
      </c>
      <c r="AK325" s="388"/>
    </row>
    <row r="326" spans="7:37" ht="24" customHeight="1">
      <c r="G326" s="176"/>
      <c r="AJ326" s="139" t="str">
        <f t="shared" si="8"/>
        <v/>
      </c>
      <c r="AK326" s="388"/>
    </row>
    <row r="327" spans="7:37" ht="24" customHeight="1">
      <c r="G327" s="176"/>
      <c r="AJ327" s="139" t="str">
        <f t="shared" si="8"/>
        <v/>
      </c>
    </row>
    <row r="328" spans="7:37" ht="24" customHeight="1">
      <c r="G328" s="176"/>
      <c r="AJ328" s="139" t="str">
        <f t="shared" si="8"/>
        <v/>
      </c>
      <c r="AK328" s="388"/>
    </row>
    <row r="329" spans="7:37" ht="24" customHeight="1">
      <c r="G329" s="176"/>
      <c r="AJ329" s="139" t="str">
        <f t="shared" ref="AJ329:AJ392" si="9">IF(C329="","",C329)</f>
        <v/>
      </c>
      <c r="AK329" s="388"/>
    </row>
    <row r="330" spans="7:37" ht="24" customHeight="1">
      <c r="G330" s="176"/>
      <c r="AJ330" s="139" t="str">
        <f t="shared" si="9"/>
        <v/>
      </c>
      <c r="AK330" s="388"/>
    </row>
    <row r="331" spans="7:37" ht="24" customHeight="1">
      <c r="G331" s="176"/>
      <c r="AJ331" s="139" t="str">
        <f t="shared" si="9"/>
        <v/>
      </c>
      <c r="AK331" s="388"/>
    </row>
    <row r="332" spans="7:37" ht="24" customHeight="1">
      <c r="G332" s="176"/>
      <c r="AJ332" s="139" t="str">
        <f t="shared" si="9"/>
        <v/>
      </c>
      <c r="AK332" s="388"/>
    </row>
    <row r="333" spans="7:37" ht="24" customHeight="1">
      <c r="G333" s="176"/>
      <c r="AJ333" s="139" t="str">
        <f t="shared" si="9"/>
        <v/>
      </c>
      <c r="AK333" s="388"/>
    </row>
    <row r="334" spans="7:37" ht="24" customHeight="1">
      <c r="G334" s="176"/>
      <c r="AJ334" s="139" t="str">
        <f t="shared" si="9"/>
        <v/>
      </c>
      <c r="AK334" s="388"/>
    </row>
    <row r="335" spans="7:37" ht="24" customHeight="1">
      <c r="G335" s="176"/>
      <c r="AJ335" s="139" t="str">
        <f t="shared" si="9"/>
        <v/>
      </c>
      <c r="AK335" s="388"/>
    </row>
    <row r="336" spans="7:37" ht="24" customHeight="1">
      <c r="G336" s="176"/>
      <c r="AJ336" s="139" t="str">
        <f t="shared" si="9"/>
        <v/>
      </c>
      <c r="AK336" s="388"/>
    </row>
    <row r="337" spans="7:37" ht="24" customHeight="1">
      <c r="G337" s="176"/>
      <c r="AJ337" s="139" t="str">
        <f t="shared" si="9"/>
        <v/>
      </c>
      <c r="AK337" s="388"/>
    </row>
    <row r="338" spans="7:37" ht="24" customHeight="1">
      <c r="G338" s="176"/>
      <c r="AJ338" s="139" t="str">
        <f t="shared" si="9"/>
        <v/>
      </c>
      <c r="AK338" s="388"/>
    </row>
    <row r="339" spans="7:37" ht="24" customHeight="1">
      <c r="G339" s="176"/>
      <c r="AJ339" s="139" t="str">
        <f t="shared" si="9"/>
        <v/>
      </c>
      <c r="AK339" s="388"/>
    </row>
    <row r="340" spans="7:37" ht="24" customHeight="1">
      <c r="G340" s="176"/>
      <c r="AJ340" s="139" t="str">
        <f t="shared" si="9"/>
        <v/>
      </c>
      <c r="AK340" s="388"/>
    </row>
    <row r="341" spans="7:37" ht="24" customHeight="1">
      <c r="G341" s="176"/>
      <c r="AJ341" s="139" t="str">
        <f t="shared" si="9"/>
        <v/>
      </c>
      <c r="AK341" s="388"/>
    </row>
    <row r="342" spans="7:37" ht="24" customHeight="1">
      <c r="G342" s="176"/>
      <c r="AJ342" s="139" t="str">
        <f t="shared" si="9"/>
        <v/>
      </c>
    </row>
    <row r="343" spans="7:37" ht="24" customHeight="1">
      <c r="G343" s="176"/>
      <c r="AJ343" s="139" t="str">
        <f t="shared" si="9"/>
        <v/>
      </c>
    </row>
    <row r="344" spans="7:37" ht="24" customHeight="1">
      <c r="G344" s="176"/>
      <c r="AJ344" s="139" t="str">
        <f t="shared" si="9"/>
        <v/>
      </c>
    </row>
    <row r="345" spans="7:37" ht="24" customHeight="1">
      <c r="G345" s="176"/>
      <c r="AJ345" s="139" t="str">
        <f t="shared" si="9"/>
        <v/>
      </c>
    </row>
    <row r="346" spans="7:37" ht="24" customHeight="1">
      <c r="G346" s="176"/>
      <c r="AJ346" s="139" t="str">
        <f t="shared" si="9"/>
        <v/>
      </c>
    </row>
    <row r="347" spans="7:37" ht="24" customHeight="1">
      <c r="G347" s="176"/>
      <c r="AJ347" s="139" t="str">
        <f t="shared" si="9"/>
        <v/>
      </c>
    </row>
    <row r="348" spans="7:37" ht="24" customHeight="1">
      <c r="G348" s="176"/>
      <c r="AJ348" s="139" t="str">
        <f t="shared" si="9"/>
        <v/>
      </c>
    </row>
    <row r="349" spans="7:37" ht="24" customHeight="1">
      <c r="G349" s="176"/>
      <c r="AJ349" s="139" t="str">
        <f t="shared" si="9"/>
        <v/>
      </c>
    </row>
    <row r="350" spans="7:37" ht="24" customHeight="1">
      <c r="G350" s="176"/>
      <c r="AJ350" s="139" t="str">
        <f t="shared" si="9"/>
        <v/>
      </c>
    </row>
    <row r="351" spans="7:37" ht="24" customHeight="1">
      <c r="G351" s="176"/>
      <c r="AJ351" s="139" t="str">
        <f t="shared" si="9"/>
        <v/>
      </c>
    </row>
    <row r="352" spans="7:37" ht="24" customHeight="1">
      <c r="G352" s="176"/>
      <c r="AJ352" s="139" t="str">
        <f t="shared" si="9"/>
        <v/>
      </c>
    </row>
    <row r="353" spans="7:36" ht="24" customHeight="1">
      <c r="G353" s="176"/>
      <c r="AJ353" s="139" t="str">
        <f t="shared" si="9"/>
        <v/>
      </c>
    </row>
    <row r="354" spans="7:36" ht="24" customHeight="1">
      <c r="G354" s="176"/>
      <c r="AJ354" s="139" t="str">
        <f t="shared" si="9"/>
        <v/>
      </c>
    </row>
    <row r="355" spans="7:36" ht="24" customHeight="1">
      <c r="G355" s="176"/>
      <c r="AJ355" s="139" t="str">
        <f t="shared" si="9"/>
        <v/>
      </c>
    </row>
    <row r="356" spans="7:36" ht="24" customHeight="1">
      <c r="G356" s="176"/>
      <c r="AJ356" s="139" t="str">
        <f t="shared" si="9"/>
        <v/>
      </c>
    </row>
    <row r="357" spans="7:36" ht="24" customHeight="1">
      <c r="G357" s="176"/>
      <c r="AJ357" s="139" t="str">
        <f t="shared" si="9"/>
        <v/>
      </c>
    </row>
    <row r="358" spans="7:36" ht="24" customHeight="1">
      <c r="G358" s="176"/>
      <c r="AJ358" s="139" t="str">
        <f t="shared" si="9"/>
        <v/>
      </c>
    </row>
    <row r="359" spans="7:36" ht="24" customHeight="1">
      <c r="G359" s="176"/>
      <c r="AJ359" s="139" t="str">
        <f t="shared" si="9"/>
        <v/>
      </c>
    </row>
    <row r="360" spans="7:36" ht="24" customHeight="1">
      <c r="G360" s="176"/>
      <c r="AJ360" s="139" t="str">
        <f t="shared" si="9"/>
        <v/>
      </c>
    </row>
    <row r="361" spans="7:36" ht="24" customHeight="1">
      <c r="G361" s="176"/>
      <c r="AJ361" s="139" t="str">
        <f t="shared" si="9"/>
        <v/>
      </c>
    </row>
    <row r="362" spans="7:36" ht="24" customHeight="1">
      <c r="G362" s="176"/>
      <c r="AJ362" s="139" t="str">
        <f t="shared" si="9"/>
        <v/>
      </c>
    </row>
    <row r="363" spans="7:36" ht="24" customHeight="1">
      <c r="G363" s="176"/>
      <c r="AJ363" s="139" t="str">
        <f t="shared" si="9"/>
        <v/>
      </c>
    </row>
    <row r="364" spans="7:36" ht="24" customHeight="1">
      <c r="G364" s="176"/>
      <c r="AJ364" s="139" t="str">
        <f t="shared" si="9"/>
        <v/>
      </c>
    </row>
    <row r="365" spans="7:36" ht="24" customHeight="1">
      <c r="G365" s="176"/>
      <c r="AJ365" s="139" t="str">
        <f t="shared" si="9"/>
        <v/>
      </c>
    </row>
    <row r="366" spans="7:36" ht="24" customHeight="1">
      <c r="G366" s="176"/>
      <c r="AJ366" s="139" t="str">
        <f t="shared" si="9"/>
        <v/>
      </c>
    </row>
    <row r="367" spans="7:36" ht="24" customHeight="1">
      <c r="G367" s="176"/>
      <c r="AJ367" s="139" t="str">
        <f t="shared" si="9"/>
        <v/>
      </c>
    </row>
    <row r="368" spans="7:36" ht="24" customHeight="1">
      <c r="G368" s="176"/>
      <c r="AJ368" s="139" t="str">
        <f t="shared" si="9"/>
        <v/>
      </c>
    </row>
    <row r="369" spans="7:36" ht="24" customHeight="1">
      <c r="G369" s="176"/>
      <c r="AJ369" s="139" t="str">
        <f t="shared" si="9"/>
        <v/>
      </c>
    </row>
    <row r="370" spans="7:36" ht="24" customHeight="1">
      <c r="G370" s="176"/>
      <c r="AJ370" s="139" t="str">
        <f t="shared" si="9"/>
        <v/>
      </c>
    </row>
    <row r="371" spans="7:36" ht="24" customHeight="1">
      <c r="G371" s="176"/>
      <c r="AJ371" s="139" t="str">
        <f t="shared" si="9"/>
        <v/>
      </c>
    </row>
    <row r="372" spans="7:36" ht="24" customHeight="1">
      <c r="G372" s="176"/>
      <c r="AJ372" s="139" t="str">
        <f t="shared" si="9"/>
        <v/>
      </c>
    </row>
    <row r="373" spans="7:36" ht="24" customHeight="1">
      <c r="G373" s="176"/>
      <c r="AJ373" s="139" t="str">
        <f t="shared" si="9"/>
        <v/>
      </c>
    </row>
    <row r="374" spans="7:36" ht="24" customHeight="1">
      <c r="G374" s="176"/>
      <c r="AJ374" s="139" t="str">
        <f t="shared" si="9"/>
        <v/>
      </c>
    </row>
    <row r="375" spans="7:36" ht="24" customHeight="1">
      <c r="G375" s="176"/>
      <c r="AJ375" s="139" t="str">
        <f t="shared" si="9"/>
        <v/>
      </c>
    </row>
    <row r="376" spans="7:36" ht="24" customHeight="1">
      <c r="G376" s="176"/>
      <c r="AJ376" s="139" t="str">
        <f t="shared" si="9"/>
        <v/>
      </c>
    </row>
    <row r="377" spans="7:36" ht="24" customHeight="1">
      <c r="G377" s="176"/>
      <c r="AJ377" s="139" t="str">
        <f t="shared" si="9"/>
        <v/>
      </c>
    </row>
    <row r="378" spans="7:36" ht="24" customHeight="1">
      <c r="G378" s="176"/>
      <c r="AJ378" s="139" t="str">
        <f t="shared" si="9"/>
        <v/>
      </c>
    </row>
    <row r="379" spans="7:36" ht="24" customHeight="1">
      <c r="G379" s="176"/>
      <c r="AJ379" s="139" t="str">
        <f t="shared" si="9"/>
        <v/>
      </c>
    </row>
    <row r="380" spans="7:36" ht="24" customHeight="1">
      <c r="G380" s="176"/>
      <c r="AJ380" s="139" t="str">
        <f t="shared" si="9"/>
        <v/>
      </c>
    </row>
    <row r="381" spans="7:36" ht="24" customHeight="1">
      <c r="G381" s="176"/>
      <c r="AJ381" s="139" t="str">
        <f t="shared" si="9"/>
        <v/>
      </c>
    </row>
    <row r="382" spans="7:36" ht="24" customHeight="1">
      <c r="G382" s="176"/>
      <c r="AJ382" s="139" t="str">
        <f t="shared" si="9"/>
        <v/>
      </c>
    </row>
    <row r="383" spans="7:36" ht="24" customHeight="1">
      <c r="G383" s="176"/>
      <c r="AJ383" s="139" t="str">
        <f t="shared" si="9"/>
        <v/>
      </c>
    </row>
    <row r="384" spans="7:36" ht="24" customHeight="1">
      <c r="G384" s="176"/>
      <c r="AJ384" s="139" t="str">
        <f t="shared" si="9"/>
        <v/>
      </c>
    </row>
    <row r="385" spans="7:36" ht="24" customHeight="1">
      <c r="G385" s="176"/>
      <c r="AJ385" s="139" t="str">
        <f t="shared" si="9"/>
        <v/>
      </c>
    </row>
    <row r="386" spans="7:36" ht="24" customHeight="1">
      <c r="G386" s="176"/>
      <c r="AJ386" s="139" t="str">
        <f t="shared" si="9"/>
        <v/>
      </c>
    </row>
    <row r="387" spans="7:36" ht="24" customHeight="1">
      <c r="G387" s="176"/>
      <c r="AJ387" s="139" t="str">
        <f t="shared" si="9"/>
        <v/>
      </c>
    </row>
    <row r="388" spans="7:36" ht="24" customHeight="1">
      <c r="G388" s="176"/>
      <c r="AJ388" s="139" t="str">
        <f t="shared" si="9"/>
        <v/>
      </c>
    </row>
    <row r="389" spans="7:36" ht="24" customHeight="1">
      <c r="G389" s="176"/>
      <c r="AJ389" s="139" t="str">
        <f t="shared" si="9"/>
        <v/>
      </c>
    </row>
    <row r="390" spans="7:36" ht="24" customHeight="1">
      <c r="G390" s="176"/>
      <c r="AJ390" s="139" t="str">
        <f t="shared" si="9"/>
        <v/>
      </c>
    </row>
    <row r="391" spans="7:36" ht="24" customHeight="1">
      <c r="G391" s="176"/>
      <c r="AJ391" s="139" t="str">
        <f t="shared" si="9"/>
        <v/>
      </c>
    </row>
    <row r="392" spans="7:36" ht="24" customHeight="1">
      <c r="G392" s="176"/>
      <c r="AJ392" s="139" t="str">
        <f t="shared" si="9"/>
        <v/>
      </c>
    </row>
    <row r="393" spans="7:36" ht="24" customHeight="1">
      <c r="G393" s="176"/>
      <c r="AJ393" s="139" t="str">
        <f t="shared" ref="AJ393:AJ456" si="10">IF(C393="","",C393)</f>
        <v/>
      </c>
    </row>
    <row r="394" spans="7:36" ht="24" customHeight="1">
      <c r="G394" s="176"/>
      <c r="AJ394" s="139" t="str">
        <f t="shared" si="10"/>
        <v/>
      </c>
    </row>
    <row r="395" spans="7:36" ht="24" customHeight="1">
      <c r="G395" s="176"/>
      <c r="AJ395" s="139" t="str">
        <f t="shared" si="10"/>
        <v/>
      </c>
    </row>
    <row r="396" spans="7:36" ht="24" customHeight="1">
      <c r="G396" s="176"/>
      <c r="AJ396" s="139" t="str">
        <f t="shared" si="10"/>
        <v/>
      </c>
    </row>
    <row r="397" spans="7:36" ht="24" customHeight="1">
      <c r="G397" s="176"/>
      <c r="AJ397" s="139" t="str">
        <f t="shared" si="10"/>
        <v/>
      </c>
    </row>
    <row r="398" spans="7:36" ht="24" customHeight="1">
      <c r="G398" s="176"/>
      <c r="AJ398" s="139" t="str">
        <f t="shared" si="10"/>
        <v/>
      </c>
    </row>
    <row r="399" spans="7:36" ht="24" customHeight="1">
      <c r="G399" s="176"/>
      <c r="AJ399" s="139" t="str">
        <f t="shared" si="10"/>
        <v/>
      </c>
    </row>
    <row r="400" spans="7:36" ht="24" customHeight="1">
      <c r="G400" s="176"/>
      <c r="AJ400" s="139" t="str">
        <f t="shared" si="10"/>
        <v/>
      </c>
    </row>
    <row r="401" spans="7:36" ht="24" customHeight="1">
      <c r="G401" s="176"/>
      <c r="AJ401" s="139" t="str">
        <f t="shared" si="10"/>
        <v/>
      </c>
    </row>
    <row r="402" spans="7:36" ht="24" customHeight="1">
      <c r="G402" s="176"/>
      <c r="AJ402" s="139" t="str">
        <f t="shared" si="10"/>
        <v/>
      </c>
    </row>
    <row r="403" spans="7:36" ht="24" customHeight="1">
      <c r="G403" s="176"/>
      <c r="AJ403" s="139" t="str">
        <f t="shared" si="10"/>
        <v/>
      </c>
    </row>
    <row r="404" spans="7:36" ht="24" customHeight="1">
      <c r="G404" s="176"/>
      <c r="AJ404" s="139" t="str">
        <f t="shared" si="10"/>
        <v/>
      </c>
    </row>
    <row r="405" spans="7:36" ht="24" customHeight="1">
      <c r="G405" s="176"/>
      <c r="AJ405" s="139" t="str">
        <f t="shared" si="10"/>
        <v/>
      </c>
    </row>
    <row r="406" spans="7:36" ht="24" customHeight="1">
      <c r="G406" s="176"/>
      <c r="AJ406" s="139" t="str">
        <f t="shared" si="10"/>
        <v/>
      </c>
    </row>
    <row r="407" spans="7:36" ht="24" customHeight="1">
      <c r="G407" s="176"/>
      <c r="AJ407" s="139" t="str">
        <f t="shared" si="10"/>
        <v/>
      </c>
    </row>
    <row r="408" spans="7:36" ht="24" customHeight="1">
      <c r="G408" s="176"/>
      <c r="AJ408" s="139" t="str">
        <f t="shared" si="10"/>
        <v/>
      </c>
    </row>
    <row r="409" spans="7:36" ht="24" customHeight="1">
      <c r="G409" s="176"/>
      <c r="AJ409" s="139" t="str">
        <f t="shared" si="10"/>
        <v/>
      </c>
    </row>
    <row r="410" spans="7:36" ht="24" customHeight="1">
      <c r="G410" s="176"/>
      <c r="AJ410" s="139" t="str">
        <f t="shared" si="10"/>
        <v/>
      </c>
    </row>
    <row r="411" spans="7:36" ht="24" customHeight="1">
      <c r="G411" s="176"/>
      <c r="AJ411" s="139" t="str">
        <f t="shared" si="10"/>
        <v/>
      </c>
    </row>
    <row r="412" spans="7:36" ht="24" customHeight="1">
      <c r="G412" s="176"/>
      <c r="AJ412" s="139" t="str">
        <f t="shared" si="10"/>
        <v/>
      </c>
    </row>
    <row r="413" spans="7:36" ht="24" customHeight="1">
      <c r="G413" s="176"/>
      <c r="AJ413" s="139" t="str">
        <f t="shared" si="10"/>
        <v/>
      </c>
    </row>
    <row r="414" spans="7:36" ht="24" customHeight="1">
      <c r="G414" s="176"/>
      <c r="AJ414" s="139" t="str">
        <f t="shared" si="10"/>
        <v/>
      </c>
    </row>
    <row r="415" spans="7:36" ht="24" customHeight="1">
      <c r="G415" s="176"/>
      <c r="AJ415" s="139" t="str">
        <f t="shared" si="10"/>
        <v/>
      </c>
    </row>
    <row r="416" spans="7:36" ht="24" customHeight="1">
      <c r="G416" s="176"/>
      <c r="AJ416" s="139" t="str">
        <f t="shared" si="10"/>
        <v/>
      </c>
    </row>
    <row r="417" spans="7:36" ht="24" customHeight="1">
      <c r="G417" s="176"/>
      <c r="AJ417" s="139" t="str">
        <f t="shared" si="10"/>
        <v/>
      </c>
    </row>
    <row r="418" spans="7:36" ht="24" customHeight="1">
      <c r="G418" s="176"/>
      <c r="AJ418" s="139" t="str">
        <f t="shared" si="10"/>
        <v/>
      </c>
    </row>
    <row r="419" spans="7:36" ht="24" customHeight="1">
      <c r="G419" s="176"/>
      <c r="AJ419" s="139" t="str">
        <f t="shared" si="10"/>
        <v/>
      </c>
    </row>
    <row r="420" spans="7:36" ht="24" customHeight="1">
      <c r="G420" s="176"/>
      <c r="AJ420" s="139" t="str">
        <f t="shared" si="10"/>
        <v/>
      </c>
    </row>
    <row r="421" spans="7:36" ht="24" customHeight="1">
      <c r="G421" s="176"/>
      <c r="AJ421" s="139" t="str">
        <f t="shared" si="10"/>
        <v/>
      </c>
    </row>
    <row r="422" spans="7:36" ht="24" customHeight="1">
      <c r="G422" s="176"/>
      <c r="AJ422" s="139" t="str">
        <f t="shared" si="10"/>
        <v/>
      </c>
    </row>
    <row r="423" spans="7:36" ht="24" customHeight="1">
      <c r="G423" s="176"/>
      <c r="AJ423" s="139" t="str">
        <f t="shared" si="10"/>
        <v/>
      </c>
    </row>
    <row r="424" spans="7:36" ht="24" customHeight="1">
      <c r="G424" s="176"/>
      <c r="AJ424" s="139" t="str">
        <f t="shared" si="10"/>
        <v/>
      </c>
    </row>
    <row r="425" spans="7:36" ht="24" customHeight="1">
      <c r="G425" s="176"/>
      <c r="AJ425" s="139" t="str">
        <f t="shared" si="10"/>
        <v/>
      </c>
    </row>
    <row r="426" spans="7:36" ht="24" customHeight="1">
      <c r="G426" s="176"/>
      <c r="AJ426" s="139" t="str">
        <f t="shared" si="10"/>
        <v/>
      </c>
    </row>
    <row r="427" spans="7:36" ht="24" customHeight="1">
      <c r="G427" s="176"/>
      <c r="AJ427" s="139" t="str">
        <f t="shared" si="10"/>
        <v/>
      </c>
    </row>
    <row r="428" spans="7:36" ht="24" customHeight="1">
      <c r="G428" s="176"/>
      <c r="AJ428" s="139" t="str">
        <f t="shared" si="10"/>
        <v/>
      </c>
    </row>
    <row r="429" spans="7:36" ht="24" customHeight="1">
      <c r="G429" s="176"/>
      <c r="AJ429" s="139" t="str">
        <f t="shared" si="10"/>
        <v/>
      </c>
    </row>
    <row r="430" spans="7:36" ht="24" customHeight="1">
      <c r="G430" s="176"/>
      <c r="AJ430" s="139" t="str">
        <f t="shared" si="10"/>
        <v/>
      </c>
    </row>
    <row r="431" spans="7:36" ht="24" customHeight="1">
      <c r="G431" s="176"/>
      <c r="AJ431" s="139" t="str">
        <f t="shared" si="10"/>
        <v/>
      </c>
    </row>
    <row r="432" spans="7:36" ht="24" customHeight="1">
      <c r="G432" s="176"/>
      <c r="AJ432" s="139" t="str">
        <f t="shared" si="10"/>
        <v/>
      </c>
    </row>
    <row r="433" spans="7:36" ht="24" customHeight="1">
      <c r="G433" s="176"/>
      <c r="AJ433" s="139" t="str">
        <f t="shared" si="10"/>
        <v/>
      </c>
    </row>
    <row r="434" spans="7:36" ht="24" customHeight="1">
      <c r="G434" s="176"/>
      <c r="AJ434" s="139" t="str">
        <f t="shared" si="10"/>
        <v/>
      </c>
    </row>
    <row r="435" spans="7:36" ht="24" customHeight="1">
      <c r="G435" s="176"/>
      <c r="AJ435" s="139" t="str">
        <f t="shared" si="10"/>
        <v/>
      </c>
    </row>
    <row r="436" spans="7:36" ht="24" customHeight="1">
      <c r="G436" s="176"/>
      <c r="AJ436" s="139" t="str">
        <f t="shared" si="10"/>
        <v/>
      </c>
    </row>
    <row r="437" spans="7:36" ht="24" customHeight="1">
      <c r="G437" s="176"/>
      <c r="AJ437" s="139" t="str">
        <f t="shared" si="10"/>
        <v/>
      </c>
    </row>
    <row r="438" spans="7:36" ht="24" customHeight="1">
      <c r="G438" s="176"/>
      <c r="AJ438" s="139" t="str">
        <f t="shared" si="10"/>
        <v/>
      </c>
    </row>
    <row r="439" spans="7:36" ht="24" customHeight="1">
      <c r="G439" s="176"/>
      <c r="AJ439" s="139" t="str">
        <f t="shared" si="10"/>
        <v/>
      </c>
    </row>
    <row r="440" spans="7:36" ht="24" customHeight="1">
      <c r="G440" s="176"/>
      <c r="AJ440" s="139" t="str">
        <f t="shared" si="10"/>
        <v/>
      </c>
    </row>
    <row r="441" spans="7:36" ht="24" customHeight="1">
      <c r="G441" s="176"/>
      <c r="AJ441" s="139" t="str">
        <f t="shared" si="10"/>
        <v/>
      </c>
    </row>
    <row r="442" spans="7:36" ht="24" customHeight="1">
      <c r="G442" s="176"/>
      <c r="AJ442" s="139" t="str">
        <f t="shared" si="10"/>
        <v/>
      </c>
    </row>
    <row r="443" spans="7:36" ht="24" customHeight="1">
      <c r="G443" s="176"/>
      <c r="AJ443" s="139" t="str">
        <f t="shared" si="10"/>
        <v/>
      </c>
    </row>
    <row r="444" spans="7:36" ht="24" customHeight="1">
      <c r="G444" s="176"/>
      <c r="AJ444" s="139" t="str">
        <f t="shared" si="10"/>
        <v/>
      </c>
    </row>
    <row r="445" spans="7:36" ht="24" customHeight="1">
      <c r="G445" s="176"/>
      <c r="AJ445" s="139" t="str">
        <f t="shared" si="10"/>
        <v/>
      </c>
    </row>
    <row r="446" spans="7:36" ht="24" customHeight="1">
      <c r="G446" s="176"/>
      <c r="AJ446" s="139" t="str">
        <f t="shared" si="10"/>
        <v/>
      </c>
    </row>
    <row r="447" spans="7:36" ht="24" customHeight="1">
      <c r="G447" s="176"/>
      <c r="AJ447" s="139" t="str">
        <f t="shared" si="10"/>
        <v/>
      </c>
    </row>
    <row r="448" spans="7:36" ht="24" customHeight="1">
      <c r="G448" s="176"/>
      <c r="AJ448" s="139" t="str">
        <f t="shared" si="10"/>
        <v/>
      </c>
    </row>
    <row r="449" spans="7:36" ht="24" customHeight="1">
      <c r="G449" s="176"/>
      <c r="AJ449" s="139" t="str">
        <f t="shared" si="10"/>
        <v/>
      </c>
    </row>
    <row r="450" spans="7:36" ht="24" customHeight="1">
      <c r="G450" s="176"/>
      <c r="AJ450" s="139" t="str">
        <f t="shared" si="10"/>
        <v/>
      </c>
    </row>
    <row r="451" spans="7:36" ht="24" customHeight="1">
      <c r="G451" s="176"/>
      <c r="AJ451" s="139" t="str">
        <f t="shared" si="10"/>
        <v/>
      </c>
    </row>
    <row r="452" spans="7:36" ht="24" customHeight="1">
      <c r="G452" s="176"/>
      <c r="AJ452" s="139" t="str">
        <f t="shared" si="10"/>
        <v/>
      </c>
    </row>
    <row r="453" spans="7:36" ht="24" customHeight="1">
      <c r="G453" s="176"/>
      <c r="AJ453" s="139" t="str">
        <f t="shared" si="10"/>
        <v/>
      </c>
    </row>
    <row r="454" spans="7:36" ht="24" customHeight="1">
      <c r="G454" s="176"/>
      <c r="AJ454" s="139" t="str">
        <f t="shared" si="10"/>
        <v/>
      </c>
    </row>
    <row r="455" spans="7:36" ht="24" customHeight="1">
      <c r="G455" s="176"/>
      <c r="AJ455" s="139" t="str">
        <f t="shared" si="10"/>
        <v/>
      </c>
    </row>
    <row r="456" spans="7:36" ht="24" customHeight="1">
      <c r="G456" s="176"/>
      <c r="AJ456" s="139" t="str">
        <f t="shared" si="10"/>
        <v/>
      </c>
    </row>
    <row r="457" spans="7:36" ht="24" customHeight="1">
      <c r="G457" s="176"/>
      <c r="AJ457" s="139" t="str">
        <f t="shared" ref="AJ457:AJ520" si="11">IF(C457="","",C457)</f>
        <v/>
      </c>
    </row>
    <row r="458" spans="7:36" ht="24" customHeight="1">
      <c r="G458" s="176"/>
      <c r="AJ458" s="139" t="str">
        <f t="shared" si="11"/>
        <v/>
      </c>
    </row>
    <row r="459" spans="7:36" ht="24" customHeight="1">
      <c r="G459" s="176"/>
      <c r="AJ459" s="139" t="str">
        <f t="shared" si="11"/>
        <v/>
      </c>
    </row>
    <row r="460" spans="7:36" ht="24" customHeight="1">
      <c r="G460" s="176"/>
      <c r="AJ460" s="139" t="str">
        <f t="shared" si="11"/>
        <v/>
      </c>
    </row>
    <row r="461" spans="7:36" ht="24" customHeight="1">
      <c r="G461" s="176"/>
      <c r="AJ461" s="139" t="str">
        <f t="shared" si="11"/>
        <v/>
      </c>
    </row>
    <row r="462" spans="7:36" ht="24" customHeight="1">
      <c r="G462" s="176"/>
      <c r="AJ462" s="139" t="str">
        <f t="shared" si="11"/>
        <v/>
      </c>
    </row>
    <row r="463" spans="7:36" ht="24" customHeight="1">
      <c r="G463" s="176"/>
      <c r="AJ463" s="139" t="str">
        <f t="shared" si="11"/>
        <v/>
      </c>
    </row>
    <row r="464" spans="7:36" ht="24" customHeight="1">
      <c r="G464" s="176"/>
      <c r="AJ464" s="139" t="str">
        <f t="shared" si="11"/>
        <v/>
      </c>
    </row>
    <row r="465" spans="7:36" ht="24" customHeight="1">
      <c r="G465" s="176"/>
      <c r="AJ465" s="139" t="str">
        <f t="shared" si="11"/>
        <v/>
      </c>
    </row>
    <row r="466" spans="7:36" ht="24" customHeight="1">
      <c r="G466" s="176"/>
      <c r="AJ466" s="139" t="str">
        <f t="shared" si="11"/>
        <v/>
      </c>
    </row>
    <row r="467" spans="7:36" ht="24" customHeight="1">
      <c r="G467" s="176"/>
      <c r="AJ467" s="139" t="str">
        <f t="shared" si="11"/>
        <v/>
      </c>
    </row>
    <row r="468" spans="7:36" ht="24" customHeight="1">
      <c r="G468" s="176"/>
      <c r="AJ468" s="139" t="str">
        <f t="shared" si="11"/>
        <v/>
      </c>
    </row>
    <row r="469" spans="7:36" ht="24" customHeight="1">
      <c r="G469" s="176"/>
      <c r="AJ469" s="139" t="str">
        <f t="shared" si="11"/>
        <v/>
      </c>
    </row>
    <row r="470" spans="7:36" ht="24" customHeight="1">
      <c r="G470" s="176"/>
      <c r="AJ470" s="139" t="str">
        <f t="shared" si="11"/>
        <v/>
      </c>
    </row>
    <row r="471" spans="7:36" ht="24" customHeight="1">
      <c r="G471" s="176"/>
      <c r="AJ471" s="139" t="str">
        <f t="shared" si="11"/>
        <v/>
      </c>
    </row>
    <row r="472" spans="7:36" ht="24" customHeight="1">
      <c r="G472" s="176"/>
      <c r="AJ472" s="139" t="str">
        <f t="shared" si="11"/>
        <v/>
      </c>
    </row>
    <row r="473" spans="7:36" ht="24" customHeight="1">
      <c r="G473" s="176"/>
      <c r="AJ473" s="139" t="str">
        <f t="shared" si="11"/>
        <v/>
      </c>
    </row>
    <row r="474" spans="7:36" ht="24" customHeight="1">
      <c r="G474" s="176"/>
      <c r="AJ474" s="139" t="str">
        <f t="shared" si="11"/>
        <v/>
      </c>
    </row>
    <row r="475" spans="7:36" ht="24" customHeight="1">
      <c r="G475" s="176"/>
      <c r="AJ475" s="139" t="str">
        <f t="shared" si="11"/>
        <v/>
      </c>
    </row>
    <row r="476" spans="7:36" ht="24" customHeight="1">
      <c r="G476" s="176"/>
      <c r="AJ476" s="139" t="str">
        <f t="shared" si="11"/>
        <v/>
      </c>
    </row>
    <row r="477" spans="7:36" ht="24" customHeight="1">
      <c r="G477" s="176"/>
      <c r="AJ477" s="139" t="str">
        <f t="shared" si="11"/>
        <v/>
      </c>
    </row>
    <row r="478" spans="7:36" ht="24" customHeight="1">
      <c r="G478" s="176"/>
      <c r="AJ478" s="139" t="str">
        <f t="shared" si="11"/>
        <v/>
      </c>
    </row>
    <row r="479" spans="7:36" ht="24" customHeight="1">
      <c r="G479" s="176"/>
      <c r="AJ479" s="139" t="str">
        <f t="shared" si="11"/>
        <v/>
      </c>
    </row>
    <row r="480" spans="7:36" ht="24" customHeight="1">
      <c r="G480" s="176"/>
      <c r="AJ480" s="139" t="str">
        <f t="shared" si="11"/>
        <v/>
      </c>
    </row>
    <row r="481" spans="7:36" ht="24" customHeight="1">
      <c r="G481" s="176"/>
      <c r="AJ481" s="139" t="str">
        <f t="shared" si="11"/>
        <v/>
      </c>
    </row>
    <row r="482" spans="7:36" ht="24" customHeight="1">
      <c r="G482" s="176"/>
      <c r="AJ482" s="139" t="str">
        <f t="shared" si="11"/>
        <v/>
      </c>
    </row>
    <row r="483" spans="7:36" ht="24" customHeight="1">
      <c r="G483" s="176"/>
      <c r="AJ483" s="139" t="str">
        <f t="shared" si="11"/>
        <v/>
      </c>
    </row>
    <row r="484" spans="7:36" ht="24" customHeight="1">
      <c r="G484" s="176"/>
      <c r="AJ484" s="139" t="str">
        <f t="shared" si="11"/>
        <v/>
      </c>
    </row>
    <row r="485" spans="7:36" ht="24" customHeight="1">
      <c r="G485" s="176"/>
      <c r="AJ485" s="139" t="str">
        <f t="shared" si="11"/>
        <v/>
      </c>
    </row>
    <row r="486" spans="7:36" ht="24" customHeight="1">
      <c r="G486" s="176"/>
      <c r="AJ486" s="139" t="str">
        <f t="shared" si="11"/>
        <v/>
      </c>
    </row>
    <row r="487" spans="7:36" ht="24" customHeight="1">
      <c r="G487" s="176"/>
      <c r="AJ487" s="139" t="str">
        <f t="shared" si="11"/>
        <v/>
      </c>
    </row>
    <row r="488" spans="7:36" ht="24" customHeight="1">
      <c r="G488" s="176"/>
      <c r="AJ488" s="139" t="str">
        <f t="shared" si="11"/>
        <v/>
      </c>
    </row>
    <row r="489" spans="7:36" ht="24" customHeight="1">
      <c r="G489" s="176"/>
      <c r="AJ489" s="139" t="str">
        <f t="shared" si="11"/>
        <v/>
      </c>
    </row>
    <row r="490" spans="7:36" ht="24" customHeight="1">
      <c r="G490" s="176"/>
      <c r="AJ490" s="139" t="str">
        <f t="shared" si="11"/>
        <v/>
      </c>
    </row>
    <row r="491" spans="7:36" ht="24" customHeight="1">
      <c r="G491" s="176"/>
      <c r="AJ491" s="139" t="str">
        <f t="shared" si="11"/>
        <v/>
      </c>
    </row>
    <row r="492" spans="7:36" ht="23.25">
      <c r="G492" s="176"/>
      <c r="AJ492" s="139" t="str">
        <f t="shared" si="11"/>
        <v/>
      </c>
    </row>
    <row r="493" spans="7:36" ht="23.25">
      <c r="G493" s="176"/>
      <c r="AJ493" s="139" t="str">
        <f t="shared" si="11"/>
        <v/>
      </c>
    </row>
    <row r="494" spans="7:36" ht="23.25">
      <c r="G494" s="176"/>
      <c r="AJ494" s="139" t="str">
        <f t="shared" si="11"/>
        <v/>
      </c>
    </row>
    <row r="495" spans="7:36" ht="24" customHeight="1">
      <c r="G495" s="176"/>
      <c r="AJ495" s="139" t="str">
        <f t="shared" si="11"/>
        <v/>
      </c>
    </row>
    <row r="496" spans="7:36" ht="24" customHeight="1">
      <c r="G496" s="176"/>
      <c r="AJ496" s="139" t="str">
        <f t="shared" si="11"/>
        <v/>
      </c>
    </row>
    <row r="497" spans="7:36" ht="24" customHeight="1">
      <c r="G497" s="176"/>
      <c r="AJ497" s="139" t="str">
        <f t="shared" si="11"/>
        <v/>
      </c>
    </row>
    <row r="498" spans="7:36" ht="24" customHeight="1">
      <c r="G498" s="176"/>
      <c r="AJ498" s="139" t="str">
        <f t="shared" si="11"/>
        <v/>
      </c>
    </row>
    <row r="499" spans="7:36" ht="24" customHeight="1">
      <c r="G499" s="176"/>
      <c r="AJ499" s="139" t="str">
        <f t="shared" si="11"/>
        <v/>
      </c>
    </row>
    <row r="500" spans="7:36" ht="24" customHeight="1">
      <c r="G500" s="176"/>
      <c r="AJ500" s="139" t="str">
        <f t="shared" si="11"/>
        <v/>
      </c>
    </row>
    <row r="501" spans="7:36" ht="24" customHeight="1">
      <c r="G501" s="176"/>
      <c r="AJ501" s="139" t="str">
        <f t="shared" si="11"/>
        <v/>
      </c>
    </row>
    <row r="502" spans="7:36" ht="24" customHeight="1">
      <c r="G502" s="176"/>
      <c r="AJ502" s="139" t="str">
        <f t="shared" si="11"/>
        <v/>
      </c>
    </row>
    <row r="503" spans="7:36" ht="24" customHeight="1">
      <c r="G503" s="176"/>
      <c r="AJ503" s="139" t="str">
        <f t="shared" si="11"/>
        <v/>
      </c>
    </row>
    <row r="504" spans="7:36" ht="24" customHeight="1">
      <c r="G504" s="176"/>
      <c r="AJ504" s="139" t="str">
        <f t="shared" si="11"/>
        <v/>
      </c>
    </row>
    <row r="505" spans="7:36" ht="24" customHeight="1">
      <c r="G505" s="176"/>
      <c r="AJ505" s="139" t="str">
        <f t="shared" si="11"/>
        <v/>
      </c>
    </row>
    <row r="506" spans="7:36" ht="24" customHeight="1">
      <c r="G506" s="176"/>
      <c r="AJ506" s="139" t="str">
        <f t="shared" si="11"/>
        <v/>
      </c>
    </row>
    <row r="507" spans="7:36" ht="24" customHeight="1">
      <c r="G507" s="176"/>
      <c r="AJ507" s="139" t="str">
        <f t="shared" si="11"/>
        <v/>
      </c>
    </row>
    <row r="508" spans="7:36" ht="24" customHeight="1">
      <c r="G508" s="176"/>
      <c r="AJ508" s="139" t="str">
        <f t="shared" si="11"/>
        <v/>
      </c>
    </row>
    <row r="509" spans="7:36" ht="24" customHeight="1">
      <c r="G509" s="176"/>
      <c r="AJ509" s="139" t="str">
        <f t="shared" si="11"/>
        <v/>
      </c>
    </row>
    <row r="510" spans="7:36" ht="24" customHeight="1">
      <c r="G510" s="176"/>
      <c r="AJ510" s="139" t="str">
        <f t="shared" si="11"/>
        <v/>
      </c>
    </row>
    <row r="511" spans="7:36" ht="24" customHeight="1">
      <c r="G511" s="176"/>
      <c r="AJ511" s="139" t="str">
        <f t="shared" si="11"/>
        <v/>
      </c>
    </row>
    <row r="512" spans="7:36" ht="24" customHeight="1">
      <c r="G512" s="176"/>
      <c r="AJ512" s="139" t="str">
        <f t="shared" si="11"/>
        <v/>
      </c>
    </row>
    <row r="513" spans="7:36" ht="24" customHeight="1">
      <c r="G513" s="176"/>
      <c r="AJ513" s="139" t="str">
        <f t="shared" si="11"/>
        <v/>
      </c>
    </row>
    <row r="514" spans="7:36" ht="24" customHeight="1">
      <c r="G514" s="176"/>
      <c r="AJ514" s="139" t="str">
        <f t="shared" si="11"/>
        <v/>
      </c>
    </row>
    <row r="515" spans="7:36" ht="24" customHeight="1">
      <c r="G515" s="176"/>
      <c r="AJ515" s="139" t="str">
        <f t="shared" si="11"/>
        <v/>
      </c>
    </row>
    <row r="516" spans="7:36" ht="24" customHeight="1">
      <c r="G516" s="176"/>
      <c r="AJ516" s="139" t="str">
        <f t="shared" si="11"/>
        <v/>
      </c>
    </row>
    <row r="517" spans="7:36" ht="24" customHeight="1">
      <c r="G517" s="176"/>
      <c r="AJ517" s="139" t="str">
        <f t="shared" si="11"/>
        <v/>
      </c>
    </row>
    <row r="518" spans="7:36" ht="24" customHeight="1">
      <c r="G518" s="176"/>
      <c r="AJ518" s="139" t="str">
        <f t="shared" si="11"/>
        <v/>
      </c>
    </row>
    <row r="519" spans="7:36" ht="24" customHeight="1">
      <c r="G519" s="176"/>
      <c r="AJ519" s="139" t="str">
        <f t="shared" si="11"/>
        <v/>
      </c>
    </row>
    <row r="520" spans="7:36" ht="24" customHeight="1">
      <c r="G520" s="176"/>
      <c r="AJ520" s="139" t="str">
        <f t="shared" si="11"/>
        <v/>
      </c>
    </row>
    <row r="521" spans="7:36" ht="24" customHeight="1">
      <c r="G521" s="176"/>
      <c r="AJ521" s="139" t="str">
        <f t="shared" ref="AJ521:AJ584" si="12">IF(C521="","",C521)</f>
        <v/>
      </c>
    </row>
    <row r="522" spans="7:36" ht="24" customHeight="1">
      <c r="G522" s="176"/>
      <c r="AJ522" s="139" t="str">
        <f t="shared" si="12"/>
        <v/>
      </c>
    </row>
    <row r="523" spans="7:36" ht="24" customHeight="1">
      <c r="G523" s="176"/>
      <c r="AJ523" s="139" t="str">
        <f t="shared" si="12"/>
        <v/>
      </c>
    </row>
    <row r="524" spans="7:36" ht="24" customHeight="1">
      <c r="G524" s="176"/>
      <c r="AJ524" s="139" t="str">
        <f t="shared" si="12"/>
        <v/>
      </c>
    </row>
    <row r="525" spans="7:36" ht="24" customHeight="1">
      <c r="G525" s="176"/>
      <c r="AJ525" s="139" t="str">
        <f t="shared" si="12"/>
        <v/>
      </c>
    </row>
    <row r="526" spans="7:36" ht="24" customHeight="1">
      <c r="G526" s="176"/>
      <c r="AJ526" s="139" t="str">
        <f t="shared" si="12"/>
        <v/>
      </c>
    </row>
    <row r="527" spans="7:36" ht="24" customHeight="1">
      <c r="G527" s="176"/>
      <c r="AJ527" s="139" t="str">
        <f t="shared" si="12"/>
        <v/>
      </c>
    </row>
    <row r="528" spans="7:36" ht="24" customHeight="1">
      <c r="G528" s="176"/>
      <c r="AJ528" s="139" t="str">
        <f t="shared" si="12"/>
        <v/>
      </c>
    </row>
    <row r="529" spans="7:36" ht="24" customHeight="1">
      <c r="G529" s="176"/>
      <c r="AJ529" s="139" t="str">
        <f t="shared" si="12"/>
        <v/>
      </c>
    </row>
    <row r="530" spans="7:36" ht="24" customHeight="1">
      <c r="G530" s="176"/>
      <c r="AJ530" s="139" t="str">
        <f t="shared" si="12"/>
        <v/>
      </c>
    </row>
    <row r="531" spans="7:36" ht="24" customHeight="1">
      <c r="G531" s="176"/>
      <c r="AJ531" s="139" t="str">
        <f t="shared" si="12"/>
        <v/>
      </c>
    </row>
    <row r="532" spans="7:36" ht="24" customHeight="1">
      <c r="G532" s="176"/>
      <c r="AJ532" s="139" t="str">
        <f t="shared" si="12"/>
        <v/>
      </c>
    </row>
    <row r="533" spans="7:36" ht="24" customHeight="1">
      <c r="G533" s="176"/>
      <c r="AJ533" s="139" t="str">
        <f t="shared" si="12"/>
        <v/>
      </c>
    </row>
    <row r="534" spans="7:36" ht="24" customHeight="1">
      <c r="G534" s="176"/>
      <c r="AJ534" s="139" t="str">
        <f t="shared" si="12"/>
        <v/>
      </c>
    </row>
    <row r="535" spans="7:36" ht="24" customHeight="1">
      <c r="G535" s="176"/>
      <c r="AJ535" s="139" t="str">
        <f t="shared" si="12"/>
        <v/>
      </c>
    </row>
    <row r="536" spans="7:36" ht="24" customHeight="1">
      <c r="G536" s="176"/>
      <c r="AJ536" s="139" t="str">
        <f t="shared" si="12"/>
        <v/>
      </c>
    </row>
    <row r="537" spans="7:36" ht="24" customHeight="1">
      <c r="G537" s="176"/>
      <c r="AJ537" s="139" t="str">
        <f t="shared" si="12"/>
        <v/>
      </c>
    </row>
    <row r="538" spans="7:36" ht="24" customHeight="1">
      <c r="G538" s="176"/>
      <c r="AJ538" s="139" t="str">
        <f t="shared" si="12"/>
        <v/>
      </c>
    </row>
    <row r="539" spans="7:36" ht="24" customHeight="1">
      <c r="G539" s="176"/>
      <c r="AJ539" s="139" t="str">
        <f t="shared" si="12"/>
        <v/>
      </c>
    </row>
    <row r="540" spans="7:36" ht="24" customHeight="1">
      <c r="G540" s="176"/>
      <c r="AJ540" s="139" t="str">
        <f t="shared" si="12"/>
        <v/>
      </c>
    </row>
    <row r="541" spans="7:36" ht="24" customHeight="1">
      <c r="G541" s="176"/>
      <c r="AJ541" s="139" t="str">
        <f t="shared" si="12"/>
        <v/>
      </c>
    </row>
    <row r="542" spans="7:36" ht="24" customHeight="1">
      <c r="G542" s="176"/>
      <c r="AJ542" s="139" t="str">
        <f t="shared" si="12"/>
        <v/>
      </c>
    </row>
    <row r="543" spans="7:36" ht="24" customHeight="1">
      <c r="G543" s="176"/>
      <c r="AJ543" s="139" t="str">
        <f t="shared" si="12"/>
        <v/>
      </c>
    </row>
    <row r="544" spans="7:36" ht="24" customHeight="1">
      <c r="G544" s="176"/>
      <c r="AJ544" s="139" t="str">
        <f t="shared" si="12"/>
        <v/>
      </c>
    </row>
    <row r="545" spans="7:36" ht="24" customHeight="1">
      <c r="G545" s="176"/>
      <c r="AJ545" s="139" t="str">
        <f t="shared" si="12"/>
        <v/>
      </c>
    </row>
    <row r="546" spans="7:36" ht="24" customHeight="1">
      <c r="G546" s="176"/>
      <c r="AJ546" s="139" t="str">
        <f t="shared" si="12"/>
        <v/>
      </c>
    </row>
    <row r="547" spans="7:36" ht="24" customHeight="1">
      <c r="G547" s="176"/>
      <c r="AJ547" s="139" t="str">
        <f t="shared" si="12"/>
        <v/>
      </c>
    </row>
    <row r="548" spans="7:36" ht="24" customHeight="1">
      <c r="G548" s="176"/>
      <c r="AJ548" s="139" t="str">
        <f t="shared" si="12"/>
        <v/>
      </c>
    </row>
    <row r="549" spans="7:36" ht="24" customHeight="1">
      <c r="G549" s="176"/>
      <c r="AJ549" s="139" t="str">
        <f t="shared" si="12"/>
        <v/>
      </c>
    </row>
    <row r="550" spans="7:36" ht="24" customHeight="1">
      <c r="G550" s="176"/>
      <c r="AJ550" s="139" t="str">
        <f t="shared" si="12"/>
        <v/>
      </c>
    </row>
    <row r="551" spans="7:36" ht="24" customHeight="1">
      <c r="G551" s="176"/>
      <c r="AJ551" s="139" t="str">
        <f t="shared" si="12"/>
        <v/>
      </c>
    </row>
    <row r="552" spans="7:36" ht="24" customHeight="1">
      <c r="G552" s="176"/>
      <c r="AJ552" s="139" t="str">
        <f t="shared" si="12"/>
        <v/>
      </c>
    </row>
    <row r="553" spans="7:36" ht="24" customHeight="1">
      <c r="G553" s="176"/>
      <c r="AJ553" s="139" t="str">
        <f t="shared" si="12"/>
        <v/>
      </c>
    </row>
    <row r="554" spans="7:36" ht="24" customHeight="1">
      <c r="G554" s="176"/>
      <c r="AJ554" s="139" t="str">
        <f t="shared" si="12"/>
        <v/>
      </c>
    </row>
    <row r="555" spans="7:36" ht="24" customHeight="1">
      <c r="G555" s="176"/>
      <c r="AJ555" s="139" t="str">
        <f t="shared" si="12"/>
        <v/>
      </c>
    </row>
    <row r="556" spans="7:36" ht="24" customHeight="1">
      <c r="G556" s="176"/>
      <c r="AJ556" s="139" t="str">
        <f t="shared" si="12"/>
        <v/>
      </c>
    </row>
    <row r="557" spans="7:36" ht="24" customHeight="1">
      <c r="G557" s="176"/>
      <c r="AJ557" s="139" t="str">
        <f t="shared" si="12"/>
        <v/>
      </c>
    </row>
    <row r="558" spans="7:36" ht="24" customHeight="1">
      <c r="G558" s="176"/>
      <c r="AJ558" s="139" t="str">
        <f t="shared" si="12"/>
        <v/>
      </c>
    </row>
    <row r="559" spans="7:36" ht="24" customHeight="1">
      <c r="G559" s="176"/>
      <c r="AJ559" s="139" t="str">
        <f t="shared" si="12"/>
        <v/>
      </c>
    </row>
    <row r="560" spans="7:36" ht="24" customHeight="1">
      <c r="G560" s="176"/>
      <c r="AJ560" s="139" t="str">
        <f t="shared" si="12"/>
        <v/>
      </c>
    </row>
    <row r="561" spans="7:36" ht="24" customHeight="1">
      <c r="G561" s="176"/>
      <c r="AJ561" s="139" t="str">
        <f t="shared" si="12"/>
        <v/>
      </c>
    </row>
    <row r="562" spans="7:36" ht="24" customHeight="1">
      <c r="G562" s="176"/>
      <c r="AJ562" s="139" t="str">
        <f t="shared" si="12"/>
        <v/>
      </c>
    </row>
    <row r="563" spans="7:36" ht="24" customHeight="1">
      <c r="G563" s="176"/>
      <c r="AJ563" s="139" t="str">
        <f t="shared" si="12"/>
        <v/>
      </c>
    </row>
    <row r="564" spans="7:36" ht="24" customHeight="1">
      <c r="G564" s="176"/>
      <c r="AJ564" s="139" t="str">
        <f t="shared" si="12"/>
        <v/>
      </c>
    </row>
    <row r="565" spans="7:36" ht="24" customHeight="1">
      <c r="G565" s="176"/>
      <c r="AJ565" s="139" t="str">
        <f t="shared" si="12"/>
        <v/>
      </c>
    </row>
    <row r="566" spans="7:36" ht="24" customHeight="1">
      <c r="G566" s="176"/>
      <c r="AJ566" s="139" t="str">
        <f t="shared" si="12"/>
        <v/>
      </c>
    </row>
    <row r="567" spans="7:36" ht="24" customHeight="1">
      <c r="G567" s="176"/>
      <c r="AJ567" s="139" t="str">
        <f t="shared" si="12"/>
        <v/>
      </c>
    </row>
    <row r="568" spans="7:36" ht="24" customHeight="1">
      <c r="G568" s="176"/>
      <c r="AJ568" s="139" t="str">
        <f t="shared" si="12"/>
        <v/>
      </c>
    </row>
    <row r="569" spans="7:36" ht="24" customHeight="1">
      <c r="G569" s="176"/>
      <c r="AJ569" s="139" t="str">
        <f t="shared" si="12"/>
        <v/>
      </c>
    </row>
    <row r="570" spans="7:36" ht="24" customHeight="1">
      <c r="G570" s="176"/>
      <c r="AJ570" s="139" t="str">
        <f t="shared" si="12"/>
        <v/>
      </c>
    </row>
    <row r="571" spans="7:36" ht="24" customHeight="1">
      <c r="G571" s="176"/>
      <c r="AJ571" s="139" t="str">
        <f t="shared" si="12"/>
        <v/>
      </c>
    </row>
    <row r="572" spans="7:36" ht="24" customHeight="1">
      <c r="G572" s="176"/>
      <c r="AJ572" s="139" t="str">
        <f t="shared" si="12"/>
        <v/>
      </c>
    </row>
    <row r="573" spans="7:36" ht="24" customHeight="1">
      <c r="G573" s="176"/>
      <c r="AJ573" s="139" t="str">
        <f t="shared" si="12"/>
        <v/>
      </c>
    </row>
    <row r="574" spans="7:36" ht="24" customHeight="1">
      <c r="G574" s="176"/>
      <c r="AJ574" s="139" t="str">
        <f t="shared" si="12"/>
        <v/>
      </c>
    </row>
    <row r="575" spans="7:36" ht="24" customHeight="1">
      <c r="G575" s="176"/>
      <c r="AJ575" s="139" t="str">
        <f t="shared" si="12"/>
        <v/>
      </c>
    </row>
    <row r="576" spans="7:36" ht="24" customHeight="1">
      <c r="G576" s="176"/>
      <c r="AJ576" s="139" t="str">
        <f t="shared" si="12"/>
        <v/>
      </c>
    </row>
    <row r="577" spans="7:36" ht="24" customHeight="1">
      <c r="G577" s="176"/>
      <c r="AJ577" s="139" t="str">
        <f t="shared" si="12"/>
        <v/>
      </c>
    </row>
    <row r="578" spans="7:36" ht="24" customHeight="1">
      <c r="G578" s="176"/>
      <c r="AJ578" s="139" t="str">
        <f t="shared" si="12"/>
        <v/>
      </c>
    </row>
    <row r="579" spans="7:36" ht="24" customHeight="1">
      <c r="G579" s="176"/>
      <c r="AJ579" s="139" t="str">
        <f t="shared" si="12"/>
        <v/>
      </c>
    </row>
    <row r="580" spans="7:36" ht="24" customHeight="1">
      <c r="G580" s="176"/>
      <c r="AJ580" s="139" t="str">
        <f t="shared" si="12"/>
        <v/>
      </c>
    </row>
    <row r="581" spans="7:36" ht="24" customHeight="1">
      <c r="G581" s="176"/>
      <c r="AJ581" s="139" t="str">
        <f t="shared" si="12"/>
        <v/>
      </c>
    </row>
    <row r="582" spans="7:36" ht="24" customHeight="1">
      <c r="G582" s="176"/>
      <c r="AJ582" s="139" t="str">
        <f t="shared" si="12"/>
        <v/>
      </c>
    </row>
    <row r="583" spans="7:36" ht="24" customHeight="1">
      <c r="G583" s="176"/>
      <c r="AJ583" s="139" t="str">
        <f t="shared" si="12"/>
        <v/>
      </c>
    </row>
    <row r="584" spans="7:36" ht="24" customHeight="1">
      <c r="G584" s="176"/>
      <c r="AJ584" s="139" t="str">
        <f t="shared" si="12"/>
        <v/>
      </c>
    </row>
    <row r="585" spans="7:36" ht="24" customHeight="1">
      <c r="G585" s="176"/>
      <c r="AJ585" s="139" t="str">
        <f t="shared" ref="AJ585:AJ648" si="13">IF(C585="","",C585)</f>
        <v/>
      </c>
    </row>
    <row r="586" spans="7:36" ht="24" customHeight="1">
      <c r="G586" s="176"/>
      <c r="AJ586" s="139" t="str">
        <f t="shared" si="13"/>
        <v/>
      </c>
    </row>
    <row r="587" spans="7:36" ht="24" customHeight="1">
      <c r="G587" s="176"/>
      <c r="AJ587" s="139" t="str">
        <f t="shared" si="13"/>
        <v/>
      </c>
    </row>
    <row r="588" spans="7:36" ht="24" customHeight="1">
      <c r="G588" s="176"/>
      <c r="AJ588" s="139" t="str">
        <f t="shared" si="13"/>
        <v/>
      </c>
    </row>
    <row r="589" spans="7:36" ht="24" customHeight="1">
      <c r="G589" s="176"/>
      <c r="AJ589" s="139" t="str">
        <f t="shared" si="13"/>
        <v/>
      </c>
    </row>
    <row r="590" spans="7:36" ht="24" customHeight="1">
      <c r="G590" s="176"/>
      <c r="AJ590" s="139" t="str">
        <f t="shared" si="13"/>
        <v/>
      </c>
    </row>
    <row r="591" spans="7:36" ht="24" customHeight="1">
      <c r="G591" s="176"/>
      <c r="AJ591" s="139" t="str">
        <f t="shared" si="13"/>
        <v/>
      </c>
    </row>
    <row r="592" spans="7:36" ht="24" customHeight="1">
      <c r="G592" s="176"/>
      <c r="AJ592" s="139" t="str">
        <f t="shared" si="13"/>
        <v/>
      </c>
    </row>
    <row r="593" spans="7:36" ht="24" customHeight="1">
      <c r="G593" s="176"/>
      <c r="AJ593" s="139" t="str">
        <f t="shared" si="13"/>
        <v/>
      </c>
    </row>
    <row r="594" spans="7:36" ht="24" customHeight="1">
      <c r="G594" s="176"/>
      <c r="AJ594" s="139" t="str">
        <f t="shared" si="13"/>
        <v/>
      </c>
    </row>
    <row r="595" spans="7:36" ht="24" customHeight="1">
      <c r="G595" s="176"/>
      <c r="AJ595" s="139" t="str">
        <f t="shared" si="13"/>
        <v/>
      </c>
    </row>
    <row r="596" spans="7:36" ht="24" customHeight="1">
      <c r="G596" s="176"/>
      <c r="AJ596" s="139" t="str">
        <f t="shared" si="13"/>
        <v/>
      </c>
    </row>
    <row r="597" spans="7:36" ht="24" customHeight="1">
      <c r="G597" s="176"/>
      <c r="AJ597" s="139" t="str">
        <f t="shared" si="13"/>
        <v/>
      </c>
    </row>
    <row r="598" spans="7:36" ht="24" customHeight="1">
      <c r="G598" s="176"/>
      <c r="AJ598" s="139" t="str">
        <f t="shared" si="13"/>
        <v/>
      </c>
    </row>
    <row r="599" spans="7:36" ht="24" customHeight="1">
      <c r="G599" s="176"/>
      <c r="AJ599" s="139" t="str">
        <f t="shared" si="13"/>
        <v/>
      </c>
    </row>
    <row r="600" spans="7:36" ht="24" customHeight="1">
      <c r="G600" s="176"/>
      <c r="AJ600" s="139" t="str">
        <f t="shared" si="13"/>
        <v/>
      </c>
    </row>
    <row r="601" spans="7:36" ht="24" customHeight="1">
      <c r="G601" s="176"/>
      <c r="AJ601" s="139" t="str">
        <f t="shared" si="13"/>
        <v/>
      </c>
    </row>
    <row r="602" spans="7:36" ht="24" customHeight="1">
      <c r="G602" s="176"/>
      <c r="AJ602" s="139" t="str">
        <f t="shared" si="13"/>
        <v/>
      </c>
    </row>
    <row r="603" spans="7:36" ht="24" customHeight="1">
      <c r="G603" s="176"/>
      <c r="AJ603" s="139" t="str">
        <f t="shared" si="13"/>
        <v/>
      </c>
    </row>
    <row r="604" spans="7:36" ht="24" customHeight="1">
      <c r="G604" s="176"/>
      <c r="AJ604" s="139" t="str">
        <f t="shared" si="13"/>
        <v/>
      </c>
    </row>
    <row r="605" spans="7:36" ht="24" customHeight="1">
      <c r="G605" s="176"/>
      <c r="AJ605" s="139" t="str">
        <f t="shared" si="13"/>
        <v/>
      </c>
    </row>
    <row r="606" spans="7:36" ht="24" customHeight="1">
      <c r="G606" s="176"/>
      <c r="AJ606" s="139" t="str">
        <f t="shared" si="13"/>
        <v/>
      </c>
    </row>
    <row r="607" spans="7:36" ht="24" customHeight="1">
      <c r="G607" s="176"/>
      <c r="AJ607" s="139" t="str">
        <f t="shared" si="13"/>
        <v/>
      </c>
    </row>
    <row r="608" spans="7:36" ht="24" customHeight="1">
      <c r="G608" s="176"/>
      <c r="AJ608" s="139" t="str">
        <f t="shared" si="13"/>
        <v/>
      </c>
    </row>
    <row r="609" spans="7:36" ht="24" customHeight="1">
      <c r="G609" s="176"/>
      <c r="AJ609" s="139" t="str">
        <f t="shared" si="13"/>
        <v/>
      </c>
    </row>
    <row r="610" spans="7:36" ht="24" customHeight="1">
      <c r="G610" s="176"/>
      <c r="AJ610" s="139" t="str">
        <f t="shared" si="13"/>
        <v/>
      </c>
    </row>
    <row r="611" spans="7:36" ht="24" customHeight="1">
      <c r="G611" s="176"/>
      <c r="AJ611" s="139" t="str">
        <f t="shared" si="13"/>
        <v/>
      </c>
    </row>
    <row r="612" spans="7:36" ht="24" customHeight="1">
      <c r="G612" s="176"/>
      <c r="AJ612" s="139" t="str">
        <f t="shared" si="13"/>
        <v/>
      </c>
    </row>
    <row r="613" spans="7:36" ht="24" customHeight="1">
      <c r="G613" s="176"/>
      <c r="AJ613" s="139" t="str">
        <f t="shared" si="13"/>
        <v/>
      </c>
    </row>
    <row r="614" spans="7:36" ht="24" customHeight="1">
      <c r="G614" s="176"/>
      <c r="AJ614" s="139" t="str">
        <f t="shared" si="13"/>
        <v/>
      </c>
    </row>
    <row r="615" spans="7:36" ht="24" customHeight="1">
      <c r="G615" s="176"/>
      <c r="AJ615" s="139" t="str">
        <f t="shared" si="13"/>
        <v/>
      </c>
    </row>
    <row r="616" spans="7:36" ht="24" customHeight="1">
      <c r="G616" s="176"/>
      <c r="AJ616" s="139" t="str">
        <f t="shared" si="13"/>
        <v/>
      </c>
    </row>
    <row r="617" spans="7:36" ht="24" customHeight="1">
      <c r="G617" s="176"/>
      <c r="AJ617" s="139" t="str">
        <f t="shared" si="13"/>
        <v/>
      </c>
    </row>
    <row r="618" spans="7:36" ht="24" customHeight="1">
      <c r="G618" s="176"/>
      <c r="AJ618" s="139" t="str">
        <f t="shared" si="13"/>
        <v/>
      </c>
    </row>
    <row r="619" spans="7:36" ht="24" customHeight="1">
      <c r="G619" s="176"/>
      <c r="AJ619" s="139" t="str">
        <f t="shared" si="13"/>
        <v/>
      </c>
    </row>
    <row r="620" spans="7:36" ht="24" customHeight="1">
      <c r="G620" s="176"/>
      <c r="AJ620" s="139" t="str">
        <f t="shared" si="13"/>
        <v/>
      </c>
    </row>
    <row r="621" spans="7:36" ht="24" customHeight="1">
      <c r="G621" s="176"/>
      <c r="AJ621" s="139" t="str">
        <f t="shared" si="13"/>
        <v/>
      </c>
    </row>
    <row r="622" spans="7:36" ht="24" customHeight="1">
      <c r="G622" s="176"/>
      <c r="AJ622" s="139" t="str">
        <f t="shared" si="13"/>
        <v/>
      </c>
    </row>
    <row r="623" spans="7:36" ht="24" customHeight="1">
      <c r="G623" s="176"/>
      <c r="AJ623" s="139" t="str">
        <f t="shared" si="13"/>
        <v/>
      </c>
    </row>
    <row r="624" spans="7:36" ht="24" customHeight="1">
      <c r="G624" s="176"/>
      <c r="AJ624" s="139" t="str">
        <f t="shared" si="13"/>
        <v/>
      </c>
    </row>
    <row r="625" spans="7:36" ht="24" customHeight="1">
      <c r="G625" s="176"/>
      <c r="AJ625" s="139" t="str">
        <f t="shared" si="13"/>
        <v/>
      </c>
    </row>
    <row r="626" spans="7:36" ht="24" customHeight="1">
      <c r="G626" s="176"/>
      <c r="AJ626" s="139" t="str">
        <f t="shared" si="13"/>
        <v/>
      </c>
    </row>
    <row r="627" spans="7:36" ht="24" customHeight="1">
      <c r="G627" s="176"/>
      <c r="AJ627" s="139" t="str">
        <f t="shared" si="13"/>
        <v/>
      </c>
    </row>
    <row r="628" spans="7:36" ht="24" customHeight="1">
      <c r="G628" s="176"/>
      <c r="AJ628" s="139" t="str">
        <f t="shared" si="13"/>
        <v/>
      </c>
    </row>
    <row r="629" spans="7:36" ht="24" customHeight="1">
      <c r="G629" s="176"/>
      <c r="AJ629" s="139" t="str">
        <f t="shared" si="13"/>
        <v/>
      </c>
    </row>
    <row r="630" spans="7:36" ht="24" customHeight="1">
      <c r="G630" s="176"/>
      <c r="AJ630" s="139" t="str">
        <f t="shared" si="13"/>
        <v/>
      </c>
    </row>
    <row r="631" spans="7:36" ht="24" customHeight="1">
      <c r="G631" s="176"/>
      <c r="AJ631" s="139" t="str">
        <f t="shared" si="13"/>
        <v/>
      </c>
    </row>
    <row r="632" spans="7:36" ht="24" customHeight="1">
      <c r="G632" s="176"/>
      <c r="AJ632" s="139" t="str">
        <f t="shared" si="13"/>
        <v/>
      </c>
    </row>
    <row r="633" spans="7:36" ht="24" customHeight="1">
      <c r="G633" s="176"/>
      <c r="AJ633" s="139" t="str">
        <f t="shared" si="13"/>
        <v/>
      </c>
    </row>
    <row r="634" spans="7:36" ht="24" customHeight="1">
      <c r="G634" s="176"/>
      <c r="AJ634" s="139" t="str">
        <f t="shared" si="13"/>
        <v/>
      </c>
    </row>
    <row r="635" spans="7:36" ht="24" customHeight="1">
      <c r="G635" s="176"/>
      <c r="AJ635" s="139" t="str">
        <f t="shared" si="13"/>
        <v/>
      </c>
    </row>
    <row r="636" spans="7:36" ht="24" customHeight="1">
      <c r="G636" s="176"/>
      <c r="AJ636" s="139" t="str">
        <f t="shared" si="13"/>
        <v/>
      </c>
    </row>
    <row r="637" spans="7:36" ht="24" customHeight="1">
      <c r="G637" s="176"/>
      <c r="AJ637" s="139" t="str">
        <f t="shared" si="13"/>
        <v/>
      </c>
    </row>
    <row r="638" spans="7:36" ht="24" customHeight="1">
      <c r="G638" s="176"/>
      <c r="AJ638" s="139" t="str">
        <f t="shared" si="13"/>
        <v/>
      </c>
    </row>
    <row r="639" spans="7:36" ht="24" customHeight="1">
      <c r="G639" s="176"/>
      <c r="AJ639" s="139" t="str">
        <f t="shared" si="13"/>
        <v/>
      </c>
    </row>
    <row r="640" spans="7:36" ht="24" customHeight="1">
      <c r="G640" s="176"/>
      <c r="AJ640" s="139" t="str">
        <f t="shared" si="13"/>
        <v/>
      </c>
    </row>
    <row r="641" spans="7:36" ht="24" customHeight="1">
      <c r="G641" s="176"/>
      <c r="AJ641" s="139" t="str">
        <f t="shared" si="13"/>
        <v/>
      </c>
    </row>
    <row r="642" spans="7:36" ht="24" customHeight="1">
      <c r="G642" s="176"/>
      <c r="AJ642" s="139" t="str">
        <f t="shared" si="13"/>
        <v/>
      </c>
    </row>
    <row r="643" spans="7:36" ht="24" customHeight="1">
      <c r="G643" s="176"/>
      <c r="AJ643" s="139" t="str">
        <f t="shared" si="13"/>
        <v/>
      </c>
    </row>
    <row r="644" spans="7:36" ht="24" customHeight="1">
      <c r="G644" s="176"/>
      <c r="AJ644" s="139" t="str">
        <f t="shared" si="13"/>
        <v/>
      </c>
    </row>
    <row r="645" spans="7:36" ht="24" customHeight="1">
      <c r="G645" s="176"/>
      <c r="AJ645" s="139" t="str">
        <f t="shared" si="13"/>
        <v/>
      </c>
    </row>
    <row r="646" spans="7:36" ht="24" customHeight="1">
      <c r="G646" s="176"/>
      <c r="AJ646" s="139" t="str">
        <f t="shared" si="13"/>
        <v/>
      </c>
    </row>
    <row r="647" spans="7:36" ht="24" customHeight="1">
      <c r="G647" s="176"/>
      <c r="AJ647" s="139" t="str">
        <f t="shared" si="13"/>
        <v/>
      </c>
    </row>
    <row r="648" spans="7:36" ht="24" customHeight="1">
      <c r="G648" s="176"/>
      <c r="AJ648" s="139" t="str">
        <f t="shared" si="13"/>
        <v/>
      </c>
    </row>
    <row r="649" spans="7:36" ht="24" customHeight="1">
      <c r="G649" s="176"/>
      <c r="AJ649" s="139" t="str">
        <f t="shared" ref="AJ649:AJ712" si="14">IF(C649="","",C649)</f>
        <v/>
      </c>
    </row>
    <row r="650" spans="7:36" ht="24" customHeight="1">
      <c r="G650" s="176"/>
      <c r="AJ650" s="139" t="str">
        <f t="shared" si="14"/>
        <v/>
      </c>
    </row>
    <row r="651" spans="7:36" ht="24" customHeight="1">
      <c r="G651" s="176"/>
      <c r="AJ651" s="139" t="str">
        <f t="shared" si="14"/>
        <v/>
      </c>
    </row>
    <row r="652" spans="7:36" ht="24" customHeight="1">
      <c r="G652" s="176"/>
      <c r="AJ652" s="139" t="str">
        <f t="shared" si="14"/>
        <v/>
      </c>
    </row>
    <row r="653" spans="7:36" ht="24" customHeight="1">
      <c r="G653" s="176"/>
      <c r="AJ653" s="139" t="str">
        <f t="shared" si="14"/>
        <v/>
      </c>
    </row>
    <row r="654" spans="7:36" ht="24" customHeight="1">
      <c r="G654" s="176"/>
      <c r="AJ654" s="139" t="str">
        <f t="shared" si="14"/>
        <v/>
      </c>
    </row>
    <row r="655" spans="7:36" ht="24" customHeight="1">
      <c r="G655" s="176"/>
      <c r="AJ655" s="139" t="str">
        <f t="shared" si="14"/>
        <v/>
      </c>
    </row>
    <row r="656" spans="7:36" ht="24" customHeight="1">
      <c r="G656" s="176"/>
      <c r="AJ656" s="139" t="str">
        <f t="shared" si="14"/>
        <v/>
      </c>
    </row>
    <row r="657" spans="3:42" s="3" customFormat="1" ht="23.25">
      <c r="C657" s="174"/>
      <c r="D657" s="174"/>
      <c r="E657" s="175"/>
      <c r="F657" s="401"/>
      <c r="G657" s="176"/>
      <c r="H657" s="174"/>
      <c r="I657" s="174"/>
      <c r="J657" s="174"/>
      <c r="K657" s="174"/>
      <c r="L657" s="174"/>
      <c r="M657" s="174"/>
      <c r="N657" s="174"/>
      <c r="O657" s="174"/>
      <c r="P657" s="174"/>
      <c r="Q657" s="174"/>
      <c r="R657" s="328"/>
      <c r="S657" s="330"/>
      <c r="T657" s="180"/>
      <c r="U657" s="202"/>
      <c r="V657" s="202"/>
      <c r="W657" s="202"/>
      <c r="X657" s="202"/>
      <c r="Y657" s="392"/>
      <c r="Z657" s="392"/>
      <c r="AA657" s="391"/>
      <c r="AB657" s="391"/>
      <c r="AC657" s="416"/>
      <c r="AD657" s="419"/>
      <c r="AE657" s="417"/>
      <c r="AF657" s="177"/>
      <c r="AG657" s="178"/>
      <c r="AH657" s="174"/>
      <c r="AI657" s="174"/>
      <c r="AJ657" s="139" t="str">
        <f t="shared" si="14"/>
        <v/>
      </c>
      <c r="AP657" s="377"/>
    </row>
    <row r="658" spans="3:42" ht="24" customHeight="1">
      <c r="G658" s="176"/>
      <c r="AJ658" s="139" t="str">
        <f t="shared" si="14"/>
        <v/>
      </c>
    </row>
    <row r="659" spans="3:42" ht="24" customHeight="1">
      <c r="G659" s="176"/>
      <c r="AJ659" s="139" t="str">
        <f t="shared" si="14"/>
        <v/>
      </c>
    </row>
    <row r="660" spans="3:42" ht="24" customHeight="1">
      <c r="G660" s="176"/>
      <c r="AJ660" s="139" t="str">
        <f t="shared" si="14"/>
        <v/>
      </c>
    </row>
    <row r="661" spans="3:42" ht="24" customHeight="1">
      <c r="G661" s="176"/>
      <c r="AJ661" s="139" t="str">
        <f t="shared" si="14"/>
        <v/>
      </c>
    </row>
    <row r="662" spans="3:42" ht="24" customHeight="1">
      <c r="G662" s="176"/>
      <c r="AJ662" s="139" t="str">
        <f t="shared" si="14"/>
        <v/>
      </c>
    </row>
    <row r="663" spans="3:42" ht="24" customHeight="1">
      <c r="G663" s="176"/>
      <c r="AJ663" s="139" t="str">
        <f t="shared" si="14"/>
        <v/>
      </c>
    </row>
    <row r="664" spans="3:42" ht="24" customHeight="1">
      <c r="G664" s="176"/>
      <c r="AJ664" s="139" t="str">
        <f t="shared" si="14"/>
        <v/>
      </c>
    </row>
    <row r="665" spans="3:42" ht="24" customHeight="1">
      <c r="G665" s="176"/>
      <c r="AJ665" s="139" t="str">
        <f t="shared" si="14"/>
        <v/>
      </c>
    </row>
    <row r="666" spans="3:42" ht="24" customHeight="1">
      <c r="G666" s="176"/>
      <c r="AJ666" s="139" t="str">
        <f t="shared" si="14"/>
        <v/>
      </c>
    </row>
    <row r="667" spans="3:42" ht="24" customHeight="1">
      <c r="G667" s="176"/>
      <c r="AJ667" s="139" t="str">
        <f t="shared" si="14"/>
        <v/>
      </c>
    </row>
    <row r="668" spans="3:42" ht="24" customHeight="1">
      <c r="G668" s="176"/>
      <c r="AJ668" s="139" t="str">
        <f t="shared" si="14"/>
        <v/>
      </c>
    </row>
    <row r="669" spans="3:42" ht="24" customHeight="1">
      <c r="G669" s="176"/>
      <c r="AJ669" s="139" t="str">
        <f t="shared" si="14"/>
        <v/>
      </c>
    </row>
    <row r="670" spans="3:42" ht="24" customHeight="1">
      <c r="G670" s="176"/>
      <c r="AJ670" s="139" t="str">
        <f t="shared" si="14"/>
        <v/>
      </c>
    </row>
    <row r="671" spans="3:42" ht="24" customHeight="1">
      <c r="G671" s="176"/>
      <c r="AJ671" s="139" t="str">
        <f t="shared" si="14"/>
        <v/>
      </c>
    </row>
    <row r="672" spans="3:42" ht="24" customHeight="1">
      <c r="G672" s="176"/>
      <c r="AJ672" s="139" t="str">
        <f t="shared" si="14"/>
        <v/>
      </c>
    </row>
    <row r="673" spans="7:36" ht="24" customHeight="1">
      <c r="G673" s="176"/>
      <c r="AJ673" s="139" t="str">
        <f t="shared" si="14"/>
        <v/>
      </c>
    </row>
    <row r="674" spans="7:36" ht="24" customHeight="1">
      <c r="G674" s="176"/>
      <c r="AJ674" s="139" t="str">
        <f t="shared" si="14"/>
        <v/>
      </c>
    </row>
    <row r="675" spans="7:36" ht="24" customHeight="1">
      <c r="G675" s="176"/>
      <c r="AJ675" s="139" t="str">
        <f t="shared" si="14"/>
        <v/>
      </c>
    </row>
    <row r="676" spans="7:36" ht="24" customHeight="1">
      <c r="G676" s="176"/>
      <c r="AJ676" s="139" t="str">
        <f t="shared" si="14"/>
        <v/>
      </c>
    </row>
    <row r="677" spans="7:36" ht="24" customHeight="1">
      <c r="G677" s="176"/>
      <c r="AJ677" s="139" t="str">
        <f t="shared" si="14"/>
        <v/>
      </c>
    </row>
    <row r="678" spans="7:36" ht="24" customHeight="1">
      <c r="G678" s="176"/>
      <c r="AJ678" s="139" t="str">
        <f t="shared" si="14"/>
        <v/>
      </c>
    </row>
    <row r="679" spans="7:36" ht="24" customHeight="1">
      <c r="G679" s="176"/>
      <c r="AJ679" s="139" t="str">
        <f t="shared" si="14"/>
        <v/>
      </c>
    </row>
    <row r="680" spans="7:36" ht="24" customHeight="1">
      <c r="G680" s="176"/>
      <c r="AJ680" s="139" t="str">
        <f t="shared" si="14"/>
        <v/>
      </c>
    </row>
    <row r="681" spans="7:36" ht="24" customHeight="1">
      <c r="G681" s="176"/>
      <c r="AJ681" s="139" t="str">
        <f t="shared" si="14"/>
        <v/>
      </c>
    </row>
    <row r="682" spans="7:36" ht="24" customHeight="1">
      <c r="G682" s="176"/>
      <c r="AJ682" s="139" t="str">
        <f t="shared" si="14"/>
        <v/>
      </c>
    </row>
    <row r="683" spans="7:36" ht="24" customHeight="1">
      <c r="G683" s="176"/>
      <c r="AJ683" s="139" t="str">
        <f t="shared" si="14"/>
        <v/>
      </c>
    </row>
    <row r="684" spans="7:36" ht="24" customHeight="1">
      <c r="G684" s="176"/>
      <c r="AJ684" s="139" t="str">
        <f t="shared" si="14"/>
        <v/>
      </c>
    </row>
    <row r="685" spans="7:36" ht="24" customHeight="1">
      <c r="G685" s="176"/>
      <c r="AJ685" s="139" t="str">
        <f t="shared" si="14"/>
        <v/>
      </c>
    </row>
    <row r="686" spans="7:36" ht="24" customHeight="1">
      <c r="G686" s="176"/>
      <c r="AJ686" s="139" t="str">
        <f t="shared" si="14"/>
        <v/>
      </c>
    </row>
    <row r="687" spans="7:36" ht="24" customHeight="1">
      <c r="G687" s="176"/>
      <c r="AJ687" s="139" t="str">
        <f t="shared" si="14"/>
        <v/>
      </c>
    </row>
    <row r="688" spans="7:36" ht="24" customHeight="1">
      <c r="G688" s="176"/>
      <c r="AJ688" s="139" t="str">
        <f t="shared" si="14"/>
        <v/>
      </c>
    </row>
    <row r="689" spans="7:36" ht="24" customHeight="1">
      <c r="G689" s="176"/>
      <c r="AJ689" s="139" t="str">
        <f t="shared" si="14"/>
        <v/>
      </c>
    </row>
    <row r="690" spans="7:36" ht="24" customHeight="1">
      <c r="G690" s="176"/>
      <c r="AJ690" s="139" t="str">
        <f t="shared" si="14"/>
        <v/>
      </c>
    </row>
    <row r="691" spans="7:36" ht="24" customHeight="1">
      <c r="G691" s="176"/>
      <c r="AJ691" s="139" t="str">
        <f t="shared" si="14"/>
        <v/>
      </c>
    </row>
    <row r="692" spans="7:36" ht="24" customHeight="1">
      <c r="G692" s="176"/>
      <c r="AJ692" s="139" t="str">
        <f t="shared" si="14"/>
        <v/>
      </c>
    </row>
    <row r="693" spans="7:36" ht="24" customHeight="1">
      <c r="G693" s="176"/>
      <c r="AJ693" s="139" t="str">
        <f t="shared" si="14"/>
        <v/>
      </c>
    </row>
    <row r="694" spans="7:36" ht="24" customHeight="1">
      <c r="G694" s="176"/>
      <c r="AJ694" s="139" t="str">
        <f t="shared" si="14"/>
        <v/>
      </c>
    </row>
    <row r="695" spans="7:36" ht="24" customHeight="1">
      <c r="G695" s="176"/>
      <c r="AJ695" s="139" t="str">
        <f t="shared" si="14"/>
        <v/>
      </c>
    </row>
    <row r="696" spans="7:36" ht="24" customHeight="1">
      <c r="G696" s="176"/>
      <c r="AJ696" s="139" t="str">
        <f t="shared" si="14"/>
        <v/>
      </c>
    </row>
    <row r="697" spans="7:36" ht="24" customHeight="1">
      <c r="G697" s="176"/>
      <c r="AJ697" s="139" t="str">
        <f t="shared" si="14"/>
        <v/>
      </c>
    </row>
    <row r="698" spans="7:36" ht="24" customHeight="1">
      <c r="G698" s="176"/>
      <c r="AJ698" s="139" t="str">
        <f t="shared" si="14"/>
        <v/>
      </c>
    </row>
    <row r="699" spans="7:36" ht="24" customHeight="1">
      <c r="G699" s="176"/>
      <c r="AJ699" s="139" t="str">
        <f t="shared" si="14"/>
        <v/>
      </c>
    </row>
    <row r="700" spans="7:36" ht="24" customHeight="1">
      <c r="G700" s="176"/>
      <c r="AJ700" s="139" t="str">
        <f t="shared" si="14"/>
        <v/>
      </c>
    </row>
    <row r="701" spans="7:36" ht="24" customHeight="1">
      <c r="G701" s="176"/>
      <c r="AJ701" s="139" t="str">
        <f t="shared" si="14"/>
        <v/>
      </c>
    </row>
    <row r="702" spans="7:36" ht="24" customHeight="1">
      <c r="G702" s="176"/>
      <c r="AJ702" s="139" t="str">
        <f t="shared" si="14"/>
        <v/>
      </c>
    </row>
    <row r="703" spans="7:36" ht="24" customHeight="1">
      <c r="G703" s="176"/>
      <c r="AJ703" s="139" t="str">
        <f t="shared" si="14"/>
        <v/>
      </c>
    </row>
    <row r="704" spans="7:36" ht="24" customHeight="1">
      <c r="G704" s="176"/>
      <c r="AJ704" s="139" t="str">
        <f t="shared" si="14"/>
        <v/>
      </c>
    </row>
    <row r="705" spans="7:36" ht="24" customHeight="1">
      <c r="G705" s="176"/>
      <c r="AJ705" s="139" t="str">
        <f t="shared" si="14"/>
        <v/>
      </c>
    </row>
    <row r="706" spans="7:36" ht="24" customHeight="1">
      <c r="G706" s="176"/>
      <c r="AJ706" s="139" t="str">
        <f t="shared" si="14"/>
        <v/>
      </c>
    </row>
    <row r="707" spans="7:36" ht="24" customHeight="1">
      <c r="G707" s="176"/>
      <c r="AJ707" s="139" t="str">
        <f t="shared" si="14"/>
        <v/>
      </c>
    </row>
    <row r="708" spans="7:36" ht="24" customHeight="1">
      <c r="G708" s="176"/>
      <c r="AJ708" s="139" t="str">
        <f t="shared" si="14"/>
        <v/>
      </c>
    </row>
    <row r="709" spans="7:36" ht="24" customHeight="1">
      <c r="G709" s="176"/>
      <c r="AJ709" s="139" t="str">
        <f t="shared" si="14"/>
        <v/>
      </c>
    </row>
    <row r="710" spans="7:36" ht="24" customHeight="1">
      <c r="G710" s="176"/>
      <c r="AJ710" s="139" t="str">
        <f t="shared" si="14"/>
        <v/>
      </c>
    </row>
    <row r="711" spans="7:36" ht="24" customHeight="1">
      <c r="G711" s="176"/>
      <c r="AJ711" s="139" t="str">
        <f t="shared" si="14"/>
        <v/>
      </c>
    </row>
    <row r="712" spans="7:36" ht="24" customHeight="1">
      <c r="G712" s="176"/>
      <c r="AJ712" s="139" t="str">
        <f t="shared" si="14"/>
        <v/>
      </c>
    </row>
    <row r="713" spans="7:36" ht="24" customHeight="1">
      <c r="G713" s="176"/>
      <c r="AJ713" s="139" t="str">
        <f t="shared" ref="AJ713:AJ776" si="15">IF(C713="","",C713)</f>
        <v/>
      </c>
    </row>
    <row r="714" spans="7:36" ht="24" customHeight="1">
      <c r="G714" s="176"/>
      <c r="AJ714" s="139" t="str">
        <f t="shared" si="15"/>
        <v/>
      </c>
    </row>
    <row r="715" spans="7:36" ht="24" customHeight="1">
      <c r="G715" s="176"/>
      <c r="AJ715" s="139" t="str">
        <f t="shared" si="15"/>
        <v/>
      </c>
    </row>
    <row r="716" spans="7:36" ht="24" customHeight="1">
      <c r="G716" s="176"/>
      <c r="AJ716" s="139" t="str">
        <f t="shared" si="15"/>
        <v/>
      </c>
    </row>
    <row r="717" spans="7:36" ht="24" customHeight="1">
      <c r="G717" s="176"/>
      <c r="AJ717" s="139" t="str">
        <f t="shared" si="15"/>
        <v/>
      </c>
    </row>
    <row r="718" spans="7:36" ht="24" customHeight="1">
      <c r="G718" s="176"/>
      <c r="AJ718" s="139" t="str">
        <f t="shared" si="15"/>
        <v/>
      </c>
    </row>
    <row r="719" spans="7:36" ht="24" customHeight="1">
      <c r="G719" s="176"/>
      <c r="AJ719" s="139" t="str">
        <f t="shared" si="15"/>
        <v/>
      </c>
    </row>
    <row r="720" spans="7:36" ht="24" customHeight="1">
      <c r="G720" s="176"/>
      <c r="AJ720" s="139" t="str">
        <f t="shared" si="15"/>
        <v/>
      </c>
    </row>
    <row r="721" spans="7:36" ht="24" customHeight="1">
      <c r="G721" s="176"/>
      <c r="AJ721" s="139" t="str">
        <f t="shared" si="15"/>
        <v/>
      </c>
    </row>
    <row r="722" spans="7:36" ht="24" customHeight="1">
      <c r="G722" s="176"/>
      <c r="AJ722" s="139" t="str">
        <f t="shared" si="15"/>
        <v/>
      </c>
    </row>
    <row r="723" spans="7:36" ht="24" customHeight="1">
      <c r="G723" s="176"/>
      <c r="AJ723" s="139" t="str">
        <f t="shared" si="15"/>
        <v/>
      </c>
    </row>
    <row r="724" spans="7:36" ht="24" customHeight="1">
      <c r="G724" s="176"/>
      <c r="AJ724" s="139" t="str">
        <f t="shared" si="15"/>
        <v/>
      </c>
    </row>
    <row r="725" spans="7:36" ht="24" customHeight="1">
      <c r="G725" s="176"/>
      <c r="AJ725" s="139" t="str">
        <f t="shared" si="15"/>
        <v/>
      </c>
    </row>
    <row r="726" spans="7:36" ht="24" customHeight="1">
      <c r="G726" s="176"/>
      <c r="AJ726" s="139" t="str">
        <f t="shared" si="15"/>
        <v/>
      </c>
    </row>
    <row r="727" spans="7:36" ht="24" customHeight="1">
      <c r="G727" s="176"/>
      <c r="AJ727" s="139" t="str">
        <f t="shared" si="15"/>
        <v/>
      </c>
    </row>
    <row r="728" spans="7:36" ht="24" customHeight="1">
      <c r="G728" s="176"/>
      <c r="AJ728" s="139" t="str">
        <f t="shared" si="15"/>
        <v/>
      </c>
    </row>
    <row r="729" spans="7:36" ht="24" customHeight="1">
      <c r="G729" s="176"/>
      <c r="AJ729" s="139" t="str">
        <f t="shared" si="15"/>
        <v/>
      </c>
    </row>
    <row r="730" spans="7:36" ht="24" customHeight="1">
      <c r="G730" s="176"/>
      <c r="AJ730" s="139" t="str">
        <f t="shared" si="15"/>
        <v/>
      </c>
    </row>
    <row r="731" spans="7:36" ht="24" customHeight="1">
      <c r="G731" s="176"/>
      <c r="AJ731" s="139" t="str">
        <f t="shared" si="15"/>
        <v/>
      </c>
    </row>
    <row r="732" spans="7:36" ht="24" customHeight="1">
      <c r="G732" s="176"/>
      <c r="AJ732" s="139" t="str">
        <f t="shared" si="15"/>
        <v/>
      </c>
    </row>
    <row r="733" spans="7:36" ht="24" customHeight="1">
      <c r="G733" s="176"/>
      <c r="AJ733" s="139" t="str">
        <f t="shared" si="15"/>
        <v/>
      </c>
    </row>
    <row r="734" spans="7:36" ht="24" customHeight="1">
      <c r="G734" s="176"/>
      <c r="AJ734" s="139" t="str">
        <f t="shared" si="15"/>
        <v/>
      </c>
    </row>
    <row r="735" spans="7:36" ht="24" customHeight="1">
      <c r="G735" s="176"/>
      <c r="AJ735" s="139" t="str">
        <f t="shared" si="15"/>
        <v/>
      </c>
    </row>
    <row r="736" spans="7:36" ht="24" customHeight="1">
      <c r="G736" s="176"/>
      <c r="AJ736" s="139" t="str">
        <f t="shared" si="15"/>
        <v/>
      </c>
    </row>
    <row r="737" spans="7:36" ht="24" customHeight="1">
      <c r="G737" s="176"/>
      <c r="AJ737" s="139" t="str">
        <f t="shared" si="15"/>
        <v/>
      </c>
    </row>
    <row r="738" spans="7:36" ht="24" customHeight="1">
      <c r="G738" s="176"/>
      <c r="AJ738" s="139" t="str">
        <f t="shared" si="15"/>
        <v/>
      </c>
    </row>
    <row r="739" spans="7:36" ht="24" customHeight="1">
      <c r="G739" s="176"/>
      <c r="AJ739" s="139" t="str">
        <f t="shared" si="15"/>
        <v/>
      </c>
    </row>
    <row r="740" spans="7:36" ht="24" customHeight="1">
      <c r="G740" s="176"/>
      <c r="AJ740" s="139" t="str">
        <f t="shared" si="15"/>
        <v/>
      </c>
    </row>
    <row r="741" spans="7:36" ht="24" customHeight="1">
      <c r="G741" s="176"/>
      <c r="AJ741" s="139" t="str">
        <f t="shared" si="15"/>
        <v/>
      </c>
    </row>
    <row r="742" spans="7:36" ht="24" customHeight="1">
      <c r="G742" s="176"/>
      <c r="AJ742" s="139" t="str">
        <f t="shared" si="15"/>
        <v/>
      </c>
    </row>
    <row r="743" spans="7:36" ht="24" customHeight="1">
      <c r="G743" s="176"/>
      <c r="AJ743" s="139" t="str">
        <f t="shared" si="15"/>
        <v/>
      </c>
    </row>
    <row r="744" spans="7:36" ht="24" customHeight="1">
      <c r="G744" s="176"/>
      <c r="AJ744" s="139" t="str">
        <f t="shared" si="15"/>
        <v/>
      </c>
    </row>
    <row r="745" spans="7:36" ht="24" customHeight="1">
      <c r="G745" s="176"/>
      <c r="AJ745" s="139" t="str">
        <f t="shared" si="15"/>
        <v/>
      </c>
    </row>
    <row r="746" spans="7:36" ht="24" customHeight="1">
      <c r="G746" s="176"/>
      <c r="AJ746" s="139" t="str">
        <f t="shared" si="15"/>
        <v/>
      </c>
    </row>
    <row r="747" spans="7:36" ht="24" customHeight="1">
      <c r="G747" s="176"/>
      <c r="AJ747" s="139" t="str">
        <f t="shared" si="15"/>
        <v/>
      </c>
    </row>
    <row r="748" spans="7:36" ht="24" customHeight="1">
      <c r="G748" s="176"/>
      <c r="AJ748" s="139" t="str">
        <f t="shared" si="15"/>
        <v/>
      </c>
    </row>
    <row r="749" spans="7:36" ht="24" customHeight="1">
      <c r="G749" s="176"/>
      <c r="AJ749" s="139" t="str">
        <f t="shared" si="15"/>
        <v/>
      </c>
    </row>
    <row r="750" spans="7:36" ht="24" customHeight="1">
      <c r="G750" s="176"/>
      <c r="AJ750" s="139" t="str">
        <f t="shared" si="15"/>
        <v/>
      </c>
    </row>
    <row r="751" spans="7:36" ht="24" customHeight="1">
      <c r="G751" s="176"/>
      <c r="AJ751" s="139" t="str">
        <f t="shared" si="15"/>
        <v/>
      </c>
    </row>
    <row r="752" spans="7:36" ht="24" customHeight="1">
      <c r="G752" s="176"/>
      <c r="AJ752" s="139" t="str">
        <f t="shared" si="15"/>
        <v/>
      </c>
    </row>
    <row r="753" spans="7:36" ht="24" customHeight="1">
      <c r="G753" s="176"/>
      <c r="AJ753" s="139" t="str">
        <f t="shared" si="15"/>
        <v/>
      </c>
    </row>
    <row r="754" spans="7:36" ht="24" customHeight="1">
      <c r="G754" s="176"/>
      <c r="AJ754" s="139" t="str">
        <f t="shared" si="15"/>
        <v/>
      </c>
    </row>
    <row r="755" spans="7:36" ht="24" customHeight="1">
      <c r="G755" s="176"/>
      <c r="AJ755" s="139" t="str">
        <f t="shared" si="15"/>
        <v/>
      </c>
    </row>
    <row r="756" spans="7:36" ht="24" customHeight="1">
      <c r="G756" s="176"/>
      <c r="AJ756" s="139" t="str">
        <f t="shared" si="15"/>
        <v/>
      </c>
    </row>
    <row r="757" spans="7:36" ht="24" customHeight="1">
      <c r="G757" s="176"/>
      <c r="AJ757" s="139" t="str">
        <f t="shared" si="15"/>
        <v/>
      </c>
    </row>
    <row r="758" spans="7:36" ht="24" customHeight="1">
      <c r="G758" s="176"/>
      <c r="AJ758" s="139" t="str">
        <f t="shared" si="15"/>
        <v/>
      </c>
    </row>
    <row r="759" spans="7:36" ht="24" customHeight="1">
      <c r="G759" s="176"/>
      <c r="AJ759" s="139" t="str">
        <f t="shared" si="15"/>
        <v/>
      </c>
    </row>
    <row r="760" spans="7:36" ht="24" customHeight="1">
      <c r="G760" s="176"/>
      <c r="AJ760" s="139" t="str">
        <f t="shared" si="15"/>
        <v/>
      </c>
    </row>
    <row r="761" spans="7:36" ht="24" customHeight="1">
      <c r="G761" s="176"/>
      <c r="AJ761" s="139" t="str">
        <f t="shared" si="15"/>
        <v/>
      </c>
    </row>
    <row r="762" spans="7:36" ht="24" customHeight="1">
      <c r="G762" s="176"/>
      <c r="AJ762" s="139" t="str">
        <f t="shared" si="15"/>
        <v/>
      </c>
    </row>
    <row r="763" spans="7:36" ht="24" customHeight="1">
      <c r="G763" s="176"/>
      <c r="AJ763" s="139" t="str">
        <f t="shared" si="15"/>
        <v/>
      </c>
    </row>
    <row r="764" spans="7:36" ht="23.25">
      <c r="G764" s="176"/>
      <c r="S764" s="330"/>
      <c r="AJ764" s="139" t="str">
        <f t="shared" si="15"/>
        <v/>
      </c>
    </row>
    <row r="765" spans="7:36" ht="24" customHeight="1">
      <c r="G765" s="176"/>
      <c r="AJ765" s="139" t="str">
        <f t="shared" si="15"/>
        <v/>
      </c>
    </row>
    <row r="766" spans="7:36" ht="23.25">
      <c r="G766" s="176"/>
      <c r="AJ766" s="139" t="str">
        <f t="shared" si="15"/>
        <v/>
      </c>
    </row>
    <row r="767" spans="7:36" ht="24" customHeight="1">
      <c r="G767" s="176"/>
      <c r="AJ767" s="139" t="str">
        <f t="shared" si="15"/>
        <v/>
      </c>
    </row>
    <row r="768" spans="7:36" ht="24" customHeight="1">
      <c r="G768" s="176"/>
      <c r="AJ768" s="139" t="str">
        <f t="shared" si="15"/>
        <v/>
      </c>
    </row>
    <row r="769" spans="7:36" ht="24" customHeight="1">
      <c r="G769" s="176"/>
      <c r="AJ769" s="139" t="str">
        <f t="shared" si="15"/>
        <v/>
      </c>
    </row>
    <row r="770" spans="7:36" ht="24" customHeight="1">
      <c r="G770" s="176"/>
      <c r="AJ770" s="139" t="str">
        <f t="shared" si="15"/>
        <v/>
      </c>
    </row>
    <row r="771" spans="7:36" ht="24" customHeight="1">
      <c r="G771" s="176"/>
      <c r="AJ771" s="139" t="str">
        <f t="shared" si="15"/>
        <v/>
      </c>
    </row>
    <row r="772" spans="7:36" ht="24" customHeight="1">
      <c r="G772" s="176"/>
      <c r="AJ772" s="139" t="str">
        <f t="shared" si="15"/>
        <v/>
      </c>
    </row>
    <row r="773" spans="7:36" ht="24" customHeight="1">
      <c r="G773" s="176"/>
      <c r="AJ773" s="139" t="str">
        <f t="shared" si="15"/>
        <v/>
      </c>
    </row>
    <row r="774" spans="7:36" ht="24" customHeight="1">
      <c r="G774" s="176"/>
      <c r="AJ774" s="139" t="str">
        <f t="shared" si="15"/>
        <v/>
      </c>
    </row>
    <row r="775" spans="7:36" ht="24" customHeight="1">
      <c r="G775" s="176"/>
      <c r="AJ775" s="139" t="str">
        <f t="shared" si="15"/>
        <v/>
      </c>
    </row>
    <row r="776" spans="7:36" ht="24" customHeight="1">
      <c r="G776" s="176"/>
      <c r="AJ776" s="139" t="str">
        <f t="shared" si="15"/>
        <v/>
      </c>
    </row>
    <row r="777" spans="7:36" ht="24" customHeight="1">
      <c r="G777" s="176"/>
      <c r="AJ777" s="139" t="str">
        <f t="shared" ref="AJ777:AJ840" si="16">IF(C777="","",C777)</f>
        <v/>
      </c>
    </row>
    <row r="778" spans="7:36" ht="24" customHeight="1">
      <c r="G778" s="176"/>
      <c r="AJ778" s="139" t="str">
        <f t="shared" si="16"/>
        <v/>
      </c>
    </row>
    <row r="779" spans="7:36" ht="24" customHeight="1">
      <c r="G779" s="176"/>
      <c r="AJ779" s="139" t="str">
        <f t="shared" si="16"/>
        <v/>
      </c>
    </row>
    <row r="780" spans="7:36" ht="24" customHeight="1">
      <c r="G780" s="176"/>
      <c r="AJ780" s="139" t="str">
        <f t="shared" si="16"/>
        <v/>
      </c>
    </row>
    <row r="781" spans="7:36" ht="24" customHeight="1">
      <c r="G781" s="176"/>
      <c r="AJ781" s="139" t="str">
        <f t="shared" si="16"/>
        <v/>
      </c>
    </row>
    <row r="782" spans="7:36" ht="24" customHeight="1">
      <c r="G782" s="176"/>
      <c r="AJ782" s="139" t="str">
        <f t="shared" si="16"/>
        <v/>
      </c>
    </row>
    <row r="783" spans="7:36" ht="24" customHeight="1">
      <c r="G783" s="176"/>
      <c r="AJ783" s="139" t="str">
        <f t="shared" si="16"/>
        <v/>
      </c>
    </row>
    <row r="784" spans="7:36" ht="24" customHeight="1">
      <c r="G784" s="176"/>
      <c r="AJ784" s="139" t="str">
        <f t="shared" si="16"/>
        <v/>
      </c>
    </row>
    <row r="785" spans="7:36" ht="24" customHeight="1">
      <c r="G785" s="176"/>
      <c r="AJ785" s="139" t="str">
        <f t="shared" si="16"/>
        <v/>
      </c>
    </row>
    <row r="786" spans="7:36" ht="24" customHeight="1">
      <c r="G786" s="176"/>
      <c r="AJ786" s="139" t="str">
        <f t="shared" si="16"/>
        <v/>
      </c>
    </row>
    <row r="787" spans="7:36" ht="24" customHeight="1">
      <c r="G787" s="176"/>
      <c r="AJ787" s="139" t="str">
        <f t="shared" si="16"/>
        <v/>
      </c>
    </row>
    <row r="788" spans="7:36" ht="24" customHeight="1">
      <c r="G788" s="176"/>
      <c r="AJ788" s="139" t="str">
        <f t="shared" si="16"/>
        <v/>
      </c>
    </row>
    <row r="789" spans="7:36" ht="24" customHeight="1">
      <c r="G789" s="176"/>
      <c r="AJ789" s="139" t="str">
        <f t="shared" si="16"/>
        <v/>
      </c>
    </row>
    <row r="790" spans="7:36" ht="24" customHeight="1">
      <c r="G790" s="176"/>
      <c r="AJ790" s="139" t="str">
        <f t="shared" si="16"/>
        <v/>
      </c>
    </row>
    <row r="791" spans="7:36" ht="24" customHeight="1">
      <c r="G791" s="176"/>
      <c r="AJ791" s="139" t="str">
        <f t="shared" si="16"/>
        <v/>
      </c>
    </row>
    <row r="792" spans="7:36" ht="24" customHeight="1">
      <c r="G792" s="176"/>
      <c r="AJ792" s="139" t="str">
        <f t="shared" si="16"/>
        <v/>
      </c>
    </row>
    <row r="793" spans="7:36" ht="24" customHeight="1">
      <c r="G793" s="176"/>
      <c r="AJ793" s="139" t="str">
        <f t="shared" si="16"/>
        <v/>
      </c>
    </row>
    <row r="794" spans="7:36" ht="24" customHeight="1">
      <c r="G794" s="176"/>
      <c r="AJ794" s="139" t="str">
        <f t="shared" si="16"/>
        <v/>
      </c>
    </row>
    <row r="795" spans="7:36" ht="24" customHeight="1">
      <c r="G795" s="176"/>
      <c r="AJ795" s="139" t="str">
        <f t="shared" si="16"/>
        <v/>
      </c>
    </row>
    <row r="796" spans="7:36" ht="24" customHeight="1">
      <c r="G796" s="176"/>
      <c r="AJ796" s="139" t="str">
        <f t="shared" si="16"/>
        <v/>
      </c>
    </row>
    <row r="797" spans="7:36" ht="24" customHeight="1">
      <c r="G797" s="176"/>
      <c r="AJ797" s="139" t="str">
        <f t="shared" si="16"/>
        <v/>
      </c>
    </row>
    <row r="798" spans="7:36" ht="24" customHeight="1">
      <c r="G798" s="176"/>
      <c r="AJ798" s="139" t="str">
        <f t="shared" si="16"/>
        <v/>
      </c>
    </row>
    <row r="799" spans="7:36" ht="24" customHeight="1">
      <c r="G799" s="176"/>
      <c r="AJ799" s="139" t="str">
        <f t="shared" si="16"/>
        <v/>
      </c>
    </row>
    <row r="800" spans="7:36" ht="24" customHeight="1">
      <c r="G800" s="176"/>
      <c r="AJ800" s="139" t="str">
        <f t="shared" si="16"/>
        <v/>
      </c>
    </row>
    <row r="801" spans="7:36" ht="24" customHeight="1">
      <c r="G801" s="176"/>
      <c r="AJ801" s="139" t="str">
        <f t="shared" si="16"/>
        <v/>
      </c>
    </row>
    <row r="802" spans="7:36" ht="24" customHeight="1">
      <c r="G802" s="176"/>
      <c r="AJ802" s="139" t="str">
        <f t="shared" si="16"/>
        <v/>
      </c>
    </row>
    <row r="803" spans="7:36" ht="24" customHeight="1">
      <c r="G803" s="176"/>
      <c r="AJ803" s="139" t="str">
        <f t="shared" si="16"/>
        <v/>
      </c>
    </row>
    <row r="804" spans="7:36" ht="24" customHeight="1">
      <c r="G804" s="176"/>
      <c r="AJ804" s="139" t="str">
        <f t="shared" si="16"/>
        <v/>
      </c>
    </row>
    <row r="805" spans="7:36" ht="24" customHeight="1">
      <c r="G805" s="176"/>
      <c r="AJ805" s="139" t="str">
        <f t="shared" si="16"/>
        <v/>
      </c>
    </row>
    <row r="806" spans="7:36" ht="24" customHeight="1">
      <c r="G806" s="176"/>
      <c r="AJ806" s="139" t="str">
        <f t="shared" si="16"/>
        <v/>
      </c>
    </row>
    <row r="807" spans="7:36" ht="24" customHeight="1">
      <c r="G807" s="176"/>
      <c r="AJ807" s="139" t="str">
        <f t="shared" si="16"/>
        <v/>
      </c>
    </row>
    <row r="808" spans="7:36" ht="24" customHeight="1">
      <c r="G808" s="176"/>
      <c r="AJ808" s="139" t="str">
        <f t="shared" si="16"/>
        <v/>
      </c>
    </row>
    <row r="809" spans="7:36" ht="24" customHeight="1">
      <c r="G809" s="176"/>
      <c r="AJ809" s="139" t="str">
        <f t="shared" si="16"/>
        <v/>
      </c>
    </row>
    <row r="810" spans="7:36" ht="24" customHeight="1">
      <c r="G810" s="176"/>
      <c r="AJ810" s="139" t="str">
        <f t="shared" si="16"/>
        <v/>
      </c>
    </row>
    <row r="811" spans="7:36" ht="24" customHeight="1">
      <c r="G811" s="176"/>
      <c r="AJ811" s="139" t="str">
        <f t="shared" si="16"/>
        <v/>
      </c>
    </row>
    <row r="812" spans="7:36" ht="24" customHeight="1">
      <c r="G812" s="176"/>
      <c r="AJ812" s="139" t="str">
        <f t="shared" si="16"/>
        <v/>
      </c>
    </row>
    <row r="813" spans="7:36" ht="24" customHeight="1">
      <c r="G813" s="176"/>
      <c r="AJ813" s="139" t="str">
        <f t="shared" si="16"/>
        <v/>
      </c>
    </row>
    <row r="814" spans="7:36" ht="24" customHeight="1">
      <c r="G814" s="176"/>
      <c r="AJ814" s="139" t="str">
        <f t="shared" si="16"/>
        <v/>
      </c>
    </row>
    <row r="815" spans="7:36" ht="24" customHeight="1">
      <c r="G815" s="176"/>
      <c r="AJ815" s="139" t="str">
        <f t="shared" si="16"/>
        <v/>
      </c>
    </row>
    <row r="816" spans="7:36" ht="24" customHeight="1">
      <c r="G816" s="176"/>
      <c r="AJ816" s="139" t="str">
        <f t="shared" si="16"/>
        <v/>
      </c>
    </row>
    <row r="817" spans="7:36" ht="24" customHeight="1">
      <c r="G817" s="176"/>
      <c r="AJ817" s="139" t="str">
        <f t="shared" si="16"/>
        <v/>
      </c>
    </row>
    <row r="818" spans="7:36" ht="24" customHeight="1">
      <c r="G818" s="176"/>
      <c r="AJ818" s="139" t="str">
        <f t="shared" si="16"/>
        <v/>
      </c>
    </row>
    <row r="819" spans="7:36" ht="24" customHeight="1">
      <c r="G819" s="176"/>
      <c r="AJ819" s="139" t="str">
        <f t="shared" si="16"/>
        <v/>
      </c>
    </row>
    <row r="820" spans="7:36" ht="24" customHeight="1">
      <c r="G820" s="176"/>
      <c r="AJ820" s="139" t="str">
        <f t="shared" si="16"/>
        <v/>
      </c>
    </row>
    <row r="821" spans="7:36" ht="24" customHeight="1">
      <c r="G821" s="176"/>
      <c r="AJ821" s="139" t="str">
        <f t="shared" si="16"/>
        <v/>
      </c>
    </row>
    <row r="822" spans="7:36" ht="24" customHeight="1">
      <c r="G822" s="176"/>
      <c r="AJ822" s="139" t="str">
        <f t="shared" si="16"/>
        <v/>
      </c>
    </row>
    <row r="823" spans="7:36" ht="24" customHeight="1">
      <c r="G823" s="176"/>
      <c r="AJ823" s="139" t="str">
        <f t="shared" si="16"/>
        <v/>
      </c>
    </row>
    <row r="824" spans="7:36" ht="24" customHeight="1">
      <c r="G824" s="176"/>
      <c r="AJ824" s="139" t="str">
        <f t="shared" si="16"/>
        <v/>
      </c>
    </row>
    <row r="825" spans="7:36" ht="24" customHeight="1">
      <c r="G825" s="176"/>
      <c r="AJ825" s="139" t="str">
        <f t="shared" si="16"/>
        <v/>
      </c>
    </row>
    <row r="826" spans="7:36" ht="24" customHeight="1">
      <c r="G826" s="176"/>
      <c r="AJ826" s="139" t="str">
        <f t="shared" si="16"/>
        <v/>
      </c>
    </row>
    <row r="827" spans="7:36" ht="24" customHeight="1">
      <c r="G827" s="176"/>
      <c r="AJ827" s="139" t="str">
        <f t="shared" si="16"/>
        <v/>
      </c>
    </row>
    <row r="828" spans="7:36" ht="24" customHeight="1">
      <c r="G828" s="176"/>
      <c r="AJ828" s="139" t="str">
        <f t="shared" si="16"/>
        <v/>
      </c>
    </row>
    <row r="829" spans="7:36" ht="24" customHeight="1">
      <c r="G829" s="176"/>
      <c r="AJ829" s="139" t="str">
        <f t="shared" si="16"/>
        <v/>
      </c>
    </row>
    <row r="830" spans="7:36" ht="23.25">
      <c r="G830" s="176"/>
      <c r="S830" s="330"/>
      <c r="AJ830" s="139" t="str">
        <f t="shared" si="16"/>
        <v/>
      </c>
    </row>
    <row r="831" spans="7:36" ht="24" customHeight="1">
      <c r="G831" s="176"/>
      <c r="AJ831" s="139" t="str">
        <f t="shared" si="16"/>
        <v/>
      </c>
    </row>
    <row r="832" spans="7:36" ht="24" customHeight="1">
      <c r="G832" s="176"/>
      <c r="AJ832" s="139" t="str">
        <f t="shared" si="16"/>
        <v/>
      </c>
    </row>
    <row r="833" spans="7:36" ht="24" customHeight="1">
      <c r="G833" s="176"/>
      <c r="AJ833" s="139" t="str">
        <f t="shared" si="16"/>
        <v/>
      </c>
    </row>
    <row r="834" spans="7:36" ht="24" customHeight="1">
      <c r="G834" s="176"/>
      <c r="AJ834" s="139" t="str">
        <f t="shared" si="16"/>
        <v/>
      </c>
    </row>
    <row r="835" spans="7:36" ht="24" customHeight="1">
      <c r="G835" s="176"/>
      <c r="AJ835" s="139" t="str">
        <f t="shared" si="16"/>
        <v/>
      </c>
    </row>
    <row r="836" spans="7:36" ht="24" customHeight="1">
      <c r="G836" s="176"/>
      <c r="AJ836" s="139" t="str">
        <f t="shared" si="16"/>
        <v/>
      </c>
    </row>
    <row r="837" spans="7:36" ht="24" customHeight="1">
      <c r="G837" s="176"/>
      <c r="AJ837" s="139" t="str">
        <f t="shared" si="16"/>
        <v/>
      </c>
    </row>
    <row r="838" spans="7:36" ht="24" customHeight="1">
      <c r="G838" s="176"/>
      <c r="AJ838" s="139" t="str">
        <f t="shared" si="16"/>
        <v/>
      </c>
    </row>
    <row r="839" spans="7:36" ht="24" customHeight="1">
      <c r="G839" s="176"/>
      <c r="AJ839" s="139" t="str">
        <f t="shared" si="16"/>
        <v/>
      </c>
    </row>
    <row r="840" spans="7:36" ht="24" customHeight="1">
      <c r="G840" s="176"/>
      <c r="AJ840" s="139" t="str">
        <f t="shared" si="16"/>
        <v/>
      </c>
    </row>
    <row r="841" spans="7:36" ht="24" customHeight="1">
      <c r="G841" s="176"/>
      <c r="AJ841" s="139" t="str">
        <f t="shared" ref="AJ841:AJ904" si="17">IF(C841="","",C841)</f>
        <v/>
      </c>
    </row>
    <row r="842" spans="7:36" ht="24" customHeight="1">
      <c r="G842" s="176"/>
      <c r="AJ842" s="139" t="str">
        <f t="shared" si="17"/>
        <v/>
      </c>
    </row>
    <row r="843" spans="7:36" ht="24" customHeight="1">
      <c r="G843" s="176"/>
      <c r="AJ843" s="139" t="str">
        <f t="shared" si="17"/>
        <v/>
      </c>
    </row>
    <row r="844" spans="7:36" ht="24" customHeight="1">
      <c r="G844" s="176"/>
      <c r="AJ844" s="139" t="str">
        <f t="shared" si="17"/>
        <v/>
      </c>
    </row>
    <row r="845" spans="7:36" ht="24" customHeight="1">
      <c r="G845" s="176"/>
      <c r="AJ845" s="139" t="str">
        <f t="shared" si="17"/>
        <v/>
      </c>
    </row>
    <row r="846" spans="7:36" ht="24" customHeight="1">
      <c r="G846" s="176"/>
      <c r="AJ846" s="139" t="str">
        <f t="shared" si="17"/>
        <v/>
      </c>
    </row>
    <row r="847" spans="7:36" ht="24" customHeight="1">
      <c r="G847" s="176"/>
      <c r="AJ847" s="139" t="str">
        <f t="shared" si="17"/>
        <v/>
      </c>
    </row>
    <row r="848" spans="7:36" ht="24" customHeight="1">
      <c r="G848" s="176"/>
      <c r="AJ848" s="139" t="str">
        <f t="shared" si="17"/>
        <v/>
      </c>
    </row>
    <row r="849" spans="7:36" ht="24" customHeight="1">
      <c r="G849" s="176"/>
      <c r="AJ849" s="139" t="str">
        <f t="shared" si="17"/>
        <v/>
      </c>
    </row>
    <row r="850" spans="7:36" ht="24" customHeight="1">
      <c r="G850" s="176"/>
      <c r="AJ850" s="139" t="str">
        <f t="shared" si="17"/>
        <v/>
      </c>
    </row>
    <row r="851" spans="7:36" ht="24" customHeight="1">
      <c r="G851" s="176"/>
      <c r="AJ851" s="139" t="str">
        <f t="shared" si="17"/>
        <v/>
      </c>
    </row>
    <row r="852" spans="7:36" ht="24" customHeight="1">
      <c r="G852" s="176"/>
      <c r="AJ852" s="139" t="str">
        <f t="shared" si="17"/>
        <v/>
      </c>
    </row>
    <row r="853" spans="7:36" ht="24" customHeight="1">
      <c r="G853" s="176"/>
      <c r="AJ853" s="139" t="str">
        <f t="shared" si="17"/>
        <v/>
      </c>
    </row>
    <row r="854" spans="7:36" ht="24" customHeight="1">
      <c r="G854" s="176"/>
      <c r="AJ854" s="139" t="str">
        <f t="shared" si="17"/>
        <v/>
      </c>
    </row>
    <row r="855" spans="7:36" ht="24" customHeight="1">
      <c r="G855" s="176"/>
      <c r="AJ855" s="139" t="str">
        <f t="shared" si="17"/>
        <v/>
      </c>
    </row>
    <row r="856" spans="7:36" ht="24" customHeight="1">
      <c r="G856" s="176"/>
      <c r="AJ856" s="139" t="str">
        <f t="shared" si="17"/>
        <v/>
      </c>
    </row>
    <row r="857" spans="7:36" ht="24" customHeight="1">
      <c r="G857" s="176"/>
      <c r="AJ857" s="139" t="str">
        <f t="shared" si="17"/>
        <v/>
      </c>
    </row>
    <row r="858" spans="7:36" ht="24" customHeight="1">
      <c r="G858" s="176"/>
      <c r="AJ858" s="139" t="str">
        <f t="shared" si="17"/>
        <v/>
      </c>
    </row>
    <row r="859" spans="7:36" ht="24" customHeight="1">
      <c r="G859" s="176"/>
      <c r="AJ859" s="139" t="str">
        <f t="shared" si="17"/>
        <v/>
      </c>
    </row>
    <row r="860" spans="7:36" ht="24" customHeight="1">
      <c r="G860" s="176"/>
      <c r="AJ860" s="139" t="str">
        <f t="shared" si="17"/>
        <v/>
      </c>
    </row>
    <row r="861" spans="7:36" ht="24" customHeight="1">
      <c r="G861" s="176"/>
      <c r="AJ861" s="139" t="str">
        <f t="shared" si="17"/>
        <v/>
      </c>
    </row>
    <row r="862" spans="7:36" ht="24" customHeight="1">
      <c r="G862" s="176"/>
      <c r="AJ862" s="139" t="str">
        <f t="shared" si="17"/>
        <v/>
      </c>
    </row>
    <row r="863" spans="7:36" ht="24" customHeight="1">
      <c r="G863" s="176"/>
      <c r="AJ863" s="139" t="str">
        <f t="shared" si="17"/>
        <v/>
      </c>
    </row>
    <row r="864" spans="7:36" ht="24" customHeight="1">
      <c r="G864" s="176"/>
      <c r="AJ864" s="139" t="str">
        <f t="shared" si="17"/>
        <v/>
      </c>
    </row>
    <row r="865" spans="7:36" ht="24" customHeight="1">
      <c r="G865" s="176"/>
      <c r="AJ865" s="139" t="str">
        <f t="shared" si="17"/>
        <v/>
      </c>
    </row>
    <row r="866" spans="7:36" ht="24" customHeight="1">
      <c r="G866" s="176"/>
      <c r="AJ866" s="139" t="str">
        <f t="shared" si="17"/>
        <v/>
      </c>
    </row>
    <row r="867" spans="7:36" ht="24" customHeight="1">
      <c r="G867" s="176"/>
      <c r="AJ867" s="139" t="str">
        <f t="shared" si="17"/>
        <v/>
      </c>
    </row>
    <row r="868" spans="7:36" ht="24" customHeight="1">
      <c r="G868" s="176"/>
      <c r="AJ868" s="139" t="str">
        <f t="shared" si="17"/>
        <v/>
      </c>
    </row>
    <row r="869" spans="7:36" ht="24" customHeight="1">
      <c r="G869" s="176"/>
      <c r="AJ869" s="139" t="str">
        <f t="shared" si="17"/>
        <v/>
      </c>
    </row>
    <row r="870" spans="7:36" ht="24" customHeight="1">
      <c r="G870" s="176"/>
      <c r="AJ870" s="139" t="str">
        <f t="shared" si="17"/>
        <v/>
      </c>
    </row>
    <row r="871" spans="7:36" ht="24" customHeight="1">
      <c r="G871" s="176"/>
      <c r="AJ871" s="139" t="str">
        <f t="shared" si="17"/>
        <v/>
      </c>
    </row>
    <row r="872" spans="7:36" ht="24" customHeight="1">
      <c r="G872" s="176"/>
      <c r="AJ872" s="139" t="str">
        <f t="shared" si="17"/>
        <v/>
      </c>
    </row>
    <row r="873" spans="7:36" ht="24" customHeight="1">
      <c r="G873" s="176"/>
      <c r="AJ873" s="139" t="str">
        <f t="shared" si="17"/>
        <v/>
      </c>
    </row>
    <row r="874" spans="7:36" ht="24" customHeight="1">
      <c r="G874" s="176"/>
      <c r="AJ874" s="139" t="str">
        <f t="shared" si="17"/>
        <v/>
      </c>
    </row>
    <row r="875" spans="7:36" ht="24" customHeight="1">
      <c r="G875" s="176"/>
      <c r="AJ875" s="139" t="str">
        <f t="shared" si="17"/>
        <v/>
      </c>
    </row>
    <row r="876" spans="7:36" ht="24" customHeight="1">
      <c r="G876" s="176"/>
      <c r="AJ876" s="139" t="str">
        <f t="shared" si="17"/>
        <v/>
      </c>
    </row>
    <row r="877" spans="7:36" ht="24" customHeight="1">
      <c r="G877" s="176"/>
      <c r="AJ877" s="139" t="str">
        <f t="shared" si="17"/>
        <v/>
      </c>
    </row>
    <row r="878" spans="7:36" ht="24" customHeight="1">
      <c r="G878" s="176"/>
      <c r="AJ878" s="139" t="str">
        <f t="shared" si="17"/>
        <v/>
      </c>
    </row>
    <row r="879" spans="7:36" ht="24" customHeight="1">
      <c r="G879" s="176"/>
      <c r="AJ879" s="139" t="str">
        <f t="shared" si="17"/>
        <v/>
      </c>
    </row>
    <row r="880" spans="7:36" ht="24" customHeight="1">
      <c r="G880" s="176"/>
      <c r="AJ880" s="139" t="str">
        <f t="shared" si="17"/>
        <v/>
      </c>
    </row>
    <row r="881" spans="7:36" ht="24" customHeight="1">
      <c r="G881" s="176"/>
      <c r="AJ881" s="139" t="str">
        <f t="shared" si="17"/>
        <v/>
      </c>
    </row>
    <row r="882" spans="7:36" ht="24" customHeight="1">
      <c r="G882" s="176"/>
      <c r="AJ882" s="139" t="str">
        <f t="shared" si="17"/>
        <v/>
      </c>
    </row>
    <row r="883" spans="7:36" ht="24" customHeight="1">
      <c r="G883" s="176"/>
      <c r="AJ883" s="139" t="str">
        <f t="shared" si="17"/>
        <v/>
      </c>
    </row>
    <row r="884" spans="7:36" ht="24" customHeight="1">
      <c r="G884" s="176"/>
      <c r="AJ884" s="139" t="str">
        <f t="shared" si="17"/>
        <v/>
      </c>
    </row>
    <row r="885" spans="7:36" ht="24" customHeight="1">
      <c r="G885" s="176"/>
      <c r="AJ885" s="139" t="str">
        <f t="shared" si="17"/>
        <v/>
      </c>
    </row>
    <row r="886" spans="7:36" ht="24" customHeight="1">
      <c r="G886" s="176"/>
      <c r="AJ886" s="139" t="str">
        <f t="shared" si="17"/>
        <v/>
      </c>
    </row>
    <row r="887" spans="7:36" ht="24" customHeight="1">
      <c r="G887" s="176"/>
      <c r="AJ887" s="139" t="str">
        <f t="shared" si="17"/>
        <v/>
      </c>
    </row>
    <row r="888" spans="7:36" ht="24" customHeight="1">
      <c r="G888" s="176"/>
      <c r="AJ888" s="139" t="str">
        <f t="shared" si="17"/>
        <v/>
      </c>
    </row>
    <row r="889" spans="7:36" ht="24" customHeight="1">
      <c r="G889" s="176"/>
      <c r="AJ889" s="139" t="str">
        <f t="shared" si="17"/>
        <v/>
      </c>
    </row>
    <row r="890" spans="7:36" ht="24" customHeight="1">
      <c r="G890" s="176"/>
      <c r="AJ890" s="139" t="str">
        <f t="shared" si="17"/>
        <v/>
      </c>
    </row>
    <row r="891" spans="7:36" ht="24" customHeight="1">
      <c r="G891" s="176"/>
      <c r="AJ891" s="139" t="str">
        <f t="shared" si="17"/>
        <v/>
      </c>
    </row>
    <row r="892" spans="7:36" ht="24" customHeight="1">
      <c r="G892" s="176"/>
      <c r="AJ892" s="139" t="str">
        <f t="shared" si="17"/>
        <v/>
      </c>
    </row>
    <row r="893" spans="7:36" ht="24" customHeight="1">
      <c r="G893" s="176"/>
      <c r="AJ893" s="139" t="str">
        <f t="shared" si="17"/>
        <v/>
      </c>
    </row>
    <row r="894" spans="7:36" ht="24" customHeight="1">
      <c r="G894" s="176"/>
      <c r="AJ894" s="139" t="str">
        <f t="shared" si="17"/>
        <v/>
      </c>
    </row>
    <row r="895" spans="7:36" ht="24" customHeight="1">
      <c r="AJ895" s="139" t="str">
        <f t="shared" si="17"/>
        <v/>
      </c>
    </row>
    <row r="896" spans="7:36" ht="24" customHeight="1">
      <c r="AJ896" s="139" t="str">
        <f t="shared" si="17"/>
        <v/>
      </c>
    </row>
    <row r="897" spans="36:36" ht="24" customHeight="1">
      <c r="AJ897" s="139" t="str">
        <f t="shared" si="17"/>
        <v/>
      </c>
    </row>
    <row r="898" spans="36:36" ht="24" customHeight="1">
      <c r="AJ898" s="139" t="str">
        <f t="shared" si="17"/>
        <v/>
      </c>
    </row>
    <row r="899" spans="36:36" ht="24" customHeight="1">
      <c r="AJ899" s="139" t="str">
        <f t="shared" si="17"/>
        <v/>
      </c>
    </row>
    <row r="900" spans="36:36" ht="24" customHeight="1">
      <c r="AJ900" s="139" t="str">
        <f t="shared" si="17"/>
        <v/>
      </c>
    </row>
    <row r="901" spans="36:36" ht="24" customHeight="1">
      <c r="AJ901" s="139" t="str">
        <f t="shared" si="17"/>
        <v/>
      </c>
    </row>
    <row r="902" spans="36:36" ht="24" customHeight="1">
      <c r="AJ902" s="139" t="str">
        <f t="shared" si="17"/>
        <v/>
      </c>
    </row>
    <row r="903" spans="36:36" ht="24" customHeight="1">
      <c r="AJ903" s="139" t="str">
        <f t="shared" si="17"/>
        <v/>
      </c>
    </row>
    <row r="904" spans="36:36" ht="24" customHeight="1">
      <c r="AJ904" s="139" t="str">
        <f t="shared" si="17"/>
        <v/>
      </c>
    </row>
    <row r="905" spans="36:36" ht="24" customHeight="1">
      <c r="AJ905" s="139" t="str">
        <f t="shared" ref="AJ905:AJ968" si="18">IF(C905="","",C905)</f>
        <v/>
      </c>
    </row>
    <row r="906" spans="36:36" ht="24" customHeight="1">
      <c r="AJ906" s="139" t="str">
        <f t="shared" si="18"/>
        <v/>
      </c>
    </row>
    <row r="907" spans="36:36" ht="24" customHeight="1">
      <c r="AJ907" s="139" t="str">
        <f t="shared" si="18"/>
        <v/>
      </c>
    </row>
    <row r="908" spans="36:36" ht="24" customHeight="1">
      <c r="AJ908" s="139" t="str">
        <f t="shared" si="18"/>
        <v/>
      </c>
    </row>
    <row r="909" spans="36:36" ht="24" customHeight="1">
      <c r="AJ909" s="139" t="str">
        <f t="shared" si="18"/>
        <v/>
      </c>
    </row>
    <row r="910" spans="36:36" ht="24" customHeight="1">
      <c r="AJ910" s="139" t="str">
        <f t="shared" si="18"/>
        <v/>
      </c>
    </row>
    <row r="911" spans="36:36" ht="24" customHeight="1">
      <c r="AJ911" s="139" t="str">
        <f t="shared" si="18"/>
        <v/>
      </c>
    </row>
    <row r="912" spans="36:36" ht="24" customHeight="1">
      <c r="AJ912" s="139" t="str">
        <f t="shared" si="18"/>
        <v/>
      </c>
    </row>
    <row r="913" spans="36:36" ht="24" customHeight="1">
      <c r="AJ913" s="139" t="str">
        <f t="shared" si="18"/>
        <v/>
      </c>
    </row>
    <row r="914" spans="36:36" ht="24" customHeight="1">
      <c r="AJ914" s="139" t="str">
        <f t="shared" si="18"/>
        <v/>
      </c>
    </row>
    <row r="915" spans="36:36" ht="24" customHeight="1">
      <c r="AJ915" s="139" t="str">
        <f t="shared" si="18"/>
        <v/>
      </c>
    </row>
    <row r="916" spans="36:36" ht="24" customHeight="1">
      <c r="AJ916" s="139" t="str">
        <f t="shared" si="18"/>
        <v/>
      </c>
    </row>
    <row r="917" spans="36:36" ht="24" customHeight="1">
      <c r="AJ917" s="139" t="str">
        <f t="shared" si="18"/>
        <v/>
      </c>
    </row>
    <row r="918" spans="36:36" ht="24" customHeight="1">
      <c r="AJ918" s="139" t="str">
        <f t="shared" si="18"/>
        <v/>
      </c>
    </row>
    <row r="919" spans="36:36" ht="24" customHeight="1">
      <c r="AJ919" s="139" t="str">
        <f t="shared" si="18"/>
        <v/>
      </c>
    </row>
    <row r="920" spans="36:36" ht="24" customHeight="1">
      <c r="AJ920" s="139" t="str">
        <f t="shared" si="18"/>
        <v/>
      </c>
    </row>
    <row r="921" spans="36:36" ht="24" customHeight="1">
      <c r="AJ921" s="139" t="str">
        <f t="shared" si="18"/>
        <v/>
      </c>
    </row>
    <row r="922" spans="36:36" ht="24" customHeight="1">
      <c r="AJ922" s="139" t="str">
        <f t="shared" si="18"/>
        <v/>
      </c>
    </row>
    <row r="923" spans="36:36" ht="24" customHeight="1">
      <c r="AJ923" s="139" t="str">
        <f t="shared" si="18"/>
        <v/>
      </c>
    </row>
    <row r="924" spans="36:36" ht="24" customHeight="1">
      <c r="AJ924" s="139" t="str">
        <f t="shared" si="18"/>
        <v/>
      </c>
    </row>
    <row r="925" spans="36:36" ht="24" customHeight="1">
      <c r="AJ925" s="139" t="str">
        <f t="shared" si="18"/>
        <v/>
      </c>
    </row>
    <row r="926" spans="36:36" ht="24" customHeight="1">
      <c r="AJ926" s="139" t="str">
        <f t="shared" si="18"/>
        <v/>
      </c>
    </row>
    <row r="927" spans="36:36" ht="24" customHeight="1">
      <c r="AJ927" s="139" t="str">
        <f t="shared" si="18"/>
        <v/>
      </c>
    </row>
    <row r="928" spans="36:36" ht="24" customHeight="1">
      <c r="AJ928" s="139" t="str">
        <f t="shared" si="18"/>
        <v/>
      </c>
    </row>
    <row r="929" spans="36:36" ht="24" customHeight="1">
      <c r="AJ929" s="139" t="str">
        <f t="shared" si="18"/>
        <v/>
      </c>
    </row>
    <row r="930" spans="36:36" ht="24" customHeight="1">
      <c r="AJ930" s="139" t="str">
        <f t="shared" si="18"/>
        <v/>
      </c>
    </row>
    <row r="931" spans="36:36" ht="24" customHeight="1">
      <c r="AJ931" s="139" t="str">
        <f t="shared" si="18"/>
        <v/>
      </c>
    </row>
    <row r="932" spans="36:36" ht="24" customHeight="1">
      <c r="AJ932" s="139" t="str">
        <f t="shared" si="18"/>
        <v/>
      </c>
    </row>
    <row r="933" spans="36:36" ht="24" customHeight="1">
      <c r="AJ933" s="139" t="str">
        <f t="shared" si="18"/>
        <v/>
      </c>
    </row>
    <row r="934" spans="36:36" ht="24" customHeight="1">
      <c r="AJ934" s="139" t="str">
        <f t="shared" si="18"/>
        <v/>
      </c>
    </row>
    <row r="935" spans="36:36" ht="24" customHeight="1">
      <c r="AJ935" s="139" t="str">
        <f t="shared" si="18"/>
        <v/>
      </c>
    </row>
    <row r="936" spans="36:36" ht="24" customHeight="1">
      <c r="AJ936" s="139" t="str">
        <f t="shared" si="18"/>
        <v/>
      </c>
    </row>
    <row r="937" spans="36:36" ht="24" customHeight="1">
      <c r="AJ937" s="139" t="str">
        <f t="shared" si="18"/>
        <v/>
      </c>
    </row>
    <row r="938" spans="36:36" ht="24" customHeight="1">
      <c r="AJ938" s="139" t="str">
        <f t="shared" si="18"/>
        <v/>
      </c>
    </row>
    <row r="939" spans="36:36" ht="24" customHeight="1">
      <c r="AJ939" s="139" t="str">
        <f t="shared" si="18"/>
        <v/>
      </c>
    </row>
    <row r="940" spans="36:36" ht="24" customHeight="1">
      <c r="AJ940" s="139" t="str">
        <f t="shared" si="18"/>
        <v/>
      </c>
    </row>
    <row r="941" spans="36:36" ht="24" customHeight="1">
      <c r="AJ941" s="139" t="str">
        <f t="shared" si="18"/>
        <v/>
      </c>
    </row>
    <row r="942" spans="36:36" ht="24" customHeight="1">
      <c r="AJ942" s="139" t="str">
        <f t="shared" si="18"/>
        <v/>
      </c>
    </row>
    <row r="943" spans="36:36" ht="24" customHeight="1">
      <c r="AJ943" s="139" t="str">
        <f t="shared" si="18"/>
        <v/>
      </c>
    </row>
    <row r="944" spans="36:36" ht="24" customHeight="1">
      <c r="AJ944" s="139" t="str">
        <f t="shared" si="18"/>
        <v/>
      </c>
    </row>
    <row r="945" spans="36:36" ht="24" customHeight="1">
      <c r="AJ945" s="139" t="str">
        <f t="shared" si="18"/>
        <v/>
      </c>
    </row>
    <row r="946" spans="36:36" ht="24" customHeight="1">
      <c r="AJ946" s="139" t="str">
        <f t="shared" si="18"/>
        <v/>
      </c>
    </row>
    <row r="947" spans="36:36" ht="24" customHeight="1">
      <c r="AJ947" s="139" t="str">
        <f t="shared" si="18"/>
        <v/>
      </c>
    </row>
    <row r="948" spans="36:36" ht="24" customHeight="1">
      <c r="AJ948" s="139" t="str">
        <f t="shared" si="18"/>
        <v/>
      </c>
    </row>
    <row r="949" spans="36:36" ht="24" customHeight="1">
      <c r="AJ949" s="139" t="str">
        <f t="shared" si="18"/>
        <v/>
      </c>
    </row>
    <row r="950" spans="36:36" ht="24" customHeight="1">
      <c r="AJ950" s="139" t="str">
        <f t="shared" si="18"/>
        <v/>
      </c>
    </row>
    <row r="951" spans="36:36" ht="24" customHeight="1">
      <c r="AJ951" s="139" t="str">
        <f t="shared" si="18"/>
        <v/>
      </c>
    </row>
    <row r="952" spans="36:36" ht="24" customHeight="1">
      <c r="AJ952" s="139" t="str">
        <f t="shared" si="18"/>
        <v/>
      </c>
    </row>
    <row r="953" spans="36:36" ht="24" customHeight="1">
      <c r="AJ953" s="139" t="str">
        <f t="shared" si="18"/>
        <v/>
      </c>
    </row>
    <row r="954" spans="36:36" ht="24" customHeight="1">
      <c r="AJ954" s="139" t="str">
        <f t="shared" si="18"/>
        <v/>
      </c>
    </row>
    <row r="955" spans="36:36" ht="24" customHeight="1">
      <c r="AJ955" s="139" t="str">
        <f t="shared" si="18"/>
        <v/>
      </c>
    </row>
    <row r="956" spans="36:36" ht="24" customHeight="1">
      <c r="AJ956" s="139" t="str">
        <f t="shared" si="18"/>
        <v/>
      </c>
    </row>
    <row r="957" spans="36:36" ht="24" customHeight="1">
      <c r="AJ957" s="139" t="str">
        <f t="shared" si="18"/>
        <v/>
      </c>
    </row>
    <row r="958" spans="36:36" ht="24" customHeight="1">
      <c r="AJ958" s="139" t="str">
        <f t="shared" si="18"/>
        <v/>
      </c>
    </row>
    <row r="959" spans="36:36" ht="24" customHeight="1">
      <c r="AJ959" s="139" t="str">
        <f t="shared" si="18"/>
        <v/>
      </c>
    </row>
    <row r="960" spans="36:36" ht="24" customHeight="1">
      <c r="AJ960" s="139" t="str">
        <f t="shared" si="18"/>
        <v/>
      </c>
    </row>
    <row r="961" spans="36:36" ht="24" customHeight="1">
      <c r="AJ961" s="139" t="str">
        <f t="shared" si="18"/>
        <v/>
      </c>
    </row>
    <row r="962" spans="36:36" ht="24" customHeight="1">
      <c r="AJ962" s="139" t="str">
        <f t="shared" si="18"/>
        <v/>
      </c>
    </row>
    <row r="963" spans="36:36" ht="24" customHeight="1">
      <c r="AJ963" s="139" t="str">
        <f t="shared" si="18"/>
        <v/>
      </c>
    </row>
    <row r="964" spans="36:36" ht="24" customHeight="1">
      <c r="AJ964" s="139" t="str">
        <f t="shared" si="18"/>
        <v/>
      </c>
    </row>
    <row r="965" spans="36:36" ht="24" customHeight="1">
      <c r="AJ965" s="139" t="str">
        <f t="shared" si="18"/>
        <v/>
      </c>
    </row>
    <row r="966" spans="36:36" ht="24" customHeight="1">
      <c r="AJ966" s="139" t="str">
        <f t="shared" si="18"/>
        <v/>
      </c>
    </row>
    <row r="967" spans="36:36" ht="24" customHeight="1">
      <c r="AJ967" s="139" t="str">
        <f t="shared" si="18"/>
        <v/>
      </c>
    </row>
    <row r="968" spans="36:36" ht="24" customHeight="1">
      <c r="AJ968" s="139" t="str">
        <f t="shared" si="18"/>
        <v/>
      </c>
    </row>
    <row r="969" spans="36:36" ht="24" customHeight="1">
      <c r="AJ969" s="139" t="str">
        <f t="shared" ref="AJ969:AJ1032" si="19">IF(C969="","",C969)</f>
        <v/>
      </c>
    </row>
    <row r="970" spans="36:36" ht="24" customHeight="1">
      <c r="AJ970" s="139" t="str">
        <f t="shared" si="19"/>
        <v/>
      </c>
    </row>
    <row r="971" spans="36:36" ht="24" customHeight="1">
      <c r="AJ971" s="139" t="str">
        <f t="shared" si="19"/>
        <v/>
      </c>
    </row>
    <row r="972" spans="36:36" ht="24" customHeight="1">
      <c r="AJ972" s="139" t="str">
        <f t="shared" si="19"/>
        <v/>
      </c>
    </row>
    <row r="973" spans="36:36" ht="24" customHeight="1">
      <c r="AJ973" s="139" t="str">
        <f t="shared" si="19"/>
        <v/>
      </c>
    </row>
    <row r="974" spans="36:36" ht="24" customHeight="1">
      <c r="AJ974" s="139" t="str">
        <f t="shared" si="19"/>
        <v/>
      </c>
    </row>
    <row r="975" spans="36:36" ht="24" customHeight="1">
      <c r="AJ975" s="139" t="str">
        <f t="shared" si="19"/>
        <v/>
      </c>
    </row>
    <row r="976" spans="36:36" ht="24" customHeight="1">
      <c r="AJ976" s="139" t="str">
        <f t="shared" si="19"/>
        <v/>
      </c>
    </row>
    <row r="977" spans="36:36" ht="24" customHeight="1">
      <c r="AJ977" s="139" t="str">
        <f t="shared" si="19"/>
        <v/>
      </c>
    </row>
    <row r="978" spans="36:36" ht="24" customHeight="1">
      <c r="AJ978" s="139" t="str">
        <f t="shared" si="19"/>
        <v/>
      </c>
    </row>
    <row r="979" spans="36:36" ht="24" customHeight="1">
      <c r="AJ979" s="139" t="str">
        <f t="shared" si="19"/>
        <v/>
      </c>
    </row>
    <row r="980" spans="36:36" ht="24" customHeight="1">
      <c r="AJ980" s="139" t="str">
        <f t="shared" si="19"/>
        <v/>
      </c>
    </row>
    <row r="981" spans="36:36" ht="24" customHeight="1">
      <c r="AJ981" s="139" t="str">
        <f t="shared" si="19"/>
        <v/>
      </c>
    </row>
    <row r="982" spans="36:36" ht="24" customHeight="1">
      <c r="AJ982" s="139" t="str">
        <f t="shared" si="19"/>
        <v/>
      </c>
    </row>
    <row r="983" spans="36:36" ht="24" customHeight="1">
      <c r="AJ983" s="139" t="str">
        <f t="shared" si="19"/>
        <v/>
      </c>
    </row>
    <row r="984" spans="36:36" ht="24" customHeight="1">
      <c r="AJ984" s="139" t="str">
        <f t="shared" si="19"/>
        <v/>
      </c>
    </row>
    <row r="985" spans="36:36" ht="24" customHeight="1">
      <c r="AJ985" s="139" t="str">
        <f t="shared" si="19"/>
        <v/>
      </c>
    </row>
    <row r="986" spans="36:36" ht="24" customHeight="1">
      <c r="AJ986" s="139" t="str">
        <f t="shared" si="19"/>
        <v/>
      </c>
    </row>
    <row r="987" spans="36:36" ht="24" customHeight="1">
      <c r="AJ987" s="139" t="str">
        <f t="shared" si="19"/>
        <v/>
      </c>
    </row>
    <row r="988" spans="36:36" ht="24" customHeight="1">
      <c r="AJ988" s="139" t="str">
        <f t="shared" si="19"/>
        <v/>
      </c>
    </row>
    <row r="989" spans="36:36" ht="24" customHeight="1">
      <c r="AJ989" s="139" t="str">
        <f t="shared" si="19"/>
        <v/>
      </c>
    </row>
    <row r="990" spans="36:36" ht="24" customHeight="1">
      <c r="AJ990" s="139" t="str">
        <f t="shared" si="19"/>
        <v/>
      </c>
    </row>
    <row r="991" spans="36:36" ht="24" customHeight="1">
      <c r="AJ991" s="139" t="str">
        <f t="shared" si="19"/>
        <v/>
      </c>
    </row>
    <row r="992" spans="36:36" ht="24" customHeight="1">
      <c r="AJ992" s="139" t="str">
        <f t="shared" si="19"/>
        <v/>
      </c>
    </row>
    <row r="993" spans="36:36" ht="24" customHeight="1">
      <c r="AJ993" s="139" t="str">
        <f t="shared" si="19"/>
        <v/>
      </c>
    </row>
    <row r="994" spans="36:36" ht="24" customHeight="1">
      <c r="AJ994" s="139" t="str">
        <f t="shared" si="19"/>
        <v/>
      </c>
    </row>
    <row r="995" spans="36:36" ht="24" customHeight="1">
      <c r="AJ995" s="139" t="str">
        <f t="shared" si="19"/>
        <v/>
      </c>
    </row>
    <row r="996" spans="36:36" ht="24" customHeight="1">
      <c r="AJ996" s="139" t="str">
        <f t="shared" si="19"/>
        <v/>
      </c>
    </row>
    <row r="997" spans="36:36" ht="24" customHeight="1">
      <c r="AJ997" s="139" t="str">
        <f t="shared" si="19"/>
        <v/>
      </c>
    </row>
    <row r="998" spans="36:36" ht="24" customHeight="1">
      <c r="AJ998" s="139" t="str">
        <f t="shared" si="19"/>
        <v/>
      </c>
    </row>
    <row r="999" spans="36:36" ht="24" customHeight="1">
      <c r="AJ999" s="139" t="str">
        <f t="shared" si="19"/>
        <v/>
      </c>
    </row>
    <row r="1000" spans="36:36" ht="24" customHeight="1">
      <c r="AJ1000" s="139" t="str">
        <f t="shared" si="19"/>
        <v/>
      </c>
    </row>
    <row r="1001" spans="36:36" ht="24" customHeight="1">
      <c r="AJ1001" s="139" t="str">
        <f t="shared" si="19"/>
        <v/>
      </c>
    </row>
    <row r="1002" spans="36:36" ht="24" customHeight="1">
      <c r="AJ1002" s="139" t="str">
        <f t="shared" si="19"/>
        <v/>
      </c>
    </row>
    <row r="1003" spans="36:36" ht="24" customHeight="1">
      <c r="AJ1003" s="139" t="str">
        <f t="shared" si="19"/>
        <v/>
      </c>
    </row>
    <row r="1004" spans="36:36" ht="24" customHeight="1">
      <c r="AJ1004" s="139" t="str">
        <f t="shared" si="19"/>
        <v/>
      </c>
    </row>
    <row r="1005" spans="36:36" ht="24" customHeight="1">
      <c r="AJ1005" s="139" t="str">
        <f t="shared" si="19"/>
        <v/>
      </c>
    </row>
    <row r="1006" spans="36:36" ht="24" customHeight="1">
      <c r="AJ1006" s="139" t="str">
        <f t="shared" si="19"/>
        <v/>
      </c>
    </row>
    <row r="1007" spans="36:36" ht="24" customHeight="1">
      <c r="AJ1007" s="139" t="str">
        <f t="shared" si="19"/>
        <v/>
      </c>
    </row>
    <row r="1008" spans="36:36" ht="24" customHeight="1">
      <c r="AJ1008" s="139" t="str">
        <f t="shared" si="19"/>
        <v/>
      </c>
    </row>
    <row r="1009" spans="36:36" ht="24" customHeight="1">
      <c r="AJ1009" s="139" t="str">
        <f t="shared" si="19"/>
        <v/>
      </c>
    </row>
    <row r="1010" spans="36:36" ht="24" customHeight="1">
      <c r="AJ1010" s="139" t="str">
        <f t="shared" si="19"/>
        <v/>
      </c>
    </row>
    <row r="1011" spans="36:36" ht="24" customHeight="1">
      <c r="AJ1011" s="139" t="str">
        <f t="shared" si="19"/>
        <v/>
      </c>
    </row>
    <row r="1012" spans="36:36" ht="24" customHeight="1">
      <c r="AJ1012" s="139" t="str">
        <f t="shared" si="19"/>
        <v/>
      </c>
    </row>
    <row r="1013" spans="36:36" ht="24" customHeight="1">
      <c r="AJ1013" s="139" t="str">
        <f t="shared" si="19"/>
        <v/>
      </c>
    </row>
    <row r="1014" spans="36:36" ht="24" customHeight="1">
      <c r="AJ1014" s="139" t="str">
        <f t="shared" si="19"/>
        <v/>
      </c>
    </row>
    <row r="1015" spans="36:36" ht="24" customHeight="1">
      <c r="AJ1015" s="139" t="str">
        <f t="shared" si="19"/>
        <v/>
      </c>
    </row>
    <row r="1016" spans="36:36" ht="24" customHeight="1">
      <c r="AJ1016" s="139" t="str">
        <f t="shared" si="19"/>
        <v/>
      </c>
    </row>
    <row r="1017" spans="36:36" ht="24" customHeight="1">
      <c r="AJ1017" s="139" t="str">
        <f t="shared" si="19"/>
        <v/>
      </c>
    </row>
    <row r="1018" spans="36:36" ht="24" customHeight="1">
      <c r="AJ1018" s="139" t="str">
        <f t="shared" si="19"/>
        <v/>
      </c>
    </row>
    <row r="1019" spans="36:36" ht="24" customHeight="1">
      <c r="AJ1019" s="139" t="str">
        <f t="shared" si="19"/>
        <v/>
      </c>
    </row>
    <row r="1020" spans="36:36" ht="24" customHeight="1">
      <c r="AJ1020" s="139" t="str">
        <f t="shared" si="19"/>
        <v/>
      </c>
    </row>
    <row r="1021" spans="36:36" ht="24" customHeight="1">
      <c r="AJ1021" s="139" t="str">
        <f t="shared" si="19"/>
        <v/>
      </c>
    </row>
    <row r="1022" spans="36:36" ht="24" customHeight="1">
      <c r="AJ1022" s="139" t="str">
        <f t="shared" si="19"/>
        <v/>
      </c>
    </row>
    <row r="1023" spans="36:36" ht="24" customHeight="1">
      <c r="AJ1023" s="139" t="str">
        <f t="shared" si="19"/>
        <v/>
      </c>
    </row>
    <row r="1024" spans="36:36" ht="24" customHeight="1">
      <c r="AJ1024" s="139" t="str">
        <f t="shared" si="19"/>
        <v/>
      </c>
    </row>
    <row r="1025" spans="36:36" ht="24" customHeight="1">
      <c r="AJ1025" s="139" t="str">
        <f t="shared" si="19"/>
        <v/>
      </c>
    </row>
    <row r="1026" spans="36:36" ht="24" customHeight="1">
      <c r="AJ1026" s="139" t="str">
        <f t="shared" si="19"/>
        <v/>
      </c>
    </row>
    <row r="1027" spans="36:36" ht="24" customHeight="1">
      <c r="AJ1027" s="139" t="str">
        <f t="shared" si="19"/>
        <v/>
      </c>
    </row>
    <row r="1028" spans="36:36" ht="24" customHeight="1">
      <c r="AJ1028" s="139" t="str">
        <f t="shared" si="19"/>
        <v/>
      </c>
    </row>
    <row r="1029" spans="36:36" ht="24" customHeight="1">
      <c r="AJ1029" s="139" t="str">
        <f t="shared" si="19"/>
        <v/>
      </c>
    </row>
    <row r="1030" spans="36:36" ht="24" customHeight="1">
      <c r="AJ1030" s="139" t="str">
        <f t="shared" si="19"/>
        <v/>
      </c>
    </row>
    <row r="1031" spans="36:36" ht="24" customHeight="1">
      <c r="AJ1031" s="139" t="str">
        <f t="shared" si="19"/>
        <v/>
      </c>
    </row>
    <row r="1032" spans="36:36" ht="24" customHeight="1">
      <c r="AJ1032" s="139" t="str">
        <f t="shared" si="19"/>
        <v/>
      </c>
    </row>
    <row r="1033" spans="36:36" ht="24" customHeight="1">
      <c r="AJ1033" s="139" t="str">
        <f t="shared" ref="AJ1033:AJ1096" si="20">IF(C1033="","",C1033)</f>
        <v/>
      </c>
    </row>
    <row r="1034" spans="36:36" ht="24" customHeight="1">
      <c r="AJ1034" s="139" t="str">
        <f t="shared" si="20"/>
        <v/>
      </c>
    </row>
    <row r="1035" spans="36:36" ht="24" customHeight="1">
      <c r="AJ1035" s="139" t="str">
        <f t="shared" si="20"/>
        <v/>
      </c>
    </row>
    <row r="1036" spans="36:36" ht="24" customHeight="1">
      <c r="AJ1036" s="139" t="str">
        <f t="shared" si="20"/>
        <v/>
      </c>
    </row>
    <row r="1037" spans="36:36" ht="24" customHeight="1">
      <c r="AJ1037" s="139" t="str">
        <f t="shared" si="20"/>
        <v/>
      </c>
    </row>
    <row r="1038" spans="36:36" ht="24" customHeight="1">
      <c r="AJ1038" s="139" t="str">
        <f t="shared" si="20"/>
        <v/>
      </c>
    </row>
    <row r="1039" spans="36:36" ht="24" customHeight="1">
      <c r="AJ1039" s="139" t="str">
        <f t="shared" si="20"/>
        <v/>
      </c>
    </row>
    <row r="1040" spans="36:36" ht="24" customHeight="1">
      <c r="AJ1040" s="139" t="str">
        <f t="shared" si="20"/>
        <v/>
      </c>
    </row>
    <row r="1041" spans="36:36" ht="24" customHeight="1">
      <c r="AJ1041" s="139" t="str">
        <f t="shared" si="20"/>
        <v/>
      </c>
    </row>
    <row r="1042" spans="36:36" ht="24" customHeight="1">
      <c r="AJ1042" s="139" t="str">
        <f t="shared" si="20"/>
        <v/>
      </c>
    </row>
    <row r="1043" spans="36:36" ht="24" customHeight="1">
      <c r="AJ1043" s="139" t="str">
        <f t="shared" si="20"/>
        <v/>
      </c>
    </row>
    <row r="1044" spans="36:36" ht="24" customHeight="1">
      <c r="AJ1044" s="139" t="str">
        <f t="shared" si="20"/>
        <v/>
      </c>
    </row>
    <row r="1045" spans="36:36" ht="24" customHeight="1">
      <c r="AJ1045" s="139" t="str">
        <f t="shared" si="20"/>
        <v/>
      </c>
    </row>
    <row r="1046" spans="36:36" ht="24" customHeight="1">
      <c r="AJ1046" s="139" t="str">
        <f t="shared" si="20"/>
        <v/>
      </c>
    </row>
    <row r="1047" spans="36:36" ht="24" customHeight="1">
      <c r="AJ1047" s="139" t="str">
        <f t="shared" si="20"/>
        <v/>
      </c>
    </row>
    <row r="1048" spans="36:36" ht="24" customHeight="1">
      <c r="AJ1048" s="139" t="str">
        <f t="shared" si="20"/>
        <v/>
      </c>
    </row>
    <row r="1049" spans="36:36" ht="24" customHeight="1">
      <c r="AJ1049" s="139" t="str">
        <f t="shared" si="20"/>
        <v/>
      </c>
    </row>
    <row r="1050" spans="36:36" ht="24" customHeight="1">
      <c r="AJ1050" s="139" t="str">
        <f t="shared" si="20"/>
        <v/>
      </c>
    </row>
    <row r="1051" spans="36:36" ht="24" customHeight="1">
      <c r="AJ1051" s="139" t="str">
        <f t="shared" si="20"/>
        <v/>
      </c>
    </row>
    <row r="1052" spans="36:36" ht="24" customHeight="1">
      <c r="AJ1052" s="139" t="str">
        <f t="shared" si="20"/>
        <v/>
      </c>
    </row>
    <row r="1053" spans="36:36" ht="24" customHeight="1">
      <c r="AJ1053" s="139" t="str">
        <f t="shared" si="20"/>
        <v/>
      </c>
    </row>
    <row r="1054" spans="36:36" ht="24" customHeight="1">
      <c r="AJ1054" s="139" t="str">
        <f t="shared" si="20"/>
        <v/>
      </c>
    </row>
    <row r="1055" spans="36:36" ht="24" customHeight="1">
      <c r="AJ1055" s="139" t="str">
        <f t="shared" si="20"/>
        <v/>
      </c>
    </row>
    <row r="1056" spans="36:36" ht="24" customHeight="1">
      <c r="AJ1056" s="139" t="str">
        <f t="shared" si="20"/>
        <v/>
      </c>
    </row>
    <row r="1057" spans="36:36" ht="24" customHeight="1">
      <c r="AJ1057" s="139" t="str">
        <f t="shared" si="20"/>
        <v/>
      </c>
    </row>
    <row r="1058" spans="36:36" ht="24" customHeight="1">
      <c r="AJ1058" s="139" t="str">
        <f t="shared" si="20"/>
        <v/>
      </c>
    </row>
    <row r="1059" spans="36:36" ht="24" customHeight="1">
      <c r="AJ1059" s="139" t="str">
        <f t="shared" si="20"/>
        <v/>
      </c>
    </row>
    <row r="1060" spans="36:36" ht="24" customHeight="1">
      <c r="AJ1060" s="139" t="str">
        <f t="shared" si="20"/>
        <v/>
      </c>
    </row>
    <row r="1061" spans="36:36" ht="24" customHeight="1">
      <c r="AJ1061" s="139" t="str">
        <f t="shared" si="20"/>
        <v/>
      </c>
    </row>
    <row r="1062" spans="36:36" ht="24" customHeight="1">
      <c r="AJ1062" s="139" t="str">
        <f t="shared" si="20"/>
        <v/>
      </c>
    </row>
    <row r="1063" spans="36:36" ht="24" customHeight="1">
      <c r="AJ1063" s="139" t="str">
        <f t="shared" si="20"/>
        <v/>
      </c>
    </row>
    <row r="1064" spans="36:36" ht="24" customHeight="1">
      <c r="AJ1064" s="139" t="str">
        <f t="shared" si="20"/>
        <v/>
      </c>
    </row>
    <row r="1065" spans="36:36" ht="24" customHeight="1">
      <c r="AJ1065" s="139" t="str">
        <f t="shared" si="20"/>
        <v/>
      </c>
    </row>
    <row r="1066" spans="36:36" ht="24" customHeight="1">
      <c r="AJ1066" s="139" t="str">
        <f t="shared" si="20"/>
        <v/>
      </c>
    </row>
    <row r="1067" spans="36:36" ht="24" customHeight="1">
      <c r="AJ1067" s="139" t="str">
        <f t="shared" si="20"/>
        <v/>
      </c>
    </row>
    <row r="1068" spans="36:36" ht="24" customHeight="1">
      <c r="AJ1068" s="139" t="str">
        <f t="shared" si="20"/>
        <v/>
      </c>
    </row>
    <row r="1069" spans="36:36" ht="24" customHeight="1">
      <c r="AJ1069" s="139" t="str">
        <f t="shared" si="20"/>
        <v/>
      </c>
    </row>
    <row r="1070" spans="36:36" ht="24" customHeight="1">
      <c r="AJ1070" s="139" t="str">
        <f t="shared" si="20"/>
        <v/>
      </c>
    </row>
    <row r="1071" spans="36:36" ht="24" customHeight="1">
      <c r="AJ1071" s="139" t="str">
        <f t="shared" si="20"/>
        <v/>
      </c>
    </row>
    <row r="1072" spans="36:36" ht="24" customHeight="1">
      <c r="AJ1072" s="139" t="str">
        <f t="shared" si="20"/>
        <v/>
      </c>
    </row>
    <row r="1073" spans="36:36" ht="24" customHeight="1">
      <c r="AJ1073" s="139" t="str">
        <f t="shared" si="20"/>
        <v/>
      </c>
    </row>
    <row r="1074" spans="36:36" ht="24" customHeight="1">
      <c r="AJ1074" s="139" t="str">
        <f t="shared" si="20"/>
        <v/>
      </c>
    </row>
    <row r="1075" spans="36:36" ht="24" customHeight="1">
      <c r="AJ1075" s="139" t="str">
        <f t="shared" si="20"/>
        <v/>
      </c>
    </row>
    <row r="1076" spans="36:36" ht="24" customHeight="1">
      <c r="AJ1076" s="139" t="str">
        <f t="shared" si="20"/>
        <v/>
      </c>
    </row>
    <row r="1077" spans="36:36" ht="24" customHeight="1">
      <c r="AJ1077" s="139" t="str">
        <f t="shared" si="20"/>
        <v/>
      </c>
    </row>
    <row r="1078" spans="36:36" ht="24" customHeight="1">
      <c r="AJ1078" s="139" t="str">
        <f t="shared" si="20"/>
        <v/>
      </c>
    </row>
    <row r="1079" spans="36:36" ht="24" customHeight="1">
      <c r="AJ1079" s="139" t="str">
        <f t="shared" si="20"/>
        <v/>
      </c>
    </row>
    <row r="1080" spans="36:36" ht="24" customHeight="1">
      <c r="AJ1080" s="139" t="str">
        <f t="shared" si="20"/>
        <v/>
      </c>
    </row>
    <row r="1081" spans="36:36" ht="24" customHeight="1">
      <c r="AJ1081" s="139" t="str">
        <f t="shared" si="20"/>
        <v/>
      </c>
    </row>
    <row r="1082" spans="36:36" ht="24" customHeight="1">
      <c r="AJ1082" s="139" t="str">
        <f t="shared" si="20"/>
        <v/>
      </c>
    </row>
    <row r="1083" spans="36:36" ht="24" customHeight="1">
      <c r="AJ1083" s="139" t="str">
        <f t="shared" si="20"/>
        <v/>
      </c>
    </row>
    <row r="1084" spans="36:36" ht="24" customHeight="1">
      <c r="AJ1084" s="139" t="str">
        <f t="shared" si="20"/>
        <v/>
      </c>
    </row>
    <row r="1085" spans="36:36" ht="24" customHeight="1">
      <c r="AJ1085" s="139" t="str">
        <f t="shared" si="20"/>
        <v/>
      </c>
    </row>
    <row r="1086" spans="36:36" ht="24" customHeight="1">
      <c r="AJ1086" s="139" t="str">
        <f t="shared" si="20"/>
        <v/>
      </c>
    </row>
    <row r="1087" spans="36:36" ht="24" customHeight="1">
      <c r="AJ1087" s="139" t="str">
        <f t="shared" si="20"/>
        <v/>
      </c>
    </row>
    <row r="1088" spans="36:36" ht="24" customHeight="1">
      <c r="AJ1088" s="139" t="str">
        <f t="shared" si="20"/>
        <v/>
      </c>
    </row>
    <row r="1089" spans="36:36" ht="24" customHeight="1">
      <c r="AJ1089" s="139" t="str">
        <f t="shared" si="20"/>
        <v/>
      </c>
    </row>
    <row r="1090" spans="36:36" ht="24" customHeight="1">
      <c r="AJ1090" s="139" t="str">
        <f t="shared" si="20"/>
        <v/>
      </c>
    </row>
    <row r="1091" spans="36:36" ht="24" customHeight="1">
      <c r="AJ1091" s="139" t="str">
        <f t="shared" si="20"/>
        <v/>
      </c>
    </row>
    <row r="1092" spans="36:36" ht="24" customHeight="1">
      <c r="AJ1092" s="139" t="str">
        <f t="shared" si="20"/>
        <v/>
      </c>
    </row>
    <row r="1093" spans="36:36" ht="24" customHeight="1">
      <c r="AJ1093" s="139" t="str">
        <f t="shared" si="20"/>
        <v/>
      </c>
    </row>
    <row r="1094" spans="36:36" ht="24" customHeight="1">
      <c r="AJ1094" s="139" t="str">
        <f t="shared" si="20"/>
        <v/>
      </c>
    </row>
    <row r="1095" spans="36:36" ht="24" customHeight="1">
      <c r="AJ1095" s="139" t="str">
        <f t="shared" si="20"/>
        <v/>
      </c>
    </row>
    <row r="1096" spans="36:36" ht="24" customHeight="1">
      <c r="AJ1096" s="139" t="str">
        <f t="shared" si="20"/>
        <v/>
      </c>
    </row>
    <row r="1097" spans="36:36" ht="24" customHeight="1">
      <c r="AJ1097" s="139" t="str">
        <f t="shared" ref="AJ1097:AJ1160" si="21">IF(C1097="","",C1097)</f>
        <v/>
      </c>
    </row>
    <row r="1098" spans="36:36" ht="24" customHeight="1">
      <c r="AJ1098" s="139" t="str">
        <f t="shared" si="21"/>
        <v/>
      </c>
    </row>
    <row r="1099" spans="36:36" ht="24" customHeight="1">
      <c r="AJ1099" s="139" t="str">
        <f t="shared" si="21"/>
        <v/>
      </c>
    </row>
    <row r="1100" spans="36:36" ht="24" customHeight="1">
      <c r="AJ1100" s="139" t="str">
        <f t="shared" si="21"/>
        <v/>
      </c>
    </row>
    <row r="1101" spans="36:36" ht="24" customHeight="1">
      <c r="AJ1101" s="139" t="str">
        <f t="shared" si="21"/>
        <v/>
      </c>
    </row>
    <row r="1102" spans="36:36" ht="24" customHeight="1">
      <c r="AJ1102" s="139" t="str">
        <f t="shared" si="21"/>
        <v/>
      </c>
    </row>
    <row r="1103" spans="36:36" ht="24" customHeight="1">
      <c r="AJ1103" s="139" t="str">
        <f t="shared" si="21"/>
        <v/>
      </c>
    </row>
    <row r="1104" spans="36:36" ht="24" customHeight="1">
      <c r="AJ1104" s="139" t="str">
        <f t="shared" si="21"/>
        <v/>
      </c>
    </row>
    <row r="1105" spans="36:36" ht="24" customHeight="1">
      <c r="AJ1105" s="139" t="str">
        <f t="shared" si="21"/>
        <v/>
      </c>
    </row>
    <row r="1106" spans="36:36" ht="24" customHeight="1">
      <c r="AJ1106" s="139" t="str">
        <f t="shared" si="21"/>
        <v/>
      </c>
    </row>
    <row r="1107" spans="36:36" ht="24" customHeight="1">
      <c r="AJ1107" s="139" t="str">
        <f t="shared" si="21"/>
        <v/>
      </c>
    </row>
    <row r="1108" spans="36:36" ht="24" customHeight="1">
      <c r="AJ1108" s="139" t="str">
        <f t="shared" si="21"/>
        <v/>
      </c>
    </row>
    <row r="1109" spans="36:36" ht="24" customHeight="1">
      <c r="AJ1109" s="139" t="str">
        <f t="shared" si="21"/>
        <v/>
      </c>
    </row>
    <row r="1110" spans="36:36" ht="24" customHeight="1">
      <c r="AJ1110" s="139" t="str">
        <f t="shared" si="21"/>
        <v/>
      </c>
    </row>
    <row r="1111" spans="36:36" ht="24" customHeight="1">
      <c r="AJ1111" s="139" t="str">
        <f t="shared" si="21"/>
        <v/>
      </c>
    </row>
    <row r="1112" spans="36:36" ht="24" customHeight="1">
      <c r="AJ1112" s="139" t="str">
        <f t="shared" si="21"/>
        <v/>
      </c>
    </row>
    <row r="1113" spans="36:36" ht="24" customHeight="1">
      <c r="AJ1113" s="139" t="str">
        <f t="shared" si="21"/>
        <v/>
      </c>
    </row>
    <row r="1114" spans="36:36" ht="24" customHeight="1">
      <c r="AJ1114" s="139" t="str">
        <f t="shared" si="21"/>
        <v/>
      </c>
    </row>
    <row r="1115" spans="36:36" ht="24" customHeight="1">
      <c r="AJ1115" s="139" t="str">
        <f t="shared" si="21"/>
        <v/>
      </c>
    </row>
    <row r="1116" spans="36:36" ht="24" customHeight="1">
      <c r="AJ1116" s="139" t="str">
        <f t="shared" si="21"/>
        <v/>
      </c>
    </row>
    <row r="1117" spans="36:36" ht="24" customHeight="1">
      <c r="AJ1117" s="139" t="str">
        <f t="shared" si="21"/>
        <v/>
      </c>
    </row>
    <row r="1118" spans="36:36" ht="24" customHeight="1">
      <c r="AJ1118" s="139" t="str">
        <f t="shared" si="21"/>
        <v/>
      </c>
    </row>
    <row r="1119" spans="36:36" ht="24" customHeight="1">
      <c r="AJ1119" s="139" t="str">
        <f t="shared" si="21"/>
        <v/>
      </c>
    </row>
    <row r="1120" spans="36:36" ht="24" customHeight="1">
      <c r="AJ1120" s="139" t="str">
        <f t="shared" si="21"/>
        <v/>
      </c>
    </row>
    <row r="1121" spans="36:36" ht="24" customHeight="1">
      <c r="AJ1121" s="139" t="str">
        <f t="shared" si="21"/>
        <v/>
      </c>
    </row>
    <row r="1122" spans="36:36" ht="24" customHeight="1">
      <c r="AJ1122" s="139" t="str">
        <f t="shared" si="21"/>
        <v/>
      </c>
    </row>
    <row r="1123" spans="36:36" ht="24" customHeight="1">
      <c r="AJ1123" s="139" t="str">
        <f t="shared" si="21"/>
        <v/>
      </c>
    </row>
    <row r="1124" spans="36:36" ht="24" customHeight="1">
      <c r="AJ1124" s="139" t="str">
        <f t="shared" si="21"/>
        <v/>
      </c>
    </row>
    <row r="1125" spans="36:36" ht="24" customHeight="1">
      <c r="AJ1125" s="139" t="str">
        <f t="shared" si="21"/>
        <v/>
      </c>
    </row>
    <row r="1126" spans="36:36" ht="24" customHeight="1">
      <c r="AJ1126" s="139" t="str">
        <f t="shared" si="21"/>
        <v/>
      </c>
    </row>
    <row r="1127" spans="36:36" ht="24" customHeight="1">
      <c r="AJ1127" s="139" t="str">
        <f t="shared" si="21"/>
        <v/>
      </c>
    </row>
    <row r="1128" spans="36:36" ht="24" customHeight="1">
      <c r="AJ1128" s="139" t="str">
        <f t="shared" si="21"/>
        <v/>
      </c>
    </row>
    <row r="1129" spans="36:36" ht="24" customHeight="1">
      <c r="AJ1129" s="139" t="str">
        <f t="shared" si="21"/>
        <v/>
      </c>
    </row>
    <row r="1130" spans="36:36" ht="24" customHeight="1">
      <c r="AJ1130" s="139" t="str">
        <f t="shared" si="21"/>
        <v/>
      </c>
    </row>
    <row r="1131" spans="36:36" ht="24" customHeight="1">
      <c r="AJ1131" s="139" t="str">
        <f t="shared" si="21"/>
        <v/>
      </c>
    </row>
    <row r="1132" spans="36:36" ht="24" customHeight="1">
      <c r="AJ1132" s="139" t="str">
        <f t="shared" si="21"/>
        <v/>
      </c>
    </row>
    <row r="1133" spans="36:36" ht="24" customHeight="1">
      <c r="AJ1133" s="139" t="str">
        <f t="shared" si="21"/>
        <v/>
      </c>
    </row>
    <row r="1134" spans="36:36" ht="24" customHeight="1">
      <c r="AJ1134" s="139" t="str">
        <f t="shared" si="21"/>
        <v/>
      </c>
    </row>
    <row r="1135" spans="36:36" ht="24" customHeight="1">
      <c r="AJ1135" s="139" t="str">
        <f t="shared" si="21"/>
        <v/>
      </c>
    </row>
    <row r="1136" spans="36:36" ht="24" customHeight="1">
      <c r="AJ1136" s="139" t="str">
        <f t="shared" si="21"/>
        <v/>
      </c>
    </row>
    <row r="1137" spans="36:36" ht="24" customHeight="1">
      <c r="AJ1137" s="139" t="str">
        <f t="shared" si="21"/>
        <v/>
      </c>
    </row>
    <row r="1138" spans="36:36" ht="24" customHeight="1">
      <c r="AJ1138" s="139" t="str">
        <f t="shared" si="21"/>
        <v/>
      </c>
    </row>
    <row r="1139" spans="36:36" ht="24" customHeight="1">
      <c r="AJ1139" s="139" t="str">
        <f t="shared" si="21"/>
        <v/>
      </c>
    </row>
    <row r="1140" spans="36:36" ht="24" customHeight="1">
      <c r="AJ1140" s="139" t="str">
        <f t="shared" si="21"/>
        <v/>
      </c>
    </row>
    <row r="1141" spans="36:36" ht="24" customHeight="1">
      <c r="AJ1141" s="139" t="str">
        <f t="shared" si="21"/>
        <v/>
      </c>
    </row>
    <row r="1142" spans="36:36" ht="24" customHeight="1">
      <c r="AJ1142" s="139" t="str">
        <f t="shared" si="21"/>
        <v/>
      </c>
    </row>
    <row r="1143" spans="36:36" ht="24" customHeight="1">
      <c r="AJ1143" s="139" t="str">
        <f t="shared" si="21"/>
        <v/>
      </c>
    </row>
    <row r="1144" spans="36:36" ht="24" customHeight="1">
      <c r="AJ1144" s="139" t="str">
        <f t="shared" si="21"/>
        <v/>
      </c>
    </row>
    <row r="1145" spans="36:36" ht="24" customHeight="1">
      <c r="AJ1145" s="139" t="str">
        <f t="shared" si="21"/>
        <v/>
      </c>
    </row>
    <row r="1146" spans="36:36" ht="24" customHeight="1">
      <c r="AJ1146" s="139" t="str">
        <f t="shared" si="21"/>
        <v/>
      </c>
    </row>
    <row r="1147" spans="36:36" ht="24" customHeight="1">
      <c r="AJ1147" s="139" t="str">
        <f t="shared" si="21"/>
        <v/>
      </c>
    </row>
    <row r="1148" spans="36:36" ht="24" customHeight="1">
      <c r="AJ1148" s="139" t="str">
        <f t="shared" si="21"/>
        <v/>
      </c>
    </row>
    <row r="1149" spans="36:36" ht="24" customHeight="1">
      <c r="AJ1149" s="139" t="str">
        <f t="shared" si="21"/>
        <v/>
      </c>
    </row>
    <row r="1150" spans="36:36" ht="24" customHeight="1">
      <c r="AJ1150" s="139" t="str">
        <f t="shared" si="21"/>
        <v/>
      </c>
    </row>
    <row r="1151" spans="36:36" ht="24" customHeight="1">
      <c r="AJ1151" s="139" t="str">
        <f t="shared" si="21"/>
        <v/>
      </c>
    </row>
    <row r="1152" spans="36:36" ht="24" customHeight="1">
      <c r="AJ1152" s="139" t="str">
        <f t="shared" si="21"/>
        <v/>
      </c>
    </row>
    <row r="1153" spans="36:36" ht="24" customHeight="1">
      <c r="AJ1153" s="139" t="str">
        <f t="shared" si="21"/>
        <v/>
      </c>
    </row>
    <row r="1154" spans="36:36" ht="24" customHeight="1">
      <c r="AJ1154" s="139" t="str">
        <f t="shared" si="21"/>
        <v/>
      </c>
    </row>
    <row r="1155" spans="36:36" ht="24" customHeight="1">
      <c r="AJ1155" s="139" t="str">
        <f t="shared" si="21"/>
        <v/>
      </c>
    </row>
    <row r="1156" spans="36:36" ht="24" customHeight="1">
      <c r="AJ1156" s="139" t="str">
        <f t="shared" si="21"/>
        <v/>
      </c>
    </row>
    <row r="1157" spans="36:36" ht="24" customHeight="1">
      <c r="AJ1157" s="139" t="str">
        <f t="shared" si="21"/>
        <v/>
      </c>
    </row>
    <row r="1158" spans="36:36" ht="24" customHeight="1">
      <c r="AJ1158" s="139" t="str">
        <f t="shared" si="21"/>
        <v/>
      </c>
    </row>
    <row r="1159" spans="36:36" ht="24" customHeight="1">
      <c r="AJ1159" s="139" t="str">
        <f t="shared" si="21"/>
        <v/>
      </c>
    </row>
    <row r="1160" spans="36:36" ht="24" customHeight="1">
      <c r="AJ1160" s="139" t="str">
        <f t="shared" si="21"/>
        <v/>
      </c>
    </row>
    <row r="1161" spans="36:36" ht="24" customHeight="1">
      <c r="AJ1161" s="139" t="str">
        <f t="shared" ref="AJ1161:AJ1224" si="22">IF(C1161="","",C1161)</f>
        <v/>
      </c>
    </row>
    <row r="1162" spans="36:36" ht="24" customHeight="1">
      <c r="AJ1162" s="139" t="str">
        <f t="shared" si="22"/>
        <v/>
      </c>
    </row>
    <row r="1163" spans="36:36" ht="24" customHeight="1">
      <c r="AJ1163" s="139" t="str">
        <f t="shared" si="22"/>
        <v/>
      </c>
    </row>
    <row r="1164" spans="36:36" ht="24" customHeight="1">
      <c r="AJ1164" s="139" t="str">
        <f t="shared" si="22"/>
        <v/>
      </c>
    </row>
    <row r="1165" spans="36:36" ht="24" customHeight="1">
      <c r="AJ1165" s="139" t="str">
        <f t="shared" si="22"/>
        <v/>
      </c>
    </row>
    <row r="1166" spans="36:36" ht="24" customHeight="1">
      <c r="AJ1166" s="139" t="str">
        <f t="shared" si="22"/>
        <v/>
      </c>
    </row>
    <row r="1167" spans="36:36" ht="24" customHeight="1">
      <c r="AJ1167" s="139" t="str">
        <f t="shared" si="22"/>
        <v/>
      </c>
    </row>
    <row r="1168" spans="36:36" ht="24" customHeight="1">
      <c r="AJ1168" s="139" t="str">
        <f t="shared" si="22"/>
        <v/>
      </c>
    </row>
    <row r="1169" spans="36:36" ht="24" customHeight="1">
      <c r="AJ1169" s="139" t="str">
        <f t="shared" si="22"/>
        <v/>
      </c>
    </row>
    <row r="1170" spans="36:36" ht="24" customHeight="1">
      <c r="AJ1170" s="139" t="str">
        <f t="shared" si="22"/>
        <v/>
      </c>
    </row>
    <row r="1171" spans="36:36" ht="24" customHeight="1">
      <c r="AJ1171" s="139" t="str">
        <f t="shared" si="22"/>
        <v/>
      </c>
    </row>
    <row r="1172" spans="36:36" ht="24" customHeight="1">
      <c r="AJ1172" s="139" t="str">
        <f t="shared" si="22"/>
        <v/>
      </c>
    </row>
    <row r="1173" spans="36:36" ht="24" customHeight="1">
      <c r="AJ1173" s="139" t="str">
        <f t="shared" si="22"/>
        <v/>
      </c>
    </row>
    <row r="1174" spans="36:36" ht="24" customHeight="1">
      <c r="AJ1174" s="139" t="str">
        <f t="shared" si="22"/>
        <v/>
      </c>
    </row>
    <row r="1175" spans="36:36" ht="24" customHeight="1">
      <c r="AJ1175" s="139" t="str">
        <f t="shared" si="22"/>
        <v/>
      </c>
    </row>
    <row r="1176" spans="36:36" ht="24" customHeight="1">
      <c r="AJ1176" s="139" t="str">
        <f t="shared" si="22"/>
        <v/>
      </c>
    </row>
    <row r="1177" spans="36:36" ht="24" customHeight="1">
      <c r="AJ1177" s="139" t="str">
        <f t="shared" si="22"/>
        <v/>
      </c>
    </row>
    <row r="1178" spans="36:36" ht="24" customHeight="1">
      <c r="AJ1178" s="139" t="str">
        <f t="shared" si="22"/>
        <v/>
      </c>
    </row>
    <row r="1179" spans="36:36" ht="24" customHeight="1">
      <c r="AJ1179" s="139" t="str">
        <f t="shared" si="22"/>
        <v/>
      </c>
    </row>
    <row r="1180" spans="36:36" ht="24" customHeight="1">
      <c r="AJ1180" s="139" t="str">
        <f t="shared" si="22"/>
        <v/>
      </c>
    </row>
    <row r="1181" spans="36:36" ht="24" customHeight="1">
      <c r="AJ1181" s="139" t="str">
        <f t="shared" si="22"/>
        <v/>
      </c>
    </row>
    <row r="1182" spans="36:36" ht="24" customHeight="1">
      <c r="AJ1182" s="139" t="str">
        <f t="shared" si="22"/>
        <v/>
      </c>
    </row>
    <row r="1183" spans="36:36" ht="24" customHeight="1">
      <c r="AJ1183" s="139" t="str">
        <f t="shared" si="22"/>
        <v/>
      </c>
    </row>
    <row r="1184" spans="36:36" ht="24" customHeight="1">
      <c r="AJ1184" s="139" t="str">
        <f t="shared" si="22"/>
        <v/>
      </c>
    </row>
    <row r="1185" spans="36:36" ht="24" customHeight="1">
      <c r="AJ1185" s="139" t="str">
        <f t="shared" si="22"/>
        <v/>
      </c>
    </row>
    <row r="1186" spans="36:36" ht="24" customHeight="1">
      <c r="AJ1186" s="139" t="str">
        <f t="shared" si="22"/>
        <v/>
      </c>
    </row>
    <row r="1187" spans="36:36" ht="24" customHeight="1">
      <c r="AJ1187" s="139" t="str">
        <f t="shared" si="22"/>
        <v/>
      </c>
    </row>
    <row r="1188" spans="36:36" ht="24" customHeight="1">
      <c r="AJ1188" s="139" t="str">
        <f t="shared" si="22"/>
        <v/>
      </c>
    </row>
    <row r="1189" spans="36:36" ht="24" customHeight="1">
      <c r="AJ1189" s="139" t="str">
        <f t="shared" si="22"/>
        <v/>
      </c>
    </row>
    <row r="1190" spans="36:36" ht="24" customHeight="1">
      <c r="AJ1190" s="139" t="str">
        <f t="shared" si="22"/>
        <v/>
      </c>
    </row>
    <row r="1191" spans="36:36" ht="24" customHeight="1">
      <c r="AJ1191" s="139" t="str">
        <f t="shared" si="22"/>
        <v/>
      </c>
    </row>
    <row r="1192" spans="36:36" ht="24" customHeight="1">
      <c r="AJ1192" s="139" t="str">
        <f t="shared" si="22"/>
        <v/>
      </c>
    </row>
    <row r="1193" spans="36:36" ht="24" customHeight="1">
      <c r="AJ1193" s="139" t="str">
        <f t="shared" si="22"/>
        <v/>
      </c>
    </row>
    <row r="1194" spans="36:36" ht="24" customHeight="1">
      <c r="AJ1194" s="139" t="str">
        <f t="shared" si="22"/>
        <v/>
      </c>
    </row>
    <row r="1195" spans="36:36" ht="24" customHeight="1">
      <c r="AJ1195" s="139" t="str">
        <f t="shared" si="22"/>
        <v/>
      </c>
    </row>
    <row r="1196" spans="36:36" ht="24" customHeight="1">
      <c r="AJ1196" s="139" t="str">
        <f t="shared" si="22"/>
        <v/>
      </c>
    </row>
    <row r="1197" spans="36:36" ht="24" customHeight="1">
      <c r="AJ1197" s="139" t="str">
        <f t="shared" si="22"/>
        <v/>
      </c>
    </row>
    <row r="1198" spans="36:36" ht="24" customHeight="1">
      <c r="AJ1198" s="139" t="str">
        <f t="shared" si="22"/>
        <v/>
      </c>
    </row>
    <row r="1199" spans="36:36" ht="24" customHeight="1">
      <c r="AJ1199" s="139" t="str">
        <f t="shared" si="22"/>
        <v/>
      </c>
    </row>
    <row r="1200" spans="36:36" ht="24" customHeight="1">
      <c r="AJ1200" s="139" t="str">
        <f t="shared" si="22"/>
        <v/>
      </c>
    </row>
    <row r="1201" spans="36:36" ht="24" customHeight="1">
      <c r="AJ1201" s="139" t="str">
        <f t="shared" si="22"/>
        <v/>
      </c>
    </row>
    <row r="1202" spans="36:36" ht="24" customHeight="1">
      <c r="AJ1202" s="139" t="str">
        <f t="shared" si="22"/>
        <v/>
      </c>
    </row>
    <row r="1203" spans="36:36" ht="24" customHeight="1">
      <c r="AJ1203" s="139" t="str">
        <f t="shared" si="22"/>
        <v/>
      </c>
    </row>
    <row r="1204" spans="36:36" ht="24" customHeight="1">
      <c r="AJ1204" s="139" t="str">
        <f t="shared" si="22"/>
        <v/>
      </c>
    </row>
    <row r="1205" spans="36:36" ht="24" customHeight="1">
      <c r="AJ1205" s="139" t="str">
        <f t="shared" si="22"/>
        <v/>
      </c>
    </row>
    <row r="1206" spans="36:36" ht="24" customHeight="1">
      <c r="AJ1206" s="139" t="str">
        <f t="shared" si="22"/>
        <v/>
      </c>
    </row>
    <row r="1207" spans="36:36" ht="24" customHeight="1">
      <c r="AJ1207" s="139" t="str">
        <f t="shared" si="22"/>
        <v/>
      </c>
    </row>
    <row r="1208" spans="36:36" ht="24" customHeight="1">
      <c r="AJ1208" s="139" t="str">
        <f t="shared" si="22"/>
        <v/>
      </c>
    </row>
    <row r="1209" spans="36:36" ht="24" customHeight="1">
      <c r="AJ1209" s="139" t="str">
        <f t="shared" si="22"/>
        <v/>
      </c>
    </row>
    <row r="1210" spans="36:36" ht="24" customHeight="1">
      <c r="AJ1210" s="139" t="str">
        <f t="shared" si="22"/>
        <v/>
      </c>
    </row>
    <row r="1211" spans="36:36" ht="24" customHeight="1">
      <c r="AJ1211" s="139" t="str">
        <f t="shared" si="22"/>
        <v/>
      </c>
    </row>
    <row r="1212" spans="36:36" ht="24" customHeight="1">
      <c r="AJ1212" s="139" t="str">
        <f t="shared" si="22"/>
        <v/>
      </c>
    </row>
    <row r="1213" spans="36:36" ht="24" customHeight="1">
      <c r="AJ1213" s="139" t="str">
        <f t="shared" si="22"/>
        <v/>
      </c>
    </row>
    <row r="1214" spans="36:36" ht="24" customHeight="1">
      <c r="AJ1214" s="139" t="str">
        <f t="shared" si="22"/>
        <v/>
      </c>
    </row>
    <row r="1215" spans="36:36" ht="24" customHeight="1">
      <c r="AJ1215" s="139" t="str">
        <f t="shared" si="22"/>
        <v/>
      </c>
    </row>
    <row r="1216" spans="36:36" ht="24" customHeight="1">
      <c r="AJ1216" s="139" t="str">
        <f t="shared" si="22"/>
        <v/>
      </c>
    </row>
    <row r="1217" spans="36:36" ht="24" customHeight="1">
      <c r="AJ1217" s="139" t="str">
        <f t="shared" si="22"/>
        <v/>
      </c>
    </row>
    <row r="1218" spans="36:36" ht="24" customHeight="1">
      <c r="AJ1218" s="139" t="str">
        <f t="shared" si="22"/>
        <v/>
      </c>
    </row>
    <row r="1219" spans="36:36" ht="24" customHeight="1">
      <c r="AJ1219" s="139" t="str">
        <f t="shared" si="22"/>
        <v/>
      </c>
    </row>
    <row r="1220" spans="36:36" ht="24" customHeight="1">
      <c r="AJ1220" s="139" t="str">
        <f t="shared" si="22"/>
        <v/>
      </c>
    </row>
    <row r="1221" spans="36:36" ht="24" customHeight="1">
      <c r="AJ1221" s="139" t="str">
        <f t="shared" si="22"/>
        <v/>
      </c>
    </row>
    <row r="1222" spans="36:36" ht="24" customHeight="1">
      <c r="AJ1222" s="139" t="str">
        <f t="shared" si="22"/>
        <v/>
      </c>
    </row>
    <row r="1223" spans="36:36" ht="24" customHeight="1">
      <c r="AJ1223" s="139" t="str">
        <f t="shared" si="22"/>
        <v/>
      </c>
    </row>
    <row r="1224" spans="36:36" ht="24" customHeight="1">
      <c r="AJ1224" s="139" t="str">
        <f t="shared" si="22"/>
        <v/>
      </c>
    </row>
    <row r="1225" spans="36:36" ht="24" customHeight="1">
      <c r="AJ1225" s="139" t="str">
        <f t="shared" ref="AJ1225:AJ1288" si="23">IF(C1225="","",C1225)</f>
        <v/>
      </c>
    </row>
    <row r="1226" spans="36:36" ht="24" customHeight="1">
      <c r="AJ1226" s="139" t="str">
        <f t="shared" si="23"/>
        <v/>
      </c>
    </row>
    <row r="1227" spans="36:36" ht="24" customHeight="1">
      <c r="AJ1227" s="139" t="str">
        <f t="shared" si="23"/>
        <v/>
      </c>
    </row>
    <row r="1228" spans="36:36" ht="24" customHeight="1">
      <c r="AJ1228" s="139" t="str">
        <f t="shared" si="23"/>
        <v/>
      </c>
    </row>
    <row r="1229" spans="36:36" ht="24" customHeight="1">
      <c r="AJ1229" s="139" t="str">
        <f t="shared" si="23"/>
        <v/>
      </c>
    </row>
    <row r="1230" spans="36:36" ht="24" customHeight="1">
      <c r="AJ1230" s="139" t="str">
        <f t="shared" si="23"/>
        <v/>
      </c>
    </row>
    <row r="1231" spans="36:36" ht="24" customHeight="1">
      <c r="AJ1231" s="139" t="str">
        <f t="shared" si="23"/>
        <v/>
      </c>
    </row>
    <row r="1232" spans="36:36" ht="24" customHeight="1">
      <c r="AJ1232" s="139" t="str">
        <f t="shared" si="23"/>
        <v/>
      </c>
    </row>
    <row r="1233" spans="36:36" ht="24" customHeight="1">
      <c r="AJ1233" s="139" t="str">
        <f t="shared" si="23"/>
        <v/>
      </c>
    </row>
    <row r="1234" spans="36:36" ht="24" customHeight="1">
      <c r="AJ1234" s="139" t="str">
        <f t="shared" si="23"/>
        <v/>
      </c>
    </row>
    <row r="1235" spans="36:36" ht="24" customHeight="1">
      <c r="AJ1235" s="139" t="str">
        <f t="shared" si="23"/>
        <v/>
      </c>
    </row>
    <row r="1236" spans="36:36" ht="24" customHeight="1">
      <c r="AJ1236" s="139" t="str">
        <f t="shared" si="23"/>
        <v/>
      </c>
    </row>
    <row r="1237" spans="36:36" ht="24" customHeight="1">
      <c r="AJ1237" s="139" t="str">
        <f t="shared" si="23"/>
        <v/>
      </c>
    </row>
    <row r="1238" spans="36:36" ht="24" customHeight="1">
      <c r="AJ1238" s="139" t="str">
        <f t="shared" si="23"/>
        <v/>
      </c>
    </row>
    <row r="1239" spans="36:36" ht="24" customHeight="1">
      <c r="AJ1239" s="139" t="str">
        <f t="shared" si="23"/>
        <v/>
      </c>
    </row>
    <row r="1240" spans="36:36" ht="24" customHeight="1">
      <c r="AJ1240" s="139" t="str">
        <f t="shared" si="23"/>
        <v/>
      </c>
    </row>
    <row r="1241" spans="36:36" ht="24" customHeight="1">
      <c r="AJ1241" s="139" t="str">
        <f t="shared" si="23"/>
        <v/>
      </c>
    </row>
    <row r="1242" spans="36:36" ht="24" customHeight="1">
      <c r="AJ1242" s="139" t="str">
        <f t="shared" si="23"/>
        <v/>
      </c>
    </row>
    <row r="1243" spans="36:36" ht="24" customHeight="1">
      <c r="AJ1243" s="139" t="str">
        <f t="shared" si="23"/>
        <v/>
      </c>
    </row>
    <row r="1244" spans="36:36" ht="24" customHeight="1">
      <c r="AJ1244" s="139" t="str">
        <f t="shared" si="23"/>
        <v/>
      </c>
    </row>
    <row r="1245" spans="36:36" ht="24" customHeight="1">
      <c r="AJ1245" s="139" t="str">
        <f t="shared" si="23"/>
        <v/>
      </c>
    </row>
    <row r="1246" spans="36:36" ht="24" customHeight="1">
      <c r="AJ1246" s="139" t="str">
        <f t="shared" si="23"/>
        <v/>
      </c>
    </row>
    <row r="1247" spans="36:36" ht="24" customHeight="1">
      <c r="AJ1247" s="139" t="str">
        <f t="shared" si="23"/>
        <v/>
      </c>
    </row>
    <row r="1248" spans="36:36" ht="24" customHeight="1">
      <c r="AJ1248" s="139" t="str">
        <f t="shared" si="23"/>
        <v/>
      </c>
    </row>
    <row r="1249" spans="36:36" ht="24" customHeight="1">
      <c r="AJ1249" s="139" t="str">
        <f t="shared" si="23"/>
        <v/>
      </c>
    </row>
    <row r="1250" spans="36:36" ht="24" customHeight="1">
      <c r="AJ1250" s="139" t="str">
        <f t="shared" si="23"/>
        <v/>
      </c>
    </row>
    <row r="1251" spans="36:36" ht="24" customHeight="1">
      <c r="AJ1251" s="139" t="str">
        <f t="shared" si="23"/>
        <v/>
      </c>
    </row>
    <row r="1252" spans="36:36" ht="24" customHeight="1">
      <c r="AJ1252" s="139" t="str">
        <f t="shared" si="23"/>
        <v/>
      </c>
    </row>
    <row r="1253" spans="36:36" ht="24" customHeight="1">
      <c r="AJ1253" s="139" t="str">
        <f t="shared" si="23"/>
        <v/>
      </c>
    </row>
    <row r="1254" spans="36:36" ht="24" customHeight="1">
      <c r="AJ1254" s="139" t="str">
        <f t="shared" si="23"/>
        <v/>
      </c>
    </row>
    <row r="1255" spans="36:36" ht="24" customHeight="1">
      <c r="AJ1255" s="139" t="str">
        <f t="shared" si="23"/>
        <v/>
      </c>
    </row>
    <row r="1256" spans="36:36" ht="24" customHeight="1">
      <c r="AJ1256" s="139" t="str">
        <f t="shared" si="23"/>
        <v/>
      </c>
    </row>
    <row r="1257" spans="36:36" ht="24" customHeight="1">
      <c r="AJ1257" s="139" t="str">
        <f t="shared" si="23"/>
        <v/>
      </c>
    </row>
    <row r="1258" spans="36:36" ht="24" customHeight="1">
      <c r="AJ1258" s="139" t="str">
        <f t="shared" si="23"/>
        <v/>
      </c>
    </row>
    <row r="1259" spans="36:36" ht="24" customHeight="1">
      <c r="AJ1259" s="139" t="str">
        <f t="shared" si="23"/>
        <v/>
      </c>
    </row>
    <row r="1260" spans="36:36" ht="24" customHeight="1">
      <c r="AJ1260" s="139" t="str">
        <f t="shared" si="23"/>
        <v/>
      </c>
    </row>
    <row r="1261" spans="36:36" ht="24" customHeight="1">
      <c r="AJ1261" s="139" t="str">
        <f t="shared" si="23"/>
        <v/>
      </c>
    </row>
    <row r="1262" spans="36:36" ht="24" customHeight="1">
      <c r="AJ1262" s="139" t="str">
        <f t="shared" si="23"/>
        <v/>
      </c>
    </row>
    <row r="1263" spans="36:36" ht="24" customHeight="1">
      <c r="AJ1263" s="139" t="str">
        <f t="shared" si="23"/>
        <v/>
      </c>
    </row>
    <row r="1264" spans="36:36" ht="24" customHeight="1">
      <c r="AJ1264" s="139" t="str">
        <f t="shared" si="23"/>
        <v/>
      </c>
    </row>
    <row r="1265" spans="36:36" ht="24" customHeight="1">
      <c r="AJ1265" s="139" t="str">
        <f t="shared" si="23"/>
        <v/>
      </c>
    </row>
    <row r="1266" spans="36:36" ht="24" customHeight="1">
      <c r="AJ1266" s="139" t="str">
        <f t="shared" si="23"/>
        <v/>
      </c>
    </row>
    <row r="1267" spans="36:36" ht="24" customHeight="1">
      <c r="AJ1267" s="139" t="str">
        <f t="shared" si="23"/>
        <v/>
      </c>
    </row>
    <row r="1268" spans="36:36" ht="24" customHeight="1">
      <c r="AJ1268" s="139" t="str">
        <f t="shared" si="23"/>
        <v/>
      </c>
    </row>
    <row r="1269" spans="36:36" ht="24" customHeight="1">
      <c r="AJ1269" s="139" t="str">
        <f t="shared" si="23"/>
        <v/>
      </c>
    </row>
    <row r="1270" spans="36:36" ht="24" customHeight="1">
      <c r="AJ1270" s="139" t="str">
        <f t="shared" si="23"/>
        <v/>
      </c>
    </row>
    <row r="1271" spans="36:36" ht="24" customHeight="1">
      <c r="AJ1271" s="139" t="str">
        <f t="shared" si="23"/>
        <v/>
      </c>
    </row>
    <row r="1272" spans="36:36" ht="24" customHeight="1">
      <c r="AJ1272" s="139" t="str">
        <f t="shared" si="23"/>
        <v/>
      </c>
    </row>
    <row r="1273" spans="36:36" ht="24" customHeight="1">
      <c r="AJ1273" s="139" t="str">
        <f t="shared" si="23"/>
        <v/>
      </c>
    </row>
    <row r="1274" spans="36:36" ht="24" customHeight="1">
      <c r="AJ1274" s="139" t="str">
        <f t="shared" si="23"/>
        <v/>
      </c>
    </row>
    <row r="1275" spans="36:36" ht="24" customHeight="1">
      <c r="AJ1275" s="139" t="str">
        <f t="shared" si="23"/>
        <v/>
      </c>
    </row>
    <row r="1276" spans="36:36" ht="24" customHeight="1">
      <c r="AJ1276" s="139" t="str">
        <f t="shared" si="23"/>
        <v/>
      </c>
    </row>
    <row r="1277" spans="36:36" ht="24" customHeight="1">
      <c r="AJ1277" s="139" t="str">
        <f t="shared" si="23"/>
        <v/>
      </c>
    </row>
    <row r="1278" spans="36:36" ht="24" customHeight="1">
      <c r="AJ1278" s="139" t="str">
        <f t="shared" si="23"/>
        <v/>
      </c>
    </row>
    <row r="1279" spans="36:36" ht="24" customHeight="1">
      <c r="AJ1279" s="139" t="str">
        <f t="shared" si="23"/>
        <v/>
      </c>
    </row>
    <row r="1280" spans="36:36" ht="24" customHeight="1">
      <c r="AJ1280" s="139" t="str">
        <f t="shared" si="23"/>
        <v/>
      </c>
    </row>
    <row r="1281" spans="36:36" ht="24" customHeight="1">
      <c r="AJ1281" s="139" t="str">
        <f t="shared" si="23"/>
        <v/>
      </c>
    </row>
    <row r="1282" spans="36:36" ht="24" customHeight="1">
      <c r="AJ1282" s="139" t="str">
        <f t="shared" si="23"/>
        <v/>
      </c>
    </row>
    <row r="1283" spans="36:36" ht="24" customHeight="1">
      <c r="AJ1283" s="139" t="str">
        <f t="shared" si="23"/>
        <v/>
      </c>
    </row>
    <row r="1284" spans="36:36" ht="24" customHeight="1">
      <c r="AJ1284" s="139" t="str">
        <f t="shared" si="23"/>
        <v/>
      </c>
    </row>
    <row r="1285" spans="36:36" ht="24" customHeight="1">
      <c r="AJ1285" s="139" t="str">
        <f t="shared" si="23"/>
        <v/>
      </c>
    </row>
    <row r="1286" spans="36:36" ht="24" customHeight="1">
      <c r="AJ1286" s="139" t="str">
        <f t="shared" si="23"/>
        <v/>
      </c>
    </row>
    <row r="1287" spans="36:36" ht="24" customHeight="1">
      <c r="AJ1287" s="139" t="str">
        <f t="shared" si="23"/>
        <v/>
      </c>
    </row>
    <row r="1288" spans="36:36" ht="24" customHeight="1">
      <c r="AJ1288" s="139" t="str">
        <f t="shared" si="23"/>
        <v/>
      </c>
    </row>
    <row r="1289" spans="36:36" ht="24" customHeight="1">
      <c r="AJ1289" s="139" t="str">
        <f t="shared" ref="AJ1289:AJ1352" si="24">IF(C1289="","",C1289)</f>
        <v/>
      </c>
    </row>
    <row r="1290" spans="36:36" ht="24" customHeight="1">
      <c r="AJ1290" s="139" t="str">
        <f t="shared" si="24"/>
        <v/>
      </c>
    </row>
    <row r="1291" spans="36:36" ht="24" customHeight="1">
      <c r="AJ1291" s="139" t="str">
        <f t="shared" si="24"/>
        <v/>
      </c>
    </row>
    <row r="1292" spans="36:36" ht="24" customHeight="1">
      <c r="AJ1292" s="139" t="str">
        <f t="shared" si="24"/>
        <v/>
      </c>
    </row>
    <row r="1293" spans="36:36" ht="24" customHeight="1">
      <c r="AJ1293" s="139" t="str">
        <f t="shared" si="24"/>
        <v/>
      </c>
    </row>
    <row r="1294" spans="36:36" ht="24" customHeight="1">
      <c r="AJ1294" s="139" t="str">
        <f t="shared" si="24"/>
        <v/>
      </c>
    </row>
    <row r="1295" spans="36:36" ht="24" customHeight="1">
      <c r="AJ1295" s="139" t="str">
        <f t="shared" si="24"/>
        <v/>
      </c>
    </row>
    <row r="1296" spans="36:36" ht="24" customHeight="1">
      <c r="AJ1296" s="139" t="str">
        <f t="shared" si="24"/>
        <v/>
      </c>
    </row>
    <row r="1297" spans="36:36" ht="24" customHeight="1">
      <c r="AJ1297" s="139" t="str">
        <f t="shared" si="24"/>
        <v/>
      </c>
    </row>
    <row r="1298" spans="36:36" ht="24" customHeight="1">
      <c r="AJ1298" s="139" t="str">
        <f t="shared" si="24"/>
        <v/>
      </c>
    </row>
    <row r="1299" spans="36:36" ht="24" customHeight="1">
      <c r="AJ1299" s="139" t="str">
        <f t="shared" si="24"/>
        <v/>
      </c>
    </row>
    <row r="1300" spans="36:36" ht="24" customHeight="1">
      <c r="AJ1300" s="139" t="str">
        <f t="shared" si="24"/>
        <v/>
      </c>
    </row>
    <row r="1301" spans="36:36" ht="24" customHeight="1">
      <c r="AJ1301" s="139" t="str">
        <f t="shared" si="24"/>
        <v/>
      </c>
    </row>
    <row r="1302" spans="36:36" ht="24" customHeight="1">
      <c r="AJ1302" s="139" t="str">
        <f t="shared" si="24"/>
        <v/>
      </c>
    </row>
    <row r="1303" spans="36:36" ht="24" customHeight="1">
      <c r="AJ1303" s="139" t="str">
        <f t="shared" si="24"/>
        <v/>
      </c>
    </row>
    <row r="1304" spans="36:36" ht="24" customHeight="1">
      <c r="AJ1304" s="139" t="str">
        <f t="shared" si="24"/>
        <v/>
      </c>
    </row>
    <row r="1305" spans="36:36" ht="24" customHeight="1">
      <c r="AJ1305" s="139" t="str">
        <f t="shared" si="24"/>
        <v/>
      </c>
    </row>
    <row r="1306" spans="36:36" ht="24" customHeight="1">
      <c r="AJ1306" s="139" t="str">
        <f t="shared" si="24"/>
        <v/>
      </c>
    </row>
    <row r="1307" spans="36:36" ht="24" customHeight="1">
      <c r="AJ1307" s="139" t="str">
        <f t="shared" si="24"/>
        <v/>
      </c>
    </row>
    <row r="1308" spans="36:36" ht="24" customHeight="1">
      <c r="AJ1308" s="139" t="str">
        <f t="shared" si="24"/>
        <v/>
      </c>
    </row>
    <row r="1309" spans="36:36" ht="24" customHeight="1">
      <c r="AJ1309" s="139" t="str">
        <f t="shared" si="24"/>
        <v/>
      </c>
    </row>
    <row r="1310" spans="36:36" ht="24" customHeight="1">
      <c r="AJ1310" s="139" t="str">
        <f t="shared" si="24"/>
        <v/>
      </c>
    </row>
    <row r="1311" spans="36:36" ht="24" customHeight="1">
      <c r="AJ1311" s="139" t="str">
        <f t="shared" si="24"/>
        <v/>
      </c>
    </row>
    <row r="1312" spans="36:36" ht="24" customHeight="1">
      <c r="AJ1312" s="139" t="str">
        <f t="shared" si="24"/>
        <v/>
      </c>
    </row>
    <row r="1313" spans="36:36" ht="24" customHeight="1">
      <c r="AJ1313" s="139" t="str">
        <f t="shared" si="24"/>
        <v/>
      </c>
    </row>
    <row r="1314" spans="36:36" ht="24" customHeight="1">
      <c r="AJ1314" s="139" t="str">
        <f t="shared" si="24"/>
        <v/>
      </c>
    </row>
    <row r="1315" spans="36:36" ht="24" customHeight="1">
      <c r="AJ1315" s="139" t="str">
        <f t="shared" si="24"/>
        <v/>
      </c>
    </row>
    <row r="1316" spans="36:36" ht="24" customHeight="1">
      <c r="AJ1316" s="139" t="str">
        <f t="shared" si="24"/>
        <v/>
      </c>
    </row>
    <row r="1317" spans="36:36" ht="24" customHeight="1">
      <c r="AJ1317" s="139" t="str">
        <f t="shared" si="24"/>
        <v/>
      </c>
    </row>
    <row r="1318" spans="36:36" ht="24" customHeight="1">
      <c r="AJ1318" s="139" t="str">
        <f t="shared" si="24"/>
        <v/>
      </c>
    </row>
    <row r="1319" spans="36:36" ht="24" customHeight="1">
      <c r="AJ1319" s="139" t="str">
        <f t="shared" si="24"/>
        <v/>
      </c>
    </row>
    <row r="1320" spans="36:36" ht="24" customHeight="1">
      <c r="AJ1320" s="139" t="str">
        <f t="shared" si="24"/>
        <v/>
      </c>
    </row>
    <row r="1321" spans="36:36" ht="24" customHeight="1">
      <c r="AJ1321" s="139" t="str">
        <f t="shared" si="24"/>
        <v/>
      </c>
    </row>
    <row r="1322" spans="36:36" ht="24" customHeight="1">
      <c r="AJ1322" s="139" t="str">
        <f t="shared" si="24"/>
        <v/>
      </c>
    </row>
    <row r="1323" spans="36:36" ht="24" customHeight="1">
      <c r="AJ1323" s="139" t="str">
        <f t="shared" si="24"/>
        <v/>
      </c>
    </row>
    <row r="1324" spans="36:36" ht="24" customHeight="1">
      <c r="AJ1324" s="139" t="str">
        <f t="shared" si="24"/>
        <v/>
      </c>
    </row>
    <row r="1325" spans="36:36" ht="24" customHeight="1">
      <c r="AJ1325" s="139" t="str">
        <f t="shared" si="24"/>
        <v/>
      </c>
    </row>
    <row r="1326" spans="36:36" ht="24" customHeight="1">
      <c r="AJ1326" s="139" t="str">
        <f t="shared" si="24"/>
        <v/>
      </c>
    </row>
    <row r="1327" spans="36:36" ht="24" customHeight="1">
      <c r="AJ1327" s="139" t="str">
        <f t="shared" si="24"/>
        <v/>
      </c>
    </row>
    <row r="1328" spans="36:36" ht="24" customHeight="1">
      <c r="AJ1328" s="139" t="str">
        <f t="shared" si="24"/>
        <v/>
      </c>
    </row>
    <row r="1329" spans="36:36" ht="24" customHeight="1">
      <c r="AJ1329" s="139" t="str">
        <f t="shared" si="24"/>
        <v/>
      </c>
    </row>
    <row r="1330" spans="36:36" ht="24" customHeight="1">
      <c r="AJ1330" s="139" t="str">
        <f t="shared" si="24"/>
        <v/>
      </c>
    </row>
    <row r="1331" spans="36:36" ht="24" customHeight="1">
      <c r="AJ1331" s="139" t="str">
        <f t="shared" si="24"/>
        <v/>
      </c>
    </row>
    <row r="1332" spans="36:36" ht="24" customHeight="1">
      <c r="AJ1332" s="139" t="str">
        <f t="shared" si="24"/>
        <v/>
      </c>
    </row>
    <row r="1333" spans="36:36" ht="24" customHeight="1">
      <c r="AJ1333" s="139" t="str">
        <f t="shared" si="24"/>
        <v/>
      </c>
    </row>
    <row r="1334" spans="36:36" ht="24" customHeight="1">
      <c r="AJ1334" s="139" t="str">
        <f t="shared" si="24"/>
        <v/>
      </c>
    </row>
    <row r="1335" spans="36:36" ht="24" customHeight="1">
      <c r="AJ1335" s="139" t="str">
        <f t="shared" si="24"/>
        <v/>
      </c>
    </row>
    <row r="1336" spans="36:36" ht="24" customHeight="1">
      <c r="AJ1336" s="139" t="str">
        <f t="shared" si="24"/>
        <v/>
      </c>
    </row>
    <row r="1337" spans="36:36" ht="24" customHeight="1">
      <c r="AJ1337" s="139" t="str">
        <f t="shared" si="24"/>
        <v/>
      </c>
    </row>
    <row r="1338" spans="36:36" ht="24" customHeight="1">
      <c r="AJ1338" s="139" t="str">
        <f t="shared" si="24"/>
        <v/>
      </c>
    </row>
    <row r="1339" spans="36:36" ht="24" customHeight="1">
      <c r="AJ1339" s="139" t="str">
        <f t="shared" si="24"/>
        <v/>
      </c>
    </row>
    <row r="1340" spans="36:36" ht="24" customHeight="1">
      <c r="AJ1340" s="139" t="str">
        <f t="shared" si="24"/>
        <v/>
      </c>
    </row>
    <row r="1341" spans="36:36" ht="24" customHeight="1">
      <c r="AJ1341" s="139" t="str">
        <f t="shared" si="24"/>
        <v/>
      </c>
    </row>
    <row r="1342" spans="36:36" ht="24" customHeight="1">
      <c r="AJ1342" s="139" t="str">
        <f t="shared" si="24"/>
        <v/>
      </c>
    </row>
    <row r="1343" spans="36:36" ht="24" customHeight="1">
      <c r="AJ1343" s="139" t="str">
        <f t="shared" si="24"/>
        <v/>
      </c>
    </row>
    <row r="1344" spans="36:36" ht="24" customHeight="1">
      <c r="AJ1344" s="139" t="str">
        <f t="shared" si="24"/>
        <v/>
      </c>
    </row>
    <row r="1345" spans="36:36" ht="24" customHeight="1">
      <c r="AJ1345" s="139" t="str">
        <f t="shared" si="24"/>
        <v/>
      </c>
    </row>
    <row r="1346" spans="36:36" ht="24" customHeight="1">
      <c r="AJ1346" s="139" t="str">
        <f t="shared" si="24"/>
        <v/>
      </c>
    </row>
    <row r="1347" spans="36:36" ht="24" customHeight="1">
      <c r="AJ1347" s="139" t="str">
        <f t="shared" si="24"/>
        <v/>
      </c>
    </row>
    <row r="1348" spans="36:36" ht="24" customHeight="1">
      <c r="AJ1348" s="139" t="str">
        <f t="shared" si="24"/>
        <v/>
      </c>
    </row>
    <row r="1349" spans="36:36" ht="24" customHeight="1">
      <c r="AJ1349" s="139" t="str">
        <f t="shared" si="24"/>
        <v/>
      </c>
    </row>
    <row r="1350" spans="36:36" ht="24" customHeight="1">
      <c r="AJ1350" s="139" t="str">
        <f t="shared" si="24"/>
        <v/>
      </c>
    </row>
    <row r="1351" spans="36:36" ht="24" customHeight="1">
      <c r="AJ1351" s="139" t="str">
        <f t="shared" si="24"/>
        <v/>
      </c>
    </row>
    <row r="1352" spans="36:36" ht="24" customHeight="1">
      <c r="AJ1352" s="139" t="str">
        <f t="shared" si="24"/>
        <v/>
      </c>
    </row>
    <row r="1353" spans="36:36" ht="24" customHeight="1">
      <c r="AJ1353" s="139" t="str">
        <f t="shared" ref="AJ1353:AJ1416" si="25">IF(C1353="","",C1353)</f>
        <v/>
      </c>
    </row>
    <row r="1354" spans="36:36" ht="24" customHeight="1">
      <c r="AJ1354" s="139" t="str">
        <f t="shared" si="25"/>
        <v/>
      </c>
    </row>
    <row r="1355" spans="36:36" ht="24" customHeight="1">
      <c r="AJ1355" s="139" t="str">
        <f t="shared" si="25"/>
        <v/>
      </c>
    </row>
    <row r="1356" spans="36:36" ht="24" customHeight="1">
      <c r="AJ1356" s="139" t="str">
        <f t="shared" si="25"/>
        <v/>
      </c>
    </row>
    <row r="1357" spans="36:36" ht="24" customHeight="1">
      <c r="AJ1357" s="139" t="str">
        <f t="shared" si="25"/>
        <v/>
      </c>
    </row>
    <row r="1358" spans="36:36" ht="24" customHeight="1">
      <c r="AJ1358" s="139" t="str">
        <f t="shared" si="25"/>
        <v/>
      </c>
    </row>
    <row r="1359" spans="36:36" ht="24" customHeight="1">
      <c r="AJ1359" s="139" t="str">
        <f t="shared" si="25"/>
        <v/>
      </c>
    </row>
    <row r="1360" spans="36:36" ht="24" customHeight="1">
      <c r="AJ1360" s="139" t="str">
        <f t="shared" si="25"/>
        <v/>
      </c>
    </row>
    <row r="1361" spans="36:36" ht="24" customHeight="1">
      <c r="AJ1361" s="139" t="str">
        <f t="shared" si="25"/>
        <v/>
      </c>
    </row>
    <row r="1362" spans="36:36" ht="24" customHeight="1">
      <c r="AJ1362" s="139" t="str">
        <f t="shared" si="25"/>
        <v/>
      </c>
    </row>
    <row r="1363" spans="36:36" ht="24" customHeight="1">
      <c r="AJ1363" s="139" t="str">
        <f t="shared" si="25"/>
        <v/>
      </c>
    </row>
    <row r="1364" spans="36:36" ht="24" customHeight="1">
      <c r="AJ1364" s="139" t="str">
        <f t="shared" si="25"/>
        <v/>
      </c>
    </row>
    <row r="1365" spans="36:36" ht="24" customHeight="1">
      <c r="AJ1365" s="139" t="str">
        <f t="shared" si="25"/>
        <v/>
      </c>
    </row>
    <row r="1366" spans="36:36" ht="24" customHeight="1">
      <c r="AJ1366" s="139" t="str">
        <f t="shared" si="25"/>
        <v/>
      </c>
    </row>
    <row r="1367" spans="36:36" ht="24" customHeight="1">
      <c r="AJ1367" s="139" t="str">
        <f t="shared" si="25"/>
        <v/>
      </c>
    </row>
    <row r="1368" spans="36:36" ht="24" customHeight="1">
      <c r="AJ1368" s="139" t="str">
        <f t="shared" si="25"/>
        <v/>
      </c>
    </row>
    <row r="1369" spans="36:36" ht="24" customHeight="1">
      <c r="AJ1369" s="139" t="str">
        <f t="shared" si="25"/>
        <v/>
      </c>
    </row>
    <row r="1370" spans="36:36" ht="24" customHeight="1">
      <c r="AJ1370" s="139" t="str">
        <f t="shared" si="25"/>
        <v/>
      </c>
    </row>
    <row r="1371" spans="36:36" ht="24" customHeight="1">
      <c r="AJ1371" s="139" t="str">
        <f t="shared" si="25"/>
        <v/>
      </c>
    </row>
    <row r="1372" spans="36:36" ht="24" customHeight="1">
      <c r="AJ1372" s="139" t="str">
        <f t="shared" si="25"/>
        <v/>
      </c>
    </row>
    <row r="1373" spans="36:36" ht="24" customHeight="1">
      <c r="AJ1373" s="139" t="str">
        <f t="shared" si="25"/>
        <v/>
      </c>
    </row>
    <row r="1374" spans="36:36" ht="24" customHeight="1">
      <c r="AJ1374" s="139" t="str">
        <f t="shared" si="25"/>
        <v/>
      </c>
    </row>
    <row r="1375" spans="36:36" ht="24" customHeight="1">
      <c r="AJ1375" s="139" t="str">
        <f t="shared" si="25"/>
        <v/>
      </c>
    </row>
    <row r="1376" spans="36:36" ht="24" customHeight="1">
      <c r="AJ1376" s="139" t="str">
        <f t="shared" si="25"/>
        <v/>
      </c>
    </row>
    <row r="1377" spans="36:36" ht="24" customHeight="1">
      <c r="AJ1377" s="139" t="str">
        <f t="shared" si="25"/>
        <v/>
      </c>
    </row>
    <row r="1378" spans="36:36" ht="24" customHeight="1">
      <c r="AJ1378" s="139" t="str">
        <f t="shared" si="25"/>
        <v/>
      </c>
    </row>
    <row r="1379" spans="36:36" ht="24" customHeight="1">
      <c r="AJ1379" s="139" t="str">
        <f t="shared" si="25"/>
        <v/>
      </c>
    </row>
    <row r="1380" spans="36:36" ht="24" customHeight="1">
      <c r="AJ1380" s="139" t="str">
        <f t="shared" si="25"/>
        <v/>
      </c>
    </row>
    <row r="1381" spans="36:36" ht="24" customHeight="1">
      <c r="AJ1381" s="139" t="str">
        <f t="shared" si="25"/>
        <v/>
      </c>
    </row>
    <row r="1382" spans="36:36" ht="24" customHeight="1">
      <c r="AJ1382" s="139" t="str">
        <f t="shared" si="25"/>
        <v/>
      </c>
    </row>
    <row r="1383" spans="36:36" ht="24" customHeight="1">
      <c r="AJ1383" s="139" t="str">
        <f t="shared" si="25"/>
        <v/>
      </c>
    </row>
    <row r="1384" spans="36:36" ht="24" customHeight="1">
      <c r="AJ1384" s="139" t="str">
        <f t="shared" si="25"/>
        <v/>
      </c>
    </row>
    <row r="1385" spans="36:36" ht="24" customHeight="1">
      <c r="AJ1385" s="139" t="str">
        <f t="shared" si="25"/>
        <v/>
      </c>
    </row>
    <row r="1386" spans="36:36" ht="24" customHeight="1">
      <c r="AJ1386" s="139" t="str">
        <f t="shared" si="25"/>
        <v/>
      </c>
    </row>
    <row r="1387" spans="36:36" ht="24" customHeight="1">
      <c r="AJ1387" s="139" t="str">
        <f t="shared" si="25"/>
        <v/>
      </c>
    </row>
    <row r="1388" spans="36:36" ht="24" customHeight="1">
      <c r="AJ1388" s="139" t="str">
        <f t="shared" si="25"/>
        <v/>
      </c>
    </row>
    <row r="1389" spans="36:36" ht="24" customHeight="1">
      <c r="AJ1389" s="139" t="str">
        <f t="shared" si="25"/>
        <v/>
      </c>
    </row>
    <row r="1390" spans="36:36" ht="24" customHeight="1">
      <c r="AJ1390" s="139" t="str">
        <f t="shared" si="25"/>
        <v/>
      </c>
    </row>
    <row r="1391" spans="36:36" ht="24" customHeight="1">
      <c r="AJ1391" s="139" t="str">
        <f t="shared" si="25"/>
        <v/>
      </c>
    </row>
    <row r="1392" spans="36:36" ht="24" customHeight="1">
      <c r="AJ1392" s="139" t="str">
        <f t="shared" si="25"/>
        <v/>
      </c>
    </row>
    <row r="1393" spans="36:36" ht="24" customHeight="1">
      <c r="AJ1393" s="139" t="str">
        <f t="shared" si="25"/>
        <v/>
      </c>
    </row>
    <row r="1394" spans="36:36" ht="24" customHeight="1">
      <c r="AJ1394" s="139" t="str">
        <f t="shared" si="25"/>
        <v/>
      </c>
    </row>
    <row r="1395" spans="36:36" ht="24" customHeight="1">
      <c r="AJ1395" s="139" t="str">
        <f t="shared" si="25"/>
        <v/>
      </c>
    </row>
    <row r="1396" spans="36:36" ht="24" customHeight="1">
      <c r="AJ1396" s="139" t="str">
        <f t="shared" si="25"/>
        <v/>
      </c>
    </row>
    <row r="1397" spans="36:36" ht="24" customHeight="1">
      <c r="AJ1397" s="139" t="str">
        <f t="shared" si="25"/>
        <v/>
      </c>
    </row>
    <row r="1398" spans="36:36" ht="24" customHeight="1">
      <c r="AJ1398" s="139" t="str">
        <f t="shared" si="25"/>
        <v/>
      </c>
    </row>
    <row r="1399" spans="36:36" ht="24" customHeight="1">
      <c r="AJ1399" s="139" t="str">
        <f t="shared" si="25"/>
        <v/>
      </c>
    </row>
    <row r="1400" spans="36:36" ht="24" customHeight="1">
      <c r="AJ1400" s="139" t="str">
        <f t="shared" si="25"/>
        <v/>
      </c>
    </row>
    <row r="1401" spans="36:36" ht="24" customHeight="1">
      <c r="AJ1401" s="139" t="str">
        <f t="shared" si="25"/>
        <v/>
      </c>
    </row>
    <row r="1402" spans="36:36" ht="24" customHeight="1">
      <c r="AJ1402" s="139" t="str">
        <f t="shared" si="25"/>
        <v/>
      </c>
    </row>
    <row r="1403" spans="36:36" ht="24" customHeight="1">
      <c r="AJ1403" s="139" t="str">
        <f t="shared" si="25"/>
        <v/>
      </c>
    </row>
    <row r="1404" spans="36:36" ht="24" customHeight="1">
      <c r="AJ1404" s="139" t="str">
        <f t="shared" si="25"/>
        <v/>
      </c>
    </row>
    <row r="1405" spans="36:36" ht="24" customHeight="1">
      <c r="AJ1405" s="139" t="str">
        <f t="shared" si="25"/>
        <v/>
      </c>
    </row>
    <row r="1406" spans="36:36" ht="24" customHeight="1">
      <c r="AJ1406" s="139" t="str">
        <f t="shared" si="25"/>
        <v/>
      </c>
    </row>
    <row r="1407" spans="36:36" ht="24" customHeight="1">
      <c r="AJ1407" s="139" t="str">
        <f t="shared" si="25"/>
        <v/>
      </c>
    </row>
    <row r="1408" spans="36:36" ht="24" customHeight="1">
      <c r="AJ1408" s="139" t="str">
        <f t="shared" si="25"/>
        <v/>
      </c>
    </row>
    <row r="1409" spans="36:36" ht="24" customHeight="1">
      <c r="AJ1409" s="139" t="str">
        <f t="shared" si="25"/>
        <v/>
      </c>
    </row>
    <row r="1410" spans="36:36" ht="24" customHeight="1">
      <c r="AJ1410" s="139" t="str">
        <f t="shared" si="25"/>
        <v/>
      </c>
    </row>
    <row r="1411" spans="36:36" ht="24" customHeight="1">
      <c r="AJ1411" s="139" t="str">
        <f t="shared" si="25"/>
        <v/>
      </c>
    </row>
    <row r="1412" spans="36:36" ht="24" customHeight="1">
      <c r="AJ1412" s="139" t="str">
        <f t="shared" si="25"/>
        <v/>
      </c>
    </row>
    <row r="1413" spans="36:36" ht="24" customHeight="1">
      <c r="AJ1413" s="139" t="str">
        <f t="shared" si="25"/>
        <v/>
      </c>
    </row>
    <row r="1414" spans="36:36" ht="24" customHeight="1">
      <c r="AJ1414" s="139" t="str">
        <f t="shared" si="25"/>
        <v/>
      </c>
    </row>
    <row r="1415" spans="36:36" ht="24" customHeight="1">
      <c r="AJ1415" s="139" t="str">
        <f t="shared" si="25"/>
        <v/>
      </c>
    </row>
    <row r="1416" spans="36:36" ht="24" customHeight="1">
      <c r="AJ1416" s="139" t="str">
        <f t="shared" si="25"/>
        <v/>
      </c>
    </row>
    <row r="1417" spans="36:36" ht="24" customHeight="1">
      <c r="AJ1417" s="139" t="str">
        <f t="shared" ref="AJ1417:AJ1480" si="26">IF(C1417="","",C1417)</f>
        <v/>
      </c>
    </row>
    <row r="1418" spans="36:36" ht="24" customHeight="1">
      <c r="AJ1418" s="139" t="str">
        <f t="shared" si="26"/>
        <v/>
      </c>
    </row>
    <row r="1419" spans="36:36" ht="24" customHeight="1">
      <c r="AJ1419" s="139" t="str">
        <f t="shared" si="26"/>
        <v/>
      </c>
    </row>
    <row r="1420" spans="36:36" ht="24" customHeight="1">
      <c r="AJ1420" s="139" t="str">
        <f t="shared" si="26"/>
        <v/>
      </c>
    </row>
    <row r="1421" spans="36:36" ht="24" customHeight="1">
      <c r="AJ1421" s="139" t="str">
        <f t="shared" si="26"/>
        <v/>
      </c>
    </row>
    <row r="1422" spans="36:36" ht="24" customHeight="1">
      <c r="AJ1422" s="139" t="str">
        <f t="shared" si="26"/>
        <v/>
      </c>
    </row>
    <row r="1423" spans="36:36" ht="24" customHeight="1">
      <c r="AJ1423" s="139" t="str">
        <f t="shared" si="26"/>
        <v/>
      </c>
    </row>
    <row r="1424" spans="36:36" ht="24" customHeight="1">
      <c r="AJ1424" s="139" t="str">
        <f t="shared" si="26"/>
        <v/>
      </c>
    </row>
    <row r="1425" spans="36:36" ht="24" customHeight="1">
      <c r="AJ1425" s="139" t="str">
        <f t="shared" si="26"/>
        <v/>
      </c>
    </row>
    <row r="1426" spans="36:36" ht="24" customHeight="1">
      <c r="AJ1426" s="139" t="str">
        <f t="shared" si="26"/>
        <v/>
      </c>
    </row>
    <row r="1427" spans="36:36" ht="24" customHeight="1">
      <c r="AJ1427" s="139" t="str">
        <f t="shared" si="26"/>
        <v/>
      </c>
    </row>
    <row r="1428" spans="36:36" ht="24" customHeight="1">
      <c r="AJ1428" s="139" t="str">
        <f t="shared" si="26"/>
        <v/>
      </c>
    </row>
    <row r="1429" spans="36:36" ht="24" customHeight="1">
      <c r="AJ1429" s="139" t="str">
        <f t="shared" si="26"/>
        <v/>
      </c>
    </row>
    <row r="1430" spans="36:36" ht="24" customHeight="1">
      <c r="AJ1430" s="139" t="str">
        <f t="shared" si="26"/>
        <v/>
      </c>
    </row>
    <row r="1431" spans="36:36" ht="24" customHeight="1">
      <c r="AJ1431" s="139" t="str">
        <f t="shared" si="26"/>
        <v/>
      </c>
    </row>
    <row r="1432" spans="36:36" ht="24" customHeight="1">
      <c r="AJ1432" s="139" t="str">
        <f t="shared" si="26"/>
        <v/>
      </c>
    </row>
    <row r="1433" spans="36:36" ht="24" customHeight="1">
      <c r="AJ1433" s="139" t="str">
        <f t="shared" si="26"/>
        <v/>
      </c>
    </row>
    <row r="1434" spans="36:36" ht="24" customHeight="1">
      <c r="AJ1434" s="139" t="str">
        <f t="shared" si="26"/>
        <v/>
      </c>
    </row>
    <row r="1435" spans="36:36" ht="24" customHeight="1">
      <c r="AJ1435" s="139" t="str">
        <f t="shared" si="26"/>
        <v/>
      </c>
    </row>
    <row r="1436" spans="36:36" ht="24" customHeight="1">
      <c r="AJ1436" s="139" t="str">
        <f t="shared" si="26"/>
        <v/>
      </c>
    </row>
    <row r="1437" spans="36:36" ht="24" customHeight="1">
      <c r="AJ1437" s="139" t="str">
        <f t="shared" si="26"/>
        <v/>
      </c>
    </row>
    <row r="1438" spans="36:36" ht="24" customHeight="1">
      <c r="AJ1438" s="139" t="str">
        <f t="shared" si="26"/>
        <v/>
      </c>
    </row>
    <row r="1439" spans="36:36" ht="24" customHeight="1">
      <c r="AJ1439" s="139" t="str">
        <f t="shared" si="26"/>
        <v/>
      </c>
    </row>
    <row r="1440" spans="36:36" ht="24" customHeight="1">
      <c r="AJ1440" s="139" t="str">
        <f t="shared" si="26"/>
        <v/>
      </c>
    </row>
    <row r="1441" spans="36:36" ht="24" customHeight="1">
      <c r="AJ1441" s="139" t="str">
        <f t="shared" si="26"/>
        <v/>
      </c>
    </row>
    <row r="1442" spans="36:36" ht="24" customHeight="1">
      <c r="AJ1442" s="139" t="str">
        <f t="shared" si="26"/>
        <v/>
      </c>
    </row>
    <row r="1443" spans="36:36" ht="24" customHeight="1">
      <c r="AJ1443" s="139" t="str">
        <f t="shared" si="26"/>
        <v/>
      </c>
    </row>
    <row r="1444" spans="36:36" ht="24" customHeight="1">
      <c r="AJ1444" s="139" t="str">
        <f t="shared" si="26"/>
        <v/>
      </c>
    </row>
    <row r="1445" spans="36:36" ht="24" customHeight="1">
      <c r="AJ1445" s="139" t="str">
        <f t="shared" si="26"/>
        <v/>
      </c>
    </row>
    <row r="1446" spans="36:36" ht="24" customHeight="1">
      <c r="AJ1446" s="139" t="str">
        <f t="shared" si="26"/>
        <v/>
      </c>
    </row>
    <row r="1447" spans="36:36" ht="24" customHeight="1">
      <c r="AJ1447" s="139" t="str">
        <f t="shared" si="26"/>
        <v/>
      </c>
    </row>
    <row r="1448" spans="36:36" ht="24" customHeight="1">
      <c r="AJ1448" s="139" t="str">
        <f t="shared" si="26"/>
        <v/>
      </c>
    </row>
    <row r="1449" spans="36:36" ht="24" customHeight="1">
      <c r="AJ1449" s="139" t="str">
        <f t="shared" si="26"/>
        <v/>
      </c>
    </row>
    <row r="1450" spans="36:36" ht="24" customHeight="1">
      <c r="AJ1450" s="139" t="str">
        <f t="shared" si="26"/>
        <v/>
      </c>
    </row>
    <row r="1451" spans="36:36" ht="24" customHeight="1">
      <c r="AJ1451" s="139" t="str">
        <f t="shared" si="26"/>
        <v/>
      </c>
    </row>
    <row r="1452" spans="36:36" ht="24" customHeight="1">
      <c r="AJ1452" s="139" t="str">
        <f t="shared" si="26"/>
        <v/>
      </c>
    </row>
    <row r="1453" spans="36:36" ht="24" customHeight="1">
      <c r="AJ1453" s="139" t="str">
        <f t="shared" si="26"/>
        <v/>
      </c>
    </row>
    <row r="1454" spans="36:36" ht="24" customHeight="1">
      <c r="AJ1454" s="139" t="str">
        <f t="shared" si="26"/>
        <v/>
      </c>
    </row>
    <row r="1455" spans="36:36" ht="24" customHeight="1">
      <c r="AJ1455" s="139" t="str">
        <f t="shared" si="26"/>
        <v/>
      </c>
    </row>
    <row r="1456" spans="36:36" ht="24" customHeight="1">
      <c r="AJ1456" s="139" t="str">
        <f t="shared" si="26"/>
        <v/>
      </c>
    </row>
    <row r="1457" spans="36:36" ht="24" customHeight="1">
      <c r="AJ1457" s="139" t="str">
        <f t="shared" si="26"/>
        <v/>
      </c>
    </row>
    <row r="1458" spans="36:36" ht="24" customHeight="1">
      <c r="AJ1458" s="139" t="str">
        <f t="shared" si="26"/>
        <v/>
      </c>
    </row>
    <row r="1459" spans="36:36" ht="24" customHeight="1">
      <c r="AJ1459" s="139" t="str">
        <f t="shared" si="26"/>
        <v/>
      </c>
    </row>
    <row r="1460" spans="36:36" ht="24" customHeight="1">
      <c r="AJ1460" s="139" t="str">
        <f t="shared" si="26"/>
        <v/>
      </c>
    </row>
    <row r="1461" spans="36:36" ht="24" customHeight="1">
      <c r="AJ1461" s="139" t="str">
        <f t="shared" si="26"/>
        <v/>
      </c>
    </row>
    <row r="1462" spans="36:36" ht="24" customHeight="1">
      <c r="AJ1462" s="139" t="str">
        <f t="shared" si="26"/>
        <v/>
      </c>
    </row>
    <row r="1463" spans="36:36" ht="24" customHeight="1">
      <c r="AJ1463" s="139" t="str">
        <f t="shared" si="26"/>
        <v/>
      </c>
    </row>
    <row r="1464" spans="36:36" ht="24" customHeight="1">
      <c r="AJ1464" s="139" t="str">
        <f t="shared" si="26"/>
        <v/>
      </c>
    </row>
    <row r="1465" spans="36:36" ht="24" customHeight="1">
      <c r="AJ1465" s="139" t="str">
        <f t="shared" si="26"/>
        <v/>
      </c>
    </row>
    <row r="1466" spans="36:36" ht="24" customHeight="1">
      <c r="AJ1466" s="139" t="str">
        <f t="shared" si="26"/>
        <v/>
      </c>
    </row>
    <row r="1467" spans="36:36" ht="24" customHeight="1">
      <c r="AJ1467" s="139" t="str">
        <f t="shared" si="26"/>
        <v/>
      </c>
    </row>
    <row r="1468" spans="36:36" ht="24" customHeight="1">
      <c r="AJ1468" s="139" t="str">
        <f t="shared" si="26"/>
        <v/>
      </c>
    </row>
    <row r="1469" spans="36:36" ht="24" customHeight="1">
      <c r="AJ1469" s="139" t="str">
        <f t="shared" si="26"/>
        <v/>
      </c>
    </row>
    <row r="1470" spans="36:36" ht="24" customHeight="1">
      <c r="AJ1470" s="139" t="str">
        <f t="shared" si="26"/>
        <v/>
      </c>
    </row>
    <row r="1471" spans="36:36" ht="24" customHeight="1">
      <c r="AJ1471" s="139" t="str">
        <f t="shared" si="26"/>
        <v/>
      </c>
    </row>
    <row r="1472" spans="36:36" ht="24" customHeight="1">
      <c r="AJ1472" s="139" t="str">
        <f t="shared" si="26"/>
        <v/>
      </c>
    </row>
    <row r="1473" spans="36:36" ht="24" customHeight="1">
      <c r="AJ1473" s="139" t="str">
        <f t="shared" si="26"/>
        <v/>
      </c>
    </row>
    <row r="1474" spans="36:36" ht="24" customHeight="1">
      <c r="AJ1474" s="139" t="str">
        <f t="shared" si="26"/>
        <v/>
      </c>
    </row>
    <row r="1475" spans="36:36" ht="24" customHeight="1">
      <c r="AJ1475" s="139" t="str">
        <f t="shared" si="26"/>
        <v/>
      </c>
    </row>
    <row r="1476" spans="36:36" ht="24" customHeight="1">
      <c r="AJ1476" s="139" t="str">
        <f t="shared" si="26"/>
        <v/>
      </c>
    </row>
    <row r="1477" spans="36:36" ht="24" customHeight="1">
      <c r="AJ1477" s="139" t="str">
        <f t="shared" si="26"/>
        <v/>
      </c>
    </row>
    <row r="1478" spans="36:36" ht="24" customHeight="1">
      <c r="AJ1478" s="139" t="str">
        <f t="shared" si="26"/>
        <v/>
      </c>
    </row>
    <row r="1479" spans="36:36" ht="24" customHeight="1">
      <c r="AJ1479" s="139" t="str">
        <f t="shared" si="26"/>
        <v/>
      </c>
    </row>
    <row r="1480" spans="36:36" ht="24" customHeight="1">
      <c r="AJ1480" s="139" t="str">
        <f t="shared" si="26"/>
        <v/>
      </c>
    </row>
    <row r="1481" spans="36:36" ht="24" customHeight="1">
      <c r="AJ1481" s="139" t="str">
        <f t="shared" ref="AJ1481:AJ1544" si="27">IF(C1481="","",C1481)</f>
        <v/>
      </c>
    </row>
    <row r="1482" spans="36:36" ht="24" customHeight="1">
      <c r="AJ1482" s="139" t="str">
        <f t="shared" si="27"/>
        <v/>
      </c>
    </row>
    <row r="1483" spans="36:36" ht="24" customHeight="1">
      <c r="AJ1483" s="139" t="str">
        <f t="shared" si="27"/>
        <v/>
      </c>
    </row>
    <row r="1484" spans="36:36" ht="24" customHeight="1">
      <c r="AJ1484" s="139" t="str">
        <f t="shared" si="27"/>
        <v/>
      </c>
    </row>
    <row r="1485" spans="36:36" ht="24" customHeight="1">
      <c r="AJ1485" s="139" t="str">
        <f t="shared" si="27"/>
        <v/>
      </c>
    </row>
    <row r="1486" spans="36:36" ht="24" customHeight="1">
      <c r="AJ1486" s="139" t="str">
        <f t="shared" si="27"/>
        <v/>
      </c>
    </row>
    <row r="1487" spans="36:36" ht="24" customHeight="1">
      <c r="AJ1487" s="139" t="str">
        <f t="shared" si="27"/>
        <v/>
      </c>
    </row>
    <row r="1488" spans="36:36" ht="24" customHeight="1">
      <c r="AJ1488" s="139" t="str">
        <f t="shared" si="27"/>
        <v/>
      </c>
    </row>
    <row r="1489" spans="36:36" ht="24" customHeight="1">
      <c r="AJ1489" s="139" t="str">
        <f t="shared" si="27"/>
        <v/>
      </c>
    </row>
    <row r="1490" spans="36:36" ht="24" customHeight="1">
      <c r="AJ1490" s="139" t="str">
        <f t="shared" si="27"/>
        <v/>
      </c>
    </row>
    <row r="1491" spans="36:36" ht="24" customHeight="1">
      <c r="AJ1491" s="139" t="str">
        <f t="shared" si="27"/>
        <v/>
      </c>
    </row>
    <row r="1492" spans="36:36" ht="24" customHeight="1">
      <c r="AJ1492" s="139" t="str">
        <f t="shared" si="27"/>
        <v/>
      </c>
    </row>
    <row r="1493" spans="36:36" ht="24" customHeight="1">
      <c r="AJ1493" s="139" t="str">
        <f t="shared" si="27"/>
        <v/>
      </c>
    </row>
    <row r="1494" spans="36:36" ht="24" customHeight="1">
      <c r="AJ1494" s="139" t="str">
        <f t="shared" si="27"/>
        <v/>
      </c>
    </row>
    <row r="1495" spans="36:36" ht="24" customHeight="1">
      <c r="AJ1495" s="139" t="str">
        <f t="shared" si="27"/>
        <v/>
      </c>
    </row>
    <row r="1496" spans="36:36" ht="24" customHeight="1">
      <c r="AJ1496" s="139" t="str">
        <f t="shared" si="27"/>
        <v/>
      </c>
    </row>
    <row r="1497" spans="36:36" ht="24" customHeight="1">
      <c r="AJ1497" s="139" t="str">
        <f t="shared" si="27"/>
        <v/>
      </c>
    </row>
    <row r="1498" spans="36:36" ht="24" customHeight="1">
      <c r="AJ1498" s="139" t="str">
        <f t="shared" si="27"/>
        <v/>
      </c>
    </row>
    <row r="1499" spans="36:36" ht="24" customHeight="1">
      <c r="AJ1499" s="139" t="str">
        <f t="shared" si="27"/>
        <v/>
      </c>
    </row>
    <row r="1500" spans="36:36" ht="24" customHeight="1">
      <c r="AJ1500" s="139" t="str">
        <f t="shared" si="27"/>
        <v/>
      </c>
    </row>
    <row r="1501" spans="36:36" ht="24" customHeight="1">
      <c r="AJ1501" s="139" t="str">
        <f t="shared" si="27"/>
        <v/>
      </c>
    </row>
    <row r="1502" spans="36:36" ht="24" customHeight="1">
      <c r="AJ1502" s="139" t="str">
        <f t="shared" si="27"/>
        <v/>
      </c>
    </row>
    <row r="1503" spans="36:36" ht="24" customHeight="1">
      <c r="AJ1503" s="139" t="str">
        <f t="shared" si="27"/>
        <v/>
      </c>
    </row>
    <row r="1504" spans="36:36" ht="24" customHeight="1">
      <c r="AJ1504" s="139" t="str">
        <f t="shared" si="27"/>
        <v/>
      </c>
    </row>
    <row r="1505" spans="36:36" ht="24" customHeight="1">
      <c r="AJ1505" s="139" t="str">
        <f t="shared" si="27"/>
        <v/>
      </c>
    </row>
    <row r="1506" spans="36:36" ht="24" customHeight="1">
      <c r="AJ1506" s="139" t="str">
        <f t="shared" si="27"/>
        <v/>
      </c>
    </row>
    <row r="1507" spans="36:36" ht="24" customHeight="1">
      <c r="AJ1507" s="139" t="str">
        <f t="shared" si="27"/>
        <v/>
      </c>
    </row>
    <row r="1508" spans="36:36" ht="24" customHeight="1">
      <c r="AJ1508" s="139" t="str">
        <f t="shared" si="27"/>
        <v/>
      </c>
    </row>
    <row r="1509" spans="36:36" ht="24" customHeight="1">
      <c r="AJ1509" s="139" t="str">
        <f t="shared" si="27"/>
        <v/>
      </c>
    </row>
    <row r="1510" spans="36:36" ht="24" customHeight="1">
      <c r="AJ1510" s="139" t="str">
        <f t="shared" si="27"/>
        <v/>
      </c>
    </row>
    <row r="1511" spans="36:36" ht="24" customHeight="1">
      <c r="AJ1511" s="139" t="str">
        <f t="shared" si="27"/>
        <v/>
      </c>
    </row>
    <row r="1512" spans="36:36" ht="24" customHeight="1">
      <c r="AJ1512" s="139" t="str">
        <f t="shared" si="27"/>
        <v/>
      </c>
    </row>
    <row r="1513" spans="36:36" ht="24" customHeight="1">
      <c r="AJ1513" s="139" t="str">
        <f t="shared" si="27"/>
        <v/>
      </c>
    </row>
    <row r="1514" spans="36:36" ht="24" customHeight="1">
      <c r="AJ1514" s="139" t="str">
        <f t="shared" si="27"/>
        <v/>
      </c>
    </row>
    <row r="1515" spans="36:36" ht="24" customHeight="1">
      <c r="AJ1515" s="139" t="str">
        <f t="shared" si="27"/>
        <v/>
      </c>
    </row>
    <row r="1516" spans="36:36" ht="24" customHeight="1">
      <c r="AJ1516" s="139" t="str">
        <f t="shared" si="27"/>
        <v/>
      </c>
    </row>
    <row r="1517" spans="36:36" ht="24" customHeight="1">
      <c r="AJ1517" s="139" t="str">
        <f t="shared" si="27"/>
        <v/>
      </c>
    </row>
    <row r="1518" spans="36:36" ht="24" customHeight="1">
      <c r="AJ1518" s="139" t="str">
        <f t="shared" si="27"/>
        <v/>
      </c>
    </row>
    <row r="1519" spans="36:36" ht="24" customHeight="1">
      <c r="AJ1519" s="139" t="str">
        <f t="shared" si="27"/>
        <v/>
      </c>
    </row>
    <row r="1520" spans="36:36" ht="24" customHeight="1">
      <c r="AJ1520" s="139" t="str">
        <f t="shared" si="27"/>
        <v/>
      </c>
    </row>
    <row r="1521" spans="36:36" ht="24" customHeight="1">
      <c r="AJ1521" s="139" t="str">
        <f t="shared" si="27"/>
        <v/>
      </c>
    </row>
    <row r="1522" spans="36:36" ht="24" customHeight="1">
      <c r="AJ1522" s="139" t="str">
        <f t="shared" si="27"/>
        <v/>
      </c>
    </row>
    <row r="1523" spans="36:36" ht="24" customHeight="1">
      <c r="AJ1523" s="139" t="str">
        <f t="shared" si="27"/>
        <v/>
      </c>
    </row>
    <row r="1524" spans="36:36" ht="24" customHeight="1">
      <c r="AJ1524" s="139" t="str">
        <f t="shared" si="27"/>
        <v/>
      </c>
    </row>
    <row r="1525" spans="36:36" ht="24" customHeight="1">
      <c r="AJ1525" s="139" t="str">
        <f t="shared" si="27"/>
        <v/>
      </c>
    </row>
    <row r="1526" spans="36:36" ht="24" customHeight="1">
      <c r="AJ1526" s="139" t="str">
        <f t="shared" si="27"/>
        <v/>
      </c>
    </row>
    <row r="1527" spans="36:36" ht="24" customHeight="1">
      <c r="AJ1527" s="139" t="str">
        <f t="shared" si="27"/>
        <v/>
      </c>
    </row>
    <row r="1528" spans="36:36" ht="24" customHeight="1">
      <c r="AJ1528" s="139" t="str">
        <f t="shared" si="27"/>
        <v/>
      </c>
    </row>
    <row r="1529" spans="36:36" ht="24" customHeight="1">
      <c r="AJ1529" s="139" t="str">
        <f t="shared" si="27"/>
        <v/>
      </c>
    </row>
    <row r="1530" spans="36:36" ht="24" customHeight="1">
      <c r="AJ1530" s="139" t="str">
        <f t="shared" si="27"/>
        <v/>
      </c>
    </row>
    <row r="1531" spans="36:36" ht="24" customHeight="1">
      <c r="AJ1531" s="139" t="str">
        <f t="shared" si="27"/>
        <v/>
      </c>
    </row>
    <row r="1532" spans="36:36" ht="24" customHeight="1">
      <c r="AJ1532" s="139" t="str">
        <f t="shared" si="27"/>
        <v/>
      </c>
    </row>
    <row r="1533" spans="36:36" ht="24" customHeight="1">
      <c r="AJ1533" s="139" t="str">
        <f t="shared" si="27"/>
        <v/>
      </c>
    </row>
    <row r="1534" spans="36:36" ht="24" customHeight="1">
      <c r="AJ1534" s="139" t="str">
        <f t="shared" si="27"/>
        <v/>
      </c>
    </row>
    <row r="1535" spans="36:36" ht="24" customHeight="1">
      <c r="AJ1535" s="139" t="str">
        <f t="shared" si="27"/>
        <v/>
      </c>
    </row>
    <row r="1536" spans="36:36" ht="24" customHeight="1">
      <c r="AJ1536" s="139" t="str">
        <f t="shared" si="27"/>
        <v/>
      </c>
    </row>
    <row r="1537" spans="36:36" ht="24" customHeight="1">
      <c r="AJ1537" s="139" t="str">
        <f t="shared" si="27"/>
        <v/>
      </c>
    </row>
    <row r="1538" spans="36:36" ht="24" customHeight="1">
      <c r="AJ1538" s="139" t="str">
        <f t="shared" si="27"/>
        <v/>
      </c>
    </row>
    <row r="1539" spans="36:36" ht="24" customHeight="1">
      <c r="AJ1539" s="139" t="str">
        <f t="shared" si="27"/>
        <v/>
      </c>
    </row>
    <row r="1540" spans="36:36" ht="24" customHeight="1">
      <c r="AJ1540" s="139" t="str">
        <f t="shared" si="27"/>
        <v/>
      </c>
    </row>
    <row r="1541" spans="36:36" ht="24" customHeight="1">
      <c r="AJ1541" s="139" t="str">
        <f t="shared" si="27"/>
        <v/>
      </c>
    </row>
    <row r="1542" spans="36:36" ht="24" customHeight="1">
      <c r="AJ1542" s="139" t="str">
        <f t="shared" si="27"/>
        <v/>
      </c>
    </row>
    <row r="1543" spans="36:36" ht="24" customHeight="1">
      <c r="AJ1543" s="139" t="str">
        <f t="shared" si="27"/>
        <v/>
      </c>
    </row>
    <row r="1544" spans="36:36" ht="24" customHeight="1">
      <c r="AJ1544" s="139" t="str">
        <f t="shared" si="27"/>
        <v/>
      </c>
    </row>
    <row r="1545" spans="36:36" ht="24" customHeight="1">
      <c r="AJ1545" s="139" t="str">
        <f t="shared" ref="AJ1545:AJ1608" si="28">IF(C1545="","",C1545)</f>
        <v/>
      </c>
    </row>
    <row r="1546" spans="36:36" ht="24" customHeight="1">
      <c r="AJ1546" s="139" t="str">
        <f t="shared" si="28"/>
        <v/>
      </c>
    </row>
    <row r="1547" spans="36:36" ht="24" customHeight="1">
      <c r="AJ1547" s="139" t="str">
        <f t="shared" si="28"/>
        <v/>
      </c>
    </row>
    <row r="1548" spans="36:36" ht="24" customHeight="1">
      <c r="AJ1548" s="139" t="str">
        <f t="shared" si="28"/>
        <v/>
      </c>
    </row>
    <row r="1549" spans="36:36" ht="24" customHeight="1">
      <c r="AJ1549" s="139" t="str">
        <f t="shared" si="28"/>
        <v/>
      </c>
    </row>
    <row r="1550" spans="36:36" ht="24" customHeight="1">
      <c r="AJ1550" s="139" t="str">
        <f t="shared" si="28"/>
        <v/>
      </c>
    </row>
    <row r="1551" spans="36:36" ht="24" customHeight="1">
      <c r="AJ1551" s="139" t="str">
        <f t="shared" si="28"/>
        <v/>
      </c>
    </row>
    <row r="1552" spans="36:36" ht="24" customHeight="1">
      <c r="AJ1552" s="139" t="str">
        <f t="shared" si="28"/>
        <v/>
      </c>
    </row>
    <row r="1553" spans="36:36" ht="24" customHeight="1">
      <c r="AJ1553" s="139" t="str">
        <f t="shared" si="28"/>
        <v/>
      </c>
    </row>
    <row r="1554" spans="36:36" ht="24" customHeight="1">
      <c r="AJ1554" s="139" t="str">
        <f t="shared" si="28"/>
        <v/>
      </c>
    </row>
    <row r="1555" spans="36:36" ht="24" customHeight="1">
      <c r="AJ1555" s="139" t="str">
        <f t="shared" si="28"/>
        <v/>
      </c>
    </row>
    <row r="1556" spans="36:36" ht="24" customHeight="1">
      <c r="AJ1556" s="139" t="str">
        <f t="shared" si="28"/>
        <v/>
      </c>
    </row>
    <row r="1557" spans="36:36" ht="24" customHeight="1">
      <c r="AJ1557" s="139" t="str">
        <f t="shared" si="28"/>
        <v/>
      </c>
    </row>
    <row r="1558" spans="36:36" ht="24" customHeight="1">
      <c r="AJ1558" s="139" t="str">
        <f t="shared" si="28"/>
        <v/>
      </c>
    </row>
    <row r="1559" spans="36:36" ht="24" customHeight="1">
      <c r="AJ1559" s="139" t="str">
        <f t="shared" si="28"/>
        <v/>
      </c>
    </row>
    <row r="1560" spans="36:36" ht="24" customHeight="1">
      <c r="AJ1560" s="139" t="str">
        <f t="shared" si="28"/>
        <v/>
      </c>
    </row>
    <row r="1561" spans="36:36" ht="24" customHeight="1">
      <c r="AJ1561" s="139" t="str">
        <f t="shared" si="28"/>
        <v/>
      </c>
    </row>
    <row r="1562" spans="36:36" ht="24" customHeight="1">
      <c r="AJ1562" s="139" t="str">
        <f t="shared" si="28"/>
        <v/>
      </c>
    </row>
    <row r="1563" spans="36:36" ht="24" customHeight="1">
      <c r="AJ1563" s="139" t="str">
        <f t="shared" si="28"/>
        <v/>
      </c>
    </row>
    <row r="1564" spans="36:36" ht="24" customHeight="1">
      <c r="AJ1564" s="139" t="str">
        <f t="shared" si="28"/>
        <v/>
      </c>
    </row>
    <row r="1565" spans="36:36" ht="24" customHeight="1">
      <c r="AJ1565" s="139" t="str">
        <f t="shared" si="28"/>
        <v/>
      </c>
    </row>
    <row r="1566" spans="36:36" ht="24" customHeight="1">
      <c r="AJ1566" s="139" t="str">
        <f t="shared" si="28"/>
        <v/>
      </c>
    </row>
    <row r="1567" spans="36:36" ht="24" customHeight="1">
      <c r="AJ1567" s="139" t="str">
        <f t="shared" si="28"/>
        <v/>
      </c>
    </row>
    <row r="1568" spans="36:36" ht="24" customHeight="1">
      <c r="AJ1568" s="139" t="str">
        <f t="shared" si="28"/>
        <v/>
      </c>
    </row>
    <row r="1569" spans="36:36" ht="24" customHeight="1">
      <c r="AJ1569" s="139" t="str">
        <f t="shared" si="28"/>
        <v/>
      </c>
    </row>
    <row r="1570" spans="36:36" ht="24" customHeight="1">
      <c r="AJ1570" s="139" t="str">
        <f t="shared" si="28"/>
        <v/>
      </c>
    </row>
    <row r="1571" spans="36:36" ht="24" customHeight="1">
      <c r="AJ1571" s="139" t="str">
        <f t="shared" si="28"/>
        <v/>
      </c>
    </row>
    <row r="1572" spans="36:36" ht="24" customHeight="1">
      <c r="AJ1572" s="139" t="str">
        <f t="shared" si="28"/>
        <v/>
      </c>
    </row>
    <row r="1573" spans="36:36" ht="24" customHeight="1">
      <c r="AJ1573" s="139" t="str">
        <f t="shared" si="28"/>
        <v/>
      </c>
    </row>
    <row r="1574" spans="36:36" ht="24" customHeight="1">
      <c r="AJ1574" s="139" t="str">
        <f t="shared" si="28"/>
        <v/>
      </c>
    </row>
    <row r="1575" spans="36:36" ht="24" customHeight="1">
      <c r="AJ1575" s="139" t="str">
        <f t="shared" si="28"/>
        <v/>
      </c>
    </row>
    <row r="1576" spans="36:36" ht="24" customHeight="1">
      <c r="AJ1576" s="139" t="str">
        <f t="shared" si="28"/>
        <v/>
      </c>
    </row>
    <row r="1577" spans="36:36" ht="24" customHeight="1">
      <c r="AJ1577" s="139" t="str">
        <f t="shared" si="28"/>
        <v/>
      </c>
    </row>
    <row r="1578" spans="36:36" ht="24" customHeight="1">
      <c r="AJ1578" s="139" t="str">
        <f t="shared" si="28"/>
        <v/>
      </c>
    </row>
    <row r="1579" spans="36:36" ht="24" customHeight="1">
      <c r="AJ1579" s="139" t="str">
        <f t="shared" si="28"/>
        <v/>
      </c>
    </row>
    <row r="1580" spans="36:36" ht="24" customHeight="1">
      <c r="AJ1580" s="139" t="str">
        <f t="shared" si="28"/>
        <v/>
      </c>
    </row>
    <row r="1581" spans="36:36" ht="24" customHeight="1">
      <c r="AJ1581" s="139" t="str">
        <f t="shared" si="28"/>
        <v/>
      </c>
    </row>
    <row r="1582" spans="36:36" ht="24" customHeight="1">
      <c r="AJ1582" s="139" t="str">
        <f t="shared" si="28"/>
        <v/>
      </c>
    </row>
    <row r="1583" spans="36:36" ht="24" customHeight="1">
      <c r="AJ1583" s="139" t="str">
        <f t="shared" si="28"/>
        <v/>
      </c>
    </row>
    <row r="1584" spans="36:36" ht="24" customHeight="1">
      <c r="AJ1584" s="139" t="str">
        <f t="shared" si="28"/>
        <v/>
      </c>
    </row>
    <row r="1585" spans="36:36" ht="24" customHeight="1">
      <c r="AJ1585" s="139" t="str">
        <f t="shared" si="28"/>
        <v/>
      </c>
    </row>
    <row r="1586" spans="36:36" ht="24" customHeight="1">
      <c r="AJ1586" s="139" t="str">
        <f t="shared" si="28"/>
        <v/>
      </c>
    </row>
    <row r="1587" spans="36:36" ht="24" customHeight="1">
      <c r="AJ1587" s="139" t="str">
        <f t="shared" si="28"/>
        <v/>
      </c>
    </row>
    <row r="1588" spans="36:36" ht="24" customHeight="1">
      <c r="AJ1588" s="139" t="str">
        <f t="shared" si="28"/>
        <v/>
      </c>
    </row>
    <row r="1589" spans="36:36" ht="24" customHeight="1">
      <c r="AJ1589" s="139" t="str">
        <f t="shared" si="28"/>
        <v/>
      </c>
    </row>
    <row r="1590" spans="36:36" ht="24" customHeight="1">
      <c r="AJ1590" s="139" t="str">
        <f t="shared" si="28"/>
        <v/>
      </c>
    </row>
    <row r="1591" spans="36:36" ht="24" customHeight="1">
      <c r="AJ1591" s="139" t="str">
        <f t="shared" si="28"/>
        <v/>
      </c>
    </row>
    <row r="1592" spans="36:36" ht="24" customHeight="1">
      <c r="AJ1592" s="139" t="str">
        <f t="shared" si="28"/>
        <v/>
      </c>
    </row>
    <row r="1593" spans="36:36" ht="24" customHeight="1">
      <c r="AJ1593" s="139" t="str">
        <f t="shared" si="28"/>
        <v/>
      </c>
    </row>
    <row r="1594" spans="36:36" ht="24" customHeight="1">
      <c r="AJ1594" s="139" t="str">
        <f t="shared" si="28"/>
        <v/>
      </c>
    </row>
    <row r="1595" spans="36:36" ht="24" customHeight="1">
      <c r="AJ1595" s="139" t="str">
        <f t="shared" si="28"/>
        <v/>
      </c>
    </row>
    <row r="1596" spans="36:36" ht="24" customHeight="1">
      <c r="AJ1596" s="139" t="str">
        <f t="shared" si="28"/>
        <v/>
      </c>
    </row>
    <row r="1597" spans="36:36" ht="24" customHeight="1">
      <c r="AJ1597" s="139" t="str">
        <f t="shared" si="28"/>
        <v/>
      </c>
    </row>
    <row r="1598" spans="36:36" ht="24" customHeight="1">
      <c r="AJ1598" s="139" t="str">
        <f t="shared" si="28"/>
        <v/>
      </c>
    </row>
    <row r="1599" spans="36:36" ht="24" customHeight="1">
      <c r="AJ1599" s="139" t="str">
        <f t="shared" si="28"/>
        <v/>
      </c>
    </row>
    <row r="1600" spans="36:36" ht="24" customHeight="1">
      <c r="AJ1600" s="139" t="str">
        <f t="shared" si="28"/>
        <v/>
      </c>
    </row>
    <row r="1601" spans="36:36" ht="24" customHeight="1">
      <c r="AJ1601" s="139" t="str">
        <f t="shared" si="28"/>
        <v/>
      </c>
    </row>
    <row r="1602" spans="36:36" ht="24" customHeight="1">
      <c r="AJ1602" s="139" t="str">
        <f t="shared" si="28"/>
        <v/>
      </c>
    </row>
    <row r="1603" spans="36:36" ht="24" customHeight="1">
      <c r="AJ1603" s="139" t="str">
        <f t="shared" si="28"/>
        <v/>
      </c>
    </row>
    <row r="1604" spans="36:36" ht="24" customHeight="1">
      <c r="AJ1604" s="139" t="str">
        <f t="shared" si="28"/>
        <v/>
      </c>
    </row>
    <row r="1605" spans="36:36" ht="24" customHeight="1">
      <c r="AJ1605" s="139" t="str">
        <f t="shared" si="28"/>
        <v/>
      </c>
    </row>
    <row r="1606" spans="36:36" ht="24" customHeight="1">
      <c r="AJ1606" s="139" t="str">
        <f t="shared" si="28"/>
        <v/>
      </c>
    </row>
    <row r="1607" spans="36:36" ht="24" customHeight="1">
      <c r="AJ1607" s="139" t="str">
        <f t="shared" si="28"/>
        <v/>
      </c>
    </row>
    <row r="1608" spans="36:36" ht="24" customHeight="1">
      <c r="AJ1608" s="139" t="str">
        <f t="shared" si="28"/>
        <v/>
      </c>
    </row>
    <row r="1609" spans="36:36" ht="24" customHeight="1">
      <c r="AJ1609" s="139" t="str">
        <f t="shared" ref="AJ1609:AJ1672" si="29">IF(C1609="","",C1609)</f>
        <v/>
      </c>
    </row>
    <row r="1610" spans="36:36" ht="24" customHeight="1">
      <c r="AJ1610" s="139" t="str">
        <f t="shared" si="29"/>
        <v/>
      </c>
    </row>
    <row r="1611" spans="36:36" ht="24" customHeight="1">
      <c r="AJ1611" s="139" t="str">
        <f t="shared" si="29"/>
        <v/>
      </c>
    </row>
    <row r="1612" spans="36:36" ht="24" customHeight="1">
      <c r="AJ1612" s="139" t="str">
        <f t="shared" si="29"/>
        <v/>
      </c>
    </row>
    <row r="1613" spans="36:36" ht="24" customHeight="1">
      <c r="AJ1613" s="139" t="str">
        <f t="shared" si="29"/>
        <v/>
      </c>
    </row>
    <row r="1614" spans="36:36" ht="24" customHeight="1">
      <c r="AJ1614" s="139" t="str">
        <f t="shared" si="29"/>
        <v/>
      </c>
    </row>
    <row r="1615" spans="36:36" ht="24" customHeight="1">
      <c r="AJ1615" s="139" t="str">
        <f t="shared" si="29"/>
        <v/>
      </c>
    </row>
    <row r="1616" spans="36:36" ht="24" customHeight="1">
      <c r="AJ1616" s="139" t="str">
        <f t="shared" si="29"/>
        <v/>
      </c>
    </row>
    <row r="1617" spans="36:36" ht="24" customHeight="1">
      <c r="AJ1617" s="139" t="str">
        <f t="shared" si="29"/>
        <v/>
      </c>
    </row>
    <row r="1618" spans="36:36" ht="24" customHeight="1">
      <c r="AJ1618" s="139" t="str">
        <f t="shared" si="29"/>
        <v/>
      </c>
    </row>
    <row r="1619" spans="36:36" ht="24" customHeight="1">
      <c r="AJ1619" s="139" t="str">
        <f t="shared" si="29"/>
        <v/>
      </c>
    </row>
    <row r="1620" spans="36:36" ht="24" customHeight="1">
      <c r="AJ1620" s="139" t="str">
        <f t="shared" si="29"/>
        <v/>
      </c>
    </row>
    <row r="1621" spans="36:36" ht="24" customHeight="1">
      <c r="AJ1621" s="139" t="str">
        <f t="shared" si="29"/>
        <v/>
      </c>
    </row>
    <row r="1622" spans="36:36" ht="24" customHeight="1">
      <c r="AJ1622" s="139" t="str">
        <f t="shared" si="29"/>
        <v/>
      </c>
    </row>
    <row r="1623" spans="36:36" ht="24" customHeight="1">
      <c r="AJ1623" s="139" t="str">
        <f t="shared" si="29"/>
        <v/>
      </c>
    </row>
    <row r="1624" spans="36:36" ht="24" customHeight="1">
      <c r="AJ1624" s="139" t="str">
        <f t="shared" si="29"/>
        <v/>
      </c>
    </row>
    <row r="1625" spans="36:36" ht="24" customHeight="1">
      <c r="AJ1625" s="139" t="str">
        <f t="shared" si="29"/>
        <v/>
      </c>
    </row>
    <row r="1626" spans="36:36" ht="24" customHeight="1">
      <c r="AJ1626" s="139" t="str">
        <f t="shared" si="29"/>
        <v/>
      </c>
    </row>
    <row r="1627" spans="36:36" ht="24" customHeight="1">
      <c r="AJ1627" s="139" t="str">
        <f t="shared" si="29"/>
        <v/>
      </c>
    </row>
    <row r="1628" spans="36:36" ht="24" customHeight="1">
      <c r="AJ1628" s="139" t="str">
        <f t="shared" si="29"/>
        <v/>
      </c>
    </row>
    <row r="1629" spans="36:36" ht="24" customHeight="1">
      <c r="AJ1629" s="139" t="str">
        <f t="shared" si="29"/>
        <v/>
      </c>
    </row>
    <row r="1630" spans="36:36" ht="24" customHeight="1">
      <c r="AJ1630" s="139" t="str">
        <f t="shared" si="29"/>
        <v/>
      </c>
    </row>
    <row r="1631" spans="36:36" ht="24" customHeight="1">
      <c r="AJ1631" s="139" t="str">
        <f t="shared" si="29"/>
        <v/>
      </c>
    </row>
    <row r="1632" spans="36:36" ht="24" customHeight="1">
      <c r="AJ1632" s="139" t="str">
        <f t="shared" si="29"/>
        <v/>
      </c>
    </row>
    <row r="1633" spans="36:36" ht="24" customHeight="1">
      <c r="AJ1633" s="139" t="str">
        <f t="shared" si="29"/>
        <v/>
      </c>
    </row>
    <row r="1634" spans="36:36" ht="24" customHeight="1">
      <c r="AJ1634" s="139" t="str">
        <f t="shared" si="29"/>
        <v/>
      </c>
    </row>
    <row r="1635" spans="36:36" ht="24" customHeight="1">
      <c r="AJ1635" s="139" t="str">
        <f t="shared" si="29"/>
        <v/>
      </c>
    </row>
    <row r="1636" spans="36:36" ht="24" customHeight="1">
      <c r="AJ1636" s="139" t="str">
        <f t="shared" si="29"/>
        <v/>
      </c>
    </row>
    <row r="1637" spans="36:36" ht="24" customHeight="1">
      <c r="AJ1637" s="139" t="str">
        <f t="shared" si="29"/>
        <v/>
      </c>
    </row>
    <row r="1638" spans="36:36" ht="24" customHeight="1">
      <c r="AJ1638" s="139" t="str">
        <f t="shared" si="29"/>
        <v/>
      </c>
    </row>
    <row r="1639" spans="36:36" ht="24" customHeight="1">
      <c r="AJ1639" s="139" t="str">
        <f t="shared" si="29"/>
        <v/>
      </c>
    </row>
    <row r="1640" spans="36:36" ht="24" customHeight="1">
      <c r="AJ1640" s="139" t="str">
        <f t="shared" si="29"/>
        <v/>
      </c>
    </row>
    <row r="1641" spans="36:36" ht="24" customHeight="1">
      <c r="AJ1641" s="139" t="str">
        <f t="shared" si="29"/>
        <v/>
      </c>
    </row>
    <row r="1642" spans="36:36" ht="24" customHeight="1">
      <c r="AJ1642" s="139" t="str">
        <f t="shared" si="29"/>
        <v/>
      </c>
    </row>
    <row r="1643" spans="36:36" ht="24" customHeight="1">
      <c r="AJ1643" s="139" t="str">
        <f t="shared" si="29"/>
        <v/>
      </c>
    </row>
    <row r="1644" spans="36:36" ht="24" customHeight="1">
      <c r="AJ1644" s="139" t="str">
        <f t="shared" si="29"/>
        <v/>
      </c>
    </row>
    <row r="1645" spans="36:36" ht="24" customHeight="1">
      <c r="AJ1645" s="139" t="str">
        <f t="shared" si="29"/>
        <v/>
      </c>
    </row>
    <row r="1646" spans="36:36" ht="24" customHeight="1">
      <c r="AJ1646" s="139" t="str">
        <f t="shared" si="29"/>
        <v/>
      </c>
    </row>
    <row r="1647" spans="36:36" ht="24" customHeight="1">
      <c r="AJ1647" s="139" t="str">
        <f t="shared" si="29"/>
        <v/>
      </c>
    </row>
    <row r="1648" spans="36:36" ht="24" customHeight="1">
      <c r="AJ1648" s="139" t="str">
        <f t="shared" si="29"/>
        <v/>
      </c>
    </row>
    <row r="1649" spans="36:36" ht="24" customHeight="1">
      <c r="AJ1649" s="139" t="str">
        <f t="shared" si="29"/>
        <v/>
      </c>
    </row>
    <row r="1650" spans="36:36" ht="24" customHeight="1">
      <c r="AJ1650" s="139" t="str">
        <f t="shared" si="29"/>
        <v/>
      </c>
    </row>
    <row r="1651" spans="36:36" ht="24" customHeight="1">
      <c r="AJ1651" s="139" t="str">
        <f t="shared" si="29"/>
        <v/>
      </c>
    </row>
    <row r="1652" spans="36:36" ht="24" customHeight="1">
      <c r="AJ1652" s="139" t="str">
        <f t="shared" si="29"/>
        <v/>
      </c>
    </row>
    <row r="1653" spans="36:36" ht="24" customHeight="1">
      <c r="AJ1653" s="139" t="str">
        <f t="shared" si="29"/>
        <v/>
      </c>
    </row>
    <row r="1654" spans="36:36" ht="24" customHeight="1">
      <c r="AJ1654" s="139" t="str">
        <f t="shared" si="29"/>
        <v/>
      </c>
    </row>
    <row r="1655" spans="36:36" ht="24" customHeight="1">
      <c r="AJ1655" s="139" t="str">
        <f t="shared" si="29"/>
        <v/>
      </c>
    </row>
    <row r="1656" spans="36:36" ht="24" customHeight="1">
      <c r="AJ1656" s="139" t="str">
        <f t="shared" si="29"/>
        <v/>
      </c>
    </row>
    <row r="1657" spans="36:36" ht="24" customHeight="1">
      <c r="AJ1657" s="139" t="str">
        <f t="shared" si="29"/>
        <v/>
      </c>
    </row>
    <row r="1658" spans="36:36" ht="24" customHeight="1">
      <c r="AJ1658" s="139" t="str">
        <f t="shared" si="29"/>
        <v/>
      </c>
    </row>
    <row r="1659" spans="36:36" ht="24" customHeight="1">
      <c r="AJ1659" s="139" t="str">
        <f t="shared" si="29"/>
        <v/>
      </c>
    </row>
    <row r="1660" spans="36:36" ht="24" customHeight="1">
      <c r="AJ1660" s="139" t="str">
        <f t="shared" si="29"/>
        <v/>
      </c>
    </row>
    <row r="1661" spans="36:36" ht="24" customHeight="1">
      <c r="AJ1661" s="139" t="str">
        <f t="shared" si="29"/>
        <v/>
      </c>
    </row>
    <row r="1662" spans="36:36" ht="24" customHeight="1">
      <c r="AJ1662" s="139" t="str">
        <f t="shared" si="29"/>
        <v/>
      </c>
    </row>
    <row r="1663" spans="36:36" ht="24" customHeight="1">
      <c r="AJ1663" s="139" t="str">
        <f t="shared" si="29"/>
        <v/>
      </c>
    </row>
    <row r="1664" spans="36:36" ht="24" customHeight="1">
      <c r="AJ1664" s="139" t="str">
        <f t="shared" si="29"/>
        <v/>
      </c>
    </row>
    <row r="1665" spans="36:36" ht="24" customHeight="1">
      <c r="AJ1665" s="139" t="str">
        <f t="shared" si="29"/>
        <v/>
      </c>
    </row>
    <row r="1666" spans="36:36" ht="24" customHeight="1">
      <c r="AJ1666" s="139" t="str">
        <f t="shared" si="29"/>
        <v/>
      </c>
    </row>
    <row r="1667" spans="36:36" ht="24" customHeight="1">
      <c r="AJ1667" s="139" t="str">
        <f t="shared" si="29"/>
        <v/>
      </c>
    </row>
    <row r="1668" spans="36:36" ht="24" customHeight="1">
      <c r="AJ1668" s="139" t="str">
        <f t="shared" si="29"/>
        <v/>
      </c>
    </row>
    <row r="1669" spans="36:36" ht="24" customHeight="1">
      <c r="AJ1669" s="139" t="str">
        <f t="shared" si="29"/>
        <v/>
      </c>
    </row>
    <row r="1670" spans="36:36" ht="24" customHeight="1">
      <c r="AJ1670" s="139" t="str">
        <f t="shared" si="29"/>
        <v/>
      </c>
    </row>
    <row r="1671" spans="36:36" ht="24" customHeight="1">
      <c r="AJ1671" s="139" t="str">
        <f t="shared" si="29"/>
        <v/>
      </c>
    </row>
    <row r="1672" spans="36:36" ht="24" customHeight="1">
      <c r="AJ1672" s="139" t="str">
        <f t="shared" si="29"/>
        <v/>
      </c>
    </row>
    <row r="1673" spans="36:36" ht="24" customHeight="1">
      <c r="AJ1673" s="139" t="str">
        <f t="shared" ref="AJ1673:AJ1736" si="30">IF(C1673="","",C1673)</f>
        <v/>
      </c>
    </row>
    <row r="1674" spans="36:36" ht="24" customHeight="1">
      <c r="AJ1674" s="139" t="str">
        <f t="shared" si="30"/>
        <v/>
      </c>
    </row>
    <row r="1675" spans="36:36" ht="24" customHeight="1">
      <c r="AJ1675" s="139" t="str">
        <f t="shared" si="30"/>
        <v/>
      </c>
    </row>
    <row r="1676" spans="36:36" ht="24" customHeight="1">
      <c r="AJ1676" s="139" t="str">
        <f t="shared" si="30"/>
        <v/>
      </c>
    </row>
    <row r="1677" spans="36:36" ht="24" customHeight="1">
      <c r="AJ1677" s="139" t="str">
        <f t="shared" si="30"/>
        <v/>
      </c>
    </row>
    <row r="1678" spans="36:36" ht="24" customHeight="1">
      <c r="AJ1678" s="139" t="str">
        <f t="shared" si="30"/>
        <v/>
      </c>
    </row>
    <row r="1679" spans="36:36" ht="24" customHeight="1">
      <c r="AJ1679" s="139" t="str">
        <f t="shared" si="30"/>
        <v/>
      </c>
    </row>
    <row r="1680" spans="36:36" ht="24" customHeight="1">
      <c r="AJ1680" s="139" t="str">
        <f t="shared" si="30"/>
        <v/>
      </c>
    </row>
    <row r="1681" spans="36:36" ht="24" customHeight="1">
      <c r="AJ1681" s="139" t="str">
        <f t="shared" si="30"/>
        <v/>
      </c>
    </row>
    <row r="1682" spans="36:36" ht="24" customHeight="1">
      <c r="AJ1682" s="139" t="str">
        <f t="shared" si="30"/>
        <v/>
      </c>
    </row>
    <row r="1683" spans="36:36" ht="24" customHeight="1">
      <c r="AJ1683" s="139" t="str">
        <f t="shared" si="30"/>
        <v/>
      </c>
    </row>
    <row r="1684" spans="36:36" ht="24" customHeight="1">
      <c r="AJ1684" s="139" t="str">
        <f t="shared" si="30"/>
        <v/>
      </c>
    </row>
    <row r="1685" spans="36:36" ht="24" customHeight="1">
      <c r="AJ1685" s="139" t="str">
        <f t="shared" si="30"/>
        <v/>
      </c>
    </row>
    <row r="1686" spans="36:36" ht="24" customHeight="1">
      <c r="AJ1686" s="139" t="str">
        <f t="shared" si="30"/>
        <v/>
      </c>
    </row>
    <row r="1687" spans="36:36" ht="24" customHeight="1">
      <c r="AJ1687" s="139" t="str">
        <f t="shared" si="30"/>
        <v/>
      </c>
    </row>
    <row r="1688" spans="36:36" ht="24" customHeight="1">
      <c r="AJ1688" s="139" t="str">
        <f t="shared" si="30"/>
        <v/>
      </c>
    </row>
    <row r="1689" spans="36:36" ht="24" customHeight="1">
      <c r="AJ1689" s="139" t="str">
        <f t="shared" si="30"/>
        <v/>
      </c>
    </row>
    <row r="1690" spans="36:36" ht="24" customHeight="1">
      <c r="AJ1690" s="139" t="str">
        <f t="shared" si="30"/>
        <v/>
      </c>
    </row>
    <row r="1691" spans="36:36" ht="24" customHeight="1">
      <c r="AJ1691" s="139" t="str">
        <f t="shared" si="30"/>
        <v/>
      </c>
    </row>
    <row r="1692" spans="36:36" ht="24" customHeight="1">
      <c r="AJ1692" s="139" t="str">
        <f t="shared" si="30"/>
        <v/>
      </c>
    </row>
    <row r="1693" spans="36:36" ht="24" customHeight="1">
      <c r="AJ1693" s="139" t="str">
        <f t="shared" si="30"/>
        <v/>
      </c>
    </row>
    <row r="1694" spans="36:36" ht="24" customHeight="1">
      <c r="AJ1694" s="139" t="str">
        <f t="shared" si="30"/>
        <v/>
      </c>
    </row>
    <row r="1695" spans="36:36" ht="24" customHeight="1">
      <c r="AJ1695" s="139" t="str">
        <f t="shared" si="30"/>
        <v/>
      </c>
    </row>
    <row r="1696" spans="36:36" ht="24" customHeight="1">
      <c r="AJ1696" s="139" t="str">
        <f t="shared" si="30"/>
        <v/>
      </c>
    </row>
    <row r="1697" spans="36:36" ht="24" customHeight="1">
      <c r="AJ1697" s="139" t="str">
        <f t="shared" si="30"/>
        <v/>
      </c>
    </row>
    <row r="1698" spans="36:36" ht="24" customHeight="1">
      <c r="AJ1698" s="139" t="str">
        <f t="shared" si="30"/>
        <v/>
      </c>
    </row>
    <row r="1699" spans="36:36" ht="24" customHeight="1">
      <c r="AJ1699" s="139" t="str">
        <f t="shared" si="30"/>
        <v/>
      </c>
    </row>
    <row r="1700" spans="36:36" ht="24" customHeight="1">
      <c r="AJ1700" s="139" t="str">
        <f t="shared" si="30"/>
        <v/>
      </c>
    </row>
    <row r="1701" spans="36:36" ht="24" customHeight="1">
      <c r="AJ1701" s="139" t="str">
        <f t="shared" si="30"/>
        <v/>
      </c>
    </row>
    <row r="1702" spans="36:36" ht="24" customHeight="1">
      <c r="AJ1702" s="139" t="str">
        <f t="shared" si="30"/>
        <v/>
      </c>
    </row>
    <row r="1703" spans="36:36" ht="24" customHeight="1">
      <c r="AJ1703" s="139" t="str">
        <f t="shared" si="30"/>
        <v/>
      </c>
    </row>
    <row r="1704" spans="36:36" ht="24" customHeight="1">
      <c r="AJ1704" s="139" t="str">
        <f t="shared" si="30"/>
        <v/>
      </c>
    </row>
    <row r="1705" spans="36:36" ht="24" customHeight="1">
      <c r="AJ1705" s="139" t="str">
        <f t="shared" si="30"/>
        <v/>
      </c>
    </row>
    <row r="1706" spans="36:36" ht="24" customHeight="1">
      <c r="AJ1706" s="139" t="str">
        <f t="shared" si="30"/>
        <v/>
      </c>
    </row>
    <row r="1707" spans="36:36" ht="24" customHeight="1">
      <c r="AJ1707" s="139" t="str">
        <f t="shared" si="30"/>
        <v/>
      </c>
    </row>
    <row r="1708" spans="36:36" ht="24" customHeight="1">
      <c r="AJ1708" s="139" t="str">
        <f t="shared" si="30"/>
        <v/>
      </c>
    </row>
    <row r="1709" spans="36:36" ht="24" customHeight="1">
      <c r="AJ1709" s="139" t="str">
        <f t="shared" si="30"/>
        <v/>
      </c>
    </row>
    <row r="1710" spans="36:36" ht="24" customHeight="1">
      <c r="AJ1710" s="139" t="str">
        <f t="shared" si="30"/>
        <v/>
      </c>
    </row>
    <row r="1711" spans="36:36" ht="24" customHeight="1">
      <c r="AJ1711" s="139" t="str">
        <f t="shared" si="30"/>
        <v/>
      </c>
    </row>
    <row r="1712" spans="36:36" ht="24" customHeight="1">
      <c r="AJ1712" s="139" t="str">
        <f t="shared" si="30"/>
        <v/>
      </c>
    </row>
    <row r="1713" spans="36:36" ht="24" customHeight="1">
      <c r="AJ1713" s="139" t="str">
        <f t="shared" si="30"/>
        <v/>
      </c>
    </row>
    <row r="1714" spans="36:36" ht="24" customHeight="1">
      <c r="AJ1714" s="139" t="str">
        <f t="shared" si="30"/>
        <v/>
      </c>
    </row>
    <row r="1715" spans="36:36" ht="24" customHeight="1">
      <c r="AJ1715" s="139" t="str">
        <f t="shared" si="30"/>
        <v/>
      </c>
    </row>
    <row r="1716" spans="36:36" ht="24" customHeight="1">
      <c r="AJ1716" s="139" t="str">
        <f t="shared" si="30"/>
        <v/>
      </c>
    </row>
    <row r="1717" spans="36:36" ht="24" customHeight="1">
      <c r="AJ1717" s="139" t="str">
        <f t="shared" si="30"/>
        <v/>
      </c>
    </row>
    <row r="1718" spans="36:36" ht="24" customHeight="1">
      <c r="AJ1718" s="139" t="str">
        <f t="shared" si="30"/>
        <v/>
      </c>
    </row>
    <row r="1719" spans="36:36" ht="24" customHeight="1">
      <c r="AJ1719" s="139" t="str">
        <f t="shared" si="30"/>
        <v/>
      </c>
    </row>
    <row r="1720" spans="36:36" ht="24" customHeight="1">
      <c r="AJ1720" s="139" t="str">
        <f t="shared" si="30"/>
        <v/>
      </c>
    </row>
    <row r="1721" spans="36:36" ht="24" customHeight="1">
      <c r="AJ1721" s="139" t="str">
        <f t="shared" si="30"/>
        <v/>
      </c>
    </row>
    <row r="1722" spans="36:36" ht="24" customHeight="1">
      <c r="AJ1722" s="139" t="str">
        <f t="shared" si="30"/>
        <v/>
      </c>
    </row>
    <row r="1723" spans="36:36" ht="24" customHeight="1">
      <c r="AJ1723" s="139" t="str">
        <f t="shared" si="30"/>
        <v/>
      </c>
    </row>
    <row r="1724" spans="36:36" ht="24" customHeight="1">
      <c r="AJ1724" s="139" t="str">
        <f t="shared" si="30"/>
        <v/>
      </c>
    </row>
    <row r="1725" spans="36:36" ht="24" customHeight="1">
      <c r="AJ1725" s="139" t="str">
        <f t="shared" si="30"/>
        <v/>
      </c>
    </row>
    <row r="1726" spans="36:36" ht="24" customHeight="1">
      <c r="AJ1726" s="139" t="str">
        <f t="shared" si="30"/>
        <v/>
      </c>
    </row>
    <row r="1727" spans="36:36" ht="24" customHeight="1">
      <c r="AJ1727" s="139" t="str">
        <f t="shared" si="30"/>
        <v/>
      </c>
    </row>
    <row r="1728" spans="36:36" ht="24" customHeight="1">
      <c r="AJ1728" s="139" t="str">
        <f t="shared" si="30"/>
        <v/>
      </c>
    </row>
    <row r="1729" spans="36:36" ht="24" customHeight="1">
      <c r="AJ1729" s="139" t="str">
        <f t="shared" si="30"/>
        <v/>
      </c>
    </row>
    <row r="1730" spans="36:36" ht="24" customHeight="1">
      <c r="AJ1730" s="139" t="str">
        <f t="shared" si="30"/>
        <v/>
      </c>
    </row>
    <row r="1731" spans="36:36" ht="24" customHeight="1">
      <c r="AJ1731" s="139" t="str">
        <f t="shared" si="30"/>
        <v/>
      </c>
    </row>
    <row r="1732" spans="36:36" ht="24" customHeight="1">
      <c r="AJ1732" s="139" t="str">
        <f t="shared" si="30"/>
        <v/>
      </c>
    </row>
    <row r="1733" spans="36:36" ht="24" customHeight="1">
      <c r="AJ1733" s="139" t="str">
        <f t="shared" si="30"/>
        <v/>
      </c>
    </row>
    <row r="1734" spans="36:36" ht="24" customHeight="1">
      <c r="AJ1734" s="139" t="str">
        <f t="shared" si="30"/>
        <v/>
      </c>
    </row>
    <row r="1735" spans="36:36" ht="24" customHeight="1">
      <c r="AJ1735" s="139" t="str">
        <f t="shared" si="30"/>
        <v/>
      </c>
    </row>
    <row r="1736" spans="36:36" ht="24" customHeight="1">
      <c r="AJ1736" s="139" t="str">
        <f t="shared" si="30"/>
        <v/>
      </c>
    </row>
    <row r="1737" spans="36:36" ht="24" customHeight="1">
      <c r="AJ1737" s="139" t="str">
        <f t="shared" ref="AJ1737:AJ1800" si="31">IF(C1737="","",C1737)</f>
        <v/>
      </c>
    </row>
    <row r="1738" spans="36:36" ht="24" customHeight="1">
      <c r="AJ1738" s="139" t="str">
        <f t="shared" si="31"/>
        <v/>
      </c>
    </row>
    <row r="1739" spans="36:36" ht="24" customHeight="1">
      <c r="AJ1739" s="139" t="str">
        <f t="shared" si="31"/>
        <v/>
      </c>
    </row>
    <row r="1740" spans="36:36" ht="24" customHeight="1">
      <c r="AJ1740" s="139" t="str">
        <f t="shared" si="31"/>
        <v/>
      </c>
    </row>
    <row r="1741" spans="36:36" ht="24" customHeight="1">
      <c r="AJ1741" s="139" t="str">
        <f t="shared" si="31"/>
        <v/>
      </c>
    </row>
    <row r="1742" spans="36:36" ht="24" customHeight="1">
      <c r="AJ1742" s="139" t="str">
        <f t="shared" si="31"/>
        <v/>
      </c>
    </row>
    <row r="1743" spans="36:36" ht="24" customHeight="1">
      <c r="AJ1743" s="139" t="str">
        <f t="shared" si="31"/>
        <v/>
      </c>
    </row>
    <row r="1744" spans="36:36" ht="24" customHeight="1">
      <c r="AJ1744" s="139" t="str">
        <f t="shared" si="31"/>
        <v/>
      </c>
    </row>
    <row r="1745" spans="36:36" ht="24" customHeight="1">
      <c r="AJ1745" s="139" t="str">
        <f t="shared" si="31"/>
        <v/>
      </c>
    </row>
    <row r="1746" spans="36:36" ht="24" customHeight="1">
      <c r="AJ1746" s="139" t="str">
        <f t="shared" si="31"/>
        <v/>
      </c>
    </row>
    <row r="1747" spans="36:36" ht="24" customHeight="1">
      <c r="AJ1747" s="139" t="str">
        <f t="shared" si="31"/>
        <v/>
      </c>
    </row>
    <row r="1748" spans="36:36" ht="24" customHeight="1">
      <c r="AJ1748" s="139" t="str">
        <f t="shared" si="31"/>
        <v/>
      </c>
    </row>
    <row r="1749" spans="36:36" ht="24" customHeight="1">
      <c r="AJ1749" s="139" t="str">
        <f t="shared" si="31"/>
        <v/>
      </c>
    </row>
    <row r="1750" spans="36:36" ht="24" customHeight="1">
      <c r="AJ1750" s="139" t="str">
        <f t="shared" si="31"/>
        <v/>
      </c>
    </row>
    <row r="1751" spans="36:36" ht="24" customHeight="1">
      <c r="AJ1751" s="139" t="str">
        <f t="shared" si="31"/>
        <v/>
      </c>
    </row>
    <row r="1752" spans="36:36" ht="24" customHeight="1">
      <c r="AJ1752" s="139" t="str">
        <f t="shared" si="31"/>
        <v/>
      </c>
    </row>
    <row r="1753" spans="36:36" ht="24" customHeight="1">
      <c r="AJ1753" s="139" t="str">
        <f t="shared" si="31"/>
        <v/>
      </c>
    </row>
    <row r="1754" spans="36:36" ht="24" customHeight="1">
      <c r="AJ1754" s="139" t="str">
        <f t="shared" si="31"/>
        <v/>
      </c>
    </row>
    <row r="1755" spans="36:36" ht="24" customHeight="1">
      <c r="AJ1755" s="139" t="str">
        <f t="shared" si="31"/>
        <v/>
      </c>
    </row>
    <row r="1756" spans="36:36" ht="24" customHeight="1">
      <c r="AJ1756" s="139" t="str">
        <f t="shared" si="31"/>
        <v/>
      </c>
    </row>
    <row r="1757" spans="36:36" ht="24" customHeight="1">
      <c r="AJ1757" s="139" t="str">
        <f t="shared" si="31"/>
        <v/>
      </c>
    </row>
    <row r="1758" spans="36:36" ht="24" customHeight="1">
      <c r="AJ1758" s="139" t="str">
        <f t="shared" si="31"/>
        <v/>
      </c>
    </row>
    <row r="1759" spans="36:36" ht="24" customHeight="1">
      <c r="AJ1759" s="139" t="str">
        <f t="shared" si="31"/>
        <v/>
      </c>
    </row>
    <row r="1760" spans="36:36" ht="24" customHeight="1">
      <c r="AJ1760" s="139" t="str">
        <f t="shared" si="31"/>
        <v/>
      </c>
    </row>
    <row r="1761" spans="36:36" ht="24" customHeight="1">
      <c r="AJ1761" s="139" t="str">
        <f t="shared" si="31"/>
        <v/>
      </c>
    </row>
    <row r="1762" spans="36:36" ht="24" customHeight="1">
      <c r="AJ1762" s="139" t="str">
        <f t="shared" si="31"/>
        <v/>
      </c>
    </row>
    <row r="1763" spans="36:36" ht="24" customHeight="1">
      <c r="AJ1763" s="139" t="str">
        <f t="shared" si="31"/>
        <v/>
      </c>
    </row>
    <row r="1764" spans="36:36" ht="24" customHeight="1">
      <c r="AJ1764" s="139" t="str">
        <f t="shared" si="31"/>
        <v/>
      </c>
    </row>
    <row r="1765" spans="36:36" ht="24" customHeight="1">
      <c r="AJ1765" s="139" t="str">
        <f t="shared" si="31"/>
        <v/>
      </c>
    </row>
    <row r="1766" spans="36:36" ht="24" customHeight="1">
      <c r="AJ1766" s="139" t="str">
        <f t="shared" si="31"/>
        <v/>
      </c>
    </row>
    <row r="1767" spans="36:36" ht="24" customHeight="1">
      <c r="AJ1767" s="139" t="str">
        <f t="shared" si="31"/>
        <v/>
      </c>
    </row>
    <row r="1768" spans="36:36" ht="24" customHeight="1">
      <c r="AJ1768" s="139" t="str">
        <f t="shared" si="31"/>
        <v/>
      </c>
    </row>
    <row r="1769" spans="36:36" ht="24" customHeight="1">
      <c r="AJ1769" s="139" t="str">
        <f t="shared" si="31"/>
        <v/>
      </c>
    </row>
    <row r="1770" spans="36:36" ht="24" customHeight="1">
      <c r="AJ1770" s="139" t="str">
        <f t="shared" si="31"/>
        <v/>
      </c>
    </row>
    <row r="1771" spans="36:36" ht="24" customHeight="1">
      <c r="AJ1771" s="139" t="str">
        <f t="shared" si="31"/>
        <v/>
      </c>
    </row>
    <row r="1772" spans="36:36" ht="24" customHeight="1">
      <c r="AJ1772" s="139" t="str">
        <f t="shared" si="31"/>
        <v/>
      </c>
    </row>
    <row r="1773" spans="36:36" ht="24" customHeight="1">
      <c r="AJ1773" s="139" t="str">
        <f t="shared" si="31"/>
        <v/>
      </c>
    </row>
    <row r="1774" spans="36:36" ht="24" customHeight="1">
      <c r="AJ1774" s="139" t="str">
        <f t="shared" si="31"/>
        <v/>
      </c>
    </row>
    <row r="1775" spans="36:36" ht="24" customHeight="1">
      <c r="AJ1775" s="139" t="str">
        <f t="shared" si="31"/>
        <v/>
      </c>
    </row>
    <row r="1776" spans="36:36" ht="24" customHeight="1">
      <c r="AJ1776" s="139" t="str">
        <f t="shared" si="31"/>
        <v/>
      </c>
    </row>
    <row r="1777" spans="36:36" ht="24" customHeight="1">
      <c r="AJ1777" s="139" t="str">
        <f t="shared" si="31"/>
        <v/>
      </c>
    </row>
    <row r="1778" spans="36:36" ht="24" customHeight="1">
      <c r="AJ1778" s="139" t="str">
        <f t="shared" si="31"/>
        <v/>
      </c>
    </row>
    <row r="1779" spans="36:36" ht="24" customHeight="1">
      <c r="AJ1779" s="139" t="str">
        <f t="shared" si="31"/>
        <v/>
      </c>
    </row>
    <row r="1780" spans="36:36" ht="24" customHeight="1">
      <c r="AJ1780" s="139" t="str">
        <f t="shared" si="31"/>
        <v/>
      </c>
    </row>
    <row r="1781" spans="36:36" ht="24" customHeight="1">
      <c r="AJ1781" s="139" t="str">
        <f t="shared" si="31"/>
        <v/>
      </c>
    </row>
    <row r="1782" spans="36:36" ht="24" customHeight="1">
      <c r="AJ1782" s="139" t="str">
        <f t="shared" si="31"/>
        <v/>
      </c>
    </row>
    <row r="1783" spans="36:36" ht="24" customHeight="1">
      <c r="AJ1783" s="139" t="str">
        <f t="shared" si="31"/>
        <v/>
      </c>
    </row>
    <row r="1784" spans="36:36" ht="24" customHeight="1">
      <c r="AJ1784" s="139" t="str">
        <f t="shared" si="31"/>
        <v/>
      </c>
    </row>
    <row r="1785" spans="36:36" ht="24" customHeight="1">
      <c r="AJ1785" s="139" t="str">
        <f t="shared" si="31"/>
        <v/>
      </c>
    </row>
    <row r="1786" spans="36:36" ht="24" customHeight="1">
      <c r="AJ1786" s="139" t="str">
        <f t="shared" si="31"/>
        <v/>
      </c>
    </row>
    <row r="1787" spans="36:36" ht="24" customHeight="1">
      <c r="AJ1787" s="139" t="str">
        <f t="shared" si="31"/>
        <v/>
      </c>
    </row>
    <row r="1788" spans="36:36" ht="24" customHeight="1">
      <c r="AJ1788" s="139" t="str">
        <f t="shared" si="31"/>
        <v/>
      </c>
    </row>
    <row r="1789" spans="36:36" ht="24" customHeight="1">
      <c r="AJ1789" s="139" t="str">
        <f t="shared" si="31"/>
        <v/>
      </c>
    </row>
    <row r="1790" spans="36:36" ht="24" customHeight="1">
      <c r="AJ1790" s="139" t="str">
        <f t="shared" si="31"/>
        <v/>
      </c>
    </row>
    <row r="1791" spans="36:36" ht="24" customHeight="1">
      <c r="AJ1791" s="139" t="str">
        <f t="shared" si="31"/>
        <v/>
      </c>
    </row>
    <row r="1792" spans="36:36" ht="24" customHeight="1">
      <c r="AJ1792" s="139" t="str">
        <f t="shared" si="31"/>
        <v/>
      </c>
    </row>
    <row r="1793" spans="36:36" ht="24" customHeight="1">
      <c r="AJ1793" s="139" t="str">
        <f t="shared" si="31"/>
        <v/>
      </c>
    </row>
    <row r="1794" spans="36:36" ht="24" customHeight="1">
      <c r="AJ1794" s="139" t="str">
        <f t="shared" si="31"/>
        <v/>
      </c>
    </row>
    <row r="1795" spans="36:36" ht="24" customHeight="1">
      <c r="AJ1795" s="139" t="str">
        <f t="shared" si="31"/>
        <v/>
      </c>
    </row>
    <row r="1796" spans="36:36" ht="24" customHeight="1">
      <c r="AJ1796" s="139" t="str">
        <f t="shared" si="31"/>
        <v/>
      </c>
    </row>
    <row r="1797" spans="36:36" ht="24" customHeight="1">
      <c r="AJ1797" s="139" t="str">
        <f t="shared" si="31"/>
        <v/>
      </c>
    </row>
    <row r="1798" spans="36:36" ht="24" customHeight="1">
      <c r="AJ1798" s="139" t="str">
        <f t="shared" si="31"/>
        <v/>
      </c>
    </row>
    <row r="1799" spans="36:36" ht="24" customHeight="1">
      <c r="AJ1799" s="139" t="str">
        <f t="shared" si="31"/>
        <v/>
      </c>
    </row>
    <row r="1800" spans="36:36" ht="24" customHeight="1">
      <c r="AJ1800" s="139" t="str">
        <f t="shared" si="31"/>
        <v/>
      </c>
    </row>
    <row r="1801" spans="36:36" ht="24" customHeight="1">
      <c r="AJ1801" s="139" t="str">
        <f t="shared" ref="AJ1801:AJ1828" si="32">IF(C1801="","",C1801)</f>
        <v/>
      </c>
    </row>
    <row r="1802" spans="36:36" ht="24" customHeight="1">
      <c r="AJ1802" s="139" t="str">
        <f t="shared" si="32"/>
        <v/>
      </c>
    </row>
    <row r="1803" spans="36:36" ht="24" customHeight="1">
      <c r="AJ1803" s="139" t="str">
        <f t="shared" si="32"/>
        <v/>
      </c>
    </row>
    <row r="1804" spans="36:36" ht="24" customHeight="1">
      <c r="AJ1804" s="139" t="str">
        <f t="shared" si="32"/>
        <v/>
      </c>
    </row>
    <row r="1805" spans="36:36" ht="24" customHeight="1">
      <c r="AJ1805" s="139" t="str">
        <f t="shared" si="32"/>
        <v/>
      </c>
    </row>
    <row r="1806" spans="36:36" ht="24" customHeight="1">
      <c r="AJ1806" s="139" t="str">
        <f t="shared" si="32"/>
        <v/>
      </c>
    </row>
    <row r="1807" spans="36:36" ht="24" customHeight="1">
      <c r="AJ1807" s="139" t="str">
        <f t="shared" si="32"/>
        <v/>
      </c>
    </row>
    <row r="1808" spans="36:36" ht="24" customHeight="1">
      <c r="AJ1808" s="139" t="str">
        <f t="shared" si="32"/>
        <v/>
      </c>
    </row>
    <row r="1809" spans="36:36" ht="24" customHeight="1">
      <c r="AJ1809" s="139" t="str">
        <f t="shared" si="32"/>
        <v/>
      </c>
    </row>
    <row r="1810" spans="36:36" ht="24" customHeight="1">
      <c r="AJ1810" s="139" t="str">
        <f t="shared" si="32"/>
        <v/>
      </c>
    </row>
    <row r="1811" spans="36:36" ht="24" customHeight="1">
      <c r="AJ1811" s="139" t="str">
        <f t="shared" si="32"/>
        <v/>
      </c>
    </row>
    <row r="1812" spans="36:36" ht="24" customHeight="1">
      <c r="AJ1812" s="139" t="str">
        <f t="shared" si="32"/>
        <v/>
      </c>
    </row>
    <row r="1813" spans="36:36" ht="24" customHeight="1">
      <c r="AJ1813" s="139" t="str">
        <f t="shared" si="32"/>
        <v/>
      </c>
    </row>
    <row r="1814" spans="36:36" ht="24" customHeight="1">
      <c r="AJ1814" s="139" t="str">
        <f t="shared" si="32"/>
        <v/>
      </c>
    </row>
    <row r="1815" spans="36:36" ht="24" customHeight="1">
      <c r="AJ1815" s="139" t="str">
        <f t="shared" si="32"/>
        <v/>
      </c>
    </row>
    <row r="1816" spans="36:36" ht="24" customHeight="1">
      <c r="AJ1816" s="139" t="str">
        <f t="shared" si="32"/>
        <v/>
      </c>
    </row>
    <row r="1817" spans="36:36" ht="24" customHeight="1">
      <c r="AJ1817" s="139" t="str">
        <f t="shared" si="32"/>
        <v/>
      </c>
    </row>
    <row r="1818" spans="36:36" ht="24" customHeight="1">
      <c r="AJ1818" s="139" t="str">
        <f t="shared" si="32"/>
        <v/>
      </c>
    </row>
    <row r="1819" spans="36:36" ht="24" customHeight="1">
      <c r="AJ1819" s="139" t="str">
        <f t="shared" si="32"/>
        <v/>
      </c>
    </row>
    <row r="1820" spans="36:36" ht="24" customHeight="1">
      <c r="AJ1820" s="139" t="str">
        <f t="shared" si="32"/>
        <v/>
      </c>
    </row>
    <row r="1821" spans="36:36" ht="24" customHeight="1">
      <c r="AJ1821" s="139" t="str">
        <f t="shared" si="32"/>
        <v/>
      </c>
    </row>
    <row r="1822" spans="36:36" ht="24" customHeight="1">
      <c r="AJ1822" s="139" t="str">
        <f t="shared" si="32"/>
        <v/>
      </c>
    </row>
    <row r="1823" spans="36:36" ht="24" customHeight="1">
      <c r="AJ1823" s="139" t="str">
        <f t="shared" si="32"/>
        <v/>
      </c>
    </row>
    <row r="1824" spans="36:36" ht="24" customHeight="1">
      <c r="AJ1824" s="139" t="str">
        <f t="shared" si="32"/>
        <v/>
      </c>
    </row>
    <row r="1825" spans="36:36" ht="24" customHeight="1">
      <c r="AJ1825" s="139" t="str">
        <f t="shared" si="32"/>
        <v/>
      </c>
    </row>
    <row r="1826" spans="36:36" ht="24" customHeight="1">
      <c r="AJ1826" s="139" t="str">
        <f t="shared" si="32"/>
        <v/>
      </c>
    </row>
    <row r="1827" spans="36:36" ht="24" customHeight="1">
      <c r="AJ1827" s="139" t="str">
        <f t="shared" si="32"/>
        <v/>
      </c>
    </row>
    <row r="1828" spans="36:36" ht="24" customHeight="1">
      <c r="AJ1828" s="139" t="str">
        <f t="shared" si="32"/>
        <v/>
      </c>
    </row>
  </sheetData>
  <autoFilter ref="C7:AL1828" xr:uid="{183F7B1F-0AB9-477F-BB4A-B002E4B636F6}"/>
  <phoneticPr fontId="34" type="noConversion"/>
  <conditionalFormatting sqref="AJ5">
    <cfRule type="iconSet" priority="12">
      <iconSet>
        <cfvo type="percent" val="0"/>
        <cfvo type="percent" val="33"/>
        <cfvo type="percent" val="67"/>
      </iconSet>
    </cfRule>
  </conditionalFormatting>
  <dataValidations count="2">
    <dataValidation type="list" allowBlank="1" showInputMessage="1" showErrorMessage="1" sqref="AJ3" xr:uid="{58665B4C-0632-4170-865D-7EE11D05AC11}">
      <formula1>month_kh_option</formula1>
    </dataValidation>
    <dataValidation type="list" allowBlank="1" showInputMessage="1" showErrorMessage="1" sqref="AM3" xr:uid="{A9436F26-6601-4A34-B2A2-4B28370C7C29}">
      <formula1>$AM$4:$AM$5</formula1>
    </dataValidation>
  </dataValidations>
  <printOptions horizontalCentered="1"/>
  <pageMargins left="7.874015748031496E-2" right="7.874015748031496E-2" top="7.874015748031496E-2" bottom="0.39370078740157483" header="7.874015748031496E-2" footer="7.874015748031496E-2"/>
  <pageSetup paperSize="9" scale="95" orientation="portrait" r:id="rId1"/>
  <headerFooter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tStatusIconSaleInvoice">
                <anchor moveWithCells="1" sizeWithCells="1">
                  <from>
                    <xdr:col>30</xdr:col>
                    <xdr:colOff>142875</xdr:colOff>
                    <xdr:row>2</xdr:row>
                    <xdr:rowOff>533400</xdr:rowOff>
                  </from>
                  <to>
                    <xdr:col>31</xdr:col>
                    <xdr:colOff>771525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867ACB28-2743-42F8-8D42-6813BBF168E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AA4:AB4</xm:sqref>
        </x14:conditionalFormatting>
        <x14:conditionalFormatting xmlns:xm="http://schemas.microsoft.com/office/excel/2006/main">
          <x14:cfRule type="iconSet" priority="4" id="{1A9C6CB2-E47E-490F-9186-D0EE1130A8F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AC4:AD4</xm:sqref>
        </x14:conditionalFormatting>
        <x14:conditionalFormatting xmlns:xm="http://schemas.microsoft.com/office/excel/2006/main">
          <x14:cfRule type="iconSet" priority="14" id="{F40891B0-86E0-424B-A196-D465969E05D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X6</xm:sqref>
        </x14:conditionalFormatting>
        <x14:conditionalFormatting xmlns:xm="http://schemas.microsoft.com/office/excel/2006/main">
          <x14:cfRule type="iconSet" priority="15" id="{05D9161A-7519-4C78-9DA5-9B19332AB1A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AD12:AD45 AD75:AD91 AD93:AD96 AD103:AD10000 AD47:AD73</xm:sqref>
        </x14:conditionalFormatting>
        <x14:conditionalFormatting xmlns:xm="http://schemas.microsoft.com/office/excel/2006/main">
          <x14:cfRule type="iconSet" priority="19" id="{FA2D84D1-1373-45CC-BB47-25A9155A17A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AD9:AD11</xm:sqref>
        </x14:conditionalFormatting>
        <x14:conditionalFormatting xmlns:xm="http://schemas.microsoft.com/office/excel/2006/main">
          <x14:cfRule type="iconSet" priority="20" id="{96B3F8BF-F091-46CD-987B-D384B983AA4C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AD8</xm:sqref>
        </x14:conditionalFormatting>
        <x14:conditionalFormatting xmlns:xm="http://schemas.microsoft.com/office/excel/2006/main">
          <x14:cfRule type="iconSet" priority="21" id="{990DCB0C-D62E-4B4D-9B08-6F4231DDD3C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AD74</xm:sqref>
        </x14:conditionalFormatting>
        <x14:conditionalFormatting xmlns:xm="http://schemas.microsoft.com/office/excel/2006/main">
          <x14:cfRule type="iconSet" priority="22" id="{5A8A834F-9EB0-4CB8-84E4-01F323C411C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AD92</xm:sqref>
        </x14:conditionalFormatting>
        <x14:conditionalFormatting xmlns:xm="http://schemas.microsoft.com/office/excel/2006/main">
          <x14:cfRule type="iconSet" priority="23" id="{A10CC395-170C-41EE-AEA0-4D4996605E8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AD97</xm:sqref>
        </x14:conditionalFormatting>
        <x14:conditionalFormatting xmlns:xm="http://schemas.microsoft.com/office/excel/2006/main">
          <x14:cfRule type="iconSet" priority="24" id="{BF654625-E673-4459-8D9C-9934566AE0C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AD46</xm:sqref>
        </x14:conditionalFormatting>
        <x14:conditionalFormatting xmlns:xm="http://schemas.microsoft.com/office/excel/2006/main">
          <x14:cfRule type="iconSet" priority="25" id="{FB3E2EF9-FB2E-41D5-A5FF-B8F7BF2CAAC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AD98</xm:sqref>
        </x14:conditionalFormatting>
        <x14:conditionalFormatting xmlns:xm="http://schemas.microsoft.com/office/excel/2006/main">
          <x14:cfRule type="iconSet" priority="26" id="{D09ACFFF-49D2-48E6-95D0-4B1083121E2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AD99</xm:sqref>
        </x14:conditionalFormatting>
        <x14:conditionalFormatting xmlns:xm="http://schemas.microsoft.com/office/excel/2006/main">
          <x14:cfRule type="iconSet" priority="27" id="{4FD606CD-1135-4869-AAEE-C58FF6E922A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AD100</xm:sqref>
        </x14:conditionalFormatting>
        <x14:conditionalFormatting xmlns:xm="http://schemas.microsoft.com/office/excel/2006/main">
          <x14:cfRule type="iconSet" priority="28" id="{0A363942-07FC-44CA-95A9-1951EE523F0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AD101</xm:sqref>
        </x14:conditionalFormatting>
        <x14:conditionalFormatting xmlns:xm="http://schemas.microsoft.com/office/excel/2006/main">
          <x14:cfRule type="iconSet" priority="29" id="{19AE555B-630C-4927-A402-AE885D69502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AD102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0"/>
  <dimension ref="C1:AF1181"/>
  <sheetViews>
    <sheetView tabSelected="1" topLeftCell="A3" zoomScale="80" zoomScaleNormal="80" workbookViewId="0">
      <pane ySplit="5" topLeftCell="A361" activePane="bottomLeft" state="frozen"/>
      <selection activeCell="L28" sqref="L28"/>
      <selection pane="bottomLeft" activeCell="J388" sqref="J388"/>
    </sheetView>
  </sheetViews>
  <sheetFormatPr defaultRowHeight="21.95" customHeight="1"/>
  <cols>
    <col min="1" max="1" width="4.42578125" style="130" customWidth="1"/>
    <col min="2" max="2" width="3.42578125" style="130" customWidth="1"/>
    <col min="3" max="3" width="6.5703125" style="126" customWidth="1"/>
    <col min="4" max="4" width="16" style="126" customWidth="1"/>
    <col min="5" max="6" width="21.85546875" style="126" customWidth="1"/>
    <col min="7" max="7" width="14" style="126" customWidth="1"/>
    <col min="8" max="8" width="16.7109375" style="162" customWidth="1"/>
    <col min="9" max="9" width="18.7109375" style="126" customWidth="1"/>
    <col min="10" max="10" width="21.28515625" style="141" customWidth="1"/>
    <col min="11" max="11" width="46.42578125" style="159" bestFit="1" customWidth="1"/>
    <col min="12" max="12" width="9.5703125" style="126" customWidth="1"/>
    <col min="13" max="13" width="16.7109375" style="126" customWidth="1"/>
    <col min="14" max="14" width="18.28515625" style="159" customWidth="1"/>
    <col min="15" max="15" width="14" style="126" customWidth="1"/>
    <col min="16" max="16" width="21.28515625" style="126" customWidth="1"/>
    <col min="17" max="17" width="14" style="126" customWidth="1"/>
    <col min="18" max="18" width="17" style="126" bestFit="1" customWidth="1"/>
    <col min="19" max="20" width="17.7109375" style="204" customWidth="1"/>
    <col min="21" max="21" width="22.5703125" style="204" customWidth="1"/>
    <col min="22" max="24" width="22.5703125" style="126" customWidth="1"/>
    <col min="25" max="25" width="9" style="126" customWidth="1"/>
    <col min="26" max="26" width="10.7109375" style="126" bestFit="1" customWidth="1"/>
    <col min="27" max="27" width="14.42578125" style="126" customWidth="1"/>
    <col min="28" max="28" width="14" style="126" customWidth="1"/>
    <col min="29" max="29" width="17.140625" style="334" customWidth="1"/>
    <col min="30" max="30" width="27.7109375" style="130" customWidth="1"/>
    <col min="31" max="31" width="14.28515625" style="130" customWidth="1"/>
    <col min="32" max="32" width="13.140625" style="130" customWidth="1"/>
    <col min="33" max="16384" width="9.140625" style="130"/>
  </cols>
  <sheetData>
    <row r="1" spans="3:32" ht="21.95" hidden="1" customHeight="1"/>
    <row r="2" spans="3:32" ht="21.95" hidden="1" customHeight="1"/>
    <row r="4" spans="3:32" ht="21.95" customHeight="1">
      <c r="C4" s="238"/>
      <c r="D4" s="239"/>
      <c r="E4" s="333"/>
      <c r="F4" s="239"/>
      <c r="G4" s="239"/>
      <c r="H4" s="240"/>
      <c r="I4" s="239"/>
      <c r="J4" s="241"/>
      <c r="K4" s="242"/>
      <c r="L4" s="239"/>
      <c r="M4" s="239"/>
      <c r="N4" s="242"/>
      <c r="O4" s="239"/>
      <c r="P4" s="239"/>
      <c r="Q4" s="239"/>
      <c r="R4" s="239"/>
      <c r="S4" s="243"/>
      <c r="T4" s="243"/>
      <c r="U4" s="243"/>
      <c r="V4" s="239"/>
      <c r="W4" s="239"/>
      <c r="X4" s="239"/>
      <c r="Y4" s="239"/>
      <c r="Z4" s="239"/>
      <c r="AA4" s="239"/>
      <c r="AB4" s="239"/>
    </row>
    <row r="5" spans="3:32" ht="21.95" customHeight="1">
      <c r="E5" s="137"/>
    </row>
    <row r="6" spans="3:32" customFormat="1" ht="29.25" customHeight="1">
      <c r="C6" s="305" t="s">
        <v>10</v>
      </c>
      <c r="D6" s="305" t="s">
        <v>123</v>
      </c>
      <c r="E6" s="305" t="s">
        <v>289</v>
      </c>
      <c r="F6" s="305" t="s">
        <v>123</v>
      </c>
      <c r="G6" s="305" t="s">
        <v>123</v>
      </c>
      <c r="H6" s="305" t="s">
        <v>24</v>
      </c>
      <c r="I6" s="305" t="s">
        <v>101</v>
      </c>
      <c r="J6" s="305" t="s">
        <v>37</v>
      </c>
      <c r="K6" s="305" t="s">
        <v>38</v>
      </c>
      <c r="L6" s="305" t="s">
        <v>16</v>
      </c>
      <c r="M6" s="305" t="s">
        <v>880</v>
      </c>
      <c r="N6" s="305" t="s">
        <v>13</v>
      </c>
      <c r="O6" s="305" t="s">
        <v>198</v>
      </c>
      <c r="P6" s="305" t="s">
        <v>265</v>
      </c>
      <c r="Q6" s="305" t="s">
        <v>276</v>
      </c>
      <c r="R6" s="305" t="s">
        <v>267</v>
      </c>
      <c r="S6" s="305" t="s">
        <v>14</v>
      </c>
      <c r="T6" s="305" t="s">
        <v>39</v>
      </c>
      <c r="U6" s="305" t="s">
        <v>33</v>
      </c>
      <c r="V6" s="305" t="s">
        <v>214</v>
      </c>
      <c r="W6" s="305" t="s">
        <v>211</v>
      </c>
      <c r="X6" s="305" t="s">
        <v>15</v>
      </c>
      <c r="Y6" s="305" t="s">
        <v>23</v>
      </c>
      <c r="Z6" s="305" t="s">
        <v>95</v>
      </c>
      <c r="AA6" s="305" t="s">
        <v>120</v>
      </c>
      <c r="AB6" s="305" t="s">
        <v>109</v>
      </c>
      <c r="AC6" s="2"/>
      <c r="AE6" s="147"/>
      <c r="AF6" s="147"/>
    </row>
    <row r="7" spans="3:32" customFormat="1" ht="15">
      <c r="C7" s="306" t="s">
        <v>139</v>
      </c>
      <c r="D7" s="306" t="s">
        <v>200</v>
      </c>
      <c r="E7" s="306" t="s">
        <v>288</v>
      </c>
      <c r="F7" s="306" t="s">
        <v>479</v>
      </c>
      <c r="G7" s="306" t="s">
        <v>29</v>
      </c>
      <c r="H7" s="306" t="s">
        <v>40</v>
      </c>
      <c r="I7" s="306" t="s">
        <v>100</v>
      </c>
      <c r="J7" s="306" t="s">
        <v>35</v>
      </c>
      <c r="K7" s="306" t="s">
        <v>36</v>
      </c>
      <c r="L7" s="306" t="s">
        <v>18</v>
      </c>
      <c r="M7" s="306" t="s">
        <v>196</v>
      </c>
      <c r="N7" s="306" t="s">
        <v>199</v>
      </c>
      <c r="O7" s="306" t="s">
        <v>197</v>
      </c>
      <c r="P7" s="306" t="s">
        <v>287</v>
      </c>
      <c r="Q7" s="306" t="s">
        <v>286</v>
      </c>
      <c r="R7" s="306" t="s">
        <v>278</v>
      </c>
      <c r="S7" s="306" t="s">
        <v>19</v>
      </c>
      <c r="T7" s="306" t="s">
        <v>8</v>
      </c>
      <c r="U7" s="306" t="s">
        <v>201</v>
      </c>
      <c r="V7" s="306" t="s">
        <v>417</v>
      </c>
      <c r="W7" s="306" t="s">
        <v>202</v>
      </c>
      <c r="X7" s="306" t="s">
        <v>466</v>
      </c>
      <c r="Y7" s="306" t="s">
        <v>26</v>
      </c>
      <c r="Z7" s="306" t="s">
        <v>2</v>
      </c>
      <c r="AA7" s="306" t="s">
        <v>121</v>
      </c>
      <c r="AB7" s="306" t="s">
        <v>98</v>
      </c>
      <c r="AC7" s="2"/>
    </row>
    <row r="8" spans="3:32" ht="21.95" customHeight="1">
      <c r="C8" s="126">
        <v>1</v>
      </c>
      <c r="D8" s="126">
        <v>1</v>
      </c>
      <c r="F8" s="126" t="s">
        <v>789</v>
      </c>
      <c r="G8" s="168" t="s">
        <v>1016</v>
      </c>
      <c r="H8" s="162">
        <v>46174</v>
      </c>
      <c r="I8" s="126">
        <v>1</v>
      </c>
      <c r="J8" s="141" t="s">
        <v>559</v>
      </c>
      <c r="K8" s="159" t="s">
        <v>560</v>
      </c>
      <c r="L8" s="126">
        <v>10</v>
      </c>
      <c r="M8" s="126">
        <v>0</v>
      </c>
      <c r="N8" s="159" t="s">
        <v>545</v>
      </c>
      <c r="O8" s="126">
        <v>1</v>
      </c>
      <c r="S8" s="204">
        <v>2.89</v>
      </c>
      <c r="T8" s="204">
        <v>3.5</v>
      </c>
      <c r="U8" s="204">
        <v>35</v>
      </c>
      <c r="W8" s="228"/>
      <c r="X8" s="228"/>
      <c r="Y8" s="126">
        <v>1</v>
      </c>
      <c r="Z8" s="126">
        <v>6</v>
      </c>
      <c r="AA8" s="126">
        <v>2026</v>
      </c>
      <c r="AB8" s="342">
        <v>1</v>
      </c>
      <c r="AD8" s="343"/>
    </row>
    <row r="9" spans="3:32" ht="21.95" customHeight="1">
      <c r="C9" s="126">
        <v>2</v>
      </c>
      <c r="D9" s="126">
        <v>1</v>
      </c>
      <c r="F9" s="126" t="s">
        <v>789</v>
      </c>
      <c r="G9" s="168" t="s">
        <v>1016</v>
      </c>
      <c r="H9" s="162">
        <v>46174</v>
      </c>
      <c r="I9" s="126">
        <v>1</v>
      </c>
      <c r="J9" s="141" t="s">
        <v>554</v>
      </c>
      <c r="K9" s="159" t="s">
        <v>555</v>
      </c>
      <c r="L9" s="126">
        <v>1</v>
      </c>
      <c r="M9" s="126">
        <v>0</v>
      </c>
      <c r="N9" s="159" t="s">
        <v>545</v>
      </c>
      <c r="O9" s="126">
        <v>12</v>
      </c>
      <c r="S9" s="204">
        <v>3.3</v>
      </c>
      <c r="T9" s="204">
        <v>5.5</v>
      </c>
      <c r="U9" s="204">
        <v>5.5</v>
      </c>
      <c r="W9" s="228"/>
      <c r="X9" s="228"/>
      <c r="Y9" s="126">
        <v>1</v>
      </c>
      <c r="Z9" s="126">
        <v>6</v>
      </c>
      <c r="AA9" s="126">
        <v>2026</v>
      </c>
      <c r="AB9" s="342">
        <v>1</v>
      </c>
      <c r="AD9" s="343"/>
    </row>
    <row r="10" spans="3:32" ht="21.95" customHeight="1">
      <c r="C10" s="126">
        <v>3</v>
      </c>
      <c r="D10" s="126">
        <v>2</v>
      </c>
      <c r="F10" s="126" t="s">
        <v>789</v>
      </c>
      <c r="G10" s="168" t="s">
        <v>857</v>
      </c>
      <c r="H10" s="162">
        <v>46174</v>
      </c>
      <c r="I10" s="126">
        <v>1</v>
      </c>
      <c r="J10" s="141" t="s">
        <v>564</v>
      </c>
      <c r="K10" s="159" t="s">
        <v>565</v>
      </c>
      <c r="L10" s="126">
        <v>15</v>
      </c>
      <c r="M10" s="126">
        <v>0</v>
      </c>
      <c r="N10" s="159" t="s">
        <v>566</v>
      </c>
      <c r="O10" s="126">
        <v>1000</v>
      </c>
      <c r="S10" s="204">
        <v>0.1</v>
      </c>
      <c r="T10" s="204">
        <v>0.18</v>
      </c>
      <c r="U10" s="204">
        <v>2.63</v>
      </c>
      <c r="W10" s="228"/>
      <c r="X10" s="228"/>
      <c r="Y10" s="126">
        <v>1</v>
      </c>
      <c r="Z10" s="126">
        <v>6</v>
      </c>
      <c r="AA10" s="126">
        <v>2026</v>
      </c>
      <c r="AB10" s="342">
        <v>1</v>
      </c>
      <c r="AD10" s="343"/>
    </row>
    <row r="11" spans="3:32" ht="21.95" customHeight="1">
      <c r="C11" s="126">
        <v>4</v>
      </c>
      <c r="D11" s="126">
        <v>2</v>
      </c>
      <c r="F11" s="126" t="s">
        <v>789</v>
      </c>
      <c r="G11" s="168" t="s">
        <v>857</v>
      </c>
      <c r="H11" s="162">
        <v>46174</v>
      </c>
      <c r="I11" s="126">
        <v>1</v>
      </c>
      <c r="J11" s="141" t="s">
        <v>570</v>
      </c>
      <c r="K11" s="159" t="s">
        <v>571</v>
      </c>
      <c r="L11" s="126">
        <v>1</v>
      </c>
      <c r="M11" s="126">
        <v>0</v>
      </c>
      <c r="N11" s="159" t="s">
        <v>572</v>
      </c>
      <c r="O11" s="126">
        <v>1</v>
      </c>
      <c r="S11" s="204">
        <v>6.03</v>
      </c>
      <c r="T11" s="204">
        <v>6.5</v>
      </c>
      <c r="U11" s="204">
        <v>6.5</v>
      </c>
      <c r="W11" s="228"/>
      <c r="X11" s="228"/>
      <c r="Y11" s="126">
        <v>1</v>
      </c>
      <c r="Z11" s="126">
        <v>6</v>
      </c>
      <c r="AA11" s="126">
        <v>2026</v>
      </c>
      <c r="AB11" s="342">
        <v>1</v>
      </c>
      <c r="AD11" s="343"/>
    </row>
    <row r="12" spans="3:32" ht="21.95" customHeight="1">
      <c r="C12" s="126">
        <v>5</v>
      </c>
      <c r="D12" s="126">
        <v>2</v>
      </c>
      <c r="F12" s="126" t="s">
        <v>789</v>
      </c>
      <c r="G12" s="168" t="s">
        <v>857</v>
      </c>
      <c r="H12" s="162">
        <v>46174</v>
      </c>
      <c r="I12" s="126">
        <v>1</v>
      </c>
      <c r="J12" s="141" t="s">
        <v>576</v>
      </c>
      <c r="K12" s="159" t="s">
        <v>577</v>
      </c>
      <c r="L12" s="126">
        <v>3</v>
      </c>
      <c r="M12" s="126">
        <v>0</v>
      </c>
      <c r="N12" s="159" t="s">
        <v>572</v>
      </c>
      <c r="O12" s="126">
        <v>1</v>
      </c>
      <c r="S12" s="204">
        <v>3.37</v>
      </c>
      <c r="T12" s="204">
        <v>3.5</v>
      </c>
      <c r="U12" s="204">
        <v>10.5</v>
      </c>
      <c r="W12" s="228"/>
      <c r="X12" s="228"/>
      <c r="Y12" s="126">
        <v>1</v>
      </c>
      <c r="Z12" s="126">
        <v>6</v>
      </c>
      <c r="AA12" s="126">
        <v>2026</v>
      </c>
      <c r="AB12" s="342">
        <v>1</v>
      </c>
      <c r="AD12" s="343"/>
    </row>
    <row r="13" spans="3:32" ht="21.95" customHeight="1">
      <c r="C13" s="126">
        <v>6</v>
      </c>
      <c r="D13" s="126">
        <v>2</v>
      </c>
      <c r="F13" s="126" t="s">
        <v>789</v>
      </c>
      <c r="G13" s="168" t="s">
        <v>857</v>
      </c>
      <c r="H13" s="162">
        <v>46174</v>
      </c>
      <c r="I13" s="126">
        <v>1</v>
      </c>
      <c r="J13" s="141" t="s">
        <v>581</v>
      </c>
      <c r="K13" s="159" t="s">
        <v>582</v>
      </c>
      <c r="L13" s="126">
        <v>1</v>
      </c>
      <c r="M13" s="126">
        <v>0</v>
      </c>
      <c r="N13" s="159" t="s">
        <v>545</v>
      </c>
      <c r="O13" s="126">
        <v>1</v>
      </c>
      <c r="S13" s="204">
        <v>5.8</v>
      </c>
      <c r="T13" s="204">
        <v>6</v>
      </c>
      <c r="U13" s="204">
        <v>6</v>
      </c>
      <c r="W13" s="228"/>
      <c r="X13" s="228"/>
      <c r="Y13" s="126">
        <v>1</v>
      </c>
      <c r="Z13" s="126">
        <v>6</v>
      </c>
      <c r="AA13" s="126">
        <v>2026</v>
      </c>
      <c r="AB13" s="342">
        <v>1</v>
      </c>
      <c r="AD13" s="343"/>
    </row>
    <row r="14" spans="3:32" ht="21.95" customHeight="1">
      <c r="C14" s="126">
        <v>7</v>
      </c>
      <c r="D14" s="126">
        <v>2</v>
      </c>
      <c r="F14" s="126" t="s">
        <v>789</v>
      </c>
      <c r="G14" s="168" t="s">
        <v>857</v>
      </c>
      <c r="H14" s="162">
        <v>46174</v>
      </c>
      <c r="I14" s="126">
        <v>1</v>
      </c>
      <c r="J14" s="141" t="s">
        <v>586</v>
      </c>
      <c r="K14" s="159" t="s">
        <v>587</v>
      </c>
      <c r="L14" s="126">
        <v>1</v>
      </c>
      <c r="M14" s="126">
        <v>0</v>
      </c>
      <c r="N14" s="159" t="s">
        <v>545</v>
      </c>
      <c r="O14" s="126">
        <v>1</v>
      </c>
      <c r="S14" s="204">
        <v>14.85</v>
      </c>
      <c r="T14" s="204">
        <v>15</v>
      </c>
      <c r="U14" s="204">
        <v>15</v>
      </c>
      <c r="W14" s="228"/>
      <c r="X14" s="228"/>
      <c r="Y14" s="126">
        <v>1</v>
      </c>
      <c r="Z14" s="126">
        <v>6</v>
      </c>
      <c r="AA14" s="126">
        <v>2026</v>
      </c>
      <c r="AB14" s="342">
        <v>1</v>
      </c>
      <c r="AD14" s="343"/>
    </row>
    <row r="15" spans="3:32" ht="21.95" customHeight="1">
      <c r="C15" s="343">
        <v>8</v>
      </c>
      <c r="D15" s="126">
        <v>2</v>
      </c>
      <c r="F15" s="126" t="s">
        <v>789</v>
      </c>
      <c r="G15" s="168" t="s">
        <v>857</v>
      </c>
      <c r="H15" s="162">
        <v>46174</v>
      </c>
      <c r="I15" s="126">
        <v>1</v>
      </c>
      <c r="J15" s="141" t="s">
        <v>591</v>
      </c>
      <c r="K15" s="159" t="s">
        <v>592</v>
      </c>
      <c r="L15" s="126">
        <v>1</v>
      </c>
      <c r="M15" s="126">
        <v>0</v>
      </c>
      <c r="N15" s="159" t="s">
        <v>545</v>
      </c>
      <c r="O15" s="126">
        <v>12</v>
      </c>
      <c r="S15" s="204">
        <v>1.1000000000000001</v>
      </c>
      <c r="T15" s="204">
        <v>1.25</v>
      </c>
      <c r="U15" s="204">
        <v>1.25</v>
      </c>
      <c r="W15" s="228"/>
      <c r="X15" s="228"/>
      <c r="Y15" s="126">
        <v>1</v>
      </c>
      <c r="Z15" s="126">
        <v>6</v>
      </c>
      <c r="AA15" s="126">
        <v>2026</v>
      </c>
      <c r="AB15" s="342">
        <v>1</v>
      </c>
      <c r="AD15" s="343"/>
    </row>
    <row r="16" spans="3:32" ht="21.95" customHeight="1">
      <c r="C16" s="343">
        <v>9</v>
      </c>
      <c r="D16" s="126">
        <v>2</v>
      </c>
      <c r="F16" s="126" t="s">
        <v>789</v>
      </c>
      <c r="G16" s="168" t="s">
        <v>857</v>
      </c>
      <c r="H16" s="162">
        <v>46174</v>
      </c>
      <c r="I16" s="126">
        <v>1</v>
      </c>
      <c r="J16" s="141" t="s">
        <v>596</v>
      </c>
      <c r="K16" s="159" t="s">
        <v>597</v>
      </c>
      <c r="L16" s="126">
        <v>3</v>
      </c>
      <c r="M16" s="126">
        <v>0</v>
      </c>
      <c r="N16" s="159" t="s">
        <v>545</v>
      </c>
      <c r="O16" s="126">
        <v>1</v>
      </c>
      <c r="S16" s="204">
        <v>0.12</v>
      </c>
      <c r="T16" s="204">
        <v>0.25</v>
      </c>
      <c r="U16" s="204">
        <v>0.75</v>
      </c>
      <c r="W16" s="228"/>
      <c r="X16" s="228"/>
      <c r="Y16" s="126">
        <v>1</v>
      </c>
      <c r="Z16" s="126">
        <v>6</v>
      </c>
      <c r="AA16" s="126">
        <v>2026</v>
      </c>
      <c r="AB16" s="334">
        <v>1</v>
      </c>
      <c r="AD16" s="343"/>
    </row>
    <row r="17" spans="3:30" ht="21.95" customHeight="1">
      <c r="C17" s="343">
        <v>10</v>
      </c>
      <c r="D17" s="126">
        <v>2</v>
      </c>
      <c r="F17" s="126" t="s">
        <v>789</v>
      </c>
      <c r="G17" s="168" t="s">
        <v>857</v>
      </c>
      <c r="H17" s="162">
        <v>46174</v>
      </c>
      <c r="I17" s="126">
        <v>1</v>
      </c>
      <c r="J17" s="141" t="s">
        <v>601</v>
      </c>
      <c r="K17" s="159" t="s">
        <v>602</v>
      </c>
      <c r="L17" s="126">
        <v>1</v>
      </c>
      <c r="M17" s="126">
        <v>0</v>
      </c>
      <c r="N17" s="159" t="s">
        <v>545</v>
      </c>
      <c r="O17" s="126">
        <v>1</v>
      </c>
      <c r="S17" s="204">
        <v>0.5</v>
      </c>
      <c r="T17" s="204">
        <v>0.63</v>
      </c>
      <c r="U17" s="204">
        <v>0.63</v>
      </c>
      <c r="W17" s="228"/>
      <c r="X17" s="228"/>
      <c r="Y17" s="126">
        <v>1</v>
      </c>
      <c r="Z17" s="126">
        <v>6</v>
      </c>
      <c r="AA17" s="126">
        <v>2026</v>
      </c>
      <c r="AB17" s="334">
        <v>1</v>
      </c>
      <c r="AD17" s="343"/>
    </row>
    <row r="18" spans="3:30" ht="21.95" customHeight="1">
      <c r="C18" s="343">
        <v>11</v>
      </c>
      <c r="D18" s="126">
        <v>3</v>
      </c>
      <c r="F18" s="126" t="s">
        <v>790</v>
      </c>
      <c r="G18" s="168" t="s">
        <v>858</v>
      </c>
      <c r="H18" s="162">
        <v>46175</v>
      </c>
      <c r="I18" s="126">
        <v>1</v>
      </c>
      <c r="J18" s="141" t="s">
        <v>608</v>
      </c>
      <c r="K18" s="159" t="s">
        <v>609</v>
      </c>
      <c r="L18" s="126">
        <v>3</v>
      </c>
      <c r="M18" s="126">
        <v>0</v>
      </c>
      <c r="N18" s="159" t="s">
        <v>572</v>
      </c>
      <c r="O18" s="126">
        <v>1</v>
      </c>
      <c r="S18" s="204">
        <v>6.28</v>
      </c>
      <c r="T18" s="204">
        <v>6</v>
      </c>
      <c r="U18" s="204">
        <v>18</v>
      </c>
      <c r="Y18" s="126">
        <v>1</v>
      </c>
      <c r="Z18" s="126">
        <v>6</v>
      </c>
      <c r="AA18" s="126">
        <v>2026</v>
      </c>
      <c r="AB18" s="334">
        <v>1</v>
      </c>
      <c r="AD18" s="355"/>
    </row>
    <row r="19" spans="3:30" ht="21.95" customHeight="1">
      <c r="C19" s="343">
        <v>12</v>
      </c>
      <c r="D19" s="126">
        <v>3</v>
      </c>
      <c r="F19" s="126" t="s">
        <v>790</v>
      </c>
      <c r="G19" s="168" t="s">
        <v>858</v>
      </c>
      <c r="H19" s="162">
        <v>46175</v>
      </c>
      <c r="I19" s="126">
        <v>1</v>
      </c>
      <c r="J19" s="141" t="s">
        <v>576</v>
      </c>
      <c r="K19" s="159" t="s">
        <v>577</v>
      </c>
      <c r="L19" s="126">
        <v>2</v>
      </c>
      <c r="M19" s="126">
        <v>0</v>
      </c>
      <c r="N19" s="159" t="s">
        <v>572</v>
      </c>
      <c r="O19" s="126">
        <v>1</v>
      </c>
      <c r="S19" s="204">
        <v>3.37</v>
      </c>
      <c r="T19" s="204">
        <v>3.5</v>
      </c>
      <c r="U19" s="204">
        <v>7</v>
      </c>
      <c r="Y19" s="126">
        <v>1</v>
      </c>
      <c r="Z19" s="126">
        <v>6</v>
      </c>
      <c r="AA19" s="126">
        <v>2026</v>
      </c>
      <c r="AB19" s="334">
        <v>1</v>
      </c>
      <c r="AC19" s="130"/>
      <c r="AD19" s="343"/>
    </row>
    <row r="20" spans="3:30" ht="21.95" customHeight="1">
      <c r="C20" s="356">
        <v>13</v>
      </c>
      <c r="D20" s="126">
        <v>3</v>
      </c>
      <c r="F20" s="126" t="s">
        <v>790</v>
      </c>
      <c r="G20" s="168" t="s">
        <v>858</v>
      </c>
      <c r="H20" s="162">
        <v>46175</v>
      </c>
      <c r="I20" s="126">
        <v>1</v>
      </c>
      <c r="J20" s="141" t="s">
        <v>616</v>
      </c>
      <c r="K20" s="159" t="s">
        <v>617</v>
      </c>
      <c r="L20" s="126">
        <v>1</v>
      </c>
      <c r="M20" s="126">
        <v>0</v>
      </c>
      <c r="N20" s="159" t="s">
        <v>618</v>
      </c>
      <c r="O20" s="126">
        <v>1</v>
      </c>
      <c r="S20" s="204">
        <v>12</v>
      </c>
      <c r="T20" s="204">
        <v>12</v>
      </c>
      <c r="U20" s="204">
        <v>12</v>
      </c>
      <c r="Y20" s="126">
        <v>1</v>
      </c>
      <c r="Z20" s="126">
        <v>6</v>
      </c>
      <c r="AA20" s="126">
        <v>2026</v>
      </c>
      <c r="AB20" s="334">
        <v>1</v>
      </c>
      <c r="AD20" s="343"/>
    </row>
    <row r="21" spans="3:30" ht="21.95" customHeight="1">
      <c r="C21" s="343">
        <v>14</v>
      </c>
      <c r="D21" s="126">
        <v>3</v>
      </c>
      <c r="F21" s="126" t="s">
        <v>790</v>
      </c>
      <c r="G21" s="168" t="s">
        <v>858</v>
      </c>
      <c r="H21" s="162">
        <v>46175</v>
      </c>
      <c r="I21" s="126">
        <v>1</v>
      </c>
      <c r="J21" s="141" t="s">
        <v>608</v>
      </c>
      <c r="K21" s="159" t="s">
        <v>609</v>
      </c>
      <c r="L21" s="126">
        <v>3</v>
      </c>
      <c r="M21" s="126">
        <v>0</v>
      </c>
      <c r="N21" s="159" t="s">
        <v>572</v>
      </c>
      <c r="O21" s="126">
        <v>1</v>
      </c>
      <c r="S21" s="204">
        <v>6.28</v>
      </c>
      <c r="T21" s="204">
        <v>7</v>
      </c>
      <c r="U21" s="204">
        <v>21</v>
      </c>
      <c r="Y21" s="126">
        <v>1</v>
      </c>
      <c r="Z21" s="126">
        <v>6</v>
      </c>
      <c r="AA21" s="126">
        <v>2026</v>
      </c>
      <c r="AB21" s="334">
        <v>1</v>
      </c>
      <c r="AD21" s="343"/>
    </row>
    <row r="22" spans="3:30" ht="21.95" customHeight="1">
      <c r="C22" s="343">
        <v>15</v>
      </c>
      <c r="D22" s="126">
        <v>4</v>
      </c>
      <c r="F22" s="126" t="s">
        <v>790</v>
      </c>
      <c r="G22" s="168" t="s">
        <v>859</v>
      </c>
      <c r="H22" s="162">
        <v>46175</v>
      </c>
      <c r="I22" s="126">
        <v>1</v>
      </c>
      <c r="J22" s="141" t="s">
        <v>576</v>
      </c>
      <c r="K22" s="159" t="s">
        <v>577</v>
      </c>
      <c r="L22" s="126">
        <v>6</v>
      </c>
      <c r="M22" s="126">
        <v>0</v>
      </c>
      <c r="N22" s="159" t="s">
        <v>572</v>
      </c>
      <c r="O22" s="126">
        <v>1</v>
      </c>
      <c r="S22" s="204">
        <v>3.37</v>
      </c>
      <c r="T22" s="204">
        <v>3.5</v>
      </c>
      <c r="U22" s="204">
        <v>21</v>
      </c>
      <c r="Y22" s="126">
        <v>1</v>
      </c>
      <c r="Z22" s="126">
        <v>6</v>
      </c>
      <c r="AA22" s="126">
        <v>2026</v>
      </c>
      <c r="AB22" s="334">
        <v>1</v>
      </c>
      <c r="AD22" s="343"/>
    </row>
    <row r="23" spans="3:30" ht="21.95" customHeight="1">
      <c r="C23" s="343">
        <v>16</v>
      </c>
      <c r="D23" s="126">
        <v>4</v>
      </c>
      <c r="F23" s="126" t="s">
        <v>790</v>
      </c>
      <c r="G23" s="168" t="s">
        <v>859</v>
      </c>
      <c r="H23" s="162">
        <v>46175</v>
      </c>
      <c r="I23" s="126">
        <v>1</v>
      </c>
      <c r="J23" s="141" t="s">
        <v>627</v>
      </c>
      <c r="K23" s="159" t="s">
        <v>628</v>
      </c>
      <c r="L23" s="126">
        <v>5</v>
      </c>
      <c r="M23" s="126">
        <v>0</v>
      </c>
      <c r="N23" s="159" t="s">
        <v>618</v>
      </c>
      <c r="O23" s="126">
        <v>1</v>
      </c>
      <c r="S23" s="204">
        <v>2</v>
      </c>
      <c r="T23" s="204">
        <v>3</v>
      </c>
      <c r="U23" s="204">
        <v>15</v>
      </c>
      <c r="Y23" s="126">
        <v>1</v>
      </c>
      <c r="Z23" s="126">
        <v>6</v>
      </c>
      <c r="AA23" s="126">
        <v>2026</v>
      </c>
      <c r="AB23" s="334">
        <v>1</v>
      </c>
      <c r="AD23" s="343"/>
    </row>
    <row r="24" spans="3:30" ht="21.95" customHeight="1">
      <c r="C24" s="343">
        <v>17</v>
      </c>
      <c r="D24" s="126">
        <v>4</v>
      </c>
      <c r="F24" s="126" t="s">
        <v>790</v>
      </c>
      <c r="G24" s="168" t="s">
        <v>859</v>
      </c>
      <c r="H24" s="162">
        <v>46175</v>
      </c>
      <c r="I24" s="126">
        <v>1</v>
      </c>
      <c r="J24" s="141" t="s">
        <v>632</v>
      </c>
      <c r="K24" s="159" t="s">
        <v>633</v>
      </c>
      <c r="L24" s="126">
        <v>2</v>
      </c>
      <c r="M24" s="126">
        <v>0</v>
      </c>
      <c r="N24" s="159" t="s">
        <v>545</v>
      </c>
      <c r="O24" s="126">
        <v>12</v>
      </c>
      <c r="S24" s="204">
        <v>0.27</v>
      </c>
      <c r="T24" s="204">
        <v>0.38</v>
      </c>
      <c r="U24" s="204">
        <v>0.76</v>
      </c>
      <c r="Y24" s="126">
        <v>1</v>
      </c>
      <c r="Z24" s="126">
        <v>6</v>
      </c>
      <c r="AA24" s="126">
        <v>2026</v>
      </c>
      <c r="AB24" s="334">
        <v>1</v>
      </c>
      <c r="AD24" s="343"/>
    </row>
    <row r="25" spans="3:30" ht="21.95" customHeight="1">
      <c r="C25" s="355">
        <v>18</v>
      </c>
      <c r="D25" s="126">
        <v>4</v>
      </c>
      <c r="F25" s="126" t="s">
        <v>790</v>
      </c>
      <c r="G25" s="168" t="s">
        <v>859</v>
      </c>
      <c r="H25" s="162">
        <v>46175</v>
      </c>
      <c r="I25" s="126">
        <v>1</v>
      </c>
      <c r="J25" s="141" t="s">
        <v>637</v>
      </c>
      <c r="K25" s="159" t="s">
        <v>638</v>
      </c>
      <c r="L25" s="126">
        <v>2</v>
      </c>
      <c r="M25" s="126">
        <v>0</v>
      </c>
      <c r="N25" s="159" t="s">
        <v>545</v>
      </c>
      <c r="O25" s="126">
        <v>12</v>
      </c>
      <c r="S25" s="204">
        <v>0.3</v>
      </c>
      <c r="T25" s="204">
        <v>1.37</v>
      </c>
      <c r="U25" s="204">
        <v>2.74</v>
      </c>
      <c r="Y25" s="126">
        <v>1</v>
      </c>
      <c r="Z25" s="126">
        <v>6</v>
      </c>
      <c r="AA25" s="126">
        <v>2026</v>
      </c>
      <c r="AB25" s="334">
        <v>1</v>
      </c>
      <c r="AD25" s="343"/>
    </row>
    <row r="26" spans="3:30" ht="21.95" customHeight="1">
      <c r="C26" s="343">
        <v>19</v>
      </c>
      <c r="D26" s="126">
        <v>4</v>
      </c>
      <c r="F26" s="126" t="s">
        <v>790</v>
      </c>
      <c r="G26" s="168" t="s">
        <v>859</v>
      </c>
      <c r="H26" s="162">
        <v>46175</v>
      </c>
      <c r="I26" s="126">
        <v>1</v>
      </c>
      <c r="J26" s="141" t="s">
        <v>642</v>
      </c>
      <c r="K26" s="159" t="s">
        <v>643</v>
      </c>
      <c r="L26" s="126">
        <v>1</v>
      </c>
      <c r="M26" s="126">
        <v>0</v>
      </c>
      <c r="N26" s="159" t="s">
        <v>545</v>
      </c>
      <c r="O26" s="126">
        <v>1</v>
      </c>
      <c r="S26" s="204">
        <v>2.9</v>
      </c>
      <c r="T26" s="204">
        <v>3.25</v>
      </c>
      <c r="U26" s="204">
        <v>3.25</v>
      </c>
      <c r="Y26" s="126">
        <v>1</v>
      </c>
      <c r="Z26" s="126">
        <v>6</v>
      </c>
      <c r="AA26" s="126">
        <v>2026</v>
      </c>
      <c r="AB26" s="334">
        <v>1</v>
      </c>
      <c r="AD26" s="343"/>
    </row>
    <row r="27" spans="3:30" ht="21.95" customHeight="1">
      <c r="C27" s="343">
        <v>20</v>
      </c>
      <c r="D27" s="126">
        <v>4</v>
      </c>
      <c r="F27" s="126" t="s">
        <v>790</v>
      </c>
      <c r="G27" s="168" t="s">
        <v>859</v>
      </c>
      <c r="H27" s="162">
        <v>46175</v>
      </c>
      <c r="I27" s="126">
        <v>1</v>
      </c>
      <c r="J27" s="141" t="s">
        <v>647</v>
      </c>
      <c r="K27" s="159" t="s">
        <v>648</v>
      </c>
      <c r="L27" s="126">
        <v>10</v>
      </c>
      <c r="M27" s="126">
        <v>0</v>
      </c>
      <c r="N27" s="159" t="s">
        <v>545</v>
      </c>
      <c r="O27" s="126">
        <v>1</v>
      </c>
      <c r="S27" s="204">
        <v>0.15</v>
      </c>
      <c r="T27" s="204">
        <v>0.3</v>
      </c>
      <c r="U27" s="204">
        <v>3</v>
      </c>
      <c r="Y27" s="126">
        <v>1</v>
      </c>
      <c r="Z27" s="126">
        <v>6</v>
      </c>
      <c r="AA27" s="126">
        <v>2026</v>
      </c>
      <c r="AB27" s="334">
        <v>1</v>
      </c>
      <c r="AD27" s="343"/>
    </row>
    <row r="28" spans="3:30" ht="21.95" customHeight="1">
      <c r="C28" s="343">
        <v>21</v>
      </c>
      <c r="D28" s="126">
        <v>4</v>
      </c>
      <c r="F28" s="126" t="s">
        <v>790</v>
      </c>
      <c r="G28" s="168" t="s">
        <v>859</v>
      </c>
      <c r="H28" s="162">
        <v>46175</v>
      </c>
      <c r="I28" s="126">
        <v>1</v>
      </c>
      <c r="J28" s="141" t="s">
        <v>652</v>
      </c>
      <c r="K28" s="159" t="s">
        <v>653</v>
      </c>
      <c r="L28" s="126">
        <v>1</v>
      </c>
      <c r="M28" s="126">
        <v>0</v>
      </c>
      <c r="N28" s="159" t="s">
        <v>572</v>
      </c>
      <c r="O28" s="126">
        <v>1</v>
      </c>
      <c r="S28" s="204">
        <v>8.36</v>
      </c>
      <c r="T28" s="204">
        <v>8.75</v>
      </c>
      <c r="U28" s="204">
        <v>8.75</v>
      </c>
      <c r="Y28" s="126">
        <v>1</v>
      </c>
      <c r="Z28" s="126">
        <v>6</v>
      </c>
      <c r="AA28" s="126">
        <v>2026</v>
      </c>
      <c r="AB28" s="334">
        <v>1</v>
      </c>
      <c r="AD28" s="343"/>
    </row>
    <row r="29" spans="3:30" ht="21.95" customHeight="1">
      <c r="C29" s="343">
        <v>22</v>
      </c>
      <c r="D29" s="126">
        <v>5</v>
      </c>
      <c r="F29" s="126" t="s">
        <v>790</v>
      </c>
      <c r="G29" s="168" t="s">
        <v>860</v>
      </c>
      <c r="H29" s="162">
        <v>46175</v>
      </c>
      <c r="I29" s="126">
        <v>1</v>
      </c>
      <c r="J29" s="141" t="s">
        <v>576</v>
      </c>
      <c r="K29" s="159" t="s">
        <v>577</v>
      </c>
      <c r="L29" s="126">
        <v>3</v>
      </c>
      <c r="M29" s="126">
        <v>0</v>
      </c>
      <c r="N29" s="159" t="s">
        <v>572</v>
      </c>
      <c r="O29" s="126">
        <v>1</v>
      </c>
      <c r="S29" s="204">
        <v>3.37</v>
      </c>
      <c r="T29" s="204">
        <v>3.5</v>
      </c>
      <c r="U29" s="204">
        <v>10.5</v>
      </c>
      <c r="Y29" s="126">
        <v>1</v>
      </c>
      <c r="Z29" s="126">
        <v>6</v>
      </c>
      <c r="AA29" s="126">
        <v>2026</v>
      </c>
      <c r="AB29" s="334">
        <v>1</v>
      </c>
    </row>
    <row r="30" spans="3:30" ht="21.95" customHeight="1">
      <c r="C30" s="343">
        <v>23</v>
      </c>
      <c r="D30" s="126">
        <v>5</v>
      </c>
      <c r="F30" s="126" t="s">
        <v>790</v>
      </c>
      <c r="G30" s="168" t="s">
        <v>860</v>
      </c>
      <c r="H30" s="162">
        <v>46175</v>
      </c>
      <c r="I30" s="126">
        <v>1</v>
      </c>
      <c r="J30" s="141" t="s">
        <v>662</v>
      </c>
      <c r="K30" s="159" t="s">
        <v>663</v>
      </c>
      <c r="L30" s="126">
        <v>1</v>
      </c>
      <c r="M30" s="126">
        <v>0</v>
      </c>
      <c r="N30" s="159" t="s">
        <v>545</v>
      </c>
      <c r="O30" s="126">
        <v>1</v>
      </c>
      <c r="S30" s="204">
        <v>1.63</v>
      </c>
      <c r="T30" s="204">
        <v>2.25</v>
      </c>
      <c r="U30" s="204">
        <v>2.25</v>
      </c>
      <c r="Y30" s="126">
        <v>1</v>
      </c>
      <c r="Z30" s="126">
        <v>6</v>
      </c>
      <c r="AA30" s="126">
        <v>2026</v>
      </c>
      <c r="AB30" s="334">
        <v>1</v>
      </c>
    </row>
    <row r="31" spans="3:30" ht="21.95" customHeight="1">
      <c r="C31" s="343">
        <v>24</v>
      </c>
      <c r="D31" s="126">
        <v>5</v>
      </c>
      <c r="F31" s="126" t="s">
        <v>790</v>
      </c>
      <c r="G31" s="168" t="s">
        <v>860</v>
      </c>
      <c r="H31" s="162">
        <v>46175</v>
      </c>
      <c r="I31" s="126">
        <v>1</v>
      </c>
      <c r="J31" s="141" t="s">
        <v>667</v>
      </c>
      <c r="K31" s="159" t="s">
        <v>668</v>
      </c>
      <c r="L31" s="126">
        <v>1</v>
      </c>
      <c r="M31" s="126">
        <v>0</v>
      </c>
      <c r="N31" s="159" t="s">
        <v>669</v>
      </c>
      <c r="O31" s="126">
        <v>4</v>
      </c>
      <c r="S31" s="204">
        <v>14.5</v>
      </c>
      <c r="T31" s="204">
        <v>15</v>
      </c>
      <c r="U31" s="204">
        <v>15</v>
      </c>
      <c r="Y31" s="126">
        <v>1</v>
      </c>
      <c r="Z31" s="126">
        <v>6</v>
      </c>
      <c r="AA31" s="126">
        <v>2026</v>
      </c>
      <c r="AB31" s="334">
        <v>1</v>
      </c>
    </row>
    <row r="32" spans="3:30" ht="21.95" customHeight="1">
      <c r="C32" s="343">
        <v>25</v>
      </c>
      <c r="D32" s="126">
        <v>6</v>
      </c>
      <c r="F32" s="126" t="s">
        <v>791</v>
      </c>
      <c r="G32" s="168" t="s">
        <v>861</v>
      </c>
      <c r="H32" s="162">
        <v>46176</v>
      </c>
      <c r="I32" s="126">
        <v>1</v>
      </c>
      <c r="J32" s="141" t="s">
        <v>748</v>
      </c>
      <c r="K32" s="159" t="s">
        <v>749</v>
      </c>
      <c r="L32" s="126">
        <v>10</v>
      </c>
      <c r="M32" s="126">
        <v>0</v>
      </c>
      <c r="N32" s="159" t="s">
        <v>794</v>
      </c>
      <c r="O32" s="126">
        <v>20</v>
      </c>
      <c r="S32" s="204">
        <v>4.25</v>
      </c>
      <c r="T32" s="204">
        <v>4.5</v>
      </c>
      <c r="U32" s="204">
        <v>45</v>
      </c>
      <c r="Y32" s="126">
        <v>1</v>
      </c>
      <c r="Z32" s="126">
        <v>6</v>
      </c>
      <c r="AA32" s="126">
        <v>2026</v>
      </c>
      <c r="AB32" s="334">
        <v>1</v>
      </c>
    </row>
    <row r="33" spans="3:29" ht="21.95" customHeight="1">
      <c r="C33" s="343">
        <v>26</v>
      </c>
      <c r="D33" s="126">
        <v>6</v>
      </c>
      <c r="F33" s="126" t="s">
        <v>791</v>
      </c>
      <c r="G33" s="168" t="s">
        <v>861</v>
      </c>
      <c r="H33" s="162">
        <v>46176</v>
      </c>
      <c r="I33" s="126">
        <v>1</v>
      </c>
      <c r="J33" s="141" t="s">
        <v>798</v>
      </c>
      <c r="K33" s="159" t="s">
        <v>799</v>
      </c>
      <c r="L33" s="126">
        <v>1</v>
      </c>
      <c r="M33" s="126">
        <v>0</v>
      </c>
      <c r="N33" s="159" t="s">
        <v>545</v>
      </c>
      <c r="O33" s="126">
        <v>12</v>
      </c>
      <c r="S33" s="204">
        <v>0.34</v>
      </c>
      <c r="T33" s="204">
        <v>0.88</v>
      </c>
      <c r="U33" s="204">
        <v>0.88</v>
      </c>
      <c r="Y33" s="126">
        <v>1</v>
      </c>
      <c r="Z33" s="126">
        <v>6</v>
      </c>
      <c r="AA33" s="126">
        <v>2026</v>
      </c>
      <c r="AB33" s="334">
        <v>1</v>
      </c>
    </row>
    <row r="34" spans="3:29" ht="21.95" customHeight="1">
      <c r="C34" s="343">
        <v>27</v>
      </c>
      <c r="D34" s="126">
        <v>6</v>
      </c>
      <c r="F34" s="126" t="s">
        <v>791</v>
      </c>
      <c r="G34" s="168" t="s">
        <v>861</v>
      </c>
      <c r="H34" s="162">
        <v>46176</v>
      </c>
      <c r="I34" s="126">
        <v>1</v>
      </c>
      <c r="J34" s="141" t="s">
        <v>803</v>
      </c>
      <c r="K34" s="159" t="s">
        <v>804</v>
      </c>
      <c r="L34" s="126">
        <v>4</v>
      </c>
      <c r="M34" s="126">
        <v>0</v>
      </c>
      <c r="N34" s="159" t="s">
        <v>545</v>
      </c>
      <c r="O34" s="126">
        <v>1</v>
      </c>
      <c r="S34" s="204">
        <v>0.12</v>
      </c>
      <c r="T34" s="204">
        <v>0.25</v>
      </c>
      <c r="U34" s="204">
        <v>1</v>
      </c>
      <c r="W34" s="162"/>
      <c r="Y34" s="126">
        <v>1</v>
      </c>
      <c r="Z34" s="126">
        <v>6</v>
      </c>
      <c r="AA34" s="126">
        <v>2026</v>
      </c>
      <c r="AB34" s="334">
        <v>1</v>
      </c>
    </row>
    <row r="35" spans="3:29" ht="21.95" customHeight="1">
      <c r="C35" s="343">
        <v>28</v>
      </c>
      <c r="D35" s="126">
        <v>6</v>
      </c>
      <c r="F35" s="126" t="s">
        <v>791</v>
      </c>
      <c r="G35" s="168" t="s">
        <v>861</v>
      </c>
      <c r="H35" s="162">
        <v>46176</v>
      </c>
      <c r="I35" s="126">
        <v>1</v>
      </c>
      <c r="J35" s="141" t="s">
        <v>808</v>
      </c>
      <c r="K35" s="159" t="s">
        <v>809</v>
      </c>
      <c r="L35" s="126">
        <v>2</v>
      </c>
      <c r="M35" s="126">
        <v>0</v>
      </c>
      <c r="N35" s="159" t="s">
        <v>545</v>
      </c>
      <c r="O35" s="126">
        <v>1</v>
      </c>
      <c r="S35" s="204">
        <v>0.53</v>
      </c>
      <c r="T35" s="204">
        <v>0.75</v>
      </c>
      <c r="U35" s="204">
        <v>1.5</v>
      </c>
      <c r="W35" s="162"/>
      <c r="Y35" s="126">
        <v>1</v>
      </c>
      <c r="Z35" s="126">
        <v>6</v>
      </c>
      <c r="AA35" s="126">
        <v>2026</v>
      </c>
      <c r="AB35" s="334">
        <v>1</v>
      </c>
    </row>
    <row r="36" spans="3:29" ht="21.95" customHeight="1">
      <c r="C36" s="126">
        <v>29</v>
      </c>
      <c r="D36" s="126">
        <v>6</v>
      </c>
      <c r="F36" s="126" t="s">
        <v>791</v>
      </c>
      <c r="G36" s="168" t="s">
        <v>861</v>
      </c>
      <c r="H36" s="162">
        <v>46176</v>
      </c>
      <c r="I36" s="126">
        <v>1</v>
      </c>
      <c r="J36" s="141" t="s">
        <v>813</v>
      </c>
      <c r="K36" s="159" t="s">
        <v>814</v>
      </c>
      <c r="L36" s="126">
        <v>1</v>
      </c>
      <c r="M36" s="126">
        <v>0</v>
      </c>
      <c r="N36" s="159" t="s">
        <v>545</v>
      </c>
      <c r="O36" s="126">
        <v>1</v>
      </c>
      <c r="S36" s="204">
        <v>0.28000000000000003</v>
      </c>
      <c r="T36" s="204">
        <v>0.38</v>
      </c>
      <c r="U36" s="204">
        <v>0.38</v>
      </c>
      <c r="W36" s="162"/>
      <c r="Y36" s="126">
        <v>1</v>
      </c>
      <c r="Z36" s="126">
        <v>6</v>
      </c>
      <c r="AA36" s="126">
        <v>2026</v>
      </c>
      <c r="AB36" s="334">
        <v>1</v>
      </c>
    </row>
    <row r="37" spans="3:29" ht="21.95" customHeight="1">
      <c r="C37" s="126">
        <v>30</v>
      </c>
      <c r="D37" s="126">
        <v>6</v>
      </c>
      <c r="F37" s="126" t="s">
        <v>791</v>
      </c>
      <c r="G37" s="168" t="s">
        <v>861</v>
      </c>
      <c r="H37" s="162">
        <v>46176</v>
      </c>
      <c r="I37" s="126">
        <v>1</v>
      </c>
      <c r="J37" s="141" t="s">
        <v>818</v>
      </c>
      <c r="K37" s="159" t="s">
        <v>819</v>
      </c>
      <c r="L37" s="126">
        <v>1</v>
      </c>
      <c r="M37" s="126">
        <v>0</v>
      </c>
      <c r="N37" s="159" t="s">
        <v>545</v>
      </c>
      <c r="O37" s="126">
        <v>1</v>
      </c>
      <c r="S37" s="204">
        <v>1.79</v>
      </c>
      <c r="T37" s="204">
        <v>2.5</v>
      </c>
      <c r="U37" s="204">
        <v>2.5</v>
      </c>
      <c r="W37" s="162"/>
      <c r="Y37" s="126">
        <v>1</v>
      </c>
      <c r="Z37" s="126">
        <v>6</v>
      </c>
      <c r="AA37" s="126">
        <v>2026</v>
      </c>
      <c r="AB37" s="334">
        <v>1</v>
      </c>
    </row>
    <row r="38" spans="3:29" ht="21.95" customHeight="1">
      <c r="C38" s="126">
        <v>31</v>
      </c>
      <c r="D38" s="126">
        <v>6</v>
      </c>
      <c r="F38" s="126" t="s">
        <v>791</v>
      </c>
      <c r="G38" s="168" t="s">
        <v>861</v>
      </c>
      <c r="H38" s="162">
        <v>46176</v>
      </c>
      <c r="I38" s="126">
        <v>1</v>
      </c>
      <c r="J38" s="141" t="s">
        <v>823</v>
      </c>
      <c r="K38" s="159" t="s">
        <v>824</v>
      </c>
      <c r="L38" s="126">
        <v>2</v>
      </c>
      <c r="M38" s="126">
        <v>0</v>
      </c>
      <c r="N38" s="159" t="s">
        <v>545</v>
      </c>
      <c r="O38" s="126">
        <v>12</v>
      </c>
      <c r="S38" s="204">
        <v>0.28999999999999998</v>
      </c>
      <c r="T38" s="204">
        <v>0.5</v>
      </c>
      <c r="U38" s="204">
        <v>1</v>
      </c>
      <c r="W38" s="162"/>
      <c r="Y38" s="126">
        <v>1</v>
      </c>
      <c r="Z38" s="126">
        <v>6</v>
      </c>
      <c r="AA38" s="126">
        <v>2026</v>
      </c>
      <c r="AB38" s="334">
        <v>1</v>
      </c>
    </row>
    <row r="39" spans="3:29" ht="21.95" customHeight="1">
      <c r="C39" s="126">
        <v>32</v>
      </c>
      <c r="D39" s="126">
        <v>7</v>
      </c>
      <c r="F39" s="126" t="s">
        <v>791</v>
      </c>
      <c r="G39" s="168" t="s">
        <v>862</v>
      </c>
      <c r="H39" s="162">
        <v>46176</v>
      </c>
      <c r="I39" s="126">
        <v>1</v>
      </c>
      <c r="J39" s="141" t="s">
        <v>745</v>
      </c>
      <c r="K39" s="159" t="s">
        <v>746</v>
      </c>
      <c r="L39" s="126">
        <v>4</v>
      </c>
      <c r="M39" s="126">
        <v>0</v>
      </c>
      <c r="N39" s="159" t="s">
        <v>669</v>
      </c>
      <c r="O39" s="126">
        <v>4</v>
      </c>
      <c r="S39" s="204">
        <v>12.75</v>
      </c>
      <c r="T39" s="204">
        <v>13</v>
      </c>
      <c r="U39" s="204">
        <v>52</v>
      </c>
      <c r="W39" s="162"/>
      <c r="Y39" s="126">
        <v>1</v>
      </c>
      <c r="Z39" s="126">
        <v>6</v>
      </c>
      <c r="AA39" s="126">
        <v>2026</v>
      </c>
      <c r="AB39" s="334">
        <v>1</v>
      </c>
    </row>
    <row r="40" spans="3:29" ht="21.95" customHeight="1">
      <c r="C40" s="126">
        <v>33</v>
      </c>
      <c r="D40" s="126">
        <v>8</v>
      </c>
      <c r="F40" s="126" t="s">
        <v>833</v>
      </c>
      <c r="G40" s="168" t="s">
        <v>863</v>
      </c>
      <c r="H40" s="162">
        <v>46177</v>
      </c>
      <c r="I40" s="126">
        <v>1</v>
      </c>
      <c r="J40" s="141" t="s">
        <v>752</v>
      </c>
      <c r="K40" s="159" t="s">
        <v>753</v>
      </c>
      <c r="L40" s="126">
        <v>5</v>
      </c>
      <c r="M40" s="126">
        <v>0</v>
      </c>
      <c r="N40" s="159" t="s">
        <v>794</v>
      </c>
      <c r="O40" s="126">
        <v>20</v>
      </c>
      <c r="S40" s="204">
        <v>4.1500000000000004</v>
      </c>
      <c r="T40" s="204">
        <v>4.75</v>
      </c>
      <c r="U40" s="204">
        <v>23.75</v>
      </c>
      <c r="W40" s="162"/>
      <c r="Y40" s="126">
        <v>1</v>
      </c>
      <c r="Z40" s="126">
        <v>6</v>
      </c>
      <c r="AA40" s="126">
        <v>2026</v>
      </c>
      <c r="AB40" s="334">
        <v>1</v>
      </c>
    </row>
    <row r="41" spans="3:29" ht="21.95" customHeight="1">
      <c r="C41" s="126">
        <v>34</v>
      </c>
      <c r="D41" s="126">
        <v>8</v>
      </c>
      <c r="F41" s="126" t="s">
        <v>833</v>
      </c>
      <c r="G41" s="168" t="s">
        <v>863</v>
      </c>
      <c r="H41" s="162">
        <v>46177</v>
      </c>
      <c r="I41" s="126">
        <v>1</v>
      </c>
      <c r="J41" s="141" t="s">
        <v>564</v>
      </c>
      <c r="K41" s="159" t="s">
        <v>565</v>
      </c>
      <c r="L41" s="126">
        <v>5</v>
      </c>
      <c r="M41" s="126">
        <v>0</v>
      </c>
      <c r="N41" s="159" t="s">
        <v>794</v>
      </c>
      <c r="O41" s="126">
        <v>20</v>
      </c>
      <c r="S41" s="204">
        <v>4.75</v>
      </c>
      <c r="T41" s="204">
        <v>5</v>
      </c>
      <c r="U41" s="204">
        <v>25</v>
      </c>
      <c r="W41" s="162"/>
      <c r="Y41" s="126">
        <v>1</v>
      </c>
      <c r="Z41" s="126">
        <v>6</v>
      </c>
      <c r="AA41" s="126">
        <v>2026</v>
      </c>
      <c r="AB41" s="334">
        <v>1</v>
      </c>
    </row>
    <row r="42" spans="3:29" ht="21.95" customHeight="1">
      <c r="C42" s="126">
        <v>35</v>
      </c>
      <c r="D42" s="126">
        <v>8</v>
      </c>
      <c r="F42" s="126" t="s">
        <v>833</v>
      </c>
      <c r="G42" s="168" t="s">
        <v>863</v>
      </c>
      <c r="H42" s="162">
        <v>46177</v>
      </c>
      <c r="I42" s="126">
        <v>1</v>
      </c>
      <c r="J42" s="141" t="s">
        <v>690</v>
      </c>
      <c r="K42" s="159" t="s">
        <v>691</v>
      </c>
      <c r="L42" s="126">
        <v>2</v>
      </c>
      <c r="M42" s="126">
        <v>0</v>
      </c>
      <c r="N42" s="159" t="s">
        <v>545</v>
      </c>
      <c r="O42" s="126">
        <v>1</v>
      </c>
      <c r="S42" s="204">
        <v>9.52</v>
      </c>
      <c r="T42" s="204">
        <v>10</v>
      </c>
      <c r="U42" s="204">
        <v>20</v>
      </c>
      <c r="W42" s="162"/>
      <c r="Y42" s="126">
        <v>1</v>
      </c>
      <c r="Z42" s="126">
        <v>6</v>
      </c>
      <c r="AA42" s="126">
        <v>2026</v>
      </c>
      <c r="AB42" s="334">
        <v>1</v>
      </c>
    </row>
    <row r="43" spans="3:29" ht="21.95" customHeight="1">
      <c r="C43" s="126">
        <v>36</v>
      </c>
      <c r="D43" s="126">
        <v>8</v>
      </c>
      <c r="F43" s="126" t="s">
        <v>833</v>
      </c>
      <c r="G43" s="168" t="s">
        <v>863</v>
      </c>
      <c r="H43" s="162">
        <v>46177</v>
      </c>
      <c r="I43" s="126">
        <v>1</v>
      </c>
      <c r="J43" s="141" t="s">
        <v>703</v>
      </c>
      <c r="K43" s="159" t="s">
        <v>704</v>
      </c>
      <c r="L43" s="126">
        <v>10</v>
      </c>
      <c r="M43" s="126">
        <v>0</v>
      </c>
      <c r="N43" s="159" t="s">
        <v>545</v>
      </c>
      <c r="O43" s="126">
        <v>1</v>
      </c>
      <c r="S43" s="204">
        <v>1.35</v>
      </c>
      <c r="T43" s="204">
        <v>2.5</v>
      </c>
      <c r="U43" s="204">
        <v>25</v>
      </c>
      <c r="W43" s="162"/>
      <c r="Y43" s="126">
        <v>1</v>
      </c>
      <c r="Z43" s="126">
        <v>6</v>
      </c>
      <c r="AA43" s="126">
        <v>2026</v>
      </c>
      <c r="AB43" s="334">
        <v>1</v>
      </c>
    </row>
    <row r="44" spans="3:29" ht="21.95" customHeight="1">
      <c r="C44" s="126">
        <v>37</v>
      </c>
      <c r="D44" s="126">
        <v>9</v>
      </c>
      <c r="F44" s="126" t="s">
        <v>833</v>
      </c>
      <c r="G44" s="168" t="s">
        <v>864</v>
      </c>
      <c r="H44" s="162">
        <v>46177</v>
      </c>
      <c r="I44" s="126">
        <v>1</v>
      </c>
      <c r="J44" s="141" t="s">
        <v>608</v>
      </c>
      <c r="K44" s="159" t="s">
        <v>609</v>
      </c>
      <c r="L44" s="126">
        <v>2</v>
      </c>
      <c r="M44" s="126">
        <v>0</v>
      </c>
      <c r="N44" s="159" t="s">
        <v>572</v>
      </c>
      <c r="O44" s="126">
        <v>1</v>
      </c>
      <c r="S44" s="204">
        <v>6.28</v>
      </c>
      <c r="T44" s="204">
        <v>7.5</v>
      </c>
      <c r="U44" s="204">
        <v>15</v>
      </c>
      <c r="Y44" s="126">
        <v>1</v>
      </c>
      <c r="Z44" s="126">
        <v>6</v>
      </c>
      <c r="AA44" s="126">
        <v>2026</v>
      </c>
      <c r="AB44" s="334">
        <v>1</v>
      </c>
    </row>
    <row r="45" spans="3:29" ht="21.95" customHeight="1">
      <c r="C45" s="126">
        <v>38</v>
      </c>
      <c r="D45" s="126">
        <v>9</v>
      </c>
      <c r="F45" s="126" t="s">
        <v>833</v>
      </c>
      <c r="G45" s="168" t="s">
        <v>864</v>
      </c>
      <c r="H45" s="162">
        <v>46177</v>
      </c>
      <c r="I45" s="126">
        <v>1</v>
      </c>
      <c r="J45" s="141" t="s">
        <v>690</v>
      </c>
      <c r="K45" s="159" t="s">
        <v>691</v>
      </c>
      <c r="L45" s="126">
        <v>4</v>
      </c>
      <c r="M45" s="126">
        <v>0</v>
      </c>
      <c r="N45" s="159" t="s">
        <v>545</v>
      </c>
      <c r="O45" s="126">
        <v>1</v>
      </c>
      <c r="S45" s="204">
        <v>9.52</v>
      </c>
      <c r="T45" s="204">
        <v>11</v>
      </c>
      <c r="U45" s="204">
        <v>44</v>
      </c>
      <c r="Y45" s="126">
        <v>1</v>
      </c>
      <c r="Z45" s="126">
        <v>6</v>
      </c>
      <c r="AA45" s="126">
        <v>2026</v>
      </c>
      <c r="AB45" s="334">
        <v>1</v>
      </c>
    </row>
    <row r="46" spans="3:29" ht="21.95" customHeight="1">
      <c r="C46" s="126">
        <v>39</v>
      </c>
      <c r="D46" s="126">
        <v>10</v>
      </c>
      <c r="F46" s="126" t="s">
        <v>833</v>
      </c>
      <c r="G46" s="168" t="s">
        <v>865</v>
      </c>
      <c r="H46" s="162">
        <v>46177</v>
      </c>
      <c r="I46" s="126">
        <v>1</v>
      </c>
      <c r="J46" s="141" t="s">
        <v>722</v>
      </c>
      <c r="K46" s="159" t="s">
        <v>723</v>
      </c>
      <c r="L46" s="126">
        <v>1</v>
      </c>
      <c r="M46" s="126">
        <v>0</v>
      </c>
      <c r="N46" s="159" t="s">
        <v>868</v>
      </c>
      <c r="O46" s="126">
        <v>24</v>
      </c>
      <c r="S46" s="204">
        <v>4.5</v>
      </c>
      <c r="T46" s="204">
        <v>5</v>
      </c>
      <c r="U46" s="204">
        <v>5</v>
      </c>
      <c r="Y46" s="126">
        <v>1</v>
      </c>
      <c r="Z46" s="126">
        <v>6</v>
      </c>
      <c r="AA46" s="126">
        <v>2026</v>
      </c>
      <c r="AB46" s="334">
        <v>1</v>
      </c>
    </row>
    <row r="47" spans="3:29" ht="21.95" customHeight="1">
      <c r="C47" s="126">
        <v>40</v>
      </c>
      <c r="D47" s="126">
        <v>10</v>
      </c>
      <c r="F47" s="126" t="s">
        <v>833</v>
      </c>
      <c r="G47" s="168" t="s">
        <v>865</v>
      </c>
      <c r="H47" s="162">
        <v>46177</v>
      </c>
      <c r="I47" s="126">
        <v>1</v>
      </c>
      <c r="J47" s="141" t="s">
        <v>772</v>
      </c>
      <c r="K47" s="159" t="s">
        <v>773</v>
      </c>
      <c r="L47" s="126">
        <v>6</v>
      </c>
      <c r="M47" s="126">
        <v>0</v>
      </c>
      <c r="N47" s="159" t="s">
        <v>618</v>
      </c>
      <c r="O47" s="126">
        <v>1</v>
      </c>
      <c r="S47" s="204">
        <v>8</v>
      </c>
      <c r="T47" s="204">
        <v>8.5500000000000007</v>
      </c>
      <c r="U47" s="204">
        <v>51.3</v>
      </c>
      <c r="Y47" s="126">
        <v>1</v>
      </c>
      <c r="Z47" s="126">
        <v>6</v>
      </c>
      <c r="AA47" s="126">
        <v>2026</v>
      </c>
      <c r="AB47" s="334">
        <v>1</v>
      </c>
    </row>
    <row r="48" spans="3:29" s="364" customFormat="1" ht="21.95" customHeight="1">
      <c r="C48" s="357">
        <v>41</v>
      </c>
      <c r="D48" s="357">
        <v>11</v>
      </c>
      <c r="E48" s="357"/>
      <c r="F48" s="357" t="s">
        <v>848</v>
      </c>
      <c r="G48" s="358" t="s">
        <v>866</v>
      </c>
      <c r="H48" s="359">
        <v>46178</v>
      </c>
      <c r="I48" s="357">
        <v>1</v>
      </c>
      <c r="J48" s="360" t="s">
        <v>748</v>
      </c>
      <c r="K48" s="361" t="s">
        <v>749</v>
      </c>
      <c r="L48" s="357">
        <v>10</v>
      </c>
      <c r="M48" s="357">
        <v>0</v>
      </c>
      <c r="N48" s="361" t="s">
        <v>794</v>
      </c>
      <c r="O48" s="357">
        <v>20</v>
      </c>
      <c r="P48" s="357"/>
      <c r="Q48" s="357"/>
      <c r="R48" s="357"/>
      <c r="S48" s="362">
        <v>4.25</v>
      </c>
      <c r="T48" s="362">
        <v>4.75</v>
      </c>
      <c r="U48" s="362">
        <v>47.5</v>
      </c>
      <c r="V48" s="357"/>
      <c r="W48" s="357"/>
      <c r="X48" s="357"/>
      <c r="Y48" s="357">
        <v>1</v>
      </c>
      <c r="Z48" s="357">
        <v>6</v>
      </c>
      <c r="AA48" s="357">
        <v>2026</v>
      </c>
      <c r="AB48" s="363">
        <v>1</v>
      </c>
      <c r="AC48" s="363"/>
    </row>
    <row r="49" spans="3:29" ht="21.95" customHeight="1">
      <c r="C49" s="126">
        <v>42</v>
      </c>
      <c r="D49" s="126">
        <v>12</v>
      </c>
      <c r="F49" s="126" t="s">
        <v>848</v>
      </c>
      <c r="G49" s="168" t="s">
        <v>875</v>
      </c>
      <c r="H49" s="162">
        <v>46178</v>
      </c>
      <c r="I49" s="126">
        <v>1</v>
      </c>
      <c r="J49" s="141" t="s">
        <v>883</v>
      </c>
      <c r="K49" s="159" t="s">
        <v>884</v>
      </c>
      <c r="L49" s="126">
        <v>1</v>
      </c>
      <c r="M49" s="126">
        <v>0</v>
      </c>
      <c r="N49" s="159" t="s">
        <v>545</v>
      </c>
      <c r="O49" s="126">
        <v>20</v>
      </c>
      <c r="S49" s="204">
        <v>0.24</v>
      </c>
      <c r="T49" s="204">
        <v>0.74</v>
      </c>
      <c r="U49" s="204">
        <v>0.74</v>
      </c>
      <c r="Y49" s="126">
        <v>1</v>
      </c>
      <c r="Z49" s="126">
        <v>6</v>
      </c>
      <c r="AA49" s="126">
        <v>2026</v>
      </c>
      <c r="AB49" s="334">
        <v>1</v>
      </c>
    </row>
    <row r="50" spans="3:29" ht="21.95" customHeight="1">
      <c r="C50" s="126">
        <v>43</v>
      </c>
      <c r="D50" s="126">
        <v>12</v>
      </c>
      <c r="F50" s="126" t="s">
        <v>848</v>
      </c>
      <c r="G50" s="168" t="s">
        <v>875</v>
      </c>
      <c r="H50" s="162">
        <v>46178</v>
      </c>
      <c r="I50" s="126">
        <v>1</v>
      </c>
      <c r="J50" s="141" t="s">
        <v>696</v>
      </c>
      <c r="K50" s="159" t="s">
        <v>697</v>
      </c>
      <c r="L50" s="126">
        <v>1</v>
      </c>
      <c r="M50" s="126">
        <v>0</v>
      </c>
      <c r="N50" s="159" t="s">
        <v>545</v>
      </c>
      <c r="O50" s="126">
        <v>1</v>
      </c>
      <c r="S50" s="204">
        <v>3.3</v>
      </c>
      <c r="T50" s="204">
        <v>3.75</v>
      </c>
      <c r="U50" s="204">
        <v>3.75</v>
      </c>
      <c r="Y50" s="126">
        <v>1</v>
      </c>
      <c r="Z50" s="126">
        <v>6</v>
      </c>
      <c r="AA50" s="126">
        <v>2026</v>
      </c>
      <c r="AB50" s="334">
        <v>1</v>
      </c>
    </row>
    <row r="51" spans="3:29" ht="21.95" customHeight="1">
      <c r="C51" s="126">
        <v>44</v>
      </c>
      <c r="D51" s="126">
        <v>12</v>
      </c>
      <c r="F51" s="126" t="s">
        <v>848</v>
      </c>
      <c r="G51" s="168" t="s">
        <v>875</v>
      </c>
      <c r="H51" s="162">
        <v>46178</v>
      </c>
      <c r="I51" s="126">
        <v>1</v>
      </c>
      <c r="J51" s="141" t="s">
        <v>627</v>
      </c>
      <c r="K51" s="159" t="s">
        <v>628</v>
      </c>
      <c r="L51" s="126">
        <v>1</v>
      </c>
      <c r="M51" s="126">
        <v>0</v>
      </c>
      <c r="N51" s="159" t="s">
        <v>618</v>
      </c>
      <c r="O51" s="126">
        <v>1</v>
      </c>
      <c r="S51" s="204">
        <v>2</v>
      </c>
      <c r="T51" s="204">
        <v>2.5</v>
      </c>
      <c r="U51" s="204">
        <v>2.5</v>
      </c>
      <c r="Y51" s="126">
        <v>1</v>
      </c>
      <c r="Z51" s="126">
        <v>6</v>
      </c>
      <c r="AA51" s="126">
        <v>2026</v>
      </c>
      <c r="AB51" s="334">
        <v>1</v>
      </c>
    </row>
    <row r="52" spans="3:29" ht="21.95" customHeight="1">
      <c r="C52" s="126">
        <v>45</v>
      </c>
      <c r="D52" s="126">
        <v>12</v>
      </c>
      <c r="F52" s="126" t="s">
        <v>848</v>
      </c>
      <c r="G52" s="168" t="s">
        <v>875</v>
      </c>
      <c r="H52" s="162">
        <v>46178</v>
      </c>
      <c r="I52" s="126">
        <v>1</v>
      </c>
      <c r="J52" s="141" t="s">
        <v>738</v>
      </c>
      <c r="K52" s="159" t="s">
        <v>739</v>
      </c>
      <c r="L52" s="126">
        <v>2</v>
      </c>
      <c r="M52" s="126">
        <v>0</v>
      </c>
      <c r="N52" s="159" t="s">
        <v>669</v>
      </c>
      <c r="O52" s="126">
        <v>4</v>
      </c>
      <c r="S52" s="204">
        <v>11.75</v>
      </c>
      <c r="T52" s="204">
        <v>12</v>
      </c>
      <c r="U52" s="204">
        <v>24</v>
      </c>
      <c r="Y52" s="126">
        <v>1</v>
      </c>
      <c r="Z52" s="126">
        <v>6</v>
      </c>
      <c r="AA52" s="126">
        <v>2026</v>
      </c>
      <c r="AB52" s="334">
        <v>1</v>
      </c>
    </row>
    <row r="53" spans="3:29" ht="21.95" customHeight="1">
      <c r="C53" s="126">
        <v>46</v>
      </c>
      <c r="D53" s="126">
        <v>12</v>
      </c>
      <c r="F53" s="126" t="s">
        <v>848</v>
      </c>
      <c r="G53" s="168" t="s">
        <v>875</v>
      </c>
      <c r="H53" s="162">
        <v>46178</v>
      </c>
      <c r="I53" s="126">
        <v>1</v>
      </c>
      <c r="J53" s="141" t="s">
        <v>647</v>
      </c>
      <c r="K53" s="159" t="s">
        <v>648</v>
      </c>
      <c r="L53" s="126">
        <v>1</v>
      </c>
      <c r="M53" s="126">
        <v>0</v>
      </c>
      <c r="N53" s="159" t="s">
        <v>545</v>
      </c>
      <c r="O53" s="126">
        <v>1</v>
      </c>
      <c r="S53" s="204">
        <v>0.15</v>
      </c>
      <c r="T53" s="204">
        <v>0.38</v>
      </c>
      <c r="U53" s="204">
        <v>0.38</v>
      </c>
      <c r="Y53" s="126">
        <v>1</v>
      </c>
      <c r="Z53" s="126">
        <v>6</v>
      </c>
      <c r="AA53" s="126">
        <v>2026</v>
      </c>
      <c r="AB53" s="334">
        <v>1</v>
      </c>
    </row>
    <row r="54" spans="3:29" ht="21.95" customHeight="1">
      <c r="C54" s="126">
        <v>47</v>
      </c>
      <c r="D54" s="126">
        <v>12</v>
      </c>
      <c r="F54" s="126" t="s">
        <v>848</v>
      </c>
      <c r="G54" s="168" t="s">
        <v>875</v>
      </c>
      <c r="H54" s="162">
        <v>46178</v>
      </c>
      <c r="I54" s="126">
        <v>1</v>
      </c>
      <c r="J54" s="141" t="s">
        <v>637</v>
      </c>
      <c r="K54" s="159" t="s">
        <v>638</v>
      </c>
      <c r="L54" s="126">
        <v>2</v>
      </c>
      <c r="M54" s="126">
        <v>0</v>
      </c>
      <c r="N54" s="159" t="s">
        <v>545</v>
      </c>
      <c r="O54" s="126">
        <v>12</v>
      </c>
      <c r="S54" s="204">
        <v>0.3</v>
      </c>
      <c r="T54" s="204">
        <v>0.5</v>
      </c>
      <c r="U54" s="204">
        <v>1</v>
      </c>
      <c r="Y54" s="126">
        <v>1</v>
      </c>
      <c r="Z54" s="126">
        <v>6</v>
      </c>
      <c r="AA54" s="126">
        <v>2026</v>
      </c>
      <c r="AB54" s="334">
        <v>1</v>
      </c>
    </row>
    <row r="55" spans="3:29" ht="21.95" customHeight="1">
      <c r="C55" s="126">
        <v>48</v>
      </c>
      <c r="D55" s="126">
        <v>12</v>
      </c>
      <c r="F55" s="126" t="s">
        <v>848</v>
      </c>
      <c r="G55" s="168" t="s">
        <v>875</v>
      </c>
      <c r="H55" s="162">
        <v>46178</v>
      </c>
      <c r="I55" s="126">
        <v>1</v>
      </c>
      <c r="J55" s="141" t="s">
        <v>632</v>
      </c>
      <c r="K55" s="159" t="s">
        <v>633</v>
      </c>
      <c r="L55" s="126">
        <v>15</v>
      </c>
      <c r="M55" s="126">
        <v>0</v>
      </c>
      <c r="N55" s="159" t="s">
        <v>545</v>
      </c>
      <c r="O55" s="126">
        <v>12</v>
      </c>
      <c r="S55" s="204">
        <v>0.27</v>
      </c>
      <c r="T55" s="204">
        <v>0.38</v>
      </c>
      <c r="U55" s="204">
        <v>5.63</v>
      </c>
      <c r="Y55" s="126">
        <v>1</v>
      </c>
      <c r="Z55" s="126">
        <v>6</v>
      </c>
      <c r="AA55" s="126">
        <v>2026</v>
      </c>
      <c r="AB55" s="334">
        <v>1</v>
      </c>
    </row>
    <row r="56" spans="3:29" ht="21.95" customHeight="1">
      <c r="C56" s="126">
        <v>49</v>
      </c>
      <c r="D56" s="126">
        <v>12</v>
      </c>
      <c r="F56" s="126" t="s">
        <v>848</v>
      </c>
      <c r="G56" s="168" t="s">
        <v>875</v>
      </c>
      <c r="H56" s="162">
        <v>46178</v>
      </c>
      <c r="I56" s="126">
        <v>1</v>
      </c>
      <c r="J56" s="141" t="s">
        <v>906</v>
      </c>
      <c r="K56" s="159" t="s">
        <v>907</v>
      </c>
      <c r="L56" s="126">
        <v>1</v>
      </c>
      <c r="M56" s="126">
        <v>0</v>
      </c>
      <c r="N56" s="159" t="s">
        <v>545</v>
      </c>
      <c r="O56" s="126">
        <v>1</v>
      </c>
      <c r="S56" s="204">
        <v>0.15</v>
      </c>
      <c r="T56" s="204">
        <v>0.25</v>
      </c>
      <c r="U56" s="204">
        <v>0.25</v>
      </c>
      <c r="Y56" s="126">
        <v>1</v>
      </c>
      <c r="Z56" s="126">
        <v>6</v>
      </c>
      <c r="AA56" s="126">
        <v>2026</v>
      </c>
      <c r="AB56" s="334">
        <v>1</v>
      </c>
    </row>
    <row r="57" spans="3:29" ht="21.95" customHeight="1">
      <c r="C57" s="126">
        <v>50</v>
      </c>
      <c r="D57" s="126">
        <v>13</v>
      </c>
      <c r="F57" s="126" t="s">
        <v>848</v>
      </c>
      <c r="G57" s="168" t="s">
        <v>881</v>
      </c>
      <c r="H57" s="162">
        <v>46178</v>
      </c>
      <c r="I57" s="126">
        <v>1</v>
      </c>
      <c r="J57" s="141" t="s">
        <v>755</v>
      </c>
      <c r="K57" s="159" t="s">
        <v>756</v>
      </c>
      <c r="L57" s="126">
        <v>9</v>
      </c>
      <c r="M57" s="126">
        <v>0</v>
      </c>
      <c r="N57" s="159" t="s">
        <v>794</v>
      </c>
      <c r="O57" s="126">
        <v>20</v>
      </c>
      <c r="S57" s="204">
        <v>4.75</v>
      </c>
      <c r="T57" s="204">
        <v>5</v>
      </c>
      <c r="U57" s="204">
        <v>45</v>
      </c>
      <c r="Y57" s="126">
        <v>1</v>
      </c>
      <c r="Z57" s="126">
        <v>6</v>
      </c>
      <c r="AA57" s="126">
        <v>2026</v>
      </c>
      <c r="AB57" s="334">
        <v>1</v>
      </c>
    </row>
    <row r="58" spans="3:29" ht="21.95" customHeight="1">
      <c r="C58" s="126">
        <v>51</v>
      </c>
      <c r="D58" s="126">
        <v>14</v>
      </c>
      <c r="F58" s="126" t="s">
        <v>848</v>
      </c>
      <c r="G58" s="168" t="s">
        <v>911</v>
      </c>
      <c r="H58" s="162">
        <v>46178</v>
      </c>
      <c r="I58" s="126">
        <v>1</v>
      </c>
      <c r="J58" s="141" t="s">
        <v>752</v>
      </c>
      <c r="K58" s="159" t="s">
        <v>753</v>
      </c>
      <c r="L58" s="126">
        <v>3</v>
      </c>
      <c r="M58" s="126">
        <v>0</v>
      </c>
      <c r="N58" s="159" t="s">
        <v>794</v>
      </c>
      <c r="O58" s="126">
        <v>20</v>
      </c>
      <c r="S58" s="204">
        <v>4.1500000000000004</v>
      </c>
      <c r="T58" s="204">
        <v>4.75</v>
      </c>
      <c r="U58" s="204">
        <v>14.25</v>
      </c>
      <c r="Y58" s="126">
        <v>1</v>
      </c>
      <c r="Z58" s="126">
        <v>6</v>
      </c>
      <c r="AA58" s="126">
        <v>2026</v>
      </c>
      <c r="AB58" s="334">
        <v>1</v>
      </c>
    </row>
    <row r="59" spans="3:29" ht="21.95" customHeight="1">
      <c r="C59" s="126">
        <v>52</v>
      </c>
      <c r="D59" s="126">
        <v>14</v>
      </c>
      <c r="F59" s="126" t="s">
        <v>848</v>
      </c>
      <c r="G59" s="168" t="s">
        <v>911</v>
      </c>
      <c r="H59" s="162">
        <v>46178</v>
      </c>
      <c r="I59" s="126">
        <v>1</v>
      </c>
      <c r="J59" s="141" t="s">
        <v>564</v>
      </c>
      <c r="K59" s="159" t="s">
        <v>565</v>
      </c>
      <c r="L59" s="126">
        <v>6</v>
      </c>
      <c r="M59" s="126">
        <v>0</v>
      </c>
      <c r="N59" s="159" t="s">
        <v>794</v>
      </c>
      <c r="O59" s="126">
        <v>20</v>
      </c>
      <c r="S59" s="204">
        <v>4.75</v>
      </c>
      <c r="T59" s="204">
        <v>5</v>
      </c>
      <c r="U59" s="204">
        <v>30</v>
      </c>
      <c r="Y59" s="126">
        <v>1</v>
      </c>
      <c r="Z59" s="126">
        <v>6</v>
      </c>
      <c r="AA59" s="126">
        <v>2026</v>
      </c>
      <c r="AB59" s="334">
        <v>1</v>
      </c>
    </row>
    <row r="60" spans="3:29" s="364" customFormat="1" ht="21.95" customHeight="1">
      <c r="C60" s="357">
        <v>53</v>
      </c>
      <c r="D60" s="357">
        <v>15</v>
      </c>
      <c r="E60" s="357"/>
      <c r="F60" s="357" t="s">
        <v>924</v>
      </c>
      <c r="G60" s="358" t="s">
        <v>916</v>
      </c>
      <c r="H60" s="359">
        <v>46179</v>
      </c>
      <c r="I60" s="357">
        <v>1</v>
      </c>
      <c r="J60" s="360" t="s">
        <v>755</v>
      </c>
      <c r="K60" s="361" t="s">
        <v>756</v>
      </c>
      <c r="L60" s="357">
        <v>5</v>
      </c>
      <c r="M60" s="357">
        <v>0</v>
      </c>
      <c r="N60" s="361" t="s">
        <v>794</v>
      </c>
      <c r="O60" s="357">
        <v>20</v>
      </c>
      <c r="P60" s="357"/>
      <c r="Q60" s="357"/>
      <c r="R60" s="357"/>
      <c r="S60" s="362">
        <v>4.75</v>
      </c>
      <c r="T60" s="362">
        <v>4.75</v>
      </c>
      <c r="U60" s="362">
        <v>23.75</v>
      </c>
      <c r="V60" s="357"/>
      <c r="W60" s="357"/>
      <c r="X60" s="357"/>
      <c r="Y60" s="357">
        <v>1</v>
      </c>
      <c r="Z60" s="357">
        <v>6</v>
      </c>
      <c r="AA60" s="357">
        <v>2026</v>
      </c>
      <c r="AB60" s="363">
        <v>1</v>
      </c>
      <c r="AC60" s="363"/>
    </row>
    <row r="61" spans="3:29" s="364" customFormat="1" ht="21.95" customHeight="1">
      <c r="C61" s="357">
        <v>54</v>
      </c>
      <c r="D61" s="357">
        <v>15</v>
      </c>
      <c r="E61" s="357"/>
      <c r="F61" s="357" t="s">
        <v>924</v>
      </c>
      <c r="G61" s="358" t="s">
        <v>916</v>
      </c>
      <c r="H61" s="359">
        <v>46179</v>
      </c>
      <c r="I61" s="357">
        <v>1</v>
      </c>
      <c r="J61" s="360" t="s">
        <v>652</v>
      </c>
      <c r="K61" s="361" t="s">
        <v>653</v>
      </c>
      <c r="L61" s="357">
        <v>3</v>
      </c>
      <c r="M61" s="357">
        <v>0</v>
      </c>
      <c r="N61" s="361" t="s">
        <v>572</v>
      </c>
      <c r="O61" s="357">
        <v>1</v>
      </c>
      <c r="P61" s="357"/>
      <c r="Q61" s="357"/>
      <c r="R61" s="357"/>
      <c r="S61" s="362">
        <v>8.36</v>
      </c>
      <c r="T61" s="362">
        <v>8.1</v>
      </c>
      <c r="U61" s="362">
        <v>24.3</v>
      </c>
      <c r="V61" s="357"/>
      <c r="W61" s="357"/>
      <c r="X61" s="357"/>
      <c r="Y61" s="357">
        <v>1</v>
      </c>
      <c r="Z61" s="357">
        <v>6</v>
      </c>
      <c r="AA61" s="357">
        <v>2026</v>
      </c>
      <c r="AB61" s="363">
        <v>1</v>
      </c>
      <c r="AC61" s="363"/>
    </row>
    <row r="62" spans="3:29" s="364" customFormat="1" ht="21.95" customHeight="1">
      <c r="C62" s="357">
        <v>55</v>
      </c>
      <c r="D62" s="357">
        <v>15</v>
      </c>
      <c r="E62" s="357"/>
      <c r="F62" s="357" t="s">
        <v>924</v>
      </c>
      <c r="G62" s="358" t="s">
        <v>916</v>
      </c>
      <c r="H62" s="359">
        <v>46179</v>
      </c>
      <c r="I62" s="357">
        <v>1</v>
      </c>
      <c r="J62" s="360" t="s">
        <v>933</v>
      </c>
      <c r="K62" s="361" t="s">
        <v>934</v>
      </c>
      <c r="L62" s="357">
        <v>11</v>
      </c>
      <c r="M62" s="357">
        <v>0</v>
      </c>
      <c r="N62" s="361" t="s">
        <v>545</v>
      </c>
      <c r="O62" s="357">
        <v>1</v>
      </c>
      <c r="P62" s="357"/>
      <c r="Q62" s="357"/>
      <c r="R62" s="357"/>
      <c r="S62" s="362">
        <v>1.91</v>
      </c>
      <c r="T62" s="362">
        <v>2.5</v>
      </c>
      <c r="U62" s="362">
        <v>27.5</v>
      </c>
      <c r="V62" s="357"/>
      <c r="W62" s="357"/>
      <c r="X62" s="357"/>
      <c r="Y62" s="357">
        <v>1</v>
      </c>
      <c r="Z62" s="357">
        <v>6</v>
      </c>
      <c r="AA62" s="357">
        <v>2026</v>
      </c>
      <c r="AB62" s="363">
        <v>1</v>
      </c>
      <c r="AC62" s="363"/>
    </row>
    <row r="63" spans="3:29" ht="21.95" customHeight="1">
      <c r="C63" s="126">
        <v>56</v>
      </c>
      <c r="D63" s="126">
        <v>16</v>
      </c>
      <c r="F63" s="126" t="s">
        <v>924</v>
      </c>
      <c r="G63" s="358" t="s">
        <v>925</v>
      </c>
      <c r="H63" s="162">
        <v>46179</v>
      </c>
      <c r="I63" s="126">
        <v>1</v>
      </c>
      <c r="J63" s="141" t="s">
        <v>752</v>
      </c>
      <c r="K63" s="159" t="s">
        <v>753</v>
      </c>
      <c r="L63" s="126">
        <v>1</v>
      </c>
      <c r="M63" s="126">
        <v>0</v>
      </c>
      <c r="N63" s="159" t="s">
        <v>940</v>
      </c>
      <c r="O63" s="126">
        <v>1</v>
      </c>
      <c r="S63" s="204">
        <v>83</v>
      </c>
      <c r="T63" s="204">
        <v>90</v>
      </c>
      <c r="U63" s="204">
        <v>90</v>
      </c>
      <c r="Y63" s="126">
        <v>1</v>
      </c>
      <c r="Z63" s="126">
        <v>6</v>
      </c>
      <c r="AA63" s="126">
        <v>2026</v>
      </c>
      <c r="AB63" s="334">
        <v>1</v>
      </c>
    </row>
    <row r="64" spans="3:29" ht="21.95" customHeight="1">
      <c r="C64" s="126">
        <v>57</v>
      </c>
      <c r="D64" s="126">
        <v>17</v>
      </c>
      <c r="F64" s="126" t="s">
        <v>944</v>
      </c>
      <c r="G64" s="358" t="s">
        <v>938</v>
      </c>
      <c r="H64" s="162">
        <v>46180</v>
      </c>
      <c r="I64" s="126">
        <v>1</v>
      </c>
      <c r="J64" s="141" t="s">
        <v>752</v>
      </c>
      <c r="K64" s="159" t="s">
        <v>753</v>
      </c>
      <c r="L64" s="126">
        <v>4</v>
      </c>
      <c r="M64" s="126">
        <v>0</v>
      </c>
      <c r="N64" s="159" t="s">
        <v>794</v>
      </c>
      <c r="O64" s="126">
        <v>20</v>
      </c>
      <c r="S64" s="204">
        <v>4.1500000000000004</v>
      </c>
      <c r="T64" s="204">
        <v>4.75</v>
      </c>
      <c r="U64" s="204">
        <v>19</v>
      </c>
      <c r="Y64" s="126">
        <v>1</v>
      </c>
      <c r="Z64" s="126">
        <v>6</v>
      </c>
      <c r="AA64" s="126">
        <v>2026</v>
      </c>
      <c r="AB64" s="334">
        <v>1</v>
      </c>
    </row>
    <row r="65" spans="3:28" ht="21.95" customHeight="1">
      <c r="C65" s="126">
        <v>58</v>
      </c>
      <c r="D65" s="126">
        <v>17</v>
      </c>
      <c r="F65" s="126" t="s">
        <v>944</v>
      </c>
      <c r="G65" s="358" t="s">
        <v>938</v>
      </c>
      <c r="H65" s="162">
        <v>46180</v>
      </c>
      <c r="I65" s="126">
        <v>1</v>
      </c>
      <c r="J65" s="141" t="s">
        <v>766</v>
      </c>
      <c r="K65" s="159" t="s">
        <v>767</v>
      </c>
      <c r="L65" s="126">
        <v>5</v>
      </c>
      <c r="M65" s="126">
        <v>0</v>
      </c>
      <c r="N65" s="159" t="s">
        <v>618</v>
      </c>
      <c r="O65" s="126">
        <v>1</v>
      </c>
      <c r="S65" s="204">
        <v>4</v>
      </c>
      <c r="T65" s="204">
        <v>5</v>
      </c>
      <c r="U65" s="204">
        <v>25</v>
      </c>
      <c r="Y65" s="126">
        <v>1</v>
      </c>
      <c r="Z65" s="126">
        <v>6</v>
      </c>
      <c r="AA65" s="126">
        <v>2026</v>
      </c>
      <c r="AB65" s="334">
        <v>1</v>
      </c>
    </row>
    <row r="66" spans="3:28" ht="21.95" customHeight="1">
      <c r="C66" s="126">
        <v>59</v>
      </c>
      <c r="D66" s="126">
        <v>18</v>
      </c>
      <c r="F66" s="126" t="s">
        <v>944</v>
      </c>
      <c r="G66" s="358" t="s">
        <v>945</v>
      </c>
      <c r="H66" s="162">
        <v>46180</v>
      </c>
      <c r="I66" s="126">
        <v>1</v>
      </c>
      <c r="J66" s="141" t="s">
        <v>752</v>
      </c>
      <c r="K66" s="159" t="s">
        <v>753</v>
      </c>
      <c r="L66" s="126">
        <v>10</v>
      </c>
      <c r="M66" s="126">
        <v>0</v>
      </c>
      <c r="N66" s="159" t="s">
        <v>794</v>
      </c>
      <c r="O66" s="126">
        <v>20</v>
      </c>
      <c r="S66" s="204">
        <v>4.1500000000000004</v>
      </c>
      <c r="T66" s="204">
        <v>4.75</v>
      </c>
      <c r="U66" s="204">
        <v>47.5</v>
      </c>
      <c r="Y66" s="126">
        <v>1</v>
      </c>
      <c r="Z66" s="126">
        <v>6</v>
      </c>
      <c r="AA66" s="126">
        <v>2026</v>
      </c>
      <c r="AB66" s="334">
        <v>1</v>
      </c>
    </row>
    <row r="67" spans="3:28" ht="21.95" customHeight="1">
      <c r="C67" s="126">
        <v>60</v>
      </c>
      <c r="D67" s="126">
        <v>19</v>
      </c>
      <c r="F67" s="126" t="s">
        <v>944</v>
      </c>
      <c r="G67" s="358" t="s">
        <v>953</v>
      </c>
      <c r="H67" s="162">
        <v>46180</v>
      </c>
      <c r="I67" s="126">
        <v>1</v>
      </c>
      <c r="J67" s="141" t="s">
        <v>752</v>
      </c>
      <c r="K67" s="159" t="s">
        <v>753</v>
      </c>
      <c r="L67" s="126">
        <v>1</v>
      </c>
      <c r="M67" s="126">
        <v>0</v>
      </c>
      <c r="N67" s="159" t="s">
        <v>794</v>
      </c>
      <c r="O67" s="126">
        <v>20</v>
      </c>
      <c r="S67" s="204">
        <v>4.1500000000000004</v>
      </c>
      <c r="T67" s="204">
        <v>4.75</v>
      </c>
      <c r="U67" s="204">
        <v>4.75</v>
      </c>
      <c r="Y67" s="126">
        <v>1</v>
      </c>
      <c r="Z67" s="126">
        <v>6</v>
      </c>
      <c r="AA67" s="126">
        <v>2026</v>
      </c>
      <c r="AB67" s="334">
        <v>1</v>
      </c>
    </row>
    <row r="68" spans="3:28" ht="21.95" customHeight="1">
      <c r="C68" s="126">
        <v>61</v>
      </c>
      <c r="D68" s="126">
        <v>19</v>
      </c>
      <c r="F68" s="126" t="s">
        <v>944</v>
      </c>
      <c r="G68" s="358" t="s">
        <v>953</v>
      </c>
      <c r="H68" s="162">
        <v>46180</v>
      </c>
      <c r="I68" s="126">
        <v>1</v>
      </c>
      <c r="J68" s="141" t="s">
        <v>586</v>
      </c>
      <c r="K68" s="159" t="s">
        <v>587</v>
      </c>
      <c r="L68" s="126">
        <v>1</v>
      </c>
      <c r="M68" s="126">
        <v>0</v>
      </c>
      <c r="N68" s="159" t="s">
        <v>545</v>
      </c>
      <c r="O68" s="126">
        <v>1</v>
      </c>
      <c r="S68" s="204">
        <v>14.85</v>
      </c>
      <c r="T68" s="204">
        <v>15</v>
      </c>
      <c r="U68" s="204">
        <v>15</v>
      </c>
      <c r="Y68" s="126">
        <v>1</v>
      </c>
      <c r="Z68" s="126">
        <v>6</v>
      </c>
      <c r="AA68" s="126">
        <v>2026</v>
      </c>
      <c r="AB68" s="334">
        <v>1</v>
      </c>
    </row>
    <row r="69" spans="3:28" ht="21.95" customHeight="1">
      <c r="C69" s="126">
        <v>62</v>
      </c>
      <c r="D69" s="126">
        <v>19</v>
      </c>
      <c r="F69" s="126" t="s">
        <v>944</v>
      </c>
      <c r="G69" s="358" t="s">
        <v>953</v>
      </c>
      <c r="H69" s="162">
        <v>46180</v>
      </c>
      <c r="I69" s="126">
        <v>1</v>
      </c>
      <c r="J69" s="141" t="s">
        <v>690</v>
      </c>
      <c r="K69" s="159" t="s">
        <v>691</v>
      </c>
      <c r="L69" s="126">
        <v>5</v>
      </c>
      <c r="M69" s="126">
        <v>0</v>
      </c>
      <c r="N69" s="159" t="s">
        <v>545</v>
      </c>
      <c r="O69" s="126">
        <v>1</v>
      </c>
      <c r="S69" s="204">
        <v>9.52</v>
      </c>
      <c r="T69" s="204">
        <v>10</v>
      </c>
      <c r="U69" s="204">
        <v>50</v>
      </c>
      <c r="Y69" s="126">
        <v>1</v>
      </c>
      <c r="Z69" s="126">
        <v>6</v>
      </c>
      <c r="AA69" s="126">
        <v>2026</v>
      </c>
      <c r="AB69" s="334">
        <v>1</v>
      </c>
    </row>
    <row r="70" spans="3:28" ht="21.95" customHeight="1">
      <c r="C70" s="126">
        <v>63</v>
      </c>
      <c r="D70" s="126">
        <v>20</v>
      </c>
      <c r="F70" s="126" t="s">
        <v>969</v>
      </c>
      <c r="G70" s="358" t="s">
        <v>958</v>
      </c>
      <c r="H70" s="162">
        <v>46181</v>
      </c>
      <c r="I70" s="126">
        <v>1</v>
      </c>
      <c r="J70" s="141" t="s">
        <v>706</v>
      </c>
      <c r="K70" s="159" t="s">
        <v>707</v>
      </c>
      <c r="L70" s="126">
        <v>1</v>
      </c>
      <c r="M70" s="126">
        <v>0</v>
      </c>
      <c r="N70" s="159" t="s">
        <v>545</v>
      </c>
      <c r="O70" s="126">
        <v>1</v>
      </c>
      <c r="S70" s="204">
        <v>7.49</v>
      </c>
      <c r="T70" s="204">
        <v>8</v>
      </c>
      <c r="U70" s="204">
        <v>8</v>
      </c>
      <c r="Y70" s="126">
        <v>2</v>
      </c>
      <c r="Z70" s="126">
        <v>6</v>
      </c>
      <c r="AA70" s="126">
        <v>2026</v>
      </c>
      <c r="AB70" s="334">
        <v>1</v>
      </c>
    </row>
    <row r="71" spans="3:28" ht="21.95" customHeight="1">
      <c r="C71" s="126">
        <v>64</v>
      </c>
      <c r="D71" s="126">
        <v>20</v>
      </c>
      <c r="F71" s="126" t="s">
        <v>969</v>
      </c>
      <c r="G71" s="358" t="s">
        <v>958</v>
      </c>
      <c r="H71" s="162">
        <v>46181</v>
      </c>
      <c r="I71" s="126">
        <v>1</v>
      </c>
      <c r="J71" s="141" t="s">
        <v>975</v>
      </c>
      <c r="K71" s="159" t="s">
        <v>976</v>
      </c>
      <c r="L71" s="126">
        <v>1</v>
      </c>
      <c r="M71" s="126">
        <v>0</v>
      </c>
      <c r="N71" s="159" t="s">
        <v>545</v>
      </c>
      <c r="O71" s="126">
        <v>1</v>
      </c>
      <c r="S71" s="204">
        <v>0.24</v>
      </c>
      <c r="T71" s="204">
        <v>0.5</v>
      </c>
      <c r="U71" s="204">
        <v>0.5</v>
      </c>
      <c r="Y71" s="126">
        <v>2</v>
      </c>
      <c r="Z71" s="126">
        <v>6</v>
      </c>
      <c r="AA71" s="126">
        <v>2026</v>
      </c>
      <c r="AB71" s="334">
        <v>1</v>
      </c>
    </row>
    <row r="72" spans="3:28" ht="21.95" customHeight="1">
      <c r="C72" s="126">
        <v>65</v>
      </c>
      <c r="D72" s="126">
        <v>20</v>
      </c>
      <c r="F72" s="126" t="s">
        <v>969</v>
      </c>
      <c r="G72" s="358" t="s">
        <v>958</v>
      </c>
      <c r="H72" s="162">
        <v>46181</v>
      </c>
      <c r="I72" s="126">
        <v>1</v>
      </c>
      <c r="J72" s="141" t="s">
        <v>980</v>
      </c>
      <c r="K72" s="159" t="s">
        <v>981</v>
      </c>
      <c r="L72" s="126">
        <v>12</v>
      </c>
      <c r="M72" s="126">
        <v>0</v>
      </c>
      <c r="N72" s="159" t="s">
        <v>545</v>
      </c>
      <c r="O72" s="126">
        <v>1</v>
      </c>
      <c r="S72" s="204">
        <v>0.34</v>
      </c>
      <c r="T72" s="204">
        <v>0.5</v>
      </c>
      <c r="U72" s="204">
        <v>6</v>
      </c>
      <c r="Y72" s="126">
        <v>2</v>
      </c>
      <c r="Z72" s="126">
        <v>6</v>
      </c>
      <c r="AA72" s="126">
        <v>2026</v>
      </c>
      <c r="AB72" s="334">
        <v>1</v>
      </c>
    </row>
    <row r="73" spans="3:28" ht="21.95" customHeight="1">
      <c r="C73" s="126">
        <v>66</v>
      </c>
      <c r="D73" s="126">
        <v>20</v>
      </c>
      <c r="F73" s="126" t="s">
        <v>969</v>
      </c>
      <c r="G73" s="358" t="s">
        <v>958</v>
      </c>
      <c r="H73" s="162">
        <v>46181</v>
      </c>
      <c r="I73" s="126">
        <v>1</v>
      </c>
      <c r="J73" s="141" t="s">
        <v>766</v>
      </c>
      <c r="K73" s="159" t="s">
        <v>767</v>
      </c>
      <c r="L73" s="126">
        <v>10</v>
      </c>
      <c r="M73" s="126">
        <v>0</v>
      </c>
      <c r="N73" s="159" t="s">
        <v>618</v>
      </c>
      <c r="O73" s="126">
        <v>1</v>
      </c>
      <c r="S73" s="204">
        <v>4</v>
      </c>
      <c r="T73" s="204">
        <v>5</v>
      </c>
      <c r="U73" s="204">
        <v>50</v>
      </c>
      <c r="Y73" s="126">
        <v>2</v>
      </c>
      <c r="Z73" s="126">
        <v>6</v>
      </c>
      <c r="AA73" s="126">
        <v>2026</v>
      </c>
      <c r="AB73" s="334">
        <v>1</v>
      </c>
    </row>
    <row r="74" spans="3:28" ht="21.95" customHeight="1">
      <c r="C74" s="126">
        <v>67</v>
      </c>
      <c r="D74" s="126">
        <v>21</v>
      </c>
      <c r="F74" s="126" t="s">
        <v>969</v>
      </c>
      <c r="G74" s="358" t="s">
        <v>970</v>
      </c>
      <c r="H74" s="162">
        <v>46181</v>
      </c>
      <c r="I74" s="126">
        <v>1</v>
      </c>
      <c r="J74" s="141" t="s">
        <v>699</v>
      </c>
      <c r="K74" s="159" t="s">
        <v>700</v>
      </c>
      <c r="L74" s="126">
        <v>8</v>
      </c>
      <c r="M74" s="126">
        <v>0</v>
      </c>
      <c r="N74" s="159" t="s">
        <v>545</v>
      </c>
      <c r="O74" s="126">
        <v>1</v>
      </c>
      <c r="S74" s="204">
        <v>2.1</v>
      </c>
      <c r="T74" s="204">
        <v>3</v>
      </c>
      <c r="U74" s="204">
        <v>24</v>
      </c>
      <c r="Y74" s="126">
        <v>2</v>
      </c>
      <c r="Z74" s="126">
        <v>6</v>
      </c>
      <c r="AA74" s="126">
        <v>2026</v>
      </c>
      <c r="AB74" s="334">
        <v>1</v>
      </c>
    </row>
    <row r="75" spans="3:28" ht="21.95" customHeight="1">
      <c r="C75" s="126">
        <v>68</v>
      </c>
      <c r="D75" s="126">
        <v>21</v>
      </c>
      <c r="F75" s="126" t="s">
        <v>969</v>
      </c>
      <c r="G75" s="358" t="s">
        <v>970</v>
      </c>
      <c r="H75" s="162">
        <v>46181</v>
      </c>
      <c r="I75" s="126">
        <v>1</v>
      </c>
      <c r="J75" s="141" t="s">
        <v>808</v>
      </c>
      <c r="K75" s="159" t="s">
        <v>809</v>
      </c>
      <c r="L75" s="126">
        <v>2</v>
      </c>
      <c r="M75" s="126">
        <v>0</v>
      </c>
      <c r="N75" s="159" t="s">
        <v>545</v>
      </c>
      <c r="O75" s="126">
        <v>1</v>
      </c>
      <c r="S75" s="204">
        <v>0.53</v>
      </c>
      <c r="T75" s="204">
        <v>0.8</v>
      </c>
      <c r="U75" s="204">
        <v>1.6</v>
      </c>
      <c r="Y75" s="126">
        <v>2</v>
      </c>
      <c r="Z75" s="126">
        <v>6</v>
      </c>
      <c r="AA75" s="126">
        <v>2026</v>
      </c>
      <c r="AB75" s="334">
        <v>1</v>
      </c>
    </row>
    <row r="76" spans="3:28" ht="21.95" customHeight="1">
      <c r="C76" s="126">
        <v>69</v>
      </c>
      <c r="D76" s="126">
        <v>21</v>
      </c>
      <c r="F76" s="126" t="s">
        <v>969</v>
      </c>
      <c r="G76" s="358" t="s">
        <v>970</v>
      </c>
      <c r="H76" s="162">
        <v>46181</v>
      </c>
      <c r="I76" s="126">
        <v>1</v>
      </c>
      <c r="J76" s="141" t="s">
        <v>996</v>
      </c>
      <c r="K76" s="159" t="s">
        <v>997</v>
      </c>
      <c r="L76" s="126">
        <v>8</v>
      </c>
      <c r="M76" s="126">
        <v>0</v>
      </c>
      <c r="N76" s="159" t="s">
        <v>545</v>
      </c>
      <c r="O76" s="126">
        <v>50</v>
      </c>
      <c r="S76" s="204">
        <v>0.3</v>
      </c>
      <c r="T76" s="204">
        <v>0.63</v>
      </c>
      <c r="U76" s="204">
        <v>5</v>
      </c>
      <c r="Y76" s="126">
        <v>2</v>
      </c>
      <c r="Z76" s="126">
        <v>6</v>
      </c>
      <c r="AA76" s="126">
        <v>2026</v>
      </c>
      <c r="AB76" s="334">
        <v>1</v>
      </c>
    </row>
    <row r="77" spans="3:28" ht="21.95" customHeight="1">
      <c r="C77" s="126">
        <v>70</v>
      </c>
      <c r="D77" s="126">
        <v>21</v>
      </c>
      <c r="F77" s="126" t="s">
        <v>969</v>
      </c>
      <c r="G77" s="358" t="s">
        <v>970</v>
      </c>
      <c r="H77" s="162">
        <v>46181</v>
      </c>
      <c r="I77" s="126">
        <v>1</v>
      </c>
      <c r="J77" s="141" t="s">
        <v>667</v>
      </c>
      <c r="K77" s="159" t="s">
        <v>668</v>
      </c>
      <c r="L77" s="126">
        <v>2</v>
      </c>
      <c r="M77" s="126">
        <v>0</v>
      </c>
      <c r="N77" s="159" t="s">
        <v>669</v>
      </c>
      <c r="O77" s="126">
        <v>4</v>
      </c>
      <c r="S77" s="204">
        <v>14.5</v>
      </c>
      <c r="T77" s="204">
        <v>15</v>
      </c>
      <c r="U77" s="204">
        <v>30</v>
      </c>
      <c r="Y77" s="126">
        <v>2</v>
      </c>
      <c r="Z77" s="126">
        <v>6</v>
      </c>
      <c r="AA77" s="126">
        <v>2026</v>
      </c>
      <c r="AB77" s="334">
        <v>1</v>
      </c>
    </row>
    <row r="78" spans="3:28" ht="21.95" customHeight="1">
      <c r="C78" s="126">
        <v>71</v>
      </c>
      <c r="D78" s="126">
        <v>22</v>
      </c>
      <c r="F78" s="126" t="s">
        <v>969</v>
      </c>
      <c r="G78" s="358" t="s">
        <v>988</v>
      </c>
      <c r="H78" s="162">
        <v>46181</v>
      </c>
      <c r="I78" s="126">
        <v>1</v>
      </c>
      <c r="J78" s="141" t="s">
        <v>778</v>
      </c>
      <c r="K78" s="159" t="s">
        <v>779</v>
      </c>
      <c r="L78" s="126">
        <v>8</v>
      </c>
      <c r="M78" s="126">
        <v>0</v>
      </c>
      <c r="N78" s="159" t="s">
        <v>572</v>
      </c>
      <c r="O78" s="126">
        <v>1</v>
      </c>
      <c r="S78" s="204">
        <v>4.09</v>
      </c>
      <c r="T78" s="204">
        <v>4.5</v>
      </c>
      <c r="U78" s="204">
        <v>36</v>
      </c>
      <c r="Y78" s="126">
        <v>2</v>
      </c>
      <c r="Z78" s="126">
        <v>6</v>
      </c>
      <c r="AA78" s="126">
        <v>2026</v>
      </c>
      <c r="AB78" s="126">
        <v>1</v>
      </c>
    </row>
    <row r="79" spans="3:28" ht="21.95" customHeight="1">
      <c r="C79" s="126">
        <v>72</v>
      </c>
      <c r="D79" s="126">
        <v>22</v>
      </c>
      <c r="F79" s="126" t="s">
        <v>969</v>
      </c>
      <c r="G79" s="358" t="s">
        <v>988</v>
      </c>
      <c r="H79" s="162">
        <v>46181</v>
      </c>
      <c r="I79" s="126">
        <v>1</v>
      </c>
      <c r="J79" s="141" t="s">
        <v>1009</v>
      </c>
      <c r="K79" s="159" t="s">
        <v>1010</v>
      </c>
      <c r="L79" s="126">
        <v>4</v>
      </c>
      <c r="M79" s="126">
        <v>0</v>
      </c>
      <c r="N79" s="159" t="s">
        <v>545</v>
      </c>
      <c r="O79" s="126">
        <v>1</v>
      </c>
      <c r="S79" s="204">
        <v>2.7</v>
      </c>
      <c r="T79" s="204">
        <v>3</v>
      </c>
      <c r="U79" s="204">
        <v>12</v>
      </c>
      <c r="Y79" s="126">
        <v>2</v>
      </c>
      <c r="Z79" s="126">
        <v>6</v>
      </c>
      <c r="AA79" s="126">
        <v>2026</v>
      </c>
      <c r="AB79" s="126">
        <v>1</v>
      </c>
    </row>
    <row r="80" spans="3:28" ht="21.95" customHeight="1">
      <c r="C80" s="126">
        <v>73</v>
      </c>
      <c r="D80" s="126">
        <v>23</v>
      </c>
      <c r="F80" s="126" t="s">
        <v>1017</v>
      </c>
      <c r="G80" s="126" t="s">
        <v>1004</v>
      </c>
      <c r="H80" s="162">
        <v>46182</v>
      </c>
      <c r="I80" s="126">
        <v>1</v>
      </c>
      <c r="J80" s="141" t="s">
        <v>752</v>
      </c>
      <c r="K80" s="159" t="s">
        <v>753</v>
      </c>
      <c r="L80" s="126">
        <v>10</v>
      </c>
      <c r="M80" s="126">
        <v>0</v>
      </c>
      <c r="N80" s="159" t="s">
        <v>794</v>
      </c>
      <c r="O80" s="126">
        <v>20</v>
      </c>
      <c r="S80" s="204">
        <v>4.1500000000000004</v>
      </c>
      <c r="T80" s="204">
        <v>4.5</v>
      </c>
      <c r="U80" s="204">
        <v>45</v>
      </c>
      <c r="Y80" s="126">
        <v>2</v>
      </c>
      <c r="Z80" s="126">
        <v>6</v>
      </c>
      <c r="AA80" s="126">
        <v>2026</v>
      </c>
      <c r="AB80" s="126">
        <v>1</v>
      </c>
    </row>
    <row r="81" spans="3:28" ht="21.95" customHeight="1">
      <c r="C81" s="126">
        <v>74</v>
      </c>
      <c r="D81" s="126">
        <v>23</v>
      </c>
      <c r="F81" s="126" t="s">
        <v>1017</v>
      </c>
      <c r="G81" s="126" t="s">
        <v>1004</v>
      </c>
      <c r="H81" s="162">
        <v>46182</v>
      </c>
      <c r="I81" s="126">
        <v>1</v>
      </c>
      <c r="J81" s="141" t="s">
        <v>784</v>
      </c>
      <c r="K81" s="159" t="s">
        <v>785</v>
      </c>
      <c r="L81" s="126">
        <v>4</v>
      </c>
      <c r="M81" s="126">
        <v>0</v>
      </c>
      <c r="N81" s="159" t="s">
        <v>572</v>
      </c>
      <c r="O81" s="126">
        <v>1</v>
      </c>
      <c r="S81" s="204">
        <v>3.88</v>
      </c>
      <c r="T81" s="204">
        <v>4.5</v>
      </c>
      <c r="U81" s="204">
        <v>18</v>
      </c>
      <c r="Y81" s="126">
        <v>2</v>
      </c>
      <c r="Z81" s="126">
        <v>6</v>
      </c>
      <c r="AA81" s="126">
        <v>2026</v>
      </c>
      <c r="AB81" s="126">
        <v>1</v>
      </c>
    </row>
    <row r="82" spans="3:28" ht="21.95" customHeight="1">
      <c r="C82" s="126">
        <v>75</v>
      </c>
      <c r="D82" s="126">
        <v>23</v>
      </c>
      <c r="F82" s="126" t="s">
        <v>1017</v>
      </c>
      <c r="G82" s="126" t="s">
        <v>1004</v>
      </c>
      <c r="H82" s="162">
        <v>46182</v>
      </c>
      <c r="I82" s="126">
        <v>1</v>
      </c>
      <c r="J82" s="141" t="s">
        <v>1024</v>
      </c>
      <c r="K82" s="159" t="s">
        <v>1025</v>
      </c>
      <c r="L82" s="126">
        <v>2</v>
      </c>
      <c r="M82" s="126">
        <v>0</v>
      </c>
      <c r="N82" s="159" t="s">
        <v>545</v>
      </c>
      <c r="O82" s="126">
        <v>12</v>
      </c>
      <c r="S82" s="204">
        <v>0.75</v>
      </c>
      <c r="T82" s="204">
        <v>1</v>
      </c>
      <c r="U82" s="204">
        <v>2</v>
      </c>
      <c r="Y82" s="126">
        <v>2</v>
      </c>
      <c r="Z82" s="126">
        <v>6</v>
      </c>
      <c r="AA82" s="126">
        <v>2026</v>
      </c>
      <c r="AB82" s="126">
        <v>1</v>
      </c>
    </row>
    <row r="83" spans="3:28" ht="21.95" customHeight="1">
      <c r="C83" s="126">
        <v>76</v>
      </c>
      <c r="D83" s="126">
        <v>23</v>
      </c>
      <c r="F83" s="126" t="s">
        <v>1017</v>
      </c>
      <c r="G83" s="126" t="s">
        <v>1004</v>
      </c>
      <c r="H83" s="162">
        <v>46182</v>
      </c>
      <c r="I83" s="126">
        <v>1</v>
      </c>
      <c r="J83" s="141" t="s">
        <v>1029</v>
      </c>
      <c r="K83" s="159" t="s">
        <v>1030</v>
      </c>
      <c r="L83" s="126">
        <v>2</v>
      </c>
      <c r="M83" s="126">
        <v>0</v>
      </c>
      <c r="N83" s="159" t="s">
        <v>545</v>
      </c>
      <c r="O83" s="126">
        <v>1</v>
      </c>
      <c r="S83" s="204">
        <v>0.85</v>
      </c>
      <c r="T83" s="204">
        <v>1</v>
      </c>
      <c r="U83" s="204">
        <v>2</v>
      </c>
      <c r="Y83" s="126">
        <v>2</v>
      </c>
      <c r="Z83" s="126">
        <v>6</v>
      </c>
      <c r="AA83" s="126">
        <v>2026</v>
      </c>
      <c r="AB83" s="126">
        <v>1</v>
      </c>
    </row>
    <row r="84" spans="3:28" ht="21.95" customHeight="1">
      <c r="C84" s="126">
        <v>77</v>
      </c>
      <c r="D84" s="126">
        <v>23</v>
      </c>
      <c r="F84" s="126" t="s">
        <v>1017</v>
      </c>
      <c r="G84" s="126" t="s">
        <v>1004</v>
      </c>
      <c r="H84" s="162">
        <v>46182</v>
      </c>
      <c r="I84" s="126">
        <v>1</v>
      </c>
      <c r="J84" s="141" t="s">
        <v>769</v>
      </c>
      <c r="K84" s="159" t="s">
        <v>770</v>
      </c>
      <c r="L84" s="126">
        <v>2</v>
      </c>
      <c r="M84" s="126">
        <v>0</v>
      </c>
      <c r="N84" s="159" t="s">
        <v>618</v>
      </c>
      <c r="O84" s="126">
        <v>1</v>
      </c>
      <c r="S84" s="204">
        <v>6</v>
      </c>
      <c r="T84" s="204">
        <v>6.5</v>
      </c>
      <c r="U84" s="204">
        <v>13</v>
      </c>
      <c r="Y84" s="126">
        <v>2</v>
      </c>
      <c r="Z84" s="126">
        <v>6</v>
      </c>
      <c r="AA84" s="126">
        <v>2026</v>
      </c>
      <c r="AB84" s="126">
        <v>1</v>
      </c>
    </row>
    <row r="85" spans="3:28" ht="21.95" customHeight="1">
      <c r="C85" s="126">
        <v>78</v>
      </c>
      <c r="D85" s="126">
        <v>23</v>
      </c>
      <c r="F85" s="126" t="s">
        <v>1017</v>
      </c>
      <c r="G85" s="126" t="s">
        <v>1004</v>
      </c>
      <c r="H85" s="162">
        <v>46182</v>
      </c>
      <c r="I85" s="126">
        <v>1</v>
      </c>
      <c r="J85" s="141" t="s">
        <v>1037</v>
      </c>
      <c r="K85" s="159" t="s">
        <v>1038</v>
      </c>
      <c r="L85" s="126">
        <v>1</v>
      </c>
      <c r="M85" s="126">
        <v>0</v>
      </c>
      <c r="N85" s="159" t="s">
        <v>545</v>
      </c>
      <c r="O85" s="126">
        <v>1</v>
      </c>
      <c r="S85" s="204">
        <v>4.33</v>
      </c>
      <c r="T85" s="204">
        <v>6</v>
      </c>
      <c r="U85" s="204">
        <v>6</v>
      </c>
      <c r="Y85" s="126">
        <v>2</v>
      </c>
      <c r="Z85" s="126">
        <v>6</v>
      </c>
      <c r="AA85" s="126">
        <v>2026</v>
      </c>
      <c r="AB85" s="126">
        <v>1</v>
      </c>
    </row>
    <row r="86" spans="3:28" ht="21.95" customHeight="1">
      <c r="C86" s="126">
        <v>79</v>
      </c>
      <c r="D86" s="126">
        <v>23</v>
      </c>
      <c r="F86" s="126" t="s">
        <v>1017</v>
      </c>
      <c r="G86" s="126" t="s">
        <v>1004</v>
      </c>
      <c r="H86" s="162">
        <v>46182</v>
      </c>
      <c r="I86" s="126">
        <v>1</v>
      </c>
      <c r="J86" s="141" t="s">
        <v>627</v>
      </c>
      <c r="K86" s="159" t="s">
        <v>628</v>
      </c>
      <c r="L86" s="126">
        <v>2</v>
      </c>
      <c r="M86" s="126">
        <v>0</v>
      </c>
      <c r="N86" s="159" t="s">
        <v>618</v>
      </c>
      <c r="O86" s="126">
        <v>1</v>
      </c>
      <c r="S86" s="204">
        <v>2</v>
      </c>
      <c r="T86" s="204">
        <v>2.5</v>
      </c>
      <c r="U86" s="204">
        <v>5</v>
      </c>
      <c r="Y86" s="126">
        <v>2</v>
      </c>
      <c r="Z86" s="126">
        <v>6</v>
      </c>
      <c r="AA86" s="126">
        <v>2026</v>
      </c>
      <c r="AB86" s="126">
        <v>1</v>
      </c>
    </row>
    <row r="87" spans="3:28" ht="21.95" customHeight="1">
      <c r="C87" s="126">
        <v>80</v>
      </c>
      <c r="D87" s="126">
        <v>24</v>
      </c>
      <c r="F87" s="126" t="s">
        <v>1017</v>
      </c>
      <c r="G87" s="126" t="s">
        <v>1045</v>
      </c>
      <c r="H87" s="162">
        <v>46182</v>
      </c>
      <c r="I87" s="126">
        <v>1</v>
      </c>
      <c r="J87" s="141" t="s">
        <v>576</v>
      </c>
      <c r="K87" s="159" t="s">
        <v>577</v>
      </c>
      <c r="L87" s="126">
        <v>2</v>
      </c>
      <c r="M87" s="126">
        <v>0</v>
      </c>
      <c r="N87" s="159" t="s">
        <v>572</v>
      </c>
      <c r="O87" s="126">
        <v>1</v>
      </c>
      <c r="S87" s="204">
        <v>3.37</v>
      </c>
      <c r="T87" s="204">
        <v>3.5</v>
      </c>
      <c r="U87" s="204">
        <v>7</v>
      </c>
      <c r="Y87" s="126">
        <v>2</v>
      </c>
      <c r="Z87" s="126">
        <v>6</v>
      </c>
      <c r="AA87" s="126">
        <v>2026</v>
      </c>
      <c r="AB87" s="126">
        <v>1</v>
      </c>
    </row>
    <row r="88" spans="3:28" ht="21.95" customHeight="1">
      <c r="C88" s="126">
        <v>81</v>
      </c>
      <c r="D88" s="126">
        <v>24</v>
      </c>
      <c r="F88" s="126" t="s">
        <v>1017</v>
      </c>
      <c r="G88" s="126" t="s">
        <v>1045</v>
      </c>
      <c r="H88" s="162">
        <v>46182</v>
      </c>
      <c r="I88" s="126">
        <v>1</v>
      </c>
      <c r="J88" s="141" t="s">
        <v>784</v>
      </c>
      <c r="K88" s="159" t="s">
        <v>785</v>
      </c>
      <c r="L88" s="126">
        <v>1</v>
      </c>
      <c r="M88" s="126">
        <v>0</v>
      </c>
      <c r="N88" s="159" t="s">
        <v>572</v>
      </c>
      <c r="O88" s="126">
        <v>1</v>
      </c>
      <c r="S88" s="204">
        <v>3.88</v>
      </c>
      <c r="T88" s="204">
        <v>4.3</v>
      </c>
      <c r="U88" s="204">
        <v>4.3</v>
      </c>
      <c r="Y88" s="126">
        <v>2</v>
      </c>
      <c r="Z88" s="126">
        <v>6</v>
      </c>
      <c r="AA88" s="126">
        <v>2026</v>
      </c>
      <c r="AB88" s="126">
        <v>1</v>
      </c>
    </row>
    <row r="89" spans="3:28" ht="21.95" customHeight="1">
      <c r="C89" s="126">
        <v>82</v>
      </c>
      <c r="D89" s="126">
        <v>24</v>
      </c>
      <c r="F89" s="126" t="s">
        <v>1017</v>
      </c>
      <c r="G89" s="126" t="s">
        <v>1045</v>
      </c>
      <c r="H89" s="162">
        <v>46182</v>
      </c>
      <c r="I89" s="126">
        <v>1</v>
      </c>
      <c r="J89" s="141" t="s">
        <v>608</v>
      </c>
      <c r="K89" s="159" t="s">
        <v>609</v>
      </c>
      <c r="L89" s="126">
        <v>1</v>
      </c>
      <c r="M89" s="126">
        <v>0</v>
      </c>
      <c r="N89" s="159" t="s">
        <v>572</v>
      </c>
      <c r="O89" s="126">
        <v>1</v>
      </c>
      <c r="S89" s="204">
        <v>6.28</v>
      </c>
      <c r="T89" s="204">
        <v>6.7</v>
      </c>
      <c r="U89" s="204">
        <v>6.7</v>
      </c>
      <c r="Y89" s="126">
        <v>2</v>
      </c>
      <c r="Z89" s="126">
        <v>6</v>
      </c>
      <c r="AA89" s="126">
        <v>2026</v>
      </c>
      <c r="AB89" s="126">
        <v>1</v>
      </c>
    </row>
    <row r="90" spans="3:28" ht="21.95" customHeight="1">
      <c r="C90" s="126">
        <v>83</v>
      </c>
      <c r="D90" s="126">
        <v>24</v>
      </c>
      <c r="F90" s="126" t="s">
        <v>1017</v>
      </c>
      <c r="G90" s="126" t="s">
        <v>1045</v>
      </c>
      <c r="H90" s="162">
        <v>46182</v>
      </c>
      <c r="I90" s="126">
        <v>1</v>
      </c>
      <c r="J90" s="141" t="s">
        <v>752</v>
      </c>
      <c r="K90" s="159" t="s">
        <v>753</v>
      </c>
      <c r="L90" s="126">
        <v>14</v>
      </c>
      <c r="M90" s="126">
        <v>0</v>
      </c>
      <c r="N90" s="159" t="s">
        <v>794</v>
      </c>
      <c r="O90" s="126">
        <v>20</v>
      </c>
      <c r="S90" s="204">
        <v>4.1500000000000004</v>
      </c>
      <c r="T90" s="204">
        <v>4.5</v>
      </c>
      <c r="U90" s="204">
        <v>63</v>
      </c>
      <c r="Y90" s="126">
        <v>2</v>
      </c>
      <c r="Z90" s="126">
        <v>6</v>
      </c>
      <c r="AA90" s="126">
        <v>2026</v>
      </c>
      <c r="AB90" s="126">
        <v>1</v>
      </c>
    </row>
    <row r="91" spans="3:28" ht="21.95" customHeight="1">
      <c r="C91" s="126">
        <v>84</v>
      </c>
      <c r="D91" s="126">
        <v>24</v>
      </c>
      <c r="F91" s="126" t="s">
        <v>1017</v>
      </c>
      <c r="G91" s="126" t="s">
        <v>1045</v>
      </c>
      <c r="H91" s="162">
        <v>46182</v>
      </c>
      <c r="I91" s="126">
        <v>1</v>
      </c>
      <c r="J91" s="141" t="s">
        <v>642</v>
      </c>
      <c r="K91" s="159" t="s">
        <v>643</v>
      </c>
      <c r="L91" s="126">
        <v>1</v>
      </c>
      <c r="M91" s="126">
        <v>0</v>
      </c>
      <c r="N91" s="159" t="s">
        <v>545</v>
      </c>
      <c r="O91" s="126">
        <v>1</v>
      </c>
      <c r="S91" s="204">
        <v>2.9</v>
      </c>
      <c r="T91" s="204">
        <v>3</v>
      </c>
      <c r="U91" s="204">
        <v>3</v>
      </c>
      <c r="Y91" s="126">
        <v>2</v>
      </c>
      <c r="Z91" s="126">
        <v>6</v>
      </c>
      <c r="AA91" s="126">
        <v>2026</v>
      </c>
      <c r="AB91" s="126">
        <v>1</v>
      </c>
    </row>
    <row r="92" spans="3:28" ht="21.95" customHeight="1">
      <c r="C92" s="126">
        <v>85</v>
      </c>
      <c r="D92" s="126">
        <v>25</v>
      </c>
      <c r="F92" s="126" t="s">
        <v>1062</v>
      </c>
      <c r="G92" s="126" t="s">
        <v>1063</v>
      </c>
      <c r="H92" s="162">
        <v>46183</v>
      </c>
      <c r="I92" s="126">
        <v>1</v>
      </c>
      <c r="J92" s="141" t="s">
        <v>752</v>
      </c>
      <c r="K92" s="159" t="s">
        <v>753</v>
      </c>
      <c r="L92" s="126">
        <v>10</v>
      </c>
      <c r="M92" s="126">
        <v>0</v>
      </c>
      <c r="N92" s="159" t="s">
        <v>794</v>
      </c>
      <c r="O92" s="126">
        <v>20</v>
      </c>
      <c r="S92" s="204">
        <v>4.1500000000000004</v>
      </c>
      <c r="T92" s="204">
        <v>4.75</v>
      </c>
      <c r="U92" s="204">
        <v>47.5</v>
      </c>
      <c r="Y92" s="126">
        <v>2</v>
      </c>
      <c r="Z92" s="126">
        <v>6</v>
      </c>
      <c r="AA92" s="126">
        <v>2026</v>
      </c>
      <c r="AB92" s="126">
        <v>1</v>
      </c>
    </row>
    <row r="93" spans="3:28" ht="21.95" customHeight="1">
      <c r="C93" s="126">
        <v>86</v>
      </c>
      <c r="D93" s="126">
        <v>25</v>
      </c>
      <c r="F93" s="126" t="s">
        <v>1062</v>
      </c>
      <c r="G93" s="126" t="s">
        <v>1063</v>
      </c>
      <c r="H93" s="162">
        <v>46183</v>
      </c>
      <c r="I93" s="126">
        <v>1</v>
      </c>
      <c r="J93" s="141" t="s">
        <v>755</v>
      </c>
      <c r="K93" s="159" t="s">
        <v>756</v>
      </c>
      <c r="L93" s="126">
        <v>6</v>
      </c>
      <c r="M93" s="126">
        <v>0</v>
      </c>
      <c r="N93" s="159" t="s">
        <v>794</v>
      </c>
      <c r="O93" s="126">
        <v>20</v>
      </c>
      <c r="S93" s="204">
        <v>4.75</v>
      </c>
      <c r="T93" s="204">
        <v>5</v>
      </c>
      <c r="U93" s="204">
        <v>30</v>
      </c>
      <c r="Y93" s="126">
        <v>2</v>
      </c>
      <c r="Z93" s="126">
        <v>6</v>
      </c>
      <c r="AA93" s="126">
        <v>2026</v>
      </c>
      <c r="AB93" s="126">
        <v>1</v>
      </c>
    </row>
    <row r="94" spans="3:28" ht="21.95" customHeight="1">
      <c r="C94" s="126">
        <v>87</v>
      </c>
      <c r="D94" s="126">
        <v>26</v>
      </c>
      <c r="F94" s="126" t="s">
        <v>1062</v>
      </c>
      <c r="G94" s="126" t="s">
        <v>1071</v>
      </c>
      <c r="H94" s="162">
        <v>46183</v>
      </c>
      <c r="I94" s="126">
        <v>1</v>
      </c>
      <c r="J94" s="141" t="s">
        <v>766</v>
      </c>
      <c r="K94" s="159" t="s">
        <v>767</v>
      </c>
      <c r="L94" s="126">
        <v>2</v>
      </c>
      <c r="M94" s="126">
        <v>0</v>
      </c>
      <c r="N94" s="159" t="s">
        <v>618</v>
      </c>
      <c r="O94" s="126">
        <v>1</v>
      </c>
      <c r="S94" s="204">
        <v>4</v>
      </c>
      <c r="T94" s="204">
        <v>5</v>
      </c>
      <c r="U94" s="204">
        <v>10</v>
      </c>
      <c r="Y94" s="126">
        <v>2</v>
      </c>
      <c r="Z94" s="126">
        <v>6</v>
      </c>
      <c r="AA94" s="126">
        <v>2026</v>
      </c>
      <c r="AB94" s="126">
        <v>1</v>
      </c>
    </row>
    <row r="95" spans="3:28" ht="21.95" customHeight="1">
      <c r="C95" s="126">
        <v>88</v>
      </c>
      <c r="D95" s="126">
        <v>26</v>
      </c>
      <c r="F95" s="126" t="s">
        <v>1062</v>
      </c>
      <c r="G95" s="126" t="s">
        <v>1071</v>
      </c>
      <c r="H95" s="162">
        <v>46183</v>
      </c>
      <c r="I95" s="126">
        <v>1</v>
      </c>
      <c r="J95" s="141" t="s">
        <v>769</v>
      </c>
      <c r="K95" s="159" t="s">
        <v>770</v>
      </c>
      <c r="L95" s="126">
        <v>3</v>
      </c>
      <c r="M95" s="126">
        <v>0</v>
      </c>
      <c r="N95" s="159" t="s">
        <v>618</v>
      </c>
      <c r="O95" s="126">
        <v>1</v>
      </c>
      <c r="S95" s="204">
        <v>6</v>
      </c>
      <c r="T95" s="204">
        <v>6.8</v>
      </c>
      <c r="U95" s="204">
        <v>20.399999999999999</v>
      </c>
      <c r="Y95" s="126">
        <v>2</v>
      </c>
      <c r="Z95" s="126">
        <v>6</v>
      </c>
      <c r="AA95" s="126">
        <v>2026</v>
      </c>
      <c r="AB95" s="126">
        <v>1</v>
      </c>
    </row>
    <row r="96" spans="3:28" ht="21.95" customHeight="1">
      <c r="C96" s="126">
        <v>89</v>
      </c>
      <c r="D96" s="126">
        <v>27</v>
      </c>
      <c r="F96" s="126" t="s">
        <v>1062</v>
      </c>
      <c r="G96" s="126" t="s">
        <v>1079</v>
      </c>
      <c r="H96" s="162">
        <v>46183</v>
      </c>
      <c r="I96" s="126">
        <v>1</v>
      </c>
      <c r="J96" s="141" t="s">
        <v>706</v>
      </c>
      <c r="K96" s="159" t="s">
        <v>707</v>
      </c>
      <c r="L96" s="126">
        <v>2</v>
      </c>
      <c r="M96" s="126">
        <v>0</v>
      </c>
      <c r="N96" s="159" t="s">
        <v>545</v>
      </c>
      <c r="O96" s="126">
        <v>1</v>
      </c>
      <c r="S96" s="204">
        <v>7.49</v>
      </c>
      <c r="T96" s="204">
        <v>8</v>
      </c>
      <c r="U96" s="204">
        <v>16</v>
      </c>
      <c r="Y96" s="126">
        <v>2</v>
      </c>
      <c r="Z96" s="126">
        <v>6</v>
      </c>
      <c r="AA96" s="126">
        <v>2026</v>
      </c>
      <c r="AB96" s="126">
        <v>1</v>
      </c>
    </row>
    <row r="97" spans="3:28" ht="21.95" customHeight="1">
      <c r="C97" s="126">
        <v>90</v>
      </c>
      <c r="D97" s="126">
        <v>27</v>
      </c>
      <c r="F97" s="126" t="s">
        <v>1062</v>
      </c>
      <c r="G97" s="126" t="s">
        <v>1079</v>
      </c>
      <c r="H97" s="162">
        <v>46183</v>
      </c>
      <c r="I97" s="126">
        <v>1</v>
      </c>
      <c r="J97" s="141" t="s">
        <v>696</v>
      </c>
      <c r="K97" s="159" t="s">
        <v>697</v>
      </c>
      <c r="L97" s="126">
        <v>1</v>
      </c>
      <c r="M97" s="126">
        <v>0</v>
      </c>
      <c r="N97" s="159" t="s">
        <v>545</v>
      </c>
      <c r="O97" s="126">
        <v>1</v>
      </c>
      <c r="S97" s="204">
        <v>3.3</v>
      </c>
      <c r="T97" s="204">
        <v>3.75</v>
      </c>
      <c r="U97" s="204">
        <v>3.75</v>
      </c>
      <c r="Y97" s="126">
        <v>2</v>
      </c>
      <c r="Z97" s="126">
        <v>6</v>
      </c>
      <c r="AA97" s="126">
        <v>2026</v>
      </c>
      <c r="AB97" s="126">
        <v>1</v>
      </c>
    </row>
    <row r="98" spans="3:28" ht="21.95" customHeight="1">
      <c r="C98" s="126">
        <v>91</v>
      </c>
      <c r="D98" s="126">
        <v>27</v>
      </c>
      <c r="F98" s="126" t="s">
        <v>1062</v>
      </c>
      <c r="G98" s="126" t="s">
        <v>1079</v>
      </c>
      <c r="H98" s="162">
        <v>46183</v>
      </c>
      <c r="I98" s="126">
        <v>1</v>
      </c>
      <c r="J98" s="141" t="s">
        <v>769</v>
      </c>
      <c r="K98" s="159" t="s">
        <v>770</v>
      </c>
      <c r="L98" s="126">
        <v>7</v>
      </c>
      <c r="M98" s="126">
        <v>0</v>
      </c>
      <c r="N98" s="159" t="s">
        <v>618</v>
      </c>
      <c r="O98" s="126">
        <v>1</v>
      </c>
      <c r="S98" s="204">
        <v>6</v>
      </c>
      <c r="T98" s="204">
        <v>7</v>
      </c>
      <c r="U98" s="204">
        <v>49</v>
      </c>
      <c r="Y98" s="126">
        <v>2</v>
      </c>
      <c r="Z98" s="126">
        <v>6</v>
      </c>
      <c r="AA98" s="126">
        <v>2026</v>
      </c>
      <c r="AB98" s="126">
        <v>1</v>
      </c>
    </row>
    <row r="99" spans="3:28" ht="21.95" customHeight="1">
      <c r="C99" s="126">
        <v>92</v>
      </c>
      <c r="D99" s="126">
        <v>28</v>
      </c>
      <c r="F99" s="126" t="s">
        <v>1091</v>
      </c>
      <c r="G99" s="126" t="s">
        <v>1092</v>
      </c>
      <c r="H99" s="162">
        <v>46184</v>
      </c>
      <c r="I99" s="126">
        <v>1</v>
      </c>
      <c r="J99" s="141" t="s">
        <v>755</v>
      </c>
      <c r="K99" s="159" t="s">
        <v>756</v>
      </c>
      <c r="L99" s="126">
        <v>4</v>
      </c>
      <c r="M99" s="126">
        <v>0</v>
      </c>
      <c r="N99" s="159" t="s">
        <v>794</v>
      </c>
      <c r="O99" s="126">
        <v>20</v>
      </c>
      <c r="S99" s="204">
        <v>4.75</v>
      </c>
      <c r="T99" s="204">
        <v>5.25</v>
      </c>
      <c r="U99" s="204">
        <v>21</v>
      </c>
      <c r="Y99" s="126">
        <v>2</v>
      </c>
      <c r="Z99" s="126">
        <v>6</v>
      </c>
      <c r="AA99" s="126">
        <v>2026</v>
      </c>
      <c r="AB99" s="126">
        <v>1</v>
      </c>
    </row>
    <row r="100" spans="3:28" ht="21.95" customHeight="1">
      <c r="C100" s="126">
        <v>93</v>
      </c>
      <c r="D100" s="126">
        <v>28</v>
      </c>
      <c r="F100" s="126" t="s">
        <v>1091</v>
      </c>
      <c r="G100" s="126" t="s">
        <v>1092</v>
      </c>
      <c r="H100" s="162">
        <v>46184</v>
      </c>
      <c r="I100" s="126">
        <v>1</v>
      </c>
      <c r="J100" s="141" t="s">
        <v>662</v>
      </c>
      <c r="K100" s="159" t="s">
        <v>663</v>
      </c>
      <c r="L100" s="126">
        <v>3</v>
      </c>
      <c r="M100" s="126">
        <v>0</v>
      </c>
      <c r="N100" s="159" t="s">
        <v>545</v>
      </c>
      <c r="O100" s="126">
        <v>1</v>
      </c>
      <c r="S100" s="204">
        <v>1.63</v>
      </c>
      <c r="T100" s="204">
        <v>2.25</v>
      </c>
      <c r="U100" s="204">
        <v>6.75</v>
      </c>
      <c r="Y100" s="126">
        <v>2</v>
      </c>
      <c r="Z100" s="126">
        <v>6</v>
      </c>
      <c r="AA100" s="126">
        <v>2026</v>
      </c>
      <c r="AB100" s="126">
        <v>1</v>
      </c>
    </row>
    <row r="101" spans="3:28" ht="21.95" customHeight="1">
      <c r="C101" s="126">
        <v>94</v>
      </c>
      <c r="D101" s="126">
        <v>28</v>
      </c>
      <c r="F101" s="126" t="s">
        <v>1091</v>
      </c>
      <c r="G101" s="126" t="s">
        <v>1092</v>
      </c>
      <c r="H101" s="162">
        <v>46184</v>
      </c>
      <c r="I101" s="126">
        <v>1</v>
      </c>
      <c r="J101" s="141" t="s">
        <v>906</v>
      </c>
      <c r="K101" s="159" t="s">
        <v>907</v>
      </c>
      <c r="L101" s="126">
        <v>1</v>
      </c>
      <c r="M101" s="126">
        <v>0</v>
      </c>
      <c r="N101" s="159" t="s">
        <v>545</v>
      </c>
      <c r="O101" s="126">
        <v>1</v>
      </c>
      <c r="S101" s="204">
        <v>0.15</v>
      </c>
      <c r="T101" s="204">
        <v>0.25</v>
      </c>
      <c r="U101" s="204">
        <v>0.25</v>
      </c>
      <c r="Y101" s="126">
        <v>2</v>
      </c>
      <c r="Z101" s="126">
        <v>6</v>
      </c>
      <c r="AA101" s="126">
        <v>2026</v>
      </c>
      <c r="AB101" s="126">
        <v>1</v>
      </c>
    </row>
    <row r="102" spans="3:28" ht="21.95" customHeight="1">
      <c r="C102" s="126">
        <v>95</v>
      </c>
      <c r="D102" s="126">
        <v>28</v>
      </c>
      <c r="F102" s="126" t="s">
        <v>1091</v>
      </c>
      <c r="G102" s="126" t="s">
        <v>1092</v>
      </c>
      <c r="H102" s="162">
        <v>46184</v>
      </c>
      <c r="I102" s="126">
        <v>1</v>
      </c>
      <c r="J102" s="141" t="s">
        <v>761</v>
      </c>
      <c r="K102" s="159" t="s">
        <v>762</v>
      </c>
      <c r="L102" s="126">
        <v>3</v>
      </c>
      <c r="M102" s="126">
        <v>0</v>
      </c>
      <c r="N102" s="159" t="s">
        <v>618</v>
      </c>
      <c r="O102" s="126">
        <v>1</v>
      </c>
      <c r="S102" s="204">
        <v>1</v>
      </c>
      <c r="T102" s="204">
        <v>1.5</v>
      </c>
      <c r="U102" s="204">
        <v>4.5</v>
      </c>
      <c r="Y102" s="126">
        <v>2</v>
      </c>
      <c r="Z102" s="126">
        <v>6</v>
      </c>
      <c r="AA102" s="126">
        <v>2026</v>
      </c>
      <c r="AB102" s="126">
        <v>1</v>
      </c>
    </row>
    <row r="103" spans="3:28" ht="21.95" customHeight="1">
      <c r="C103" s="126">
        <v>96</v>
      </c>
      <c r="D103" s="126">
        <v>29</v>
      </c>
      <c r="F103" s="126" t="s">
        <v>1091</v>
      </c>
      <c r="G103" s="126" t="s">
        <v>1106</v>
      </c>
      <c r="H103" s="162">
        <v>46184</v>
      </c>
      <c r="I103" s="126">
        <v>1</v>
      </c>
      <c r="J103" s="141" t="s">
        <v>1108</v>
      </c>
      <c r="K103" s="159" t="s">
        <v>1109</v>
      </c>
      <c r="L103" s="126">
        <v>2</v>
      </c>
      <c r="M103" s="126">
        <v>0</v>
      </c>
      <c r="N103" s="159" t="s">
        <v>545</v>
      </c>
      <c r="O103" s="126">
        <v>1</v>
      </c>
      <c r="S103" s="204">
        <v>0.23</v>
      </c>
      <c r="T103" s="204">
        <v>1</v>
      </c>
      <c r="U103" s="204">
        <v>2</v>
      </c>
      <c r="Y103" s="126">
        <v>2</v>
      </c>
      <c r="Z103" s="126">
        <v>6</v>
      </c>
      <c r="AA103" s="126">
        <v>2026</v>
      </c>
      <c r="AB103" s="126">
        <v>1</v>
      </c>
    </row>
    <row r="104" spans="3:28" ht="21.95" customHeight="1">
      <c r="C104" s="126">
        <v>97</v>
      </c>
      <c r="D104" s="126">
        <v>29</v>
      </c>
      <c r="F104" s="126" t="s">
        <v>1091</v>
      </c>
      <c r="G104" s="126" t="s">
        <v>1106</v>
      </c>
      <c r="H104" s="162">
        <v>46184</v>
      </c>
      <c r="I104" s="126">
        <v>1</v>
      </c>
      <c r="J104" s="141" t="s">
        <v>1113</v>
      </c>
      <c r="K104" s="159" t="s">
        <v>1114</v>
      </c>
      <c r="L104" s="126">
        <v>2</v>
      </c>
      <c r="M104" s="126">
        <v>0</v>
      </c>
      <c r="N104" s="159" t="s">
        <v>545</v>
      </c>
      <c r="O104" s="126">
        <v>1</v>
      </c>
      <c r="S104" s="204">
        <v>0.28999999999999998</v>
      </c>
      <c r="T104" s="204">
        <v>1</v>
      </c>
      <c r="U104" s="204">
        <v>2</v>
      </c>
      <c r="Y104" s="126">
        <v>2</v>
      </c>
      <c r="Z104" s="126">
        <v>6</v>
      </c>
      <c r="AA104" s="126">
        <v>2026</v>
      </c>
      <c r="AB104" s="126">
        <v>1</v>
      </c>
    </row>
    <row r="105" spans="3:28" ht="21.95" customHeight="1">
      <c r="C105" s="126">
        <v>98</v>
      </c>
      <c r="D105" s="126">
        <v>29</v>
      </c>
      <c r="F105" s="126" t="s">
        <v>1091</v>
      </c>
      <c r="G105" s="126" t="s">
        <v>1106</v>
      </c>
      <c r="H105" s="162">
        <v>46184</v>
      </c>
      <c r="I105" s="126">
        <v>1</v>
      </c>
      <c r="J105" s="141" t="s">
        <v>686</v>
      </c>
      <c r="K105" s="159" t="s">
        <v>687</v>
      </c>
      <c r="L105" s="126">
        <v>1</v>
      </c>
      <c r="M105" s="126">
        <v>0</v>
      </c>
      <c r="N105" s="159" t="s">
        <v>545</v>
      </c>
      <c r="O105" s="126">
        <v>1</v>
      </c>
      <c r="S105" s="204">
        <v>3.74</v>
      </c>
      <c r="T105" s="204">
        <v>1</v>
      </c>
      <c r="U105" s="204">
        <v>1</v>
      </c>
      <c r="X105" s="126" t="s">
        <v>1118</v>
      </c>
      <c r="Y105" s="126">
        <v>2</v>
      </c>
      <c r="Z105" s="126">
        <v>6</v>
      </c>
      <c r="AA105" s="126">
        <v>2026</v>
      </c>
      <c r="AB105" s="126">
        <v>1</v>
      </c>
    </row>
    <row r="106" spans="3:28" ht="21.95" customHeight="1">
      <c r="C106" s="126">
        <v>99</v>
      </c>
      <c r="D106" s="126">
        <v>29</v>
      </c>
      <c r="F106" s="126" t="s">
        <v>1091</v>
      </c>
      <c r="G106" s="126" t="s">
        <v>1106</v>
      </c>
      <c r="H106" s="162">
        <v>46184</v>
      </c>
      <c r="I106" s="126">
        <v>1</v>
      </c>
      <c r="J106" s="141" t="s">
        <v>627</v>
      </c>
      <c r="K106" s="159" t="s">
        <v>628</v>
      </c>
      <c r="L106" s="126">
        <v>3</v>
      </c>
      <c r="M106" s="126">
        <v>0</v>
      </c>
      <c r="N106" s="159" t="s">
        <v>618</v>
      </c>
      <c r="O106" s="126">
        <v>1</v>
      </c>
      <c r="S106" s="204">
        <v>2</v>
      </c>
      <c r="T106" s="204">
        <v>2.5</v>
      </c>
      <c r="U106" s="204">
        <v>7.5</v>
      </c>
      <c r="Y106" s="126">
        <v>2</v>
      </c>
      <c r="Z106" s="126">
        <v>6</v>
      </c>
      <c r="AA106" s="126">
        <v>2026</v>
      </c>
      <c r="AB106" s="126">
        <v>1</v>
      </c>
    </row>
    <row r="107" spans="3:28" ht="21.95" customHeight="1">
      <c r="C107" s="126">
        <v>100</v>
      </c>
      <c r="D107" s="126">
        <v>29</v>
      </c>
      <c r="F107" s="126" t="s">
        <v>1091</v>
      </c>
      <c r="G107" s="126" t="s">
        <v>1106</v>
      </c>
      <c r="H107" s="162">
        <v>46184</v>
      </c>
      <c r="I107" s="126">
        <v>1</v>
      </c>
      <c r="J107" s="141" t="s">
        <v>1125</v>
      </c>
      <c r="K107" s="159" t="s">
        <v>1126</v>
      </c>
      <c r="L107" s="126">
        <v>1</v>
      </c>
      <c r="M107" s="126">
        <v>0</v>
      </c>
      <c r="N107" s="159" t="s">
        <v>545</v>
      </c>
      <c r="O107" s="126">
        <v>1</v>
      </c>
      <c r="S107" s="204">
        <v>1.32</v>
      </c>
      <c r="T107" s="204">
        <v>1.75</v>
      </c>
      <c r="U107" s="204">
        <v>1.75</v>
      </c>
      <c r="Y107" s="126">
        <v>2</v>
      </c>
      <c r="Z107" s="126">
        <v>6</v>
      </c>
      <c r="AA107" s="126">
        <v>2026</v>
      </c>
      <c r="AB107" s="126">
        <v>1</v>
      </c>
    </row>
    <row r="108" spans="3:28" ht="21.95" customHeight="1">
      <c r="C108" s="126">
        <v>101</v>
      </c>
      <c r="D108" s="126">
        <v>29</v>
      </c>
      <c r="F108" s="126" t="s">
        <v>1091</v>
      </c>
      <c r="G108" s="126" t="s">
        <v>1106</v>
      </c>
      <c r="H108" s="162">
        <v>46184</v>
      </c>
      <c r="I108" s="126">
        <v>1</v>
      </c>
      <c r="J108" s="141" t="s">
        <v>715</v>
      </c>
      <c r="K108" s="159" t="s">
        <v>716</v>
      </c>
      <c r="L108" s="126">
        <v>1</v>
      </c>
      <c r="M108" s="126">
        <v>0</v>
      </c>
      <c r="N108" s="159" t="s">
        <v>545</v>
      </c>
      <c r="O108" s="126">
        <v>1</v>
      </c>
      <c r="S108" s="204">
        <v>3.01</v>
      </c>
      <c r="T108" s="204">
        <v>3.5</v>
      </c>
      <c r="U108" s="204">
        <v>3.5</v>
      </c>
      <c r="Y108" s="126">
        <v>2</v>
      </c>
      <c r="Z108" s="126">
        <v>6</v>
      </c>
      <c r="AA108" s="126">
        <v>2026</v>
      </c>
      <c r="AB108" s="126">
        <v>1</v>
      </c>
    </row>
    <row r="109" spans="3:28" ht="21.95" customHeight="1">
      <c r="C109" s="126">
        <v>102</v>
      </c>
      <c r="D109" s="126">
        <v>29</v>
      </c>
      <c r="F109" s="126" t="s">
        <v>1091</v>
      </c>
      <c r="G109" s="126" t="s">
        <v>1106</v>
      </c>
      <c r="H109" s="162">
        <v>46184</v>
      </c>
      <c r="I109" s="126">
        <v>1</v>
      </c>
      <c r="J109" s="141" t="s">
        <v>1133</v>
      </c>
      <c r="K109" s="159" t="s">
        <v>1134</v>
      </c>
      <c r="L109" s="126">
        <v>5</v>
      </c>
      <c r="M109" s="126">
        <v>0</v>
      </c>
      <c r="N109" s="159" t="s">
        <v>1135</v>
      </c>
      <c r="O109" s="126">
        <v>1</v>
      </c>
      <c r="S109" s="204">
        <v>1.35</v>
      </c>
      <c r="T109" s="204">
        <v>1.75</v>
      </c>
      <c r="U109" s="204">
        <v>8.75</v>
      </c>
      <c r="Y109" s="126">
        <v>2</v>
      </c>
      <c r="Z109" s="126">
        <v>6</v>
      </c>
      <c r="AA109" s="126">
        <v>2026</v>
      </c>
      <c r="AB109" s="126">
        <v>1</v>
      </c>
    </row>
    <row r="110" spans="3:28" ht="21.95" customHeight="1">
      <c r="C110" s="126">
        <v>103</v>
      </c>
      <c r="D110" s="126">
        <v>29</v>
      </c>
      <c r="F110" s="126" t="s">
        <v>1091</v>
      </c>
      <c r="G110" s="126" t="s">
        <v>1106</v>
      </c>
      <c r="H110" s="162">
        <v>46184</v>
      </c>
      <c r="I110" s="126">
        <v>1</v>
      </c>
      <c r="J110" s="141" t="s">
        <v>1139</v>
      </c>
      <c r="K110" s="159" t="s">
        <v>1140</v>
      </c>
      <c r="L110" s="126">
        <v>4</v>
      </c>
      <c r="M110" s="126">
        <v>0</v>
      </c>
      <c r="N110" s="159" t="s">
        <v>545</v>
      </c>
      <c r="O110" s="126">
        <v>100</v>
      </c>
      <c r="S110" s="204">
        <v>0.18</v>
      </c>
      <c r="T110" s="204">
        <v>0.5</v>
      </c>
      <c r="U110" s="204">
        <v>2</v>
      </c>
      <c r="Y110" s="126">
        <v>2</v>
      </c>
      <c r="Z110" s="126">
        <v>6</v>
      </c>
      <c r="AA110" s="126">
        <v>2026</v>
      </c>
      <c r="AB110" s="126">
        <v>1</v>
      </c>
    </row>
    <row r="111" spans="3:28" ht="21.95" customHeight="1">
      <c r="C111" s="126">
        <v>104</v>
      </c>
      <c r="D111" s="126">
        <v>29</v>
      </c>
      <c r="F111" s="126" t="s">
        <v>1091</v>
      </c>
      <c r="G111" s="126" t="s">
        <v>1106</v>
      </c>
      <c r="H111" s="162">
        <v>46184</v>
      </c>
      <c r="I111" s="126">
        <v>1</v>
      </c>
      <c r="J111" s="141" t="s">
        <v>1144</v>
      </c>
      <c r="K111" s="159" t="s">
        <v>1145</v>
      </c>
      <c r="L111" s="126">
        <v>3</v>
      </c>
      <c r="M111" s="126">
        <v>0</v>
      </c>
      <c r="N111" s="159" t="s">
        <v>545</v>
      </c>
      <c r="O111" s="126">
        <v>1</v>
      </c>
      <c r="S111" s="204">
        <v>0.28999999999999998</v>
      </c>
      <c r="T111" s="204">
        <v>0.5</v>
      </c>
      <c r="U111" s="204">
        <v>1.5</v>
      </c>
      <c r="Y111" s="126">
        <v>2</v>
      </c>
      <c r="Z111" s="126">
        <v>6</v>
      </c>
      <c r="AA111" s="126">
        <v>2026</v>
      </c>
      <c r="AB111" s="126">
        <v>1</v>
      </c>
    </row>
    <row r="112" spans="3:28" ht="21.95" customHeight="1">
      <c r="C112" s="126">
        <v>105</v>
      </c>
      <c r="D112" s="126">
        <v>29</v>
      </c>
      <c r="F112" s="126" t="s">
        <v>1091</v>
      </c>
      <c r="G112" s="126" t="s">
        <v>1106</v>
      </c>
      <c r="H112" s="162">
        <v>46184</v>
      </c>
      <c r="I112" s="126">
        <v>1</v>
      </c>
      <c r="J112" s="141" t="s">
        <v>975</v>
      </c>
      <c r="K112" s="159" t="s">
        <v>976</v>
      </c>
      <c r="L112" s="126">
        <v>3</v>
      </c>
      <c r="M112" s="126">
        <v>0</v>
      </c>
      <c r="N112" s="159" t="s">
        <v>545</v>
      </c>
      <c r="O112" s="126">
        <v>1</v>
      </c>
      <c r="S112" s="204">
        <v>0.24</v>
      </c>
      <c r="T112" s="204">
        <v>0.5</v>
      </c>
      <c r="U112" s="204">
        <v>1.5</v>
      </c>
      <c r="Y112" s="126">
        <v>2</v>
      </c>
      <c r="Z112" s="126">
        <v>6</v>
      </c>
      <c r="AA112" s="126">
        <v>2026</v>
      </c>
      <c r="AB112" s="126">
        <v>1</v>
      </c>
    </row>
    <row r="113" spans="3:28" ht="21.95" customHeight="1">
      <c r="C113" s="126">
        <v>106</v>
      </c>
      <c r="D113" s="126">
        <v>29</v>
      </c>
      <c r="F113" s="126" t="s">
        <v>1091</v>
      </c>
      <c r="G113" s="126" t="s">
        <v>1106</v>
      </c>
      <c r="H113" s="162">
        <v>46184</v>
      </c>
      <c r="I113" s="126">
        <v>1</v>
      </c>
      <c r="J113" s="141" t="s">
        <v>601</v>
      </c>
      <c r="K113" s="159" t="s">
        <v>602</v>
      </c>
      <c r="L113" s="126">
        <v>15</v>
      </c>
      <c r="M113" s="126">
        <v>0</v>
      </c>
      <c r="N113" s="159" t="s">
        <v>545</v>
      </c>
      <c r="O113" s="126">
        <v>1</v>
      </c>
      <c r="S113" s="204">
        <v>0.5</v>
      </c>
      <c r="T113" s="204">
        <v>0.63</v>
      </c>
      <c r="U113" s="204">
        <v>9.3800000000000008</v>
      </c>
      <c r="Y113" s="126">
        <v>2</v>
      </c>
      <c r="Z113" s="126">
        <v>6</v>
      </c>
      <c r="AA113" s="126">
        <v>2026</v>
      </c>
      <c r="AB113" s="126">
        <v>1</v>
      </c>
    </row>
    <row r="114" spans="3:28" ht="21.95" customHeight="1">
      <c r="C114" s="126">
        <v>107</v>
      </c>
      <c r="D114" s="126">
        <v>29</v>
      </c>
      <c r="F114" s="126" t="s">
        <v>1091</v>
      </c>
      <c r="G114" s="126" t="s">
        <v>1106</v>
      </c>
      <c r="H114" s="162">
        <v>46184</v>
      </c>
      <c r="I114" s="126">
        <v>1</v>
      </c>
      <c r="J114" s="141" t="s">
        <v>1155</v>
      </c>
      <c r="K114" s="159" t="s">
        <v>1156</v>
      </c>
      <c r="L114" s="126">
        <v>1</v>
      </c>
      <c r="M114" s="126">
        <v>0</v>
      </c>
      <c r="N114" s="159" t="s">
        <v>545</v>
      </c>
      <c r="O114" s="126">
        <v>1</v>
      </c>
      <c r="S114" s="204">
        <v>0.7</v>
      </c>
      <c r="T114" s="204">
        <v>1.25</v>
      </c>
      <c r="U114" s="204">
        <v>1.25</v>
      </c>
      <c r="Y114" s="126">
        <v>2</v>
      </c>
      <c r="Z114" s="126">
        <v>6</v>
      </c>
      <c r="AA114" s="126">
        <v>2026</v>
      </c>
      <c r="AB114" s="126">
        <v>1</v>
      </c>
    </row>
    <row r="115" spans="3:28" ht="21.95" customHeight="1">
      <c r="C115" s="126">
        <v>108</v>
      </c>
      <c r="D115" s="126">
        <v>30</v>
      </c>
      <c r="F115" s="126" t="s">
        <v>1091</v>
      </c>
      <c r="G115" s="126" t="s">
        <v>1160</v>
      </c>
      <c r="H115" s="162">
        <v>46184</v>
      </c>
      <c r="I115" s="126">
        <v>1</v>
      </c>
      <c r="J115" s="141" t="s">
        <v>752</v>
      </c>
      <c r="K115" s="159" t="s">
        <v>753</v>
      </c>
      <c r="L115" s="126">
        <v>5</v>
      </c>
      <c r="M115" s="126">
        <v>0</v>
      </c>
      <c r="N115" s="159" t="s">
        <v>794</v>
      </c>
      <c r="O115" s="126">
        <v>20</v>
      </c>
      <c r="S115" s="204">
        <v>4.1500000000000004</v>
      </c>
      <c r="T115" s="204">
        <v>4.75</v>
      </c>
      <c r="U115" s="204">
        <v>23.75</v>
      </c>
      <c r="Y115" s="126">
        <v>2</v>
      </c>
      <c r="Z115" s="126">
        <v>6</v>
      </c>
      <c r="AA115" s="126">
        <v>2026</v>
      </c>
      <c r="AB115" s="126">
        <v>1</v>
      </c>
    </row>
    <row r="116" spans="3:28" ht="21.95" customHeight="1">
      <c r="C116" s="126">
        <v>109</v>
      </c>
      <c r="D116" s="126">
        <v>31</v>
      </c>
      <c r="F116" s="126" t="s">
        <v>1091</v>
      </c>
      <c r="G116" s="126" t="s">
        <v>1165</v>
      </c>
      <c r="H116" s="162">
        <v>46184</v>
      </c>
      <c r="I116" s="126">
        <v>1</v>
      </c>
      <c r="J116" s="141" t="s">
        <v>652</v>
      </c>
      <c r="K116" s="159" t="s">
        <v>653</v>
      </c>
      <c r="L116" s="126">
        <v>2</v>
      </c>
      <c r="M116" s="126">
        <v>0</v>
      </c>
      <c r="N116" s="159" t="s">
        <v>572</v>
      </c>
      <c r="O116" s="126">
        <v>1</v>
      </c>
      <c r="S116" s="204">
        <v>8.36</v>
      </c>
      <c r="T116" s="204">
        <v>8.25</v>
      </c>
      <c r="U116" s="204">
        <v>16.5</v>
      </c>
      <c r="Y116" s="126">
        <v>2</v>
      </c>
      <c r="Z116" s="126">
        <v>6</v>
      </c>
      <c r="AA116" s="126">
        <v>2026</v>
      </c>
      <c r="AB116" s="126">
        <v>1</v>
      </c>
    </row>
    <row r="117" spans="3:28" ht="21.95" customHeight="1">
      <c r="C117" s="126">
        <v>110</v>
      </c>
      <c r="D117" s="126">
        <v>31</v>
      </c>
      <c r="F117" s="126" t="s">
        <v>1091</v>
      </c>
      <c r="G117" s="126" t="s">
        <v>1165</v>
      </c>
      <c r="H117" s="162">
        <v>46184</v>
      </c>
      <c r="I117" s="126">
        <v>1</v>
      </c>
      <c r="J117" s="141" t="s">
        <v>1170</v>
      </c>
      <c r="K117" s="159" t="s">
        <v>1171</v>
      </c>
      <c r="L117" s="126">
        <v>4</v>
      </c>
      <c r="M117" s="126">
        <v>0</v>
      </c>
      <c r="N117" s="159" t="s">
        <v>572</v>
      </c>
      <c r="O117" s="126">
        <v>1</v>
      </c>
      <c r="S117" s="204">
        <v>9.48</v>
      </c>
      <c r="T117" s="204">
        <v>10.5</v>
      </c>
      <c r="U117" s="204">
        <v>42</v>
      </c>
      <c r="Y117" s="126">
        <v>2</v>
      </c>
      <c r="Z117" s="126">
        <v>6</v>
      </c>
      <c r="AA117" s="126">
        <v>2026</v>
      </c>
      <c r="AB117" s="126">
        <v>1</v>
      </c>
    </row>
    <row r="118" spans="3:28" ht="21.95" customHeight="1">
      <c r="C118" s="126">
        <v>111</v>
      </c>
      <c r="D118" s="126">
        <v>31</v>
      </c>
      <c r="F118" s="126" t="s">
        <v>1091</v>
      </c>
      <c r="G118" s="126" t="s">
        <v>1165</v>
      </c>
      <c r="H118" s="162">
        <v>46184</v>
      </c>
      <c r="I118" s="126">
        <v>1</v>
      </c>
      <c r="J118" s="141" t="s">
        <v>755</v>
      </c>
      <c r="K118" s="159" t="s">
        <v>756</v>
      </c>
      <c r="L118" s="126">
        <v>6</v>
      </c>
      <c r="M118" s="126">
        <v>0</v>
      </c>
      <c r="N118" s="159" t="s">
        <v>794</v>
      </c>
      <c r="O118" s="126">
        <v>20</v>
      </c>
      <c r="S118" s="204">
        <v>4.75</v>
      </c>
      <c r="T118" s="204">
        <v>5</v>
      </c>
      <c r="U118" s="204">
        <v>30</v>
      </c>
      <c r="Y118" s="126">
        <v>2</v>
      </c>
      <c r="Z118" s="126">
        <v>6</v>
      </c>
      <c r="AA118" s="126">
        <v>2026</v>
      </c>
      <c r="AB118" s="126">
        <v>1</v>
      </c>
    </row>
    <row r="119" spans="3:28" ht="21.95" customHeight="1">
      <c r="C119" s="126">
        <v>112</v>
      </c>
      <c r="D119" s="126">
        <v>32</v>
      </c>
      <c r="F119" s="126" t="s">
        <v>1178</v>
      </c>
      <c r="G119" s="126" t="s">
        <v>1179</v>
      </c>
      <c r="H119" s="162">
        <v>46185</v>
      </c>
      <c r="I119" s="126">
        <v>1</v>
      </c>
      <c r="J119" s="141" t="s">
        <v>682</v>
      </c>
      <c r="K119" s="159" t="s">
        <v>683</v>
      </c>
      <c r="L119" s="126">
        <v>2</v>
      </c>
      <c r="M119" s="126">
        <v>0</v>
      </c>
      <c r="N119" s="159" t="s">
        <v>545</v>
      </c>
      <c r="O119" s="126">
        <v>1</v>
      </c>
      <c r="S119" s="204">
        <v>11.32</v>
      </c>
      <c r="T119" s="204">
        <v>10</v>
      </c>
      <c r="U119" s="204">
        <v>20</v>
      </c>
      <c r="Y119" s="126">
        <v>2</v>
      </c>
      <c r="Z119" s="126">
        <v>6</v>
      </c>
      <c r="AA119" s="126">
        <v>2026</v>
      </c>
      <c r="AB119" s="126">
        <v>1</v>
      </c>
    </row>
    <row r="120" spans="3:28" ht="21.95" customHeight="1">
      <c r="C120" s="126">
        <v>113</v>
      </c>
      <c r="D120" s="126">
        <v>32</v>
      </c>
      <c r="F120" s="126" t="s">
        <v>1178</v>
      </c>
      <c r="G120" s="126" t="s">
        <v>1179</v>
      </c>
      <c r="H120" s="162">
        <v>46185</v>
      </c>
      <c r="I120" s="126">
        <v>1</v>
      </c>
      <c r="J120" s="141" t="s">
        <v>818</v>
      </c>
      <c r="K120" s="159" t="s">
        <v>819</v>
      </c>
      <c r="L120" s="126">
        <v>6</v>
      </c>
      <c r="M120" s="126">
        <v>0</v>
      </c>
      <c r="N120" s="159" t="s">
        <v>545</v>
      </c>
      <c r="O120" s="126">
        <v>1</v>
      </c>
      <c r="S120" s="204">
        <v>1.79</v>
      </c>
      <c r="T120" s="204">
        <v>3.5</v>
      </c>
      <c r="U120" s="204">
        <v>21</v>
      </c>
      <c r="Y120" s="126">
        <v>2</v>
      </c>
      <c r="Z120" s="126">
        <v>6</v>
      </c>
      <c r="AA120" s="126">
        <v>2026</v>
      </c>
      <c r="AB120" s="126">
        <v>1</v>
      </c>
    </row>
    <row r="121" spans="3:28" ht="21.95" customHeight="1">
      <c r="C121" s="126">
        <v>114</v>
      </c>
      <c r="D121" s="126">
        <v>32</v>
      </c>
      <c r="F121" s="126" t="s">
        <v>1178</v>
      </c>
      <c r="G121" s="126" t="s">
        <v>1179</v>
      </c>
      <c r="H121" s="162">
        <v>46185</v>
      </c>
      <c r="I121" s="126">
        <v>1</v>
      </c>
      <c r="J121" s="141" t="s">
        <v>1187</v>
      </c>
      <c r="K121" s="159" t="s">
        <v>1188</v>
      </c>
      <c r="L121" s="126">
        <v>3</v>
      </c>
      <c r="M121" s="126">
        <v>0</v>
      </c>
      <c r="N121" s="159" t="s">
        <v>545</v>
      </c>
      <c r="O121" s="126">
        <v>1</v>
      </c>
      <c r="S121" s="204">
        <v>1.49</v>
      </c>
      <c r="T121" s="204">
        <v>2</v>
      </c>
      <c r="U121" s="204">
        <v>6</v>
      </c>
      <c r="X121" s="126" t="s">
        <v>1189</v>
      </c>
      <c r="Y121" s="126">
        <v>2</v>
      </c>
      <c r="Z121" s="126">
        <v>6</v>
      </c>
      <c r="AA121" s="126">
        <v>2026</v>
      </c>
      <c r="AB121" s="126">
        <v>1</v>
      </c>
    </row>
    <row r="122" spans="3:28" ht="21.95" customHeight="1">
      <c r="C122" s="126">
        <v>115</v>
      </c>
      <c r="D122" s="126">
        <v>32</v>
      </c>
      <c r="F122" s="126" t="s">
        <v>1178</v>
      </c>
      <c r="G122" s="126" t="s">
        <v>1179</v>
      </c>
      <c r="H122" s="162">
        <v>46185</v>
      </c>
      <c r="I122" s="126">
        <v>1</v>
      </c>
      <c r="J122" s="141" t="s">
        <v>1193</v>
      </c>
      <c r="K122" s="159" t="s">
        <v>1194</v>
      </c>
      <c r="L122" s="126">
        <v>2</v>
      </c>
      <c r="M122" s="126">
        <v>0</v>
      </c>
      <c r="N122" s="159" t="s">
        <v>545</v>
      </c>
      <c r="O122" s="126">
        <v>1</v>
      </c>
      <c r="S122" s="204">
        <v>0.5</v>
      </c>
      <c r="T122" s="204">
        <v>0.63</v>
      </c>
      <c r="U122" s="204">
        <v>1.25</v>
      </c>
      <c r="Y122" s="126">
        <v>2</v>
      </c>
      <c r="Z122" s="126">
        <v>6</v>
      </c>
      <c r="AA122" s="126">
        <v>2026</v>
      </c>
      <c r="AB122" s="126">
        <v>1</v>
      </c>
    </row>
    <row r="123" spans="3:28" ht="21.95" customHeight="1">
      <c r="C123" s="126">
        <v>116</v>
      </c>
      <c r="D123" s="126">
        <v>32</v>
      </c>
      <c r="F123" s="126" t="s">
        <v>1178</v>
      </c>
      <c r="G123" s="126" t="s">
        <v>1179</v>
      </c>
      <c r="H123" s="162">
        <v>46185</v>
      </c>
      <c r="I123" s="126">
        <v>1</v>
      </c>
      <c r="J123" s="141" t="s">
        <v>1198</v>
      </c>
      <c r="K123" s="159" t="s">
        <v>1199</v>
      </c>
      <c r="L123" s="126">
        <v>1</v>
      </c>
      <c r="M123" s="126">
        <v>0</v>
      </c>
      <c r="N123" s="159" t="s">
        <v>545</v>
      </c>
      <c r="O123" s="126">
        <v>1</v>
      </c>
      <c r="S123" s="204">
        <v>1.75</v>
      </c>
      <c r="T123" s="204">
        <v>2</v>
      </c>
      <c r="U123" s="204">
        <v>2</v>
      </c>
      <c r="Y123" s="126">
        <v>2</v>
      </c>
      <c r="Z123" s="126">
        <v>6</v>
      </c>
      <c r="AA123" s="126">
        <v>2026</v>
      </c>
      <c r="AB123" s="126">
        <v>1</v>
      </c>
    </row>
    <row r="124" spans="3:28" ht="21.95" customHeight="1">
      <c r="C124" s="126">
        <v>117</v>
      </c>
      <c r="D124" s="126">
        <v>32</v>
      </c>
      <c r="F124" s="126" t="s">
        <v>1178</v>
      </c>
      <c r="G124" s="126" t="s">
        <v>1179</v>
      </c>
      <c r="H124" s="162">
        <v>46185</v>
      </c>
      <c r="I124" s="126">
        <v>1</v>
      </c>
      <c r="J124" s="141" t="s">
        <v>1203</v>
      </c>
      <c r="K124" s="159" t="s">
        <v>1204</v>
      </c>
      <c r="L124" s="126">
        <v>1</v>
      </c>
      <c r="M124" s="126">
        <v>0</v>
      </c>
      <c r="N124" s="159" t="s">
        <v>545</v>
      </c>
      <c r="O124" s="126">
        <v>1</v>
      </c>
      <c r="S124" s="204">
        <v>0.55000000000000004</v>
      </c>
      <c r="T124" s="204">
        <v>1.1299999999999999</v>
      </c>
      <c r="U124" s="204">
        <v>1.1299999999999999</v>
      </c>
      <c r="Y124" s="126">
        <v>2</v>
      </c>
      <c r="Z124" s="126">
        <v>6</v>
      </c>
      <c r="AA124" s="126">
        <v>2026</v>
      </c>
      <c r="AB124" s="126">
        <v>1</v>
      </c>
    </row>
    <row r="125" spans="3:28" ht="21.95" customHeight="1">
      <c r="C125" s="126">
        <v>118</v>
      </c>
      <c r="D125" s="126">
        <v>32</v>
      </c>
      <c r="F125" s="126" t="s">
        <v>1178</v>
      </c>
      <c r="G125" s="126" t="s">
        <v>1179</v>
      </c>
      <c r="H125" s="162">
        <v>46185</v>
      </c>
      <c r="I125" s="126">
        <v>1</v>
      </c>
      <c r="J125" s="141" t="s">
        <v>1009</v>
      </c>
      <c r="K125" s="159" t="s">
        <v>1010</v>
      </c>
      <c r="L125" s="126">
        <v>1</v>
      </c>
      <c r="M125" s="126">
        <v>0</v>
      </c>
      <c r="N125" s="159" t="s">
        <v>545</v>
      </c>
      <c r="O125" s="126">
        <v>1</v>
      </c>
      <c r="S125" s="204">
        <v>2.7</v>
      </c>
      <c r="T125" s="204">
        <v>3</v>
      </c>
      <c r="U125" s="204">
        <v>3</v>
      </c>
      <c r="Y125" s="126">
        <v>2</v>
      </c>
      <c r="Z125" s="126">
        <v>6</v>
      </c>
      <c r="AA125" s="126">
        <v>2026</v>
      </c>
      <c r="AB125" s="126">
        <v>1</v>
      </c>
    </row>
    <row r="126" spans="3:28" ht="21.95" customHeight="1">
      <c r="C126" s="126">
        <v>119</v>
      </c>
      <c r="D126" s="126">
        <v>32</v>
      </c>
      <c r="F126" s="126" t="s">
        <v>1178</v>
      </c>
      <c r="G126" s="126" t="s">
        <v>1179</v>
      </c>
      <c r="H126" s="162">
        <v>46185</v>
      </c>
      <c r="I126" s="126">
        <v>1</v>
      </c>
      <c r="J126" s="141" t="s">
        <v>1211</v>
      </c>
      <c r="K126" s="159" t="s">
        <v>1212</v>
      </c>
      <c r="L126" s="126">
        <v>1</v>
      </c>
      <c r="M126" s="126">
        <v>0</v>
      </c>
      <c r="N126" s="159" t="s">
        <v>545</v>
      </c>
      <c r="O126" s="126">
        <v>1</v>
      </c>
      <c r="S126" s="204">
        <v>0.95</v>
      </c>
      <c r="T126" s="204">
        <v>1.5</v>
      </c>
      <c r="U126" s="204">
        <v>1.5</v>
      </c>
      <c r="Y126" s="126">
        <v>2</v>
      </c>
      <c r="Z126" s="126">
        <v>6</v>
      </c>
      <c r="AA126" s="126">
        <v>2026</v>
      </c>
      <c r="AB126" s="126">
        <v>1</v>
      </c>
    </row>
    <row r="127" spans="3:28" ht="21.95" customHeight="1">
      <c r="C127" s="126">
        <v>120</v>
      </c>
      <c r="D127" s="126">
        <v>32</v>
      </c>
      <c r="F127" s="126" t="s">
        <v>1178</v>
      </c>
      <c r="G127" s="126" t="s">
        <v>1179</v>
      </c>
      <c r="H127" s="162">
        <v>46185</v>
      </c>
      <c r="I127" s="126">
        <v>1</v>
      </c>
      <c r="J127" s="141" t="s">
        <v>1216</v>
      </c>
      <c r="K127" s="159" t="s">
        <v>1217</v>
      </c>
      <c r="L127" s="126">
        <v>1</v>
      </c>
      <c r="M127" s="126">
        <v>0</v>
      </c>
      <c r="N127" s="159" t="s">
        <v>545</v>
      </c>
      <c r="O127" s="126">
        <v>1</v>
      </c>
      <c r="S127" s="204">
        <v>0.41</v>
      </c>
      <c r="T127" s="204">
        <v>0.75</v>
      </c>
      <c r="U127" s="204">
        <v>0.75</v>
      </c>
      <c r="Y127" s="126">
        <v>2</v>
      </c>
      <c r="Z127" s="126">
        <v>6</v>
      </c>
      <c r="AA127" s="126">
        <v>2026</v>
      </c>
      <c r="AB127" s="126">
        <v>1</v>
      </c>
    </row>
    <row r="128" spans="3:28" ht="21.95" customHeight="1">
      <c r="C128" s="126">
        <v>121</v>
      </c>
      <c r="D128" s="126">
        <v>32</v>
      </c>
      <c r="F128" s="126" t="s">
        <v>1178</v>
      </c>
      <c r="G128" s="126" t="s">
        <v>1179</v>
      </c>
      <c r="H128" s="162">
        <v>46185</v>
      </c>
      <c r="I128" s="126">
        <v>1</v>
      </c>
      <c r="J128" s="141" t="s">
        <v>1221</v>
      </c>
      <c r="K128" s="159" t="s">
        <v>1222</v>
      </c>
      <c r="L128" s="126">
        <v>1</v>
      </c>
      <c r="M128" s="126">
        <v>0</v>
      </c>
      <c r="N128" s="159" t="s">
        <v>545</v>
      </c>
      <c r="O128" s="126">
        <v>1</v>
      </c>
      <c r="S128" s="204">
        <v>1.9</v>
      </c>
      <c r="T128" s="204">
        <v>2.25</v>
      </c>
      <c r="U128" s="204">
        <v>2.25</v>
      </c>
      <c r="Y128" s="126">
        <v>2</v>
      </c>
      <c r="Z128" s="126">
        <v>6</v>
      </c>
      <c r="AA128" s="126">
        <v>2026</v>
      </c>
      <c r="AB128" s="126">
        <v>1</v>
      </c>
    </row>
    <row r="129" spans="3:28" ht="21.95" customHeight="1">
      <c r="C129" s="126">
        <v>122</v>
      </c>
      <c r="D129" s="126">
        <v>32</v>
      </c>
      <c r="F129" s="126" t="s">
        <v>1178</v>
      </c>
      <c r="G129" s="126" t="s">
        <v>1179</v>
      </c>
      <c r="H129" s="162">
        <v>46185</v>
      </c>
      <c r="I129" s="126">
        <v>1</v>
      </c>
      <c r="J129" s="141" t="s">
        <v>647</v>
      </c>
      <c r="K129" s="159" t="s">
        <v>648</v>
      </c>
      <c r="L129" s="126">
        <v>7</v>
      </c>
      <c r="M129" s="126">
        <v>0</v>
      </c>
      <c r="N129" s="159" t="s">
        <v>545</v>
      </c>
      <c r="O129" s="126">
        <v>1</v>
      </c>
      <c r="S129" s="204">
        <v>0.15</v>
      </c>
      <c r="T129" s="204">
        <v>0.38</v>
      </c>
      <c r="U129" s="204">
        <v>2.66</v>
      </c>
      <c r="Y129" s="126">
        <v>2</v>
      </c>
      <c r="Z129" s="126">
        <v>6</v>
      </c>
      <c r="AA129" s="126">
        <v>2026</v>
      </c>
      <c r="AB129" s="126">
        <v>1</v>
      </c>
    </row>
    <row r="130" spans="3:28" ht="21.95" customHeight="1">
      <c r="C130" s="126">
        <v>123</v>
      </c>
      <c r="D130" s="126">
        <v>32</v>
      </c>
      <c r="F130" s="126" t="s">
        <v>1178</v>
      </c>
      <c r="G130" s="126" t="s">
        <v>1179</v>
      </c>
      <c r="H130" s="162">
        <v>46185</v>
      </c>
      <c r="I130" s="126">
        <v>1</v>
      </c>
      <c r="J130" s="141" t="s">
        <v>1229</v>
      </c>
      <c r="K130" s="159" t="s">
        <v>1230</v>
      </c>
      <c r="L130" s="126">
        <v>2</v>
      </c>
      <c r="M130" s="126">
        <v>0</v>
      </c>
      <c r="N130" s="159" t="s">
        <v>545</v>
      </c>
      <c r="O130" s="126">
        <v>1</v>
      </c>
      <c r="S130" s="204">
        <v>0.22</v>
      </c>
      <c r="T130" s="204">
        <v>0.38</v>
      </c>
      <c r="U130" s="204">
        <v>0.75</v>
      </c>
      <c r="Y130" s="126">
        <v>2</v>
      </c>
      <c r="Z130" s="126">
        <v>6</v>
      </c>
      <c r="AA130" s="126">
        <v>2026</v>
      </c>
      <c r="AB130" s="126">
        <v>1</v>
      </c>
    </row>
    <row r="131" spans="3:28" ht="21.95" customHeight="1">
      <c r="C131" s="126">
        <v>124</v>
      </c>
      <c r="D131" s="126">
        <v>32</v>
      </c>
      <c r="F131" s="126" t="s">
        <v>1178</v>
      </c>
      <c r="G131" s="126" t="s">
        <v>1179</v>
      </c>
      <c r="H131" s="162">
        <v>46185</v>
      </c>
      <c r="I131" s="126">
        <v>1</v>
      </c>
      <c r="J131" s="141" t="s">
        <v>1234</v>
      </c>
      <c r="K131" s="159" t="s">
        <v>1235</v>
      </c>
      <c r="L131" s="126">
        <v>2</v>
      </c>
      <c r="M131" s="126">
        <v>0</v>
      </c>
      <c r="N131" s="159" t="s">
        <v>545</v>
      </c>
      <c r="O131" s="126">
        <v>1</v>
      </c>
      <c r="S131" s="204">
        <v>0.25</v>
      </c>
      <c r="T131" s="204">
        <v>0.5</v>
      </c>
      <c r="U131" s="204">
        <v>1</v>
      </c>
      <c r="Y131" s="126">
        <v>2</v>
      </c>
      <c r="Z131" s="126">
        <v>6</v>
      </c>
      <c r="AA131" s="126">
        <v>2026</v>
      </c>
      <c r="AB131" s="126">
        <v>1</v>
      </c>
    </row>
    <row r="132" spans="3:28" ht="21.95" customHeight="1">
      <c r="C132" s="126">
        <v>125</v>
      </c>
      <c r="D132" s="126">
        <v>32</v>
      </c>
      <c r="F132" s="126" t="s">
        <v>1178</v>
      </c>
      <c r="G132" s="126" t="s">
        <v>1179</v>
      </c>
      <c r="H132" s="162">
        <v>46185</v>
      </c>
      <c r="I132" s="126">
        <v>1</v>
      </c>
      <c r="J132" s="141" t="s">
        <v>906</v>
      </c>
      <c r="K132" s="159" t="s">
        <v>907</v>
      </c>
      <c r="L132" s="126">
        <v>1</v>
      </c>
      <c r="M132" s="126">
        <v>0</v>
      </c>
      <c r="N132" s="159" t="s">
        <v>545</v>
      </c>
      <c r="O132" s="126">
        <v>1</v>
      </c>
      <c r="S132" s="204">
        <v>0.15</v>
      </c>
      <c r="T132" s="204">
        <v>0.25</v>
      </c>
      <c r="U132" s="204">
        <v>0.25</v>
      </c>
      <c r="Y132" s="126">
        <v>2</v>
      </c>
      <c r="Z132" s="126">
        <v>6</v>
      </c>
      <c r="AA132" s="126">
        <v>2026</v>
      </c>
      <c r="AB132" s="126">
        <v>1</v>
      </c>
    </row>
    <row r="133" spans="3:28" ht="21.95" customHeight="1">
      <c r="C133" s="126">
        <v>126</v>
      </c>
      <c r="D133" s="126">
        <v>32</v>
      </c>
      <c r="F133" s="126" t="s">
        <v>1178</v>
      </c>
      <c r="G133" s="126" t="s">
        <v>1179</v>
      </c>
      <c r="H133" s="162">
        <v>46185</v>
      </c>
      <c r="I133" s="126">
        <v>1</v>
      </c>
      <c r="J133" s="141" t="s">
        <v>1242</v>
      </c>
      <c r="K133" s="159" t="s">
        <v>1243</v>
      </c>
      <c r="L133" s="126">
        <v>1</v>
      </c>
      <c r="M133" s="126">
        <v>0</v>
      </c>
      <c r="N133" s="159" t="s">
        <v>545</v>
      </c>
      <c r="O133" s="126">
        <v>1</v>
      </c>
      <c r="S133" s="204">
        <v>0.53</v>
      </c>
      <c r="T133" s="204">
        <v>1</v>
      </c>
      <c r="U133" s="204">
        <v>1</v>
      </c>
      <c r="Y133" s="126">
        <v>2</v>
      </c>
      <c r="Z133" s="126">
        <v>6</v>
      </c>
      <c r="AA133" s="126">
        <v>2026</v>
      </c>
      <c r="AB133" s="126">
        <v>1</v>
      </c>
    </row>
    <row r="134" spans="3:28" ht="21.95" customHeight="1">
      <c r="C134" s="126">
        <v>127</v>
      </c>
      <c r="D134" s="126">
        <v>32</v>
      </c>
      <c r="F134" s="126" t="s">
        <v>1178</v>
      </c>
      <c r="G134" s="126" t="s">
        <v>1179</v>
      </c>
      <c r="H134" s="162">
        <v>46185</v>
      </c>
      <c r="I134" s="126">
        <v>1</v>
      </c>
      <c r="J134" s="141" t="s">
        <v>735</v>
      </c>
      <c r="K134" s="159" t="s">
        <v>736</v>
      </c>
      <c r="L134" s="126">
        <v>1</v>
      </c>
      <c r="M134" s="126">
        <v>0</v>
      </c>
      <c r="N134" s="159" t="s">
        <v>669</v>
      </c>
      <c r="O134" s="126">
        <v>12</v>
      </c>
      <c r="S134" s="204">
        <v>4.41</v>
      </c>
      <c r="T134" s="204">
        <v>5</v>
      </c>
      <c r="U134" s="204">
        <v>5</v>
      </c>
      <c r="Y134" s="126">
        <v>2</v>
      </c>
      <c r="Z134" s="126">
        <v>6</v>
      </c>
      <c r="AA134" s="126">
        <v>2026</v>
      </c>
      <c r="AB134" s="126">
        <v>1</v>
      </c>
    </row>
    <row r="135" spans="3:28" ht="21.95" customHeight="1">
      <c r="C135" s="126">
        <v>128</v>
      </c>
      <c r="D135" s="126">
        <v>33</v>
      </c>
      <c r="F135" s="126" t="s">
        <v>1178</v>
      </c>
      <c r="G135" s="126" t="s">
        <v>1250</v>
      </c>
      <c r="H135" s="162">
        <v>46185</v>
      </c>
      <c r="I135" s="126">
        <v>1</v>
      </c>
      <c r="J135" s="141" t="s">
        <v>752</v>
      </c>
      <c r="K135" s="159" t="s">
        <v>753</v>
      </c>
      <c r="L135" s="126">
        <v>10</v>
      </c>
      <c r="M135" s="126">
        <v>0</v>
      </c>
      <c r="N135" s="159" t="s">
        <v>794</v>
      </c>
      <c r="O135" s="126">
        <v>20</v>
      </c>
      <c r="S135" s="204">
        <v>4.1500000000000004</v>
      </c>
      <c r="T135" s="204">
        <v>4.5</v>
      </c>
      <c r="U135" s="204">
        <v>45</v>
      </c>
      <c r="Y135" s="126">
        <v>2</v>
      </c>
      <c r="Z135" s="126">
        <v>6</v>
      </c>
      <c r="AA135" s="126">
        <v>2026</v>
      </c>
      <c r="AB135" s="126">
        <v>1</v>
      </c>
    </row>
    <row r="136" spans="3:28" ht="21.95" customHeight="1">
      <c r="C136" s="126">
        <v>129</v>
      </c>
      <c r="D136" s="126">
        <v>34</v>
      </c>
      <c r="F136" s="126" t="s">
        <v>1178</v>
      </c>
      <c r="G136" s="126" t="s">
        <v>1255</v>
      </c>
      <c r="H136" s="162">
        <v>46185</v>
      </c>
      <c r="I136" s="126">
        <v>1</v>
      </c>
      <c r="J136" s="141" t="s">
        <v>564</v>
      </c>
      <c r="K136" s="159" t="s">
        <v>565</v>
      </c>
      <c r="L136" s="126">
        <v>1</v>
      </c>
      <c r="M136" s="126">
        <v>0</v>
      </c>
      <c r="N136" s="159" t="s">
        <v>940</v>
      </c>
      <c r="O136" s="126">
        <v>1</v>
      </c>
      <c r="S136" s="204">
        <v>95</v>
      </c>
      <c r="T136" s="204">
        <v>95</v>
      </c>
      <c r="U136" s="204">
        <v>95</v>
      </c>
      <c r="Y136" s="126">
        <v>2</v>
      </c>
      <c r="Z136" s="126">
        <v>6</v>
      </c>
      <c r="AA136" s="126">
        <v>2026</v>
      </c>
      <c r="AB136" s="126">
        <v>1</v>
      </c>
    </row>
    <row r="137" spans="3:28" ht="21.95" customHeight="1">
      <c r="C137" s="126">
        <v>130</v>
      </c>
      <c r="D137" s="126">
        <v>35</v>
      </c>
      <c r="F137" s="126" t="s">
        <v>1260</v>
      </c>
      <c r="G137" s="126" t="s">
        <v>1261</v>
      </c>
      <c r="H137" s="162">
        <v>46186</v>
      </c>
      <c r="I137" s="126">
        <v>1</v>
      </c>
      <c r="J137" s="141" t="s">
        <v>752</v>
      </c>
      <c r="K137" s="159" t="s">
        <v>753</v>
      </c>
      <c r="L137" s="126">
        <v>5</v>
      </c>
      <c r="M137" s="126">
        <v>0</v>
      </c>
      <c r="N137" s="159" t="s">
        <v>794</v>
      </c>
      <c r="O137" s="126">
        <v>20</v>
      </c>
      <c r="S137" s="204">
        <v>4.1500000000000004</v>
      </c>
      <c r="T137" s="204">
        <v>4.75</v>
      </c>
      <c r="U137" s="204">
        <v>23.75</v>
      </c>
      <c r="Y137" s="126">
        <v>2</v>
      </c>
      <c r="Z137" s="126">
        <v>6</v>
      </c>
      <c r="AA137" s="126">
        <v>2026</v>
      </c>
      <c r="AB137" s="126">
        <v>1</v>
      </c>
    </row>
    <row r="138" spans="3:28" ht="21.95" customHeight="1">
      <c r="C138" s="126">
        <v>131</v>
      </c>
      <c r="D138" s="126">
        <v>35</v>
      </c>
      <c r="F138" s="126" t="s">
        <v>1260</v>
      </c>
      <c r="G138" s="126" t="s">
        <v>1261</v>
      </c>
      <c r="H138" s="162">
        <v>46186</v>
      </c>
      <c r="I138" s="126">
        <v>1</v>
      </c>
      <c r="J138" s="141" t="s">
        <v>781</v>
      </c>
      <c r="K138" s="159" t="s">
        <v>782</v>
      </c>
      <c r="L138" s="126">
        <v>5</v>
      </c>
      <c r="M138" s="126">
        <v>0</v>
      </c>
      <c r="N138" s="159" t="s">
        <v>572</v>
      </c>
      <c r="O138" s="126">
        <v>1</v>
      </c>
      <c r="S138" s="204">
        <v>4.92</v>
      </c>
      <c r="T138" s="204">
        <v>5</v>
      </c>
      <c r="U138" s="204">
        <v>25</v>
      </c>
      <c r="Y138" s="126">
        <v>2</v>
      </c>
      <c r="Z138" s="126">
        <v>6</v>
      </c>
      <c r="AA138" s="126">
        <v>2026</v>
      </c>
      <c r="AB138" s="126">
        <v>1</v>
      </c>
    </row>
    <row r="139" spans="3:28" ht="21.95" customHeight="1">
      <c r="C139" s="126">
        <v>132</v>
      </c>
      <c r="D139" s="126">
        <v>36</v>
      </c>
      <c r="F139" s="126" t="s">
        <v>1260</v>
      </c>
      <c r="G139" s="126" t="s">
        <v>1269</v>
      </c>
      <c r="H139" s="162">
        <v>46186</v>
      </c>
      <c r="I139" s="126">
        <v>1</v>
      </c>
      <c r="J139" s="141" t="s">
        <v>808</v>
      </c>
      <c r="K139" s="159" t="s">
        <v>809</v>
      </c>
      <c r="L139" s="126">
        <v>2</v>
      </c>
      <c r="M139" s="126">
        <v>0</v>
      </c>
      <c r="N139" s="159" t="s">
        <v>545</v>
      </c>
      <c r="O139" s="126">
        <v>1</v>
      </c>
      <c r="S139" s="204">
        <v>0.53</v>
      </c>
      <c r="T139" s="204">
        <v>0.75</v>
      </c>
      <c r="U139" s="204">
        <v>1.5</v>
      </c>
      <c r="Y139" s="126">
        <v>2</v>
      </c>
      <c r="Z139" s="126">
        <v>6</v>
      </c>
      <c r="AA139" s="126">
        <v>2026</v>
      </c>
      <c r="AB139" s="126">
        <v>1</v>
      </c>
    </row>
    <row r="140" spans="3:28" ht="21.95" customHeight="1">
      <c r="C140" s="126">
        <v>133</v>
      </c>
      <c r="D140" s="126">
        <v>36</v>
      </c>
      <c r="F140" s="126" t="s">
        <v>1260</v>
      </c>
      <c r="G140" s="126" t="s">
        <v>1269</v>
      </c>
      <c r="H140" s="162">
        <v>46186</v>
      </c>
      <c r="I140" s="126">
        <v>1</v>
      </c>
      <c r="J140" s="141" t="s">
        <v>1125</v>
      </c>
      <c r="K140" s="159" t="s">
        <v>1126</v>
      </c>
      <c r="L140" s="126">
        <v>2</v>
      </c>
      <c r="M140" s="126">
        <v>0</v>
      </c>
      <c r="N140" s="159" t="s">
        <v>545</v>
      </c>
      <c r="O140" s="126">
        <v>1</v>
      </c>
      <c r="S140" s="204">
        <v>1.32</v>
      </c>
      <c r="T140" s="204">
        <v>1.75</v>
      </c>
      <c r="U140" s="204">
        <v>3.5</v>
      </c>
      <c r="Y140" s="126">
        <v>2</v>
      </c>
      <c r="Z140" s="126">
        <v>6</v>
      </c>
      <c r="AA140" s="126">
        <v>2026</v>
      </c>
      <c r="AB140" s="126">
        <v>1</v>
      </c>
    </row>
    <row r="141" spans="3:28" ht="21.95" customHeight="1">
      <c r="C141" s="126">
        <v>134</v>
      </c>
      <c r="D141" s="126">
        <v>36</v>
      </c>
      <c r="F141" s="126" t="s">
        <v>1260</v>
      </c>
      <c r="G141" s="126" t="s">
        <v>1269</v>
      </c>
      <c r="H141" s="162">
        <v>46186</v>
      </c>
      <c r="I141" s="126">
        <v>1</v>
      </c>
      <c r="J141" s="141" t="s">
        <v>980</v>
      </c>
      <c r="K141" s="159" t="s">
        <v>981</v>
      </c>
      <c r="L141" s="126">
        <v>3</v>
      </c>
      <c r="M141" s="126">
        <v>0</v>
      </c>
      <c r="N141" s="159" t="s">
        <v>545</v>
      </c>
      <c r="O141" s="126">
        <v>1</v>
      </c>
      <c r="S141" s="204">
        <v>0.34</v>
      </c>
      <c r="T141" s="204">
        <v>0.75</v>
      </c>
      <c r="U141" s="204">
        <v>2.25</v>
      </c>
      <c r="Y141" s="126">
        <v>2</v>
      </c>
      <c r="Z141" s="126">
        <v>6</v>
      </c>
      <c r="AA141" s="126">
        <v>2026</v>
      </c>
      <c r="AB141" s="126">
        <v>1</v>
      </c>
    </row>
    <row r="142" spans="3:28" ht="21.95" customHeight="1">
      <c r="C142" s="126">
        <v>135</v>
      </c>
      <c r="D142" s="126">
        <v>36</v>
      </c>
      <c r="F142" s="126" t="s">
        <v>1260</v>
      </c>
      <c r="G142" s="126" t="s">
        <v>1269</v>
      </c>
      <c r="H142" s="162">
        <v>46186</v>
      </c>
      <c r="I142" s="126">
        <v>1</v>
      </c>
      <c r="J142" s="141" t="s">
        <v>975</v>
      </c>
      <c r="K142" s="159" t="s">
        <v>976</v>
      </c>
      <c r="L142" s="126">
        <v>2</v>
      </c>
      <c r="M142" s="126">
        <v>0</v>
      </c>
      <c r="N142" s="159" t="s">
        <v>545</v>
      </c>
      <c r="O142" s="126">
        <v>1</v>
      </c>
      <c r="S142" s="204">
        <v>0.24</v>
      </c>
      <c r="T142" s="204">
        <v>0.5</v>
      </c>
      <c r="U142" s="204">
        <v>1</v>
      </c>
      <c r="Y142" s="126">
        <v>2</v>
      </c>
      <c r="Z142" s="126">
        <v>6</v>
      </c>
      <c r="AA142" s="126">
        <v>2026</v>
      </c>
      <c r="AB142" s="126">
        <v>1</v>
      </c>
    </row>
    <row r="143" spans="3:28" ht="21.95" customHeight="1">
      <c r="C143" s="126">
        <v>136</v>
      </c>
      <c r="D143" s="126">
        <v>36</v>
      </c>
      <c r="F143" s="126" t="s">
        <v>1260</v>
      </c>
      <c r="G143" s="126" t="s">
        <v>1269</v>
      </c>
      <c r="H143" s="162">
        <v>46186</v>
      </c>
      <c r="I143" s="126">
        <v>1</v>
      </c>
      <c r="J143" s="141" t="s">
        <v>1203</v>
      </c>
      <c r="K143" s="159" t="s">
        <v>1204</v>
      </c>
      <c r="L143" s="126">
        <v>1</v>
      </c>
      <c r="M143" s="126">
        <v>0</v>
      </c>
      <c r="N143" s="159" t="s">
        <v>545</v>
      </c>
      <c r="O143" s="126">
        <v>1</v>
      </c>
      <c r="S143" s="204">
        <v>0.55000000000000004</v>
      </c>
      <c r="T143" s="204">
        <v>0.75</v>
      </c>
      <c r="U143" s="204">
        <v>0.75</v>
      </c>
      <c r="Y143" s="126">
        <v>2</v>
      </c>
      <c r="Z143" s="126">
        <v>6</v>
      </c>
      <c r="AA143" s="126">
        <v>2026</v>
      </c>
      <c r="AB143" s="126">
        <v>1</v>
      </c>
    </row>
    <row r="144" spans="3:28" ht="21.95" customHeight="1">
      <c r="C144" s="126">
        <v>137</v>
      </c>
      <c r="D144" s="126">
        <v>36</v>
      </c>
      <c r="F144" s="126" t="s">
        <v>1260</v>
      </c>
      <c r="G144" s="126" t="s">
        <v>1269</v>
      </c>
      <c r="H144" s="162">
        <v>46186</v>
      </c>
      <c r="I144" s="126">
        <v>1</v>
      </c>
      <c r="J144" s="141" t="s">
        <v>1242</v>
      </c>
      <c r="K144" s="159" t="s">
        <v>1243</v>
      </c>
      <c r="L144" s="126">
        <v>2</v>
      </c>
      <c r="M144" s="126">
        <v>0</v>
      </c>
      <c r="N144" s="159" t="s">
        <v>545</v>
      </c>
      <c r="O144" s="126">
        <v>1</v>
      </c>
      <c r="S144" s="204">
        <v>0.53</v>
      </c>
      <c r="T144" s="204">
        <v>0.5</v>
      </c>
      <c r="U144" s="204">
        <v>1</v>
      </c>
      <c r="Y144" s="126">
        <v>2</v>
      </c>
      <c r="Z144" s="126">
        <v>6</v>
      </c>
      <c r="AA144" s="126">
        <v>2026</v>
      </c>
      <c r="AB144" s="126">
        <v>1</v>
      </c>
    </row>
    <row r="145" spans="3:28" ht="21.95" customHeight="1">
      <c r="C145" s="126">
        <v>138</v>
      </c>
      <c r="D145" s="126">
        <v>36</v>
      </c>
      <c r="F145" s="126" t="s">
        <v>1260</v>
      </c>
      <c r="G145" s="126" t="s">
        <v>1269</v>
      </c>
      <c r="H145" s="162">
        <v>46186</v>
      </c>
      <c r="I145" s="126">
        <v>1</v>
      </c>
      <c r="J145" s="141" t="s">
        <v>813</v>
      </c>
      <c r="K145" s="159" t="s">
        <v>814</v>
      </c>
      <c r="L145" s="126">
        <v>1</v>
      </c>
      <c r="M145" s="126">
        <v>0</v>
      </c>
      <c r="N145" s="159" t="s">
        <v>545</v>
      </c>
      <c r="O145" s="126">
        <v>1</v>
      </c>
      <c r="S145" s="204">
        <v>0.28000000000000003</v>
      </c>
      <c r="T145" s="204">
        <v>0.5</v>
      </c>
      <c r="U145" s="204">
        <v>0.5</v>
      </c>
      <c r="Y145" s="126">
        <v>2</v>
      </c>
      <c r="Z145" s="126">
        <v>6</v>
      </c>
      <c r="AA145" s="126">
        <v>2026</v>
      </c>
      <c r="AB145" s="126">
        <v>1</v>
      </c>
    </row>
    <row r="146" spans="3:28" ht="21.95" customHeight="1">
      <c r="C146" s="126">
        <v>139</v>
      </c>
      <c r="D146" s="126">
        <v>36</v>
      </c>
      <c r="F146" s="126" t="s">
        <v>1260</v>
      </c>
      <c r="G146" s="126" t="s">
        <v>1269</v>
      </c>
      <c r="H146" s="162">
        <v>46186</v>
      </c>
      <c r="I146" s="126">
        <v>1</v>
      </c>
      <c r="J146" s="141" t="s">
        <v>1234</v>
      </c>
      <c r="K146" s="159" t="s">
        <v>1235</v>
      </c>
      <c r="L146" s="126">
        <v>1</v>
      </c>
      <c r="M146" s="126">
        <v>0</v>
      </c>
      <c r="N146" s="159" t="s">
        <v>545</v>
      </c>
      <c r="O146" s="126">
        <v>1</v>
      </c>
      <c r="S146" s="204">
        <v>0.25</v>
      </c>
      <c r="T146" s="204">
        <v>0.5</v>
      </c>
      <c r="U146" s="204">
        <v>0.5</v>
      </c>
      <c r="Y146" s="126">
        <v>2</v>
      </c>
      <c r="Z146" s="126">
        <v>6</v>
      </c>
      <c r="AA146" s="126">
        <v>2026</v>
      </c>
      <c r="AB146" s="126">
        <v>1</v>
      </c>
    </row>
    <row r="147" spans="3:28" ht="21.95" customHeight="1">
      <c r="C147" s="126">
        <v>140</v>
      </c>
      <c r="D147" s="126">
        <v>36</v>
      </c>
      <c r="F147" s="126" t="s">
        <v>1260</v>
      </c>
      <c r="G147" s="126" t="s">
        <v>1269</v>
      </c>
      <c r="H147" s="162">
        <v>46186</v>
      </c>
      <c r="I147" s="126">
        <v>1</v>
      </c>
      <c r="J147" s="141" t="s">
        <v>1295</v>
      </c>
      <c r="K147" s="159" t="s">
        <v>1296</v>
      </c>
      <c r="L147" s="126">
        <v>1</v>
      </c>
      <c r="M147" s="126">
        <v>0</v>
      </c>
      <c r="N147" s="159" t="s">
        <v>545</v>
      </c>
      <c r="O147" s="126">
        <v>1</v>
      </c>
      <c r="S147" s="204">
        <v>1.51</v>
      </c>
      <c r="T147" s="204">
        <v>2</v>
      </c>
      <c r="U147" s="204">
        <v>2</v>
      </c>
      <c r="Y147" s="126">
        <v>2</v>
      </c>
      <c r="Z147" s="126">
        <v>6</v>
      </c>
      <c r="AA147" s="126">
        <v>2026</v>
      </c>
      <c r="AB147" s="126">
        <v>1</v>
      </c>
    </row>
    <row r="148" spans="3:28" ht="21.95" customHeight="1">
      <c r="C148" s="126">
        <v>141</v>
      </c>
      <c r="D148" s="126">
        <v>36</v>
      </c>
      <c r="F148" s="126" t="s">
        <v>1260</v>
      </c>
      <c r="G148" s="126" t="s">
        <v>1269</v>
      </c>
      <c r="H148" s="162">
        <v>46186</v>
      </c>
      <c r="I148" s="126">
        <v>1</v>
      </c>
      <c r="J148" s="141" t="s">
        <v>818</v>
      </c>
      <c r="K148" s="159" t="s">
        <v>819</v>
      </c>
      <c r="L148" s="126">
        <v>1</v>
      </c>
      <c r="M148" s="126">
        <v>0</v>
      </c>
      <c r="N148" s="159" t="s">
        <v>545</v>
      </c>
      <c r="O148" s="126">
        <v>1</v>
      </c>
      <c r="S148" s="204">
        <v>1.79</v>
      </c>
      <c r="T148" s="204">
        <v>2.5</v>
      </c>
      <c r="U148" s="204">
        <v>2.5</v>
      </c>
      <c r="Y148" s="126">
        <v>2</v>
      </c>
      <c r="Z148" s="126">
        <v>6</v>
      </c>
      <c r="AA148" s="126">
        <v>2026</v>
      </c>
      <c r="AB148" s="126">
        <v>1</v>
      </c>
    </row>
    <row r="149" spans="3:28" ht="21.95" customHeight="1">
      <c r="C149" s="126">
        <v>142</v>
      </c>
      <c r="D149" s="126">
        <v>36</v>
      </c>
      <c r="F149" s="126" t="s">
        <v>1260</v>
      </c>
      <c r="G149" s="126" t="s">
        <v>1269</v>
      </c>
      <c r="H149" s="162">
        <v>46186</v>
      </c>
      <c r="I149" s="126">
        <v>1</v>
      </c>
      <c r="J149" s="141" t="s">
        <v>1303</v>
      </c>
      <c r="K149" s="159" t="s">
        <v>1304</v>
      </c>
      <c r="L149" s="126">
        <v>1</v>
      </c>
      <c r="M149" s="126">
        <v>0</v>
      </c>
      <c r="N149" s="159" t="s">
        <v>545</v>
      </c>
      <c r="O149" s="126">
        <v>1</v>
      </c>
      <c r="S149" s="204">
        <v>0.34</v>
      </c>
      <c r="T149" s="204">
        <v>0.5</v>
      </c>
      <c r="U149" s="204">
        <v>0.5</v>
      </c>
      <c r="Y149" s="126">
        <v>2</v>
      </c>
      <c r="Z149" s="126">
        <v>6</v>
      </c>
      <c r="AA149" s="126">
        <v>2026</v>
      </c>
      <c r="AB149" s="126">
        <v>1</v>
      </c>
    </row>
    <row r="150" spans="3:28" ht="21.95" customHeight="1">
      <c r="C150" s="126">
        <v>143</v>
      </c>
      <c r="D150" s="126">
        <v>36</v>
      </c>
      <c r="F150" s="126" t="s">
        <v>1260</v>
      </c>
      <c r="G150" s="126" t="s">
        <v>1269</v>
      </c>
      <c r="H150" s="162">
        <v>46186</v>
      </c>
      <c r="I150" s="126">
        <v>1</v>
      </c>
      <c r="J150" s="141" t="s">
        <v>1009</v>
      </c>
      <c r="K150" s="159" t="s">
        <v>1010</v>
      </c>
      <c r="L150" s="126">
        <v>1</v>
      </c>
      <c r="M150" s="126">
        <v>0</v>
      </c>
      <c r="N150" s="159" t="s">
        <v>545</v>
      </c>
      <c r="O150" s="126">
        <v>1</v>
      </c>
      <c r="S150" s="204">
        <v>2.7</v>
      </c>
      <c r="T150" s="204">
        <v>3</v>
      </c>
      <c r="U150" s="204">
        <v>3</v>
      </c>
      <c r="Y150" s="126">
        <v>2</v>
      </c>
      <c r="Z150" s="126">
        <v>6</v>
      </c>
      <c r="AA150" s="126">
        <v>2026</v>
      </c>
      <c r="AB150" s="126">
        <v>1</v>
      </c>
    </row>
    <row r="151" spans="3:28" ht="21.95" customHeight="1">
      <c r="C151" s="126">
        <v>144</v>
      </c>
      <c r="D151" s="126">
        <v>37</v>
      </c>
      <c r="F151" s="126" t="s">
        <v>1260</v>
      </c>
      <c r="G151" s="126" t="s">
        <v>1311</v>
      </c>
      <c r="H151" s="162">
        <v>46186</v>
      </c>
      <c r="I151" s="126">
        <v>1</v>
      </c>
      <c r="J151" s="141" t="s">
        <v>1313</v>
      </c>
      <c r="K151" s="159" t="s">
        <v>1314</v>
      </c>
      <c r="L151" s="126">
        <v>20</v>
      </c>
      <c r="M151" s="126">
        <v>0</v>
      </c>
      <c r="N151" s="159" t="s">
        <v>1135</v>
      </c>
      <c r="O151" s="126">
        <v>1</v>
      </c>
      <c r="S151" s="204">
        <v>0.78</v>
      </c>
      <c r="T151" s="204">
        <v>1.38</v>
      </c>
      <c r="U151" s="204">
        <v>27.5</v>
      </c>
      <c r="Y151" s="126">
        <v>2</v>
      </c>
      <c r="Z151" s="126">
        <v>6</v>
      </c>
      <c r="AA151" s="126">
        <v>2026</v>
      </c>
      <c r="AB151" s="126">
        <v>1</v>
      </c>
    </row>
    <row r="152" spans="3:28" ht="21.95" customHeight="1">
      <c r="C152" s="126">
        <v>145</v>
      </c>
      <c r="D152" s="126">
        <v>37</v>
      </c>
      <c r="F152" s="126" t="s">
        <v>1260</v>
      </c>
      <c r="G152" s="126" t="s">
        <v>1311</v>
      </c>
      <c r="H152" s="162">
        <v>46186</v>
      </c>
      <c r="I152" s="126">
        <v>1</v>
      </c>
      <c r="J152" s="141" t="s">
        <v>803</v>
      </c>
      <c r="K152" s="159" t="s">
        <v>804</v>
      </c>
      <c r="L152" s="126">
        <v>30</v>
      </c>
      <c r="M152" s="126">
        <v>0</v>
      </c>
      <c r="N152" s="159" t="s">
        <v>545</v>
      </c>
      <c r="O152" s="126">
        <v>1</v>
      </c>
      <c r="S152" s="204">
        <v>0.12</v>
      </c>
      <c r="T152" s="204">
        <v>0.25</v>
      </c>
      <c r="U152" s="204">
        <v>7.5</v>
      </c>
      <c r="Y152" s="126">
        <v>2</v>
      </c>
      <c r="Z152" s="126">
        <v>6</v>
      </c>
      <c r="AA152" s="126">
        <v>2026</v>
      </c>
      <c r="AB152" s="126">
        <v>1</v>
      </c>
    </row>
    <row r="153" spans="3:28" ht="21.95" customHeight="1">
      <c r="C153" s="126">
        <v>146</v>
      </c>
      <c r="D153" s="126">
        <v>37</v>
      </c>
      <c r="F153" s="126" t="s">
        <v>1260</v>
      </c>
      <c r="G153" s="126" t="s">
        <v>1311</v>
      </c>
      <c r="H153" s="162">
        <v>46186</v>
      </c>
      <c r="I153" s="126">
        <v>1</v>
      </c>
      <c r="J153" s="141" t="s">
        <v>718</v>
      </c>
      <c r="K153" s="159" t="s">
        <v>719</v>
      </c>
      <c r="L153" s="126">
        <v>20</v>
      </c>
      <c r="M153" s="126">
        <v>0</v>
      </c>
      <c r="N153" s="159" t="s">
        <v>1321</v>
      </c>
      <c r="O153" s="126">
        <v>4500</v>
      </c>
      <c r="S153" s="204">
        <v>0</v>
      </c>
      <c r="T153" s="204">
        <v>0.05</v>
      </c>
      <c r="U153" s="204">
        <v>1</v>
      </c>
      <c r="Y153" s="126">
        <v>2</v>
      </c>
      <c r="Z153" s="126">
        <v>6</v>
      </c>
      <c r="AA153" s="126">
        <v>2026</v>
      </c>
      <c r="AB153" s="126">
        <v>1</v>
      </c>
    </row>
    <row r="154" spans="3:28" ht="21.95" customHeight="1">
      <c r="C154" s="126">
        <v>147</v>
      </c>
      <c r="D154" s="126">
        <v>37</v>
      </c>
      <c r="F154" s="126" t="s">
        <v>1260</v>
      </c>
      <c r="G154" s="126" t="s">
        <v>1311</v>
      </c>
      <c r="H154" s="162">
        <v>46186</v>
      </c>
      <c r="I154" s="126">
        <v>1</v>
      </c>
      <c r="J154" s="141" t="s">
        <v>1323</v>
      </c>
      <c r="K154" s="159" t="s">
        <v>1324</v>
      </c>
      <c r="L154" s="126">
        <v>40</v>
      </c>
      <c r="M154" s="126">
        <v>0</v>
      </c>
      <c r="N154" s="159" t="s">
        <v>545</v>
      </c>
      <c r="O154" s="126">
        <v>180</v>
      </c>
      <c r="S154" s="204">
        <v>0.1</v>
      </c>
      <c r="T154" s="204">
        <v>0.13</v>
      </c>
      <c r="U154" s="204">
        <v>5</v>
      </c>
      <c r="Y154" s="126">
        <v>2</v>
      </c>
      <c r="Z154" s="126">
        <v>6</v>
      </c>
      <c r="AA154" s="126">
        <v>2026</v>
      </c>
      <c r="AB154" s="126">
        <v>1</v>
      </c>
    </row>
    <row r="155" spans="3:28" ht="21.95" customHeight="1">
      <c r="C155" s="126">
        <v>148</v>
      </c>
      <c r="D155" s="126">
        <v>38</v>
      </c>
      <c r="F155" s="126" t="s">
        <v>1328</v>
      </c>
      <c r="G155" s="126" t="s">
        <v>1329</v>
      </c>
      <c r="H155" s="162">
        <v>46187</v>
      </c>
      <c r="I155" s="126">
        <v>1</v>
      </c>
      <c r="J155" s="141" t="s">
        <v>752</v>
      </c>
      <c r="K155" s="159" t="s">
        <v>753</v>
      </c>
      <c r="L155" s="126">
        <v>15</v>
      </c>
      <c r="M155" s="126">
        <v>0</v>
      </c>
      <c r="N155" s="159" t="s">
        <v>794</v>
      </c>
      <c r="O155" s="126">
        <v>20</v>
      </c>
      <c r="S155" s="204">
        <v>4.1500000000000004</v>
      </c>
      <c r="T155" s="204">
        <v>4.5</v>
      </c>
      <c r="U155" s="204">
        <v>67.5</v>
      </c>
      <c r="Y155" s="126">
        <v>2</v>
      </c>
      <c r="Z155" s="126">
        <v>6</v>
      </c>
      <c r="AA155" s="126">
        <v>2026</v>
      </c>
      <c r="AB155" s="126">
        <v>1</v>
      </c>
    </row>
    <row r="156" spans="3:28" ht="21.95" customHeight="1">
      <c r="C156" s="126">
        <v>149</v>
      </c>
      <c r="D156" s="126">
        <v>39</v>
      </c>
      <c r="F156" s="126" t="s">
        <v>1328</v>
      </c>
      <c r="G156" s="126" t="s">
        <v>1334</v>
      </c>
      <c r="H156" s="162">
        <v>46187</v>
      </c>
      <c r="I156" s="126">
        <v>1</v>
      </c>
      <c r="J156" s="141" t="s">
        <v>752</v>
      </c>
      <c r="K156" s="159" t="s">
        <v>753</v>
      </c>
      <c r="L156" s="126">
        <v>10</v>
      </c>
      <c r="M156" s="126">
        <v>0</v>
      </c>
      <c r="N156" s="159" t="s">
        <v>794</v>
      </c>
      <c r="O156" s="126">
        <v>20</v>
      </c>
      <c r="S156" s="204">
        <v>4.1500000000000004</v>
      </c>
      <c r="T156" s="204">
        <v>4.75</v>
      </c>
      <c r="U156" s="204">
        <v>47.5</v>
      </c>
      <c r="Y156" s="126">
        <v>2</v>
      </c>
      <c r="Z156" s="126">
        <v>6</v>
      </c>
      <c r="AA156" s="126">
        <v>2026</v>
      </c>
      <c r="AB156" s="126">
        <v>1</v>
      </c>
    </row>
    <row r="157" spans="3:28" ht="21.95" customHeight="1">
      <c r="C157" s="126">
        <v>150</v>
      </c>
      <c r="D157" s="126">
        <v>39</v>
      </c>
      <c r="F157" s="126" t="s">
        <v>1328</v>
      </c>
      <c r="G157" s="126" t="s">
        <v>1334</v>
      </c>
      <c r="H157" s="162">
        <v>46187</v>
      </c>
      <c r="I157" s="126">
        <v>1</v>
      </c>
      <c r="J157" s="141" t="s">
        <v>1339</v>
      </c>
      <c r="K157" s="159" t="s">
        <v>1340</v>
      </c>
      <c r="L157" s="126">
        <v>3</v>
      </c>
      <c r="M157" s="126">
        <v>0</v>
      </c>
      <c r="N157" s="159" t="s">
        <v>545</v>
      </c>
      <c r="O157" s="126">
        <v>1</v>
      </c>
      <c r="S157" s="204">
        <v>4.49</v>
      </c>
      <c r="T157" s="204">
        <v>5</v>
      </c>
      <c r="U157" s="204">
        <v>15</v>
      </c>
      <c r="Y157" s="126">
        <v>2</v>
      </c>
      <c r="Z157" s="126">
        <v>6</v>
      </c>
      <c r="AA157" s="126">
        <v>2026</v>
      </c>
      <c r="AB157" s="126">
        <v>1</v>
      </c>
    </row>
    <row r="158" spans="3:28" ht="21.95" customHeight="1">
      <c r="C158" s="126">
        <v>151</v>
      </c>
      <c r="D158" s="126">
        <v>39</v>
      </c>
      <c r="F158" s="126" t="s">
        <v>1328</v>
      </c>
      <c r="G158" s="126" t="s">
        <v>1334</v>
      </c>
      <c r="H158" s="162">
        <v>46187</v>
      </c>
      <c r="I158" s="126">
        <v>1</v>
      </c>
      <c r="J158" s="141" t="s">
        <v>769</v>
      </c>
      <c r="K158" s="159" t="s">
        <v>770</v>
      </c>
      <c r="L158" s="126">
        <v>10</v>
      </c>
      <c r="M158" s="126">
        <v>0</v>
      </c>
      <c r="N158" s="159" t="s">
        <v>618</v>
      </c>
      <c r="O158" s="126">
        <v>1</v>
      </c>
      <c r="S158" s="204">
        <v>6</v>
      </c>
      <c r="T158" s="204">
        <v>6.5</v>
      </c>
      <c r="U158" s="204">
        <v>65</v>
      </c>
      <c r="Y158" s="126">
        <v>2</v>
      </c>
      <c r="Z158" s="126">
        <v>6</v>
      </c>
      <c r="AA158" s="126">
        <v>2026</v>
      </c>
      <c r="AB158" s="126">
        <v>1</v>
      </c>
    </row>
    <row r="159" spans="3:28" ht="21.95" customHeight="1">
      <c r="C159" s="126">
        <v>152</v>
      </c>
      <c r="D159" s="126">
        <v>40</v>
      </c>
      <c r="F159" s="126" t="s">
        <v>1347</v>
      </c>
      <c r="G159" s="126" t="s">
        <v>1348</v>
      </c>
      <c r="H159" s="162">
        <v>46188</v>
      </c>
      <c r="I159" s="126">
        <v>1</v>
      </c>
      <c r="J159" s="141" t="s">
        <v>752</v>
      </c>
      <c r="K159" s="159" t="s">
        <v>753</v>
      </c>
      <c r="L159" s="126">
        <v>8</v>
      </c>
      <c r="M159" s="126">
        <v>0</v>
      </c>
      <c r="N159" s="159" t="s">
        <v>794</v>
      </c>
      <c r="O159" s="126">
        <v>20</v>
      </c>
      <c r="S159" s="204">
        <v>4.1500000000000004</v>
      </c>
      <c r="T159" s="204">
        <v>4.75</v>
      </c>
      <c r="U159" s="204">
        <v>38</v>
      </c>
      <c r="Y159" s="126">
        <v>3</v>
      </c>
      <c r="Z159" s="126">
        <v>6</v>
      </c>
      <c r="AA159" s="126">
        <v>2026</v>
      </c>
      <c r="AB159" s="126">
        <v>1</v>
      </c>
    </row>
    <row r="160" spans="3:28" ht="21.95" customHeight="1">
      <c r="C160" s="126">
        <v>153</v>
      </c>
      <c r="D160" s="126">
        <v>40</v>
      </c>
      <c r="F160" s="126" t="s">
        <v>1347</v>
      </c>
      <c r="G160" s="126" t="s">
        <v>1348</v>
      </c>
      <c r="H160" s="162">
        <v>46188</v>
      </c>
      <c r="I160" s="126">
        <v>1</v>
      </c>
      <c r="J160" s="141" t="s">
        <v>564</v>
      </c>
      <c r="K160" s="159" t="s">
        <v>565</v>
      </c>
      <c r="L160" s="126">
        <v>3</v>
      </c>
      <c r="M160" s="126">
        <v>0</v>
      </c>
      <c r="N160" s="159" t="s">
        <v>794</v>
      </c>
      <c r="O160" s="126">
        <v>20</v>
      </c>
      <c r="S160" s="204">
        <v>4.75</v>
      </c>
      <c r="T160" s="204">
        <v>5</v>
      </c>
      <c r="U160" s="204">
        <v>15</v>
      </c>
      <c r="Y160" s="126">
        <v>3</v>
      </c>
      <c r="Z160" s="126">
        <v>6</v>
      </c>
      <c r="AA160" s="126">
        <v>2026</v>
      </c>
      <c r="AB160" s="126">
        <v>1</v>
      </c>
    </row>
    <row r="161" spans="3:28" ht="21.95" customHeight="1">
      <c r="C161" s="126">
        <v>154</v>
      </c>
      <c r="D161" s="126">
        <v>41</v>
      </c>
      <c r="F161" s="126" t="s">
        <v>1347</v>
      </c>
      <c r="G161" s="126" t="s">
        <v>1356</v>
      </c>
      <c r="H161" s="162">
        <v>46188</v>
      </c>
      <c r="I161" s="126">
        <v>1</v>
      </c>
      <c r="J161" s="141" t="s">
        <v>1234</v>
      </c>
      <c r="K161" s="159" t="s">
        <v>1235</v>
      </c>
      <c r="L161" s="126">
        <v>4</v>
      </c>
      <c r="M161" s="126">
        <v>0</v>
      </c>
      <c r="N161" s="159" t="s">
        <v>545</v>
      </c>
      <c r="O161" s="126">
        <v>1</v>
      </c>
      <c r="S161" s="204">
        <v>0.25</v>
      </c>
      <c r="T161" s="204">
        <v>0.5</v>
      </c>
      <c r="U161" s="204">
        <v>2</v>
      </c>
      <c r="Y161" s="126">
        <v>3</v>
      </c>
      <c r="Z161" s="126">
        <v>6</v>
      </c>
      <c r="AA161" s="126">
        <v>2026</v>
      </c>
      <c r="AB161" s="126">
        <v>1</v>
      </c>
    </row>
    <row r="162" spans="3:28" ht="21.95" customHeight="1">
      <c r="C162" s="126">
        <v>155</v>
      </c>
      <c r="D162" s="126">
        <v>41</v>
      </c>
      <c r="F162" s="126" t="s">
        <v>1347</v>
      </c>
      <c r="G162" s="126" t="s">
        <v>1356</v>
      </c>
      <c r="H162" s="162">
        <v>46188</v>
      </c>
      <c r="I162" s="126">
        <v>1</v>
      </c>
      <c r="J162" s="141" t="s">
        <v>761</v>
      </c>
      <c r="K162" s="159" t="s">
        <v>762</v>
      </c>
      <c r="L162" s="126">
        <v>1</v>
      </c>
      <c r="M162" s="126">
        <v>0</v>
      </c>
      <c r="N162" s="159" t="s">
        <v>618</v>
      </c>
      <c r="O162" s="126">
        <v>1</v>
      </c>
      <c r="S162" s="204">
        <v>1</v>
      </c>
      <c r="T162" s="204">
        <v>1.5</v>
      </c>
      <c r="U162" s="204">
        <v>1.5</v>
      </c>
      <c r="Y162" s="126">
        <v>3</v>
      </c>
      <c r="Z162" s="126">
        <v>6</v>
      </c>
      <c r="AA162" s="126">
        <v>2026</v>
      </c>
      <c r="AB162" s="126">
        <v>1</v>
      </c>
    </row>
    <row r="163" spans="3:28" ht="21.95" customHeight="1">
      <c r="C163" s="126">
        <v>156</v>
      </c>
      <c r="D163" s="126">
        <v>41</v>
      </c>
      <c r="F163" s="126" t="s">
        <v>1347</v>
      </c>
      <c r="G163" s="126" t="s">
        <v>1356</v>
      </c>
      <c r="H163" s="162">
        <v>46188</v>
      </c>
      <c r="I163" s="126">
        <v>1</v>
      </c>
      <c r="J163" s="141" t="s">
        <v>975</v>
      </c>
      <c r="K163" s="159" t="s">
        <v>976</v>
      </c>
      <c r="L163" s="126">
        <v>4</v>
      </c>
      <c r="M163" s="126">
        <v>0</v>
      </c>
      <c r="N163" s="159" t="s">
        <v>545</v>
      </c>
      <c r="O163" s="126">
        <v>1</v>
      </c>
      <c r="S163" s="204">
        <v>0.24</v>
      </c>
      <c r="T163" s="204">
        <v>0.5</v>
      </c>
      <c r="U163" s="204">
        <v>2</v>
      </c>
      <c r="Y163" s="126">
        <v>3</v>
      </c>
      <c r="Z163" s="126">
        <v>6</v>
      </c>
      <c r="AA163" s="126">
        <v>2026</v>
      </c>
      <c r="AB163" s="126">
        <v>1</v>
      </c>
    </row>
    <row r="164" spans="3:28" ht="21.95" customHeight="1">
      <c r="C164" s="126">
        <v>157</v>
      </c>
      <c r="D164" s="126">
        <v>41</v>
      </c>
      <c r="F164" s="126" t="s">
        <v>1347</v>
      </c>
      <c r="G164" s="126" t="s">
        <v>1356</v>
      </c>
      <c r="H164" s="162">
        <v>46188</v>
      </c>
      <c r="I164" s="126">
        <v>1</v>
      </c>
      <c r="J164" s="141" t="s">
        <v>1367</v>
      </c>
      <c r="K164" s="159" t="s">
        <v>1368</v>
      </c>
      <c r="L164" s="126">
        <v>2</v>
      </c>
      <c r="M164" s="126">
        <v>0</v>
      </c>
      <c r="N164" s="159" t="s">
        <v>545</v>
      </c>
      <c r="O164" s="126">
        <v>1</v>
      </c>
      <c r="S164" s="204">
        <v>0.19</v>
      </c>
      <c r="T164" s="204">
        <v>0.25</v>
      </c>
      <c r="U164" s="204">
        <v>0.5</v>
      </c>
      <c r="Y164" s="126">
        <v>3</v>
      </c>
      <c r="Z164" s="126">
        <v>6</v>
      </c>
      <c r="AA164" s="126">
        <v>2026</v>
      </c>
      <c r="AB164" s="126">
        <v>1</v>
      </c>
    </row>
    <row r="165" spans="3:28" ht="21.95" customHeight="1">
      <c r="C165" s="126">
        <v>158</v>
      </c>
      <c r="D165" s="126">
        <v>41</v>
      </c>
      <c r="F165" s="126" t="s">
        <v>1347</v>
      </c>
      <c r="G165" s="126" t="s">
        <v>1356</v>
      </c>
      <c r="H165" s="162">
        <v>46188</v>
      </c>
      <c r="I165" s="126">
        <v>1</v>
      </c>
      <c r="J165" s="141" t="s">
        <v>1229</v>
      </c>
      <c r="K165" s="159" t="s">
        <v>1230</v>
      </c>
      <c r="L165" s="126">
        <v>2</v>
      </c>
      <c r="M165" s="126">
        <v>0</v>
      </c>
      <c r="N165" s="159" t="s">
        <v>545</v>
      </c>
      <c r="O165" s="126">
        <v>1</v>
      </c>
      <c r="S165" s="204">
        <v>0.22</v>
      </c>
      <c r="T165" s="204">
        <v>0.38</v>
      </c>
      <c r="U165" s="204">
        <v>0.75</v>
      </c>
      <c r="Y165" s="126">
        <v>3</v>
      </c>
      <c r="Z165" s="126">
        <v>6</v>
      </c>
      <c r="AA165" s="126">
        <v>2026</v>
      </c>
      <c r="AB165" s="126">
        <v>1</v>
      </c>
    </row>
    <row r="166" spans="3:28" ht="21.95" customHeight="1">
      <c r="C166" s="126">
        <v>159</v>
      </c>
      <c r="D166" s="126">
        <v>41</v>
      </c>
      <c r="F166" s="126" t="s">
        <v>1347</v>
      </c>
      <c r="G166" s="126" t="s">
        <v>1356</v>
      </c>
      <c r="H166" s="162">
        <v>46188</v>
      </c>
      <c r="I166" s="126">
        <v>1</v>
      </c>
      <c r="J166" s="141" t="s">
        <v>647</v>
      </c>
      <c r="K166" s="159" t="s">
        <v>648</v>
      </c>
      <c r="L166" s="126">
        <v>4</v>
      </c>
      <c r="M166" s="126">
        <v>0</v>
      </c>
      <c r="N166" s="159" t="s">
        <v>545</v>
      </c>
      <c r="O166" s="126">
        <v>1</v>
      </c>
      <c r="S166" s="204">
        <v>0.15</v>
      </c>
      <c r="T166" s="204">
        <v>0.38</v>
      </c>
      <c r="U166" s="204">
        <v>1.5</v>
      </c>
      <c r="Y166" s="126">
        <v>3</v>
      </c>
      <c r="Z166" s="126">
        <v>6</v>
      </c>
      <c r="AA166" s="126">
        <v>2026</v>
      </c>
      <c r="AB166" s="126">
        <v>1</v>
      </c>
    </row>
    <row r="167" spans="3:28" ht="21.95" customHeight="1">
      <c r="C167" s="126">
        <v>160</v>
      </c>
      <c r="D167" s="126">
        <v>41</v>
      </c>
      <c r="F167" s="126" t="s">
        <v>1347</v>
      </c>
      <c r="G167" s="126" t="s">
        <v>1356</v>
      </c>
      <c r="H167" s="162">
        <v>46188</v>
      </c>
      <c r="I167" s="126">
        <v>1</v>
      </c>
      <c r="J167" s="141" t="s">
        <v>1024</v>
      </c>
      <c r="K167" s="159" t="s">
        <v>1025</v>
      </c>
      <c r="L167" s="126">
        <v>1</v>
      </c>
      <c r="M167" s="126">
        <v>0</v>
      </c>
      <c r="N167" s="159" t="s">
        <v>545</v>
      </c>
      <c r="O167" s="126">
        <v>12</v>
      </c>
      <c r="S167" s="204">
        <v>0.75</v>
      </c>
      <c r="T167" s="204">
        <v>1</v>
      </c>
      <c r="U167" s="204">
        <v>1</v>
      </c>
      <c r="Y167" s="126">
        <v>3</v>
      </c>
      <c r="Z167" s="126">
        <v>6</v>
      </c>
      <c r="AA167" s="126">
        <v>2026</v>
      </c>
      <c r="AB167" s="126">
        <v>1</v>
      </c>
    </row>
    <row r="168" spans="3:28" ht="21.95" customHeight="1">
      <c r="C168" s="126">
        <v>161</v>
      </c>
      <c r="D168" s="126">
        <v>41</v>
      </c>
      <c r="F168" s="126" t="s">
        <v>1347</v>
      </c>
      <c r="G168" s="126" t="s">
        <v>1356</v>
      </c>
      <c r="H168" s="162">
        <v>46188</v>
      </c>
      <c r="I168" s="126">
        <v>1</v>
      </c>
      <c r="J168" s="141" t="s">
        <v>1381</v>
      </c>
      <c r="K168" s="159" t="s">
        <v>1382</v>
      </c>
      <c r="L168" s="126">
        <v>1</v>
      </c>
      <c r="M168" s="126">
        <v>0</v>
      </c>
      <c r="N168" s="159" t="s">
        <v>545</v>
      </c>
      <c r="O168" s="126">
        <v>1</v>
      </c>
      <c r="S168" s="204">
        <v>0.13</v>
      </c>
      <c r="T168" s="204">
        <v>0.5</v>
      </c>
      <c r="U168" s="204">
        <v>0.5</v>
      </c>
      <c r="Y168" s="126">
        <v>3</v>
      </c>
      <c r="Z168" s="126">
        <v>6</v>
      </c>
      <c r="AA168" s="126">
        <v>2026</v>
      </c>
      <c r="AB168" s="126">
        <v>1</v>
      </c>
    </row>
    <row r="169" spans="3:28" ht="21.95" customHeight="1">
      <c r="C169" s="126">
        <v>162</v>
      </c>
      <c r="D169" s="126">
        <v>41</v>
      </c>
      <c r="F169" s="126" t="s">
        <v>1347</v>
      </c>
      <c r="G169" s="126" t="s">
        <v>1356</v>
      </c>
      <c r="H169" s="162">
        <v>46188</v>
      </c>
      <c r="I169" s="126">
        <v>1</v>
      </c>
      <c r="J169" s="141" t="s">
        <v>1242</v>
      </c>
      <c r="K169" s="159" t="s">
        <v>1243</v>
      </c>
      <c r="L169" s="126">
        <v>1</v>
      </c>
      <c r="M169" s="126">
        <v>0</v>
      </c>
      <c r="N169" s="159" t="s">
        <v>545</v>
      </c>
      <c r="O169" s="126">
        <v>1</v>
      </c>
      <c r="S169" s="204">
        <v>0.53</v>
      </c>
      <c r="T169" s="204">
        <v>0.75</v>
      </c>
      <c r="U169" s="204">
        <v>0.75</v>
      </c>
      <c r="Y169" s="126">
        <v>3</v>
      </c>
      <c r="Z169" s="126">
        <v>6</v>
      </c>
      <c r="AA169" s="126">
        <v>2026</v>
      </c>
      <c r="AB169" s="126">
        <v>1</v>
      </c>
    </row>
    <row r="170" spans="3:28" ht="21.95" customHeight="1">
      <c r="C170" s="126">
        <v>163</v>
      </c>
      <c r="D170" s="126">
        <v>42</v>
      </c>
      <c r="F170" s="126" t="s">
        <v>1347</v>
      </c>
      <c r="G170" s="126" t="s">
        <v>1389</v>
      </c>
      <c r="H170" s="162">
        <v>46188</v>
      </c>
      <c r="I170" s="126">
        <v>1</v>
      </c>
      <c r="J170" s="141" t="s">
        <v>752</v>
      </c>
      <c r="K170" s="159" t="s">
        <v>753</v>
      </c>
      <c r="L170" s="126">
        <v>5</v>
      </c>
      <c r="M170" s="126">
        <v>0</v>
      </c>
      <c r="N170" s="159" t="s">
        <v>794</v>
      </c>
      <c r="O170" s="126">
        <v>20</v>
      </c>
      <c r="S170" s="204">
        <v>4.1500000000000004</v>
      </c>
      <c r="T170" s="204">
        <v>4.75</v>
      </c>
      <c r="U170" s="204">
        <v>23.75</v>
      </c>
      <c r="Y170" s="126">
        <v>3</v>
      </c>
      <c r="Z170" s="126">
        <v>6</v>
      </c>
      <c r="AA170" s="126">
        <v>2026</v>
      </c>
      <c r="AB170" s="126">
        <v>1</v>
      </c>
    </row>
    <row r="171" spans="3:28" ht="21.95" customHeight="1">
      <c r="C171" s="126">
        <v>164</v>
      </c>
      <c r="D171" s="126">
        <v>42</v>
      </c>
      <c r="F171" s="126" t="s">
        <v>1347</v>
      </c>
      <c r="G171" s="126" t="s">
        <v>1389</v>
      </c>
      <c r="H171" s="162">
        <v>46188</v>
      </c>
      <c r="I171" s="126">
        <v>1</v>
      </c>
      <c r="J171" s="141" t="s">
        <v>564</v>
      </c>
      <c r="K171" s="159" t="s">
        <v>565</v>
      </c>
      <c r="L171" s="126">
        <v>6</v>
      </c>
      <c r="M171" s="126">
        <v>0</v>
      </c>
      <c r="N171" s="159" t="s">
        <v>794</v>
      </c>
      <c r="O171" s="126">
        <v>20</v>
      </c>
      <c r="S171" s="204">
        <v>4.75</v>
      </c>
      <c r="T171" s="204">
        <v>5</v>
      </c>
      <c r="U171" s="204">
        <v>30</v>
      </c>
      <c r="Y171" s="126">
        <v>3</v>
      </c>
      <c r="Z171" s="126">
        <v>6</v>
      </c>
      <c r="AA171" s="126">
        <v>2026</v>
      </c>
      <c r="AB171" s="126">
        <v>1</v>
      </c>
    </row>
    <row r="172" spans="3:28" ht="21.95" customHeight="1">
      <c r="C172" s="126">
        <v>165</v>
      </c>
      <c r="D172" s="126">
        <v>43</v>
      </c>
      <c r="F172" s="126" t="s">
        <v>1347</v>
      </c>
      <c r="G172" s="126" t="s">
        <v>1397</v>
      </c>
      <c r="H172" s="162">
        <v>46188</v>
      </c>
      <c r="I172" s="126">
        <v>1</v>
      </c>
      <c r="J172" s="141" t="s">
        <v>564</v>
      </c>
      <c r="K172" s="159" t="s">
        <v>565</v>
      </c>
      <c r="L172" s="126">
        <v>6</v>
      </c>
      <c r="M172" s="126">
        <v>0</v>
      </c>
      <c r="N172" s="159" t="s">
        <v>794</v>
      </c>
      <c r="O172" s="126">
        <v>20</v>
      </c>
      <c r="S172" s="204">
        <v>4.75</v>
      </c>
      <c r="T172" s="204">
        <v>5</v>
      </c>
      <c r="U172" s="204">
        <v>30</v>
      </c>
      <c r="Y172" s="126">
        <v>3</v>
      </c>
      <c r="Z172" s="126">
        <v>6</v>
      </c>
      <c r="AA172" s="126">
        <v>2026</v>
      </c>
      <c r="AB172" s="126">
        <v>1</v>
      </c>
    </row>
    <row r="173" spans="3:28" ht="21.95" customHeight="1">
      <c r="C173" s="126">
        <v>166</v>
      </c>
      <c r="D173" s="126">
        <v>43</v>
      </c>
      <c r="F173" s="126" t="s">
        <v>1347</v>
      </c>
      <c r="G173" s="126" t="s">
        <v>1397</v>
      </c>
      <c r="H173" s="162">
        <v>46188</v>
      </c>
      <c r="I173" s="126">
        <v>1</v>
      </c>
      <c r="J173" s="141" t="s">
        <v>752</v>
      </c>
      <c r="K173" s="159" t="s">
        <v>753</v>
      </c>
      <c r="L173" s="126">
        <v>3</v>
      </c>
      <c r="M173" s="126">
        <v>0</v>
      </c>
      <c r="N173" s="159" t="s">
        <v>794</v>
      </c>
      <c r="O173" s="126">
        <v>20</v>
      </c>
      <c r="S173" s="204">
        <v>4.1500000000000004</v>
      </c>
      <c r="T173" s="204">
        <v>4.75</v>
      </c>
      <c r="U173" s="204">
        <v>14.25</v>
      </c>
      <c r="Y173" s="126">
        <v>3</v>
      </c>
      <c r="Z173" s="126">
        <v>6</v>
      </c>
      <c r="AA173" s="126">
        <v>2026</v>
      </c>
      <c r="AB173" s="126">
        <v>1</v>
      </c>
    </row>
    <row r="174" spans="3:28" ht="21.95" customHeight="1">
      <c r="C174" s="126">
        <v>167</v>
      </c>
      <c r="D174" s="126">
        <v>43</v>
      </c>
      <c r="F174" s="126" t="s">
        <v>1347</v>
      </c>
      <c r="G174" s="126" t="s">
        <v>1397</v>
      </c>
      <c r="H174" s="162">
        <v>46188</v>
      </c>
      <c r="I174" s="126">
        <v>1</v>
      </c>
      <c r="J174" s="141" t="s">
        <v>1405</v>
      </c>
      <c r="K174" s="159" t="s">
        <v>1406</v>
      </c>
      <c r="L174" s="126">
        <v>2</v>
      </c>
      <c r="M174" s="126">
        <v>0</v>
      </c>
      <c r="N174" s="159" t="s">
        <v>1407</v>
      </c>
      <c r="O174" s="126">
        <v>1</v>
      </c>
      <c r="S174" s="204">
        <v>1.56</v>
      </c>
      <c r="T174" s="204">
        <v>3</v>
      </c>
      <c r="U174" s="204">
        <v>6</v>
      </c>
      <c r="Y174" s="126">
        <v>3</v>
      </c>
      <c r="Z174" s="126">
        <v>6</v>
      </c>
      <c r="AA174" s="126">
        <v>2026</v>
      </c>
      <c r="AB174" s="126">
        <v>1</v>
      </c>
    </row>
    <row r="175" spans="3:28" ht="21.95" customHeight="1">
      <c r="C175" s="126">
        <v>168</v>
      </c>
      <c r="D175" s="126">
        <v>43</v>
      </c>
      <c r="F175" s="126" t="s">
        <v>1347</v>
      </c>
      <c r="G175" s="126" t="s">
        <v>1397</v>
      </c>
      <c r="H175" s="162">
        <v>46188</v>
      </c>
      <c r="I175" s="126">
        <v>1</v>
      </c>
      <c r="J175" s="141" t="s">
        <v>703</v>
      </c>
      <c r="K175" s="159" t="s">
        <v>704</v>
      </c>
      <c r="L175" s="126">
        <v>2</v>
      </c>
      <c r="M175" s="126">
        <v>0</v>
      </c>
      <c r="N175" s="159" t="s">
        <v>545</v>
      </c>
      <c r="O175" s="126">
        <v>1</v>
      </c>
      <c r="S175" s="204">
        <v>1.35</v>
      </c>
      <c r="T175" s="204">
        <v>2</v>
      </c>
      <c r="U175" s="204">
        <v>4</v>
      </c>
      <c r="Y175" s="126">
        <v>3</v>
      </c>
      <c r="Z175" s="126">
        <v>6</v>
      </c>
      <c r="AA175" s="126">
        <v>2026</v>
      </c>
      <c r="AB175" s="126">
        <v>1</v>
      </c>
    </row>
    <row r="176" spans="3:28" ht="21.95" customHeight="1">
      <c r="C176" s="126">
        <v>169</v>
      </c>
      <c r="D176" s="126">
        <v>43</v>
      </c>
      <c r="F176" s="126" t="s">
        <v>1347</v>
      </c>
      <c r="G176" s="126" t="s">
        <v>1397</v>
      </c>
      <c r="H176" s="162">
        <v>46188</v>
      </c>
      <c r="I176" s="126">
        <v>1</v>
      </c>
      <c r="J176" s="141" t="s">
        <v>1009</v>
      </c>
      <c r="K176" s="159" t="s">
        <v>1010</v>
      </c>
      <c r="L176" s="126">
        <v>1</v>
      </c>
      <c r="M176" s="126">
        <v>0</v>
      </c>
      <c r="N176" s="159" t="s">
        <v>545</v>
      </c>
      <c r="O176" s="126">
        <v>1</v>
      </c>
      <c r="S176" s="204">
        <v>2.7</v>
      </c>
      <c r="T176" s="204">
        <v>3</v>
      </c>
      <c r="U176" s="204">
        <v>3</v>
      </c>
      <c r="Y176" s="126">
        <v>3</v>
      </c>
      <c r="Z176" s="126">
        <v>6</v>
      </c>
      <c r="AA176" s="126">
        <v>2026</v>
      </c>
      <c r="AB176" s="126">
        <v>1</v>
      </c>
    </row>
    <row r="177" spans="3:28" ht="21.95" customHeight="1">
      <c r="C177" s="126">
        <v>170</v>
      </c>
      <c r="D177" s="126">
        <v>43</v>
      </c>
      <c r="F177" s="126" t="s">
        <v>1347</v>
      </c>
      <c r="G177" s="126" t="s">
        <v>1397</v>
      </c>
      <c r="H177" s="162">
        <v>46188</v>
      </c>
      <c r="I177" s="126">
        <v>1</v>
      </c>
      <c r="J177" s="141" t="s">
        <v>642</v>
      </c>
      <c r="K177" s="159" t="s">
        <v>643</v>
      </c>
      <c r="L177" s="126">
        <v>2</v>
      </c>
      <c r="M177" s="126">
        <v>0</v>
      </c>
      <c r="N177" s="159" t="s">
        <v>545</v>
      </c>
      <c r="O177" s="126">
        <v>1</v>
      </c>
      <c r="S177" s="204">
        <v>2.9</v>
      </c>
      <c r="T177" s="204">
        <v>3.5</v>
      </c>
      <c r="U177" s="204">
        <v>7</v>
      </c>
      <c r="Y177" s="126">
        <v>3</v>
      </c>
      <c r="Z177" s="126">
        <v>6</v>
      </c>
      <c r="AA177" s="126">
        <v>2026</v>
      </c>
      <c r="AB177" s="126">
        <v>1</v>
      </c>
    </row>
    <row r="178" spans="3:28" ht="21.95" customHeight="1">
      <c r="C178" s="126">
        <v>171</v>
      </c>
      <c r="D178" s="126">
        <v>43</v>
      </c>
      <c r="F178" s="126" t="s">
        <v>1347</v>
      </c>
      <c r="G178" s="126" t="s">
        <v>1397</v>
      </c>
      <c r="H178" s="162">
        <v>46188</v>
      </c>
      <c r="I178" s="126">
        <v>1</v>
      </c>
      <c r="J178" s="141" t="s">
        <v>696</v>
      </c>
      <c r="K178" s="159" t="s">
        <v>697</v>
      </c>
      <c r="L178" s="126">
        <v>1</v>
      </c>
      <c r="M178" s="126">
        <v>0</v>
      </c>
      <c r="N178" s="159" t="s">
        <v>545</v>
      </c>
      <c r="O178" s="126">
        <v>1</v>
      </c>
      <c r="S178" s="204">
        <v>3.3</v>
      </c>
      <c r="T178" s="204">
        <v>4</v>
      </c>
      <c r="U178" s="204">
        <v>4</v>
      </c>
      <c r="Y178" s="126">
        <v>3</v>
      </c>
      <c r="Z178" s="126">
        <v>6</v>
      </c>
      <c r="AA178" s="126">
        <v>2026</v>
      </c>
      <c r="AB178" s="126">
        <v>1</v>
      </c>
    </row>
    <row r="179" spans="3:28" ht="21.95" customHeight="1">
      <c r="C179" s="126">
        <v>172</v>
      </c>
      <c r="D179" s="126">
        <v>43</v>
      </c>
      <c r="F179" s="126" t="s">
        <v>1347</v>
      </c>
      <c r="G179" s="126" t="s">
        <v>1397</v>
      </c>
      <c r="H179" s="162">
        <v>46188</v>
      </c>
      <c r="I179" s="126">
        <v>1</v>
      </c>
      <c r="J179" s="141" t="s">
        <v>699</v>
      </c>
      <c r="K179" s="159" t="s">
        <v>700</v>
      </c>
      <c r="L179" s="126">
        <v>1</v>
      </c>
      <c r="M179" s="126">
        <v>0</v>
      </c>
      <c r="N179" s="159" t="s">
        <v>545</v>
      </c>
      <c r="O179" s="126">
        <v>1</v>
      </c>
      <c r="S179" s="204">
        <v>2.1</v>
      </c>
      <c r="T179" s="204">
        <v>3</v>
      </c>
      <c r="U179" s="204">
        <v>3</v>
      </c>
      <c r="Y179" s="126">
        <v>3</v>
      </c>
      <c r="Z179" s="126">
        <v>6</v>
      </c>
      <c r="AA179" s="126">
        <v>2026</v>
      </c>
      <c r="AB179" s="126">
        <v>1</v>
      </c>
    </row>
    <row r="180" spans="3:28" ht="21.95" customHeight="1">
      <c r="C180" s="126">
        <v>173</v>
      </c>
      <c r="D180" s="126">
        <v>43</v>
      </c>
      <c r="F180" s="126" t="s">
        <v>1347</v>
      </c>
      <c r="G180" s="126" t="s">
        <v>1397</v>
      </c>
      <c r="H180" s="162">
        <v>46188</v>
      </c>
      <c r="I180" s="126">
        <v>1</v>
      </c>
      <c r="J180" s="141" t="s">
        <v>803</v>
      </c>
      <c r="K180" s="159" t="s">
        <v>804</v>
      </c>
      <c r="L180" s="126">
        <v>3</v>
      </c>
      <c r="M180" s="126">
        <v>0</v>
      </c>
      <c r="N180" s="159" t="s">
        <v>545</v>
      </c>
      <c r="O180" s="126">
        <v>1</v>
      </c>
      <c r="S180" s="204">
        <v>0.12</v>
      </c>
      <c r="T180" s="204">
        <v>0.25</v>
      </c>
      <c r="U180" s="204">
        <v>0.75</v>
      </c>
      <c r="Y180" s="126">
        <v>3</v>
      </c>
      <c r="Z180" s="126">
        <v>6</v>
      </c>
      <c r="AA180" s="126">
        <v>2026</v>
      </c>
      <c r="AB180" s="126">
        <v>1</v>
      </c>
    </row>
    <row r="181" spans="3:28" ht="21.95" customHeight="1">
      <c r="C181" s="126">
        <v>174</v>
      </c>
      <c r="D181" s="126">
        <v>44</v>
      </c>
      <c r="F181" s="126" t="s">
        <v>1429</v>
      </c>
      <c r="G181" s="126" t="s">
        <v>1430</v>
      </c>
      <c r="H181" s="162">
        <v>46189</v>
      </c>
      <c r="I181" s="126">
        <v>1</v>
      </c>
      <c r="J181" s="141" t="s">
        <v>752</v>
      </c>
      <c r="K181" s="159" t="s">
        <v>753</v>
      </c>
      <c r="L181" s="126">
        <v>10</v>
      </c>
      <c r="M181" s="126">
        <v>0</v>
      </c>
      <c r="N181" s="159" t="s">
        <v>794</v>
      </c>
      <c r="O181" s="126">
        <v>20</v>
      </c>
      <c r="S181" s="204">
        <v>4.1500000000000004</v>
      </c>
      <c r="T181" s="204">
        <v>4.75</v>
      </c>
      <c r="U181" s="204">
        <v>47.5</v>
      </c>
      <c r="Y181" s="126">
        <v>3</v>
      </c>
      <c r="Z181" s="126">
        <v>6</v>
      </c>
      <c r="AA181" s="126">
        <v>2026</v>
      </c>
      <c r="AB181" s="126">
        <v>1</v>
      </c>
    </row>
    <row r="182" spans="3:28" ht="21.95" customHeight="1">
      <c r="C182" s="126">
        <v>175</v>
      </c>
      <c r="D182" s="126">
        <v>45</v>
      </c>
      <c r="F182" s="126" t="s">
        <v>1429</v>
      </c>
      <c r="G182" s="126" t="s">
        <v>1435</v>
      </c>
      <c r="H182" s="162">
        <v>46189</v>
      </c>
      <c r="I182" s="126">
        <v>1</v>
      </c>
      <c r="J182" s="141" t="s">
        <v>752</v>
      </c>
      <c r="K182" s="159" t="s">
        <v>753</v>
      </c>
      <c r="L182" s="126">
        <v>3</v>
      </c>
      <c r="M182" s="126">
        <v>0</v>
      </c>
      <c r="N182" s="159" t="s">
        <v>794</v>
      </c>
      <c r="O182" s="126">
        <v>20</v>
      </c>
      <c r="S182" s="204">
        <v>4.1500000000000004</v>
      </c>
      <c r="T182" s="204">
        <v>4.75</v>
      </c>
      <c r="U182" s="204">
        <v>14.25</v>
      </c>
      <c r="Y182" s="126">
        <v>3</v>
      </c>
      <c r="Z182" s="126">
        <v>6</v>
      </c>
      <c r="AA182" s="126">
        <v>2026</v>
      </c>
      <c r="AB182" s="126">
        <v>1</v>
      </c>
    </row>
    <row r="183" spans="3:28" ht="21.95" customHeight="1">
      <c r="C183" s="126">
        <v>176</v>
      </c>
      <c r="D183" s="126">
        <v>45</v>
      </c>
      <c r="F183" s="126" t="s">
        <v>1429</v>
      </c>
      <c r="G183" s="126" t="s">
        <v>1435</v>
      </c>
      <c r="H183" s="162">
        <v>46189</v>
      </c>
      <c r="I183" s="126">
        <v>1</v>
      </c>
      <c r="J183" s="141" t="s">
        <v>564</v>
      </c>
      <c r="K183" s="159" t="s">
        <v>565</v>
      </c>
      <c r="L183" s="126">
        <v>6</v>
      </c>
      <c r="M183" s="126">
        <v>0</v>
      </c>
      <c r="N183" s="159" t="s">
        <v>794</v>
      </c>
      <c r="O183" s="126">
        <v>20</v>
      </c>
      <c r="S183" s="204">
        <v>4.75</v>
      </c>
      <c r="T183" s="204">
        <v>5</v>
      </c>
      <c r="U183" s="204">
        <v>30</v>
      </c>
      <c r="Y183" s="126">
        <v>3</v>
      </c>
      <c r="Z183" s="126">
        <v>6</v>
      </c>
      <c r="AA183" s="126">
        <v>2026</v>
      </c>
      <c r="AB183" s="126">
        <v>1</v>
      </c>
    </row>
    <row r="184" spans="3:28" ht="21.95" customHeight="1">
      <c r="C184" s="126">
        <v>177</v>
      </c>
      <c r="D184" s="126">
        <v>46</v>
      </c>
      <c r="F184" s="126" t="s">
        <v>1429</v>
      </c>
      <c r="G184" s="126" t="s">
        <v>1443</v>
      </c>
      <c r="H184" s="162">
        <v>46189</v>
      </c>
      <c r="I184" s="126">
        <v>1</v>
      </c>
      <c r="J184" s="141" t="s">
        <v>576</v>
      </c>
      <c r="K184" s="159" t="s">
        <v>577</v>
      </c>
      <c r="L184" s="126">
        <v>10</v>
      </c>
      <c r="M184" s="126">
        <v>0</v>
      </c>
      <c r="N184" s="159" t="s">
        <v>572</v>
      </c>
      <c r="O184" s="126">
        <v>1</v>
      </c>
      <c r="S184" s="204">
        <v>3.37</v>
      </c>
      <c r="T184" s="204">
        <v>3.5</v>
      </c>
      <c r="U184" s="204">
        <v>35</v>
      </c>
      <c r="Y184" s="126">
        <v>3</v>
      </c>
      <c r="Z184" s="126">
        <v>6</v>
      </c>
      <c r="AA184" s="126">
        <v>2026</v>
      </c>
      <c r="AB184" s="126">
        <v>1</v>
      </c>
    </row>
    <row r="185" spans="3:28" ht="21.95" customHeight="1">
      <c r="C185" s="126">
        <v>178</v>
      </c>
      <c r="D185" s="126">
        <v>46</v>
      </c>
      <c r="F185" s="126" t="s">
        <v>1429</v>
      </c>
      <c r="G185" s="126" t="s">
        <v>1443</v>
      </c>
      <c r="H185" s="162">
        <v>46189</v>
      </c>
      <c r="I185" s="126">
        <v>1</v>
      </c>
      <c r="J185" s="141" t="s">
        <v>608</v>
      </c>
      <c r="K185" s="159" t="s">
        <v>609</v>
      </c>
      <c r="L185" s="126">
        <v>3</v>
      </c>
      <c r="M185" s="126">
        <v>0</v>
      </c>
      <c r="N185" s="159" t="s">
        <v>572</v>
      </c>
      <c r="O185" s="126">
        <v>1</v>
      </c>
      <c r="S185" s="204">
        <v>6.28</v>
      </c>
      <c r="T185" s="204">
        <v>6</v>
      </c>
      <c r="U185" s="204">
        <v>18</v>
      </c>
      <c r="Y185" s="126">
        <v>3</v>
      </c>
      <c r="Z185" s="126">
        <v>6</v>
      </c>
      <c r="AA185" s="126">
        <v>2026</v>
      </c>
      <c r="AB185" s="126">
        <v>1</v>
      </c>
    </row>
    <row r="186" spans="3:28" ht="21.95" customHeight="1">
      <c r="C186" s="126">
        <v>179</v>
      </c>
      <c r="D186" s="126">
        <v>46</v>
      </c>
      <c r="F186" s="126" t="s">
        <v>1429</v>
      </c>
      <c r="G186" s="126" t="s">
        <v>1443</v>
      </c>
      <c r="H186" s="162">
        <v>46189</v>
      </c>
      <c r="I186" s="126">
        <v>1</v>
      </c>
      <c r="J186" s="141" t="s">
        <v>699</v>
      </c>
      <c r="K186" s="159" t="s">
        <v>700</v>
      </c>
      <c r="L186" s="126">
        <v>10</v>
      </c>
      <c r="M186" s="126">
        <v>0</v>
      </c>
      <c r="N186" s="159" t="s">
        <v>545</v>
      </c>
      <c r="O186" s="126">
        <v>1</v>
      </c>
      <c r="S186" s="204">
        <v>2.1</v>
      </c>
      <c r="T186" s="204">
        <v>3.25</v>
      </c>
      <c r="U186" s="204">
        <v>32.5</v>
      </c>
      <c r="Y186" s="126">
        <v>3</v>
      </c>
      <c r="Z186" s="126">
        <v>6</v>
      </c>
      <c r="AA186" s="126">
        <v>2026</v>
      </c>
      <c r="AB186" s="126">
        <v>1</v>
      </c>
    </row>
    <row r="187" spans="3:28" ht="21.95" customHeight="1">
      <c r="C187" s="126">
        <v>180</v>
      </c>
      <c r="D187" s="126">
        <v>46</v>
      </c>
      <c r="F187" s="126" t="s">
        <v>1429</v>
      </c>
      <c r="G187" s="126" t="s">
        <v>1443</v>
      </c>
      <c r="H187" s="162">
        <v>46189</v>
      </c>
      <c r="I187" s="126">
        <v>1</v>
      </c>
      <c r="J187" s="141" t="s">
        <v>586</v>
      </c>
      <c r="K187" s="159" t="s">
        <v>587</v>
      </c>
      <c r="L187" s="126">
        <v>1</v>
      </c>
      <c r="M187" s="126">
        <v>0</v>
      </c>
      <c r="N187" s="159" t="s">
        <v>545</v>
      </c>
      <c r="O187" s="126">
        <v>1</v>
      </c>
      <c r="S187" s="204">
        <v>14.85</v>
      </c>
      <c r="T187" s="204">
        <v>15</v>
      </c>
      <c r="U187" s="204">
        <v>15</v>
      </c>
      <c r="Y187" s="126">
        <v>3</v>
      </c>
      <c r="Z187" s="126">
        <v>6</v>
      </c>
      <c r="AA187" s="126">
        <v>2026</v>
      </c>
      <c r="AB187" s="126">
        <v>1</v>
      </c>
    </row>
    <row r="188" spans="3:28" ht="21.95" customHeight="1">
      <c r="C188" s="126">
        <v>181</v>
      </c>
      <c r="D188" s="126">
        <v>46</v>
      </c>
      <c r="F188" s="126" t="s">
        <v>1429</v>
      </c>
      <c r="G188" s="126" t="s">
        <v>1443</v>
      </c>
      <c r="H188" s="162">
        <v>46189</v>
      </c>
      <c r="I188" s="126">
        <v>1</v>
      </c>
      <c r="J188" s="141" t="s">
        <v>755</v>
      </c>
      <c r="K188" s="159" t="s">
        <v>756</v>
      </c>
      <c r="L188" s="126">
        <v>4</v>
      </c>
      <c r="M188" s="126">
        <v>0</v>
      </c>
      <c r="N188" s="159" t="s">
        <v>794</v>
      </c>
      <c r="O188" s="126">
        <v>20</v>
      </c>
      <c r="S188" s="204">
        <v>4.75</v>
      </c>
      <c r="T188" s="204">
        <v>5</v>
      </c>
      <c r="U188" s="204">
        <v>20</v>
      </c>
      <c r="Y188" s="126">
        <v>3</v>
      </c>
      <c r="Z188" s="126">
        <v>6</v>
      </c>
      <c r="AA188" s="126">
        <v>2026</v>
      </c>
      <c r="AB188" s="126">
        <v>1</v>
      </c>
    </row>
    <row r="189" spans="3:28" ht="21.95" customHeight="1">
      <c r="C189" s="126">
        <v>182</v>
      </c>
      <c r="D189" s="126">
        <v>47</v>
      </c>
      <c r="F189" s="126" t="s">
        <v>1460</v>
      </c>
      <c r="G189" s="126" t="s">
        <v>1461</v>
      </c>
      <c r="H189" s="162">
        <v>46190</v>
      </c>
      <c r="I189" s="126">
        <v>1</v>
      </c>
      <c r="J189" s="141" t="s">
        <v>652</v>
      </c>
      <c r="K189" s="159" t="s">
        <v>653</v>
      </c>
      <c r="L189" s="126">
        <v>2</v>
      </c>
      <c r="M189" s="126">
        <v>0</v>
      </c>
      <c r="N189" s="159" t="s">
        <v>572</v>
      </c>
      <c r="O189" s="126">
        <v>1</v>
      </c>
      <c r="S189" s="204">
        <v>8.36</v>
      </c>
      <c r="T189" s="204">
        <v>8.25</v>
      </c>
      <c r="U189" s="204">
        <v>16.5</v>
      </c>
      <c r="Y189" s="126">
        <v>3</v>
      </c>
      <c r="Z189" s="126">
        <v>6</v>
      </c>
      <c r="AA189" s="126">
        <v>2026</v>
      </c>
      <c r="AB189" s="126">
        <v>1</v>
      </c>
    </row>
    <row r="190" spans="3:28" ht="21.95" customHeight="1">
      <c r="C190" s="126">
        <v>183</v>
      </c>
      <c r="D190" s="126">
        <v>47</v>
      </c>
      <c r="F190" s="126" t="s">
        <v>1460</v>
      </c>
      <c r="G190" s="126" t="s">
        <v>1461</v>
      </c>
      <c r="H190" s="162">
        <v>46190</v>
      </c>
      <c r="I190" s="126">
        <v>1</v>
      </c>
      <c r="J190" s="141" t="s">
        <v>761</v>
      </c>
      <c r="K190" s="159" t="s">
        <v>762</v>
      </c>
      <c r="L190" s="126">
        <v>10</v>
      </c>
      <c r="M190" s="126">
        <v>0</v>
      </c>
      <c r="N190" s="159" t="s">
        <v>618</v>
      </c>
      <c r="O190" s="126">
        <v>1</v>
      </c>
      <c r="S190" s="204">
        <v>1</v>
      </c>
      <c r="T190" s="204">
        <v>1.5</v>
      </c>
      <c r="U190" s="204">
        <v>15</v>
      </c>
      <c r="Y190" s="126">
        <v>3</v>
      </c>
      <c r="Z190" s="126">
        <v>6</v>
      </c>
      <c r="AA190" s="126">
        <v>2026</v>
      </c>
      <c r="AB190" s="126">
        <v>1</v>
      </c>
    </row>
    <row r="191" spans="3:28" ht="21.95" customHeight="1">
      <c r="C191" s="126">
        <v>184</v>
      </c>
      <c r="D191" s="126">
        <v>47</v>
      </c>
      <c r="F191" s="126" t="s">
        <v>1460</v>
      </c>
      <c r="G191" s="126" t="s">
        <v>1461</v>
      </c>
      <c r="H191" s="162">
        <v>46190</v>
      </c>
      <c r="I191" s="126">
        <v>1</v>
      </c>
      <c r="J191" s="141" t="s">
        <v>755</v>
      </c>
      <c r="K191" s="159" t="s">
        <v>756</v>
      </c>
      <c r="L191" s="126">
        <v>6</v>
      </c>
      <c r="M191" s="126">
        <v>0</v>
      </c>
      <c r="N191" s="159" t="s">
        <v>794</v>
      </c>
      <c r="O191" s="126">
        <v>20</v>
      </c>
      <c r="S191" s="204">
        <v>4.75</v>
      </c>
      <c r="T191" s="204">
        <v>5</v>
      </c>
      <c r="U191" s="204">
        <v>30</v>
      </c>
      <c r="Y191" s="126">
        <v>3</v>
      </c>
      <c r="Z191" s="126">
        <v>6</v>
      </c>
      <c r="AA191" s="126">
        <v>2026</v>
      </c>
      <c r="AB191" s="126">
        <v>1</v>
      </c>
    </row>
    <row r="192" spans="3:28" ht="21.95" customHeight="1">
      <c r="C192" s="126">
        <v>185</v>
      </c>
      <c r="D192" s="126">
        <v>47</v>
      </c>
      <c r="F192" s="126" t="s">
        <v>1460</v>
      </c>
      <c r="G192" s="126" t="s">
        <v>1461</v>
      </c>
      <c r="H192" s="162">
        <v>46190</v>
      </c>
      <c r="I192" s="126">
        <v>1</v>
      </c>
      <c r="J192" s="141" t="s">
        <v>755</v>
      </c>
      <c r="K192" s="159" t="s">
        <v>756</v>
      </c>
      <c r="L192" s="126">
        <v>8</v>
      </c>
      <c r="M192" s="126">
        <v>0</v>
      </c>
      <c r="N192" s="159" t="s">
        <v>794</v>
      </c>
      <c r="O192" s="126">
        <v>20</v>
      </c>
      <c r="S192" s="204">
        <v>4.75</v>
      </c>
      <c r="T192" s="204">
        <v>5</v>
      </c>
      <c r="U192" s="204">
        <v>40</v>
      </c>
      <c r="Y192" s="126">
        <v>3</v>
      </c>
      <c r="Z192" s="126">
        <v>6</v>
      </c>
      <c r="AA192" s="126">
        <v>2026</v>
      </c>
      <c r="AB192" s="126">
        <v>1</v>
      </c>
    </row>
    <row r="193" spans="3:28" ht="21.95" customHeight="1">
      <c r="C193" s="126">
        <v>186</v>
      </c>
      <c r="D193" s="126">
        <v>48</v>
      </c>
      <c r="F193" s="126" t="s">
        <v>1460</v>
      </c>
      <c r="G193" s="126" t="s">
        <v>1472</v>
      </c>
      <c r="H193" s="162">
        <v>46190</v>
      </c>
      <c r="I193" s="126">
        <v>1</v>
      </c>
      <c r="J193" s="141" t="s">
        <v>752</v>
      </c>
      <c r="K193" s="159" t="s">
        <v>753</v>
      </c>
      <c r="L193" s="126">
        <v>3</v>
      </c>
      <c r="M193" s="126">
        <v>0</v>
      </c>
      <c r="N193" s="159" t="s">
        <v>794</v>
      </c>
      <c r="O193" s="126">
        <v>20</v>
      </c>
      <c r="S193" s="204">
        <v>4.1500000000000004</v>
      </c>
      <c r="T193" s="204">
        <v>4.75</v>
      </c>
      <c r="U193" s="204">
        <v>14.25</v>
      </c>
      <c r="Y193" s="126">
        <v>3</v>
      </c>
      <c r="Z193" s="126">
        <v>6</v>
      </c>
      <c r="AA193" s="126">
        <v>2026</v>
      </c>
      <c r="AB193" s="126">
        <v>1</v>
      </c>
    </row>
    <row r="194" spans="3:28" ht="21.95" customHeight="1">
      <c r="C194" s="126">
        <v>187</v>
      </c>
      <c r="D194" s="126">
        <v>48</v>
      </c>
      <c r="F194" s="126" t="s">
        <v>1460</v>
      </c>
      <c r="G194" s="126" t="s">
        <v>1472</v>
      </c>
      <c r="H194" s="162">
        <v>46190</v>
      </c>
      <c r="I194" s="126">
        <v>1</v>
      </c>
      <c r="J194" s="141" t="s">
        <v>755</v>
      </c>
      <c r="K194" s="159" t="s">
        <v>756</v>
      </c>
      <c r="L194" s="126">
        <v>12</v>
      </c>
      <c r="M194" s="126">
        <v>0</v>
      </c>
      <c r="N194" s="159" t="s">
        <v>794</v>
      </c>
      <c r="O194" s="126">
        <v>20</v>
      </c>
      <c r="S194" s="204">
        <v>4.75</v>
      </c>
      <c r="T194" s="204">
        <v>5</v>
      </c>
      <c r="U194" s="204">
        <v>60</v>
      </c>
      <c r="Y194" s="126">
        <v>3</v>
      </c>
      <c r="Z194" s="126">
        <v>6</v>
      </c>
      <c r="AA194" s="126">
        <v>2026</v>
      </c>
      <c r="AB194" s="126">
        <v>1</v>
      </c>
    </row>
    <row r="195" spans="3:28" ht="21.95" customHeight="1">
      <c r="C195" s="126">
        <v>188</v>
      </c>
      <c r="D195" s="126">
        <v>48</v>
      </c>
      <c r="F195" s="126" t="s">
        <v>1460</v>
      </c>
      <c r="G195" s="126" t="s">
        <v>1472</v>
      </c>
      <c r="H195" s="162">
        <v>46190</v>
      </c>
      <c r="I195" s="126">
        <v>1</v>
      </c>
      <c r="J195" s="141" t="s">
        <v>766</v>
      </c>
      <c r="K195" s="159" t="s">
        <v>767</v>
      </c>
      <c r="L195" s="126">
        <v>5</v>
      </c>
      <c r="M195" s="126">
        <v>0</v>
      </c>
      <c r="N195" s="159" t="s">
        <v>618</v>
      </c>
      <c r="O195" s="126">
        <v>1</v>
      </c>
      <c r="S195" s="204">
        <v>4</v>
      </c>
      <c r="T195" s="204">
        <v>5</v>
      </c>
      <c r="U195" s="204">
        <v>25</v>
      </c>
      <c r="Y195" s="126">
        <v>3</v>
      </c>
      <c r="Z195" s="126">
        <v>6</v>
      </c>
      <c r="AA195" s="126">
        <v>2026</v>
      </c>
      <c r="AB195" s="126">
        <v>1</v>
      </c>
    </row>
    <row r="196" spans="3:28" ht="21.95" customHeight="1">
      <c r="C196" s="126">
        <v>189</v>
      </c>
      <c r="D196" s="126">
        <v>49</v>
      </c>
      <c r="F196" s="126" t="s">
        <v>1460</v>
      </c>
      <c r="G196" s="126" t="s">
        <v>1483</v>
      </c>
      <c r="H196" s="162">
        <v>46190</v>
      </c>
      <c r="I196" s="126">
        <v>1</v>
      </c>
      <c r="J196" s="141" t="s">
        <v>1029</v>
      </c>
      <c r="K196" s="159" t="s">
        <v>1030</v>
      </c>
      <c r="L196" s="126">
        <v>7</v>
      </c>
      <c r="M196" s="126">
        <v>0</v>
      </c>
      <c r="N196" s="159" t="s">
        <v>545</v>
      </c>
      <c r="O196" s="126">
        <v>1</v>
      </c>
      <c r="S196" s="204">
        <v>0.85</v>
      </c>
      <c r="T196" s="204">
        <v>1</v>
      </c>
      <c r="U196" s="204">
        <v>7</v>
      </c>
      <c r="Y196" s="126">
        <v>3</v>
      </c>
      <c r="Z196" s="126">
        <v>6</v>
      </c>
      <c r="AA196" s="126">
        <v>2026</v>
      </c>
      <c r="AB196" s="126">
        <v>1</v>
      </c>
    </row>
    <row r="197" spans="3:28" ht="21.95" customHeight="1">
      <c r="C197" s="126">
        <v>190</v>
      </c>
      <c r="D197" s="126">
        <v>49</v>
      </c>
      <c r="F197" s="126" t="s">
        <v>1460</v>
      </c>
      <c r="G197" s="126" t="s">
        <v>1483</v>
      </c>
      <c r="H197" s="162">
        <v>46190</v>
      </c>
      <c r="I197" s="126">
        <v>1</v>
      </c>
      <c r="J197" s="141" t="s">
        <v>996</v>
      </c>
      <c r="K197" s="159" t="s">
        <v>997</v>
      </c>
      <c r="L197" s="126">
        <v>4</v>
      </c>
      <c r="M197" s="126">
        <v>0</v>
      </c>
      <c r="N197" s="159" t="s">
        <v>545</v>
      </c>
      <c r="O197" s="126">
        <v>50</v>
      </c>
      <c r="S197" s="204">
        <v>0.3</v>
      </c>
      <c r="T197" s="204">
        <v>0.63</v>
      </c>
      <c r="U197" s="204">
        <v>2.52</v>
      </c>
      <c r="Y197" s="126">
        <v>3</v>
      </c>
      <c r="Z197" s="126">
        <v>6</v>
      </c>
      <c r="AA197" s="126">
        <v>2026</v>
      </c>
      <c r="AB197" s="126">
        <v>1</v>
      </c>
    </row>
    <row r="198" spans="3:28" ht="21.95" customHeight="1">
      <c r="C198" s="126">
        <v>191</v>
      </c>
      <c r="D198" s="126">
        <v>49</v>
      </c>
      <c r="F198" s="126" t="s">
        <v>1460</v>
      </c>
      <c r="G198" s="126" t="s">
        <v>1483</v>
      </c>
      <c r="H198" s="162">
        <v>46190</v>
      </c>
      <c r="I198" s="126">
        <v>1</v>
      </c>
      <c r="J198" s="141" t="s">
        <v>1367</v>
      </c>
      <c r="K198" s="159" t="s">
        <v>1368</v>
      </c>
      <c r="L198" s="126">
        <v>4</v>
      </c>
      <c r="M198" s="126">
        <v>0</v>
      </c>
      <c r="N198" s="159" t="s">
        <v>545</v>
      </c>
      <c r="O198" s="126">
        <v>1</v>
      </c>
      <c r="S198" s="204">
        <v>0.19</v>
      </c>
      <c r="T198" s="204">
        <v>0.25</v>
      </c>
      <c r="U198" s="204">
        <v>1</v>
      </c>
      <c r="Y198" s="126">
        <v>3</v>
      </c>
      <c r="Z198" s="126">
        <v>6</v>
      </c>
      <c r="AA198" s="126">
        <v>2026</v>
      </c>
      <c r="AB198" s="126">
        <v>1</v>
      </c>
    </row>
    <row r="199" spans="3:28" ht="21.95" customHeight="1">
      <c r="C199" s="126">
        <v>192</v>
      </c>
      <c r="D199" s="126">
        <v>49</v>
      </c>
      <c r="F199" s="126" t="s">
        <v>1460</v>
      </c>
      <c r="G199" s="126" t="s">
        <v>1483</v>
      </c>
      <c r="H199" s="162">
        <v>46190</v>
      </c>
      <c r="I199" s="126">
        <v>1</v>
      </c>
      <c r="J199" s="141" t="s">
        <v>1139</v>
      </c>
      <c r="K199" s="159" t="s">
        <v>1140</v>
      </c>
      <c r="L199" s="126">
        <v>4</v>
      </c>
      <c r="M199" s="126">
        <v>0</v>
      </c>
      <c r="N199" s="159" t="s">
        <v>545</v>
      </c>
      <c r="O199" s="126">
        <v>100</v>
      </c>
      <c r="S199" s="204">
        <v>0.18</v>
      </c>
      <c r="T199" s="204">
        <v>0.5</v>
      </c>
      <c r="U199" s="204">
        <v>2</v>
      </c>
      <c r="Y199" s="126">
        <v>3</v>
      </c>
      <c r="Z199" s="126">
        <v>6</v>
      </c>
      <c r="AA199" s="126">
        <v>2026</v>
      </c>
      <c r="AB199" s="126">
        <v>1</v>
      </c>
    </row>
    <row r="200" spans="3:28" ht="21.95" customHeight="1">
      <c r="C200" s="126">
        <v>193</v>
      </c>
      <c r="D200" s="126">
        <v>49</v>
      </c>
      <c r="F200" s="126" t="s">
        <v>1460</v>
      </c>
      <c r="G200" s="126" t="s">
        <v>1483</v>
      </c>
      <c r="H200" s="162">
        <v>46190</v>
      </c>
      <c r="I200" s="126">
        <v>1</v>
      </c>
      <c r="J200" s="141" t="s">
        <v>813</v>
      </c>
      <c r="K200" s="159" t="s">
        <v>814</v>
      </c>
      <c r="L200" s="126">
        <v>2</v>
      </c>
      <c r="M200" s="126">
        <v>0</v>
      </c>
      <c r="N200" s="159" t="s">
        <v>545</v>
      </c>
      <c r="O200" s="126">
        <v>1</v>
      </c>
      <c r="S200" s="204">
        <v>0.28000000000000003</v>
      </c>
      <c r="T200" s="204">
        <v>0.38</v>
      </c>
      <c r="U200" s="204">
        <v>0.75</v>
      </c>
      <c r="Y200" s="126">
        <v>3</v>
      </c>
      <c r="Z200" s="126">
        <v>6</v>
      </c>
      <c r="AA200" s="126">
        <v>2026</v>
      </c>
      <c r="AB200" s="126">
        <v>1</v>
      </c>
    </row>
    <row r="201" spans="3:28" ht="21.95" customHeight="1">
      <c r="C201" s="126">
        <v>194</v>
      </c>
      <c r="D201" s="126">
        <v>49</v>
      </c>
      <c r="F201" s="126" t="s">
        <v>1460</v>
      </c>
      <c r="G201" s="126" t="s">
        <v>1483</v>
      </c>
      <c r="H201" s="162">
        <v>46190</v>
      </c>
      <c r="I201" s="126">
        <v>1</v>
      </c>
      <c r="J201" s="141" t="s">
        <v>1323</v>
      </c>
      <c r="K201" s="159" t="s">
        <v>1324</v>
      </c>
      <c r="L201" s="126">
        <v>1</v>
      </c>
      <c r="M201" s="126">
        <v>0</v>
      </c>
      <c r="N201" s="159" t="s">
        <v>545</v>
      </c>
      <c r="O201" s="126">
        <v>180</v>
      </c>
      <c r="S201" s="204">
        <v>0.1</v>
      </c>
      <c r="T201" s="204">
        <v>0.13</v>
      </c>
      <c r="U201" s="204">
        <v>0.13</v>
      </c>
      <c r="Y201" s="126">
        <v>3</v>
      </c>
      <c r="Z201" s="126">
        <v>6</v>
      </c>
      <c r="AA201" s="126">
        <v>2026</v>
      </c>
      <c r="AB201" s="126">
        <v>1</v>
      </c>
    </row>
    <row r="202" spans="3:28" ht="21.95" customHeight="1">
      <c r="C202" s="126">
        <v>195</v>
      </c>
      <c r="D202" s="126">
        <v>50</v>
      </c>
      <c r="F202" s="126" t="s">
        <v>1503</v>
      </c>
      <c r="G202" s="126" t="s">
        <v>1504</v>
      </c>
      <c r="H202" s="162">
        <v>46191</v>
      </c>
      <c r="I202" s="126">
        <v>1</v>
      </c>
      <c r="J202" s="141" t="s">
        <v>706</v>
      </c>
      <c r="K202" s="159" t="s">
        <v>707</v>
      </c>
      <c r="L202" s="126">
        <v>1</v>
      </c>
      <c r="M202" s="126">
        <v>0</v>
      </c>
      <c r="N202" s="159" t="s">
        <v>545</v>
      </c>
      <c r="O202" s="126">
        <v>1</v>
      </c>
      <c r="S202" s="204">
        <v>7.49</v>
      </c>
      <c r="T202" s="204">
        <v>8</v>
      </c>
      <c r="U202" s="204">
        <v>8</v>
      </c>
      <c r="Y202" s="126">
        <v>3</v>
      </c>
      <c r="Z202" s="126">
        <v>6</v>
      </c>
      <c r="AA202" s="126">
        <v>2026</v>
      </c>
      <c r="AB202" s="126">
        <v>1</v>
      </c>
    </row>
    <row r="203" spans="3:28" ht="21.95" customHeight="1">
      <c r="C203" s="126">
        <v>196</v>
      </c>
      <c r="D203" s="126">
        <v>50</v>
      </c>
      <c r="F203" s="126" t="s">
        <v>1503</v>
      </c>
      <c r="G203" s="126" t="s">
        <v>1504</v>
      </c>
      <c r="H203" s="162">
        <v>46191</v>
      </c>
      <c r="I203" s="126">
        <v>1</v>
      </c>
      <c r="J203" s="141" t="s">
        <v>642</v>
      </c>
      <c r="K203" s="159" t="s">
        <v>643</v>
      </c>
      <c r="L203" s="126">
        <v>1</v>
      </c>
      <c r="M203" s="126">
        <v>0</v>
      </c>
      <c r="N203" s="159" t="s">
        <v>545</v>
      </c>
      <c r="O203" s="126">
        <v>1</v>
      </c>
      <c r="S203" s="204">
        <v>2.9</v>
      </c>
      <c r="T203" s="204">
        <v>3</v>
      </c>
      <c r="U203" s="204">
        <v>3</v>
      </c>
      <c r="Y203" s="126">
        <v>3</v>
      </c>
      <c r="Z203" s="126">
        <v>6</v>
      </c>
      <c r="AA203" s="126">
        <v>2026</v>
      </c>
      <c r="AB203" s="126">
        <v>1</v>
      </c>
    </row>
    <row r="204" spans="3:28" ht="21.95" customHeight="1">
      <c r="C204" s="126">
        <v>197</v>
      </c>
      <c r="D204" s="126">
        <v>50</v>
      </c>
      <c r="F204" s="126" t="s">
        <v>1503</v>
      </c>
      <c r="G204" s="126" t="s">
        <v>1504</v>
      </c>
      <c r="H204" s="162">
        <v>46191</v>
      </c>
      <c r="I204" s="126">
        <v>1</v>
      </c>
      <c r="J204" s="141" t="s">
        <v>1193</v>
      </c>
      <c r="K204" s="159" t="s">
        <v>1194</v>
      </c>
      <c r="L204" s="126">
        <v>3</v>
      </c>
      <c r="M204" s="126">
        <v>0</v>
      </c>
      <c r="N204" s="159" t="s">
        <v>545</v>
      </c>
      <c r="O204" s="126">
        <v>1</v>
      </c>
      <c r="S204" s="204">
        <v>0.5</v>
      </c>
      <c r="T204" s="204">
        <v>0.88</v>
      </c>
      <c r="U204" s="204">
        <v>2.64</v>
      </c>
      <c r="Y204" s="126">
        <v>3</v>
      </c>
      <c r="Z204" s="126">
        <v>6</v>
      </c>
      <c r="AA204" s="126">
        <v>2026</v>
      </c>
      <c r="AB204" s="126">
        <v>1</v>
      </c>
    </row>
    <row r="205" spans="3:28" ht="21.95" customHeight="1">
      <c r="C205" s="126">
        <v>198</v>
      </c>
      <c r="D205" s="126">
        <v>50</v>
      </c>
      <c r="F205" s="126" t="s">
        <v>1503</v>
      </c>
      <c r="G205" s="126" t="s">
        <v>1504</v>
      </c>
      <c r="H205" s="162">
        <v>46191</v>
      </c>
      <c r="I205" s="126">
        <v>1</v>
      </c>
      <c r="J205" s="141" t="s">
        <v>1515</v>
      </c>
      <c r="K205" s="159" t="s">
        <v>1516</v>
      </c>
      <c r="L205" s="126">
        <v>1</v>
      </c>
      <c r="M205" s="126">
        <v>0</v>
      </c>
      <c r="N205" s="159" t="s">
        <v>545</v>
      </c>
      <c r="O205" s="126">
        <v>1</v>
      </c>
      <c r="S205" s="204">
        <v>0.66</v>
      </c>
      <c r="T205" s="204">
        <v>1.25</v>
      </c>
      <c r="U205" s="204">
        <v>1.25</v>
      </c>
      <c r="Y205" s="126">
        <v>3</v>
      </c>
      <c r="Z205" s="126">
        <v>6</v>
      </c>
      <c r="AA205" s="126">
        <v>2026</v>
      </c>
      <c r="AB205" s="126">
        <v>1</v>
      </c>
    </row>
    <row r="206" spans="3:28" ht="21.95" customHeight="1">
      <c r="C206" s="126">
        <v>199</v>
      </c>
      <c r="D206" s="126">
        <v>50</v>
      </c>
      <c r="F206" s="126" t="s">
        <v>1503</v>
      </c>
      <c r="G206" s="126" t="s">
        <v>1504</v>
      </c>
      <c r="H206" s="162">
        <v>46191</v>
      </c>
      <c r="I206" s="126">
        <v>1</v>
      </c>
      <c r="J206" s="141" t="s">
        <v>715</v>
      </c>
      <c r="K206" s="159" t="s">
        <v>716</v>
      </c>
      <c r="L206" s="126">
        <v>2</v>
      </c>
      <c r="M206" s="126">
        <v>0</v>
      </c>
      <c r="N206" s="159" t="s">
        <v>545</v>
      </c>
      <c r="O206" s="126">
        <v>1</v>
      </c>
      <c r="S206" s="204">
        <v>3.01</v>
      </c>
      <c r="T206" s="204">
        <v>2</v>
      </c>
      <c r="U206" s="204">
        <v>4</v>
      </c>
      <c r="Y206" s="126">
        <v>3</v>
      </c>
      <c r="Z206" s="126">
        <v>6</v>
      </c>
      <c r="AA206" s="126">
        <v>2026</v>
      </c>
      <c r="AB206" s="126">
        <v>1</v>
      </c>
    </row>
    <row r="207" spans="3:28" ht="21.95" customHeight="1">
      <c r="C207" s="126">
        <v>200</v>
      </c>
      <c r="D207" s="126">
        <v>50</v>
      </c>
      <c r="F207" s="126" t="s">
        <v>1503</v>
      </c>
      <c r="G207" s="126" t="s">
        <v>1504</v>
      </c>
      <c r="H207" s="162">
        <v>46191</v>
      </c>
      <c r="I207" s="126">
        <v>1</v>
      </c>
      <c r="J207" s="141" t="s">
        <v>1523</v>
      </c>
      <c r="K207" s="159" t="s">
        <v>1524</v>
      </c>
      <c r="L207" s="126">
        <v>1</v>
      </c>
      <c r="M207" s="126">
        <v>0</v>
      </c>
      <c r="N207" s="159" t="s">
        <v>545</v>
      </c>
      <c r="O207" s="126">
        <v>1</v>
      </c>
      <c r="S207" s="204">
        <v>4.2300000000000004</v>
      </c>
      <c r="T207" s="204">
        <v>3.5</v>
      </c>
      <c r="U207" s="204">
        <v>3.5</v>
      </c>
      <c r="Y207" s="126">
        <v>3</v>
      </c>
      <c r="Z207" s="126">
        <v>6</v>
      </c>
      <c r="AA207" s="126">
        <v>2026</v>
      </c>
      <c r="AB207" s="126">
        <v>1</v>
      </c>
    </row>
    <row r="208" spans="3:28" ht="21.95" customHeight="1">
      <c r="C208" s="126">
        <v>201</v>
      </c>
      <c r="D208" s="126">
        <v>50</v>
      </c>
      <c r="F208" s="126" t="s">
        <v>1503</v>
      </c>
      <c r="G208" s="126" t="s">
        <v>1504</v>
      </c>
      <c r="H208" s="162">
        <v>46191</v>
      </c>
      <c r="I208" s="126">
        <v>1</v>
      </c>
      <c r="J208" s="141" t="s">
        <v>766</v>
      </c>
      <c r="K208" s="159" t="s">
        <v>767</v>
      </c>
      <c r="L208" s="126">
        <v>10</v>
      </c>
      <c r="M208" s="126">
        <v>0</v>
      </c>
      <c r="N208" s="159" t="s">
        <v>618</v>
      </c>
      <c r="O208" s="126">
        <v>1</v>
      </c>
      <c r="S208" s="204">
        <v>4</v>
      </c>
      <c r="T208" s="204">
        <v>4.25</v>
      </c>
      <c r="U208" s="204">
        <v>42.5</v>
      </c>
      <c r="Y208" s="126">
        <v>3</v>
      </c>
      <c r="Z208" s="126">
        <v>6</v>
      </c>
      <c r="AA208" s="126">
        <v>2026</v>
      </c>
      <c r="AB208" s="126">
        <v>1</v>
      </c>
    </row>
    <row r="209" spans="3:28" ht="21.95" customHeight="1">
      <c r="C209" s="126">
        <v>202</v>
      </c>
      <c r="D209" s="126">
        <v>50</v>
      </c>
      <c r="F209" s="126" t="s">
        <v>1503</v>
      </c>
      <c r="G209" s="126" t="s">
        <v>1504</v>
      </c>
      <c r="H209" s="162">
        <v>46191</v>
      </c>
      <c r="I209" s="126">
        <v>1</v>
      </c>
      <c r="J209" s="141" t="s">
        <v>761</v>
      </c>
      <c r="K209" s="159" t="s">
        <v>762</v>
      </c>
      <c r="L209" s="126">
        <v>1</v>
      </c>
      <c r="M209" s="126">
        <v>0</v>
      </c>
      <c r="N209" s="159" t="s">
        <v>618</v>
      </c>
      <c r="O209" s="126">
        <v>1</v>
      </c>
      <c r="S209" s="204">
        <v>1</v>
      </c>
      <c r="T209" s="204">
        <v>1.5</v>
      </c>
      <c r="U209" s="204">
        <v>1.5</v>
      </c>
      <c r="Y209" s="126">
        <v>3</v>
      </c>
      <c r="Z209" s="126">
        <v>6</v>
      </c>
      <c r="AA209" s="126">
        <v>2026</v>
      </c>
      <c r="AB209" s="126">
        <v>1</v>
      </c>
    </row>
    <row r="210" spans="3:28" ht="21.95" customHeight="1">
      <c r="C210" s="126">
        <v>203</v>
      </c>
      <c r="D210" s="126">
        <v>50</v>
      </c>
      <c r="F210" s="126" t="s">
        <v>1503</v>
      </c>
      <c r="G210" s="126" t="s">
        <v>1504</v>
      </c>
      <c r="H210" s="162">
        <v>46191</v>
      </c>
      <c r="I210" s="126">
        <v>1</v>
      </c>
      <c r="J210" s="141" t="s">
        <v>722</v>
      </c>
      <c r="K210" s="159" t="s">
        <v>723</v>
      </c>
      <c r="L210" s="126">
        <v>1</v>
      </c>
      <c r="M210" s="126">
        <v>0</v>
      </c>
      <c r="N210" s="159" t="s">
        <v>868</v>
      </c>
      <c r="O210" s="126">
        <v>24</v>
      </c>
      <c r="S210" s="204">
        <v>4.5</v>
      </c>
      <c r="T210" s="204">
        <v>5</v>
      </c>
      <c r="U210" s="204">
        <v>5</v>
      </c>
      <c r="Y210" s="126">
        <v>3</v>
      </c>
      <c r="Z210" s="126">
        <v>6</v>
      </c>
      <c r="AA210" s="126">
        <v>2026</v>
      </c>
      <c r="AB210" s="126">
        <v>1</v>
      </c>
    </row>
    <row r="211" spans="3:28" ht="21.95" customHeight="1">
      <c r="C211" s="126">
        <v>204</v>
      </c>
      <c r="D211" s="126">
        <v>51</v>
      </c>
      <c r="F211" s="126" t="s">
        <v>1503</v>
      </c>
      <c r="G211" s="126" t="s">
        <v>1537</v>
      </c>
      <c r="H211" s="162">
        <v>46191</v>
      </c>
      <c r="I211" s="126">
        <v>1</v>
      </c>
      <c r="J211" s="141" t="s">
        <v>752</v>
      </c>
      <c r="K211" s="159" t="s">
        <v>753</v>
      </c>
      <c r="L211" s="126">
        <v>10</v>
      </c>
      <c r="M211" s="126">
        <v>0</v>
      </c>
      <c r="N211" s="159" t="s">
        <v>794</v>
      </c>
      <c r="O211" s="126">
        <v>20</v>
      </c>
      <c r="S211" s="204">
        <v>4.1500000000000004</v>
      </c>
      <c r="T211" s="204">
        <v>4.75</v>
      </c>
      <c r="U211" s="204">
        <v>47.5</v>
      </c>
      <c r="Y211" s="126">
        <v>3</v>
      </c>
      <c r="Z211" s="126">
        <v>6</v>
      </c>
      <c r="AA211" s="126">
        <v>2026</v>
      </c>
      <c r="AB211" s="126">
        <v>1</v>
      </c>
    </row>
    <row r="212" spans="3:28" ht="21.95" customHeight="1">
      <c r="C212" s="126">
        <v>205</v>
      </c>
      <c r="D212" s="126">
        <v>52</v>
      </c>
      <c r="F212" s="126" t="s">
        <v>1503</v>
      </c>
      <c r="G212" s="126" t="s">
        <v>1542</v>
      </c>
      <c r="H212" s="162">
        <v>46191</v>
      </c>
      <c r="I212" s="126">
        <v>1</v>
      </c>
      <c r="J212" s="141" t="s">
        <v>564</v>
      </c>
      <c r="K212" s="159" t="s">
        <v>565</v>
      </c>
      <c r="L212" s="126">
        <v>6</v>
      </c>
      <c r="M212" s="126">
        <v>0</v>
      </c>
      <c r="N212" s="159" t="s">
        <v>794</v>
      </c>
      <c r="O212" s="126">
        <v>20</v>
      </c>
      <c r="S212" s="204">
        <v>4.75</v>
      </c>
      <c r="T212" s="204">
        <v>5</v>
      </c>
      <c r="U212" s="204">
        <v>30</v>
      </c>
      <c r="Y212" s="126">
        <v>3</v>
      </c>
      <c r="Z212" s="126">
        <v>6</v>
      </c>
      <c r="AA212" s="126">
        <v>2026</v>
      </c>
      <c r="AB212" s="126">
        <v>1</v>
      </c>
    </row>
    <row r="213" spans="3:28" ht="21.95" customHeight="1">
      <c r="C213" s="126">
        <v>206</v>
      </c>
      <c r="D213" s="126">
        <v>52</v>
      </c>
      <c r="F213" s="126" t="s">
        <v>1503</v>
      </c>
      <c r="G213" s="126" t="s">
        <v>1542</v>
      </c>
      <c r="H213" s="162">
        <v>46191</v>
      </c>
      <c r="I213" s="126">
        <v>1</v>
      </c>
      <c r="J213" s="141" t="s">
        <v>608</v>
      </c>
      <c r="K213" s="159" t="s">
        <v>609</v>
      </c>
      <c r="L213" s="126">
        <v>2</v>
      </c>
      <c r="M213" s="126">
        <v>0</v>
      </c>
      <c r="N213" s="159" t="s">
        <v>572</v>
      </c>
      <c r="O213" s="126">
        <v>1</v>
      </c>
      <c r="S213" s="204">
        <v>6.28</v>
      </c>
      <c r="T213" s="204">
        <v>6.25</v>
      </c>
      <c r="U213" s="204">
        <v>12.5</v>
      </c>
      <c r="Y213" s="126">
        <v>3</v>
      </c>
      <c r="Z213" s="126">
        <v>6</v>
      </c>
      <c r="AA213" s="126">
        <v>2026</v>
      </c>
      <c r="AB213" s="126">
        <v>1</v>
      </c>
    </row>
    <row r="214" spans="3:28" ht="21.95" customHeight="1">
      <c r="C214" s="126">
        <v>207</v>
      </c>
      <c r="D214" s="126">
        <v>52</v>
      </c>
      <c r="F214" s="126" t="s">
        <v>1503</v>
      </c>
      <c r="G214" s="126" t="s">
        <v>1542</v>
      </c>
      <c r="H214" s="162">
        <v>46191</v>
      </c>
      <c r="I214" s="126">
        <v>1</v>
      </c>
      <c r="J214" s="141" t="s">
        <v>576</v>
      </c>
      <c r="K214" s="159" t="s">
        <v>577</v>
      </c>
      <c r="L214" s="126">
        <v>4</v>
      </c>
      <c r="M214" s="126">
        <v>0</v>
      </c>
      <c r="N214" s="159" t="s">
        <v>572</v>
      </c>
      <c r="O214" s="126">
        <v>1</v>
      </c>
      <c r="S214" s="204">
        <v>3.37</v>
      </c>
      <c r="T214" s="204">
        <v>3.5</v>
      </c>
      <c r="U214" s="204">
        <v>14</v>
      </c>
      <c r="Y214" s="126">
        <v>3</v>
      </c>
      <c r="Z214" s="126">
        <v>6</v>
      </c>
      <c r="AA214" s="126">
        <v>2026</v>
      </c>
      <c r="AB214" s="126">
        <v>1</v>
      </c>
    </row>
    <row r="215" spans="3:28" ht="21.95" customHeight="1">
      <c r="C215" s="126">
        <v>208</v>
      </c>
      <c r="D215" s="126">
        <v>52</v>
      </c>
      <c r="F215" s="126" t="s">
        <v>1503</v>
      </c>
      <c r="G215" s="126" t="s">
        <v>1542</v>
      </c>
      <c r="H215" s="162">
        <v>46191</v>
      </c>
      <c r="I215" s="126">
        <v>1</v>
      </c>
      <c r="J215" s="141" t="s">
        <v>752</v>
      </c>
      <c r="K215" s="159" t="s">
        <v>753</v>
      </c>
      <c r="L215" s="126">
        <v>2</v>
      </c>
      <c r="M215" s="126">
        <v>0</v>
      </c>
      <c r="N215" s="159" t="s">
        <v>794</v>
      </c>
      <c r="O215" s="126">
        <v>20</v>
      </c>
      <c r="S215" s="204">
        <v>4.1500000000000004</v>
      </c>
      <c r="T215" s="204">
        <v>4.75</v>
      </c>
      <c r="U215" s="204">
        <v>9.5</v>
      </c>
      <c r="Y215" s="126">
        <v>3</v>
      </c>
      <c r="Z215" s="126">
        <v>6</v>
      </c>
      <c r="AA215" s="126">
        <v>2026</v>
      </c>
      <c r="AB215" s="126">
        <v>1</v>
      </c>
    </row>
    <row r="216" spans="3:28" ht="21.95" customHeight="1">
      <c r="C216" s="126">
        <v>209</v>
      </c>
      <c r="D216" s="126">
        <v>52</v>
      </c>
      <c r="F216" s="126" t="s">
        <v>1503</v>
      </c>
      <c r="G216" s="126" t="s">
        <v>1542</v>
      </c>
      <c r="H216" s="162">
        <v>46191</v>
      </c>
      <c r="I216" s="126">
        <v>1</v>
      </c>
      <c r="J216" s="141" t="s">
        <v>778</v>
      </c>
      <c r="K216" s="159" t="s">
        <v>779</v>
      </c>
      <c r="L216" s="126">
        <v>3</v>
      </c>
      <c r="M216" s="126">
        <v>0</v>
      </c>
      <c r="N216" s="159" t="s">
        <v>572</v>
      </c>
      <c r="O216" s="126">
        <v>1</v>
      </c>
      <c r="S216" s="204">
        <v>4.09</v>
      </c>
      <c r="T216" s="204">
        <v>5</v>
      </c>
      <c r="U216" s="204">
        <v>15</v>
      </c>
      <c r="Y216" s="126">
        <v>3</v>
      </c>
      <c r="Z216" s="126">
        <v>6</v>
      </c>
      <c r="AA216" s="126">
        <v>2026</v>
      </c>
      <c r="AB216" s="126">
        <v>1</v>
      </c>
    </row>
    <row r="217" spans="3:28" ht="21.95" customHeight="1">
      <c r="C217" s="126">
        <v>210</v>
      </c>
      <c r="D217" s="126">
        <v>52</v>
      </c>
      <c r="F217" s="126" t="s">
        <v>1503</v>
      </c>
      <c r="G217" s="126" t="s">
        <v>1542</v>
      </c>
      <c r="H217" s="162">
        <v>46191</v>
      </c>
      <c r="I217" s="126">
        <v>1</v>
      </c>
      <c r="J217" s="141" t="s">
        <v>696</v>
      </c>
      <c r="K217" s="159" t="s">
        <v>697</v>
      </c>
      <c r="L217" s="126">
        <v>5</v>
      </c>
      <c r="M217" s="126">
        <v>0</v>
      </c>
      <c r="N217" s="159" t="s">
        <v>545</v>
      </c>
      <c r="O217" s="126">
        <v>1</v>
      </c>
      <c r="S217" s="204">
        <v>3.3</v>
      </c>
      <c r="T217" s="204">
        <v>4</v>
      </c>
      <c r="U217" s="204">
        <v>20</v>
      </c>
      <c r="Y217" s="126">
        <v>3</v>
      </c>
      <c r="Z217" s="126">
        <v>6</v>
      </c>
      <c r="AA217" s="126">
        <v>2026</v>
      </c>
      <c r="AB217" s="126">
        <v>1</v>
      </c>
    </row>
    <row r="218" spans="3:28" ht="21.95" customHeight="1">
      <c r="C218" s="126">
        <v>211</v>
      </c>
      <c r="D218" s="126">
        <v>53</v>
      </c>
      <c r="F218" s="126" t="s">
        <v>1562</v>
      </c>
      <c r="G218" s="126" t="s">
        <v>1563</v>
      </c>
      <c r="H218" s="162">
        <v>46192</v>
      </c>
      <c r="I218" s="126">
        <v>1</v>
      </c>
      <c r="J218" s="141" t="s">
        <v>766</v>
      </c>
      <c r="K218" s="159" t="s">
        <v>767</v>
      </c>
      <c r="L218" s="126">
        <v>5</v>
      </c>
      <c r="M218" s="126">
        <v>0</v>
      </c>
      <c r="N218" s="159" t="s">
        <v>618</v>
      </c>
      <c r="O218" s="126">
        <v>1</v>
      </c>
      <c r="S218" s="204">
        <v>4</v>
      </c>
      <c r="T218" s="204">
        <v>4.25</v>
      </c>
      <c r="U218" s="204">
        <v>21.25</v>
      </c>
      <c r="Y218" s="126">
        <v>3</v>
      </c>
      <c r="Z218" s="126">
        <v>6</v>
      </c>
      <c r="AA218" s="126">
        <v>2026</v>
      </c>
      <c r="AB218" s="126">
        <v>1</v>
      </c>
    </row>
    <row r="219" spans="3:28" ht="21.95" customHeight="1">
      <c r="C219" s="126">
        <v>212</v>
      </c>
      <c r="D219" s="126">
        <v>53</v>
      </c>
      <c r="F219" s="126" t="s">
        <v>1562</v>
      </c>
      <c r="G219" s="126" t="s">
        <v>1563</v>
      </c>
      <c r="H219" s="162">
        <v>46192</v>
      </c>
      <c r="I219" s="126">
        <v>1</v>
      </c>
      <c r="J219" s="141" t="s">
        <v>608</v>
      </c>
      <c r="K219" s="159" t="s">
        <v>609</v>
      </c>
      <c r="L219" s="126">
        <v>1</v>
      </c>
      <c r="M219" s="126">
        <v>0</v>
      </c>
      <c r="N219" s="159" t="s">
        <v>572</v>
      </c>
      <c r="O219" s="126">
        <v>1</v>
      </c>
      <c r="S219" s="204">
        <v>6.28</v>
      </c>
      <c r="T219" s="204">
        <v>6</v>
      </c>
      <c r="U219" s="204">
        <v>6</v>
      </c>
      <c r="Y219" s="126">
        <v>3</v>
      </c>
      <c r="Z219" s="126">
        <v>6</v>
      </c>
      <c r="AA219" s="126">
        <v>2026</v>
      </c>
      <c r="AB219" s="126">
        <v>1</v>
      </c>
    </row>
    <row r="220" spans="3:28" ht="21.95" customHeight="1">
      <c r="C220" s="126">
        <v>213</v>
      </c>
      <c r="D220" s="126">
        <v>53</v>
      </c>
      <c r="F220" s="126" t="s">
        <v>1562</v>
      </c>
      <c r="G220" s="126" t="s">
        <v>1563</v>
      </c>
      <c r="H220" s="162">
        <v>46192</v>
      </c>
      <c r="I220" s="126">
        <v>1</v>
      </c>
      <c r="J220" s="141" t="s">
        <v>1216</v>
      </c>
      <c r="K220" s="159" t="s">
        <v>1217</v>
      </c>
      <c r="L220" s="126">
        <v>1</v>
      </c>
      <c r="M220" s="126">
        <v>0</v>
      </c>
      <c r="N220" s="159" t="s">
        <v>545</v>
      </c>
      <c r="O220" s="126">
        <v>1</v>
      </c>
      <c r="S220" s="204">
        <v>0.41</v>
      </c>
      <c r="T220" s="204">
        <v>0.88</v>
      </c>
      <c r="U220" s="204">
        <v>0.88</v>
      </c>
      <c r="Y220" s="126">
        <v>3</v>
      </c>
      <c r="Z220" s="126">
        <v>6</v>
      </c>
      <c r="AA220" s="126">
        <v>2026</v>
      </c>
      <c r="AB220" s="126">
        <v>1</v>
      </c>
    </row>
    <row r="221" spans="3:28" ht="21.95" customHeight="1">
      <c r="C221" s="126">
        <v>214</v>
      </c>
      <c r="D221" s="126">
        <v>54</v>
      </c>
      <c r="F221" s="126" t="s">
        <v>1562</v>
      </c>
      <c r="G221" s="126" t="s">
        <v>1574</v>
      </c>
      <c r="H221" s="162">
        <v>46192</v>
      </c>
      <c r="I221" s="126">
        <v>1</v>
      </c>
      <c r="J221" s="141" t="s">
        <v>755</v>
      </c>
      <c r="K221" s="159" t="s">
        <v>756</v>
      </c>
      <c r="L221" s="126">
        <v>3</v>
      </c>
      <c r="M221" s="126">
        <v>0</v>
      </c>
      <c r="N221" s="159" t="s">
        <v>794</v>
      </c>
      <c r="O221" s="126">
        <v>20</v>
      </c>
      <c r="S221" s="204">
        <v>4.75</v>
      </c>
      <c r="T221" s="204">
        <v>5</v>
      </c>
      <c r="U221" s="204">
        <v>15</v>
      </c>
      <c r="Y221" s="126">
        <v>3</v>
      </c>
      <c r="Z221" s="126">
        <v>6</v>
      </c>
      <c r="AA221" s="126">
        <v>2026</v>
      </c>
      <c r="AB221" s="126">
        <v>1</v>
      </c>
    </row>
    <row r="222" spans="3:28" ht="21.95" customHeight="1">
      <c r="C222" s="126">
        <v>215</v>
      </c>
      <c r="D222" s="126">
        <v>54</v>
      </c>
      <c r="F222" s="126" t="s">
        <v>1562</v>
      </c>
      <c r="G222" s="126" t="s">
        <v>1574</v>
      </c>
      <c r="H222" s="162">
        <v>46192</v>
      </c>
      <c r="I222" s="126">
        <v>1</v>
      </c>
      <c r="J222" s="141" t="s">
        <v>761</v>
      </c>
      <c r="K222" s="159" t="s">
        <v>762</v>
      </c>
      <c r="L222" s="126">
        <v>2</v>
      </c>
      <c r="M222" s="126">
        <v>0</v>
      </c>
      <c r="N222" s="159" t="s">
        <v>618</v>
      </c>
      <c r="O222" s="126">
        <v>1</v>
      </c>
      <c r="S222" s="204">
        <v>1</v>
      </c>
      <c r="T222" s="204">
        <v>1.5</v>
      </c>
      <c r="U222" s="204">
        <v>3</v>
      </c>
      <c r="Y222" s="126">
        <v>3</v>
      </c>
      <c r="Z222" s="126">
        <v>6</v>
      </c>
      <c r="AA222" s="126">
        <v>2026</v>
      </c>
      <c r="AB222" s="126">
        <v>1</v>
      </c>
    </row>
    <row r="223" spans="3:28" ht="21.95" customHeight="1">
      <c r="C223" s="126">
        <v>216</v>
      </c>
      <c r="D223" s="126">
        <v>55</v>
      </c>
      <c r="F223" s="126" t="s">
        <v>1562</v>
      </c>
      <c r="G223" s="126" t="s">
        <v>1582</v>
      </c>
      <c r="H223" s="162">
        <v>46192</v>
      </c>
      <c r="I223" s="126">
        <v>1</v>
      </c>
      <c r="J223" s="141" t="s">
        <v>748</v>
      </c>
      <c r="K223" s="159" t="s">
        <v>749</v>
      </c>
      <c r="L223" s="126">
        <v>1</v>
      </c>
      <c r="M223" s="126">
        <v>0</v>
      </c>
      <c r="N223" s="159" t="s">
        <v>940</v>
      </c>
      <c r="O223" s="126">
        <v>1</v>
      </c>
      <c r="S223" s="204">
        <v>85</v>
      </c>
      <c r="T223" s="204">
        <v>90</v>
      </c>
      <c r="U223" s="204">
        <v>90</v>
      </c>
      <c r="Y223" s="126">
        <v>3</v>
      </c>
      <c r="Z223" s="126">
        <v>6</v>
      </c>
      <c r="AA223" s="126">
        <v>2026</v>
      </c>
      <c r="AB223" s="126">
        <v>1</v>
      </c>
    </row>
    <row r="224" spans="3:28" ht="21.95" customHeight="1">
      <c r="C224" s="126">
        <v>217</v>
      </c>
      <c r="D224" s="126">
        <v>55</v>
      </c>
      <c r="F224" s="126" t="s">
        <v>1562</v>
      </c>
      <c r="G224" s="126" t="s">
        <v>1582</v>
      </c>
      <c r="H224" s="162">
        <v>46192</v>
      </c>
      <c r="I224" s="126">
        <v>1</v>
      </c>
      <c r="J224" s="141" t="s">
        <v>581</v>
      </c>
      <c r="K224" s="159" t="s">
        <v>582</v>
      </c>
      <c r="L224" s="126">
        <v>2</v>
      </c>
      <c r="M224" s="126">
        <v>0</v>
      </c>
      <c r="N224" s="159" t="s">
        <v>545</v>
      </c>
      <c r="O224" s="126">
        <v>1</v>
      </c>
      <c r="S224" s="204">
        <v>5.8</v>
      </c>
      <c r="T224" s="204">
        <v>5</v>
      </c>
      <c r="U224" s="204">
        <v>10</v>
      </c>
      <c r="Y224" s="126">
        <v>3</v>
      </c>
      <c r="Z224" s="126">
        <v>6</v>
      </c>
      <c r="AA224" s="126">
        <v>2026</v>
      </c>
      <c r="AB224" s="126">
        <v>1</v>
      </c>
    </row>
    <row r="225" spans="3:28" ht="21.95" customHeight="1">
      <c r="C225" s="126">
        <v>218</v>
      </c>
      <c r="D225" s="126">
        <v>55</v>
      </c>
      <c r="F225" s="126" t="s">
        <v>1562</v>
      </c>
      <c r="G225" s="126" t="s">
        <v>1582</v>
      </c>
      <c r="H225" s="162">
        <v>46192</v>
      </c>
      <c r="I225" s="126">
        <v>1</v>
      </c>
      <c r="J225" s="141" t="s">
        <v>1193</v>
      </c>
      <c r="K225" s="159" t="s">
        <v>1194</v>
      </c>
      <c r="L225" s="126">
        <v>2</v>
      </c>
      <c r="M225" s="126">
        <v>0</v>
      </c>
      <c r="N225" s="159" t="s">
        <v>545</v>
      </c>
      <c r="O225" s="126">
        <v>1</v>
      </c>
      <c r="S225" s="204">
        <v>0.5</v>
      </c>
      <c r="T225" s="204">
        <v>1.75</v>
      </c>
      <c r="U225" s="204">
        <v>3.5</v>
      </c>
      <c r="Y225" s="126">
        <v>3</v>
      </c>
      <c r="Z225" s="126">
        <v>6</v>
      </c>
      <c r="AA225" s="126">
        <v>2026</v>
      </c>
      <c r="AB225" s="126">
        <v>1</v>
      </c>
    </row>
    <row r="226" spans="3:28" ht="21.95" customHeight="1">
      <c r="C226" s="126">
        <v>219</v>
      </c>
      <c r="D226" s="126">
        <v>56</v>
      </c>
      <c r="F226" s="126" t="s">
        <v>1593</v>
      </c>
      <c r="G226" s="126" t="s">
        <v>1594</v>
      </c>
      <c r="H226" s="162">
        <v>46193</v>
      </c>
      <c r="I226" s="126">
        <v>1</v>
      </c>
      <c r="J226" s="141" t="s">
        <v>755</v>
      </c>
      <c r="K226" s="159" t="s">
        <v>756</v>
      </c>
      <c r="L226" s="126">
        <v>12</v>
      </c>
      <c r="M226" s="126">
        <v>0</v>
      </c>
      <c r="N226" s="159" t="s">
        <v>794</v>
      </c>
      <c r="O226" s="126">
        <v>20</v>
      </c>
      <c r="S226" s="204">
        <v>4.75</v>
      </c>
      <c r="T226" s="204">
        <v>5</v>
      </c>
      <c r="U226" s="204">
        <v>60</v>
      </c>
      <c r="Y226" s="126">
        <v>3</v>
      </c>
      <c r="Z226" s="126">
        <v>6</v>
      </c>
      <c r="AA226" s="126">
        <v>2026</v>
      </c>
      <c r="AB226" s="126">
        <v>1</v>
      </c>
    </row>
    <row r="227" spans="3:28" ht="21.95" customHeight="1">
      <c r="C227" s="126">
        <v>220</v>
      </c>
      <c r="D227" s="126">
        <v>57</v>
      </c>
      <c r="F227" s="126" t="s">
        <v>1593</v>
      </c>
      <c r="G227" s="126" t="s">
        <v>1599</v>
      </c>
      <c r="H227" s="162">
        <v>46193</v>
      </c>
      <c r="I227" s="126">
        <v>1</v>
      </c>
      <c r="J227" s="141" t="s">
        <v>652</v>
      </c>
      <c r="K227" s="159" t="s">
        <v>653</v>
      </c>
      <c r="L227" s="126">
        <v>3</v>
      </c>
      <c r="M227" s="126">
        <v>0</v>
      </c>
      <c r="N227" s="159" t="s">
        <v>572</v>
      </c>
      <c r="O227" s="126">
        <v>1</v>
      </c>
      <c r="S227" s="204">
        <v>8.36</v>
      </c>
      <c r="T227" s="204">
        <v>9</v>
      </c>
      <c r="U227" s="204">
        <v>27</v>
      </c>
      <c r="Y227" s="126">
        <v>3</v>
      </c>
      <c r="Z227" s="126">
        <v>6</v>
      </c>
      <c r="AA227" s="126">
        <v>2026</v>
      </c>
      <c r="AB227" s="126">
        <v>1</v>
      </c>
    </row>
    <row r="228" spans="3:28" ht="21.95" customHeight="1">
      <c r="C228" s="126">
        <v>221</v>
      </c>
      <c r="D228" s="126">
        <v>57</v>
      </c>
      <c r="F228" s="126" t="s">
        <v>1593</v>
      </c>
      <c r="G228" s="126" t="s">
        <v>1599</v>
      </c>
      <c r="H228" s="162">
        <v>46193</v>
      </c>
      <c r="I228" s="126">
        <v>1</v>
      </c>
      <c r="J228" s="141" t="s">
        <v>778</v>
      </c>
      <c r="K228" s="159" t="s">
        <v>779</v>
      </c>
      <c r="L228" s="126">
        <v>6</v>
      </c>
      <c r="M228" s="126">
        <v>0</v>
      </c>
      <c r="N228" s="159" t="s">
        <v>572</v>
      </c>
      <c r="O228" s="126">
        <v>1</v>
      </c>
      <c r="S228" s="204">
        <v>4.09</v>
      </c>
      <c r="T228" s="204">
        <v>4.5</v>
      </c>
      <c r="U228" s="204">
        <v>27</v>
      </c>
      <c r="Y228" s="126">
        <v>3</v>
      </c>
      <c r="Z228" s="126">
        <v>6</v>
      </c>
      <c r="AA228" s="126">
        <v>2026</v>
      </c>
      <c r="AB228" s="126">
        <v>1</v>
      </c>
    </row>
    <row r="229" spans="3:28" ht="21.95" customHeight="1">
      <c r="C229" s="126">
        <v>222</v>
      </c>
      <c r="D229" s="126">
        <v>57</v>
      </c>
      <c r="F229" s="126" t="s">
        <v>1593</v>
      </c>
      <c r="G229" s="126" t="s">
        <v>1599</v>
      </c>
      <c r="H229" s="162">
        <v>46193</v>
      </c>
      <c r="I229" s="126">
        <v>1</v>
      </c>
      <c r="J229" s="141" t="s">
        <v>699</v>
      </c>
      <c r="K229" s="159" t="s">
        <v>700</v>
      </c>
      <c r="L229" s="126">
        <v>2</v>
      </c>
      <c r="M229" s="126">
        <v>0</v>
      </c>
      <c r="N229" s="159" t="s">
        <v>545</v>
      </c>
      <c r="O229" s="126">
        <v>1</v>
      </c>
      <c r="S229" s="204">
        <v>2.1</v>
      </c>
      <c r="T229" s="204">
        <v>2.75</v>
      </c>
      <c r="U229" s="204">
        <v>5.5</v>
      </c>
      <c r="Y229" s="126">
        <v>3</v>
      </c>
      <c r="Z229" s="126">
        <v>6</v>
      </c>
      <c r="AA229" s="126">
        <v>2026</v>
      </c>
      <c r="AB229" s="126">
        <v>1</v>
      </c>
    </row>
    <row r="230" spans="3:28" ht="21.95" customHeight="1">
      <c r="C230" s="126">
        <v>223</v>
      </c>
      <c r="D230" s="126">
        <v>57</v>
      </c>
      <c r="F230" s="126" t="s">
        <v>1593</v>
      </c>
      <c r="G230" s="126" t="s">
        <v>1599</v>
      </c>
      <c r="H230" s="162">
        <v>46193</v>
      </c>
      <c r="I230" s="126">
        <v>1</v>
      </c>
      <c r="J230" s="141" t="s">
        <v>883</v>
      </c>
      <c r="K230" s="159" t="s">
        <v>884</v>
      </c>
      <c r="L230" s="126">
        <v>4</v>
      </c>
      <c r="M230" s="126">
        <v>0</v>
      </c>
      <c r="N230" s="159" t="s">
        <v>545</v>
      </c>
      <c r="O230" s="126">
        <v>20</v>
      </c>
      <c r="S230" s="204">
        <v>0.24</v>
      </c>
      <c r="T230" s="204">
        <v>0.5</v>
      </c>
      <c r="U230" s="204">
        <v>2</v>
      </c>
      <c r="Y230" s="126">
        <v>3</v>
      </c>
      <c r="Z230" s="126">
        <v>6</v>
      </c>
      <c r="AA230" s="126">
        <v>2026</v>
      </c>
      <c r="AB230" s="126">
        <v>1</v>
      </c>
    </row>
    <row r="231" spans="3:28" ht="21.95" customHeight="1">
      <c r="C231" s="126">
        <v>224</v>
      </c>
      <c r="D231" s="126">
        <v>57</v>
      </c>
      <c r="F231" s="126" t="s">
        <v>1593</v>
      </c>
      <c r="G231" s="126" t="s">
        <v>1599</v>
      </c>
      <c r="H231" s="162">
        <v>46193</v>
      </c>
      <c r="I231" s="126">
        <v>1</v>
      </c>
      <c r="J231" s="141" t="s">
        <v>1125</v>
      </c>
      <c r="K231" s="159" t="s">
        <v>1126</v>
      </c>
      <c r="L231" s="126">
        <v>1</v>
      </c>
      <c r="M231" s="126">
        <v>0</v>
      </c>
      <c r="N231" s="159" t="s">
        <v>545</v>
      </c>
      <c r="O231" s="126">
        <v>1</v>
      </c>
      <c r="S231" s="204">
        <v>1.32</v>
      </c>
      <c r="T231" s="204">
        <v>1.75</v>
      </c>
      <c r="U231" s="204">
        <v>1.75</v>
      </c>
      <c r="Y231" s="126">
        <v>3</v>
      </c>
      <c r="Z231" s="126">
        <v>6</v>
      </c>
      <c r="AA231" s="126">
        <v>2026</v>
      </c>
      <c r="AB231" s="126">
        <v>1</v>
      </c>
    </row>
    <row r="232" spans="3:28" ht="21.95" customHeight="1">
      <c r="C232" s="126">
        <v>225</v>
      </c>
      <c r="D232" s="126">
        <v>57</v>
      </c>
      <c r="F232" s="126" t="s">
        <v>1593</v>
      </c>
      <c r="G232" s="126" t="s">
        <v>1599</v>
      </c>
      <c r="H232" s="162">
        <v>46193</v>
      </c>
      <c r="I232" s="126">
        <v>1</v>
      </c>
      <c r="J232" s="141" t="s">
        <v>798</v>
      </c>
      <c r="K232" s="159" t="s">
        <v>799</v>
      </c>
      <c r="L232" s="126">
        <v>1</v>
      </c>
      <c r="M232" s="126">
        <v>0</v>
      </c>
      <c r="N232" s="159" t="s">
        <v>545</v>
      </c>
      <c r="O232" s="126">
        <v>12</v>
      </c>
      <c r="S232" s="204">
        <v>0.34</v>
      </c>
      <c r="T232" s="204">
        <v>0.75</v>
      </c>
      <c r="U232" s="204">
        <v>0.75</v>
      </c>
      <c r="Y232" s="126">
        <v>3</v>
      </c>
      <c r="Z232" s="126">
        <v>6</v>
      </c>
      <c r="AA232" s="126">
        <v>2026</v>
      </c>
      <c r="AB232" s="126">
        <v>1</v>
      </c>
    </row>
    <row r="233" spans="3:28" ht="21.95" customHeight="1">
      <c r="C233" s="126">
        <v>226</v>
      </c>
      <c r="D233" s="126">
        <v>58</v>
      </c>
      <c r="F233" s="126" t="s">
        <v>1593</v>
      </c>
      <c r="G233" s="126" t="s">
        <v>1619</v>
      </c>
      <c r="H233" s="162">
        <v>46193</v>
      </c>
      <c r="I233" s="126">
        <v>1</v>
      </c>
      <c r="J233" s="141" t="s">
        <v>752</v>
      </c>
      <c r="K233" s="159" t="s">
        <v>753</v>
      </c>
      <c r="L233" s="126">
        <v>10</v>
      </c>
      <c r="M233" s="126">
        <v>0</v>
      </c>
      <c r="N233" s="159" t="s">
        <v>794</v>
      </c>
      <c r="O233" s="126">
        <v>20</v>
      </c>
      <c r="S233" s="204">
        <v>4.1500000000000004</v>
      </c>
      <c r="T233" s="204">
        <v>4.5</v>
      </c>
      <c r="U233" s="204">
        <v>45</v>
      </c>
      <c r="Y233" s="126">
        <v>3</v>
      </c>
      <c r="Z233" s="126">
        <v>6</v>
      </c>
      <c r="AA233" s="126">
        <v>2026</v>
      </c>
      <c r="AB233" s="126">
        <v>1</v>
      </c>
    </row>
    <row r="234" spans="3:28" ht="21.95" customHeight="1">
      <c r="C234" s="126">
        <v>227</v>
      </c>
      <c r="D234" s="126">
        <v>59</v>
      </c>
      <c r="F234" s="126" t="s">
        <v>1624</v>
      </c>
      <c r="G234" s="126" t="s">
        <v>1625</v>
      </c>
      <c r="H234" s="162">
        <v>46194</v>
      </c>
      <c r="I234" s="126">
        <v>1</v>
      </c>
      <c r="J234" s="141" t="s">
        <v>576</v>
      </c>
      <c r="K234" s="159" t="s">
        <v>577</v>
      </c>
      <c r="L234" s="126">
        <v>8</v>
      </c>
      <c r="M234" s="126">
        <v>0</v>
      </c>
      <c r="N234" s="159" t="s">
        <v>572</v>
      </c>
      <c r="O234" s="126">
        <v>1</v>
      </c>
      <c r="S234" s="204">
        <v>3.37</v>
      </c>
      <c r="T234" s="204">
        <v>3.5</v>
      </c>
      <c r="U234" s="204">
        <v>28</v>
      </c>
      <c r="Y234" s="126">
        <v>3</v>
      </c>
      <c r="Z234" s="126">
        <v>6</v>
      </c>
      <c r="AA234" s="126">
        <v>2026</v>
      </c>
      <c r="AB234" s="126">
        <v>1</v>
      </c>
    </row>
    <row r="235" spans="3:28" ht="21.95" customHeight="1">
      <c r="C235" s="126">
        <v>228</v>
      </c>
      <c r="D235" s="126">
        <v>59</v>
      </c>
      <c r="F235" s="126" t="s">
        <v>1624</v>
      </c>
      <c r="G235" s="126" t="s">
        <v>1625</v>
      </c>
      <c r="H235" s="162">
        <v>46194</v>
      </c>
      <c r="I235" s="126">
        <v>1</v>
      </c>
      <c r="J235" s="141" t="s">
        <v>781</v>
      </c>
      <c r="K235" s="159" t="s">
        <v>782</v>
      </c>
      <c r="L235" s="126">
        <v>4</v>
      </c>
      <c r="M235" s="126">
        <v>0</v>
      </c>
      <c r="N235" s="159" t="s">
        <v>572</v>
      </c>
      <c r="O235" s="126">
        <v>1</v>
      </c>
      <c r="S235" s="204">
        <v>4.92</v>
      </c>
      <c r="T235" s="204">
        <v>5.7</v>
      </c>
      <c r="U235" s="204">
        <v>22.8</v>
      </c>
      <c r="Y235" s="126">
        <v>3</v>
      </c>
      <c r="Z235" s="126">
        <v>6</v>
      </c>
      <c r="AA235" s="126">
        <v>2026</v>
      </c>
      <c r="AB235" s="126">
        <v>1</v>
      </c>
    </row>
    <row r="236" spans="3:28" ht="21.95" customHeight="1">
      <c r="C236" s="126">
        <v>229</v>
      </c>
      <c r="D236" s="126">
        <v>60</v>
      </c>
      <c r="F236" s="126" t="s">
        <v>1624</v>
      </c>
      <c r="G236" s="126" t="s">
        <v>1633</v>
      </c>
      <c r="H236" s="162">
        <v>46194</v>
      </c>
      <c r="I236" s="126">
        <v>1</v>
      </c>
      <c r="J236" s="141" t="s">
        <v>778</v>
      </c>
      <c r="K236" s="159" t="s">
        <v>779</v>
      </c>
      <c r="L236" s="126">
        <v>5</v>
      </c>
      <c r="M236" s="126">
        <v>0</v>
      </c>
      <c r="N236" s="159" t="s">
        <v>572</v>
      </c>
      <c r="O236" s="126">
        <v>1</v>
      </c>
      <c r="S236" s="204">
        <v>4.09</v>
      </c>
      <c r="T236" s="204">
        <v>4.5</v>
      </c>
      <c r="U236" s="204">
        <v>22.5</v>
      </c>
      <c r="Y236" s="126">
        <v>3</v>
      </c>
      <c r="Z236" s="126">
        <v>6</v>
      </c>
      <c r="AA236" s="126">
        <v>2026</v>
      </c>
      <c r="AB236" s="126">
        <v>1</v>
      </c>
    </row>
    <row r="237" spans="3:28" ht="21.95" customHeight="1">
      <c r="C237" s="126">
        <v>230</v>
      </c>
      <c r="D237" s="126">
        <v>60</v>
      </c>
      <c r="F237" s="126" t="s">
        <v>1624</v>
      </c>
      <c r="G237" s="126" t="s">
        <v>1633</v>
      </c>
      <c r="H237" s="162">
        <v>46194</v>
      </c>
      <c r="I237" s="126">
        <v>1</v>
      </c>
      <c r="J237" s="141" t="s">
        <v>652</v>
      </c>
      <c r="K237" s="159" t="s">
        <v>653</v>
      </c>
      <c r="L237" s="126">
        <v>2</v>
      </c>
      <c r="M237" s="126">
        <v>0</v>
      </c>
      <c r="N237" s="159" t="s">
        <v>572</v>
      </c>
      <c r="O237" s="126">
        <v>1</v>
      </c>
      <c r="S237" s="204">
        <v>8.36</v>
      </c>
      <c r="T237" s="204">
        <v>8.25</v>
      </c>
      <c r="U237" s="204">
        <v>16.5</v>
      </c>
      <c r="Y237" s="126">
        <v>3</v>
      </c>
      <c r="Z237" s="126">
        <v>6</v>
      </c>
      <c r="AA237" s="126">
        <v>2026</v>
      </c>
      <c r="AB237" s="126">
        <v>1</v>
      </c>
    </row>
    <row r="238" spans="3:28" ht="21.95" customHeight="1">
      <c r="C238" s="126">
        <v>231</v>
      </c>
      <c r="D238" s="126">
        <v>61</v>
      </c>
      <c r="F238" s="126" t="s">
        <v>1624</v>
      </c>
      <c r="G238" s="126" t="s">
        <v>1641</v>
      </c>
      <c r="H238" s="162">
        <v>46194</v>
      </c>
      <c r="I238" s="126">
        <v>1</v>
      </c>
      <c r="J238" s="141" t="s">
        <v>738</v>
      </c>
      <c r="K238" s="159" t="s">
        <v>739</v>
      </c>
      <c r="L238" s="126">
        <v>1</v>
      </c>
      <c r="M238" s="126">
        <v>0</v>
      </c>
      <c r="N238" s="159" t="s">
        <v>1643</v>
      </c>
      <c r="O238" s="126">
        <v>1</v>
      </c>
      <c r="S238" s="204">
        <v>47</v>
      </c>
      <c r="T238" s="204">
        <v>50</v>
      </c>
      <c r="U238" s="204">
        <v>50</v>
      </c>
      <c r="Y238" s="126">
        <v>3</v>
      </c>
      <c r="Z238" s="126">
        <v>6</v>
      </c>
      <c r="AA238" s="126">
        <v>2026</v>
      </c>
      <c r="AB238" s="126">
        <v>1</v>
      </c>
    </row>
    <row r="239" spans="3:28" ht="21.95" customHeight="1">
      <c r="C239" s="126">
        <v>232</v>
      </c>
      <c r="D239" s="126">
        <v>61</v>
      </c>
      <c r="F239" s="126" t="s">
        <v>1624</v>
      </c>
      <c r="G239" s="126" t="s">
        <v>1641</v>
      </c>
      <c r="H239" s="162">
        <v>46194</v>
      </c>
      <c r="I239" s="126">
        <v>1</v>
      </c>
      <c r="J239" s="141" t="s">
        <v>1647</v>
      </c>
      <c r="K239" s="159" t="s">
        <v>1648</v>
      </c>
      <c r="L239" s="126">
        <v>10</v>
      </c>
      <c r="M239" s="126">
        <v>0</v>
      </c>
      <c r="N239" s="159" t="s">
        <v>545</v>
      </c>
      <c r="O239" s="126">
        <v>1</v>
      </c>
      <c r="S239" s="204">
        <v>0.4</v>
      </c>
      <c r="T239" s="204">
        <v>0.15</v>
      </c>
      <c r="U239" s="204">
        <v>1.5</v>
      </c>
      <c r="Y239" s="126">
        <v>3</v>
      </c>
      <c r="Z239" s="126">
        <v>6</v>
      </c>
      <c r="AA239" s="126">
        <v>2026</v>
      </c>
      <c r="AB239" s="126">
        <v>1</v>
      </c>
    </row>
    <row r="240" spans="3:28" ht="21.95" customHeight="1">
      <c r="C240" s="126">
        <v>233</v>
      </c>
      <c r="D240" s="126">
        <v>62</v>
      </c>
      <c r="F240" s="126" t="s">
        <v>1652</v>
      </c>
      <c r="G240" s="126" t="s">
        <v>1653</v>
      </c>
      <c r="H240" s="162">
        <v>46195</v>
      </c>
      <c r="I240" s="126">
        <v>1</v>
      </c>
      <c r="J240" s="141" t="s">
        <v>748</v>
      </c>
      <c r="K240" s="159" t="s">
        <v>749</v>
      </c>
      <c r="L240" s="126">
        <v>10</v>
      </c>
      <c r="M240" s="126">
        <v>0</v>
      </c>
      <c r="N240" s="159" t="s">
        <v>794</v>
      </c>
      <c r="O240" s="126">
        <v>20</v>
      </c>
      <c r="S240" s="204">
        <v>4.25</v>
      </c>
      <c r="T240" s="204">
        <v>4.75</v>
      </c>
      <c r="U240" s="204">
        <v>47.5</v>
      </c>
      <c r="Y240" s="126">
        <v>4</v>
      </c>
      <c r="Z240" s="126">
        <v>6</v>
      </c>
      <c r="AA240" s="126">
        <v>2026</v>
      </c>
      <c r="AB240" s="126">
        <v>1</v>
      </c>
    </row>
    <row r="241" spans="3:28" ht="21.95" customHeight="1">
      <c r="C241" s="126">
        <v>234</v>
      </c>
      <c r="D241" s="126">
        <v>62</v>
      </c>
      <c r="F241" s="126" t="s">
        <v>1652</v>
      </c>
      <c r="G241" s="126" t="s">
        <v>1653</v>
      </c>
      <c r="H241" s="162">
        <v>46195</v>
      </c>
      <c r="I241" s="126">
        <v>1</v>
      </c>
      <c r="J241" s="141" t="s">
        <v>752</v>
      </c>
      <c r="K241" s="159" t="s">
        <v>753</v>
      </c>
      <c r="L241" s="126">
        <v>5</v>
      </c>
      <c r="M241" s="126">
        <v>0</v>
      </c>
      <c r="N241" s="159" t="s">
        <v>794</v>
      </c>
      <c r="O241" s="126">
        <v>20</v>
      </c>
      <c r="S241" s="204">
        <v>4.1500000000000004</v>
      </c>
      <c r="T241" s="204">
        <v>4.75</v>
      </c>
      <c r="U241" s="204">
        <v>23.75</v>
      </c>
      <c r="Y241" s="126">
        <v>4</v>
      </c>
      <c r="Z241" s="126">
        <v>6</v>
      </c>
      <c r="AA241" s="126">
        <v>2026</v>
      </c>
      <c r="AB241" s="126">
        <v>1</v>
      </c>
    </row>
    <row r="242" spans="3:28" ht="21.95" customHeight="1">
      <c r="C242" s="126">
        <v>235</v>
      </c>
      <c r="D242" s="126">
        <v>63</v>
      </c>
      <c r="F242" s="126" t="s">
        <v>1652</v>
      </c>
      <c r="G242" s="126" t="s">
        <v>1661</v>
      </c>
      <c r="H242" s="162">
        <v>46195</v>
      </c>
      <c r="I242" s="126">
        <v>1</v>
      </c>
      <c r="J242" s="141" t="s">
        <v>608</v>
      </c>
      <c r="K242" s="159" t="s">
        <v>609</v>
      </c>
      <c r="L242" s="126">
        <v>3</v>
      </c>
      <c r="M242" s="126">
        <v>0</v>
      </c>
      <c r="N242" s="159" t="s">
        <v>572</v>
      </c>
      <c r="O242" s="126">
        <v>1</v>
      </c>
      <c r="S242" s="204">
        <v>6.28</v>
      </c>
      <c r="T242" s="204">
        <v>7</v>
      </c>
      <c r="U242" s="204">
        <v>21</v>
      </c>
      <c r="Y242" s="126">
        <v>4</v>
      </c>
      <c r="Z242" s="126">
        <v>6</v>
      </c>
      <c r="AA242" s="126">
        <v>2026</v>
      </c>
      <c r="AB242" s="126">
        <v>1</v>
      </c>
    </row>
    <row r="243" spans="3:28" ht="21.95" customHeight="1">
      <c r="C243" s="126">
        <v>236</v>
      </c>
      <c r="D243" s="126">
        <v>63</v>
      </c>
      <c r="F243" s="126" t="s">
        <v>1652</v>
      </c>
      <c r="G243" s="126" t="s">
        <v>1661</v>
      </c>
      <c r="H243" s="162">
        <v>46195</v>
      </c>
      <c r="I243" s="126">
        <v>1</v>
      </c>
      <c r="J243" s="141" t="s">
        <v>752</v>
      </c>
      <c r="K243" s="159" t="s">
        <v>753</v>
      </c>
      <c r="L243" s="126">
        <v>3</v>
      </c>
      <c r="M243" s="126">
        <v>0</v>
      </c>
      <c r="N243" s="159" t="s">
        <v>794</v>
      </c>
      <c r="O243" s="126">
        <v>20</v>
      </c>
      <c r="S243" s="204">
        <v>4.1500000000000004</v>
      </c>
      <c r="T243" s="204">
        <v>4.75</v>
      </c>
      <c r="U243" s="204">
        <v>14.25</v>
      </c>
      <c r="Y243" s="126">
        <v>4</v>
      </c>
      <c r="Z243" s="126">
        <v>6</v>
      </c>
      <c r="AA243" s="126">
        <v>2026</v>
      </c>
      <c r="AB243" s="126">
        <v>1</v>
      </c>
    </row>
    <row r="244" spans="3:28" ht="21.95" customHeight="1">
      <c r="C244" s="126">
        <v>237</v>
      </c>
      <c r="D244" s="126">
        <v>64</v>
      </c>
      <c r="F244" s="126" t="s">
        <v>1652</v>
      </c>
      <c r="G244" s="126" t="s">
        <v>1669</v>
      </c>
      <c r="H244" s="162">
        <v>46195</v>
      </c>
      <c r="I244" s="126">
        <v>1</v>
      </c>
      <c r="J244" s="141" t="s">
        <v>752</v>
      </c>
      <c r="K244" s="159" t="s">
        <v>753</v>
      </c>
      <c r="L244" s="126">
        <v>5</v>
      </c>
      <c r="M244" s="126">
        <v>0</v>
      </c>
      <c r="N244" s="159" t="s">
        <v>794</v>
      </c>
      <c r="O244" s="126">
        <v>20</v>
      </c>
      <c r="S244" s="204">
        <v>4.1500000000000004</v>
      </c>
      <c r="T244" s="204">
        <v>4.75</v>
      </c>
      <c r="U244" s="204">
        <v>23.75</v>
      </c>
      <c r="Y244" s="126">
        <v>4</v>
      </c>
      <c r="Z244" s="126">
        <v>6</v>
      </c>
      <c r="AA244" s="126">
        <v>2026</v>
      </c>
      <c r="AB244" s="126">
        <v>1</v>
      </c>
    </row>
    <row r="245" spans="3:28" ht="21.95" customHeight="1">
      <c r="C245" s="126">
        <v>238</v>
      </c>
      <c r="D245" s="126">
        <v>64</v>
      </c>
      <c r="F245" s="126" t="s">
        <v>1652</v>
      </c>
      <c r="G245" s="126" t="s">
        <v>1669</v>
      </c>
      <c r="H245" s="162">
        <v>46195</v>
      </c>
      <c r="I245" s="126">
        <v>1</v>
      </c>
      <c r="J245" s="141" t="s">
        <v>696</v>
      </c>
      <c r="K245" s="159" t="s">
        <v>697</v>
      </c>
      <c r="L245" s="126">
        <v>2</v>
      </c>
      <c r="M245" s="126">
        <v>0</v>
      </c>
      <c r="N245" s="159" t="s">
        <v>545</v>
      </c>
      <c r="O245" s="126">
        <v>1</v>
      </c>
      <c r="S245" s="204">
        <v>3.3</v>
      </c>
      <c r="T245" s="204">
        <v>3.75</v>
      </c>
      <c r="U245" s="204">
        <v>7.5</v>
      </c>
      <c r="Y245" s="126">
        <v>4</v>
      </c>
      <c r="Z245" s="126">
        <v>6</v>
      </c>
      <c r="AA245" s="126">
        <v>2026</v>
      </c>
      <c r="AB245" s="126">
        <v>1</v>
      </c>
    </row>
    <row r="246" spans="3:28" ht="21.95" customHeight="1">
      <c r="C246" s="126">
        <v>239</v>
      </c>
      <c r="D246" s="126">
        <v>64</v>
      </c>
      <c r="F246" s="126" t="s">
        <v>1652</v>
      </c>
      <c r="G246" s="126" t="s">
        <v>1669</v>
      </c>
      <c r="H246" s="162">
        <v>46195</v>
      </c>
      <c r="I246" s="126">
        <v>1</v>
      </c>
      <c r="J246" s="141" t="s">
        <v>722</v>
      </c>
      <c r="K246" s="159" t="s">
        <v>723</v>
      </c>
      <c r="L246" s="126">
        <v>2</v>
      </c>
      <c r="M246" s="126">
        <v>0</v>
      </c>
      <c r="N246" s="159" t="s">
        <v>868</v>
      </c>
      <c r="O246" s="126">
        <v>24</v>
      </c>
      <c r="S246" s="204">
        <v>4.5</v>
      </c>
      <c r="T246" s="204">
        <v>5</v>
      </c>
      <c r="U246" s="204">
        <v>10</v>
      </c>
      <c r="Y246" s="126">
        <v>4</v>
      </c>
      <c r="Z246" s="126">
        <v>6</v>
      </c>
      <c r="AA246" s="126">
        <v>2026</v>
      </c>
      <c r="AB246" s="126">
        <v>1</v>
      </c>
    </row>
    <row r="247" spans="3:28" ht="21.95" customHeight="1">
      <c r="C247" s="126">
        <v>240</v>
      </c>
      <c r="D247" s="126">
        <v>64</v>
      </c>
      <c r="F247" s="126" t="s">
        <v>1652</v>
      </c>
      <c r="G247" s="126" t="s">
        <v>1669</v>
      </c>
      <c r="H247" s="162">
        <v>46195</v>
      </c>
      <c r="I247" s="126">
        <v>1</v>
      </c>
      <c r="J247" s="141" t="s">
        <v>703</v>
      </c>
      <c r="K247" s="159" t="s">
        <v>704</v>
      </c>
      <c r="L247" s="126">
        <v>5</v>
      </c>
      <c r="M247" s="126">
        <v>0</v>
      </c>
      <c r="N247" s="159" t="s">
        <v>545</v>
      </c>
      <c r="O247" s="126">
        <v>1</v>
      </c>
      <c r="S247" s="204">
        <v>1.35</v>
      </c>
      <c r="T247" s="204">
        <v>2</v>
      </c>
      <c r="U247" s="204">
        <v>10</v>
      </c>
      <c r="Y247" s="126">
        <v>4</v>
      </c>
      <c r="Z247" s="126">
        <v>6</v>
      </c>
      <c r="AA247" s="126">
        <v>2026</v>
      </c>
      <c r="AB247" s="126">
        <v>1</v>
      </c>
    </row>
    <row r="248" spans="3:28" ht="21.95" customHeight="1">
      <c r="C248" s="126">
        <v>241</v>
      </c>
      <c r="D248" s="126">
        <v>65</v>
      </c>
      <c r="F248" s="126" t="s">
        <v>1652</v>
      </c>
      <c r="G248" s="126" t="s">
        <v>1683</v>
      </c>
      <c r="H248" s="162">
        <v>46195</v>
      </c>
      <c r="I248" s="126">
        <v>1</v>
      </c>
      <c r="J248" s="141" t="s">
        <v>748</v>
      </c>
      <c r="K248" s="159" t="s">
        <v>749</v>
      </c>
      <c r="L248" s="126">
        <v>10</v>
      </c>
      <c r="M248" s="126">
        <v>0</v>
      </c>
      <c r="N248" s="159" t="s">
        <v>794</v>
      </c>
      <c r="O248" s="126">
        <v>20</v>
      </c>
      <c r="S248" s="204">
        <v>4.25</v>
      </c>
      <c r="T248" s="204">
        <v>4.5</v>
      </c>
      <c r="U248" s="204">
        <v>45</v>
      </c>
      <c r="Y248" s="126">
        <v>4</v>
      </c>
      <c r="Z248" s="126">
        <v>6</v>
      </c>
      <c r="AA248" s="126">
        <v>2026</v>
      </c>
      <c r="AB248" s="126">
        <v>1</v>
      </c>
    </row>
    <row r="249" spans="3:28" ht="21.95" customHeight="1">
      <c r="C249" s="126">
        <v>242</v>
      </c>
      <c r="D249" s="126">
        <v>66</v>
      </c>
      <c r="F249" s="126" t="s">
        <v>1699</v>
      </c>
      <c r="G249" s="126" t="s">
        <v>1688</v>
      </c>
      <c r="H249" s="162">
        <v>46196</v>
      </c>
      <c r="I249" s="126">
        <v>1</v>
      </c>
      <c r="J249" s="141" t="s">
        <v>1523</v>
      </c>
      <c r="K249" s="159" t="s">
        <v>1524</v>
      </c>
      <c r="L249" s="126">
        <v>3</v>
      </c>
      <c r="M249" s="126">
        <v>0</v>
      </c>
      <c r="N249" s="159" t="s">
        <v>545</v>
      </c>
      <c r="O249" s="126">
        <v>1</v>
      </c>
      <c r="S249" s="204">
        <v>4.2300000000000004</v>
      </c>
      <c r="T249" s="204">
        <v>5</v>
      </c>
      <c r="U249" s="204">
        <v>15</v>
      </c>
      <c r="Y249" s="126">
        <v>4</v>
      </c>
      <c r="Z249" s="126">
        <v>6</v>
      </c>
      <c r="AA249" s="126">
        <v>2026</v>
      </c>
      <c r="AB249" s="126">
        <v>1</v>
      </c>
    </row>
    <row r="250" spans="3:28" ht="21.95" customHeight="1">
      <c r="C250" s="126">
        <v>243</v>
      </c>
      <c r="D250" s="126">
        <v>66</v>
      </c>
      <c r="F250" s="126" t="s">
        <v>1699</v>
      </c>
      <c r="G250" s="126" t="s">
        <v>1688</v>
      </c>
      <c r="H250" s="162">
        <v>46196</v>
      </c>
      <c r="I250" s="126">
        <v>1</v>
      </c>
      <c r="J250" s="141" t="s">
        <v>1037</v>
      </c>
      <c r="K250" s="159" t="s">
        <v>1038</v>
      </c>
      <c r="L250" s="126">
        <v>5</v>
      </c>
      <c r="M250" s="126">
        <v>0</v>
      </c>
      <c r="N250" s="159" t="s">
        <v>545</v>
      </c>
      <c r="O250" s="126">
        <v>1</v>
      </c>
      <c r="S250" s="204">
        <v>4.33</v>
      </c>
      <c r="T250" s="204">
        <v>5</v>
      </c>
      <c r="U250" s="204">
        <v>25</v>
      </c>
      <c r="Y250" s="126">
        <v>4</v>
      </c>
      <c r="Z250" s="126">
        <v>6</v>
      </c>
      <c r="AA250" s="126">
        <v>2026</v>
      </c>
      <c r="AB250" s="126">
        <v>1</v>
      </c>
    </row>
    <row r="251" spans="3:28" ht="21.95" customHeight="1">
      <c r="C251" s="126">
        <v>244</v>
      </c>
      <c r="D251" s="126">
        <v>66</v>
      </c>
      <c r="F251" s="126" t="s">
        <v>1699</v>
      </c>
      <c r="G251" s="126" t="s">
        <v>1688</v>
      </c>
      <c r="H251" s="162">
        <v>46196</v>
      </c>
      <c r="I251" s="126">
        <v>1</v>
      </c>
      <c r="J251" s="141" t="s">
        <v>752</v>
      </c>
      <c r="K251" s="159" t="s">
        <v>753</v>
      </c>
      <c r="L251" s="126">
        <v>5</v>
      </c>
      <c r="M251" s="126">
        <v>0</v>
      </c>
      <c r="N251" s="159" t="s">
        <v>794</v>
      </c>
      <c r="O251" s="126">
        <v>20</v>
      </c>
      <c r="S251" s="204">
        <v>4.1500000000000004</v>
      </c>
      <c r="T251" s="204">
        <v>4.75</v>
      </c>
      <c r="U251" s="204">
        <v>23.75</v>
      </c>
      <c r="Y251" s="126">
        <v>4</v>
      </c>
      <c r="Z251" s="126">
        <v>6</v>
      </c>
      <c r="AA251" s="126">
        <v>2026</v>
      </c>
      <c r="AB251" s="126">
        <v>1</v>
      </c>
    </row>
    <row r="252" spans="3:28" ht="21.95" customHeight="1">
      <c r="C252" s="126">
        <v>245</v>
      </c>
      <c r="D252" s="126">
        <v>67</v>
      </c>
      <c r="F252" s="126" t="s">
        <v>1699</v>
      </c>
      <c r="G252" s="126" t="s">
        <v>1700</v>
      </c>
      <c r="H252" s="162">
        <v>46196</v>
      </c>
      <c r="I252" s="126">
        <v>1</v>
      </c>
      <c r="J252" s="141" t="s">
        <v>1702</v>
      </c>
      <c r="K252" s="159" t="s">
        <v>1703</v>
      </c>
      <c r="L252" s="126">
        <v>1</v>
      </c>
      <c r="M252" s="126">
        <v>0</v>
      </c>
      <c r="N252" s="159" t="s">
        <v>1704</v>
      </c>
      <c r="O252" s="126">
        <v>1</v>
      </c>
      <c r="S252" s="204">
        <v>53</v>
      </c>
      <c r="T252" s="204">
        <v>60</v>
      </c>
      <c r="U252" s="204">
        <v>60</v>
      </c>
      <c r="Y252" s="126">
        <v>4</v>
      </c>
      <c r="Z252" s="126">
        <v>6</v>
      </c>
      <c r="AA252" s="126">
        <v>2026</v>
      </c>
      <c r="AB252" s="126">
        <v>1</v>
      </c>
    </row>
    <row r="253" spans="3:28" ht="21.95" customHeight="1">
      <c r="C253" s="126">
        <v>246</v>
      </c>
      <c r="D253" s="126">
        <v>67</v>
      </c>
      <c r="F253" s="126" t="s">
        <v>1699</v>
      </c>
      <c r="G253" s="126" t="s">
        <v>1700</v>
      </c>
      <c r="H253" s="162">
        <v>46196</v>
      </c>
      <c r="I253" s="126">
        <v>1</v>
      </c>
      <c r="J253" s="141" t="s">
        <v>1708</v>
      </c>
      <c r="K253" s="159" t="s">
        <v>1709</v>
      </c>
      <c r="L253" s="126">
        <v>1</v>
      </c>
      <c r="M253" s="126">
        <v>0</v>
      </c>
      <c r="N253" s="159" t="s">
        <v>669</v>
      </c>
      <c r="O253" s="126">
        <v>4</v>
      </c>
      <c r="S253" s="204">
        <v>20.25</v>
      </c>
      <c r="T253" s="204">
        <v>26</v>
      </c>
      <c r="U253" s="204">
        <v>26</v>
      </c>
      <c r="Y253" s="126">
        <v>4</v>
      </c>
      <c r="Z253" s="126">
        <v>6</v>
      </c>
      <c r="AA253" s="126">
        <v>2026</v>
      </c>
      <c r="AB253" s="126">
        <v>1</v>
      </c>
    </row>
    <row r="254" spans="3:28" ht="21.95" customHeight="1">
      <c r="C254" s="126">
        <v>247</v>
      </c>
      <c r="D254" s="126">
        <v>67</v>
      </c>
      <c r="F254" s="126" t="s">
        <v>1699</v>
      </c>
      <c r="G254" s="126" t="s">
        <v>1700</v>
      </c>
      <c r="H254" s="162">
        <v>46196</v>
      </c>
      <c r="I254" s="126">
        <v>1</v>
      </c>
      <c r="J254" s="141" t="s">
        <v>781</v>
      </c>
      <c r="K254" s="159" t="s">
        <v>782</v>
      </c>
      <c r="L254" s="126">
        <v>5</v>
      </c>
      <c r="M254" s="126">
        <v>0</v>
      </c>
      <c r="N254" s="159" t="s">
        <v>572</v>
      </c>
      <c r="O254" s="126">
        <v>1</v>
      </c>
      <c r="S254" s="204">
        <v>4.92</v>
      </c>
      <c r="T254" s="204">
        <v>6</v>
      </c>
      <c r="U254" s="204">
        <v>30</v>
      </c>
      <c r="Y254" s="126">
        <v>4</v>
      </c>
      <c r="Z254" s="126">
        <v>6</v>
      </c>
      <c r="AA254" s="126">
        <v>2026</v>
      </c>
      <c r="AB254" s="126">
        <v>1</v>
      </c>
    </row>
    <row r="255" spans="3:28" ht="21.95" customHeight="1">
      <c r="C255" s="126">
        <v>248</v>
      </c>
      <c r="D255" s="126">
        <v>68</v>
      </c>
      <c r="F255" s="126" t="s">
        <v>1699</v>
      </c>
      <c r="G255" s="126" t="s">
        <v>1716</v>
      </c>
      <c r="H255" s="162">
        <v>46196</v>
      </c>
      <c r="I255" s="126">
        <v>1</v>
      </c>
      <c r="J255" s="141" t="s">
        <v>755</v>
      </c>
      <c r="K255" s="159" t="s">
        <v>756</v>
      </c>
      <c r="L255" s="126">
        <v>12</v>
      </c>
      <c r="M255" s="126">
        <v>0</v>
      </c>
      <c r="N255" s="159" t="s">
        <v>794</v>
      </c>
      <c r="O255" s="126">
        <v>20</v>
      </c>
      <c r="S255" s="204">
        <v>4.75</v>
      </c>
      <c r="T255" s="204">
        <v>5</v>
      </c>
      <c r="U255" s="204">
        <v>60</v>
      </c>
      <c r="Y255" s="126">
        <v>4</v>
      </c>
      <c r="Z255" s="126">
        <v>6</v>
      </c>
      <c r="AA255" s="126">
        <v>2026</v>
      </c>
      <c r="AB255" s="126">
        <v>1</v>
      </c>
    </row>
    <row r="256" spans="3:28" ht="21.95" customHeight="1">
      <c r="C256" s="126">
        <v>249</v>
      </c>
      <c r="D256" s="126">
        <v>69</v>
      </c>
      <c r="F256" s="126" t="s">
        <v>1721</v>
      </c>
      <c r="G256" s="126" t="s">
        <v>1722</v>
      </c>
      <c r="H256" s="162">
        <v>46197</v>
      </c>
      <c r="I256" s="126">
        <v>1</v>
      </c>
      <c r="J256" s="141" t="s">
        <v>755</v>
      </c>
      <c r="K256" s="159" t="s">
        <v>756</v>
      </c>
      <c r="L256" s="126">
        <v>3</v>
      </c>
      <c r="M256" s="126">
        <v>0</v>
      </c>
      <c r="N256" s="159" t="s">
        <v>794</v>
      </c>
      <c r="O256" s="126">
        <v>20</v>
      </c>
      <c r="S256" s="204">
        <v>4.75</v>
      </c>
      <c r="T256" s="204">
        <v>5</v>
      </c>
      <c r="U256" s="204">
        <v>15</v>
      </c>
      <c r="Y256" s="126">
        <v>4</v>
      </c>
      <c r="Z256" s="126">
        <v>6</v>
      </c>
      <c r="AA256" s="126">
        <v>2026</v>
      </c>
      <c r="AB256" s="126">
        <v>1</v>
      </c>
    </row>
    <row r="257" spans="3:28" ht="21.95" customHeight="1">
      <c r="C257" s="126">
        <v>250</v>
      </c>
      <c r="D257" s="126">
        <v>69</v>
      </c>
      <c r="F257" s="126" t="s">
        <v>1721</v>
      </c>
      <c r="G257" s="126" t="s">
        <v>1722</v>
      </c>
      <c r="H257" s="162">
        <v>46197</v>
      </c>
      <c r="I257" s="126">
        <v>1</v>
      </c>
      <c r="J257" s="141" t="s">
        <v>761</v>
      </c>
      <c r="K257" s="159" t="s">
        <v>762</v>
      </c>
      <c r="L257" s="126">
        <v>1</v>
      </c>
      <c r="M257" s="126">
        <v>0</v>
      </c>
      <c r="N257" s="159" t="s">
        <v>618</v>
      </c>
      <c r="O257" s="126">
        <v>1</v>
      </c>
      <c r="S257" s="204">
        <v>1</v>
      </c>
      <c r="T257" s="204">
        <v>1.5</v>
      </c>
      <c r="U257" s="204">
        <v>1.5</v>
      </c>
      <c r="Y257" s="126">
        <v>4</v>
      </c>
      <c r="Z257" s="126">
        <v>6</v>
      </c>
      <c r="AA257" s="126">
        <v>2026</v>
      </c>
      <c r="AB257" s="126">
        <v>1</v>
      </c>
    </row>
    <row r="258" spans="3:28" ht="21.95" customHeight="1">
      <c r="C258" s="126">
        <v>251</v>
      </c>
      <c r="D258" s="126">
        <v>70</v>
      </c>
      <c r="F258" s="126" t="s">
        <v>1721</v>
      </c>
      <c r="G258" s="126" t="s">
        <v>1730</v>
      </c>
      <c r="H258" s="162">
        <v>46197</v>
      </c>
      <c r="I258" s="126">
        <v>1</v>
      </c>
      <c r="J258" s="141" t="s">
        <v>608</v>
      </c>
      <c r="K258" s="159" t="s">
        <v>609</v>
      </c>
      <c r="L258" s="126">
        <v>7</v>
      </c>
      <c r="M258" s="126">
        <v>0</v>
      </c>
      <c r="N258" s="159" t="s">
        <v>572</v>
      </c>
      <c r="O258" s="126">
        <v>1</v>
      </c>
      <c r="S258" s="204">
        <v>6.28</v>
      </c>
      <c r="T258" s="204">
        <v>6.25</v>
      </c>
      <c r="U258" s="204">
        <v>43.75</v>
      </c>
      <c r="Y258" s="126">
        <v>4</v>
      </c>
      <c r="Z258" s="126">
        <v>6</v>
      </c>
      <c r="AA258" s="126">
        <v>2026</v>
      </c>
      <c r="AB258" s="126">
        <v>1</v>
      </c>
    </row>
    <row r="259" spans="3:28" ht="21.95" customHeight="1">
      <c r="C259" s="126">
        <v>252</v>
      </c>
      <c r="D259" s="126">
        <v>70</v>
      </c>
      <c r="F259" s="126" t="s">
        <v>1721</v>
      </c>
      <c r="G259" s="126" t="s">
        <v>1730</v>
      </c>
      <c r="H259" s="162">
        <v>46197</v>
      </c>
      <c r="I259" s="126">
        <v>1</v>
      </c>
      <c r="J259" s="141" t="s">
        <v>652</v>
      </c>
      <c r="K259" s="159" t="s">
        <v>653</v>
      </c>
      <c r="L259" s="126">
        <v>2</v>
      </c>
      <c r="M259" s="126">
        <v>0</v>
      </c>
      <c r="N259" s="159" t="s">
        <v>572</v>
      </c>
      <c r="O259" s="126">
        <v>1</v>
      </c>
      <c r="S259" s="204">
        <v>8.36</v>
      </c>
      <c r="T259" s="204">
        <v>8.25</v>
      </c>
      <c r="U259" s="204">
        <v>16.5</v>
      </c>
      <c r="Y259" s="126">
        <v>4</v>
      </c>
      <c r="Z259" s="126">
        <v>6</v>
      </c>
      <c r="AA259" s="126">
        <v>2026</v>
      </c>
      <c r="AB259" s="126">
        <v>1</v>
      </c>
    </row>
    <row r="260" spans="3:28" ht="21.95" customHeight="1">
      <c r="C260" s="126">
        <v>253</v>
      </c>
      <c r="D260" s="126">
        <v>71</v>
      </c>
      <c r="F260" s="126" t="s">
        <v>1721</v>
      </c>
      <c r="G260" s="126" t="s">
        <v>1738</v>
      </c>
      <c r="H260" s="162">
        <v>46197</v>
      </c>
      <c r="I260" s="126">
        <v>1</v>
      </c>
      <c r="J260" s="141" t="s">
        <v>752</v>
      </c>
      <c r="K260" s="159" t="s">
        <v>753</v>
      </c>
      <c r="L260" s="126">
        <v>5</v>
      </c>
      <c r="M260" s="126">
        <v>0</v>
      </c>
      <c r="N260" s="159" t="s">
        <v>794</v>
      </c>
      <c r="O260" s="126">
        <v>20</v>
      </c>
      <c r="S260" s="204">
        <v>4.1500000000000004</v>
      </c>
      <c r="T260" s="204">
        <v>4.5</v>
      </c>
      <c r="U260" s="204">
        <v>22.5</v>
      </c>
      <c r="Y260" s="126">
        <v>4</v>
      </c>
      <c r="Z260" s="126">
        <v>6</v>
      </c>
      <c r="AA260" s="126">
        <v>2026</v>
      </c>
      <c r="AB260" s="126">
        <v>1</v>
      </c>
    </row>
    <row r="261" spans="3:28" ht="21.95" customHeight="1">
      <c r="C261" s="126">
        <v>254</v>
      </c>
      <c r="D261" s="126">
        <v>71</v>
      </c>
      <c r="F261" s="126" t="s">
        <v>1721</v>
      </c>
      <c r="G261" s="126" t="s">
        <v>1738</v>
      </c>
      <c r="H261" s="162">
        <v>46197</v>
      </c>
      <c r="I261" s="126">
        <v>1</v>
      </c>
      <c r="J261" s="141" t="s">
        <v>1743</v>
      </c>
      <c r="K261" s="159" t="s">
        <v>1744</v>
      </c>
      <c r="L261" s="126">
        <v>1</v>
      </c>
      <c r="M261" s="126">
        <v>0</v>
      </c>
      <c r="N261" s="159" t="s">
        <v>545</v>
      </c>
      <c r="O261" s="126">
        <v>1</v>
      </c>
      <c r="S261" s="204">
        <v>2.12</v>
      </c>
      <c r="T261" s="204">
        <v>2.25</v>
      </c>
      <c r="U261" s="204">
        <v>2.25</v>
      </c>
      <c r="Y261" s="126">
        <v>4</v>
      </c>
      <c r="Z261" s="126">
        <v>6</v>
      </c>
      <c r="AA261" s="126">
        <v>2026</v>
      </c>
      <c r="AB261" s="126">
        <v>1</v>
      </c>
    </row>
    <row r="262" spans="3:28" ht="21.95" customHeight="1">
      <c r="C262" s="126">
        <v>255</v>
      </c>
      <c r="D262" s="126">
        <v>71</v>
      </c>
      <c r="F262" s="126" t="s">
        <v>1721</v>
      </c>
      <c r="G262" s="126" t="s">
        <v>1738</v>
      </c>
      <c r="H262" s="162">
        <v>46197</v>
      </c>
      <c r="I262" s="126">
        <v>1</v>
      </c>
      <c r="J262" s="141" t="s">
        <v>1748</v>
      </c>
      <c r="K262" s="159" t="s">
        <v>1749</v>
      </c>
      <c r="L262" s="126">
        <v>1</v>
      </c>
      <c r="M262" s="126">
        <v>0</v>
      </c>
      <c r="N262" s="159" t="s">
        <v>545</v>
      </c>
      <c r="O262" s="126">
        <v>1</v>
      </c>
      <c r="S262" s="204">
        <v>1.04</v>
      </c>
      <c r="T262" s="204">
        <v>2.5</v>
      </c>
      <c r="U262" s="204">
        <v>2.5</v>
      </c>
      <c r="Y262" s="126">
        <v>4</v>
      </c>
      <c r="Z262" s="126">
        <v>6</v>
      </c>
      <c r="AA262" s="126">
        <v>2026</v>
      </c>
      <c r="AB262" s="126">
        <v>1</v>
      </c>
    </row>
    <row r="263" spans="3:28" ht="21.95" customHeight="1">
      <c r="C263" s="126">
        <v>256</v>
      </c>
      <c r="D263" s="126">
        <v>71</v>
      </c>
      <c r="F263" s="126" t="s">
        <v>1721</v>
      </c>
      <c r="G263" s="126" t="s">
        <v>1738</v>
      </c>
      <c r="H263" s="162">
        <v>46197</v>
      </c>
      <c r="I263" s="126">
        <v>1</v>
      </c>
      <c r="J263" s="141" t="s">
        <v>741</v>
      </c>
      <c r="K263" s="159" t="s">
        <v>742</v>
      </c>
      <c r="L263" s="126">
        <v>1</v>
      </c>
      <c r="M263" s="126">
        <v>0</v>
      </c>
      <c r="N263" s="159" t="s">
        <v>1704</v>
      </c>
      <c r="O263" s="126">
        <v>1</v>
      </c>
      <c r="S263" s="204">
        <v>53</v>
      </c>
      <c r="T263" s="204">
        <v>54.5</v>
      </c>
      <c r="U263" s="204">
        <v>54.5</v>
      </c>
      <c r="Y263" s="126">
        <v>4</v>
      </c>
      <c r="Z263" s="126">
        <v>6</v>
      </c>
      <c r="AA263" s="126">
        <v>2026</v>
      </c>
      <c r="AB263" s="126">
        <v>1</v>
      </c>
    </row>
    <row r="264" spans="3:28" ht="21.95" customHeight="1">
      <c r="C264" s="126">
        <v>257</v>
      </c>
      <c r="D264" s="126">
        <v>72</v>
      </c>
      <c r="F264" s="126" t="s">
        <v>1721</v>
      </c>
      <c r="G264" s="126" t="s">
        <v>1756</v>
      </c>
      <c r="H264" s="162">
        <v>46197</v>
      </c>
      <c r="I264" s="126">
        <v>1</v>
      </c>
      <c r="J264" s="141" t="s">
        <v>564</v>
      </c>
      <c r="K264" s="159" t="s">
        <v>565</v>
      </c>
      <c r="L264" s="126">
        <v>5</v>
      </c>
      <c r="M264" s="126">
        <v>0</v>
      </c>
      <c r="N264" s="159" t="s">
        <v>794</v>
      </c>
      <c r="O264" s="126">
        <v>20</v>
      </c>
      <c r="S264" s="204">
        <v>4.75</v>
      </c>
      <c r="T264" s="204">
        <v>5.25</v>
      </c>
      <c r="U264" s="204">
        <v>26.25</v>
      </c>
      <c r="Y264" s="126">
        <v>4</v>
      </c>
      <c r="Z264" s="126">
        <v>6</v>
      </c>
      <c r="AA264" s="126">
        <v>2026</v>
      </c>
      <c r="AB264" s="126">
        <v>1</v>
      </c>
    </row>
    <row r="265" spans="3:28" ht="21.95" customHeight="1">
      <c r="C265" s="126">
        <v>258</v>
      </c>
      <c r="D265" s="126">
        <v>72</v>
      </c>
      <c r="F265" s="126" t="s">
        <v>1721</v>
      </c>
      <c r="G265" s="126" t="s">
        <v>1756</v>
      </c>
      <c r="H265" s="162">
        <v>46197</v>
      </c>
      <c r="I265" s="126">
        <v>1</v>
      </c>
      <c r="J265" s="141" t="s">
        <v>1743</v>
      </c>
      <c r="K265" s="159" t="s">
        <v>1744</v>
      </c>
      <c r="L265" s="126">
        <v>7</v>
      </c>
      <c r="M265" s="126">
        <v>0</v>
      </c>
      <c r="N265" s="159" t="s">
        <v>545</v>
      </c>
      <c r="O265" s="126">
        <v>1</v>
      </c>
      <c r="S265" s="204">
        <v>2.12</v>
      </c>
      <c r="T265" s="204">
        <v>3</v>
      </c>
      <c r="U265" s="204">
        <v>21</v>
      </c>
      <c r="Y265" s="126">
        <v>4</v>
      </c>
      <c r="Z265" s="126">
        <v>6</v>
      </c>
      <c r="AA265" s="126">
        <v>2026</v>
      </c>
      <c r="AB265" s="126">
        <v>1</v>
      </c>
    </row>
    <row r="266" spans="3:28" ht="21.95" customHeight="1">
      <c r="C266" s="126">
        <v>259</v>
      </c>
      <c r="D266" s="126">
        <v>72</v>
      </c>
      <c r="F266" s="126" t="s">
        <v>1721</v>
      </c>
      <c r="G266" s="126" t="s">
        <v>1756</v>
      </c>
      <c r="H266" s="162">
        <v>46197</v>
      </c>
      <c r="I266" s="126">
        <v>1</v>
      </c>
      <c r="J266" s="141" t="s">
        <v>699</v>
      </c>
      <c r="K266" s="159" t="s">
        <v>700</v>
      </c>
      <c r="L266" s="126">
        <v>7</v>
      </c>
      <c r="M266" s="126">
        <v>0</v>
      </c>
      <c r="N266" s="159" t="s">
        <v>545</v>
      </c>
      <c r="O266" s="126">
        <v>1</v>
      </c>
      <c r="S266" s="204">
        <v>2.1</v>
      </c>
      <c r="T266" s="204">
        <v>3</v>
      </c>
      <c r="U266" s="204">
        <v>21</v>
      </c>
      <c r="Y266" s="126">
        <v>4</v>
      </c>
      <c r="Z266" s="126">
        <v>6</v>
      </c>
      <c r="AA266" s="126">
        <v>2026</v>
      </c>
      <c r="AB266" s="126">
        <v>1</v>
      </c>
    </row>
    <row r="267" spans="3:28" ht="21.95" customHeight="1">
      <c r="C267" s="126">
        <v>260</v>
      </c>
      <c r="D267" s="126">
        <v>72</v>
      </c>
      <c r="F267" s="126" t="s">
        <v>1721</v>
      </c>
      <c r="G267" s="126" t="s">
        <v>1756</v>
      </c>
      <c r="H267" s="162">
        <v>46197</v>
      </c>
      <c r="I267" s="126">
        <v>1</v>
      </c>
      <c r="J267" s="141" t="s">
        <v>627</v>
      </c>
      <c r="K267" s="159" t="s">
        <v>628</v>
      </c>
      <c r="L267" s="126">
        <v>7</v>
      </c>
      <c r="M267" s="126">
        <v>0</v>
      </c>
      <c r="N267" s="159" t="s">
        <v>618</v>
      </c>
      <c r="O267" s="126">
        <v>1</v>
      </c>
      <c r="S267" s="204">
        <v>2</v>
      </c>
      <c r="T267" s="204">
        <v>3</v>
      </c>
      <c r="U267" s="204">
        <v>21</v>
      </c>
      <c r="Y267" s="126">
        <v>4</v>
      </c>
      <c r="Z267" s="126">
        <v>6</v>
      </c>
      <c r="AA267" s="126">
        <v>2026</v>
      </c>
      <c r="AB267" s="126">
        <v>1</v>
      </c>
    </row>
    <row r="268" spans="3:28" ht="21.95" customHeight="1">
      <c r="C268" s="126">
        <v>261</v>
      </c>
      <c r="D268" s="126">
        <v>73</v>
      </c>
      <c r="F268" s="126" t="s">
        <v>1770</v>
      </c>
      <c r="G268" s="126" t="s">
        <v>1771</v>
      </c>
      <c r="H268" s="162">
        <v>46198</v>
      </c>
      <c r="I268" s="126">
        <v>1</v>
      </c>
      <c r="J268" s="141" t="s">
        <v>752</v>
      </c>
      <c r="K268" s="159" t="s">
        <v>753</v>
      </c>
      <c r="L268" s="126">
        <v>6</v>
      </c>
      <c r="M268" s="126">
        <v>0</v>
      </c>
      <c r="N268" s="159" t="s">
        <v>794</v>
      </c>
      <c r="O268" s="126">
        <v>20</v>
      </c>
      <c r="S268" s="204">
        <v>4.1500000000000004</v>
      </c>
      <c r="T268" s="204">
        <v>4.75</v>
      </c>
      <c r="U268" s="204">
        <v>28.5</v>
      </c>
      <c r="Y268" s="126">
        <v>4</v>
      </c>
      <c r="Z268" s="126">
        <v>6</v>
      </c>
      <c r="AA268" s="126">
        <v>2026</v>
      </c>
      <c r="AB268" s="126">
        <v>1</v>
      </c>
    </row>
    <row r="269" spans="3:28" ht="21.95" customHeight="1">
      <c r="C269" s="126">
        <v>262</v>
      </c>
      <c r="D269" s="126">
        <v>73</v>
      </c>
      <c r="F269" s="126" t="s">
        <v>1770</v>
      </c>
      <c r="G269" s="126" t="s">
        <v>1771</v>
      </c>
      <c r="H269" s="162">
        <v>46198</v>
      </c>
      <c r="I269" s="126">
        <v>1</v>
      </c>
      <c r="J269" s="141" t="s">
        <v>778</v>
      </c>
      <c r="K269" s="159" t="s">
        <v>779</v>
      </c>
      <c r="L269" s="126">
        <v>2</v>
      </c>
      <c r="M269" s="126">
        <v>0</v>
      </c>
      <c r="N269" s="159" t="s">
        <v>572</v>
      </c>
      <c r="O269" s="126">
        <v>1</v>
      </c>
      <c r="S269" s="204">
        <v>4.09</v>
      </c>
      <c r="T269" s="204">
        <v>4.5</v>
      </c>
      <c r="U269" s="204">
        <v>9</v>
      </c>
      <c r="Y269" s="126">
        <v>4</v>
      </c>
      <c r="Z269" s="126">
        <v>6</v>
      </c>
      <c r="AA269" s="126">
        <v>2026</v>
      </c>
      <c r="AB269" s="126">
        <v>1</v>
      </c>
    </row>
    <row r="270" spans="3:28" ht="21.95" customHeight="1">
      <c r="C270" s="126">
        <v>263</v>
      </c>
      <c r="D270" s="126">
        <v>73</v>
      </c>
      <c r="F270" s="126" t="s">
        <v>1770</v>
      </c>
      <c r="G270" s="126" t="s">
        <v>1771</v>
      </c>
      <c r="H270" s="162">
        <v>46198</v>
      </c>
      <c r="I270" s="126">
        <v>1</v>
      </c>
      <c r="J270" s="141" t="s">
        <v>1339</v>
      </c>
      <c r="K270" s="159" t="s">
        <v>1340</v>
      </c>
      <c r="L270" s="126">
        <v>5</v>
      </c>
      <c r="M270" s="126">
        <v>0</v>
      </c>
      <c r="N270" s="159" t="s">
        <v>545</v>
      </c>
      <c r="O270" s="126">
        <v>1</v>
      </c>
      <c r="S270" s="204">
        <v>4.49</v>
      </c>
      <c r="T270" s="204">
        <v>5</v>
      </c>
      <c r="U270" s="204">
        <v>25</v>
      </c>
      <c r="Y270" s="126">
        <v>4</v>
      </c>
      <c r="Z270" s="126">
        <v>6</v>
      </c>
      <c r="AA270" s="126">
        <v>2026</v>
      </c>
      <c r="AB270" s="126">
        <v>1</v>
      </c>
    </row>
    <row r="271" spans="3:28" ht="21.95" customHeight="1">
      <c r="C271" s="126">
        <v>264</v>
      </c>
      <c r="D271" s="126">
        <v>74</v>
      </c>
      <c r="F271" s="126" t="s">
        <v>1770</v>
      </c>
      <c r="G271" s="126" t="s">
        <v>1782</v>
      </c>
      <c r="H271" s="162">
        <v>46198</v>
      </c>
      <c r="I271" s="126">
        <v>1</v>
      </c>
      <c r="J271" s="141" t="s">
        <v>608</v>
      </c>
      <c r="K271" s="159" t="s">
        <v>609</v>
      </c>
      <c r="L271" s="126">
        <v>3</v>
      </c>
      <c r="M271" s="126">
        <v>0</v>
      </c>
      <c r="N271" s="159" t="s">
        <v>572</v>
      </c>
      <c r="O271" s="126">
        <v>1</v>
      </c>
      <c r="S271" s="204">
        <v>6.28</v>
      </c>
      <c r="T271" s="204">
        <v>6</v>
      </c>
      <c r="U271" s="204">
        <v>18</v>
      </c>
      <c r="Y271" s="126">
        <v>4</v>
      </c>
      <c r="Z271" s="126">
        <v>6</v>
      </c>
      <c r="AA271" s="126">
        <v>2026</v>
      </c>
      <c r="AB271" s="126">
        <v>1</v>
      </c>
    </row>
    <row r="272" spans="3:28" ht="21.95" customHeight="1">
      <c r="C272" s="126">
        <v>265</v>
      </c>
      <c r="D272" s="126">
        <v>74</v>
      </c>
      <c r="F272" s="126" t="s">
        <v>1770</v>
      </c>
      <c r="G272" s="126" t="s">
        <v>1782</v>
      </c>
      <c r="H272" s="162">
        <v>46198</v>
      </c>
      <c r="I272" s="126">
        <v>1</v>
      </c>
      <c r="J272" s="141" t="s">
        <v>576</v>
      </c>
      <c r="K272" s="159" t="s">
        <v>577</v>
      </c>
      <c r="L272" s="126">
        <v>6</v>
      </c>
      <c r="M272" s="126">
        <v>0</v>
      </c>
      <c r="N272" s="159" t="s">
        <v>572</v>
      </c>
      <c r="O272" s="126">
        <v>1</v>
      </c>
      <c r="S272" s="204">
        <v>3.37</v>
      </c>
      <c r="T272" s="204">
        <v>3.5</v>
      </c>
      <c r="U272" s="204">
        <v>21</v>
      </c>
      <c r="Y272" s="126">
        <v>4</v>
      </c>
      <c r="Z272" s="126">
        <v>6</v>
      </c>
      <c r="AA272" s="126">
        <v>2026</v>
      </c>
      <c r="AB272" s="126">
        <v>1</v>
      </c>
    </row>
    <row r="273" spans="3:28" ht="21.95" customHeight="1">
      <c r="C273" s="126">
        <v>266</v>
      </c>
      <c r="D273" s="126">
        <v>74</v>
      </c>
      <c r="F273" s="126" t="s">
        <v>1770</v>
      </c>
      <c r="G273" s="126" t="s">
        <v>1782</v>
      </c>
      <c r="H273" s="162">
        <v>46198</v>
      </c>
      <c r="I273" s="126">
        <v>1</v>
      </c>
      <c r="J273" s="141" t="s">
        <v>554</v>
      </c>
      <c r="K273" s="159" t="s">
        <v>555</v>
      </c>
      <c r="L273" s="126">
        <v>4</v>
      </c>
      <c r="M273" s="126">
        <v>0</v>
      </c>
      <c r="N273" s="159" t="s">
        <v>545</v>
      </c>
      <c r="O273" s="126">
        <v>12</v>
      </c>
      <c r="S273" s="204">
        <v>3.3</v>
      </c>
      <c r="T273" s="204">
        <v>3.8</v>
      </c>
      <c r="U273" s="204">
        <v>15.2</v>
      </c>
      <c r="Y273" s="126">
        <v>4</v>
      </c>
      <c r="Z273" s="126">
        <v>6</v>
      </c>
      <c r="AA273" s="126">
        <v>2026</v>
      </c>
      <c r="AB273" s="126">
        <v>1</v>
      </c>
    </row>
    <row r="274" spans="3:28" ht="21.95" customHeight="1">
      <c r="C274" s="126">
        <v>267</v>
      </c>
      <c r="D274" s="126">
        <v>74</v>
      </c>
      <c r="F274" s="126" t="s">
        <v>1770</v>
      </c>
      <c r="G274" s="126" t="s">
        <v>1782</v>
      </c>
      <c r="H274" s="162">
        <v>46198</v>
      </c>
      <c r="I274" s="126">
        <v>1</v>
      </c>
      <c r="J274" s="141" t="s">
        <v>627</v>
      </c>
      <c r="K274" s="159" t="s">
        <v>628</v>
      </c>
      <c r="L274" s="126">
        <v>2</v>
      </c>
      <c r="M274" s="126">
        <v>0</v>
      </c>
      <c r="N274" s="159" t="s">
        <v>618</v>
      </c>
      <c r="O274" s="126">
        <v>1</v>
      </c>
      <c r="S274" s="204">
        <v>2</v>
      </c>
      <c r="T274" s="204">
        <v>2.5</v>
      </c>
      <c r="U274" s="204">
        <v>5</v>
      </c>
      <c r="Y274" s="126">
        <v>4</v>
      </c>
      <c r="Z274" s="126">
        <v>6</v>
      </c>
      <c r="AA274" s="126">
        <v>2026</v>
      </c>
      <c r="AB274" s="126">
        <v>1</v>
      </c>
    </row>
    <row r="275" spans="3:28" ht="21.95" customHeight="1">
      <c r="C275" s="126">
        <v>268</v>
      </c>
      <c r="D275" s="126">
        <v>74</v>
      </c>
      <c r="F275" s="126" t="s">
        <v>1770</v>
      </c>
      <c r="G275" s="126" t="s">
        <v>1782</v>
      </c>
      <c r="H275" s="162">
        <v>46198</v>
      </c>
      <c r="I275" s="126">
        <v>1</v>
      </c>
      <c r="J275" s="141" t="s">
        <v>813</v>
      </c>
      <c r="K275" s="159" t="s">
        <v>814</v>
      </c>
      <c r="L275" s="126">
        <v>1</v>
      </c>
      <c r="M275" s="126">
        <v>0</v>
      </c>
      <c r="N275" s="159" t="s">
        <v>545</v>
      </c>
      <c r="O275" s="126">
        <v>1</v>
      </c>
      <c r="S275" s="204">
        <v>0.28000000000000003</v>
      </c>
      <c r="T275" s="204">
        <v>0.38</v>
      </c>
      <c r="U275" s="204">
        <v>0.38</v>
      </c>
      <c r="Y275" s="126">
        <v>4</v>
      </c>
      <c r="Z275" s="126">
        <v>6</v>
      </c>
      <c r="AA275" s="126">
        <v>2026</v>
      </c>
      <c r="AB275" s="126">
        <v>1</v>
      </c>
    </row>
    <row r="276" spans="3:28" ht="21.95" customHeight="1">
      <c r="C276" s="126">
        <v>269</v>
      </c>
      <c r="D276" s="126">
        <v>75</v>
      </c>
      <c r="F276" s="126" t="s">
        <v>1770</v>
      </c>
      <c r="G276" s="126" t="s">
        <v>1799</v>
      </c>
      <c r="H276" s="162">
        <v>46198</v>
      </c>
      <c r="I276" s="126">
        <v>1</v>
      </c>
      <c r="J276" s="141" t="s">
        <v>596</v>
      </c>
      <c r="K276" s="159" t="s">
        <v>597</v>
      </c>
      <c r="L276" s="126">
        <v>4</v>
      </c>
      <c r="M276" s="126">
        <v>0</v>
      </c>
      <c r="N276" s="159" t="s">
        <v>545</v>
      </c>
      <c r="O276" s="126">
        <v>1</v>
      </c>
      <c r="S276" s="204">
        <v>0.12</v>
      </c>
      <c r="T276" s="204">
        <v>0.25</v>
      </c>
      <c r="U276" s="204">
        <v>1</v>
      </c>
      <c r="Y276" s="126">
        <v>4</v>
      </c>
      <c r="Z276" s="126">
        <v>6</v>
      </c>
      <c r="AA276" s="126">
        <v>2026</v>
      </c>
      <c r="AB276" s="126">
        <v>1</v>
      </c>
    </row>
    <row r="277" spans="3:28" ht="21.95" customHeight="1">
      <c r="C277" s="126">
        <v>270</v>
      </c>
      <c r="D277" s="126">
        <v>75</v>
      </c>
      <c r="F277" s="126" t="s">
        <v>1770</v>
      </c>
      <c r="G277" s="126" t="s">
        <v>1799</v>
      </c>
      <c r="H277" s="162">
        <v>46198</v>
      </c>
      <c r="I277" s="126">
        <v>1</v>
      </c>
      <c r="J277" s="141" t="s">
        <v>647</v>
      </c>
      <c r="K277" s="159" t="s">
        <v>648</v>
      </c>
      <c r="L277" s="126">
        <v>6</v>
      </c>
      <c r="M277" s="126">
        <v>0</v>
      </c>
      <c r="N277" s="159" t="s">
        <v>545</v>
      </c>
      <c r="O277" s="126">
        <v>1</v>
      </c>
      <c r="S277" s="204">
        <v>0.15</v>
      </c>
      <c r="T277" s="204">
        <v>0.38</v>
      </c>
      <c r="U277" s="204">
        <v>2.25</v>
      </c>
      <c r="Y277" s="126">
        <v>4</v>
      </c>
      <c r="Z277" s="126">
        <v>6</v>
      </c>
      <c r="AA277" s="126">
        <v>2026</v>
      </c>
      <c r="AB277" s="126">
        <v>1</v>
      </c>
    </row>
    <row r="278" spans="3:28" ht="21.95" customHeight="1">
      <c r="C278" s="126">
        <v>271</v>
      </c>
      <c r="D278" s="126">
        <v>75</v>
      </c>
      <c r="F278" s="126" t="s">
        <v>1770</v>
      </c>
      <c r="G278" s="126" t="s">
        <v>1799</v>
      </c>
      <c r="H278" s="162">
        <v>46198</v>
      </c>
      <c r="I278" s="126">
        <v>1</v>
      </c>
      <c r="J278" s="141" t="s">
        <v>975</v>
      </c>
      <c r="K278" s="159" t="s">
        <v>976</v>
      </c>
      <c r="L278" s="126">
        <v>6</v>
      </c>
      <c r="M278" s="126">
        <v>0</v>
      </c>
      <c r="N278" s="159" t="s">
        <v>545</v>
      </c>
      <c r="O278" s="126">
        <v>1</v>
      </c>
      <c r="S278" s="204">
        <v>0.24</v>
      </c>
      <c r="T278" s="204">
        <v>0.5</v>
      </c>
      <c r="U278" s="204">
        <v>3</v>
      </c>
      <c r="Y278" s="126">
        <v>4</v>
      </c>
      <c r="Z278" s="126">
        <v>6</v>
      </c>
      <c r="AA278" s="126">
        <v>2026</v>
      </c>
      <c r="AB278" s="126">
        <v>1</v>
      </c>
    </row>
    <row r="279" spans="3:28" ht="21.95" customHeight="1">
      <c r="C279" s="126">
        <v>272</v>
      </c>
      <c r="D279" s="126">
        <v>75</v>
      </c>
      <c r="F279" s="126" t="s">
        <v>1770</v>
      </c>
      <c r="G279" s="126" t="s">
        <v>1799</v>
      </c>
      <c r="H279" s="162">
        <v>46198</v>
      </c>
      <c r="I279" s="126">
        <v>1</v>
      </c>
      <c r="J279" s="141" t="s">
        <v>803</v>
      </c>
      <c r="K279" s="159" t="s">
        <v>804</v>
      </c>
      <c r="L279" s="126">
        <v>6</v>
      </c>
      <c r="M279" s="126">
        <v>0</v>
      </c>
      <c r="N279" s="159" t="s">
        <v>545</v>
      </c>
      <c r="O279" s="126">
        <v>1</v>
      </c>
      <c r="S279" s="204">
        <v>0.12</v>
      </c>
      <c r="T279" s="204">
        <v>0.25</v>
      </c>
      <c r="U279" s="204">
        <v>1.5</v>
      </c>
      <c r="Y279" s="126">
        <v>4</v>
      </c>
      <c r="Z279" s="126">
        <v>6</v>
      </c>
      <c r="AA279" s="126">
        <v>2026</v>
      </c>
      <c r="AB279" s="126">
        <v>1</v>
      </c>
    </row>
    <row r="280" spans="3:28" ht="21.95" customHeight="1">
      <c r="C280" s="126">
        <v>273</v>
      </c>
      <c r="D280" s="126">
        <v>75</v>
      </c>
      <c r="F280" s="126" t="s">
        <v>1770</v>
      </c>
      <c r="G280" s="126" t="s">
        <v>1799</v>
      </c>
      <c r="H280" s="162">
        <v>46198</v>
      </c>
      <c r="I280" s="126">
        <v>1</v>
      </c>
      <c r="J280" s="141" t="s">
        <v>1813</v>
      </c>
      <c r="K280" s="159" t="s">
        <v>1814</v>
      </c>
      <c r="L280" s="126">
        <v>7</v>
      </c>
      <c r="M280" s="126">
        <v>0</v>
      </c>
      <c r="N280" s="159" t="s">
        <v>545</v>
      </c>
      <c r="O280" s="126">
        <v>1</v>
      </c>
      <c r="S280" s="204">
        <v>1.1499999999999999</v>
      </c>
      <c r="T280" s="204">
        <v>1.5</v>
      </c>
      <c r="U280" s="204">
        <v>10.5</v>
      </c>
      <c r="Y280" s="126">
        <v>4</v>
      </c>
      <c r="Z280" s="126">
        <v>6</v>
      </c>
      <c r="AA280" s="126">
        <v>2026</v>
      </c>
      <c r="AB280" s="126">
        <v>1</v>
      </c>
    </row>
    <row r="281" spans="3:28" ht="21.95" customHeight="1">
      <c r="C281" s="126">
        <v>274</v>
      </c>
      <c r="D281" s="126">
        <v>75</v>
      </c>
      <c r="F281" s="126" t="s">
        <v>1770</v>
      </c>
      <c r="G281" s="126" t="s">
        <v>1799</v>
      </c>
      <c r="H281" s="162">
        <v>46198</v>
      </c>
      <c r="I281" s="126">
        <v>1</v>
      </c>
      <c r="J281" s="141" t="s">
        <v>1125</v>
      </c>
      <c r="K281" s="159" t="s">
        <v>1126</v>
      </c>
      <c r="L281" s="126">
        <v>2</v>
      </c>
      <c r="M281" s="126">
        <v>0</v>
      </c>
      <c r="N281" s="159" t="s">
        <v>545</v>
      </c>
      <c r="O281" s="126">
        <v>1</v>
      </c>
      <c r="S281" s="204">
        <v>1.32</v>
      </c>
      <c r="T281" s="204">
        <v>1.88</v>
      </c>
      <c r="U281" s="204">
        <v>3.75</v>
      </c>
      <c r="Y281" s="126">
        <v>4</v>
      </c>
      <c r="Z281" s="126">
        <v>6</v>
      </c>
      <c r="AA281" s="126">
        <v>2026</v>
      </c>
      <c r="AB281" s="126">
        <v>1</v>
      </c>
    </row>
    <row r="282" spans="3:28" ht="21.95" customHeight="1">
      <c r="C282" s="126">
        <v>275</v>
      </c>
      <c r="D282" s="126">
        <v>75</v>
      </c>
      <c r="F282" s="126" t="s">
        <v>1770</v>
      </c>
      <c r="G282" s="126" t="s">
        <v>1799</v>
      </c>
      <c r="H282" s="162">
        <v>46198</v>
      </c>
      <c r="I282" s="126">
        <v>1</v>
      </c>
      <c r="J282" s="141" t="s">
        <v>1381</v>
      </c>
      <c r="K282" s="159" t="s">
        <v>1382</v>
      </c>
      <c r="L282" s="126">
        <v>1</v>
      </c>
      <c r="M282" s="126">
        <v>0</v>
      </c>
      <c r="N282" s="159" t="s">
        <v>545</v>
      </c>
      <c r="O282" s="126">
        <v>1</v>
      </c>
      <c r="S282" s="204">
        <v>0.13</v>
      </c>
      <c r="T282" s="204">
        <v>0.25</v>
      </c>
      <c r="U282" s="204">
        <v>0.25</v>
      </c>
      <c r="Y282" s="126">
        <v>4</v>
      </c>
      <c r="Z282" s="126">
        <v>6</v>
      </c>
      <c r="AA282" s="126">
        <v>2026</v>
      </c>
      <c r="AB282" s="126">
        <v>1</v>
      </c>
    </row>
    <row r="283" spans="3:28" ht="21.95" customHeight="1">
      <c r="C283" s="126">
        <v>276</v>
      </c>
      <c r="D283" s="126">
        <v>75</v>
      </c>
      <c r="F283" s="126" t="s">
        <v>1770</v>
      </c>
      <c r="G283" s="126" t="s">
        <v>1799</v>
      </c>
      <c r="H283" s="162">
        <v>46198</v>
      </c>
      <c r="I283" s="126">
        <v>1</v>
      </c>
      <c r="J283" s="141" t="s">
        <v>1203</v>
      </c>
      <c r="K283" s="159" t="s">
        <v>1204</v>
      </c>
      <c r="L283" s="126">
        <v>1</v>
      </c>
      <c r="M283" s="126">
        <v>0</v>
      </c>
      <c r="N283" s="159" t="s">
        <v>545</v>
      </c>
      <c r="O283" s="126">
        <v>1</v>
      </c>
      <c r="S283" s="204">
        <v>0.55000000000000004</v>
      </c>
      <c r="T283" s="204">
        <v>0.75</v>
      </c>
      <c r="U283" s="204">
        <v>0.75</v>
      </c>
      <c r="Y283" s="126">
        <v>4</v>
      </c>
      <c r="Z283" s="126">
        <v>6</v>
      </c>
      <c r="AA283" s="126">
        <v>2026</v>
      </c>
      <c r="AB283" s="126">
        <v>1</v>
      </c>
    </row>
    <row r="284" spans="3:28" ht="21.95" customHeight="1">
      <c r="C284" s="126">
        <v>277</v>
      </c>
      <c r="D284" s="126">
        <v>76</v>
      </c>
      <c r="F284" s="126" t="s">
        <v>1770</v>
      </c>
      <c r="G284" s="126" t="s">
        <v>1827</v>
      </c>
      <c r="H284" s="162">
        <v>46198</v>
      </c>
      <c r="I284" s="126">
        <v>1</v>
      </c>
      <c r="J284" s="141" t="s">
        <v>647</v>
      </c>
      <c r="K284" s="159" t="s">
        <v>648</v>
      </c>
      <c r="L284" s="126">
        <v>2</v>
      </c>
      <c r="M284" s="126">
        <v>0</v>
      </c>
      <c r="N284" s="159" t="s">
        <v>545</v>
      </c>
      <c r="O284" s="126">
        <v>1</v>
      </c>
      <c r="S284" s="204">
        <v>0.15</v>
      </c>
      <c r="T284" s="204">
        <v>0.38</v>
      </c>
      <c r="U284" s="204">
        <v>0.75</v>
      </c>
      <c r="Y284" s="126">
        <v>4</v>
      </c>
      <c r="Z284" s="126">
        <v>6</v>
      </c>
      <c r="AA284" s="126">
        <v>2026</v>
      </c>
      <c r="AB284" s="126">
        <v>1</v>
      </c>
    </row>
    <row r="285" spans="3:28" ht="21.95" customHeight="1">
      <c r="C285" s="126">
        <v>278</v>
      </c>
      <c r="D285" s="126">
        <v>76</v>
      </c>
      <c r="F285" s="126" t="s">
        <v>1770</v>
      </c>
      <c r="G285" s="126" t="s">
        <v>1827</v>
      </c>
      <c r="H285" s="162">
        <v>46198</v>
      </c>
      <c r="I285" s="126">
        <v>1</v>
      </c>
      <c r="J285" s="141" t="s">
        <v>808</v>
      </c>
      <c r="K285" s="159" t="s">
        <v>809</v>
      </c>
      <c r="L285" s="126">
        <v>2</v>
      </c>
      <c r="M285" s="126">
        <v>0</v>
      </c>
      <c r="N285" s="159" t="s">
        <v>545</v>
      </c>
      <c r="O285" s="126">
        <v>1</v>
      </c>
      <c r="S285" s="204">
        <v>0.53</v>
      </c>
      <c r="T285" s="204">
        <v>1.5</v>
      </c>
      <c r="U285" s="204">
        <v>3</v>
      </c>
      <c r="Y285" s="126">
        <v>4</v>
      </c>
      <c r="Z285" s="126">
        <v>6</v>
      </c>
      <c r="AA285" s="126">
        <v>2026</v>
      </c>
      <c r="AB285" s="126">
        <v>1</v>
      </c>
    </row>
    <row r="286" spans="3:28" ht="21.95" customHeight="1">
      <c r="C286" s="126">
        <v>279</v>
      </c>
      <c r="D286" s="126">
        <v>76</v>
      </c>
      <c r="F286" s="126" t="s">
        <v>1770</v>
      </c>
      <c r="G286" s="126" t="s">
        <v>1827</v>
      </c>
      <c r="H286" s="162">
        <v>46198</v>
      </c>
      <c r="I286" s="126">
        <v>1</v>
      </c>
      <c r="J286" s="141" t="s">
        <v>1242</v>
      </c>
      <c r="K286" s="159" t="s">
        <v>1243</v>
      </c>
      <c r="L286" s="126">
        <v>2</v>
      </c>
      <c r="M286" s="126">
        <v>0</v>
      </c>
      <c r="N286" s="159" t="s">
        <v>545</v>
      </c>
      <c r="O286" s="126">
        <v>1</v>
      </c>
      <c r="S286" s="204">
        <v>0.53</v>
      </c>
      <c r="T286" s="204">
        <v>1</v>
      </c>
      <c r="U286" s="204">
        <v>2</v>
      </c>
      <c r="Y286" s="126">
        <v>4</v>
      </c>
      <c r="Z286" s="126">
        <v>6</v>
      </c>
      <c r="AA286" s="126">
        <v>2026</v>
      </c>
      <c r="AB286" s="126">
        <v>1</v>
      </c>
    </row>
    <row r="287" spans="3:28" ht="21.95" customHeight="1">
      <c r="C287" s="126">
        <v>280</v>
      </c>
      <c r="D287" s="126">
        <v>76</v>
      </c>
      <c r="F287" s="126" t="s">
        <v>1770</v>
      </c>
      <c r="G287" s="126" t="s">
        <v>1827</v>
      </c>
      <c r="H287" s="162">
        <v>46198</v>
      </c>
      <c r="I287" s="126">
        <v>1</v>
      </c>
      <c r="J287" s="141" t="s">
        <v>752</v>
      </c>
      <c r="K287" s="159" t="s">
        <v>753</v>
      </c>
      <c r="L287" s="126">
        <v>5</v>
      </c>
      <c r="M287" s="126">
        <v>0</v>
      </c>
      <c r="N287" s="159" t="s">
        <v>794</v>
      </c>
      <c r="O287" s="126">
        <v>20</v>
      </c>
      <c r="S287" s="204">
        <v>4.1500000000000004</v>
      </c>
      <c r="T287" s="204">
        <v>4.5</v>
      </c>
      <c r="U287" s="204">
        <v>22.5</v>
      </c>
      <c r="Y287" s="126">
        <v>4</v>
      </c>
      <c r="Z287" s="126">
        <v>6</v>
      </c>
      <c r="AA287" s="126">
        <v>2026</v>
      </c>
      <c r="AB287" s="126">
        <v>1</v>
      </c>
    </row>
    <row r="288" spans="3:28" ht="21.95" customHeight="1">
      <c r="C288" s="126">
        <v>281</v>
      </c>
      <c r="D288" s="126">
        <v>76</v>
      </c>
      <c r="F288" s="126" t="s">
        <v>1770</v>
      </c>
      <c r="G288" s="126" t="s">
        <v>1827</v>
      </c>
      <c r="H288" s="162">
        <v>46198</v>
      </c>
      <c r="I288" s="126">
        <v>1</v>
      </c>
      <c r="J288" s="141" t="s">
        <v>1009</v>
      </c>
      <c r="K288" s="159" t="s">
        <v>1010</v>
      </c>
      <c r="L288" s="126">
        <v>1</v>
      </c>
      <c r="M288" s="126">
        <v>0</v>
      </c>
      <c r="N288" s="159" t="s">
        <v>545</v>
      </c>
      <c r="O288" s="126">
        <v>1</v>
      </c>
      <c r="S288" s="204">
        <v>2.7</v>
      </c>
      <c r="T288" s="204">
        <v>3</v>
      </c>
      <c r="U288" s="204">
        <v>3</v>
      </c>
      <c r="Y288" s="126">
        <v>4</v>
      </c>
      <c r="Z288" s="126">
        <v>6</v>
      </c>
      <c r="AA288" s="126">
        <v>2026</v>
      </c>
      <c r="AB288" s="126">
        <v>1</v>
      </c>
    </row>
    <row r="289" spans="3:28" ht="21.95" customHeight="1">
      <c r="C289" s="126">
        <v>282</v>
      </c>
      <c r="D289" s="126">
        <v>76</v>
      </c>
      <c r="F289" s="126" t="s">
        <v>1770</v>
      </c>
      <c r="G289" s="126" t="s">
        <v>1827</v>
      </c>
      <c r="H289" s="162">
        <v>46198</v>
      </c>
      <c r="I289" s="126">
        <v>1</v>
      </c>
      <c r="J289" s="141" t="s">
        <v>696</v>
      </c>
      <c r="K289" s="159" t="s">
        <v>697</v>
      </c>
      <c r="L289" s="126">
        <v>1</v>
      </c>
      <c r="M289" s="126">
        <v>0</v>
      </c>
      <c r="N289" s="159" t="s">
        <v>545</v>
      </c>
      <c r="O289" s="126">
        <v>1</v>
      </c>
      <c r="S289" s="204">
        <v>3.3</v>
      </c>
      <c r="T289" s="204">
        <v>3.75</v>
      </c>
      <c r="U289" s="204">
        <v>3.75</v>
      </c>
      <c r="Y289" s="126">
        <v>4</v>
      </c>
      <c r="Z289" s="126">
        <v>6</v>
      </c>
      <c r="AA289" s="126">
        <v>2026</v>
      </c>
      <c r="AB289" s="126">
        <v>1</v>
      </c>
    </row>
    <row r="290" spans="3:28" ht="21.95" customHeight="1">
      <c r="C290" s="126">
        <v>283</v>
      </c>
      <c r="D290" s="126">
        <v>76</v>
      </c>
      <c r="F290" s="126" t="s">
        <v>1770</v>
      </c>
      <c r="G290" s="126" t="s">
        <v>1827</v>
      </c>
      <c r="H290" s="162">
        <v>46198</v>
      </c>
      <c r="I290" s="126">
        <v>1</v>
      </c>
      <c r="J290" s="141" t="s">
        <v>1203</v>
      </c>
      <c r="K290" s="159" t="s">
        <v>1204</v>
      </c>
      <c r="L290" s="126">
        <v>2</v>
      </c>
      <c r="M290" s="126">
        <v>0</v>
      </c>
      <c r="N290" s="159" t="s">
        <v>545</v>
      </c>
      <c r="O290" s="126">
        <v>1</v>
      </c>
      <c r="S290" s="204">
        <v>0.55000000000000004</v>
      </c>
      <c r="T290" s="204">
        <v>0.75</v>
      </c>
      <c r="U290" s="204">
        <v>1.5</v>
      </c>
      <c r="Y290" s="126">
        <v>4</v>
      </c>
      <c r="Z290" s="126">
        <v>6</v>
      </c>
      <c r="AA290" s="126">
        <v>2026</v>
      </c>
      <c r="AB290" s="126">
        <v>1</v>
      </c>
    </row>
    <row r="291" spans="3:28" ht="21.95" customHeight="1">
      <c r="C291" s="126">
        <v>284</v>
      </c>
      <c r="D291" s="126">
        <v>76</v>
      </c>
      <c r="F291" s="126" t="s">
        <v>1770</v>
      </c>
      <c r="G291" s="126" t="s">
        <v>1827</v>
      </c>
      <c r="H291" s="162">
        <v>46198</v>
      </c>
      <c r="I291" s="126">
        <v>1</v>
      </c>
      <c r="J291" s="141" t="s">
        <v>703</v>
      </c>
      <c r="K291" s="159" t="s">
        <v>704</v>
      </c>
      <c r="L291" s="126">
        <v>2</v>
      </c>
      <c r="M291" s="126">
        <v>0</v>
      </c>
      <c r="N291" s="159" t="s">
        <v>545</v>
      </c>
      <c r="O291" s="126">
        <v>1</v>
      </c>
      <c r="S291" s="204">
        <v>1.35</v>
      </c>
      <c r="T291" s="204">
        <v>2</v>
      </c>
      <c r="U291" s="204">
        <v>4</v>
      </c>
      <c r="Y291" s="126">
        <v>4</v>
      </c>
      <c r="Z291" s="126">
        <v>6</v>
      </c>
      <c r="AA291" s="126">
        <v>2026</v>
      </c>
      <c r="AB291" s="126">
        <v>1</v>
      </c>
    </row>
    <row r="292" spans="3:28" ht="21.95" customHeight="1">
      <c r="C292" s="126">
        <v>285</v>
      </c>
      <c r="D292" s="126">
        <v>76</v>
      </c>
      <c r="F292" s="126" t="s">
        <v>1770</v>
      </c>
      <c r="G292" s="126" t="s">
        <v>1827</v>
      </c>
      <c r="H292" s="162">
        <v>46198</v>
      </c>
      <c r="I292" s="126">
        <v>1</v>
      </c>
      <c r="J292" s="141" t="s">
        <v>1523</v>
      </c>
      <c r="K292" s="159" t="s">
        <v>1524</v>
      </c>
      <c r="L292" s="126">
        <v>2</v>
      </c>
      <c r="M292" s="126">
        <v>0</v>
      </c>
      <c r="N292" s="159" t="s">
        <v>545</v>
      </c>
      <c r="O292" s="126">
        <v>1</v>
      </c>
      <c r="S292" s="204">
        <v>4.2300000000000004</v>
      </c>
      <c r="T292" s="204">
        <v>5</v>
      </c>
      <c r="U292" s="204">
        <v>10</v>
      </c>
      <c r="Y292" s="126">
        <v>4</v>
      </c>
      <c r="Z292" s="126">
        <v>6</v>
      </c>
      <c r="AA292" s="126">
        <v>2026</v>
      </c>
      <c r="AB292" s="126">
        <v>1</v>
      </c>
    </row>
    <row r="293" spans="3:28" ht="21.95" customHeight="1">
      <c r="C293" s="126">
        <v>286</v>
      </c>
      <c r="D293" s="126">
        <v>77</v>
      </c>
      <c r="F293" s="126" t="s">
        <v>1856</v>
      </c>
      <c r="G293" s="126" t="s">
        <v>1857</v>
      </c>
      <c r="H293" s="162">
        <v>46199</v>
      </c>
      <c r="I293" s="126">
        <v>1</v>
      </c>
      <c r="J293" s="141" t="s">
        <v>690</v>
      </c>
      <c r="K293" s="159" t="s">
        <v>691</v>
      </c>
      <c r="L293" s="126">
        <v>2</v>
      </c>
      <c r="M293" s="126">
        <v>0</v>
      </c>
      <c r="N293" s="159" t="s">
        <v>545</v>
      </c>
      <c r="O293" s="126">
        <v>1</v>
      </c>
      <c r="S293" s="204">
        <v>9.52</v>
      </c>
      <c r="T293" s="204">
        <v>10</v>
      </c>
      <c r="U293" s="204">
        <v>20</v>
      </c>
      <c r="Y293" s="126">
        <v>4</v>
      </c>
      <c r="Z293" s="126">
        <v>6</v>
      </c>
      <c r="AA293" s="126">
        <v>2026</v>
      </c>
      <c r="AB293" s="126">
        <v>1</v>
      </c>
    </row>
    <row r="294" spans="3:28" ht="21.95" customHeight="1">
      <c r="C294" s="126">
        <v>287</v>
      </c>
      <c r="D294" s="126">
        <v>77</v>
      </c>
      <c r="F294" s="126" t="s">
        <v>1856</v>
      </c>
      <c r="G294" s="126" t="s">
        <v>1857</v>
      </c>
      <c r="H294" s="162">
        <v>46199</v>
      </c>
      <c r="I294" s="126">
        <v>1</v>
      </c>
      <c r="J294" s="141" t="s">
        <v>1813</v>
      </c>
      <c r="K294" s="159" t="s">
        <v>1814</v>
      </c>
      <c r="L294" s="126">
        <v>8</v>
      </c>
      <c r="M294" s="126">
        <v>0</v>
      </c>
      <c r="N294" s="159" t="s">
        <v>545</v>
      </c>
      <c r="O294" s="126">
        <v>1</v>
      </c>
      <c r="S294" s="204">
        <v>1.1499999999999999</v>
      </c>
      <c r="T294" s="204">
        <v>2</v>
      </c>
      <c r="U294" s="204">
        <v>16</v>
      </c>
      <c r="Y294" s="126">
        <v>4</v>
      </c>
      <c r="Z294" s="126">
        <v>6</v>
      </c>
      <c r="AA294" s="126">
        <v>2026</v>
      </c>
      <c r="AB294" s="126">
        <v>1</v>
      </c>
    </row>
    <row r="295" spans="3:28" ht="21.95" customHeight="1">
      <c r="C295" s="126">
        <v>288</v>
      </c>
      <c r="D295" s="126">
        <v>77</v>
      </c>
      <c r="F295" s="126" t="s">
        <v>1856</v>
      </c>
      <c r="G295" s="126" t="s">
        <v>1857</v>
      </c>
      <c r="H295" s="162">
        <v>46199</v>
      </c>
      <c r="I295" s="126">
        <v>1</v>
      </c>
      <c r="J295" s="141" t="s">
        <v>803</v>
      </c>
      <c r="K295" s="159" t="s">
        <v>804</v>
      </c>
      <c r="L295" s="126">
        <v>5</v>
      </c>
      <c r="M295" s="126">
        <v>0</v>
      </c>
      <c r="N295" s="159" t="s">
        <v>545</v>
      </c>
      <c r="O295" s="126">
        <v>1</v>
      </c>
      <c r="S295" s="204">
        <v>0.12</v>
      </c>
      <c r="T295" s="204">
        <v>0.25</v>
      </c>
      <c r="U295" s="204">
        <v>1.25</v>
      </c>
      <c r="Y295" s="126">
        <v>4</v>
      </c>
      <c r="Z295" s="126">
        <v>6</v>
      </c>
      <c r="AA295" s="126">
        <v>2026</v>
      </c>
      <c r="AB295" s="126">
        <v>1</v>
      </c>
    </row>
    <row r="296" spans="3:28" ht="21.95" customHeight="1">
      <c r="C296" s="126">
        <v>289</v>
      </c>
      <c r="D296" s="126">
        <v>77</v>
      </c>
      <c r="F296" s="126" t="s">
        <v>1856</v>
      </c>
      <c r="G296" s="126" t="s">
        <v>1857</v>
      </c>
      <c r="H296" s="162">
        <v>46199</v>
      </c>
      <c r="I296" s="126">
        <v>1</v>
      </c>
      <c r="J296" s="141" t="s">
        <v>813</v>
      </c>
      <c r="K296" s="159" t="s">
        <v>814</v>
      </c>
      <c r="L296" s="126">
        <v>2</v>
      </c>
      <c r="M296" s="126">
        <v>0</v>
      </c>
      <c r="N296" s="159" t="s">
        <v>545</v>
      </c>
      <c r="O296" s="126">
        <v>1</v>
      </c>
      <c r="S296" s="204">
        <v>0.28000000000000003</v>
      </c>
      <c r="T296" s="204">
        <v>0.38</v>
      </c>
      <c r="U296" s="204">
        <v>0.75</v>
      </c>
      <c r="Y296" s="126">
        <v>4</v>
      </c>
      <c r="Z296" s="126">
        <v>6</v>
      </c>
      <c r="AA296" s="126">
        <v>2026</v>
      </c>
      <c r="AB296" s="126">
        <v>1</v>
      </c>
    </row>
    <row r="297" spans="3:28" ht="21.95" customHeight="1">
      <c r="C297" s="126">
        <v>290</v>
      </c>
      <c r="D297" s="126">
        <v>77</v>
      </c>
      <c r="F297" s="126" t="s">
        <v>1856</v>
      </c>
      <c r="G297" s="126" t="s">
        <v>1857</v>
      </c>
      <c r="H297" s="162">
        <v>46199</v>
      </c>
      <c r="I297" s="126">
        <v>1</v>
      </c>
      <c r="J297" s="141" t="s">
        <v>1216</v>
      </c>
      <c r="K297" s="159" t="s">
        <v>1217</v>
      </c>
      <c r="L297" s="126">
        <v>2</v>
      </c>
      <c r="M297" s="126">
        <v>0</v>
      </c>
      <c r="N297" s="159" t="s">
        <v>545</v>
      </c>
      <c r="O297" s="126">
        <v>1</v>
      </c>
      <c r="S297" s="204">
        <v>0.41</v>
      </c>
      <c r="T297" s="204">
        <v>0.75</v>
      </c>
      <c r="U297" s="204">
        <v>1.5</v>
      </c>
      <c r="Y297" s="126">
        <v>4</v>
      </c>
      <c r="Z297" s="126">
        <v>6</v>
      </c>
      <c r="AA297" s="126">
        <v>2026</v>
      </c>
      <c r="AB297" s="126">
        <v>1</v>
      </c>
    </row>
    <row r="298" spans="3:28" ht="21.95" customHeight="1">
      <c r="C298" s="126">
        <v>291</v>
      </c>
      <c r="D298" s="126">
        <v>78</v>
      </c>
      <c r="F298" s="126" t="s">
        <v>1856</v>
      </c>
      <c r="G298" s="126" t="s">
        <v>1874</v>
      </c>
      <c r="H298" s="162">
        <v>46199</v>
      </c>
      <c r="I298" s="126">
        <v>1</v>
      </c>
      <c r="J298" s="141" t="s">
        <v>752</v>
      </c>
      <c r="K298" s="159" t="s">
        <v>753</v>
      </c>
      <c r="L298" s="126">
        <v>10</v>
      </c>
      <c r="M298" s="126">
        <v>0</v>
      </c>
      <c r="N298" s="159" t="s">
        <v>794</v>
      </c>
      <c r="O298" s="126">
        <v>20</v>
      </c>
      <c r="S298" s="204">
        <v>4.1500000000000004</v>
      </c>
      <c r="T298" s="204">
        <v>4.5</v>
      </c>
      <c r="U298" s="204">
        <v>45</v>
      </c>
      <c r="Y298" s="126">
        <v>4</v>
      </c>
      <c r="Z298" s="126">
        <v>6</v>
      </c>
      <c r="AA298" s="126">
        <v>2026</v>
      </c>
      <c r="AB298" s="126">
        <v>1</v>
      </c>
    </row>
    <row r="299" spans="3:28" ht="21.95" customHeight="1">
      <c r="C299" s="126">
        <v>292</v>
      </c>
      <c r="D299" s="126">
        <v>79</v>
      </c>
      <c r="F299" s="126" t="s">
        <v>1856</v>
      </c>
      <c r="G299" s="126" t="s">
        <v>1879</v>
      </c>
      <c r="H299" s="162">
        <v>46199</v>
      </c>
      <c r="I299" s="126">
        <v>1</v>
      </c>
      <c r="J299" s="141" t="s">
        <v>752</v>
      </c>
      <c r="K299" s="159" t="s">
        <v>753</v>
      </c>
      <c r="L299" s="126">
        <v>5</v>
      </c>
      <c r="M299" s="126">
        <v>0</v>
      </c>
      <c r="N299" s="159" t="s">
        <v>794</v>
      </c>
      <c r="O299" s="126">
        <v>20</v>
      </c>
      <c r="S299" s="204">
        <v>4.1500000000000004</v>
      </c>
      <c r="T299" s="204">
        <v>4.5</v>
      </c>
      <c r="U299" s="204">
        <v>22.5</v>
      </c>
      <c r="Y299" s="126">
        <v>4</v>
      </c>
      <c r="Z299" s="126">
        <v>6</v>
      </c>
      <c r="AA299" s="126">
        <v>2026</v>
      </c>
      <c r="AB299" s="126">
        <v>1</v>
      </c>
    </row>
    <row r="300" spans="3:28" ht="21.95" customHeight="1">
      <c r="C300" s="126">
        <v>293</v>
      </c>
      <c r="D300" s="126">
        <v>79</v>
      </c>
      <c r="F300" s="126" t="s">
        <v>1856</v>
      </c>
      <c r="G300" s="126" t="s">
        <v>1879</v>
      </c>
      <c r="H300" s="162">
        <v>46199</v>
      </c>
      <c r="I300" s="126">
        <v>1</v>
      </c>
      <c r="J300" s="141" t="s">
        <v>1009</v>
      </c>
      <c r="K300" s="159" t="s">
        <v>1010</v>
      </c>
      <c r="L300" s="126">
        <v>5</v>
      </c>
      <c r="M300" s="126">
        <v>0</v>
      </c>
      <c r="N300" s="159" t="s">
        <v>545</v>
      </c>
      <c r="O300" s="126">
        <v>1</v>
      </c>
      <c r="S300" s="204">
        <v>2.7</v>
      </c>
      <c r="T300" s="204">
        <v>3</v>
      </c>
      <c r="U300" s="204">
        <v>15</v>
      </c>
      <c r="Y300" s="126">
        <v>4</v>
      </c>
      <c r="Z300" s="126">
        <v>6</v>
      </c>
      <c r="AA300" s="126">
        <v>2026</v>
      </c>
      <c r="AB300" s="126">
        <v>1</v>
      </c>
    </row>
    <row r="301" spans="3:28" ht="21.95" customHeight="1">
      <c r="C301" s="126">
        <v>294</v>
      </c>
      <c r="D301" s="126">
        <v>79</v>
      </c>
      <c r="F301" s="126" t="s">
        <v>1856</v>
      </c>
      <c r="G301" s="126" t="s">
        <v>1879</v>
      </c>
      <c r="H301" s="162">
        <v>46199</v>
      </c>
      <c r="I301" s="126">
        <v>1</v>
      </c>
      <c r="J301" s="141" t="s">
        <v>1523</v>
      </c>
      <c r="K301" s="159" t="s">
        <v>1524</v>
      </c>
      <c r="L301" s="126">
        <v>4</v>
      </c>
      <c r="M301" s="126">
        <v>0</v>
      </c>
      <c r="N301" s="159" t="s">
        <v>545</v>
      </c>
      <c r="O301" s="126">
        <v>1</v>
      </c>
      <c r="S301" s="204">
        <v>4.2300000000000004</v>
      </c>
      <c r="T301" s="204">
        <v>5</v>
      </c>
      <c r="U301" s="204">
        <v>20</v>
      </c>
      <c r="Y301" s="126">
        <v>4</v>
      </c>
      <c r="Z301" s="126">
        <v>6</v>
      </c>
      <c r="AA301" s="126">
        <v>2026</v>
      </c>
      <c r="AB301" s="126">
        <v>1</v>
      </c>
    </row>
    <row r="302" spans="3:28" ht="21.95" customHeight="1">
      <c r="C302" s="126">
        <v>295</v>
      </c>
      <c r="D302" s="126">
        <v>80</v>
      </c>
      <c r="F302" s="126" t="s">
        <v>1890</v>
      </c>
      <c r="G302" s="126" t="s">
        <v>1891</v>
      </c>
      <c r="H302" s="162">
        <v>46200</v>
      </c>
      <c r="I302" s="126">
        <v>1</v>
      </c>
      <c r="J302" s="141" t="s">
        <v>1339</v>
      </c>
      <c r="K302" s="159" t="s">
        <v>1340</v>
      </c>
      <c r="L302" s="126">
        <v>9</v>
      </c>
      <c r="M302" s="126">
        <v>0</v>
      </c>
      <c r="N302" s="159" t="s">
        <v>545</v>
      </c>
      <c r="O302" s="126">
        <v>1</v>
      </c>
      <c r="S302" s="204">
        <v>4.49</v>
      </c>
      <c r="T302" s="204">
        <v>5</v>
      </c>
      <c r="U302" s="204">
        <v>45</v>
      </c>
      <c r="Y302" s="126">
        <v>4</v>
      </c>
      <c r="Z302" s="126">
        <v>6</v>
      </c>
      <c r="AA302" s="126">
        <v>2026</v>
      </c>
      <c r="AB302" s="126">
        <v>1</v>
      </c>
    </row>
    <row r="303" spans="3:28" ht="21.95" customHeight="1">
      <c r="C303" s="126">
        <v>296</v>
      </c>
      <c r="D303" s="126">
        <v>81</v>
      </c>
      <c r="F303" s="126" t="s">
        <v>1890</v>
      </c>
      <c r="G303" s="126" t="s">
        <v>1896</v>
      </c>
      <c r="H303" s="162">
        <v>46200</v>
      </c>
      <c r="I303" s="126">
        <v>1</v>
      </c>
      <c r="J303" s="141" t="s">
        <v>766</v>
      </c>
      <c r="K303" s="159" t="s">
        <v>767</v>
      </c>
      <c r="L303" s="126">
        <v>16</v>
      </c>
      <c r="M303" s="126">
        <v>0</v>
      </c>
      <c r="N303" s="159" t="s">
        <v>618</v>
      </c>
      <c r="O303" s="126">
        <v>1</v>
      </c>
      <c r="S303" s="204">
        <v>4</v>
      </c>
      <c r="T303" s="204">
        <v>4</v>
      </c>
      <c r="U303" s="204">
        <v>64</v>
      </c>
      <c r="Y303" s="126">
        <v>4</v>
      </c>
      <c r="Z303" s="126">
        <v>6</v>
      </c>
      <c r="AA303" s="126">
        <v>2026</v>
      </c>
      <c r="AB303" s="126">
        <v>1</v>
      </c>
    </row>
    <row r="304" spans="3:28" ht="21.95" customHeight="1">
      <c r="C304" s="126">
        <v>297</v>
      </c>
      <c r="D304" s="126">
        <v>81</v>
      </c>
      <c r="F304" s="126" t="s">
        <v>1890</v>
      </c>
      <c r="G304" s="126" t="s">
        <v>1896</v>
      </c>
      <c r="H304" s="162">
        <v>46200</v>
      </c>
      <c r="I304" s="126">
        <v>1</v>
      </c>
      <c r="J304" s="141" t="s">
        <v>761</v>
      </c>
      <c r="K304" s="159" t="s">
        <v>762</v>
      </c>
      <c r="L304" s="126">
        <v>10</v>
      </c>
      <c r="M304" s="126">
        <v>0</v>
      </c>
      <c r="N304" s="159" t="s">
        <v>618</v>
      </c>
      <c r="O304" s="126">
        <v>1</v>
      </c>
      <c r="S304" s="204">
        <v>1</v>
      </c>
      <c r="T304" s="204">
        <v>1.5</v>
      </c>
      <c r="U304" s="204">
        <v>15</v>
      </c>
      <c r="Y304" s="126">
        <v>4</v>
      </c>
      <c r="Z304" s="126">
        <v>6</v>
      </c>
      <c r="AA304" s="126">
        <v>2026</v>
      </c>
      <c r="AB304" s="126">
        <v>1</v>
      </c>
    </row>
    <row r="305" spans="3:28" ht="21.95" customHeight="1">
      <c r="C305" s="126">
        <v>298</v>
      </c>
      <c r="D305" s="126">
        <v>81</v>
      </c>
      <c r="F305" s="126" t="s">
        <v>1890</v>
      </c>
      <c r="G305" s="126" t="s">
        <v>1896</v>
      </c>
      <c r="H305" s="162">
        <v>46200</v>
      </c>
      <c r="I305" s="126">
        <v>1</v>
      </c>
      <c r="J305" s="141" t="s">
        <v>608</v>
      </c>
      <c r="K305" s="159" t="s">
        <v>609</v>
      </c>
      <c r="L305" s="126">
        <v>2</v>
      </c>
      <c r="M305" s="126">
        <v>0</v>
      </c>
      <c r="N305" s="159" t="s">
        <v>572</v>
      </c>
      <c r="O305" s="126">
        <v>1</v>
      </c>
      <c r="S305" s="204">
        <v>6.28</v>
      </c>
      <c r="T305" s="204">
        <v>6</v>
      </c>
      <c r="U305" s="204">
        <v>12</v>
      </c>
      <c r="Y305" s="126">
        <v>4</v>
      </c>
      <c r="Z305" s="126">
        <v>6</v>
      </c>
      <c r="AA305" s="126">
        <v>2026</v>
      </c>
      <c r="AB305" s="126">
        <v>1</v>
      </c>
    </row>
    <row r="306" spans="3:28" ht="21.95" customHeight="1">
      <c r="C306" s="126">
        <v>299</v>
      </c>
      <c r="D306" s="126">
        <v>81</v>
      </c>
      <c r="F306" s="126" t="s">
        <v>1890</v>
      </c>
      <c r="G306" s="126" t="s">
        <v>1896</v>
      </c>
      <c r="H306" s="162">
        <v>46200</v>
      </c>
      <c r="I306" s="126">
        <v>1</v>
      </c>
      <c r="J306" s="141" t="s">
        <v>699</v>
      </c>
      <c r="K306" s="159" t="s">
        <v>700</v>
      </c>
      <c r="L306" s="126">
        <v>2</v>
      </c>
      <c r="M306" s="126">
        <v>0</v>
      </c>
      <c r="N306" s="159" t="s">
        <v>545</v>
      </c>
      <c r="O306" s="126">
        <v>1</v>
      </c>
      <c r="S306" s="204">
        <v>2.1</v>
      </c>
      <c r="T306" s="204">
        <v>2.75</v>
      </c>
      <c r="U306" s="204">
        <v>5.5</v>
      </c>
      <c r="Y306" s="126">
        <v>4</v>
      </c>
      <c r="Z306" s="126">
        <v>6</v>
      </c>
      <c r="AA306" s="126">
        <v>2026</v>
      </c>
      <c r="AB306" s="126">
        <v>1</v>
      </c>
    </row>
    <row r="307" spans="3:28" ht="21.95" customHeight="1">
      <c r="C307" s="126">
        <v>300</v>
      </c>
      <c r="D307" s="126">
        <v>82</v>
      </c>
      <c r="F307" s="126" t="s">
        <v>1890</v>
      </c>
      <c r="G307" s="126" t="s">
        <v>1910</v>
      </c>
      <c r="H307" s="162">
        <v>46200</v>
      </c>
      <c r="I307" s="126">
        <v>1</v>
      </c>
      <c r="J307" s="141" t="s">
        <v>752</v>
      </c>
      <c r="K307" s="159" t="s">
        <v>753</v>
      </c>
      <c r="L307" s="126">
        <v>5</v>
      </c>
      <c r="M307" s="126">
        <v>0</v>
      </c>
      <c r="N307" s="159" t="s">
        <v>794</v>
      </c>
      <c r="O307" s="126">
        <v>20</v>
      </c>
      <c r="S307" s="204">
        <v>4.1500000000000004</v>
      </c>
      <c r="T307" s="204">
        <v>4.75</v>
      </c>
      <c r="U307" s="204">
        <v>23.75</v>
      </c>
      <c r="Y307" s="126">
        <v>4</v>
      </c>
      <c r="Z307" s="126">
        <v>6</v>
      </c>
      <c r="AA307" s="126">
        <v>2026</v>
      </c>
      <c r="AB307" s="126">
        <v>1</v>
      </c>
    </row>
    <row r="308" spans="3:28" ht="21.95" customHeight="1">
      <c r="C308" s="126">
        <v>301</v>
      </c>
      <c r="D308" s="126">
        <v>82</v>
      </c>
      <c r="F308" s="126" t="s">
        <v>1890</v>
      </c>
      <c r="G308" s="126" t="s">
        <v>1910</v>
      </c>
      <c r="H308" s="162">
        <v>46200</v>
      </c>
      <c r="I308" s="126">
        <v>1</v>
      </c>
      <c r="J308" s="141" t="s">
        <v>581</v>
      </c>
      <c r="K308" s="159" t="s">
        <v>582</v>
      </c>
      <c r="L308" s="126">
        <v>7</v>
      </c>
      <c r="M308" s="126">
        <v>0</v>
      </c>
      <c r="N308" s="159" t="s">
        <v>545</v>
      </c>
      <c r="O308" s="126">
        <v>1</v>
      </c>
      <c r="S308" s="204">
        <v>5.8</v>
      </c>
      <c r="T308" s="204">
        <v>6.25</v>
      </c>
      <c r="U308" s="204">
        <v>43.75</v>
      </c>
      <c r="Y308" s="126">
        <v>4</v>
      </c>
      <c r="Z308" s="126">
        <v>6</v>
      </c>
      <c r="AA308" s="126">
        <v>2026</v>
      </c>
      <c r="AB308" s="126">
        <v>1</v>
      </c>
    </row>
    <row r="309" spans="3:28" ht="21.95" customHeight="1">
      <c r="C309" s="126">
        <v>302</v>
      </c>
      <c r="D309" s="126">
        <v>83</v>
      </c>
      <c r="F309" s="126" t="s">
        <v>1918</v>
      </c>
      <c r="G309" s="126" t="s">
        <v>1919</v>
      </c>
      <c r="H309" s="162">
        <v>46201</v>
      </c>
      <c r="I309" s="126">
        <v>1</v>
      </c>
      <c r="J309" s="141" t="s">
        <v>752</v>
      </c>
      <c r="K309" s="159" t="s">
        <v>753</v>
      </c>
      <c r="L309" s="126">
        <v>10</v>
      </c>
      <c r="M309" s="126">
        <v>0</v>
      </c>
      <c r="N309" s="159" t="s">
        <v>794</v>
      </c>
      <c r="O309" s="126">
        <v>20</v>
      </c>
      <c r="S309" s="204">
        <v>4.1500000000000004</v>
      </c>
      <c r="T309" s="204">
        <v>4.5</v>
      </c>
      <c r="U309" s="204">
        <v>45</v>
      </c>
      <c r="Y309" s="126">
        <v>4</v>
      </c>
      <c r="Z309" s="126">
        <v>6</v>
      </c>
      <c r="AA309" s="126">
        <v>2026</v>
      </c>
      <c r="AB309" s="126">
        <v>1</v>
      </c>
    </row>
    <row r="310" spans="3:28" ht="21.95" customHeight="1">
      <c r="C310" s="126">
        <v>303</v>
      </c>
      <c r="D310" s="126">
        <v>83</v>
      </c>
      <c r="F310" s="126" t="s">
        <v>1918</v>
      </c>
      <c r="G310" s="126" t="s">
        <v>1919</v>
      </c>
      <c r="H310" s="162">
        <v>46201</v>
      </c>
      <c r="I310" s="126">
        <v>1</v>
      </c>
      <c r="J310" s="141" t="s">
        <v>1924</v>
      </c>
      <c r="K310" s="159" t="s">
        <v>1925</v>
      </c>
      <c r="L310" s="126">
        <v>1</v>
      </c>
      <c r="M310" s="126">
        <v>0</v>
      </c>
      <c r="N310" s="159" t="s">
        <v>545</v>
      </c>
      <c r="O310" s="126">
        <v>1</v>
      </c>
      <c r="S310" s="204">
        <v>6.41</v>
      </c>
      <c r="T310" s="204">
        <v>7</v>
      </c>
      <c r="U310" s="204">
        <v>7</v>
      </c>
      <c r="Y310" s="126">
        <v>4</v>
      </c>
      <c r="Z310" s="126">
        <v>6</v>
      </c>
      <c r="AA310" s="126">
        <v>2026</v>
      </c>
      <c r="AB310" s="126">
        <v>1</v>
      </c>
    </row>
    <row r="311" spans="3:28" ht="21.95" customHeight="1">
      <c r="C311" s="126">
        <v>304</v>
      </c>
      <c r="D311" s="126">
        <v>83</v>
      </c>
      <c r="F311" s="126" t="s">
        <v>1918</v>
      </c>
      <c r="G311" s="126" t="s">
        <v>1919</v>
      </c>
      <c r="H311" s="162">
        <v>46201</v>
      </c>
      <c r="I311" s="126">
        <v>1</v>
      </c>
      <c r="J311" s="141" t="s">
        <v>1929</v>
      </c>
      <c r="K311" s="159" t="s">
        <v>1930</v>
      </c>
      <c r="L311" s="126">
        <v>5</v>
      </c>
      <c r="M311" s="126">
        <v>0</v>
      </c>
      <c r="N311" s="159" t="s">
        <v>545</v>
      </c>
      <c r="O311" s="126">
        <v>1</v>
      </c>
      <c r="S311" s="204">
        <v>0.04</v>
      </c>
      <c r="T311" s="204">
        <v>0.25</v>
      </c>
      <c r="U311" s="204">
        <v>1.25</v>
      </c>
      <c r="Y311" s="126">
        <v>4</v>
      </c>
      <c r="Z311" s="126">
        <v>6</v>
      </c>
      <c r="AA311" s="126">
        <v>2026</v>
      </c>
      <c r="AB311" s="126">
        <v>1</v>
      </c>
    </row>
    <row r="312" spans="3:28" ht="21.95" customHeight="1">
      <c r="C312" s="126">
        <v>305</v>
      </c>
      <c r="D312" s="126">
        <v>84</v>
      </c>
      <c r="F312" s="126" t="s">
        <v>1918</v>
      </c>
      <c r="G312" s="126" t="s">
        <v>1934</v>
      </c>
      <c r="H312" s="162">
        <v>46201</v>
      </c>
      <c r="I312" s="126">
        <v>1</v>
      </c>
      <c r="J312" s="141" t="s">
        <v>748</v>
      </c>
      <c r="K312" s="159" t="s">
        <v>749</v>
      </c>
      <c r="L312" s="126">
        <v>1</v>
      </c>
      <c r="M312" s="126">
        <v>0</v>
      </c>
      <c r="N312" s="159" t="s">
        <v>794</v>
      </c>
      <c r="O312" s="126">
        <v>20</v>
      </c>
      <c r="S312" s="204">
        <v>4.25</v>
      </c>
      <c r="T312" s="204">
        <v>4.75</v>
      </c>
      <c r="U312" s="204">
        <v>4.75</v>
      </c>
      <c r="Y312" s="126">
        <v>4</v>
      </c>
      <c r="Z312" s="126">
        <v>6</v>
      </c>
      <c r="AA312" s="126">
        <v>2026</v>
      </c>
      <c r="AB312" s="126">
        <v>1</v>
      </c>
    </row>
    <row r="313" spans="3:28" ht="21.95" customHeight="1">
      <c r="C313" s="126">
        <v>306</v>
      </c>
      <c r="D313" s="126">
        <v>84</v>
      </c>
      <c r="F313" s="126" t="s">
        <v>1918</v>
      </c>
      <c r="G313" s="126" t="s">
        <v>1934</v>
      </c>
      <c r="H313" s="162">
        <v>46201</v>
      </c>
      <c r="I313" s="126">
        <v>1</v>
      </c>
      <c r="J313" s="141" t="s">
        <v>1216</v>
      </c>
      <c r="K313" s="159" t="s">
        <v>1217</v>
      </c>
      <c r="L313" s="126">
        <v>2</v>
      </c>
      <c r="M313" s="126">
        <v>0</v>
      </c>
      <c r="N313" s="159" t="s">
        <v>545</v>
      </c>
      <c r="O313" s="126">
        <v>1</v>
      </c>
      <c r="S313" s="204">
        <v>0.41</v>
      </c>
      <c r="T313" s="204">
        <v>0.75</v>
      </c>
      <c r="U313" s="204">
        <v>1.5</v>
      </c>
      <c r="Y313" s="126">
        <v>4</v>
      </c>
      <c r="Z313" s="126">
        <v>6</v>
      </c>
      <c r="AA313" s="126">
        <v>2026</v>
      </c>
      <c r="AB313" s="126">
        <v>1</v>
      </c>
    </row>
    <row r="314" spans="3:28" ht="21.95" customHeight="1">
      <c r="C314" s="126">
        <v>307</v>
      </c>
      <c r="D314" s="126">
        <v>84</v>
      </c>
      <c r="F314" s="126" t="s">
        <v>1918</v>
      </c>
      <c r="G314" s="126" t="s">
        <v>1934</v>
      </c>
      <c r="H314" s="162">
        <v>46201</v>
      </c>
      <c r="I314" s="126">
        <v>1</v>
      </c>
      <c r="J314" s="141" t="s">
        <v>1381</v>
      </c>
      <c r="K314" s="159" t="s">
        <v>1382</v>
      </c>
      <c r="L314" s="126">
        <v>2</v>
      </c>
      <c r="M314" s="126">
        <v>0</v>
      </c>
      <c r="N314" s="159" t="s">
        <v>545</v>
      </c>
      <c r="O314" s="126">
        <v>1</v>
      </c>
      <c r="S314" s="204">
        <v>0.13</v>
      </c>
      <c r="T314" s="204">
        <v>0.25</v>
      </c>
      <c r="U314" s="204">
        <v>0.5</v>
      </c>
      <c r="Y314" s="126">
        <v>4</v>
      </c>
      <c r="Z314" s="126">
        <v>6</v>
      </c>
      <c r="AA314" s="126">
        <v>2026</v>
      </c>
      <c r="AB314" s="126">
        <v>1</v>
      </c>
    </row>
    <row r="315" spans="3:28" ht="21.95" customHeight="1">
      <c r="C315" s="126">
        <v>308</v>
      </c>
      <c r="D315" s="126">
        <v>84</v>
      </c>
      <c r="F315" s="126" t="s">
        <v>1918</v>
      </c>
      <c r="G315" s="126" t="s">
        <v>1934</v>
      </c>
      <c r="H315" s="162">
        <v>46201</v>
      </c>
      <c r="I315" s="126">
        <v>1</v>
      </c>
      <c r="J315" s="141" t="s">
        <v>627</v>
      </c>
      <c r="K315" s="159" t="s">
        <v>628</v>
      </c>
      <c r="L315" s="126">
        <v>1</v>
      </c>
      <c r="M315" s="126">
        <v>0</v>
      </c>
      <c r="N315" s="159" t="s">
        <v>618</v>
      </c>
      <c r="O315" s="126">
        <v>1</v>
      </c>
      <c r="S315" s="204">
        <v>2</v>
      </c>
      <c r="T315" s="204">
        <v>2.5</v>
      </c>
      <c r="U315" s="204">
        <v>2.5</v>
      </c>
      <c r="Y315" s="126">
        <v>4</v>
      </c>
      <c r="Z315" s="126">
        <v>6</v>
      </c>
      <c r="AA315" s="126">
        <v>2026</v>
      </c>
      <c r="AB315" s="126">
        <v>1</v>
      </c>
    </row>
    <row r="316" spans="3:28" ht="21.95" customHeight="1">
      <c r="C316" s="126">
        <v>309</v>
      </c>
      <c r="D316" s="126">
        <v>84</v>
      </c>
      <c r="F316" s="126" t="s">
        <v>1918</v>
      </c>
      <c r="G316" s="126" t="s">
        <v>1934</v>
      </c>
      <c r="H316" s="162">
        <v>46201</v>
      </c>
      <c r="I316" s="126">
        <v>1</v>
      </c>
      <c r="J316" s="141" t="s">
        <v>591</v>
      </c>
      <c r="K316" s="159" t="s">
        <v>592</v>
      </c>
      <c r="L316" s="126">
        <v>1</v>
      </c>
      <c r="M316" s="126">
        <v>0</v>
      </c>
      <c r="N316" s="159" t="s">
        <v>545</v>
      </c>
      <c r="O316" s="126">
        <v>12</v>
      </c>
      <c r="S316" s="204">
        <v>1.1000000000000001</v>
      </c>
      <c r="T316" s="204">
        <v>1.5</v>
      </c>
      <c r="U316" s="204">
        <v>1.5</v>
      </c>
      <c r="Y316" s="126">
        <v>4</v>
      </c>
      <c r="Z316" s="126">
        <v>6</v>
      </c>
      <c r="AA316" s="126">
        <v>2026</v>
      </c>
      <c r="AB316" s="126">
        <v>1</v>
      </c>
    </row>
    <row r="317" spans="3:28" ht="21.95" customHeight="1">
      <c r="C317" s="126">
        <v>310</v>
      </c>
      <c r="D317" s="126">
        <v>84</v>
      </c>
      <c r="F317" s="126" t="s">
        <v>1918</v>
      </c>
      <c r="G317" s="126" t="s">
        <v>1934</v>
      </c>
      <c r="H317" s="162">
        <v>46201</v>
      </c>
      <c r="I317" s="126">
        <v>1</v>
      </c>
      <c r="J317" s="141" t="s">
        <v>1193</v>
      </c>
      <c r="K317" s="159" t="s">
        <v>1194</v>
      </c>
      <c r="L317" s="126">
        <v>1</v>
      </c>
      <c r="M317" s="126">
        <v>0</v>
      </c>
      <c r="N317" s="159" t="s">
        <v>545</v>
      </c>
      <c r="O317" s="126">
        <v>1</v>
      </c>
      <c r="S317" s="204">
        <v>0.5</v>
      </c>
      <c r="T317" s="204">
        <v>1</v>
      </c>
      <c r="U317" s="204">
        <v>1</v>
      </c>
      <c r="Y317" s="126">
        <v>4</v>
      </c>
      <c r="Z317" s="126">
        <v>6</v>
      </c>
      <c r="AA317" s="126">
        <v>2026</v>
      </c>
      <c r="AB317" s="126">
        <v>1</v>
      </c>
    </row>
    <row r="318" spans="3:28" ht="21.95" customHeight="1">
      <c r="C318" s="126">
        <v>311</v>
      </c>
      <c r="D318" s="126">
        <v>84</v>
      </c>
      <c r="F318" s="126" t="s">
        <v>1918</v>
      </c>
      <c r="G318" s="126" t="s">
        <v>1934</v>
      </c>
      <c r="H318" s="162">
        <v>46201</v>
      </c>
      <c r="I318" s="126">
        <v>1</v>
      </c>
      <c r="J318" s="141" t="s">
        <v>803</v>
      </c>
      <c r="K318" s="159" t="s">
        <v>804</v>
      </c>
      <c r="L318" s="126">
        <v>4</v>
      </c>
      <c r="M318" s="126">
        <v>0</v>
      </c>
      <c r="N318" s="159" t="s">
        <v>545</v>
      </c>
      <c r="O318" s="126">
        <v>1</v>
      </c>
      <c r="S318" s="204">
        <v>0.12</v>
      </c>
      <c r="T318" s="204">
        <v>0.25</v>
      </c>
      <c r="U318" s="204">
        <v>1</v>
      </c>
      <c r="Y318" s="126">
        <v>4</v>
      </c>
      <c r="Z318" s="126">
        <v>6</v>
      </c>
      <c r="AA318" s="126">
        <v>2026</v>
      </c>
      <c r="AB318" s="126">
        <v>1</v>
      </c>
    </row>
    <row r="319" spans="3:28" ht="21.95" customHeight="1">
      <c r="C319" s="126">
        <v>312</v>
      </c>
      <c r="D319" s="126">
        <v>84</v>
      </c>
      <c r="F319" s="126" t="s">
        <v>1918</v>
      </c>
      <c r="G319" s="126" t="s">
        <v>1934</v>
      </c>
      <c r="H319" s="162">
        <v>46201</v>
      </c>
      <c r="I319" s="126">
        <v>1</v>
      </c>
      <c r="J319" s="141" t="s">
        <v>798</v>
      </c>
      <c r="K319" s="159" t="s">
        <v>799</v>
      </c>
      <c r="L319" s="126">
        <v>3</v>
      </c>
      <c r="M319" s="126">
        <v>0</v>
      </c>
      <c r="N319" s="159" t="s">
        <v>545</v>
      </c>
      <c r="O319" s="126">
        <v>12</v>
      </c>
      <c r="S319" s="204">
        <v>0.34</v>
      </c>
      <c r="T319" s="204">
        <v>0.63</v>
      </c>
      <c r="U319" s="204">
        <v>1.88</v>
      </c>
      <c r="Y319" s="126">
        <v>4</v>
      </c>
      <c r="Z319" s="126">
        <v>6</v>
      </c>
      <c r="AA319" s="126">
        <v>2026</v>
      </c>
      <c r="AB319" s="126">
        <v>1</v>
      </c>
    </row>
    <row r="320" spans="3:28" ht="21.95" customHeight="1">
      <c r="C320" s="126">
        <v>313</v>
      </c>
      <c r="D320" s="126">
        <v>84</v>
      </c>
      <c r="F320" s="126" t="s">
        <v>1918</v>
      </c>
      <c r="G320" s="126" t="s">
        <v>1934</v>
      </c>
      <c r="H320" s="162">
        <v>46201</v>
      </c>
      <c r="I320" s="126">
        <v>1</v>
      </c>
      <c r="J320" s="141" t="s">
        <v>996</v>
      </c>
      <c r="K320" s="159" t="s">
        <v>997</v>
      </c>
      <c r="L320" s="126">
        <v>2</v>
      </c>
      <c r="M320" s="126">
        <v>0</v>
      </c>
      <c r="N320" s="159" t="s">
        <v>545</v>
      </c>
      <c r="O320" s="126">
        <v>50</v>
      </c>
      <c r="S320" s="204">
        <v>0.3</v>
      </c>
      <c r="T320" s="204">
        <v>0.75</v>
      </c>
      <c r="U320" s="204">
        <v>1.5</v>
      </c>
      <c r="Y320" s="126">
        <v>4</v>
      </c>
      <c r="Z320" s="126">
        <v>6</v>
      </c>
      <c r="AA320" s="126">
        <v>2026</v>
      </c>
      <c r="AB320" s="126">
        <v>1</v>
      </c>
    </row>
    <row r="321" spans="3:28" ht="21.95" customHeight="1">
      <c r="C321" s="126">
        <v>314</v>
      </c>
      <c r="D321" s="126">
        <v>84</v>
      </c>
      <c r="F321" s="126" t="s">
        <v>1918</v>
      </c>
      <c r="G321" s="126" t="s">
        <v>1934</v>
      </c>
      <c r="H321" s="162">
        <v>46201</v>
      </c>
      <c r="I321" s="126">
        <v>1</v>
      </c>
      <c r="J321" s="141" t="s">
        <v>1523</v>
      </c>
      <c r="K321" s="159" t="s">
        <v>1524</v>
      </c>
      <c r="L321" s="126">
        <v>2</v>
      </c>
      <c r="M321" s="126">
        <v>0</v>
      </c>
      <c r="N321" s="159" t="s">
        <v>545</v>
      </c>
      <c r="O321" s="126">
        <v>1</v>
      </c>
      <c r="S321" s="204">
        <v>4.2300000000000004</v>
      </c>
      <c r="T321" s="204">
        <v>5</v>
      </c>
      <c r="U321" s="204">
        <v>10</v>
      </c>
      <c r="Y321" s="126">
        <v>4</v>
      </c>
      <c r="Z321" s="126">
        <v>6</v>
      </c>
      <c r="AA321" s="126">
        <v>2026</v>
      </c>
      <c r="AB321" s="126">
        <v>1</v>
      </c>
    </row>
    <row r="322" spans="3:28" ht="21.95" customHeight="1">
      <c r="C322" s="126">
        <v>315</v>
      </c>
      <c r="D322" s="126">
        <v>84</v>
      </c>
      <c r="F322" s="126" t="s">
        <v>1918</v>
      </c>
      <c r="G322" s="126" t="s">
        <v>1934</v>
      </c>
      <c r="H322" s="162">
        <v>46201</v>
      </c>
      <c r="I322" s="126">
        <v>1</v>
      </c>
      <c r="J322" s="141" t="s">
        <v>1515</v>
      </c>
      <c r="K322" s="159" t="s">
        <v>1516</v>
      </c>
      <c r="L322" s="126">
        <v>1</v>
      </c>
      <c r="M322" s="126">
        <v>0</v>
      </c>
      <c r="N322" s="159" t="s">
        <v>545</v>
      </c>
      <c r="O322" s="126">
        <v>1</v>
      </c>
      <c r="S322" s="204">
        <v>0.66</v>
      </c>
      <c r="T322" s="204">
        <v>2</v>
      </c>
      <c r="U322" s="204">
        <v>2</v>
      </c>
      <c r="Y322" s="126">
        <v>4</v>
      </c>
      <c r="Z322" s="126">
        <v>6</v>
      </c>
      <c r="AA322" s="126">
        <v>2026</v>
      </c>
      <c r="AB322" s="126">
        <v>1</v>
      </c>
    </row>
    <row r="323" spans="3:28" ht="21.95" customHeight="1">
      <c r="C323" s="126">
        <v>316</v>
      </c>
      <c r="D323" s="126">
        <v>84</v>
      </c>
      <c r="F323" s="126" t="s">
        <v>1918</v>
      </c>
      <c r="G323" s="126" t="s">
        <v>1934</v>
      </c>
      <c r="H323" s="162">
        <v>46201</v>
      </c>
      <c r="I323" s="126">
        <v>1</v>
      </c>
      <c r="J323" s="141" t="s">
        <v>813</v>
      </c>
      <c r="K323" s="159" t="s">
        <v>814</v>
      </c>
      <c r="L323" s="126">
        <v>3</v>
      </c>
      <c r="M323" s="126">
        <v>0</v>
      </c>
      <c r="N323" s="159" t="s">
        <v>545</v>
      </c>
      <c r="O323" s="126">
        <v>1</v>
      </c>
      <c r="S323" s="204">
        <v>0.28000000000000003</v>
      </c>
      <c r="T323" s="204">
        <v>0.38</v>
      </c>
      <c r="U323" s="204">
        <v>1.1299999999999999</v>
      </c>
      <c r="Y323" s="126">
        <v>4</v>
      </c>
      <c r="Z323" s="126">
        <v>6</v>
      </c>
      <c r="AA323" s="126">
        <v>2026</v>
      </c>
      <c r="AB323" s="126">
        <v>1</v>
      </c>
    </row>
    <row r="324" spans="3:28" ht="21.95" customHeight="1">
      <c r="C324" s="126">
        <v>317</v>
      </c>
      <c r="D324" s="126">
        <v>84</v>
      </c>
      <c r="F324" s="126" t="s">
        <v>1918</v>
      </c>
      <c r="G324" s="126" t="s">
        <v>1934</v>
      </c>
      <c r="H324" s="162">
        <v>46201</v>
      </c>
      <c r="I324" s="126">
        <v>1</v>
      </c>
      <c r="J324" s="141" t="s">
        <v>1009</v>
      </c>
      <c r="K324" s="159" t="s">
        <v>1010</v>
      </c>
      <c r="L324" s="126">
        <v>1</v>
      </c>
      <c r="M324" s="126">
        <v>0</v>
      </c>
      <c r="N324" s="159" t="s">
        <v>545</v>
      </c>
      <c r="O324" s="126">
        <v>1</v>
      </c>
      <c r="S324" s="204">
        <v>2.7</v>
      </c>
      <c r="T324" s="204">
        <v>3</v>
      </c>
      <c r="U324" s="204">
        <v>3</v>
      </c>
      <c r="Y324" s="126">
        <v>4</v>
      </c>
      <c r="Z324" s="126">
        <v>6</v>
      </c>
      <c r="AA324" s="126">
        <v>2026</v>
      </c>
      <c r="AB324" s="126">
        <v>1</v>
      </c>
    </row>
    <row r="325" spans="3:28" ht="21.95" customHeight="1">
      <c r="C325" s="126">
        <v>318</v>
      </c>
      <c r="D325" s="126">
        <v>84</v>
      </c>
      <c r="F325" s="126" t="s">
        <v>1918</v>
      </c>
      <c r="G325" s="126" t="s">
        <v>1934</v>
      </c>
      <c r="H325" s="162">
        <v>46201</v>
      </c>
      <c r="I325" s="126">
        <v>1</v>
      </c>
      <c r="J325" s="141" t="s">
        <v>554</v>
      </c>
      <c r="K325" s="159" t="s">
        <v>555</v>
      </c>
      <c r="L325" s="126">
        <v>2</v>
      </c>
      <c r="M325" s="126">
        <v>0</v>
      </c>
      <c r="N325" s="159" t="s">
        <v>545</v>
      </c>
      <c r="O325" s="126">
        <v>12</v>
      </c>
      <c r="S325" s="204">
        <v>3.3</v>
      </c>
      <c r="T325" s="204">
        <v>3.75</v>
      </c>
      <c r="U325" s="204">
        <v>7.5</v>
      </c>
      <c r="Y325" s="126">
        <v>4</v>
      </c>
      <c r="Z325" s="126">
        <v>6</v>
      </c>
      <c r="AA325" s="126">
        <v>2026</v>
      </c>
      <c r="AB325" s="126">
        <v>1</v>
      </c>
    </row>
    <row r="326" spans="3:28" ht="21.95" customHeight="1">
      <c r="C326" s="126">
        <v>319</v>
      </c>
      <c r="D326" s="126">
        <v>84</v>
      </c>
      <c r="F326" s="126" t="s">
        <v>1918</v>
      </c>
      <c r="G326" s="126" t="s">
        <v>1934</v>
      </c>
      <c r="H326" s="162">
        <v>46201</v>
      </c>
      <c r="I326" s="126">
        <v>1</v>
      </c>
      <c r="J326" s="141" t="s">
        <v>761</v>
      </c>
      <c r="K326" s="159" t="s">
        <v>762</v>
      </c>
      <c r="L326" s="126">
        <v>1</v>
      </c>
      <c r="M326" s="126">
        <v>0</v>
      </c>
      <c r="N326" s="159" t="s">
        <v>618</v>
      </c>
      <c r="O326" s="126">
        <v>1</v>
      </c>
      <c r="S326" s="204">
        <v>1</v>
      </c>
      <c r="T326" s="204">
        <v>1.5</v>
      </c>
      <c r="U326" s="204">
        <v>1.5</v>
      </c>
      <c r="Y326" s="126">
        <v>4</v>
      </c>
      <c r="Z326" s="126">
        <v>6</v>
      </c>
      <c r="AA326" s="126">
        <v>2026</v>
      </c>
      <c r="AB326" s="126">
        <v>1</v>
      </c>
    </row>
    <row r="327" spans="3:28" ht="21.95" customHeight="1">
      <c r="C327" s="126">
        <v>320</v>
      </c>
      <c r="D327" s="126">
        <v>84</v>
      </c>
      <c r="F327" s="126" t="s">
        <v>1918</v>
      </c>
      <c r="G327" s="126" t="s">
        <v>1934</v>
      </c>
      <c r="H327" s="162">
        <v>46201</v>
      </c>
      <c r="I327" s="126">
        <v>1</v>
      </c>
      <c r="J327" s="141" t="s">
        <v>718</v>
      </c>
      <c r="K327" s="159" t="s">
        <v>719</v>
      </c>
      <c r="L327" s="126">
        <v>500</v>
      </c>
      <c r="M327" s="126">
        <v>0</v>
      </c>
      <c r="N327" s="159" t="s">
        <v>1321</v>
      </c>
      <c r="O327" s="126">
        <v>4500</v>
      </c>
      <c r="S327" s="204">
        <v>0</v>
      </c>
      <c r="T327" s="204">
        <v>0</v>
      </c>
      <c r="U327" s="204">
        <v>0.75</v>
      </c>
      <c r="Y327" s="126">
        <v>4</v>
      </c>
      <c r="Z327" s="126">
        <v>6</v>
      </c>
      <c r="AA327" s="126">
        <v>2026</v>
      </c>
      <c r="AB327" s="126">
        <v>1</v>
      </c>
    </row>
    <row r="328" spans="3:28" ht="21.95" customHeight="1">
      <c r="C328" s="126">
        <v>321</v>
      </c>
      <c r="D328" s="126">
        <v>84</v>
      </c>
      <c r="F328" s="126" t="s">
        <v>1918</v>
      </c>
      <c r="G328" s="126" t="s">
        <v>1934</v>
      </c>
      <c r="H328" s="162">
        <v>46201</v>
      </c>
      <c r="I328" s="126">
        <v>1</v>
      </c>
      <c r="J328" s="141" t="s">
        <v>818</v>
      </c>
      <c r="K328" s="159" t="s">
        <v>819</v>
      </c>
      <c r="L328" s="126">
        <v>1</v>
      </c>
      <c r="M328" s="126">
        <v>0</v>
      </c>
      <c r="N328" s="159" t="s">
        <v>545</v>
      </c>
      <c r="O328" s="126">
        <v>1</v>
      </c>
      <c r="S328" s="204">
        <v>1.79</v>
      </c>
      <c r="T328" s="204">
        <v>2.5</v>
      </c>
      <c r="U328" s="204">
        <v>2.5</v>
      </c>
      <c r="Y328" s="126">
        <v>4</v>
      </c>
      <c r="Z328" s="126">
        <v>6</v>
      </c>
      <c r="AA328" s="126">
        <v>2026</v>
      </c>
      <c r="AB328" s="126">
        <v>1</v>
      </c>
    </row>
    <row r="329" spans="3:28" ht="21.95" customHeight="1">
      <c r="C329" s="126">
        <v>322</v>
      </c>
      <c r="D329" s="126">
        <v>84</v>
      </c>
      <c r="F329" s="126" t="s">
        <v>1918</v>
      </c>
      <c r="G329" s="126" t="s">
        <v>1934</v>
      </c>
      <c r="H329" s="162">
        <v>46201</v>
      </c>
      <c r="I329" s="126">
        <v>1</v>
      </c>
      <c r="J329" s="141" t="s">
        <v>693</v>
      </c>
      <c r="K329" s="159" t="s">
        <v>694</v>
      </c>
      <c r="L329" s="126">
        <v>1</v>
      </c>
      <c r="M329" s="126">
        <v>0</v>
      </c>
      <c r="N329" s="159" t="s">
        <v>545</v>
      </c>
      <c r="O329" s="126">
        <v>1</v>
      </c>
      <c r="S329" s="204">
        <v>5.3</v>
      </c>
      <c r="T329" s="204">
        <v>5</v>
      </c>
      <c r="U329" s="204">
        <v>5</v>
      </c>
      <c r="Y329" s="126">
        <v>4</v>
      </c>
      <c r="Z329" s="126">
        <v>6</v>
      </c>
      <c r="AA329" s="126">
        <v>2026</v>
      </c>
      <c r="AB329" s="126">
        <v>1</v>
      </c>
    </row>
    <row r="330" spans="3:28" ht="21.95" customHeight="1">
      <c r="C330" s="126">
        <v>323</v>
      </c>
      <c r="D330" s="126">
        <v>85</v>
      </c>
      <c r="F330" s="126" t="s">
        <v>1918</v>
      </c>
      <c r="G330" s="126" t="s">
        <v>1987</v>
      </c>
      <c r="H330" s="162">
        <v>46201</v>
      </c>
      <c r="I330" s="126">
        <v>1</v>
      </c>
      <c r="J330" s="141" t="s">
        <v>677</v>
      </c>
      <c r="K330" s="159" t="s">
        <v>678</v>
      </c>
      <c r="L330" s="126">
        <v>1</v>
      </c>
      <c r="M330" s="126">
        <v>0</v>
      </c>
      <c r="N330" s="159" t="s">
        <v>545</v>
      </c>
      <c r="O330" s="126">
        <v>1</v>
      </c>
      <c r="S330" s="204">
        <v>27.34</v>
      </c>
      <c r="T330" s="204">
        <v>16</v>
      </c>
      <c r="U330" s="204">
        <v>16</v>
      </c>
      <c r="Y330" s="126">
        <v>4</v>
      </c>
      <c r="Z330" s="126">
        <v>6</v>
      </c>
      <c r="AA330" s="126">
        <v>2026</v>
      </c>
      <c r="AB330" s="126">
        <v>1</v>
      </c>
    </row>
    <row r="331" spans="3:28" ht="21.95" customHeight="1">
      <c r="C331" s="126">
        <v>324</v>
      </c>
      <c r="D331" s="126">
        <v>85</v>
      </c>
      <c r="F331" s="126" t="s">
        <v>1918</v>
      </c>
      <c r="G331" s="126" t="s">
        <v>1987</v>
      </c>
      <c r="H331" s="162">
        <v>46201</v>
      </c>
      <c r="I331" s="126">
        <v>1</v>
      </c>
      <c r="J331" s="141" t="s">
        <v>715</v>
      </c>
      <c r="K331" s="159" t="s">
        <v>716</v>
      </c>
      <c r="L331" s="126">
        <v>1</v>
      </c>
      <c r="M331" s="126">
        <v>0</v>
      </c>
      <c r="N331" s="159" t="s">
        <v>545</v>
      </c>
      <c r="O331" s="126">
        <v>1</v>
      </c>
      <c r="S331" s="204">
        <v>3.01</v>
      </c>
      <c r="T331" s="204">
        <v>3.5</v>
      </c>
      <c r="U331" s="204">
        <v>3.5</v>
      </c>
      <c r="Y331" s="126">
        <v>4</v>
      </c>
      <c r="Z331" s="126">
        <v>6</v>
      </c>
      <c r="AA331" s="126">
        <v>2026</v>
      </c>
      <c r="AB331" s="126">
        <v>1</v>
      </c>
    </row>
    <row r="332" spans="3:28" ht="21.95" customHeight="1">
      <c r="C332" s="126">
        <v>325</v>
      </c>
      <c r="D332" s="126">
        <v>85</v>
      </c>
      <c r="F332" s="126" t="s">
        <v>1918</v>
      </c>
      <c r="G332" s="126" t="s">
        <v>1987</v>
      </c>
      <c r="H332" s="162">
        <v>46201</v>
      </c>
      <c r="I332" s="126">
        <v>1</v>
      </c>
      <c r="J332" s="141" t="s">
        <v>581</v>
      </c>
      <c r="K332" s="159" t="s">
        <v>582</v>
      </c>
      <c r="L332" s="126">
        <v>1</v>
      </c>
      <c r="M332" s="126">
        <v>0</v>
      </c>
      <c r="N332" s="159" t="s">
        <v>545</v>
      </c>
      <c r="O332" s="126">
        <v>1</v>
      </c>
      <c r="S332" s="204">
        <v>5.8</v>
      </c>
      <c r="T332" s="204">
        <v>5</v>
      </c>
      <c r="U332" s="204">
        <v>5</v>
      </c>
      <c r="Y332" s="126">
        <v>4</v>
      </c>
      <c r="Z332" s="126">
        <v>6</v>
      </c>
      <c r="AA332" s="126">
        <v>2026</v>
      </c>
      <c r="AB332" s="126">
        <v>1</v>
      </c>
    </row>
    <row r="333" spans="3:28" ht="21.95" customHeight="1">
      <c r="C333" s="126">
        <v>326</v>
      </c>
      <c r="D333" s="126">
        <v>85</v>
      </c>
      <c r="F333" s="126" t="s">
        <v>1918</v>
      </c>
      <c r="G333" s="126" t="s">
        <v>1987</v>
      </c>
      <c r="H333" s="162">
        <v>46201</v>
      </c>
      <c r="I333" s="126">
        <v>1</v>
      </c>
      <c r="J333" s="141" t="s">
        <v>1193</v>
      </c>
      <c r="K333" s="159" t="s">
        <v>1194</v>
      </c>
      <c r="L333" s="126">
        <v>1</v>
      </c>
      <c r="M333" s="126">
        <v>0</v>
      </c>
      <c r="N333" s="159" t="s">
        <v>545</v>
      </c>
      <c r="O333" s="126">
        <v>1</v>
      </c>
      <c r="S333" s="204">
        <v>0.5</v>
      </c>
      <c r="T333" s="204">
        <v>1</v>
      </c>
      <c r="U333" s="204">
        <v>1</v>
      </c>
      <c r="Y333" s="126">
        <v>4</v>
      </c>
      <c r="Z333" s="126">
        <v>6</v>
      </c>
      <c r="AA333" s="126">
        <v>2026</v>
      </c>
      <c r="AB333" s="126">
        <v>1</v>
      </c>
    </row>
    <row r="334" spans="3:28" ht="21.95" customHeight="1">
      <c r="C334" s="126">
        <v>327</v>
      </c>
      <c r="D334" s="126">
        <v>85</v>
      </c>
      <c r="F334" s="126" t="s">
        <v>1918</v>
      </c>
      <c r="G334" s="126" t="s">
        <v>1987</v>
      </c>
      <c r="H334" s="162">
        <v>46201</v>
      </c>
      <c r="I334" s="126">
        <v>1</v>
      </c>
      <c r="J334" s="141" t="s">
        <v>709</v>
      </c>
      <c r="K334" s="159" t="s">
        <v>710</v>
      </c>
      <c r="L334" s="126">
        <v>10</v>
      </c>
      <c r="M334" s="126">
        <v>0</v>
      </c>
      <c r="N334" s="159" t="s">
        <v>545</v>
      </c>
      <c r="O334" s="126">
        <v>1</v>
      </c>
      <c r="S334" s="204">
        <v>5.03</v>
      </c>
      <c r="T334" s="204">
        <v>5.25</v>
      </c>
      <c r="U334" s="204">
        <v>52.5</v>
      </c>
      <c r="Y334" s="126">
        <v>4</v>
      </c>
      <c r="Z334" s="126">
        <v>6</v>
      </c>
      <c r="AA334" s="126">
        <v>2026</v>
      </c>
      <c r="AB334" s="126">
        <v>1</v>
      </c>
    </row>
    <row r="335" spans="3:28" ht="21.95" customHeight="1">
      <c r="C335" s="126">
        <v>328</v>
      </c>
      <c r="D335" s="126">
        <v>85</v>
      </c>
      <c r="F335" s="126" t="s">
        <v>1918</v>
      </c>
      <c r="G335" s="126" t="s">
        <v>1987</v>
      </c>
      <c r="H335" s="162">
        <v>46201</v>
      </c>
      <c r="I335" s="126">
        <v>1</v>
      </c>
      <c r="J335" s="141" t="s">
        <v>813</v>
      </c>
      <c r="K335" s="159" t="s">
        <v>814</v>
      </c>
      <c r="L335" s="126">
        <v>5</v>
      </c>
      <c r="M335" s="126">
        <v>0</v>
      </c>
      <c r="N335" s="159" t="s">
        <v>545</v>
      </c>
      <c r="O335" s="126">
        <v>1</v>
      </c>
      <c r="S335" s="204">
        <v>0.28000000000000003</v>
      </c>
      <c r="T335" s="204">
        <v>0.38</v>
      </c>
      <c r="U335" s="204">
        <v>1.88</v>
      </c>
      <c r="Y335" s="126">
        <v>4</v>
      </c>
      <c r="Z335" s="126">
        <v>6</v>
      </c>
      <c r="AA335" s="126">
        <v>2026</v>
      </c>
      <c r="AB335" s="126">
        <v>1</v>
      </c>
    </row>
    <row r="336" spans="3:28" ht="21.95" customHeight="1">
      <c r="C336" s="126">
        <v>329</v>
      </c>
      <c r="D336" s="126">
        <v>85</v>
      </c>
      <c r="F336" s="126" t="s">
        <v>1918</v>
      </c>
      <c r="G336" s="126" t="s">
        <v>1987</v>
      </c>
      <c r="H336" s="162">
        <v>46201</v>
      </c>
      <c r="I336" s="126">
        <v>1</v>
      </c>
      <c r="J336" s="141" t="s">
        <v>803</v>
      </c>
      <c r="K336" s="159" t="s">
        <v>804</v>
      </c>
      <c r="L336" s="126">
        <v>5</v>
      </c>
      <c r="M336" s="126">
        <v>0</v>
      </c>
      <c r="N336" s="159" t="s">
        <v>545</v>
      </c>
      <c r="O336" s="126">
        <v>1</v>
      </c>
      <c r="S336" s="204">
        <v>0.12</v>
      </c>
      <c r="T336" s="204">
        <v>0.25</v>
      </c>
      <c r="U336" s="204">
        <v>1.25</v>
      </c>
      <c r="Y336" s="126">
        <v>4</v>
      </c>
      <c r="Z336" s="126">
        <v>6</v>
      </c>
      <c r="AA336" s="126">
        <v>2026</v>
      </c>
      <c r="AB336" s="126">
        <v>1</v>
      </c>
    </row>
    <row r="337" spans="3:28" ht="21.95" customHeight="1">
      <c r="C337" s="126">
        <v>330</v>
      </c>
      <c r="D337" s="126">
        <v>85</v>
      </c>
      <c r="F337" s="126" t="s">
        <v>1918</v>
      </c>
      <c r="G337" s="126" t="s">
        <v>1987</v>
      </c>
      <c r="H337" s="162">
        <v>46201</v>
      </c>
      <c r="I337" s="126">
        <v>1</v>
      </c>
      <c r="J337" s="141" t="s">
        <v>2010</v>
      </c>
      <c r="K337" s="159" t="s">
        <v>2011</v>
      </c>
      <c r="L337" s="126">
        <v>2</v>
      </c>
      <c r="M337" s="126">
        <v>0</v>
      </c>
      <c r="N337" s="159" t="s">
        <v>545</v>
      </c>
      <c r="O337" s="126">
        <v>1</v>
      </c>
      <c r="S337" s="204">
        <v>0.11</v>
      </c>
      <c r="T337" s="204">
        <v>0.25</v>
      </c>
      <c r="U337" s="204">
        <v>0.5</v>
      </c>
      <c r="Y337" s="126">
        <v>4</v>
      </c>
      <c r="Z337" s="126">
        <v>6</v>
      </c>
      <c r="AA337" s="126">
        <v>2026</v>
      </c>
      <c r="AB337" s="126">
        <v>1</v>
      </c>
    </row>
    <row r="338" spans="3:28" ht="21.95" customHeight="1">
      <c r="C338" s="126">
        <v>331</v>
      </c>
      <c r="D338" s="126">
        <v>85</v>
      </c>
      <c r="F338" s="126" t="s">
        <v>1918</v>
      </c>
      <c r="G338" s="126" t="s">
        <v>1987</v>
      </c>
      <c r="H338" s="162">
        <v>46201</v>
      </c>
      <c r="I338" s="126">
        <v>1</v>
      </c>
      <c r="J338" s="141" t="s">
        <v>1813</v>
      </c>
      <c r="K338" s="159" t="s">
        <v>1814</v>
      </c>
      <c r="L338" s="126">
        <v>3</v>
      </c>
      <c r="M338" s="126">
        <v>0</v>
      </c>
      <c r="N338" s="159" t="s">
        <v>545</v>
      </c>
      <c r="O338" s="126">
        <v>1</v>
      </c>
      <c r="S338" s="204">
        <v>1.1499999999999999</v>
      </c>
      <c r="T338" s="204">
        <v>2.5</v>
      </c>
      <c r="U338" s="204">
        <v>7.5</v>
      </c>
      <c r="Y338" s="126">
        <v>4</v>
      </c>
      <c r="Z338" s="126">
        <v>6</v>
      </c>
      <c r="AA338" s="126">
        <v>2026</v>
      </c>
      <c r="AB338" s="126">
        <v>1</v>
      </c>
    </row>
    <row r="339" spans="3:28" ht="21.95" customHeight="1">
      <c r="C339" s="126">
        <v>332</v>
      </c>
      <c r="D339" s="126">
        <v>85</v>
      </c>
      <c r="F339" s="126" t="s">
        <v>1918</v>
      </c>
      <c r="G339" s="126" t="s">
        <v>1987</v>
      </c>
      <c r="H339" s="162">
        <v>46201</v>
      </c>
      <c r="I339" s="126">
        <v>1</v>
      </c>
      <c r="J339" s="141" t="s">
        <v>906</v>
      </c>
      <c r="K339" s="159" t="s">
        <v>907</v>
      </c>
      <c r="L339" s="126">
        <v>1</v>
      </c>
      <c r="M339" s="126">
        <v>0</v>
      </c>
      <c r="N339" s="159" t="s">
        <v>545</v>
      </c>
      <c r="O339" s="126">
        <v>1</v>
      </c>
      <c r="S339" s="204">
        <v>0.15</v>
      </c>
      <c r="T339" s="204">
        <v>0.25</v>
      </c>
      <c r="U339" s="204">
        <v>0.25</v>
      </c>
      <c r="Y339" s="126">
        <v>4</v>
      </c>
      <c r="Z339" s="126">
        <v>6</v>
      </c>
      <c r="AA339" s="126">
        <v>2026</v>
      </c>
      <c r="AB339" s="126">
        <v>1</v>
      </c>
    </row>
    <row r="340" spans="3:28" ht="21.95" customHeight="1">
      <c r="C340" s="126">
        <v>333</v>
      </c>
      <c r="D340" s="126">
        <v>85</v>
      </c>
      <c r="F340" s="126" t="s">
        <v>1918</v>
      </c>
      <c r="G340" s="126" t="s">
        <v>1987</v>
      </c>
      <c r="H340" s="162">
        <v>46201</v>
      </c>
      <c r="I340" s="126">
        <v>1</v>
      </c>
      <c r="J340" s="141" t="s">
        <v>1009</v>
      </c>
      <c r="K340" s="159" t="s">
        <v>1010</v>
      </c>
      <c r="L340" s="126">
        <v>1</v>
      </c>
      <c r="M340" s="126">
        <v>0</v>
      </c>
      <c r="N340" s="159" t="s">
        <v>545</v>
      </c>
      <c r="O340" s="126">
        <v>1</v>
      </c>
      <c r="S340" s="204">
        <v>2.7</v>
      </c>
      <c r="T340" s="204">
        <v>3</v>
      </c>
      <c r="U340" s="204">
        <v>3</v>
      </c>
      <c r="Y340" s="126">
        <v>4</v>
      </c>
      <c r="Z340" s="126">
        <v>6</v>
      </c>
      <c r="AA340" s="126">
        <v>2026</v>
      </c>
      <c r="AB340" s="126">
        <v>1</v>
      </c>
    </row>
    <row r="341" spans="3:28" ht="21.95" customHeight="1">
      <c r="C341" s="126">
        <v>334</v>
      </c>
      <c r="D341" s="126">
        <v>85</v>
      </c>
      <c r="F341" s="126" t="s">
        <v>1918</v>
      </c>
      <c r="G341" s="126" t="s">
        <v>1987</v>
      </c>
      <c r="H341" s="162">
        <v>46201</v>
      </c>
      <c r="I341" s="126">
        <v>1</v>
      </c>
      <c r="J341" s="141" t="s">
        <v>662</v>
      </c>
      <c r="K341" s="159" t="s">
        <v>663</v>
      </c>
      <c r="L341" s="126">
        <v>1</v>
      </c>
      <c r="M341" s="126">
        <v>0</v>
      </c>
      <c r="N341" s="159" t="s">
        <v>545</v>
      </c>
      <c r="O341" s="126">
        <v>1</v>
      </c>
      <c r="S341" s="204">
        <v>1.63</v>
      </c>
      <c r="T341" s="204">
        <v>2.5</v>
      </c>
      <c r="U341" s="204">
        <v>2.5</v>
      </c>
      <c r="Y341" s="126">
        <v>4</v>
      </c>
      <c r="Z341" s="126">
        <v>6</v>
      </c>
      <c r="AA341" s="126">
        <v>2026</v>
      </c>
      <c r="AB341" s="126">
        <v>1</v>
      </c>
    </row>
    <row r="342" spans="3:28" ht="21.95" customHeight="1">
      <c r="C342" s="126">
        <v>335</v>
      </c>
      <c r="D342" s="126">
        <v>85</v>
      </c>
      <c r="F342" s="126" t="s">
        <v>1918</v>
      </c>
      <c r="G342" s="126" t="s">
        <v>1987</v>
      </c>
      <c r="H342" s="162">
        <v>46201</v>
      </c>
      <c r="I342" s="126">
        <v>1</v>
      </c>
      <c r="J342" s="141" t="s">
        <v>2027</v>
      </c>
      <c r="K342" s="159" t="s">
        <v>2028</v>
      </c>
      <c r="L342" s="126">
        <v>1</v>
      </c>
      <c r="M342" s="126">
        <v>0</v>
      </c>
      <c r="N342" s="159" t="s">
        <v>2029</v>
      </c>
      <c r="O342" s="126">
        <v>1</v>
      </c>
      <c r="S342" s="204">
        <v>5</v>
      </c>
      <c r="T342" s="204">
        <v>7.5</v>
      </c>
      <c r="U342" s="204">
        <v>7.5</v>
      </c>
      <c r="Y342" s="126">
        <v>4</v>
      </c>
      <c r="Z342" s="126">
        <v>6</v>
      </c>
      <c r="AA342" s="126">
        <v>2026</v>
      </c>
      <c r="AB342" s="126">
        <v>1</v>
      </c>
    </row>
    <row r="343" spans="3:28" ht="21.95" customHeight="1">
      <c r="C343" s="126">
        <v>336</v>
      </c>
      <c r="D343" s="126">
        <v>85</v>
      </c>
      <c r="F343" s="126" t="s">
        <v>1918</v>
      </c>
      <c r="G343" s="126" t="s">
        <v>1987</v>
      </c>
      <c r="H343" s="162">
        <v>46201</v>
      </c>
      <c r="I343" s="126">
        <v>1</v>
      </c>
      <c r="J343" s="141" t="s">
        <v>2033</v>
      </c>
      <c r="K343" s="159" t="s">
        <v>2034</v>
      </c>
      <c r="L343" s="126">
        <v>1</v>
      </c>
      <c r="M343" s="126">
        <v>0</v>
      </c>
      <c r="N343" s="159" t="s">
        <v>2029</v>
      </c>
      <c r="O343" s="126">
        <v>1</v>
      </c>
      <c r="S343" s="204">
        <v>8.8000000000000007</v>
      </c>
      <c r="T343" s="204">
        <v>9.5</v>
      </c>
      <c r="U343" s="204">
        <v>9.5</v>
      </c>
      <c r="Y343" s="126">
        <v>4</v>
      </c>
      <c r="Z343" s="126">
        <v>6</v>
      </c>
      <c r="AA343" s="126">
        <v>2026</v>
      </c>
      <c r="AB343" s="126">
        <v>1</v>
      </c>
    </row>
    <row r="344" spans="3:28" ht="21.95" customHeight="1">
      <c r="C344" s="126">
        <v>337</v>
      </c>
      <c r="D344" s="126">
        <v>85</v>
      </c>
      <c r="F344" s="126" t="s">
        <v>1918</v>
      </c>
      <c r="G344" s="126" t="s">
        <v>1987</v>
      </c>
      <c r="H344" s="162">
        <v>46201</v>
      </c>
      <c r="I344" s="126">
        <v>1</v>
      </c>
      <c r="J344" s="141" t="s">
        <v>1748</v>
      </c>
      <c r="K344" s="159" t="s">
        <v>1749</v>
      </c>
      <c r="L344" s="126">
        <v>1</v>
      </c>
      <c r="M344" s="126">
        <v>0</v>
      </c>
      <c r="N344" s="159" t="s">
        <v>545</v>
      </c>
      <c r="O344" s="126">
        <v>1</v>
      </c>
      <c r="S344" s="204">
        <v>1.04</v>
      </c>
      <c r="T344" s="204">
        <v>1.5</v>
      </c>
      <c r="U344" s="204">
        <v>1.5</v>
      </c>
      <c r="Y344" s="126">
        <v>4</v>
      </c>
      <c r="Z344" s="126">
        <v>6</v>
      </c>
      <c r="AA344" s="126">
        <v>2026</v>
      </c>
      <c r="AB344" s="126">
        <v>1</v>
      </c>
    </row>
    <row r="345" spans="3:28" ht="21.95" customHeight="1">
      <c r="C345" s="126">
        <v>338</v>
      </c>
      <c r="D345" s="126">
        <v>86</v>
      </c>
      <c r="F345" s="126" t="s">
        <v>2041</v>
      </c>
      <c r="G345" s="126" t="s">
        <v>2042</v>
      </c>
      <c r="H345" s="162">
        <v>46202</v>
      </c>
      <c r="I345" s="126">
        <v>1</v>
      </c>
      <c r="J345" s="141" t="s">
        <v>748</v>
      </c>
      <c r="K345" s="159" t="s">
        <v>749</v>
      </c>
      <c r="L345" s="126">
        <v>10</v>
      </c>
      <c r="M345" s="126">
        <v>0</v>
      </c>
      <c r="N345" s="159" t="s">
        <v>794</v>
      </c>
      <c r="O345" s="126">
        <v>20</v>
      </c>
      <c r="S345" s="204">
        <v>4.25</v>
      </c>
      <c r="T345" s="204">
        <v>4.5</v>
      </c>
      <c r="U345" s="204">
        <v>45</v>
      </c>
      <c r="Y345" s="126">
        <v>4</v>
      </c>
      <c r="Z345" s="126">
        <v>6</v>
      </c>
      <c r="AA345" s="126">
        <v>2026</v>
      </c>
      <c r="AB345" s="126">
        <v>1</v>
      </c>
    </row>
    <row r="346" spans="3:28" ht="21.95" customHeight="1">
      <c r="C346" s="126">
        <v>339</v>
      </c>
      <c r="D346" s="126">
        <v>87</v>
      </c>
      <c r="F346" s="126" t="s">
        <v>2041</v>
      </c>
      <c r="G346" s="126" t="s">
        <v>2047</v>
      </c>
      <c r="H346" s="162">
        <v>46202</v>
      </c>
      <c r="I346" s="126">
        <v>1</v>
      </c>
      <c r="J346" s="141" t="s">
        <v>748</v>
      </c>
      <c r="K346" s="159" t="s">
        <v>749</v>
      </c>
      <c r="L346" s="126">
        <v>5</v>
      </c>
      <c r="M346" s="126">
        <v>0</v>
      </c>
      <c r="N346" s="159" t="s">
        <v>794</v>
      </c>
      <c r="O346" s="126">
        <v>20</v>
      </c>
      <c r="S346" s="204">
        <v>4.25</v>
      </c>
      <c r="T346" s="204">
        <v>4.5</v>
      </c>
      <c r="U346" s="204">
        <v>22.5</v>
      </c>
      <c r="Y346" s="126">
        <v>4</v>
      </c>
      <c r="Z346" s="126">
        <v>6</v>
      </c>
      <c r="AA346" s="126">
        <v>2026</v>
      </c>
      <c r="AB346" s="126">
        <v>1</v>
      </c>
    </row>
    <row r="347" spans="3:28" ht="21.95" customHeight="1">
      <c r="C347" s="126">
        <v>340</v>
      </c>
      <c r="D347" s="126">
        <v>87</v>
      </c>
      <c r="F347" s="126" t="s">
        <v>2041</v>
      </c>
      <c r="G347" s="126" t="s">
        <v>2047</v>
      </c>
      <c r="H347" s="162">
        <v>46202</v>
      </c>
      <c r="I347" s="126">
        <v>1</v>
      </c>
      <c r="J347" s="141" t="s">
        <v>735</v>
      </c>
      <c r="K347" s="159" t="s">
        <v>736</v>
      </c>
      <c r="L347" s="126">
        <v>6</v>
      </c>
      <c r="M347" s="126">
        <v>0</v>
      </c>
      <c r="N347" s="159" t="s">
        <v>669</v>
      </c>
      <c r="O347" s="126">
        <v>12</v>
      </c>
      <c r="S347" s="204">
        <v>4.41</v>
      </c>
      <c r="T347" s="204">
        <v>5</v>
      </c>
      <c r="U347" s="204">
        <v>30</v>
      </c>
      <c r="Y347" s="126">
        <v>4</v>
      </c>
      <c r="Z347" s="126">
        <v>6</v>
      </c>
      <c r="AA347" s="126">
        <v>2026</v>
      </c>
      <c r="AB347" s="126">
        <v>1</v>
      </c>
    </row>
    <row r="348" spans="3:28" ht="21.95" customHeight="1">
      <c r="C348" s="126">
        <v>341</v>
      </c>
      <c r="D348" s="126">
        <v>87</v>
      </c>
      <c r="F348" s="126" t="s">
        <v>2041</v>
      </c>
      <c r="G348" s="126" t="s">
        <v>2047</v>
      </c>
      <c r="H348" s="162">
        <v>46202</v>
      </c>
      <c r="I348" s="126">
        <v>1</v>
      </c>
      <c r="J348" s="141" t="s">
        <v>741</v>
      </c>
      <c r="K348" s="159" t="s">
        <v>742</v>
      </c>
      <c r="L348" s="126">
        <v>1</v>
      </c>
      <c r="M348" s="126">
        <v>0</v>
      </c>
      <c r="N348" s="159" t="s">
        <v>1704</v>
      </c>
      <c r="O348" s="126">
        <v>1</v>
      </c>
      <c r="S348" s="204">
        <v>53</v>
      </c>
      <c r="T348" s="204">
        <v>57</v>
      </c>
      <c r="U348" s="204">
        <v>57</v>
      </c>
      <c r="Y348" s="126">
        <v>4</v>
      </c>
      <c r="Z348" s="126">
        <v>6</v>
      </c>
      <c r="AA348" s="126">
        <v>2026</v>
      </c>
      <c r="AB348" s="126">
        <v>1</v>
      </c>
    </row>
    <row r="349" spans="3:28" ht="21.95" customHeight="1">
      <c r="C349" s="126">
        <v>342</v>
      </c>
      <c r="D349" s="126">
        <v>88</v>
      </c>
      <c r="F349" s="126" t="s">
        <v>2041</v>
      </c>
      <c r="G349" s="126" t="s">
        <v>2058</v>
      </c>
      <c r="H349" s="162">
        <v>46202</v>
      </c>
      <c r="I349" s="126">
        <v>1</v>
      </c>
      <c r="J349" s="141" t="s">
        <v>1009</v>
      </c>
      <c r="K349" s="159" t="s">
        <v>1010</v>
      </c>
      <c r="L349" s="126">
        <v>7</v>
      </c>
      <c r="M349" s="126">
        <v>0</v>
      </c>
      <c r="N349" s="159" t="s">
        <v>545</v>
      </c>
      <c r="O349" s="126">
        <v>1</v>
      </c>
      <c r="S349" s="204">
        <v>2.7</v>
      </c>
      <c r="T349" s="204">
        <v>3</v>
      </c>
      <c r="U349" s="204">
        <v>21</v>
      </c>
      <c r="Y349" s="126">
        <v>4</v>
      </c>
      <c r="Z349" s="126">
        <v>6</v>
      </c>
      <c r="AA349" s="126">
        <v>2026</v>
      </c>
      <c r="AB349" s="126">
        <v>1</v>
      </c>
    </row>
    <row r="350" spans="3:28" ht="21.95" customHeight="1">
      <c r="C350" s="126">
        <v>343</v>
      </c>
      <c r="D350" s="126">
        <v>88</v>
      </c>
      <c r="F350" s="126" t="s">
        <v>2041</v>
      </c>
      <c r="G350" s="126" t="s">
        <v>2058</v>
      </c>
      <c r="H350" s="162">
        <v>46202</v>
      </c>
      <c r="I350" s="126">
        <v>1</v>
      </c>
      <c r="J350" s="141" t="s">
        <v>1405</v>
      </c>
      <c r="K350" s="159" t="s">
        <v>1406</v>
      </c>
      <c r="L350" s="126">
        <v>20</v>
      </c>
      <c r="M350" s="126">
        <v>0</v>
      </c>
      <c r="N350" s="159" t="s">
        <v>2063</v>
      </c>
      <c r="O350" s="126">
        <v>12</v>
      </c>
      <c r="S350" s="204">
        <v>0.13</v>
      </c>
      <c r="T350" s="204">
        <v>0.25</v>
      </c>
      <c r="U350" s="204">
        <v>5</v>
      </c>
      <c r="Y350" s="126">
        <v>4</v>
      </c>
      <c r="Z350" s="126">
        <v>6</v>
      </c>
      <c r="AA350" s="126">
        <v>2026</v>
      </c>
      <c r="AB350" s="126">
        <v>1</v>
      </c>
    </row>
    <row r="351" spans="3:28" ht="21.95" customHeight="1">
      <c r="C351" s="126">
        <v>344</v>
      </c>
      <c r="D351" s="126">
        <v>88</v>
      </c>
      <c r="F351" s="126" t="s">
        <v>2041</v>
      </c>
      <c r="G351" s="126" t="s">
        <v>2058</v>
      </c>
      <c r="H351" s="162">
        <v>46202</v>
      </c>
      <c r="I351" s="126">
        <v>1</v>
      </c>
      <c r="J351" s="141" t="s">
        <v>2067</v>
      </c>
      <c r="K351" s="159" t="s">
        <v>2068</v>
      </c>
      <c r="L351" s="126">
        <v>1</v>
      </c>
      <c r="M351" s="126">
        <v>0</v>
      </c>
      <c r="N351" s="159" t="s">
        <v>545</v>
      </c>
      <c r="O351" s="126">
        <v>1</v>
      </c>
      <c r="S351" s="204">
        <v>2.6</v>
      </c>
      <c r="T351" s="204">
        <v>3</v>
      </c>
      <c r="U351" s="204">
        <v>3</v>
      </c>
      <c r="Y351" s="126">
        <v>4</v>
      </c>
      <c r="Z351" s="126">
        <v>6</v>
      </c>
      <c r="AA351" s="126">
        <v>2026</v>
      </c>
      <c r="AB351" s="126">
        <v>1</v>
      </c>
    </row>
    <row r="352" spans="3:28" ht="21.95" customHeight="1">
      <c r="C352" s="126">
        <v>345</v>
      </c>
      <c r="D352" s="126">
        <v>88</v>
      </c>
      <c r="F352" s="126" t="s">
        <v>2041</v>
      </c>
      <c r="G352" s="126" t="s">
        <v>2058</v>
      </c>
      <c r="H352" s="162">
        <v>46202</v>
      </c>
      <c r="I352" s="126">
        <v>1</v>
      </c>
      <c r="J352" s="141" t="s">
        <v>1133</v>
      </c>
      <c r="K352" s="159" t="s">
        <v>1134</v>
      </c>
      <c r="L352" s="126">
        <v>1</v>
      </c>
      <c r="M352" s="126">
        <v>0</v>
      </c>
      <c r="N352" s="159" t="s">
        <v>1135</v>
      </c>
      <c r="O352" s="126">
        <v>1</v>
      </c>
      <c r="S352" s="204">
        <v>1.35</v>
      </c>
      <c r="T352" s="204">
        <v>1.75</v>
      </c>
      <c r="U352" s="204">
        <v>1.75</v>
      </c>
      <c r="Y352" s="126">
        <v>4</v>
      </c>
      <c r="Z352" s="126">
        <v>6</v>
      </c>
      <c r="AA352" s="126">
        <v>2026</v>
      </c>
      <c r="AB352" s="126">
        <v>1</v>
      </c>
    </row>
    <row r="353" spans="3:28" ht="21.95" customHeight="1">
      <c r="C353" s="126">
        <v>346</v>
      </c>
      <c r="D353" s="126">
        <v>88</v>
      </c>
      <c r="F353" s="126" t="s">
        <v>2041</v>
      </c>
      <c r="G353" s="126" t="s">
        <v>2058</v>
      </c>
      <c r="H353" s="162">
        <v>46202</v>
      </c>
      <c r="I353" s="126">
        <v>1</v>
      </c>
      <c r="J353" s="141" t="s">
        <v>798</v>
      </c>
      <c r="K353" s="159" t="s">
        <v>799</v>
      </c>
      <c r="L353" s="126">
        <v>1</v>
      </c>
      <c r="M353" s="126">
        <v>0</v>
      </c>
      <c r="N353" s="159" t="s">
        <v>545</v>
      </c>
      <c r="O353" s="126">
        <v>12</v>
      </c>
      <c r="S353" s="204">
        <v>0.34</v>
      </c>
      <c r="T353" s="204">
        <v>0.88</v>
      </c>
      <c r="U353" s="204">
        <v>0.88</v>
      </c>
      <c r="Y353" s="126">
        <v>4</v>
      </c>
      <c r="Z353" s="126">
        <v>6</v>
      </c>
      <c r="AA353" s="126">
        <v>2026</v>
      </c>
      <c r="AB353" s="126">
        <v>1</v>
      </c>
    </row>
    <row r="354" spans="3:28" ht="21.95" customHeight="1">
      <c r="C354" s="126">
        <v>347</v>
      </c>
      <c r="D354" s="126">
        <v>88</v>
      </c>
      <c r="F354" s="126" t="s">
        <v>2041</v>
      </c>
      <c r="G354" s="126" t="s">
        <v>2058</v>
      </c>
      <c r="H354" s="162">
        <v>46202</v>
      </c>
      <c r="I354" s="126">
        <v>1</v>
      </c>
      <c r="J354" s="141" t="s">
        <v>576</v>
      </c>
      <c r="K354" s="159" t="s">
        <v>577</v>
      </c>
      <c r="L354" s="126">
        <v>4</v>
      </c>
      <c r="M354" s="126">
        <v>0</v>
      </c>
      <c r="N354" s="159" t="s">
        <v>572</v>
      </c>
      <c r="O354" s="126">
        <v>1</v>
      </c>
      <c r="S354" s="204">
        <v>3.37</v>
      </c>
      <c r="T354" s="204">
        <v>3.4</v>
      </c>
      <c r="U354" s="204">
        <v>13.6</v>
      </c>
      <c r="Y354" s="126">
        <v>4</v>
      </c>
      <c r="Z354" s="126">
        <v>6</v>
      </c>
      <c r="AA354" s="126">
        <v>2026</v>
      </c>
      <c r="AB354" s="126">
        <v>1</v>
      </c>
    </row>
    <row r="355" spans="3:28" ht="21.95" customHeight="1">
      <c r="C355" s="126">
        <v>348</v>
      </c>
      <c r="D355" s="126">
        <v>88</v>
      </c>
      <c r="F355" s="126" t="s">
        <v>2041</v>
      </c>
      <c r="G355" s="126" t="s">
        <v>2058</v>
      </c>
      <c r="H355" s="162">
        <v>46202</v>
      </c>
      <c r="I355" s="126">
        <v>1</v>
      </c>
      <c r="J355" s="141" t="s">
        <v>823</v>
      </c>
      <c r="K355" s="159" t="s">
        <v>824</v>
      </c>
      <c r="L355" s="126">
        <v>8</v>
      </c>
      <c r="M355" s="126">
        <v>0</v>
      </c>
      <c r="N355" s="159" t="s">
        <v>545</v>
      </c>
      <c r="O355" s="126">
        <v>12</v>
      </c>
      <c r="S355" s="204">
        <v>0.28999999999999998</v>
      </c>
      <c r="T355" s="204">
        <v>0.5</v>
      </c>
      <c r="U355" s="204">
        <v>4</v>
      </c>
      <c r="Y355" s="126">
        <v>4</v>
      </c>
      <c r="Z355" s="126">
        <v>6</v>
      </c>
      <c r="AA355" s="126">
        <v>2026</v>
      </c>
      <c r="AB355" s="126">
        <v>1</v>
      </c>
    </row>
    <row r="356" spans="3:28" ht="21.95" customHeight="1">
      <c r="C356" s="126">
        <v>349</v>
      </c>
      <c r="D356" s="126">
        <v>88</v>
      </c>
      <c r="F356" s="126" t="s">
        <v>2041</v>
      </c>
      <c r="G356" s="126" t="s">
        <v>2058</v>
      </c>
      <c r="H356" s="162">
        <v>46202</v>
      </c>
      <c r="I356" s="126">
        <v>1</v>
      </c>
      <c r="J356" s="141" t="s">
        <v>996</v>
      </c>
      <c r="K356" s="159" t="s">
        <v>997</v>
      </c>
      <c r="L356" s="126">
        <v>1</v>
      </c>
      <c r="M356" s="126">
        <v>0</v>
      </c>
      <c r="N356" s="159" t="s">
        <v>545</v>
      </c>
      <c r="O356" s="126">
        <v>50</v>
      </c>
      <c r="S356" s="204">
        <v>0.3</v>
      </c>
      <c r="T356" s="204">
        <v>0.63</v>
      </c>
      <c r="U356" s="204">
        <v>0.63</v>
      </c>
      <c r="Y356" s="126">
        <v>4</v>
      </c>
      <c r="Z356" s="126">
        <v>6</v>
      </c>
      <c r="AA356" s="126">
        <v>2026</v>
      </c>
      <c r="AB356" s="126">
        <v>1</v>
      </c>
    </row>
    <row r="357" spans="3:28" ht="21.95" customHeight="1">
      <c r="C357" s="126">
        <v>350</v>
      </c>
      <c r="D357" s="126">
        <v>88</v>
      </c>
      <c r="F357" s="126" t="s">
        <v>2041</v>
      </c>
      <c r="G357" s="126" t="s">
        <v>2058</v>
      </c>
      <c r="H357" s="162">
        <v>46202</v>
      </c>
      <c r="I357" s="126">
        <v>1</v>
      </c>
      <c r="J357" s="141" t="s">
        <v>1125</v>
      </c>
      <c r="K357" s="159" t="s">
        <v>1126</v>
      </c>
      <c r="L357" s="126">
        <v>1</v>
      </c>
      <c r="M357" s="126">
        <v>0</v>
      </c>
      <c r="N357" s="159" t="s">
        <v>545</v>
      </c>
      <c r="O357" s="126">
        <v>1</v>
      </c>
      <c r="S357" s="204">
        <v>1.32</v>
      </c>
      <c r="T357" s="204">
        <v>1.75</v>
      </c>
      <c r="U357" s="204">
        <v>1.75</v>
      </c>
      <c r="Y357" s="126">
        <v>4</v>
      </c>
      <c r="Z357" s="126">
        <v>6</v>
      </c>
      <c r="AA357" s="126">
        <v>2026</v>
      </c>
      <c r="AB357" s="126">
        <v>1</v>
      </c>
    </row>
    <row r="358" spans="3:28" ht="21.95" customHeight="1">
      <c r="C358" s="126">
        <v>351</v>
      </c>
      <c r="D358" s="126">
        <v>89</v>
      </c>
      <c r="F358" s="126" t="s">
        <v>2090</v>
      </c>
      <c r="G358" s="126" t="s">
        <v>2091</v>
      </c>
      <c r="H358" s="162">
        <v>46203</v>
      </c>
      <c r="I358" s="126">
        <v>1</v>
      </c>
      <c r="J358" s="141" t="s">
        <v>677</v>
      </c>
      <c r="K358" s="159" t="s">
        <v>678</v>
      </c>
      <c r="L358" s="126">
        <v>1</v>
      </c>
      <c r="M358" s="126">
        <v>0</v>
      </c>
      <c r="N358" s="159" t="s">
        <v>545</v>
      </c>
      <c r="O358" s="126">
        <v>1</v>
      </c>
      <c r="S358" s="204">
        <v>27.34</v>
      </c>
      <c r="T358" s="204">
        <v>28.5</v>
      </c>
      <c r="U358" s="204">
        <v>28.5</v>
      </c>
      <c r="Y358" s="126">
        <v>4</v>
      </c>
      <c r="Z358" s="126">
        <v>6</v>
      </c>
      <c r="AA358" s="126">
        <v>2026</v>
      </c>
      <c r="AB358" s="126">
        <v>1</v>
      </c>
    </row>
    <row r="359" spans="3:28" ht="21.95" customHeight="1">
      <c r="C359" s="126">
        <v>352</v>
      </c>
      <c r="D359" s="126">
        <v>89</v>
      </c>
      <c r="F359" s="126" t="s">
        <v>2090</v>
      </c>
      <c r="G359" s="126" t="s">
        <v>2091</v>
      </c>
      <c r="H359" s="162">
        <v>46203</v>
      </c>
      <c r="I359" s="126">
        <v>1</v>
      </c>
      <c r="J359" s="141" t="s">
        <v>2096</v>
      </c>
      <c r="K359" s="159" t="s">
        <v>2097</v>
      </c>
      <c r="L359" s="126">
        <v>2</v>
      </c>
      <c r="M359" s="126">
        <v>0</v>
      </c>
      <c r="N359" s="159" t="s">
        <v>545</v>
      </c>
      <c r="O359" s="126">
        <v>12</v>
      </c>
      <c r="S359" s="204">
        <v>0.2</v>
      </c>
      <c r="T359" s="204">
        <v>0.75</v>
      </c>
      <c r="U359" s="204">
        <v>1.5</v>
      </c>
      <c r="Y359" s="126">
        <v>4</v>
      </c>
      <c r="Z359" s="126">
        <v>6</v>
      </c>
      <c r="AA359" s="126">
        <v>2026</v>
      </c>
      <c r="AB359" s="126">
        <v>1</v>
      </c>
    </row>
    <row r="360" spans="3:28" ht="21.95" customHeight="1">
      <c r="C360" s="126">
        <v>353</v>
      </c>
      <c r="D360" s="126">
        <v>89</v>
      </c>
      <c r="F360" s="126" t="s">
        <v>2090</v>
      </c>
      <c r="G360" s="126" t="s">
        <v>2091</v>
      </c>
      <c r="H360" s="162">
        <v>46203</v>
      </c>
      <c r="I360" s="126">
        <v>1</v>
      </c>
      <c r="J360" s="141" t="s">
        <v>2101</v>
      </c>
      <c r="K360" s="159" t="s">
        <v>2102</v>
      </c>
      <c r="L360" s="126">
        <v>2</v>
      </c>
      <c r="M360" s="126">
        <v>0</v>
      </c>
      <c r="N360" s="159" t="s">
        <v>545</v>
      </c>
      <c r="O360" s="126">
        <v>1</v>
      </c>
      <c r="S360" s="204">
        <v>1.2</v>
      </c>
      <c r="T360" s="204">
        <v>1.5</v>
      </c>
      <c r="U360" s="204">
        <v>3</v>
      </c>
      <c r="Y360" s="126">
        <v>4</v>
      </c>
      <c r="Z360" s="126">
        <v>6</v>
      </c>
      <c r="AA360" s="126">
        <v>2026</v>
      </c>
      <c r="AB360" s="126">
        <v>1</v>
      </c>
    </row>
    <row r="361" spans="3:28" ht="21.95" customHeight="1">
      <c r="C361" s="126">
        <v>354</v>
      </c>
      <c r="D361" s="126">
        <v>89</v>
      </c>
      <c r="F361" s="126" t="s">
        <v>2090</v>
      </c>
      <c r="G361" s="126" t="s">
        <v>2091</v>
      </c>
      <c r="H361" s="162">
        <v>46203</v>
      </c>
      <c r="I361" s="126">
        <v>1</v>
      </c>
      <c r="J361" s="141" t="s">
        <v>2106</v>
      </c>
      <c r="K361" s="159" t="s">
        <v>2107</v>
      </c>
      <c r="L361" s="126">
        <v>2</v>
      </c>
      <c r="M361" s="126">
        <v>0</v>
      </c>
      <c r="N361" s="159" t="s">
        <v>545</v>
      </c>
      <c r="O361" s="126">
        <v>12</v>
      </c>
      <c r="S361" s="204">
        <v>0.1</v>
      </c>
      <c r="T361" s="204">
        <v>0.25</v>
      </c>
      <c r="U361" s="204">
        <v>0.5</v>
      </c>
      <c r="Y361" s="126">
        <v>4</v>
      </c>
      <c r="Z361" s="126">
        <v>6</v>
      </c>
      <c r="AA361" s="126">
        <v>2026</v>
      </c>
      <c r="AB361" s="126">
        <v>1</v>
      </c>
    </row>
    <row r="362" spans="3:28" ht="21.95" customHeight="1">
      <c r="C362" s="126">
        <v>355</v>
      </c>
      <c r="D362" s="126">
        <v>89</v>
      </c>
      <c r="F362" s="126" t="s">
        <v>2090</v>
      </c>
      <c r="G362" s="126" t="s">
        <v>2091</v>
      </c>
      <c r="H362" s="162">
        <v>46203</v>
      </c>
      <c r="I362" s="126">
        <v>1</v>
      </c>
      <c r="J362" s="141" t="s">
        <v>586</v>
      </c>
      <c r="K362" s="159" t="s">
        <v>587</v>
      </c>
      <c r="L362" s="126">
        <v>2</v>
      </c>
      <c r="M362" s="126">
        <v>0</v>
      </c>
      <c r="N362" s="159" t="s">
        <v>545</v>
      </c>
      <c r="O362" s="126">
        <v>1</v>
      </c>
      <c r="S362" s="204">
        <v>14.85</v>
      </c>
      <c r="T362" s="204">
        <v>15.5</v>
      </c>
      <c r="U362" s="204">
        <v>31</v>
      </c>
      <c r="Y362" s="126">
        <v>4</v>
      </c>
      <c r="Z362" s="126">
        <v>6</v>
      </c>
      <c r="AA362" s="126">
        <v>2026</v>
      </c>
      <c r="AB362" s="126">
        <v>1</v>
      </c>
    </row>
    <row r="363" spans="3:28" ht="21.95" customHeight="1">
      <c r="C363" s="126">
        <v>356</v>
      </c>
      <c r="D363" s="126">
        <v>90</v>
      </c>
      <c r="F363" s="126" t="s">
        <v>2090</v>
      </c>
      <c r="G363" s="126" t="s">
        <v>2114</v>
      </c>
      <c r="H363" s="162">
        <v>46203</v>
      </c>
      <c r="I363" s="126">
        <v>1</v>
      </c>
      <c r="J363" s="141" t="s">
        <v>778</v>
      </c>
      <c r="K363" s="159" t="s">
        <v>779</v>
      </c>
      <c r="L363" s="126">
        <v>5</v>
      </c>
      <c r="M363" s="126">
        <v>0</v>
      </c>
      <c r="N363" s="159" t="s">
        <v>572</v>
      </c>
      <c r="O363" s="126">
        <v>1</v>
      </c>
      <c r="S363" s="204">
        <v>4.09</v>
      </c>
      <c r="T363" s="204">
        <v>4.5</v>
      </c>
      <c r="U363" s="204">
        <v>22.5</v>
      </c>
      <c r="Y363" s="126">
        <v>4</v>
      </c>
      <c r="Z363" s="126">
        <v>6</v>
      </c>
      <c r="AA363" s="126">
        <v>2026</v>
      </c>
      <c r="AB363" s="126">
        <v>1</v>
      </c>
    </row>
    <row r="364" spans="3:28" ht="21.95" customHeight="1">
      <c r="C364" s="126">
        <v>357</v>
      </c>
      <c r="D364" s="126">
        <v>90</v>
      </c>
      <c r="F364" s="126" t="s">
        <v>2090</v>
      </c>
      <c r="G364" s="126" t="s">
        <v>2114</v>
      </c>
      <c r="H364" s="162">
        <v>46203</v>
      </c>
      <c r="I364" s="126">
        <v>1</v>
      </c>
      <c r="J364" s="141" t="s">
        <v>766</v>
      </c>
      <c r="K364" s="159" t="s">
        <v>767</v>
      </c>
      <c r="L364" s="126">
        <v>2</v>
      </c>
      <c r="M364" s="126">
        <v>0</v>
      </c>
      <c r="N364" s="159" t="s">
        <v>618</v>
      </c>
      <c r="O364" s="126">
        <v>1</v>
      </c>
      <c r="S364" s="204">
        <v>4</v>
      </c>
      <c r="T364" s="204">
        <v>4.5</v>
      </c>
      <c r="U364" s="204">
        <v>9</v>
      </c>
      <c r="Y364" s="126">
        <v>4</v>
      </c>
      <c r="Z364" s="126">
        <v>6</v>
      </c>
      <c r="AA364" s="126">
        <v>2026</v>
      </c>
      <c r="AB364" s="126">
        <v>1</v>
      </c>
    </row>
    <row r="365" spans="3:28" ht="21.95" customHeight="1">
      <c r="C365" s="126">
        <v>358</v>
      </c>
      <c r="D365" s="126">
        <v>90</v>
      </c>
      <c r="F365" s="126" t="s">
        <v>2090</v>
      </c>
      <c r="G365" s="126" t="s">
        <v>2114</v>
      </c>
      <c r="H365" s="162">
        <v>46203</v>
      </c>
      <c r="I365" s="126">
        <v>1</v>
      </c>
      <c r="J365" s="141" t="s">
        <v>2122</v>
      </c>
      <c r="K365" s="159" t="s">
        <v>2123</v>
      </c>
      <c r="L365" s="126">
        <v>2</v>
      </c>
      <c r="M365" s="126">
        <v>0</v>
      </c>
      <c r="N365" s="159" t="s">
        <v>545</v>
      </c>
      <c r="O365" s="126">
        <v>1</v>
      </c>
      <c r="S365" s="204">
        <v>0.38</v>
      </c>
      <c r="T365" s="204">
        <v>0.5</v>
      </c>
      <c r="U365" s="204">
        <v>1</v>
      </c>
      <c r="Y365" s="126">
        <v>4</v>
      </c>
      <c r="Z365" s="126">
        <v>6</v>
      </c>
      <c r="AA365" s="126">
        <v>2026</v>
      </c>
      <c r="AB365" s="126">
        <v>1</v>
      </c>
    </row>
    <row r="366" spans="3:28" ht="21.95" customHeight="1">
      <c r="C366" s="126">
        <v>359</v>
      </c>
      <c r="D366" s="126">
        <v>90</v>
      </c>
      <c r="F366" s="126" t="s">
        <v>2090</v>
      </c>
      <c r="G366" s="126" t="s">
        <v>2114</v>
      </c>
      <c r="H366" s="162">
        <v>46203</v>
      </c>
      <c r="I366" s="126">
        <v>1</v>
      </c>
      <c r="J366" s="141" t="s">
        <v>798</v>
      </c>
      <c r="K366" s="159" t="s">
        <v>799</v>
      </c>
      <c r="L366" s="126">
        <v>1</v>
      </c>
      <c r="M366" s="126">
        <v>0</v>
      </c>
      <c r="N366" s="159" t="s">
        <v>545</v>
      </c>
      <c r="O366" s="126">
        <v>12</v>
      </c>
      <c r="S366" s="204">
        <v>0.34</v>
      </c>
      <c r="T366" s="204">
        <v>0.88</v>
      </c>
      <c r="U366" s="204">
        <v>0.88</v>
      </c>
      <c r="Y366" s="126">
        <v>4</v>
      </c>
      <c r="Z366" s="126">
        <v>6</v>
      </c>
      <c r="AA366" s="126">
        <v>2026</v>
      </c>
      <c r="AB366" s="126">
        <v>1</v>
      </c>
    </row>
    <row r="367" spans="3:28" ht="21.95" customHeight="1">
      <c r="C367" s="126">
        <v>360</v>
      </c>
      <c r="D367" s="126">
        <v>90</v>
      </c>
      <c r="F367" s="126" t="s">
        <v>2090</v>
      </c>
      <c r="G367" s="126" t="s">
        <v>2114</v>
      </c>
      <c r="H367" s="162">
        <v>46203</v>
      </c>
      <c r="I367" s="126">
        <v>1</v>
      </c>
      <c r="J367" s="141" t="s">
        <v>1211</v>
      </c>
      <c r="K367" s="159" t="s">
        <v>1212</v>
      </c>
      <c r="L367" s="126">
        <v>1</v>
      </c>
      <c r="M367" s="126">
        <v>0</v>
      </c>
      <c r="N367" s="159" t="s">
        <v>545</v>
      </c>
      <c r="O367" s="126">
        <v>1</v>
      </c>
      <c r="S367" s="204">
        <v>0.95</v>
      </c>
      <c r="T367" s="204">
        <v>1.5</v>
      </c>
      <c r="U367" s="204">
        <v>1.5</v>
      </c>
      <c r="Y367" s="126">
        <v>4</v>
      </c>
      <c r="Z367" s="126">
        <v>6</v>
      </c>
      <c r="AA367" s="126">
        <v>2026</v>
      </c>
      <c r="AB367" s="126">
        <v>1</v>
      </c>
    </row>
    <row r="368" spans="3:28" ht="21.95" customHeight="1">
      <c r="C368" s="126">
        <v>361</v>
      </c>
      <c r="D368" s="126">
        <v>90</v>
      </c>
      <c r="F368" s="126" t="s">
        <v>2090</v>
      </c>
      <c r="G368" s="126" t="s">
        <v>2114</v>
      </c>
      <c r="H368" s="162">
        <v>46203</v>
      </c>
      <c r="I368" s="126">
        <v>1</v>
      </c>
      <c r="J368" s="141" t="s">
        <v>803</v>
      </c>
      <c r="K368" s="159" t="s">
        <v>804</v>
      </c>
      <c r="L368" s="126">
        <v>2</v>
      </c>
      <c r="M368" s="126">
        <v>0</v>
      </c>
      <c r="N368" s="159" t="s">
        <v>545</v>
      </c>
      <c r="O368" s="126">
        <v>1</v>
      </c>
      <c r="S368" s="204">
        <v>0.12</v>
      </c>
      <c r="T368" s="204">
        <v>0.25</v>
      </c>
      <c r="U368" s="204">
        <v>0.5</v>
      </c>
      <c r="Y368" s="126">
        <v>4</v>
      </c>
      <c r="Z368" s="126">
        <v>6</v>
      </c>
      <c r="AA368" s="126">
        <v>2026</v>
      </c>
      <c r="AB368" s="126">
        <v>1</v>
      </c>
    </row>
    <row r="369" spans="3:28" ht="21.95" customHeight="1">
      <c r="C369" s="126">
        <v>362</v>
      </c>
      <c r="D369" s="126">
        <v>90</v>
      </c>
      <c r="F369" s="126" t="s">
        <v>2090</v>
      </c>
      <c r="G369" s="126" t="s">
        <v>2114</v>
      </c>
      <c r="H369" s="162">
        <v>46203</v>
      </c>
      <c r="I369" s="126">
        <v>1</v>
      </c>
      <c r="J369" s="141" t="s">
        <v>1203</v>
      </c>
      <c r="K369" s="159" t="s">
        <v>1204</v>
      </c>
      <c r="L369" s="126">
        <v>2</v>
      </c>
      <c r="M369" s="126">
        <v>0</v>
      </c>
      <c r="N369" s="159" t="s">
        <v>545</v>
      </c>
      <c r="O369" s="126">
        <v>1</v>
      </c>
      <c r="S369" s="204">
        <v>0.55000000000000004</v>
      </c>
      <c r="T369" s="204">
        <v>0.75</v>
      </c>
      <c r="U369" s="204">
        <v>1.5</v>
      </c>
      <c r="Y369" s="126">
        <v>4</v>
      </c>
      <c r="Z369" s="126">
        <v>6</v>
      </c>
      <c r="AA369" s="126">
        <v>2026</v>
      </c>
      <c r="AB369" s="126">
        <v>1</v>
      </c>
    </row>
    <row r="370" spans="3:28" ht="21.95" customHeight="1">
      <c r="C370" s="126">
        <v>363</v>
      </c>
      <c r="D370" s="126">
        <v>90</v>
      </c>
      <c r="F370" s="126" t="s">
        <v>2090</v>
      </c>
      <c r="G370" s="126" t="s">
        <v>2114</v>
      </c>
      <c r="H370" s="162">
        <v>46203</v>
      </c>
      <c r="I370" s="126">
        <v>1</v>
      </c>
      <c r="J370" s="141" t="s">
        <v>1193</v>
      </c>
      <c r="K370" s="159" t="s">
        <v>1194</v>
      </c>
      <c r="L370" s="126">
        <v>1</v>
      </c>
      <c r="M370" s="126">
        <v>0</v>
      </c>
      <c r="N370" s="159" t="s">
        <v>545</v>
      </c>
      <c r="O370" s="126">
        <v>1</v>
      </c>
      <c r="S370" s="204">
        <v>0.5</v>
      </c>
      <c r="T370" s="204">
        <v>0.75</v>
      </c>
      <c r="U370" s="204">
        <v>0.75</v>
      </c>
      <c r="Y370" s="126">
        <v>4</v>
      </c>
      <c r="Z370" s="126">
        <v>6</v>
      </c>
      <c r="AA370" s="126">
        <v>2026</v>
      </c>
      <c r="AB370" s="126">
        <v>1</v>
      </c>
    </row>
    <row r="371" spans="3:28" ht="21.95" customHeight="1">
      <c r="C371" s="126">
        <v>364</v>
      </c>
      <c r="D371" s="126">
        <v>91</v>
      </c>
      <c r="F371" s="126" t="s">
        <v>2283</v>
      </c>
      <c r="G371" s="126" t="s">
        <v>2284</v>
      </c>
      <c r="H371" s="162">
        <v>46204</v>
      </c>
      <c r="I371" s="126">
        <v>1</v>
      </c>
      <c r="J371" s="141" t="s">
        <v>576</v>
      </c>
      <c r="K371" s="159" t="s">
        <v>577</v>
      </c>
      <c r="L371" s="126">
        <v>5</v>
      </c>
      <c r="M371" s="126">
        <v>0</v>
      </c>
      <c r="N371" s="159" t="s">
        <v>572</v>
      </c>
      <c r="O371" s="126">
        <v>1</v>
      </c>
      <c r="S371" s="204">
        <v>3.37</v>
      </c>
      <c r="T371" s="204">
        <v>3.5</v>
      </c>
      <c r="U371" s="204">
        <v>17.5</v>
      </c>
      <c r="Y371" s="126">
        <v>1</v>
      </c>
      <c r="Z371" s="126">
        <v>7</v>
      </c>
      <c r="AA371" s="126">
        <v>2026</v>
      </c>
      <c r="AB371" s="126">
        <v>1</v>
      </c>
    </row>
    <row r="372" spans="3:28" ht="21.95" customHeight="1">
      <c r="C372" s="126">
        <v>365</v>
      </c>
      <c r="D372" s="126">
        <v>91</v>
      </c>
      <c r="F372" s="126" t="s">
        <v>2283</v>
      </c>
      <c r="G372" s="126" t="s">
        <v>2284</v>
      </c>
      <c r="H372" s="162">
        <v>46204</v>
      </c>
      <c r="I372" s="126">
        <v>1</v>
      </c>
      <c r="J372" s="141" t="s">
        <v>784</v>
      </c>
      <c r="K372" s="159" t="s">
        <v>785</v>
      </c>
      <c r="L372" s="126">
        <v>2</v>
      </c>
      <c r="M372" s="126">
        <v>0</v>
      </c>
      <c r="N372" s="159" t="s">
        <v>572</v>
      </c>
      <c r="O372" s="126">
        <v>1</v>
      </c>
      <c r="S372" s="204">
        <v>3.88</v>
      </c>
      <c r="T372" s="204">
        <v>4.5</v>
      </c>
      <c r="U372" s="204">
        <v>9</v>
      </c>
      <c r="Y372" s="126">
        <v>1</v>
      </c>
      <c r="Z372" s="126">
        <v>7</v>
      </c>
      <c r="AA372" s="126">
        <v>2026</v>
      </c>
      <c r="AB372" s="126">
        <v>1</v>
      </c>
    </row>
    <row r="373" spans="3:28" ht="21.95" customHeight="1">
      <c r="C373" s="126">
        <v>366</v>
      </c>
      <c r="D373" s="126">
        <v>91</v>
      </c>
      <c r="F373" s="126" t="s">
        <v>2283</v>
      </c>
      <c r="G373" s="126" t="s">
        <v>2284</v>
      </c>
      <c r="H373" s="162">
        <v>46204</v>
      </c>
      <c r="I373" s="126">
        <v>1</v>
      </c>
      <c r="J373" s="141" t="s">
        <v>2292</v>
      </c>
      <c r="K373" s="159" t="s">
        <v>2293</v>
      </c>
      <c r="L373" s="126">
        <v>1</v>
      </c>
      <c r="M373" s="126">
        <v>0</v>
      </c>
      <c r="N373" s="159" t="s">
        <v>2294</v>
      </c>
      <c r="O373" s="126">
        <v>1</v>
      </c>
      <c r="S373" s="204">
        <v>11</v>
      </c>
      <c r="T373" s="204">
        <v>11.5</v>
      </c>
      <c r="U373" s="204">
        <v>11.5</v>
      </c>
      <c r="Y373" s="126">
        <v>1</v>
      </c>
      <c r="Z373" s="126">
        <v>7</v>
      </c>
      <c r="AA373" s="126">
        <v>2026</v>
      </c>
      <c r="AB373" s="126">
        <v>1</v>
      </c>
    </row>
    <row r="374" spans="3:28" ht="21.95" customHeight="1">
      <c r="C374" s="126">
        <v>367</v>
      </c>
      <c r="D374" s="126">
        <v>91</v>
      </c>
      <c r="F374" s="126" t="s">
        <v>2283</v>
      </c>
      <c r="G374" s="126" t="s">
        <v>2284</v>
      </c>
      <c r="H374" s="162">
        <v>46204</v>
      </c>
      <c r="I374" s="126">
        <v>1</v>
      </c>
      <c r="J374" s="141" t="s">
        <v>755</v>
      </c>
      <c r="K374" s="159" t="s">
        <v>756</v>
      </c>
      <c r="L374" s="126">
        <v>7</v>
      </c>
      <c r="M374" s="126">
        <v>0</v>
      </c>
      <c r="N374" s="159" t="s">
        <v>794</v>
      </c>
      <c r="O374" s="126">
        <v>20</v>
      </c>
      <c r="S374" s="204">
        <v>4.75</v>
      </c>
      <c r="T374" s="204">
        <v>5</v>
      </c>
      <c r="U374" s="204">
        <v>35</v>
      </c>
      <c r="Y374" s="126">
        <v>1</v>
      </c>
      <c r="Z374" s="126">
        <v>7</v>
      </c>
      <c r="AA374" s="126">
        <v>2026</v>
      </c>
      <c r="AB374" s="126">
        <v>1</v>
      </c>
    </row>
    <row r="375" spans="3:28" ht="21.95" customHeight="1">
      <c r="C375" s="126">
        <v>368</v>
      </c>
      <c r="D375" s="126">
        <v>91</v>
      </c>
      <c r="F375" s="126" t="s">
        <v>2283</v>
      </c>
      <c r="G375" s="126" t="s">
        <v>2284</v>
      </c>
      <c r="H375" s="162">
        <v>46204</v>
      </c>
      <c r="I375" s="126">
        <v>1</v>
      </c>
      <c r="J375" s="141" t="s">
        <v>2301</v>
      </c>
      <c r="K375" s="159" t="s">
        <v>2302</v>
      </c>
      <c r="L375" s="126">
        <v>1</v>
      </c>
      <c r="M375" s="126">
        <v>0</v>
      </c>
      <c r="N375" s="159" t="s">
        <v>566</v>
      </c>
      <c r="O375" s="126">
        <v>1</v>
      </c>
      <c r="S375" s="204">
        <v>1</v>
      </c>
      <c r="T375" s="204">
        <v>1.5</v>
      </c>
      <c r="U375" s="204">
        <v>1.5</v>
      </c>
      <c r="Y375" s="126">
        <v>1</v>
      </c>
      <c r="Z375" s="126">
        <v>7</v>
      </c>
      <c r="AA375" s="126">
        <v>2026</v>
      </c>
      <c r="AB375" s="126">
        <v>1</v>
      </c>
    </row>
    <row r="376" spans="3:28" ht="21.95" customHeight="1">
      <c r="C376" s="126">
        <v>369</v>
      </c>
      <c r="D376" s="126">
        <v>91</v>
      </c>
      <c r="F376" s="126" t="s">
        <v>2283</v>
      </c>
      <c r="G376" s="126" t="s">
        <v>2284</v>
      </c>
      <c r="H376" s="162">
        <v>46204</v>
      </c>
      <c r="I376" s="126">
        <v>1</v>
      </c>
      <c r="J376" s="141" t="s">
        <v>2306</v>
      </c>
      <c r="K376" s="159" t="s">
        <v>2307</v>
      </c>
      <c r="L376" s="126">
        <v>75</v>
      </c>
      <c r="M376" s="126">
        <v>0</v>
      </c>
      <c r="N376" s="159" t="s">
        <v>2308</v>
      </c>
      <c r="O376" s="126">
        <v>10</v>
      </c>
      <c r="S376" s="204">
        <v>0.09</v>
      </c>
      <c r="T376" s="204">
        <v>0.1</v>
      </c>
      <c r="U376" s="204">
        <v>7.5</v>
      </c>
      <c r="Y376" s="126">
        <v>1</v>
      </c>
      <c r="Z376" s="126">
        <v>7</v>
      </c>
      <c r="AA376" s="126">
        <v>2026</v>
      </c>
      <c r="AB376" s="126">
        <v>1</v>
      </c>
    </row>
    <row r="377" spans="3:28" ht="21.95" customHeight="1">
      <c r="C377" s="126">
        <v>370</v>
      </c>
      <c r="D377" s="126">
        <v>92</v>
      </c>
      <c r="F377" s="126" t="s">
        <v>2283</v>
      </c>
      <c r="G377" s="126" t="s">
        <v>2313</v>
      </c>
      <c r="H377" s="162">
        <v>46204</v>
      </c>
      <c r="I377" s="126">
        <v>1</v>
      </c>
      <c r="J377" s="141" t="s">
        <v>752</v>
      </c>
      <c r="K377" s="159" t="s">
        <v>753</v>
      </c>
      <c r="L377" s="126">
        <v>5</v>
      </c>
      <c r="M377" s="126">
        <v>0</v>
      </c>
      <c r="N377" s="159" t="s">
        <v>794</v>
      </c>
      <c r="O377" s="126">
        <v>20</v>
      </c>
      <c r="S377" s="204">
        <v>4.1500000000000004</v>
      </c>
      <c r="T377" s="204">
        <v>4.5</v>
      </c>
      <c r="U377" s="204">
        <v>22.5</v>
      </c>
      <c r="Y377" s="126">
        <v>1</v>
      </c>
      <c r="Z377" s="126">
        <v>7</v>
      </c>
      <c r="AA377" s="126">
        <v>2026</v>
      </c>
      <c r="AB377" s="126">
        <v>1</v>
      </c>
    </row>
    <row r="378" spans="3:28" ht="21.95" customHeight="1">
      <c r="C378" s="126">
        <v>371</v>
      </c>
      <c r="D378" s="126">
        <v>92</v>
      </c>
      <c r="F378" s="126" t="s">
        <v>2283</v>
      </c>
      <c r="G378" s="126" t="s">
        <v>2313</v>
      </c>
      <c r="H378" s="162">
        <v>46204</v>
      </c>
      <c r="I378" s="126">
        <v>1</v>
      </c>
      <c r="J378" s="141" t="s">
        <v>2318</v>
      </c>
      <c r="K378" s="159" t="s">
        <v>2319</v>
      </c>
      <c r="L378" s="126">
        <v>3</v>
      </c>
      <c r="M378" s="126">
        <v>0</v>
      </c>
      <c r="N378" s="159" t="s">
        <v>2320</v>
      </c>
      <c r="O378" s="126">
        <v>1</v>
      </c>
      <c r="S378" s="204">
        <v>3.8</v>
      </c>
      <c r="T378" s="204">
        <v>5</v>
      </c>
      <c r="U378" s="204">
        <v>15</v>
      </c>
      <c r="Y378" s="126">
        <v>1</v>
      </c>
      <c r="Z378" s="126">
        <v>7</v>
      </c>
      <c r="AA378" s="126">
        <v>2026</v>
      </c>
      <c r="AB378" s="126">
        <v>1</v>
      </c>
    </row>
    <row r="379" spans="3:28" ht="21.95" customHeight="1">
      <c r="C379" s="126">
        <v>372</v>
      </c>
      <c r="D379" s="126">
        <v>93</v>
      </c>
      <c r="F379" s="126" t="s">
        <v>2283</v>
      </c>
      <c r="G379" s="126" t="s">
        <v>2324</v>
      </c>
      <c r="H379" s="162">
        <v>46204</v>
      </c>
      <c r="I379" s="126">
        <v>1</v>
      </c>
      <c r="J379" s="141" t="s">
        <v>2326</v>
      </c>
      <c r="K379" s="159" t="s">
        <v>2327</v>
      </c>
      <c r="L379" s="126">
        <v>2</v>
      </c>
      <c r="M379" s="126">
        <v>0</v>
      </c>
      <c r="N379" s="159" t="s">
        <v>2328</v>
      </c>
      <c r="O379" s="126">
        <v>1</v>
      </c>
      <c r="S379" s="204">
        <v>16</v>
      </c>
      <c r="T379" s="204">
        <v>19</v>
      </c>
      <c r="U379" s="204">
        <v>38</v>
      </c>
      <c r="Y379" s="126">
        <v>1</v>
      </c>
      <c r="Z379" s="126">
        <v>7</v>
      </c>
      <c r="AA379" s="126">
        <v>2026</v>
      </c>
      <c r="AB379" s="126">
        <v>1</v>
      </c>
    </row>
    <row r="380" spans="3:28" ht="21.95" customHeight="1">
      <c r="C380" s="126">
        <v>373</v>
      </c>
      <c r="D380" s="126">
        <v>93</v>
      </c>
      <c r="F380" s="126" t="s">
        <v>2283</v>
      </c>
      <c r="G380" s="126" t="s">
        <v>2324</v>
      </c>
      <c r="H380" s="162">
        <v>46204</v>
      </c>
      <c r="I380" s="126">
        <v>1</v>
      </c>
      <c r="J380" s="141" t="s">
        <v>752</v>
      </c>
      <c r="K380" s="159" t="s">
        <v>753</v>
      </c>
      <c r="L380" s="126">
        <v>1</v>
      </c>
      <c r="M380" s="126">
        <v>0</v>
      </c>
      <c r="N380" s="159" t="s">
        <v>794</v>
      </c>
      <c r="O380" s="126">
        <v>20</v>
      </c>
      <c r="S380" s="204">
        <v>4.1500000000000004</v>
      </c>
      <c r="T380" s="204">
        <v>4.5</v>
      </c>
      <c r="U380" s="204">
        <v>4.5</v>
      </c>
      <c r="Y380" s="126">
        <v>1</v>
      </c>
      <c r="Z380" s="126">
        <v>7</v>
      </c>
      <c r="AA380" s="126">
        <v>2026</v>
      </c>
      <c r="AB380" s="126">
        <v>1</v>
      </c>
    </row>
    <row r="381" spans="3:28" ht="21.95" customHeight="1">
      <c r="C381" s="126">
        <v>374</v>
      </c>
      <c r="D381" s="126">
        <v>94</v>
      </c>
      <c r="F381" s="126" t="s">
        <v>2283</v>
      </c>
      <c r="G381" s="126" t="s">
        <v>2335</v>
      </c>
      <c r="H381" s="162">
        <v>46204</v>
      </c>
      <c r="I381" s="126">
        <v>1</v>
      </c>
      <c r="J381" s="141" t="s">
        <v>2337</v>
      </c>
      <c r="K381" s="159" t="s">
        <v>2338</v>
      </c>
      <c r="L381" s="126">
        <v>1</v>
      </c>
      <c r="M381" s="126">
        <v>0</v>
      </c>
      <c r="N381" s="159" t="s">
        <v>545</v>
      </c>
      <c r="O381" s="126">
        <v>1</v>
      </c>
      <c r="S381" s="204">
        <v>24</v>
      </c>
      <c r="T381" s="204">
        <v>35</v>
      </c>
      <c r="U381" s="204">
        <v>35</v>
      </c>
      <c r="Y381" s="126">
        <v>1</v>
      </c>
      <c r="Z381" s="126">
        <v>7</v>
      </c>
      <c r="AA381" s="126">
        <v>2026</v>
      </c>
      <c r="AB381" s="126">
        <v>1</v>
      </c>
    </row>
    <row r="382" spans="3:28" ht="21.95" customHeight="1">
      <c r="C382" s="126">
        <v>375</v>
      </c>
      <c r="D382" s="126">
        <v>94</v>
      </c>
      <c r="F382" s="126" t="s">
        <v>2283</v>
      </c>
      <c r="G382" s="126" t="s">
        <v>2335</v>
      </c>
      <c r="H382" s="162">
        <v>46204</v>
      </c>
      <c r="I382" s="126">
        <v>1</v>
      </c>
      <c r="J382" s="141" t="s">
        <v>2342</v>
      </c>
      <c r="K382" s="159" t="s">
        <v>2343</v>
      </c>
      <c r="L382" s="126">
        <v>3</v>
      </c>
      <c r="M382" s="126">
        <v>0</v>
      </c>
      <c r="N382" s="159" t="s">
        <v>2063</v>
      </c>
      <c r="O382" s="126">
        <v>1</v>
      </c>
      <c r="S382" s="204">
        <v>0.25</v>
      </c>
      <c r="T382" s="204">
        <v>0.5</v>
      </c>
      <c r="U382" s="204">
        <v>1.5</v>
      </c>
      <c r="Y382" s="126">
        <v>1</v>
      </c>
      <c r="Z382" s="126">
        <v>7</v>
      </c>
      <c r="AA382" s="126">
        <v>2026</v>
      </c>
      <c r="AB382" s="126">
        <v>1</v>
      </c>
    </row>
    <row r="383" spans="3:28" ht="21.95" customHeight="1">
      <c r="C383" s="126">
        <v>376</v>
      </c>
      <c r="D383" s="126">
        <v>94</v>
      </c>
      <c r="F383" s="126" t="s">
        <v>2283</v>
      </c>
      <c r="G383" s="126" t="s">
        <v>2335</v>
      </c>
      <c r="H383" s="162">
        <v>46204</v>
      </c>
      <c r="I383" s="126">
        <v>1</v>
      </c>
      <c r="J383" s="141" t="s">
        <v>2347</v>
      </c>
      <c r="K383" s="159" t="s">
        <v>2348</v>
      </c>
      <c r="L383" s="126">
        <v>1</v>
      </c>
      <c r="M383" s="126">
        <v>0</v>
      </c>
      <c r="N383" s="159" t="s">
        <v>2308</v>
      </c>
      <c r="O383" s="126">
        <v>10</v>
      </c>
      <c r="S383" s="204">
        <v>0.4</v>
      </c>
      <c r="T383" s="204">
        <v>0.5</v>
      </c>
      <c r="U383" s="204">
        <v>0.5</v>
      </c>
      <c r="Y383" s="126">
        <v>1</v>
      </c>
      <c r="Z383" s="126">
        <v>7</v>
      </c>
      <c r="AA383" s="126">
        <v>2026</v>
      </c>
      <c r="AB383" s="126">
        <v>1</v>
      </c>
    </row>
    <row r="384" spans="3:28" ht="21.95" customHeight="1">
      <c r="C384" s="126">
        <v>377</v>
      </c>
      <c r="D384" s="126">
        <v>95</v>
      </c>
      <c r="F384" s="126" t="s">
        <v>2352</v>
      </c>
      <c r="G384" s="126" t="s">
        <v>2353</v>
      </c>
      <c r="H384" s="162">
        <v>46205</v>
      </c>
      <c r="I384" s="126">
        <v>1</v>
      </c>
      <c r="J384" s="141" t="s">
        <v>608</v>
      </c>
      <c r="K384" s="159" t="s">
        <v>609</v>
      </c>
      <c r="L384" s="126">
        <v>6</v>
      </c>
      <c r="M384" s="126">
        <v>0</v>
      </c>
      <c r="N384" s="159" t="s">
        <v>572</v>
      </c>
      <c r="O384" s="126">
        <v>1</v>
      </c>
      <c r="S384" s="204">
        <v>6.28</v>
      </c>
      <c r="T384" s="204">
        <v>5.9</v>
      </c>
      <c r="U384" s="204">
        <v>35.4</v>
      </c>
      <c r="Y384" s="126">
        <v>1</v>
      </c>
      <c r="Z384" s="126">
        <v>7</v>
      </c>
      <c r="AA384" s="126">
        <v>2026</v>
      </c>
      <c r="AB384" s="126">
        <v>1</v>
      </c>
    </row>
    <row r="385" spans="3:28" ht="21.95" customHeight="1">
      <c r="C385" s="126">
        <v>378</v>
      </c>
      <c r="D385" s="126">
        <v>95</v>
      </c>
      <c r="F385" s="126" t="s">
        <v>2352</v>
      </c>
      <c r="G385" s="126" t="s">
        <v>2353</v>
      </c>
      <c r="H385" s="162">
        <v>46205</v>
      </c>
      <c r="I385" s="126">
        <v>1</v>
      </c>
      <c r="J385" s="141" t="s">
        <v>576</v>
      </c>
      <c r="K385" s="159" t="s">
        <v>577</v>
      </c>
      <c r="L385" s="126">
        <v>7</v>
      </c>
      <c r="M385" s="126">
        <v>0</v>
      </c>
      <c r="N385" s="159" t="s">
        <v>572</v>
      </c>
      <c r="O385" s="126">
        <v>1</v>
      </c>
      <c r="S385" s="204">
        <v>3.37</v>
      </c>
      <c r="T385" s="204">
        <v>3.5</v>
      </c>
      <c r="U385" s="204">
        <v>24.5</v>
      </c>
      <c r="Y385" s="126">
        <v>1</v>
      </c>
      <c r="Z385" s="126">
        <v>7</v>
      </c>
      <c r="AA385" s="126">
        <v>2026</v>
      </c>
      <c r="AB385" s="126">
        <v>1</v>
      </c>
    </row>
    <row r="386" spans="3:28" ht="21.95" customHeight="1">
      <c r="C386" s="126">
        <v>379</v>
      </c>
      <c r="D386" s="126">
        <v>95</v>
      </c>
      <c r="F386" s="126" t="s">
        <v>2352</v>
      </c>
      <c r="G386" s="126" t="s">
        <v>2353</v>
      </c>
      <c r="H386" s="162">
        <v>46205</v>
      </c>
      <c r="I386" s="126">
        <v>1</v>
      </c>
      <c r="J386" s="141" t="s">
        <v>652</v>
      </c>
      <c r="K386" s="159" t="s">
        <v>653</v>
      </c>
      <c r="L386" s="126">
        <v>2</v>
      </c>
      <c r="M386" s="126">
        <v>0</v>
      </c>
      <c r="N386" s="159" t="s">
        <v>572</v>
      </c>
      <c r="O386" s="126">
        <v>1</v>
      </c>
      <c r="S386" s="204">
        <v>8.36</v>
      </c>
      <c r="T386" s="204">
        <v>8</v>
      </c>
      <c r="U386" s="204">
        <v>16</v>
      </c>
      <c r="Y386" s="126">
        <v>1</v>
      </c>
      <c r="Z386" s="126">
        <v>7</v>
      </c>
      <c r="AA386" s="126">
        <v>2026</v>
      </c>
      <c r="AB386" s="126">
        <v>1</v>
      </c>
    </row>
    <row r="580" ht="21.75" customHeight="1"/>
    <row r="792" ht="24.75" customHeight="1"/>
    <row r="1181" ht="17.25" customHeight="1"/>
  </sheetData>
  <autoFilter ref="C7:AB7" xr:uid="{00000000-0001-0000-0C00-000000000000}"/>
  <phoneticPr fontId="34" type="noConversion"/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2AFE4-361D-4564-BE50-CDD005F5EA11}">
  <sheetPr codeName="Sheet17"/>
  <dimension ref="C1:L258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M26" sqref="M26"/>
    </sheetView>
  </sheetViews>
  <sheetFormatPr defaultRowHeight="25.5"/>
  <cols>
    <col min="1" max="1" width="2" style="13" customWidth="1"/>
    <col min="2" max="2" width="3.42578125" style="13" customWidth="1"/>
    <col min="3" max="3" width="7.140625" style="153" customWidth="1"/>
    <col min="4" max="4" width="17.7109375" style="157" customWidth="1"/>
    <col min="5" max="5" width="25.85546875" style="157" customWidth="1"/>
    <col min="6" max="6" width="20.42578125" style="157" customWidth="1"/>
    <col min="7" max="7" width="23" style="154" customWidth="1"/>
    <col min="8" max="8" width="17.5703125" style="155" customWidth="1"/>
    <col min="9" max="9" width="19" style="154" customWidth="1"/>
    <col min="10" max="10" width="20.42578125" style="153" customWidth="1"/>
    <col min="11" max="11" width="28" style="156" customWidth="1"/>
    <col min="12" max="12" width="17.140625" style="153" customWidth="1"/>
    <col min="13" max="13" width="37.140625" style="13" customWidth="1"/>
    <col min="14" max="16384" width="9.140625" style="13"/>
  </cols>
  <sheetData>
    <row r="1" spans="3:12" ht="20.25" hidden="1" customHeight="1">
      <c r="C1" s="13"/>
      <c r="D1" s="150"/>
      <c r="E1" s="150"/>
      <c r="F1" s="150"/>
      <c r="G1" s="140"/>
      <c r="H1" s="168"/>
      <c r="I1" s="140"/>
      <c r="J1" s="13"/>
      <c r="K1" s="152"/>
      <c r="L1" s="13"/>
    </row>
    <row r="2" spans="3:12" ht="20.25" hidden="1" customHeight="1">
      <c r="C2" s="13"/>
      <c r="D2" s="150"/>
      <c r="E2" s="150"/>
      <c r="F2" s="150"/>
      <c r="G2" s="140"/>
      <c r="H2" s="168"/>
      <c r="I2" s="140"/>
      <c r="J2" s="13"/>
      <c r="K2" s="152"/>
      <c r="L2" s="13"/>
    </row>
    <row r="3" spans="3:12" ht="20.25" customHeight="1">
      <c r="C3" s="13"/>
      <c r="D3" s="150"/>
      <c r="E3" s="150"/>
      <c r="F3" s="150"/>
      <c r="G3" s="140"/>
      <c r="H3" s="168"/>
      <c r="I3" s="140"/>
      <c r="J3" s="13"/>
      <c r="K3" s="152"/>
      <c r="L3" s="13"/>
    </row>
    <row r="4" spans="3:12" ht="36.75" customHeight="1">
      <c r="C4" s="231" t="s">
        <v>461</v>
      </c>
      <c r="D4" s="244"/>
      <c r="E4" s="244"/>
      <c r="F4" s="244"/>
      <c r="G4" s="245"/>
      <c r="H4" s="246"/>
      <c r="I4" s="245"/>
      <c r="J4" s="245"/>
      <c r="K4" s="245"/>
      <c r="L4" s="245"/>
    </row>
    <row r="5" spans="3:12" ht="26.25" customHeight="1">
      <c r="C5" s="13"/>
      <c r="D5" s="13"/>
      <c r="E5" s="13"/>
      <c r="F5" s="13"/>
      <c r="G5" s="13"/>
      <c r="H5" s="13"/>
      <c r="I5" s="13"/>
      <c r="J5" s="13"/>
      <c r="K5" s="13"/>
      <c r="L5" s="13"/>
    </row>
    <row r="6" spans="3:12" ht="26.25" customHeight="1">
      <c r="C6" s="264" t="s">
        <v>10</v>
      </c>
      <c r="D6" s="264" t="s">
        <v>107</v>
      </c>
      <c r="E6" s="264" t="s">
        <v>142</v>
      </c>
      <c r="F6" s="264" t="s">
        <v>193</v>
      </c>
      <c r="G6" s="264" t="s">
        <v>143</v>
      </c>
      <c r="H6" s="264" t="s">
        <v>150</v>
      </c>
      <c r="I6" s="264" t="s">
        <v>144</v>
      </c>
      <c r="J6" s="264" t="s">
        <v>149</v>
      </c>
      <c r="K6" s="264" t="s">
        <v>15</v>
      </c>
      <c r="L6" s="264" t="s">
        <v>109</v>
      </c>
    </row>
    <row r="7" spans="3:12" ht="19.5" customHeight="1">
      <c r="C7" s="307" t="s">
        <v>139</v>
      </c>
      <c r="D7" s="307" t="s">
        <v>102</v>
      </c>
      <c r="E7" s="307" t="s">
        <v>140</v>
      </c>
      <c r="F7" s="307" t="s">
        <v>194</v>
      </c>
      <c r="G7" s="307" t="s">
        <v>141</v>
      </c>
      <c r="H7" s="307" t="s">
        <v>151</v>
      </c>
      <c r="I7" s="307" t="s">
        <v>386</v>
      </c>
      <c r="J7" s="307" t="s">
        <v>148</v>
      </c>
      <c r="K7" s="307" t="s">
        <v>28</v>
      </c>
      <c r="L7" s="307" t="s">
        <v>98</v>
      </c>
    </row>
    <row r="105" ht="24" customHeight="1"/>
    <row r="258" spans="3:12" s="187" customFormat="1">
      <c r="C258" s="182"/>
      <c r="D258" s="183"/>
      <c r="E258" s="183"/>
      <c r="F258" s="183"/>
      <c r="G258" s="184"/>
      <c r="H258" s="185"/>
      <c r="I258" s="184"/>
      <c r="J258" s="182"/>
      <c r="K258" s="186"/>
      <c r="L258" s="182"/>
    </row>
  </sheetData>
  <phoneticPr fontId="34" type="noConversion"/>
  <printOptions horizontalCentered="1"/>
  <pageMargins left="7.874015748031496E-2" right="7.874015748031496E-2" top="7.874015748031496E-2" bottom="0.39370078740157483" header="7.874015748031496E-2" footer="7.874015748031496E-2"/>
  <pageSetup paperSize="9" scale="69" orientation="portrait" r:id="rId1"/>
  <headerFooter>
    <oddFooter>&amp;CPage &amp;P of &amp;N</oddFooter>
  </headerFooter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C1:AI376"/>
  <sheetViews>
    <sheetView showGridLines="0" zoomScale="80" zoomScaleNormal="80" zoomScaleSheetLayoutView="82" workbookViewId="0">
      <pane ySplit="7" topLeftCell="A8" activePane="bottomLeft" state="frozen"/>
      <selection activeCell="L28" sqref="L28"/>
      <selection pane="bottomLeft" activeCell="O29" sqref="O29"/>
    </sheetView>
  </sheetViews>
  <sheetFormatPr defaultRowHeight="21.95" customHeight="1"/>
  <cols>
    <col min="1" max="1" width="1.7109375" style="126" customWidth="1"/>
    <col min="2" max="2" width="2.85546875" style="126" customWidth="1"/>
    <col min="3" max="3" width="8.140625" style="126" customWidth="1"/>
    <col min="4" max="4" width="14.5703125" style="126" customWidth="1"/>
    <col min="5" max="5" width="17.28515625" style="126" bestFit="1" customWidth="1"/>
    <col min="6" max="6" width="16.7109375" style="162" customWidth="1"/>
    <col min="7" max="7" width="10.7109375" style="131" bestFit="1" customWidth="1"/>
    <col min="8" max="8" width="15.28515625" style="131" customWidth="1"/>
    <col min="9" max="9" width="15.140625" style="131" customWidth="1"/>
    <col min="10" max="10" width="15" style="126" customWidth="1"/>
    <col min="11" max="11" width="16.28515625" style="126" customWidth="1"/>
    <col min="12" max="12" width="19.85546875" style="141" customWidth="1"/>
    <col min="13" max="13" width="31" style="159" customWidth="1"/>
    <col min="14" max="14" width="17.28515625" style="126" customWidth="1"/>
    <col min="15" max="15" width="18.28515625" style="126" customWidth="1"/>
    <col min="16" max="16" width="18.85546875" style="126" bestFit="1" customWidth="1"/>
    <col min="17" max="17" width="18.42578125" style="159" bestFit="1" customWidth="1"/>
    <col min="18" max="18" width="18.42578125" style="149" customWidth="1"/>
    <col min="19" max="19" width="15.7109375" style="149" customWidth="1"/>
    <col min="20" max="20" width="19.7109375" style="206" customWidth="1"/>
    <col min="21" max="21" width="23.28515625" style="206" customWidth="1"/>
    <col min="22" max="22" width="22.42578125" style="166" bestFit="1" customWidth="1"/>
    <col min="23" max="23" width="15.5703125" style="131" customWidth="1"/>
    <col min="24" max="24" width="54.140625" style="127" bestFit="1" customWidth="1"/>
    <col min="25" max="25" width="9.28515625" style="126" customWidth="1"/>
    <col min="26" max="26" width="11.28515625" style="126" customWidth="1"/>
    <col min="27" max="27" width="8.85546875" style="126" customWidth="1"/>
    <col min="28" max="28" width="9.28515625" style="126" bestFit="1" customWidth="1"/>
    <col min="31" max="31" width="15.7109375" style="126" bestFit="1" customWidth="1"/>
    <col min="32" max="32" width="11.7109375" style="126" bestFit="1" customWidth="1"/>
    <col min="33" max="34" width="9.140625" style="126"/>
    <col min="35" max="35" width="20.28515625" style="126" bestFit="1" customWidth="1"/>
    <col min="36" max="16384" width="9.140625" style="126"/>
  </cols>
  <sheetData>
    <row r="1" spans="3:35" ht="21.95" hidden="1" customHeight="1">
      <c r="Q1" s="149"/>
    </row>
    <row r="2" spans="3:35" customFormat="1" ht="24.95" customHeight="1">
      <c r="F2" s="147"/>
      <c r="G2" s="129"/>
      <c r="H2" s="129"/>
      <c r="I2" s="129"/>
      <c r="L2" s="135"/>
      <c r="M2" s="136"/>
      <c r="Q2" s="68"/>
      <c r="R2" s="68"/>
      <c r="S2" s="68"/>
      <c r="T2" s="203"/>
      <c r="U2" s="203"/>
      <c r="V2" s="165"/>
      <c r="W2" s="129"/>
      <c r="X2" s="260"/>
      <c r="AE2" s="147"/>
      <c r="AF2" s="147"/>
    </row>
    <row r="3" spans="3:35" customFormat="1" ht="33.75">
      <c r="C3" s="291" t="s">
        <v>462</v>
      </c>
      <c r="D3" s="233"/>
      <c r="E3" s="233"/>
      <c r="F3" s="247"/>
      <c r="G3" s="248"/>
      <c r="H3" s="248"/>
      <c r="I3" s="248"/>
      <c r="J3" s="233"/>
      <c r="K3" s="233"/>
      <c r="L3" s="249"/>
      <c r="M3" s="250"/>
      <c r="N3" s="233"/>
      <c r="O3" s="233"/>
      <c r="P3" s="2"/>
      <c r="Q3" s="250"/>
      <c r="R3" s="250"/>
      <c r="S3" s="250"/>
      <c r="T3" s="234"/>
      <c r="U3" s="234">
        <f>P8*T8</f>
        <v>0</v>
      </c>
      <c r="V3" s="251"/>
      <c r="W3" s="248"/>
      <c r="X3" s="260"/>
      <c r="Y3" s="233"/>
      <c r="Z3" s="233"/>
      <c r="AA3" s="233"/>
      <c r="AB3" s="233"/>
    </row>
    <row r="4" spans="3:35" customFormat="1" ht="11.25" customHeight="1">
      <c r="F4" s="147"/>
      <c r="G4" s="129"/>
      <c r="H4" s="129"/>
      <c r="I4" s="129"/>
      <c r="L4" s="135"/>
      <c r="M4" s="136"/>
      <c r="Q4" s="68"/>
      <c r="R4" s="68"/>
      <c r="S4" s="68"/>
      <c r="T4" s="203"/>
      <c r="U4" s="203"/>
      <c r="V4" s="165"/>
      <c r="W4" s="129"/>
      <c r="X4" s="260"/>
    </row>
    <row r="5" spans="3:35" s="13" customFormat="1" ht="9" customHeight="1"/>
    <row r="6" spans="3:35" customFormat="1" ht="28.5" customHeight="1">
      <c r="C6" s="308" t="s">
        <v>10</v>
      </c>
      <c r="D6" s="308" t="s">
        <v>34</v>
      </c>
      <c r="E6" s="308" t="s">
        <v>125</v>
      </c>
      <c r="F6" s="309" t="s">
        <v>24</v>
      </c>
      <c r="G6" s="308" t="s">
        <v>41</v>
      </c>
      <c r="H6" s="308" t="s">
        <v>214</v>
      </c>
      <c r="I6" s="308" t="s">
        <v>211</v>
      </c>
      <c r="J6" s="308" t="s">
        <v>193</v>
      </c>
      <c r="K6" s="308" t="s">
        <v>131</v>
      </c>
      <c r="L6" s="308" t="s">
        <v>37</v>
      </c>
      <c r="M6" s="308" t="s">
        <v>38</v>
      </c>
      <c r="N6" s="308" t="s">
        <v>133</v>
      </c>
      <c r="O6" s="308" t="s">
        <v>122</v>
      </c>
      <c r="P6" s="308" t="s">
        <v>134</v>
      </c>
      <c r="Q6" s="308" t="s">
        <v>13</v>
      </c>
      <c r="R6" s="308" t="s">
        <v>264</v>
      </c>
      <c r="S6" s="308" t="s">
        <v>451</v>
      </c>
      <c r="T6" s="310" t="s">
        <v>138</v>
      </c>
      <c r="U6" s="310" t="s">
        <v>137</v>
      </c>
      <c r="V6" s="311" t="s">
        <v>24</v>
      </c>
      <c r="W6" s="308" t="s">
        <v>192</v>
      </c>
      <c r="X6" s="308" t="s">
        <v>467</v>
      </c>
      <c r="Y6" s="308" t="s">
        <v>109</v>
      </c>
      <c r="Z6" s="308" t="s">
        <v>23</v>
      </c>
      <c r="AA6" s="308" t="s">
        <v>95</v>
      </c>
      <c r="AB6" s="308" t="s">
        <v>120</v>
      </c>
    </row>
    <row r="7" spans="3:35" customFormat="1" ht="21.75" customHeight="1">
      <c r="C7" s="307" t="s">
        <v>139</v>
      </c>
      <c r="D7" s="307" t="s">
        <v>132</v>
      </c>
      <c r="E7" s="307" t="s">
        <v>96</v>
      </c>
      <c r="F7" s="312" t="s">
        <v>216</v>
      </c>
      <c r="G7" s="307" t="s">
        <v>11</v>
      </c>
      <c r="H7" s="307" t="s">
        <v>210</v>
      </c>
      <c r="I7" s="307" t="s">
        <v>418</v>
      </c>
      <c r="J7" s="307" t="s">
        <v>195</v>
      </c>
      <c r="K7" s="307" t="s">
        <v>130</v>
      </c>
      <c r="L7" s="307" t="s">
        <v>35</v>
      </c>
      <c r="M7" s="307" t="s">
        <v>190</v>
      </c>
      <c r="N7" s="307" t="s">
        <v>145</v>
      </c>
      <c r="O7" s="307" t="s">
        <v>146</v>
      </c>
      <c r="P7" s="307" t="s">
        <v>147</v>
      </c>
      <c r="Q7" s="307" t="s">
        <v>4</v>
      </c>
      <c r="R7" s="307" t="s">
        <v>197</v>
      </c>
      <c r="S7" s="307" t="s">
        <v>415</v>
      </c>
      <c r="T7" s="313" t="s">
        <v>135</v>
      </c>
      <c r="U7" s="313" t="s">
        <v>136</v>
      </c>
      <c r="V7" s="314" t="s">
        <v>215</v>
      </c>
      <c r="W7" s="307" t="s">
        <v>191</v>
      </c>
      <c r="X7" s="307" t="s">
        <v>466</v>
      </c>
      <c r="Y7" s="307" t="s">
        <v>98</v>
      </c>
      <c r="Z7" s="307" t="s">
        <v>26</v>
      </c>
      <c r="AA7" s="307" t="s">
        <v>2</v>
      </c>
      <c r="AB7" s="307" t="s">
        <v>121</v>
      </c>
    </row>
    <row r="8" spans="3:35" ht="21.95" customHeight="1">
      <c r="AE8" s="141"/>
    </row>
    <row r="9" spans="3:35" ht="21.95" customHeight="1">
      <c r="AE9" s="13"/>
      <c r="AF9" s="344"/>
      <c r="AG9" s="345"/>
      <c r="AI9" s="128"/>
    </row>
    <row r="10" spans="3:35" ht="21.95" customHeight="1">
      <c r="AE10" s="13"/>
      <c r="AF10" s="344"/>
      <c r="AG10" s="345"/>
      <c r="AI10" s="128"/>
    </row>
    <row r="11" spans="3:35" ht="21.95" customHeight="1">
      <c r="AE11" s="13"/>
      <c r="AF11" s="344"/>
      <c r="AG11" s="345"/>
      <c r="AI11" s="128"/>
    </row>
    <row r="12" spans="3:35" ht="21.95" customHeight="1">
      <c r="AE12" s="13"/>
      <c r="AF12" s="346"/>
      <c r="AG12" s="347"/>
      <c r="AI12" s="128"/>
    </row>
    <row r="13" spans="3:35" ht="21.95" customHeight="1">
      <c r="AE13" s="13"/>
      <c r="AF13" s="344"/>
      <c r="AG13" s="345"/>
      <c r="AI13" s="128"/>
    </row>
    <row r="14" spans="3:35" ht="21.95" customHeight="1">
      <c r="AE14" s="13"/>
      <c r="AF14" s="344"/>
      <c r="AG14" s="345"/>
      <c r="AI14" s="128"/>
    </row>
    <row r="15" spans="3:35" ht="21.95" customHeight="1">
      <c r="AE15" s="13"/>
      <c r="AF15" s="344"/>
      <c r="AG15" s="345"/>
      <c r="AI15" s="128"/>
    </row>
    <row r="16" spans="3:35" ht="21.95" customHeight="1">
      <c r="AE16" s="13"/>
      <c r="AF16" s="344"/>
      <c r="AG16" s="345"/>
      <c r="AI16" s="128"/>
    </row>
    <row r="17" spans="31:35" ht="21.95" customHeight="1">
      <c r="AE17" s="13"/>
      <c r="AF17" s="344"/>
      <c r="AG17" s="345"/>
      <c r="AI17" s="128"/>
    </row>
    <row r="18" spans="31:35" ht="21.95" customHeight="1">
      <c r="AE18" s="13"/>
      <c r="AF18" s="344"/>
      <c r="AG18" s="345"/>
      <c r="AI18" s="128"/>
    </row>
    <row r="19" spans="31:35" ht="21.95" customHeight="1">
      <c r="AE19" s="13"/>
      <c r="AF19" s="344"/>
      <c r="AG19" s="345"/>
      <c r="AI19" s="128"/>
    </row>
    <row r="20" spans="31:35" ht="21.95" customHeight="1">
      <c r="AE20" s="13"/>
      <c r="AF20" s="344"/>
      <c r="AG20" s="345"/>
      <c r="AI20" s="128"/>
    </row>
    <row r="21" spans="31:35" ht="21.95" customHeight="1">
      <c r="AE21" s="13"/>
      <c r="AF21" s="344"/>
      <c r="AG21" s="345"/>
      <c r="AI21" s="128"/>
    </row>
    <row r="22" spans="31:35" ht="21.95" customHeight="1">
      <c r="AE22" s="13"/>
      <c r="AF22" s="344"/>
      <c r="AG22" s="345"/>
      <c r="AI22" s="128"/>
    </row>
    <row r="23" spans="31:35" ht="21.95" customHeight="1">
      <c r="AE23" s="13"/>
      <c r="AF23" s="344"/>
      <c r="AG23" s="345"/>
      <c r="AI23" s="128"/>
    </row>
    <row r="24" spans="31:35" ht="21.95" customHeight="1">
      <c r="AE24" s="13"/>
      <c r="AF24" s="344"/>
      <c r="AG24" s="345"/>
      <c r="AI24" s="128"/>
    </row>
    <row r="25" spans="31:35" ht="21.95" customHeight="1">
      <c r="AE25" s="13"/>
      <c r="AF25" s="344"/>
      <c r="AG25" s="345"/>
      <c r="AI25" s="128"/>
    </row>
    <row r="26" spans="31:35" ht="21.95" customHeight="1">
      <c r="AE26" s="13"/>
      <c r="AF26" s="348"/>
      <c r="AG26" s="349"/>
      <c r="AI26" s="128"/>
    </row>
    <row r="27" spans="31:35" ht="21.95" customHeight="1">
      <c r="AE27" s="13"/>
      <c r="AF27" s="348"/>
      <c r="AG27" s="349"/>
      <c r="AI27" s="128"/>
    </row>
    <row r="28" spans="31:35" ht="21.95" customHeight="1">
      <c r="AE28" s="13"/>
      <c r="AF28" s="350"/>
      <c r="AG28" s="351"/>
      <c r="AI28" s="128"/>
    </row>
    <row r="29" spans="31:35" ht="21.95" customHeight="1">
      <c r="AE29" s="13"/>
      <c r="AF29" s="344"/>
      <c r="AG29" s="345"/>
      <c r="AI29" s="128"/>
    </row>
    <row r="30" spans="31:35" ht="21.95" customHeight="1">
      <c r="AE30" s="13"/>
      <c r="AF30" s="344"/>
      <c r="AG30" s="345"/>
      <c r="AI30" s="128"/>
    </row>
    <row r="31" spans="31:35" ht="21.95" customHeight="1">
      <c r="AE31" s="13"/>
      <c r="AF31" s="344"/>
      <c r="AG31" s="345"/>
      <c r="AI31" s="128"/>
    </row>
    <row r="32" spans="31:35" ht="21.95" customHeight="1">
      <c r="AE32" s="13"/>
      <c r="AF32" s="344"/>
      <c r="AG32" s="345"/>
      <c r="AI32" s="128"/>
    </row>
    <row r="33" spans="31:35" ht="21.95" customHeight="1">
      <c r="AE33" s="13"/>
      <c r="AF33" s="344"/>
      <c r="AG33" s="345"/>
      <c r="AI33" s="128"/>
    </row>
    <row r="34" spans="31:35" ht="21.95" customHeight="1">
      <c r="AE34" s="13"/>
      <c r="AF34" s="344"/>
      <c r="AG34" s="345"/>
      <c r="AI34" s="128"/>
    </row>
    <row r="376" spans="7:21" ht="21" customHeight="1">
      <c r="G376" s="173"/>
      <c r="H376" s="173"/>
      <c r="I376" s="173"/>
      <c r="J376" s="172"/>
      <c r="K376" s="172"/>
      <c r="N376" s="172"/>
      <c r="O376" s="172"/>
      <c r="T376" s="207"/>
      <c r="U376" s="207"/>
    </row>
  </sheetData>
  <phoneticPr fontId="34" type="noConversion"/>
  <printOptions horizontalCentered="1"/>
  <pageMargins left="7.874015748031496E-2" right="7.874015748031496E-2" top="3.937007874015748E-2" bottom="0.39370078740157483" header="7.874015748031496E-2" footer="7.874015748031496E-2"/>
  <pageSetup paperSize="9" scale="76" orientation="landscape" r:id="rId1"/>
  <headerFooter>
    <oddFooter>&amp;CPage &amp;P of &amp;N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F155B-909D-4572-8E68-781C3A9B4F49}">
  <sheetPr codeName="Sheet21"/>
  <dimension ref="C1:S133"/>
  <sheetViews>
    <sheetView showGridLines="0" topLeftCell="A3" zoomScale="90" zoomScaleNormal="90" workbookViewId="0">
      <pane ySplit="5" topLeftCell="A97" activePane="bottomLeft" state="frozen"/>
      <selection activeCell="L28" sqref="L28"/>
      <selection pane="bottomLeft" activeCell="I132" sqref="I132"/>
    </sheetView>
  </sheetViews>
  <sheetFormatPr defaultColWidth="12.5703125" defaultRowHeight="23.1" customHeight="1"/>
  <cols>
    <col min="1" max="1" width="3.5703125" style="126" customWidth="1"/>
    <col min="2" max="2" width="3.28515625" style="126" customWidth="1"/>
    <col min="3" max="3" width="15.7109375" style="126" bestFit="1" customWidth="1"/>
    <col min="4" max="4" width="19.7109375" style="141" customWidth="1"/>
    <col min="5" max="5" width="31.140625" style="163" customWidth="1"/>
    <col min="6" max="6" width="26.28515625" style="149" customWidth="1"/>
    <col min="7" max="7" width="22.28515625" style="149" customWidth="1"/>
    <col min="8" max="8" width="19" style="159" customWidth="1"/>
    <col min="9" max="9" width="18" style="226" customWidth="1"/>
    <col min="10" max="10" width="15.7109375" style="126" customWidth="1"/>
    <col min="11" max="11" width="14.5703125" style="126" customWidth="1"/>
    <col min="12" max="12" width="13" style="126" customWidth="1"/>
    <col min="13" max="13" width="12.5703125" style="126" customWidth="1"/>
    <col min="14" max="14" width="14.5703125" style="126" customWidth="1"/>
    <col min="15" max="15" width="19.28515625" style="126" hidden="1" customWidth="1"/>
    <col min="16" max="16" width="19.5703125" style="126" hidden="1" customWidth="1"/>
    <col min="17" max="17" width="16.28515625" style="126" hidden="1" customWidth="1"/>
    <col min="18" max="18" width="13.7109375" style="126" hidden="1" customWidth="1"/>
    <col min="19" max="19" width="12.5703125" style="126" hidden="1" customWidth="1"/>
    <col min="20" max="16384" width="12.5703125" style="126"/>
  </cols>
  <sheetData>
    <row r="1" spans="3:19" s="13" customFormat="1" ht="23.25" hidden="1">
      <c r="C1" s="126"/>
      <c r="D1" s="140"/>
      <c r="E1" s="163"/>
      <c r="F1" s="149"/>
      <c r="G1" s="149"/>
      <c r="H1" s="159"/>
      <c r="I1" s="226"/>
    </row>
    <row r="2" spans="3:19" s="13" customFormat="1" ht="23.25" hidden="1">
      <c r="C2" s="126"/>
      <c r="D2" s="140"/>
      <c r="E2" s="163"/>
      <c r="F2" s="149"/>
      <c r="G2" s="149"/>
      <c r="H2" s="159"/>
      <c r="I2" s="226"/>
    </row>
    <row r="3" spans="3:19" s="13" customFormat="1" ht="23.25">
      <c r="C3" s="126"/>
      <c r="D3" s="140"/>
      <c r="E3" s="163"/>
      <c r="F3" s="149"/>
      <c r="G3" s="149"/>
      <c r="H3" s="159"/>
      <c r="I3" s="226"/>
    </row>
    <row r="4" spans="3:19" s="13" customFormat="1" ht="32.25" customHeight="1">
      <c r="C4" s="126"/>
      <c r="D4" s="140"/>
      <c r="E4" s="167"/>
      <c r="F4" s="191"/>
      <c r="G4" s="191"/>
      <c r="H4" s="190"/>
      <c r="I4" s="227"/>
    </row>
    <row r="5" spans="3:19" s="13" customFormat="1" ht="8.25" customHeight="1">
      <c r="C5" s="126"/>
      <c r="D5" s="140"/>
      <c r="E5" s="163"/>
      <c r="F5" s="149"/>
      <c r="G5" s="149"/>
      <c r="H5" s="159"/>
      <c r="I5" s="226"/>
    </row>
    <row r="6" spans="3:19" s="13" customFormat="1" ht="25.5">
      <c r="C6" s="264" t="s">
        <v>173</v>
      </c>
      <c r="D6" s="265" t="s">
        <v>213</v>
      </c>
      <c r="E6" s="265" t="s">
        <v>12</v>
      </c>
      <c r="F6" s="264" t="s">
        <v>292</v>
      </c>
      <c r="G6" s="264" t="s">
        <v>186</v>
      </c>
      <c r="H6" s="264" t="s">
        <v>214</v>
      </c>
      <c r="I6" s="266" t="s">
        <v>211</v>
      </c>
      <c r="J6" s="264" t="s">
        <v>174</v>
      </c>
      <c r="K6" s="264" t="s">
        <v>175</v>
      </c>
      <c r="L6" s="264" t="s">
        <v>119</v>
      </c>
      <c r="M6" s="264" t="s">
        <v>176</v>
      </c>
      <c r="N6" s="264" t="s">
        <v>177</v>
      </c>
      <c r="O6" s="151" t="s">
        <v>178</v>
      </c>
      <c r="P6" s="151" t="s">
        <v>179</v>
      </c>
      <c r="Q6" s="151" t="s">
        <v>180</v>
      </c>
      <c r="R6" s="151" t="s">
        <v>181</v>
      </c>
      <c r="S6" s="151" t="s">
        <v>182</v>
      </c>
    </row>
    <row r="7" spans="3:19" ht="20.25" customHeight="1">
      <c r="C7" s="267" t="s">
        <v>162</v>
      </c>
      <c r="D7" s="268" t="s">
        <v>207</v>
      </c>
      <c r="E7" s="268" t="s">
        <v>17</v>
      </c>
      <c r="F7" s="267" t="s">
        <v>293</v>
      </c>
      <c r="G7" s="267" t="s">
        <v>163</v>
      </c>
      <c r="H7" s="267" t="s">
        <v>210</v>
      </c>
      <c r="I7" s="269" t="s">
        <v>202</v>
      </c>
      <c r="J7" s="267" t="s">
        <v>164</v>
      </c>
      <c r="K7" s="267" t="s">
        <v>165</v>
      </c>
      <c r="L7" s="267" t="s">
        <v>172</v>
      </c>
      <c r="M7" s="267" t="s">
        <v>166</v>
      </c>
      <c r="N7" s="267" t="s">
        <v>167</v>
      </c>
      <c r="O7" s="148" t="s">
        <v>168</v>
      </c>
      <c r="P7" s="148" t="s">
        <v>169</v>
      </c>
      <c r="Q7" s="148" t="s">
        <v>170</v>
      </c>
      <c r="R7" s="148" t="s">
        <v>171</v>
      </c>
      <c r="S7" s="148" t="s">
        <v>183</v>
      </c>
    </row>
    <row r="8" spans="3:19" ht="23.1" customHeight="1">
      <c r="C8" s="126">
        <v>6</v>
      </c>
      <c r="D8" s="141" t="s">
        <v>559</v>
      </c>
      <c r="E8" s="163" t="s">
        <v>560</v>
      </c>
      <c r="F8" s="149">
        <v>1</v>
      </c>
      <c r="G8" s="149">
        <v>1</v>
      </c>
      <c r="J8" s="126">
        <v>10</v>
      </c>
      <c r="K8" s="126">
        <v>0</v>
      </c>
      <c r="L8" s="126">
        <v>10</v>
      </c>
      <c r="M8" s="126">
        <v>0</v>
      </c>
      <c r="N8" s="126">
        <v>20</v>
      </c>
      <c r="O8" s="126">
        <v>0</v>
      </c>
      <c r="P8" s="126">
        <v>0</v>
      </c>
      <c r="Q8" s="126">
        <v>0</v>
      </c>
      <c r="R8" s="126">
        <v>0</v>
      </c>
      <c r="S8" s="126">
        <v>0</v>
      </c>
    </row>
    <row r="9" spans="3:19" ht="23.1" customHeight="1">
      <c r="C9" s="126">
        <v>153</v>
      </c>
      <c r="D9" s="141" t="s">
        <v>554</v>
      </c>
      <c r="E9" s="163" t="s">
        <v>555</v>
      </c>
      <c r="F9" s="149">
        <v>1</v>
      </c>
      <c r="G9" s="149">
        <v>1</v>
      </c>
      <c r="J9" s="126">
        <v>7</v>
      </c>
      <c r="K9" s="126">
        <v>0</v>
      </c>
      <c r="L9" s="126">
        <v>7</v>
      </c>
      <c r="M9" s="126">
        <v>0</v>
      </c>
      <c r="N9" s="126">
        <v>14</v>
      </c>
      <c r="O9" s="126">
        <v>0</v>
      </c>
      <c r="P9" s="126">
        <v>0</v>
      </c>
      <c r="Q9" s="126">
        <v>0</v>
      </c>
      <c r="R9" s="126">
        <v>0</v>
      </c>
      <c r="S9" s="126">
        <v>0</v>
      </c>
    </row>
    <row r="10" spans="3:19" ht="23.1" customHeight="1">
      <c r="C10" s="126">
        <v>179</v>
      </c>
      <c r="D10" s="141" t="s">
        <v>564</v>
      </c>
      <c r="E10" s="163" t="s">
        <v>565</v>
      </c>
      <c r="F10" s="149">
        <v>1</v>
      </c>
      <c r="G10" s="149">
        <v>1</v>
      </c>
      <c r="J10" s="126">
        <v>835</v>
      </c>
      <c r="K10" s="126">
        <v>0</v>
      </c>
      <c r="L10" s="126">
        <v>3165</v>
      </c>
      <c r="M10" s="126">
        <v>0</v>
      </c>
      <c r="N10" s="126">
        <v>4000</v>
      </c>
      <c r="O10" s="126">
        <v>0</v>
      </c>
      <c r="P10" s="126">
        <v>0</v>
      </c>
      <c r="Q10" s="126">
        <v>0</v>
      </c>
      <c r="R10" s="126">
        <v>0</v>
      </c>
      <c r="S10" s="126">
        <v>0</v>
      </c>
    </row>
    <row r="11" spans="3:19" ht="23.1" customHeight="1">
      <c r="C11" s="126">
        <v>192</v>
      </c>
      <c r="D11" s="141" t="s">
        <v>570</v>
      </c>
      <c r="E11" s="163" t="s">
        <v>571</v>
      </c>
      <c r="F11" s="149">
        <v>1</v>
      </c>
      <c r="G11" s="149">
        <v>1</v>
      </c>
      <c r="J11" s="126">
        <v>4</v>
      </c>
      <c r="K11" s="126">
        <v>0</v>
      </c>
      <c r="L11" s="126">
        <v>4</v>
      </c>
      <c r="M11" s="126">
        <v>0</v>
      </c>
      <c r="N11" s="126">
        <v>8</v>
      </c>
      <c r="O11" s="126">
        <v>0</v>
      </c>
      <c r="P11" s="126">
        <v>0</v>
      </c>
      <c r="Q11" s="126">
        <v>0</v>
      </c>
      <c r="R11" s="126">
        <v>0</v>
      </c>
      <c r="S11" s="126">
        <v>0</v>
      </c>
    </row>
    <row r="12" spans="3:19" ht="23.1" customHeight="1">
      <c r="C12" s="126">
        <v>187</v>
      </c>
      <c r="D12" s="141" t="s">
        <v>576</v>
      </c>
      <c r="E12" s="163" t="s">
        <v>577</v>
      </c>
      <c r="F12" s="149">
        <v>1</v>
      </c>
      <c r="G12" s="149">
        <v>1</v>
      </c>
      <c r="J12" s="126">
        <v>16</v>
      </c>
      <c r="K12" s="126">
        <v>0</v>
      </c>
      <c r="L12" s="126">
        <v>240</v>
      </c>
      <c r="M12" s="126">
        <v>0</v>
      </c>
      <c r="N12" s="126">
        <v>256</v>
      </c>
      <c r="O12" s="126">
        <v>0</v>
      </c>
      <c r="P12" s="126">
        <v>0</v>
      </c>
      <c r="Q12" s="126">
        <v>0</v>
      </c>
      <c r="R12" s="126">
        <v>0</v>
      </c>
      <c r="S12" s="126">
        <v>0</v>
      </c>
    </row>
    <row r="13" spans="3:19" ht="23.1" customHeight="1">
      <c r="C13" s="126">
        <v>4</v>
      </c>
      <c r="D13" s="141" t="s">
        <v>581</v>
      </c>
      <c r="E13" s="163" t="s">
        <v>582</v>
      </c>
      <c r="F13" s="149">
        <v>1</v>
      </c>
      <c r="G13" s="149">
        <v>1</v>
      </c>
      <c r="J13" s="126">
        <v>-1</v>
      </c>
      <c r="K13" s="126">
        <v>0</v>
      </c>
      <c r="L13" s="126">
        <v>1</v>
      </c>
      <c r="M13" s="126">
        <v>0</v>
      </c>
      <c r="N13" s="126">
        <v>0</v>
      </c>
      <c r="O13" s="126">
        <v>0</v>
      </c>
      <c r="P13" s="126">
        <v>0</v>
      </c>
      <c r="Q13" s="126">
        <v>0</v>
      </c>
      <c r="R13" s="126">
        <v>0</v>
      </c>
      <c r="S13" s="126">
        <v>0</v>
      </c>
    </row>
    <row r="14" spans="3:19" ht="23.1" customHeight="1">
      <c r="C14" s="126">
        <v>10</v>
      </c>
      <c r="D14" s="141" t="s">
        <v>586</v>
      </c>
      <c r="E14" s="163" t="s">
        <v>587</v>
      </c>
      <c r="F14" s="149">
        <v>1</v>
      </c>
      <c r="G14" s="149">
        <v>1</v>
      </c>
      <c r="J14" s="126">
        <v>5</v>
      </c>
      <c r="K14" s="126">
        <v>0</v>
      </c>
      <c r="L14" s="126">
        <v>5</v>
      </c>
      <c r="M14" s="126">
        <v>0</v>
      </c>
      <c r="N14" s="126">
        <v>10</v>
      </c>
      <c r="O14" s="126">
        <v>0</v>
      </c>
      <c r="P14" s="126">
        <v>0</v>
      </c>
      <c r="Q14" s="126">
        <v>0</v>
      </c>
      <c r="R14" s="126">
        <v>0</v>
      </c>
      <c r="S14" s="126">
        <v>0</v>
      </c>
    </row>
    <row r="15" spans="3:19" ht="23.1" customHeight="1">
      <c r="C15" s="126">
        <v>105</v>
      </c>
      <c r="D15" s="141" t="s">
        <v>591</v>
      </c>
      <c r="E15" s="163" t="s">
        <v>592</v>
      </c>
      <c r="F15" s="149">
        <v>1</v>
      </c>
      <c r="G15" s="149">
        <v>1</v>
      </c>
      <c r="J15" s="126">
        <v>2</v>
      </c>
      <c r="K15" s="126">
        <v>0</v>
      </c>
      <c r="L15" s="126">
        <v>2</v>
      </c>
      <c r="M15" s="126">
        <v>0</v>
      </c>
      <c r="N15" s="126">
        <v>4</v>
      </c>
      <c r="O15" s="126">
        <v>0</v>
      </c>
      <c r="P15" s="126">
        <v>0</v>
      </c>
      <c r="Q15" s="126">
        <v>0</v>
      </c>
      <c r="R15" s="126">
        <v>0</v>
      </c>
      <c r="S15" s="126">
        <v>0</v>
      </c>
    </row>
    <row r="16" spans="3:19" ht="23.1" customHeight="1">
      <c r="C16" s="126">
        <v>48</v>
      </c>
      <c r="D16" s="141" t="s">
        <v>596</v>
      </c>
      <c r="E16" s="163" t="s">
        <v>597</v>
      </c>
      <c r="F16" s="149">
        <v>1</v>
      </c>
      <c r="G16" s="149">
        <v>1</v>
      </c>
      <c r="J16" s="126">
        <v>7</v>
      </c>
      <c r="K16" s="126">
        <v>0</v>
      </c>
      <c r="L16" s="126">
        <v>7</v>
      </c>
      <c r="M16" s="126">
        <v>0</v>
      </c>
      <c r="N16" s="126">
        <v>14</v>
      </c>
      <c r="O16" s="126">
        <v>0</v>
      </c>
      <c r="P16" s="126">
        <v>0</v>
      </c>
      <c r="Q16" s="126">
        <v>0</v>
      </c>
      <c r="R16" s="126">
        <v>0</v>
      </c>
      <c r="S16" s="126">
        <v>0</v>
      </c>
    </row>
    <row r="17" spans="3:19" ht="23.1" customHeight="1">
      <c r="C17" s="126">
        <v>169</v>
      </c>
      <c r="D17" s="141" t="s">
        <v>601</v>
      </c>
      <c r="E17" s="163" t="s">
        <v>602</v>
      </c>
      <c r="F17" s="149">
        <v>1</v>
      </c>
      <c r="G17" s="149">
        <v>1</v>
      </c>
      <c r="J17" s="126">
        <v>16</v>
      </c>
      <c r="K17" s="126">
        <v>0</v>
      </c>
      <c r="L17" s="126">
        <v>16</v>
      </c>
      <c r="M17" s="126">
        <v>0</v>
      </c>
      <c r="N17" s="126">
        <v>32</v>
      </c>
      <c r="O17" s="126">
        <v>0</v>
      </c>
      <c r="P17" s="126">
        <v>0</v>
      </c>
      <c r="Q17" s="126">
        <v>0</v>
      </c>
      <c r="R17" s="126">
        <v>0</v>
      </c>
      <c r="S17" s="126">
        <v>0</v>
      </c>
    </row>
    <row r="18" spans="3:19" ht="23.1" customHeight="1">
      <c r="C18" s="126">
        <v>195</v>
      </c>
      <c r="D18" s="141" t="s">
        <v>608</v>
      </c>
      <c r="E18" s="163" t="s">
        <v>609</v>
      </c>
      <c r="F18" s="149">
        <v>1</v>
      </c>
      <c r="G18" s="149">
        <v>1</v>
      </c>
      <c r="J18" s="126">
        <v>-4</v>
      </c>
      <c r="K18" s="126">
        <v>0</v>
      </c>
      <c r="L18" s="126">
        <v>144</v>
      </c>
      <c r="M18" s="126">
        <v>0</v>
      </c>
      <c r="N18" s="126">
        <v>140</v>
      </c>
      <c r="O18" s="126">
        <v>0</v>
      </c>
      <c r="P18" s="126">
        <v>0</v>
      </c>
      <c r="Q18" s="126">
        <v>0</v>
      </c>
      <c r="R18" s="126">
        <v>0</v>
      </c>
      <c r="S18" s="126">
        <v>0</v>
      </c>
    </row>
    <row r="19" spans="3:19" ht="23.1" customHeight="1">
      <c r="C19" s="126">
        <v>186</v>
      </c>
      <c r="D19" s="141" t="s">
        <v>616</v>
      </c>
      <c r="E19" s="163" t="s">
        <v>617</v>
      </c>
      <c r="F19" s="149">
        <v>1</v>
      </c>
      <c r="G19" s="149">
        <v>1</v>
      </c>
      <c r="J19" s="126">
        <v>24</v>
      </c>
      <c r="K19" s="126">
        <v>0</v>
      </c>
      <c r="L19" s="126">
        <v>12</v>
      </c>
      <c r="M19" s="126">
        <v>0</v>
      </c>
      <c r="N19" s="126">
        <v>36</v>
      </c>
      <c r="O19" s="126">
        <v>0</v>
      </c>
      <c r="P19" s="126">
        <v>0</v>
      </c>
      <c r="Q19" s="126">
        <v>0</v>
      </c>
      <c r="R19" s="126">
        <v>0</v>
      </c>
      <c r="S19" s="126">
        <v>0</v>
      </c>
    </row>
    <row r="20" spans="3:19" ht="23.1" customHeight="1">
      <c r="C20" s="126">
        <v>182</v>
      </c>
      <c r="D20" s="141" t="s">
        <v>627</v>
      </c>
      <c r="E20" s="163" t="s">
        <v>628</v>
      </c>
      <c r="F20" s="149">
        <v>1</v>
      </c>
      <c r="G20" s="149">
        <v>1</v>
      </c>
      <c r="J20" s="126">
        <v>132</v>
      </c>
      <c r="K20" s="126">
        <v>0</v>
      </c>
      <c r="L20" s="126">
        <v>252</v>
      </c>
      <c r="M20" s="126">
        <v>0</v>
      </c>
      <c r="N20" s="126">
        <v>384</v>
      </c>
      <c r="O20" s="126">
        <v>0</v>
      </c>
      <c r="P20" s="126">
        <v>0</v>
      </c>
      <c r="Q20" s="126">
        <v>0</v>
      </c>
      <c r="R20" s="126">
        <v>0</v>
      </c>
      <c r="S20" s="126">
        <v>0</v>
      </c>
    </row>
    <row r="21" spans="3:19" ht="23.1" customHeight="1">
      <c r="C21" s="126">
        <v>96</v>
      </c>
      <c r="D21" s="141" t="s">
        <v>632</v>
      </c>
      <c r="E21" s="163" t="s">
        <v>633</v>
      </c>
      <c r="F21" s="149">
        <v>1</v>
      </c>
      <c r="G21" s="149">
        <v>1</v>
      </c>
      <c r="J21" s="126">
        <v>17</v>
      </c>
      <c r="K21" s="126">
        <v>0</v>
      </c>
      <c r="L21" s="126">
        <v>17</v>
      </c>
      <c r="M21" s="126">
        <v>0</v>
      </c>
      <c r="N21" s="126">
        <v>34</v>
      </c>
      <c r="O21" s="126">
        <v>0</v>
      </c>
      <c r="P21" s="126">
        <v>0</v>
      </c>
      <c r="Q21" s="126">
        <v>0</v>
      </c>
      <c r="R21" s="126">
        <v>0</v>
      </c>
      <c r="S21" s="126">
        <v>0</v>
      </c>
    </row>
    <row r="22" spans="3:19" ht="23.1" customHeight="1">
      <c r="C22" s="126">
        <v>97</v>
      </c>
      <c r="D22" s="141" t="s">
        <v>637</v>
      </c>
      <c r="E22" s="163" t="s">
        <v>638</v>
      </c>
      <c r="F22" s="149">
        <v>1</v>
      </c>
      <c r="G22" s="149">
        <v>1</v>
      </c>
      <c r="J22" s="126">
        <v>4</v>
      </c>
      <c r="K22" s="126">
        <v>0</v>
      </c>
      <c r="L22" s="126">
        <v>4</v>
      </c>
      <c r="M22" s="126">
        <v>0</v>
      </c>
      <c r="N22" s="126">
        <v>8</v>
      </c>
      <c r="O22" s="126">
        <v>0</v>
      </c>
      <c r="P22" s="126">
        <v>0</v>
      </c>
      <c r="Q22" s="126">
        <v>0</v>
      </c>
      <c r="R22" s="126">
        <v>0</v>
      </c>
      <c r="S22" s="126">
        <v>0</v>
      </c>
    </row>
    <row r="23" spans="3:19" ht="23.1" customHeight="1">
      <c r="C23" s="126">
        <v>22</v>
      </c>
      <c r="D23" s="141" t="s">
        <v>642</v>
      </c>
      <c r="E23" s="163" t="s">
        <v>643</v>
      </c>
      <c r="F23" s="149">
        <v>1</v>
      </c>
      <c r="G23" s="149">
        <v>1</v>
      </c>
      <c r="J23" s="126">
        <v>2</v>
      </c>
      <c r="K23" s="126">
        <v>0</v>
      </c>
      <c r="L23" s="126">
        <v>5</v>
      </c>
      <c r="M23" s="126">
        <v>0</v>
      </c>
      <c r="N23" s="126">
        <v>7</v>
      </c>
      <c r="O23" s="126">
        <v>0</v>
      </c>
      <c r="P23" s="126">
        <v>0</v>
      </c>
      <c r="Q23" s="126">
        <v>0</v>
      </c>
      <c r="R23" s="126">
        <v>0</v>
      </c>
      <c r="S23" s="126">
        <v>0</v>
      </c>
    </row>
    <row r="24" spans="3:19" ht="23.1" customHeight="1">
      <c r="C24" s="126">
        <v>46</v>
      </c>
      <c r="D24" s="141" t="s">
        <v>647</v>
      </c>
      <c r="E24" s="163" t="s">
        <v>648</v>
      </c>
      <c r="F24" s="149">
        <v>1</v>
      </c>
      <c r="G24" s="149">
        <v>1</v>
      </c>
      <c r="J24" s="126">
        <v>30</v>
      </c>
      <c r="K24" s="126">
        <v>0</v>
      </c>
      <c r="L24" s="126">
        <v>30</v>
      </c>
      <c r="M24" s="126">
        <v>0</v>
      </c>
      <c r="N24" s="126">
        <v>60</v>
      </c>
      <c r="O24" s="126">
        <v>0</v>
      </c>
      <c r="P24" s="126">
        <v>0</v>
      </c>
      <c r="Q24" s="126">
        <v>0</v>
      </c>
      <c r="R24" s="126">
        <v>0</v>
      </c>
      <c r="S24" s="126">
        <v>0</v>
      </c>
    </row>
    <row r="25" spans="3:19" ht="23.1" customHeight="1">
      <c r="C25" s="126">
        <v>197</v>
      </c>
      <c r="D25" s="141" t="s">
        <v>652</v>
      </c>
      <c r="E25" s="163" t="s">
        <v>653</v>
      </c>
      <c r="F25" s="149">
        <v>1</v>
      </c>
      <c r="G25" s="149">
        <v>1</v>
      </c>
      <c r="J25" s="126">
        <v>4</v>
      </c>
      <c r="K25" s="126">
        <v>0</v>
      </c>
      <c r="L25" s="126">
        <v>68</v>
      </c>
      <c r="M25" s="126">
        <v>0</v>
      </c>
      <c r="N25" s="126">
        <v>72</v>
      </c>
      <c r="O25" s="126">
        <v>0</v>
      </c>
      <c r="P25" s="126">
        <v>0</v>
      </c>
      <c r="Q25" s="126">
        <v>0</v>
      </c>
      <c r="R25" s="126">
        <v>0</v>
      </c>
      <c r="S25" s="126">
        <v>0</v>
      </c>
    </row>
    <row r="26" spans="3:19" ht="23.1" customHeight="1">
      <c r="C26" s="126">
        <v>17</v>
      </c>
      <c r="D26" s="141" t="s">
        <v>662</v>
      </c>
      <c r="E26" s="163" t="s">
        <v>663</v>
      </c>
      <c r="F26" s="149">
        <v>1</v>
      </c>
      <c r="G26" s="149">
        <v>1</v>
      </c>
      <c r="J26" s="126">
        <v>15</v>
      </c>
      <c r="K26" s="126">
        <v>0</v>
      </c>
      <c r="L26" s="126">
        <v>5</v>
      </c>
      <c r="M26" s="126">
        <v>0</v>
      </c>
      <c r="N26" s="126">
        <v>20</v>
      </c>
      <c r="O26" s="126">
        <v>0</v>
      </c>
      <c r="P26" s="126">
        <v>0</v>
      </c>
      <c r="Q26" s="126">
        <v>0</v>
      </c>
      <c r="R26" s="126">
        <v>0</v>
      </c>
      <c r="S26" s="126">
        <v>0</v>
      </c>
    </row>
    <row r="27" spans="3:19" ht="23.1" customHeight="1">
      <c r="C27" s="126">
        <v>155</v>
      </c>
      <c r="D27" s="141" t="s">
        <v>667</v>
      </c>
      <c r="E27" s="163" t="s">
        <v>668</v>
      </c>
      <c r="F27" s="149">
        <v>1</v>
      </c>
      <c r="G27" s="149">
        <v>1</v>
      </c>
      <c r="J27" s="126">
        <v>0</v>
      </c>
      <c r="K27" s="126">
        <v>0</v>
      </c>
      <c r="L27" s="126">
        <v>3</v>
      </c>
      <c r="M27" s="126">
        <v>0</v>
      </c>
      <c r="N27" s="126">
        <v>3</v>
      </c>
      <c r="O27" s="126">
        <v>0</v>
      </c>
      <c r="P27" s="126">
        <v>0</v>
      </c>
      <c r="Q27" s="126">
        <v>0</v>
      </c>
      <c r="R27" s="126">
        <v>0</v>
      </c>
      <c r="S27" s="126">
        <v>0</v>
      </c>
    </row>
    <row r="28" spans="3:19" ht="23.1" customHeight="1">
      <c r="C28" s="126">
        <v>1</v>
      </c>
      <c r="D28" s="141" t="s">
        <v>677</v>
      </c>
      <c r="E28" s="163" t="s">
        <v>678</v>
      </c>
      <c r="F28" s="149">
        <v>1</v>
      </c>
      <c r="G28" s="149">
        <v>1</v>
      </c>
      <c r="J28" s="126">
        <v>4</v>
      </c>
      <c r="K28" s="126">
        <v>0</v>
      </c>
      <c r="L28" s="126">
        <v>0</v>
      </c>
      <c r="M28" s="126">
        <v>0</v>
      </c>
      <c r="N28" s="126">
        <v>4</v>
      </c>
      <c r="O28" s="126">
        <v>0</v>
      </c>
      <c r="P28" s="126">
        <v>0</v>
      </c>
      <c r="Q28" s="126">
        <v>0</v>
      </c>
      <c r="R28" s="126">
        <v>0</v>
      </c>
      <c r="S28" s="126">
        <v>0</v>
      </c>
    </row>
    <row r="29" spans="3:19" ht="23.1" customHeight="1">
      <c r="C29" s="126">
        <v>2</v>
      </c>
      <c r="D29" s="141" t="s">
        <v>682</v>
      </c>
      <c r="E29" s="163" t="s">
        <v>683</v>
      </c>
      <c r="F29" s="149">
        <v>1</v>
      </c>
      <c r="G29" s="149">
        <v>1</v>
      </c>
      <c r="J29" s="126">
        <v>5</v>
      </c>
      <c r="K29" s="126">
        <v>0</v>
      </c>
      <c r="L29" s="126">
        <v>0</v>
      </c>
      <c r="M29" s="126">
        <v>0</v>
      </c>
      <c r="N29" s="126">
        <v>5</v>
      </c>
      <c r="O29" s="126">
        <v>0</v>
      </c>
      <c r="P29" s="126">
        <v>0</v>
      </c>
      <c r="Q29" s="126">
        <v>0</v>
      </c>
      <c r="R29" s="126">
        <v>0</v>
      </c>
      <c r="S29" s="126">
        <v>0</v>
      </c>
    </row>
    <row r="30" spans="3:19" ht="23.1" customHeight="1">
      <c r="C30" s="126">
        <v>4</v>
      </c>
      <c r="D30" s="141" t="s">
        <v>581</v>
      </c>
      <c r="E30" s="163" t="s">
        <v>582</v>
      </c>
      <c r="F30" s="149">
        <v>1</v>
      </c>
      <c r="G30" s="149">
        <v>1</v>
      </c>
      <c r="J30" s="126">
        <v>7</v>
      </c>
      <c r="K30" s="126">
        <v>0</v>
      </c>
      <c r="L30" s="126">
        <v>0</v>
      </c>
      <c r="M30" s="126">
        <v>0</v>
      </c>
      <c r="N30" s="126">
        <v>7</v>
      </c>
      <c r="O30" s="126">
        <v>0</v>
      </c>
      <c r="P30" s="126">
        <v>0</v>
      </c>
      <c r="Q30" s="126">
        <v>0</v>
      </c>
      <c r="R30" s="126">
        <v>0</v>
      </c>
      <c r="S30" s="126">
        <v>0</v>
      </c>
    </row>
    <row r="31" spans="3:19" ht="23.1" customHeight="1">
      <c r="C31" s="126">
        <v>5</v>
      </c>
      <c r="D31" s="141" t="s">
        <v>686</v>
      </c>
      <c r="E31" s="163" t="s">
        <v>687</v>
      </c>
      <c r="F31" s="149">
        <v>1</v>
      </c>
      <c r="G31" s="149">
        <v>1</v>
      </c>
      <c r="J31" s="126">
        <v>6</v>
      </c>
      <c r="K31" s="126">
        <v>0</v>
      </c>
      <c r="L31" s="126">
        <v>0</v>
      </c>
      <c r="M31" s="126">
        <v>0</v>
      </c>
      <c r="N31" s="126">
        <v>6</v>
      </c>
      <c r="O31" s="126">
        <v>0</v>
      </c>
      <c r="P31" s="126">
        <v>0</v>
      </c>
      <c r="Q31" s="126">
        <v>0</v>
      </c>
      <c r="R31" s="126">
        <v>0</v>
      </c>
      <c r="S31" s="126">
        <v>0</v>
      </c>
    </row>
    <row r="32" spans="3:19" ht="23.1" customHeight="1">
      <c r="C32" s="126">
        <v>11</v>
      </c>
      <c r="D32" s="141" t="s">
        <v>690</v>
      </c>
      <c r="E32" s="163" t="s">
        <v>691</v>
      </c>
      <c r="F32" s="149">
        <v>1</v>
      </c>
      <c r="G32" s="149">
        <v>1</v>
      </c>
      <c r="J32" s="126">
        <v>3</v>
      </c>
      <c r="K32" s="126">
        <v>0</v>
      </c>
      <c r="L32" s="126">
        <v>13</v>
      </c>
      <c r="M32" s="126">
        <v>0</v>
      </c>
      <c r="N32" s="126">
        <v>16</v>
      </c>
      <c r="O32" s="126">
        <v>0</v>
      </c>
      <c r="P32" s="126">
        <v>0</v>
      </c>
      <c r="Q32" s="126">
        <v>0</v>
      </c>
      <c r="R32" s="126">
        <v>0</v>
      </c>
      <c r="S32" s="126">
        <v>0</v>
      </c>
    </row>
    <row r="33" spans="3:19" ht="23.1" customHeight="1">
      <c r="C33" s="126">
        <v>13</v>
      </c>
      <c r="D33" s="141" t="s">
        <v>693</v>
      </c>
      <c r="E33" s="163" t="s">
        <v>694</v>
      </c>
      <c r="F33" s="149">
        <v>1</v>
      </c>
      <c r="G33" s="149">
        <v>1</v>
      </c>
      <c r="J33" s="126">
        <v>7</v>
      </c>
      <c r="K33" s="126">
        <v>0</v>
      </c>
      <c r="L33" s="126">
        <v>1</v>
      </c>
      <c r="M33" s="126">
        <v>0</v>
      </c>
      <c r="N33" s="126">
        <v>8</v>
      </c>
      <c r="O33" s="126">
        <v>0</v>
      </c>
      <c r="P33" s="126">
        <v>0</v>
      </c>
      <c r="Q33" s="126">
        <v>0</v>
      </c>
      <c r="R33" s="126">
        <v>0</v>
      </c>
      <c r="S33" s="126">
        <v>0</v>
      </c>
    </row>
    <row r="34" spans="3:19" ht="23.1" customHeight="1">
      <c r="C34" s="126">
        <v>14</v>
      </c>
      <c r="D34" s="141" t="s">
        <v>696</v>
      </c>
      <c r="E34" s="163" t="s">
        <v>697</v>
      </c>
      <c r="F34" s="149">
        <v>1</v>
      </c>
      <c r="G34" s="149">
        <v>1</v>
      </c>
      <c r="J34" s="126">
        <v>1</v>
      </c>
      <c r="K34" s="126">
        <v>0</v>
      </c>
      <c r="L34" s="126">
        <v>11</v>
      </c>
      <c r="M34" s="126">
        <v>0</v>
      </c>
      <c r="N34" s="126">
        <v>12</v>
      </c>
      <c r="O34" s="126">
        <v>0</v>
      </c>
      <c r="P34" s="126">
        <v>0</v>
      </c>
      <c r="Q34" s="126">
        <v>0</v>
      </c>
      <c r="R34" s="126">
        <v>0</v>
      </c>
      <c r="S34" s="126">
        <v>0</v>
      </c>
    </row>
    <row r="35" spans="3:19" ht="23.1" customHeight="1">
      <c r="C35" s="126">
        <v>16</v>
      </c>
      <c r="D35" s="141" t="s">
        <v>699</v>
      </c>
      <c r="E35" s="163" t="s">
        <v>700</v>
      </c>
      <c r="F35" s="149">
        <v>1</v>
      </c>
      <c r="G35" s="149">
        <v>1</v>
      </c>
      <c r="J35" s="126">
        <v>15</v>
      </c>
      <c r="K35" s="126">
        <v>0</v>
      </c>
      <c r="L35" s="126">
        <v>30</v>
      </c>
      <c r="M35" s="126">
        <v>0</v>
      </c>
      <c r="N35" s="126">
        <v>45</v>
      </c>
      <c r="O35" s="126">
        <v>0</v>
      </c>
      <c r="P35" s="126">
        <v>0</v>
      </c>
      <c r="Q35" s="126">
        <v>0</v>
      </c>
      <c r="R35" s="126">
        <v>0</v>
      </c>
      <c r="S35" s="126">
        <v>0</v>
      </c>
    </row>
    <row r="36" spans="3:19" ht="23.1" customHeight="1">
      <c r="C36" s="126">
        <v>18</v>
      </c>
      <c r="D36" s="141" t="s">
        <v>703</v>
      </c>
      <c r="E36" s="163" t="s">
        <v>704</v>
      </c>
      <c r="F36" s="149">
        <v>1</v>
      </c>
      <c r="G36" s="149">
        <v>1</v>
      </c>
      <c r="J36" s="126">
        <v>1</v>
      </c>
      <c r="K36" s="126">
        <v>0</v>
      </c>
      <c r="L36" s="126">
        <v>19</v>
      </c>
      <c r="M36" s="126">
        <v>0</v>
      </c>
      <c r="N36" s="126">
        <v>20</v>
      </c>
      <c r="O36" s="126">
        <v>0</v>
      </c>
      <c r="P36" s="126">
        <v>0</v>
      </c>
      <c r="Q36" s="126">
        <v>0</v>
      </c>
      <c r="R36" s="126">
        <v>0</v>
      </c>
      <c r="S36" s="126">
        <v>0</v>
      </c>
    </row>
    <row r="37" spans="3:19" ht="23.1" customHeight="1">
      <c r="C37" s="126">
        <v>19</v>
      </c>
      <c r="D37" s="141" t="s">
        <v>706</v>
      </c>
      <c r="E37" s="163" t="s">
        <v>707</v>
      </c>
      <c r="F37" s="149">
        <v>1</v>
      </c>
      <c r="G37" s="149">
        <v>1</v>
      </c>
      <c r="J37" s="126">
        <v>1</v>
      </c>
      <c r="K37" s="126">
        <v>0</v>
      </c>
      <c r="L37" s="126">
        <v>4</v>
      </c>
      <c r="M37" s="126">
        <v>0</v>
      </c>
      <c r="N37" s="126">
        <v>5</v>
      </c>
      <c r="O37" s="126">
        <v>0</v>
      </c>
      <c r="P37" s="126">
        <v>0</v>
      </c>
      <c r="Q37" s="126">
        <v>0</v>
      </c>
      <c r="R37" s="126">
        <v>0</v>
      </c>
      <c r="S37" s="126">
        <v>0</v>
      </c>
    </row>
    <row r="38" spans="3:19" ht="23.1" customHeight="1">
      <c r="C38" s="126">
        <v>20</v>
      </c>
      <c r="D38" s="141" t="s">
        <v>709</v>
      </c>
      <c r="E38" s="163" t="s">
        <v>710</v>
      </c>
      <c r="F38" s="149">
        <v>1</v>
      </c>
      <c r="G38" s="149">
        <v>1</v>
      </c>
      <c r="J38" s="126">
        <v>7</v>
      </c>
      <c r="K38" s="126">
        <v>0</v>
      </c>
      <c r="L38" s="126">
        <v>10</v>
      </c>
      <c r="M38" s="126">
        <v>0</v>
      </c>
      <c r="N38" s="126">
        <v>17</v>
      </c>
      <c r="O38" s="126">
        <v>0</v>
      </c>
      <c r="P38" s="126">
        <v>0</v>
      </c>
      <c r="Q38" s="126">
        <v>0</v>
      </c>
      <c r="R38" s="126">
        <v>0</v>
      </c>
      <c r="S38" s="126">
        <v>0</v>
      </c>
    </row>
    <row r="39" spans="3:19" ht="23.1" customHeight="1">
      <c r="C39" s="126">
        <v>26</v>
      </c>
      <c r="D39" s="141" t="s">
        <v>715</v>
      </c>
      <c r="E39" s="163" t="s">
        <v>716</v>
      </c>
      <c r="F39" s="149">
        <v>1</v>
      </c>
      <c r="G39" s="149">
        <v>1</v>
      </c>
      <c r="J39" s="126">
        <v>1</v>
      </c>
      <c r="K39" s="126">
        <v>0</v>
      </c>
      <c r="L39" s="126">
        <v>4</v>
      </c>
      <c r="M39" s="126">
        <v>0</v>
      </c>
      <c r="N39" s="126">
        <v>5</v>
      </c>
      <c r="O39" s="126">
        <v>0</v>
      </c>
      <c r="P39" s="126">
        <v>0</v>
      </c>
      <c r="Q39" s="126">
        <v>0</v>
      </c>
      <c r="R39" s="126">
        <v>0</v>
      </c>
      <c r="S39" s="126">
        <v>0</v>
      </c>
    </row>
    <row r="40" spans="3:19" ht="23.1" customHeight="1">
      <c r="C40" s="126">
        <v>101</v>
      </c>
      <c r="D40" s="141" t="s">
        <v>718</v>
      </c>
      <c r="E40" s="163" t="s">
        <v>719</v>
      </c>
      <c r="F40" s="149">
        <v>1</v>
      </c>
      <c r="G40" s="149">
        <v>1</v>
      </c>
      <c r="J40" s="126">
        <v>21980</v>
      </c>
      <c r="K40" s="126">
        <v>0</v>
      </c>
      <c r="L40" s="126">
        <v>520</v>
      </c>
      <c r="M40" s="126">
        <v>0</v>
      </c>
      <c r="N40" s="126">
        <v>22500</v>
      </c>
      <c r="O40" s="126">
        <v>0</v>
      </c>
      <c r="P40" s="126">
        <v>0</v>
      </c>
      <c r="Q40" s="126">
        <v>0</v>
      </c>
      <c r="R40" s="126">
        <v>0</v>
      </c>
      <c r="S40" s="126">
        <v>0</v>
      </c>
    </row>
    <row r="41" spans="3:19" ht="23.1" customHeight="1">
      <c r="C41" s="126">
        <v>102</v>
      </c>
      <c r="D41" s="141" t="s">
        <v>722</v>
      </c>
      <c r="E41" s="163" t="s">
        <v>723</v>
      </c>
      <c r="F41" s="149">
        <v>1</v>
      </c>
      <c r="G41" s="149">
        <v>1</v>
      </c>
      <c r="J41" s="126">
        <v>0</v>
      </c>
      <c r="K41" s="126">
        <v>0</v>
      </c>
      <c r="L41" s="126">
        <v>4</v>
      </c>
      <c r="M41" s="126">
        <v>0</v>
      </c>
      <c r="N41" s="126">
        <v>4</v>
      </c>
      <c r="O41" s="126">
        <v>0</v>
      </c>
      <c r="P41" s="126">
        <v>0</v>
      </c>
      <c r="Q41" s="126">
        <v>0</v>
      </c>
      <c r="R41" s="126">
        <v>0</v>
      </c>
      <c r="S41" s="126">
        <v>0</v>
      </c>
    </row>
    <row r="42" spans="3:19" ht="23.1" customHeight="1">
      <c r="C42" s="126">
        <v>125</v>
      </c>
      <c r="D42" s="141" t="s">
        <v>726</v>
      </c>
      <c r="E42" s="163" t="s">
        <v>727</v>
      </c>
      <c r="F42" s="149">
        <v>1</v>
      </c>
      <c r="G42" s="149">
        <v>1</v>
      </c>
      <c r="J42" s="126">
        <v>700</v>
      </c>
      <c r="K42" s="126">
        <v>0</v>
      </c>
      <c r="L42" s="126">
        <v>0</v>
      </c>
      <c r="M42" s="126">
        <v>0</v>
      </c>
      <c r="N42" s="126">
        <v>700</v>
      </c>
      <c r="O42" s="126">
        <v>0</v>
      </c>
      <c r="P42" s="126">
        <v>0</v>
      </c>
      <c r="Q42" s="126">
        <v>0</v>
      </c>
      <c r="R42" s="126">
        <v>0</v>
      </c>
      <c r="S42" s="126">
        <v>0</v>
      </c>
    </row>
    <row r="43" spans="3:19" ht="23.1" customHeight="1">
      <c r="C43" s="126">
        <v>152</v>
      </c>
      <c r="D43" s="141" t="s">
        <v>730</v>
      </c>
      <c r="E43" s="163" t="s">
        <v>731</v>
      </c>
      <c r="F43" s="149">
        <v>1</v>
      </c>
      <c r="G43" s="149">
        <v>1</v>
      </c>
      <c r="J43" s="126">
        <v>3</v>
      </c>
      <c r="K43" s="126">
        <v>0</v>
      </c>
      <c r="L43" s="126">
        <v>0</v>
      </c>
      <c r="M43" s="126">
        <v>0</v>
      </c>
      <c r="N43" s="126">
        <v>3</v>
      </c>
      <c r="O43" s="126">
        <v>0</v>
      </c>
      <c r="P43" s="126">
        <v>0</v>
      </c>
      <c r="Q43" s="126">
        <v>0</v>
      </c>
      <c r="R43" s="126">
        <v>0</v>
      </c>
      <c r="S43" s="126">
        <v>0</v>
      </c>
    </row>
    <row r="44" spans="3:19" ht="23.1" customHeight="1">
      <c r="C44" s="126">
        <v>156</v>
      </c>
      <c r="D44" s="141" t="s">
        <v>735</v>
      </c>
      <c r="E44" s="163" t="s">
        <v>736</v>
      </c>
      <c r="F44" s="149">
        <v>1</v>
      </c>
      <c r="G44" s="149">
        <v>1</v>
      </c>
      <c r="J44" s="126">
        <v>2</v>
      </c>
      <c r="K44" s="126">
        <v>0</v>
      </c>
      <c r="L44" s="126">
        <v>7</v>
      </c>
      <c r="M44" s="126">
        <v>0</v>
      </c>
      <c r="N44" s="126">
        <v>9</v>
      </c>
      <c r="O44" s="126">
        <v>0</v>
      </c>
      <c r="P44" s="126">
        <v>0</v>
      </c>
      <c r="Q44" s="126">
        <v>0</v>
      </c>
      <c r="R44" s="126">
        <v>0</v>
      </c>
      <c r="S44" s="126">
        <v>0</v>
      </c>
    </row>
    <row r="45" spans="3:19" ht="23.1" customHeight="1">
      <c r="C45" s="126">
        <v>160</v>
      </c>
      <c r="D45" s="141" t="s">
        <v>738</v>
      </c>
      <c r="E45" s="163" t="s">
        <v>739</v>
      </c>
      <c r="F45" s="149">
        <v>1</v>
      </c>
      <c r="G45" s="149">
        <v>1</v>
      </c>
      <c r="J45" s="126">
        <v>4</v>
      </c>
      <c r="K45" s="126">
        <v>0</v>
      </c>
      <c r="L45" s="126">
        <v>6</v>
      </c>
      <c r="M45" s="126">
        <v>0</v>
      </c>
      <c r="N45" s="126">
        <v>10</v>
      </c>
      <c r="O45" s="126">
        <v>0</v>
      </c>
      <c r="P45" s="126">
        <v>0</v>
      </c>
      <c r="Q45" s="126">
        <v>0</v>
      </c>
      <c r="R45" s="126">
        <v>0</v>
      </c>
      <c r="S45" s="126">
        <v>0</v>
      </c>
    </row>
    <row r="46" spans="3:19" ht="23.1" customHeight="1">
      <c r="C46" s="126">
        <v>162</v>
      </c>
      <c r="D46" s="141" t="s">
        <v>741</v>
      </c>
      <c r="E46" s="163" t="s">
        <v>742</v>
      </c>
      <c r="F46" s="149">
        <v>1</v>
      </c>
      <c r="G46" s="149">
        <v>1</v>
      </c>
      <c r="J46" s="126">
        <v>0</v>
      </c>
      <c r="K46" s="126">
        <v>0</v>
      </c>
      <c r="L46" s="126">
        <v>2</v>
      </c>
      <c r="M46" s="126">
        <v>0</v>
      </c>
      <c r="N46" s="126">
        <v>2</v>
      </c>
      <c r="O46" s="126">
        <v>0</v>
      </c>
      <c r="P46" s="126">
        <v>0</v>
      </c>
      <c r="Q46" s="126">
        <v>0</v>
      </c>
      <c r="R46" s="126">
        <v>0</v>
      </c>
      <c r="S46" s="126">
        <v>0</v>
      </c>
    </row>
    <row r="47" spans="3:19" ht="23.1" customHeight="1">
      <c r="C47" s="126">
        <v>163</v>
      </c>
      <c r="D47" s="141" t="s">
        <v>745</v>
      </c>
      <c r="E47" s="163" t="s">
        <v>746</v>
      </c>
      <c r="F47" s="149">
        <v>1</v>
      </c>
      <c r="G47" s="149">
        <v>1</v>
      </c>
      <c r="J47" s="126">
        <v>2</v>
      </c>
      <c r="K47" s="126">
        <v>0</v>
      </c>
      <c r="L47" s="126">
        <v>4</v>
      </c>
      <c r="M47" s="126">
        <v>0</v>
      </c>
      <c r="N47" s="126">
        <v>6</v>
      </c>
      <c r="O47" s="126">
        <v>0</v>
      </c>
      <c r="P47" s="126">
        <v>0</v>
      </c>
      <c r="Q47" s="126">
        <v>0</v>
      </c>
      <c r="R47" s="126">
        <v>0</v>
      </c>
      <c r="S47" s="126">
        <v>0</v>
      </c>
    </row>
    <row r="48" spans="3:19" ht="23.1" customHeight="1">
      <c r="C48" s="126">
        <v>176</v>
      </c>
      <c r="D48" s="141" t="s">
        <v>748</v>
      </c>
      <c r="E48" s="163" t="s">
        <v>749</v>
      </c>
      <c r="F48" s="149">
        <v>1</v>
      </c>
      <c r="G48" s="149">
        <v>1</v>
      </c>
      <c r="J48" s="126">
        <v>1200</v>
      </c>
      <c r="K48" s="126">
        <v>0</v>
      </c>
      <c r="L48" s="126">
        <v>3800</v>
      </c>
      <c r="M48" s="126">
        <v>0</v>
      </c>
      <c r="N48" s="126">
        <v>5000</v>
      </c>
      <c r="O48" s="126">
        <v>0</v>
      </c>
      <c r="P48" s="126">
        <v>0</v>
      </c>
      <c r="Q48" s="126">
        <v>0</v>
      </c>
      <c r="R48" s="126">
        <v>0</v>
      </c>
      <c r="S48" s="126">
        <v>0</v>
      </c>
    </row>
    <row r="49" spans="3:19" ht="23.1" customHeight="1">
      <c r="C49" s="126">
        <v>177</v>
      </c>
      <c r="D49" s="141" t="s">
        <v>752</v>
      </c>
      <c r="E49" s="163" t="s">
        <v>753</v>
      </c>
      <c r="F49" s="149">
        <v>1</v>
      </c>
      <c r="G49" s="149">
        <v>1</v>
      </c>
      <c r="J49" s="126">
        <v>-300</v>
      </c>
      <c r="K49" s="126">
        <v>0</v>
      </c>
      <c r="L49" s="126">
        <v>12300</v>
      </c>
      <c r="M49" s="126">
        <v>0</v>
      </c>
      <c r="N49" s="126">
        <v>12000</v>
      </c>
      <c r="O49" s="126">
        <v>0</v>
      </c>
      <c r="P49" s="126">
        <v>0</v>
      </c>
      <c r="Q49" s="126">
        <v>0</v>
      </c>
      <c r="R49" s="126">
        <v>0</v>
      </c>
      <c r="S49" s="126">
        <v>0</v>
      </c>
    </row>
    <row r="50" spans="3:19" ht="23.1" customHeight="1">
      <c r="C50" s="126">
        <v>178</v>
      </c>
      <c r="D50" s="141" t="s">
        <v>755</v>
      </c>
      <c r="E50" s="163" t="s">
        <v>756</v>
      </c>
      <c r="F50" s="149">
        <v>1</v>
      </c>
      <c r="G50" s="149">
        <v>1</v>
      </c>
      <c r="J50" s="126">
        <v>1150</v>
      </c>
      <c r="K50" s="126">
        <v>0</v>
      </c>
      <c r="L50" s="126">
        <v>4850</v>
      </c>
      <c r="M50" s="126">
        <v>0</v>
      </c>
      <c r="N50" s="126">
        <v>6000</v>
      </c>
      <c r="O50" s="126">
        <v>0</v>
      </c>
      <c r="P50" s="126">
        <v>0</v>
      </c>
      <c r="Q50" s="126">
        <v>0</v>
      </c>
      <c r="R50" s="126">
        <v>0</v>
      </c>
      <c r="S50" s="126">
        <v>0</v>
      </c>
    </row>
    <row r="51" spans="3:19" ht="23.1" customHeight="1">
      <c r="C51" s="126">
        <v>181</v>
      </c>
      <c r="D51" s="141" t="s">
        <v>761</v>
      </c>
      <c r="E51" s="163" t="s">
        <v>762</v>
      </c>
      <c r="F51" s="149">
        <v>1</v>
      </c>
      <c r="G51" s="149">
        <v>1</v>
      </c>
      <c r="J51" s="126">
        <v>168</v>
      </c>
      <c r="K51" s="126">
        <v>0</v>
      </c>
      <c r="L51" s="126">
        <v>348</v>
      </c>
      <c r="M51" s="126">
        <v>0</v>
      </c>
      <c r="N51" s="126">
        <v>516</v>
      </c>
      <c r="O51" s="126">
        <v>0</v>
      </c>
      <c r="P51" s="126">
        <v>0</v>
      </c>
      <c r="Q51" s="126">
        <v>0</v>
      </c>
      <c r="R51" s="126">
        <v>0</v>
      </c>
      <c r="S51" s="126">
        <v>0</v>
      </c>
    </row>
    <row r="52" spans="3:19" ht="23.1" customHeight="1">
      <c r="C52" s="126">
        <v>183</v>
      </c>
      <c r="D52" s="141" t="s">
        <v>766</v>
      </c>
      <c r="E52" s="163" t="s">
        <v>767</v>
      </c>
      <c r="F52" s="149">
        <v>1</v>
      </c>
      <c r="G52" s="149">
        <v>1</v>
      </c>
      <c r="J52" s="126">
        <v>420</v>
      </c>
      <c r="K52" s="126">
        <v>0</v>
      </c>
      <c r="L52" s="126">
        <v>660</v>
      </c>
      <c r="M52" s="126">
        <v>0</v>
      </c>
      <c r="N52" s="126">
        <v>1080</v>
      </c>
      <c r="O52" s="126">
        <v>0</v>
      </c>
      <c r="P52" s="126">
        <v>0</v>
      </c>
      <c r="Q52" s="126">
        <v>0</v>
      </c>
      <c r="R52" s="126">
        <v>0</v>
      </c>
      <c r="S52" s="126">
        <v>0</v>
      </c>
    </row>
    <row r="53" spans="3:19" ht="23.1" customHeight="1">
      <c r="C53" s="126">
        <v>184</v>
      </c>
      <c r="D53" s="141" t="s">
        <v>769</v>
      </c>
      <c r="E53" s="163" t="s">
        <v>770</v>
      </c>
      <c r="F53" s="149">
        <v>1</v>
      </c>
      <c r="G53" s="149">
        <v>1</v>
      </c>
      <c r="J53" s="126">
        <v>96</v>
      </c>
      <c r="K53" s="126">
        <v>0</v>
      </c>
      <c r="L53" s="126">
        <v>264</v>
      </c>
      <c r="M53" s="126">
        <v>0</v>
      </c>
      <c r="N53" s="126">
        <v>360</v>
      </c>
      <c r="O53" s="126">
        <v>0</v>
      </c>
      <c r="P53" s="126">
        <v>0</v>
      </c>
      <c r="Q53" s="126">
        <v>0</v>
      </c>
      <c r="R53" s="126">
        <v>0</v>
      </c>
      <c r="S53" s="126">
        <v>0</v>
      </c>
    </row>
    <row r="54" spans="3:19" ht="23.1" customHeight="1">
      <c r="C54" s="126">
        <v>185</v>
      </c>
      <c r="D54" s="141" t="s">
        <v>772</v>
      </c>
      <c r="E54" s="163" t="s">
        <v>773</v>
      </c>
      <c r="F54" s="149">
        <v>1</v>
      </c>
      <c r="G54" s="149">
        <v>1</v>
      </c>
      <c r="J54" s="126">
        <v>12</v>
      </c>
      <c r="K54" s="126">
        <v>0</v>
      </c>
      <c r="L54" s="126">
        <v>72</v>
      </c>
      <c r="M54" s="126">
        <v>0</v>
      </c>
      <c r="N54" s="126">
        <v>84</v>
      </c>
      <c r="O54" s="126">
        <v>0</v>
      </c>
      <c r="P54" s="126">
        <v>0</v>
      </c>
      <c r="Q54" s="126">
        <v>0</v>
      </c>
      <c r="R54" s="126">
        <v>0</v>
      </c>
      <c r="S54" s="126">
        <v>0</v>
      </c>
    </row>
    <row r="55" spans="3:19" ht="23.1" customHeight="1">
      <c r="C55" s="126">
        <v>189</v>
      </c>
      <c r="D55" s="141" t="s">
        <v>778</v>
      </c>
      <c r="E55" s="163" t="s">
        <v>779</v>
      </c>
      <c r="F55" s="149">
        <v>1</v>
      </c>
      <c r="G55" s="149">
        <v>1</v>
      </c>
      <c r="J55" s="126">
        <v>64</v>
      </c>
      <c r="K55" s="126">
        <v>0</v>
      </c>
      <c r="L55" s="126">
        <v>116</v>
      </c>
      <c r="M55" s="126">
        <v>0</v>
      </c>
      <c r="N55" s="126">
        <v>180</v>
      </c>
      <c r="O55" s="126">
        <v>0</v>
      </c>
      <c r="P55" s="126">
        <v>0</v>
      </c>
      <c r="Q55" s="126">
        <v>0</v>
      </c>
      <c r="R55" s="126">
        <v>0</v>
      </c>
      <c r="S55" s="126">
        <v>0</v>
      </c>
    </row>
    <row r="56" spans="3:19" ht="23.1" customHeight="1">
      <c r="C56" s="126">
        <v>191</v>
      </c>
      <c r="D56" s="141" t="s">
        <v>781</v>
      </c>
      <c r="E56" s="163" t="s">
        <v>782</v>
      </c>
      <c r="F56" s="149">
        <v>1</v>
      </c>
      <c r="G56" s="149">
        <v>1</v>
      </c>
      <c r="J56" s="126">
        <v>8</v>
      </c>
      <c r="K56" s="126">
        <v>0</v>
      </c>
      <c r="L56" s="126">
        <v>56</v>
      </c>
      <c r="M56" s="126">
        <v>0</v>
      </c>
      <c r="N56" s="126">
        <v>64</v>
      </c>
      <c r="O56" s="126">
        <v>0</v>
      </c>
      <c r="P56" s="126">
        <v>0</v>
      </c>
      <c r="Q56" s="126">
        <v>0</v>
      </c>
      <c r="R56" s="126">
        <v>0</v>
      </c>
      <c r="S56" s="126">
        <v>0</v>
      </c>
    </row>
    <row r="57" spans="3:19" ht="23.1" customHeight="1">
      <c r="C57" s="126">
        <v>193</v>
      </c>
      <c r="D57" s="141" t="s">
        <v>784</v>
      </c>
      <c r="E57" s="163" t="s">
        <v>785</v>
      </c>
      <c r="F57" s="149">
        <v>1</v>
      </c>
      <c r="G57" s="149">
        <v>1</v>
      </c>
      <c r="J57" s="126">
        <v>32</v>
      </c>
      <c r="K57" s="126">
        <v>0</v>
      </c>
      <c r="L57" s="126">
        <v>28</v>
      </c>
      <c r="M57" s="126">
        <v>0</v>
      </c>
      <c r="N57" s="126">
        <v>60</v>
      </c>
      <c r="O57" s="126">
        <v>0</v>
      </c>
      <c r="P57" s="126">
        <v>0</v>
      </c>
      <c r="Q57" s="126">
        <v>0</v>
      </c>
      <c r="R57" s="126">
        <v>0</v>
      </c>
      <c r="S57" s="126">
        <v>0</v>
      </c>
    </row>
    <row r="58" spans="3:19" ht="23.1" customHeight="1">
      <c r="C58" s="126">
        <v>142</v>
      </c>
      <c r="D58" s="141" t="s">
        <v>798</v>
      </c>
      <c r="E58" s="163" t="s">
        <v>799</v>
      </c>
      <c r="F58" s="149">
        <v>1</v>
      </c>
      <c r="G58" s="149">
        <v>1</v>
      </c>
      <c r="J58" s="126">
        <v>7</v>
      </c>
      <c r="K58" s="126">
        <v>0</v>
      </c>
      <c r="L58" s="126">
        <v>7</v>
      </c>
      <c r="M58" s="126">
        <v>0</v>
      </c>
      <c r="N58" s="126">
        <v>14</v>
      </c>
      <c r="O58" s="126">
        <v>0</v>
      </c>
      <c r="P58" s="126">
        <v>0</v>
      </c>
      <c r="Q58" s="126">
        <v>0</v>
      </c>
      <c r="R58" s="126">
        <v>0</v>
      </c>
      <c r="S58" s="126">
        <v>0</v>
      </c>
    </row>
    <row r="59" spans="3:19" ht="23.1" customHeight="1">
      <c r="C59" s="126">
        <v>50</v>
      </c>
      <c r="D59" s="141" t="s">
        <v>803</v>
      </c>
      <c r="E59" s="163" t="s">
        <v>804</v>
      </c>
      <c r="F59" s="149">
        <v>1</v>
      </c>
      <c r="G59" s="149">
        <v>1</v>
      </c>
      <c r="J59" s="126">
        <v>59</v>
      </c>
      <c r="K59" s="126">
        <v>0</v>
      </c>
      <c r="L59" s="126">
        <v>59</v>
      </c>
      <c r="M59" s="126">
        <v>0</v>
      </c>
      <c r="N59" s="126">
        <v>118</v>
      </c>
      <c r="O59" s="126">
        <v>0</v>
      </c>
      <c r="P59" s="126">
        <v>0</v>
      </c>
      <c r="Q59" s="126">
        <v>0</v>
      </c>
      <c r="R59" s="126">
        <v>0</v>
      </c>
      <c r="S59" s="126">
        <v>0</v>
      </c>
    </row>
    <row r="60" spans="3:19" ht="23.1" customHeight="1">
      <c r="C60" s="126">
        <v>41</v>
      </c>
      <c r="D60" s="141" t="s">
        <v>808</v>
      </c>
      <c r="E60" s="163" t="s">
        <v>809</v>
      </c>
      <c r="F60" s="149">
        <v>1</v>
      </c>
      <c r="G60" s="149">
        <v>1</v>
      </c>
      <c r="J60" s="126">
        <v>8</v>
      </c>
      <c r="K60" s="126">
        <v>0</v>
      </c>
      <c r="L60" s="126">
        <v>8</v>
      </c>
      <c r="M60" s="126">
        <v>0</v>
      </c>
      <c r="N60" s="126">
        <v>16</v>
      </c>
      <c r="O60" s="126">
        <v>0</v>
      </c>
      <c r="P60" s="126">
        <v>0</v>
      </c>
      <c r="Q60" s="126">
        <v>0</v>
      </c>
      <c r="R60" s="126">
        <v>0</v>
      </c>
      <c r="S60" s="126">
        <v>0</v>
      </c>
    </row>
    <row r="61" spans="3:19" ht="23.1" customHeight="1">
      <c r="C61" s="126">
        <v>49</v>
      </c>
      <c r="D61" s="141" t="s">
        <v>813</v>
      </c>
      <c r="E61" s="163" t="s">
        <v>814</v>
      </c>
      <c r="F61" s="149">
        <v>1</v>
      </c>
      <c r="G61" s="149">
        <v>1</v>
      </c>
      <c r="J61" s="126">
        <v>15</v>
      </c>
      <c r="K61" s="126">
        <v>0</v>
      </c>
      <c r="L61" s="126">
        <v>15</v>
      </c>
      <c r="M61" s="126">
        <v>0</v>
      </c>
      <c r="N61" s="126">
        <v>30</v>
      </c>
      <c r="O61" s="126">
        <v>0</v>
      </c>
      <c r="P61" s="126">
        <v>0</v>
      </c>
      <c r="Q61" s="126">
        <v>0</v>
      </c>
      <c r="R61" s="126">
        <v>0</v>
      </c>
      <c r="S61" s="126">
        <v>0</v>
      </c>
    </row>
    <row r="62" spans="3:19" ht="23.1" customHeight="1">
      <c r="C62" s="126">
        <v>7</v>
      </c>
      <c r="D62" s="141" t="s">
        <v>818</v>
      </c>
      <c r="E62" s="163" t="s">
        <v>819</v>
      </c>
      <c r="F62" s="149">
        <v>1</v>
      </c>
      <c r="G62" s="149">
        <v>1</v>
      </c>
      <c r="J62" s="126">
        <v>9</v>
      </c>
      <c r="K62" s="126">
        <v>0</v>
      </c>
      <c r="L62" s="126">
        <v>9</v>
      </c>
      <c r="M62" s="126">
        <v>0</v>
      </c>
      <c r="N62" s="126">
        <v>18</v>
      </c>
      <c r="O62" s="126">
        <v>0</v>
      </c>
      <c r="P62" s="126">
        <v>0</v>
      </c>
      <c r="Q62" s="126">
        <v>0</v>
      </c>
      <c r="R62" s="126">
        <v>0</v>
      </c>
      <c r="S62" s="126">
        <v>0</v>
      </c>
    </row>
    <row r="63" spans="3:19" ht="23.1" customHeight="1">
      <c r="C63" s="126">
        <v>145</v>
      </c>
      <c r="D63" s="141" t="s">
        <v>823</v>
      </c>
      <c r="E63" s="163" t="s">
        <v>824</v>
      </c>
      <c r="F63" s="149">
        <v>1</v>
      </c>
      <c r="G63" s="149">
        <v>1</v>
      </c>
      <c r="J63" s="126">
        <v>10</v>
      </c>
      <c r="K63" s="126">
        <v>0</v>
      </c>
      <c r="L63" s="126">
        <v>10</v>
      </c>
      <c r="M63" s="126">
        <v>0</v>
      </c>
      <c r="N63" s="126">
        <v>20</v>
      </c>
      <c r="O63" s="126">
        <v>0</v>
      </c>
      <c r="P63" s="126">
        <v>0</v>
      </c>
      <c r="Q63" s="126">
        <v>0</v>
      </c>
      <c r="R63" s="126">
        <v>0</v>
      </c>
      <c r="S63" s="126">
        <v>0</v>
      </c>
    </row>
    <row r="64" spans="3:19" ht="23.1" customHeight="1">
      <c r="C64" s="126">
        <v>99</v>
      </c>
      <c r="D64" s="141" t="s">
        <v>883</v>
      </c>
      <c r="E64" s="163" t="s">
        <v>884</v>
      </c>
      <c r="F64" s="149">
        <v>1</v>
      </c>
      <c r="G64" s="149">
        <v>1</v>
      </c>
      <c r="J64" s="126">
        <v>5</v>
      </c>
      <c r="K64" s="126">
        <v>0</v>
      </c>
      <c r="L64" s="126">
        <v>5</v>
      </c>
      <c r="M64" s="126">
        <v>0</v>
      </c>
      <c r="N64" s="126">
        <v>10</v>
      </c>
      <c r="O64" s="126">
        <v>0</v>
      </c>
      <c r="P64" s="126">
        <v>0</v>
      </c>
      <c r="Q64" s="126">
        <v>0</v>
      </c>
      <c r="R64" s="126">
        <v>0</v>
      </c>
      <c r="S64" s="126">
        <v>0</v>
      </c>
    </row>
    <row r="65" spans="3:19" ht="23.1" customHeight="1">
      <c r="C65" s="126">
        <v>70</v>
      </c>
      <c r="D65" s="141" t="s">
        <v>906</v>
      </c>
      <c r="E65" s="163" t="s">
        <v>907</v>
      </c>
      <c r="F65" s="149">
        <v>1</v>
      </c>
      <c r="G65" s="149">
        <v>1</v>
      </c>
      <c r="J65" s="126">
        <v>4</v>
      </c>
      <c r="K65" s="126">
        <v>0</v>
      </c>
      <c r="L65" s="126">
        <v>4</v>
      </c>
      <c r="M65" s="126">
        <v>0</v>
      </c>
      <c r="N65" s="126">
        <v>8</v>
      </c>
      <c r="O65" s="126">
        <v>0</v>
      </c>
      <c r="P65" s="126">
        <v>0</v>
      </c>
      <c r="Q65" s="126">
        <v>0</v>
      </c>
      <c r="R65" s="126">
        <v>0</v>
      </c>
      <c r="S65" s="126">
        <v>0</v>
      </c>
    </row>
    <row r="66" spans="3:19" ht="23.1" customHeight="1">
      <c r="C66" s="126">
        <v>52</v>
      </c>
      <c r="D66" s="141" t="s">
        <v>933</v>
      </c>
      <c r="E66" s="163" t="s">
        <v>934</v>
      </c>
      <c r="F66" s="149">
        <v>1</v>
      </c>
      <c r="G66" s="149">
        <v>1</v>
      </c>
      <c r="J66" s="126">
        <v>11</v>
      </c>
      <c r="K66" s="126">
        <v>0</v>
      </c>
      <c r="L66" s="126">
        <v>11</v>
      </c>
      <c r="M66" s="126">
        <v>0</v>
      </c>
      <c r="N66" s="126">
        <v>22</v>
      </c>
      <c r="O66" s="126">
        <v>0</v>
      </c>
      <c r="P66" s="126">
        <v>0</v>
      </c>
      <c r="Q66" s="126">
        <v>0</v>
      </c>
      <c r="R66" s="126">
        <v>0</v>
      </c>
      <c r="S66" s="126">
        <v>0</v>
      </c>
    </row>
    <row r="67" spans="3:19" ht="23.1" customHeight="1">
      <c r="C67" s="126">
        <v>42</v>
      </c>
      <c r="D67" s="141" t="s">
        <v>975</v>
      </c>
      <c r="E67" s="163" t="s">
        <v>976</v>
      </c>
      <c r="F67" s="149">
        <v>1</v>
      </c>
      <c r="G67" s="149">
        <v>1</v>
      </c>
      <c r="J67" s="126">
        <v>16</v>
      </c>
      <c r="K67" s="126">
        <v>0</v>
      </c>
      <c r="L67" s="126">
        <v>16</v>
      </c>
      <c r="M67" s="126">
        <v>0</v>
      </c>
      <c r="N67" s="126">
        <v>32</v>
      </c>
      <c r="O67" s="126">
        <v>0</v>
      </c>
      <c r="P67" s="126">
        <v>0</v>
      </c>
      <c r="Q67" s="126">
        <v>0</v>
      </c>
      <c r="R67" s="126">
        <v>0</v>
      </c>
      <c r="S67" s="126">
        <v>0</v>
      </c>
    </row>
    <row r="68" spans="3:19" ht="23.1" customHeight="1">
      <c r="C68" s="126">
        <v>45</v>
      </c>
      <c r="D68" s="141" t="s">
        <v>980</v>
      </c>
      <c r="E68" s="163" t="s">
        <v>981</v>
      </c>
      <c r="F68" s="149">
        <v>1</v>
      </c>
      <c r="G68" s="149">
        <v>1</v>
      </c>
      <c r="J68" s="126">
        <v>15</v>
      </c>
      <c r="K68" s="126">
        <v>0</v>
      </c>
      <c r="L68" s="126">
        <v>15</v>
      </c>
      <c r="M68" s="126">
        <v>0</v>
      </c>
      <c r="N68" s="126">
        <v>30</v>
      </c>
      <c r="O68" s="126">
        <v>0</v>
      </c>
      <c r="P68" s="126">
        <v>0</v>
      </c>
      <c r="Q68" s="126">
        <v>0</v>
      </c>
      <c r="R68" s="126">
        <v>0</v>
      </c>
      <c r="S68" s="126">
        <v>0</v>
      </c>
    </row>
    <row r="69" spans="3:19" ht="23.1" customHeight="1">
      <c r="C69" s="126">
        <v>144</v>
      </c>
      <c r="D69" s="141" t="s">
        <v>996</v>
      </c>
      <c r="E69" s="163" t="s">
        <v>997</v>
      </c>
      <c r="F69" s="149">
        <v>1</v>
      </c>
      <c r="G69" s="149">
        <v>1</v>
      </c>
      <c r="J69" s="126">
        <v>15</v>
      </c>
      <c r="K69" s="126">
        <v>0</v>
      </c>
      <c r="L69" s="126">
        <v>15</v>
      </c>
      <c r="M69" s="126">
        <v>0</v>
      </c>
      <c r="N69" s="126">
        <v>30</v>
      </c>
      <c r="O69" s="126">
        <v>0</v>
      </c>
      <c r="P69" s="126">
        <v>0</v>
      </c>
      <c r="Q69" s="126">
        <v>0</v>
      </c>
      <c r="R69" s="126">
        <v>0</v>
      </c>
      <c r="S69" s="126">
        <v>0</v>
      </c>
    </row>
    <row r="70" spans="3:19" ht="23.1" customHeight="1">
      <c r="C70" s="126">
        <v>108</v>
      </c>
      <c r="D70" s="141" t="s">
        <v>1009</v>
      </c>
      <c r="E70" s="163" t="s">
        <v>1010</v>
      </c>
      <c r="F70" s="149">
        <v>1</v>
      </c>
      <c r="G70" s="149">
        <v>1</v>
      </c>
      <c r="J70" s="126">
        <v>22</v>
      </c>
      <c r="K70" s="126">
        <v>0</v>
      </c>
      <c r="L70" s="126">
        <v>22</v>
      </c>
      <c r="M70" s="126">
        <v>0</v>
      </c>
      <c r="N70" s="126">
        <v>44</v>
      </c>
      <c r="O70" s="126">
        <v>0</v>
      </c>
      <c r="P70" s="126">
        <v>0</v>
      </c>
      <c r="Q70" s="126">
        <v>0</v>
      </c>
      <c r="R70" s="126">
        <v>0</v>
      </c>
      <c r="S70" s="126">
        <v>0</v>
      </c>
    </row>
    <row r="71" spans="3:19" ht="23.1" customHeight="1">
      <c r="C71" s="126">
        <v>103</v>
      </c>
      <c r="D71" s="141" t="s">
        <v>1024</v>
      </c>
      <c r="E71" s="163" t="s">
        <v>1025</v>
      </c>
      <c r="F71" s="149">
        <v>1</v>
      </c>
      <c r="G71" s="149">
        <v>1</v>
      </c>
      <c r="J71" s="126">
        <v>3</v>
      </c>
      <c r="K71" s="126">
        <v>0</v>
      </c>
      <c r="L71" s="126">
        <v>3</v>
      </c>
      <c r="M71" s="126">
        <v>0</v>
      </c>
      <c r="N71" s="126">
        <v>6</v>
      </c>
      <c r="O71" s="126">
        <v>0</v>
      </c>
      <c r="P71" s="126">
        <v>0</v>
      </c>
      <c r="Q71" s="126">
        <v>0</v>
      </c>
      <c r="R71" s="126">
        <v>0</v>
      </c>
      <c r="S71" s="126">
        <v>0</v>
      </c>
    </row>
    <row r="72" spans="3:19" ht="23.1" customHeight="1">
      <c r="C72" s="126">
        <v>167</v>
      </c>
      <c r="D72" s="141" t="s">
        <v>1029</v>
      </c>
      <c r="E72" s="163" t="s">
        <v>1030</v>
      </c>
      <c r="F72" s="149">
        <v>1</v>
      </c>
      <c r="G72" s="149">
        <v>1</v>
      </c>
      <c r="J72" s="126">
        <v>9</v>
      </c>
      <c r="K72" s="126">
        <v>0</v>
      </c>
      <c r="L72" s="126">
        <v>9</v>
      </c>
      <c r="M72" s="126">
        <v>0</v>
      </c>
      <c r="N72" s="126">
        <v>18</v>
      </c>
      <c r="O72" s="126">
        <v>0</v>
      </c>
      <c r="P72" s="126">
        <v>0</v>
      </c>
      <c r="Q72" s="126">
        <v>0</v>
      </c>
      <c r="R72" s="126">
        <v>0</v>
      </c>
      <c r="S72" s="126">
        <v>0</v>
      </c>
    </row>
    <row r="73" spans="3:19" ht="23.1" customHeight="1">
      <c r="C73" s="126">
        <v>63</v>
      </c>
      <c r="D73" s="141" t="s">
        <v>1037</v>
      </c>
      <c r="E73" s="163" t="s">
        <v>1038</v>
      </c>
      <c r="F73" s="149">
        <v>1</v>
      </c>
      <c r="G73" s="149">
        <v>1</v>
      </c>
      <c r="J73" s="126">
        <v>6</v>
      </c>
      <c r="K73" s="126">
        <v>0</v>
      </c>
      <c r="L73" s="126">
        <v>6</v>
      </c>
      <c r="M73" s="126">
        <v>0</v>
      </c>
      <c r="N73" s="126">
        <v>12</v>
      </c>
      <c r="O73" s="126">
        <v>0</v>
      </c>
      <c r="P73" s="126">
        <v>0</v>
      </c>
      <c r="Q73" s="126">
        <v>0</v>
      </c>
      <c r="R73" s="126">
        <v>0</v>
      </c>
      <c r="S73" s="126">
        <v>0</v>
      </c>
    </row>
    <row r="74" spans="3:19" ht="23.1" customHeight="1">
      <c r="C74" s="126">
        <v>40</v>
      </c>
      <c r="D74" s="141" t="s">
        <v>1108</v>
      </c>
      <c r="E74" s="163" t="s">
        <v>1109</v>
      </c>
      <c r="F74" s="149">
        <v>1</v>
      </c>
      <c r="G74" s="149">
        <v>1</v>
      </c>
      <c r="J74" s="126">
        <v>2</v>
      </c>
      <c r="K74" s="126">
        <v>0</v>
      </c>
      <c r="L74" s="126">
        <v>2</v>
      </c>
      <c r="M74" s="126">
        <v>0</v>
      </c>
      <c r="N74" s="126">
        <v>4</v>
      </c>
      <c r="O74" s="126">
        <v>0</v>
      </c>
      <c r="P74" s="126">
        <v>0</v>
      </c>
      <c r="Q74" s="126">
        <v>0</v>
      </c>
      <c r="R74" s="126">
        <v>0</v>
      </c>
      <c r="S74" s="126">
        <v>0</v>
      </c>
    </row>
    <row r="75" spans="3:19" ht="23.1" customHeight="1">
      <c r="C75" s="126">
        <v>38</v>
      </c>
      <c r="D75" s="141" t="s">
        <v>1113</v>
      </c>
      <c r="E75" s="163" t="s">
        <v>1114</v>
      </c>
      <c r="F75" s="149">
        <v>1</v>
      </c>
      <c r="G75" s="149">
        <v>1</v>
      </c>
      <c r="J75" s="126">
        <v>2</v>
      </c>
      <c r="K75" s="126">
        <v>0</v>
      </c>
      <c r="L75" s="126">
        <v>2</v>
      </c>
      <c r="M75" s="126">
        <v>0</v>
      </c>
      <c r="N75" s="126">
        <v>4</v>
      </c>
      <c r="O75" s="126">
        <v>0</v>
      </c>
      <c r="P75" s="126">
        <v>0</v>
      </c>
      <c r="Q75" s="126">
        <v>0</v>
      </c>
      <c r="R75" s="126">
        <v>0</v>
      </c>
      <c r="S75" s="126">
        <v>0</v>
      </c>
    </row>
    <row r="76" spans="3:19" ht="23.1" customHeight="1">
      <c r="C76" s="126">
        <v>5</v>
      </c>
      <c r="D76" s="141" t="s">
        <v>686</v>
      </c>
      <c r="E76" s="163" t="s">
        <v>687</v>
      </c>
      <c r="F76" s="149">
        <v>1</v>
      </c>
      <c r="G76" s="149">
        <v>1</v>
      </c>
      <c r="J76" s="126">
        <v>-1</v>
      </c>
      <c r="K76" s="126">
        <v>0</v>
      </c>
      <c r="L76" s="126">
        <v>1</v>
      </c>
      <c r="M76" s="126">
        <v>0</v>
      </c>
      <c r="N76" s="126">
        <v>0</v>
      </c>
      <c r="O76" s="126">
        <v>0</v>
      </c>
      <c r="P76" s="126">
        <v>0</v>
      </c>
      <c r="Q76" s="126">
        <v>0</v>
      </c>
      <c r="R76" s="126">
        <v>0</v>
      </c>
      <c r="S76" s="126">
        <v>0</v>
      </c>
    </row>
    <row r="77" spans="3:19" ht="23.1" customHeight="1">
      <c r="C77" s="126">
        <v>8</v>
      </c>
      <c r="D77" s="141" t="s">
        <v>1125</v>
      </c>
      <c r="E77" s="163" t="s">
        <v>1126</v>
      </c>
      <c r="F77" s="149">
        <v>1</v>
      </c>
      <c r="G77" s="149">
        <v>1</v>
      </c>
      <c r="J77" s="126">
        <v>7</v>
      </c>
      <c r="K77" s="126">
        <v>0</v>
      </c>
      <c r="L77" s="126">
        <v>7</v>
      </c>
      <c r="M77" s="126">
        <v>0</v>
      </c>
      <c r="N77" s="126">
        <v>14</v>
      </c>
      <c r="O77" s="126">
        <v>0</v>
      </c>
      <c r="P77" s="126">
        <v>0</v>
      </c>
      <c r="Q77" s="126">
        <v>0</v>
      </c>
      <c r="R77" s="126">
        <v>0</v>
      </c>
      <c r="S77" s="126">
        <v>0</v>
      </c>
    </row>
    <row r="78" spans="3:19" ht="23.1" customHeight="1">
      <c r="C78" s="126">
        <v>76</v>
      </c>
      <c r="D78" s="141" t="s">
        <v>1133</v>
      </c>
      <c r="E78" s="163" t="s">
        <v>1134</v>
      </c>
      <c r="F78" s="149">
        <v>1</v>
      </c>
      <c r="G78" s="149">
        <v>1</v>
      </c>
      <c r="J78" s="126">
        <v>6</v>
      </c>
      <c r="K78" s="126">
        <v>0</v>
      </c>
      <c r="L78" s="126">
        <v>6</v>
      </c>
      <c r="M78" s="126">
        <v>0</v>
      </c>
      <c r="N78" s="126">
        <v>12</v>
      </c>
      <c r="O78" s="126">
        <v>0</v>
      </c>
      <c r="P78" s="126">
        <v>0</v>
      </c>
      <c r="Q78" s="126">
        <v>0</v>
      </c>
      <c r="R78" s="126">
        <v>0</v>
      </c>
      <c r="S78" s="126">
        <v>0</v>
      </c>
    </row>
    <row r="79" spans="3:19" ht="23.1" customHeight="1">
      <c r="C79" s="126">
        <v>90</v>
      </c>
      <c r="D79" s="141" t="s">
        <v>1139</v>
      </c>
      <c r="E79" s="163" t="s">
        <v>1140</v>
      </c>
      <c r="F79" s="149">
        <v>1</v>
      </c>
      <c r="G79" s="149">
        <v>1</v>
      </c>
      <c r="J79" s="126">
        <v>8</v>
      </c>
      <c r="K79" s="126">
        <v>0</v>
      </c>
      <c r="L79" s="126">
        <v>8</v>
      </c>
      <c r="M79" s="126">
        <v>0</v>
      </c>
      <c r="N79" s="126">
        <v>16</v>
      </c>
      <c r="O79" s="126">
        <v>0</v>
      </c>
      <c r="P79" s="126">
        <v>0</v>
      </c>
      <c r="Q79" s="126">
        <v>0</v>
      </c>
      <c r="R79" s="126">
        <v>0</v>
      </c>
      <c r="S79" s="126">
        <v>0</v>
      </c>
    </row>
    <row r="80" spans="3:19" ht="23.1" customHeight="1">
      <c r="C80" s="126">
        <v>39</v>
      </c>
      <c r="D80" s="141" t="s">
        <v>1144</v>
      </c>
      <c r="E80" s="163" t="s">
        <v>1145</v>
      </c>
      <c r="F80" s="149">
        <v>1</v>
      </c>
      <c r="G80" s="149">
        <v>1</v>
      </c>
      <c r="J80" s="126">
        <v>3</v>
      </c>
      <c r="K80" s="126">
        <v>0</v>
      </c>
      <c r="L80" s="126">
        <v>3</v>
      </c>
      <c r="M80" s="126">
        <v>0</v>
      </c>
      <c r="N80" s="126">
        <v>6</v>
      </c>
      <c r="O80" s="126">
        <v>0</v>
      </c>
      <c r="P80" s="126">
        <v>0</v>
      </c>
      <c r="Q80" s="126">
        <v>0</v>
      </c>
      <c r="R80" s="126">
        <v>0</v>
      </c>
      <c r="S80" s="126">
        <v>0</v>
      </c>
    </row>
    <row r="81" spans="3:19" ht="23.1" customHeight="1">
      <c r="C81" s="126">
        <v>131</v>
      </c>
      <c r="D81" s="141" t="s">
        <v>1155</v>
      </c>
      <c r="E81" s="163" t="s">
        <v>1156</v>
      </c>
      <c r="F81" s="149">
        <v>1</v>
      </c>
      <c r="G81" s="149">
        <v>1</v>
      </c>
      <c r="J81" s="126">
        <v>1</v>
      </c>
      <c r="K81" s="126">
        <v>0</v>
      </c>
      <c r="L81" s="126">
        <v>1</v>
      </c>
      <c r="M81" s="126">
        <v>0</v>
      </c>
      <c r="N81" s="126">
        <v>2</v>
      </c>
      <c r="O81" s="126">
        <v>0</v>
      </c>
      <c r="P81" s="126">
        <v>0</v>
      </c>
      <c r="Q81" s="126">
        <v>0</v>
      </c>
      <c r="R81" s="126">
        <v>0</v>
      </c>
      <c r="S81" s="126">
        <v>0</v>
      </c>
    </row>
    <row r="82" spans="3:19" ht="23.1" customHeight="1">
      <c r="C82" s="126">
        <v>198</v>
      </c>
      <c r="D82" s="141" t="s">
        <v>1170</v>
      </c>
      <c r="E82" s="163" t="s">
        <v>1171</v>
      </c>
      <c r="F82" s="149">
        <v>1</v>
      </c>
      <c r="G82" s="149">
        <v>1</v>
      </c>
      <c r="J82" s="126">
        <v>16</v>
      </c>
      <c r="K82" s="126">
        <v>0</v>
      </c>
      <c r="L82" s="126">
        <v>16</v>
      </c>
      <c r="M82" s="126">
        <v>0</v>
      </c>
      <c r="N82" s="126">
        <v>32</v>
      </c>
      <c r="O82" s="126">
        <v>0</v>
      </c>
      <c r="P82" s="126">
        <v>0</v>
      </c>
      <c r="Q82" s="126">
        <v>0</v>
      </c>
      <c r="R82" s="126">
        <v>0</v>
      </c>
      <c r="S82" s="126">
        <v>0</v>
      </c>
    </row>
    <row r="83" spans="3:19" ht="23.1" customHeight="1">
      <c r="C83" s="126">
        <v>2</v>
      </c>
      <c r="D83" s="141" t="s">
        <v>682</v>
      </c>
      <c r="E83" s="163" t="s">
        <v>683</v>
      </c>
      <c r="F83" s="149">
        <v>1</v>
      </c>
      <c r="G83" s="149">
        <v>1</v>
      </c>
      <c r="J83" s="126">
        <v>-2</v>
      </c>
      <c r="K83" s="126">
        <v>0</v>
      </c>
      <c r="L83" s="126">
        <v>2</v>
      </c>
      <c r="M83" s="126">
        <v>0</v>
      </c>
      <c r="N83" s="126">
        <v>0</v>
      </c>
      <c r="O83" s="126">
        <v>0</v>
      </c>
      <c r="P83" s="126">
        <v>0</v>
      </c>
      <c r="Q83" s="126">
        <v>0</v>
      </c>
      <c r="R83" s="126">
        <v>0</v>
      </c>
      <c r="S83" s="126">
        <v>0</v>
      </c>
    </row>
    <row r="84" spans="3:19" ht="23.1" customHeight="1">
      <c r="C84" s="126">
        <v>30</v>
      </c>
      <c r="D84" s="141" t="s">
        <v>1187</v>
      </c>
      <c r="E84" s="163" t="s">
        <v>1188</v>
      </c>
      <c r="F84" s="149">
        <v>1</v>
      </c>
      <c r="G84" s="149">
        <v>1</v>
      </c>
      <c r="J84" s="126">
        <v>3</v>
      </c>
      <c r="K84" s="126">
        <v>0</v>
      </c>
      <c r="L84" s="126">
        <v>3</v>
      </c>
      <c r="M84" s="126">
        <v>0</v>
      </c>
      <c r="N84" s="126">
        <v>6</v>
      </c>
      <c r="O84" s="126">
        <v>0</v>
      </c>
      <c r="P84" s="126">
        <v>0</v>
      </c>
      <c r="Q84" s="126">
        <v>0</v>
      </c>
      <c r="R84" s="126">
        <v>0</v>
      </c>
      <c r="S84" s="126">
        <v>0</v>
      </c>
    </row>
    <row r="85" spans="3:19" ht="23.1" customHeight="1">
      <c r="C85" s="126">
        <v>34</v>
      </c>
      <c r="D85" s="141" t="s">
        <v>1193</v>
      </c>
      <c r="E85" s="163" t="s">
        <v>1194</v>
      </c>
      <c r="F85" s="149">
        <v>1</v>
      </c>
      <c r="G85" s="149">
        <v>1</v>
      </c>
      <c r="J85" s="126">
        <v>10</v>
      </c>
      <c r="K85" s="126">
        <v>0</v>
      </c>
      <c r="L85" s="126">
        <v>10</v>
      </c>
      <c r="M85" s="126">
        <v>0</v>
      </c>
      <c r="N85" s="126">
        <v>20</v>
      </c>
      <c r="O85" s="126">
        <v>0</v>
      </c>
      <c r="P85" s="126">
        <v>0</v>
      </c>
      <c r="Q85" s="126">
        <v>0</v>
      </c>
      <c r="R85" s="126">
        <v>0</v>
      </c>
      <c r="S85" s="126">
        <v>0</v>
      </c>
    </row>
    <row r="86" spans="3:19" ht="23.1" customHeight="1">
      <c r="C86" s="126">
        <v>33</v>
      </c>
      <c r="D86" s="141" t="s">
        <v>1198</v>
      </c>
      <c r="E86" s="163" t="s">
        <v>1199</v>
      </c>
      <c r="F86" s="149">
        <v>1</v>
      </c>
      <c r="G86" s="149">
        <v>1</v>
      </c>
      <c r="J86" s="126">
        <v>1</v>
      </c>
      <c r="K86" s="126">
        <v>0</v>
      </c>
      <c r="L86" s="126">
        <v>1</v>
      </c>
      <c r="M86" s="126">
        <v>0</v>
      </c>
      <c r="N86" s="126">
        <v>2</v>
      </c>
      <c r="O86" s="126">
        <v>0</v>
      </c>
      <c r="P86" s="126">
        <v>0</v>
      </c>
      <c r="Q86" s="126">
        <v>0</v>
      </c>
      <c r="R86" s="126">
        <v>0</v>
      </c>
      <c r="S86" s="126">
        <v>0</v>
      </c>
    </row>
    <row r="87" spans="3:19" ht="23.1" customHeight="1">
      <c r="C87" s="126">
        <v>56</v>
      </c>
      <c r="D87" s="141" t="s">
        <v>1203</v>
      </c>
      <c r="E87" s="163" t="s">
        <v>1204</v>
      </c>
      <c r="F87" s="149">
        <v>1</v>
      </c>
      <c r="G87" s="149">
        <v>1</v>
      </c>
      <c r="J87" s="126">
        <v>7</v>
      </c>
      <c r="K87" s="126">
        <v>0</v>
      </c>
      <c r="L87" s="126">
        <v>7</v>
      </c>
      <c r="M87" s="126">
        <v>0</v>
      </c>
      <c r="N87" s="126">
        <v>14</v>
      </c>
      <c r="O87" s="126">
        <v>0</v>
      </c>
      <c r="P87" s="126">
        <v>0</v>
      </c>
      <c r="Q87" s="126">
        <v>0</v>
      </c>
      <c r="R87" s="126">
        <v>0</v>
      </c>
      <c r="S87" s="126">
        <v>0</v>
      </c>
    </row>
    <row r="88" spans="3:19" ht="23.1" customHeight="1">
      <c r="C88" s="126">
        <v>53</v>
      </c>
      <c r="D88" s="141" t="s">
        <v>1211</v>
      </c>
      <c r="E88" s="163" t="s">
        <v>1212</v>
      </c>
      <c r="F88" s="149">
        <v>1</v>
      </c>
      <c r="G88" s="149">
        <v>1</v>
      </c>
      <c r="J88" s="126">
        <v>2</v>
      </c>
      <c r="K88" s="126">
        <v>0</v>
      </c>
      <c r="L88" s="126">
        <v>2</v>
      </c>
      <c r="M88" s="126">
        <v>0</v>
      </c>
      <c r="N88" s="126">
        <v>4</v>
      </c>
      <c r="O88" s="126">
        <v>0</v>
      </c>
      <c r="P88" s="126">
        <v>0</v>
      </c>
      <c r="Q88" s="126">
        <v>0</v>
      </c>
      <c r="R88" s="126">
        <v>0</v>
      </c>
      <c r="S88" s="126">
        <v>0</v>
      </c>
    </row>
    <row r="89" spans="3:19" ht="23.1" customHeight="1">
      <c r="C89" s="126">
        <v>66</v>
      </c>
      <c r="D89" s="141" t="s">
        <v>1216</v>
      </c>
      <c r="E89" s="163" t="s">
        <v>1217</v>
      </c>
      <c r="F89" s="149">
        <v>1</v>
      </c>
      <c r="G89" s="149">
        <v>1</v>
      </c>
      <c r="J89" s="126">
        <v>6</v>
      </c>
      <c r="K89" s="126">
        <v>0</v>
      </c>
      <c r="L89" s="126">
        <v>6</v>
      </c>
      <c r="M89" s="126">
        <v>0</v>
      </c>
      <c r="N89" s="126">
        <v>12</v>
      </c>
      <c r="O89" s="126">
        <v>0</v>
      </c>
      <c r="P89" s="126">
        <v>0</v>
      </c>
      <c r="Q89" s="126">
        <v>0</v>
      </c>
      <c r="R89" s="126">
        <v>0</v>
      </c>
      <c r="S89" s="126">
        <v>0</v>
      </c>
    </row>
    <row r="90" spans="3:19" ht="23.1" customHeight="1">
      <c r="C90" s="126">
        <v>64</v>
      </c>
      <c r="D90" s="141" t="s">
        <v>1221</v>
      </c>
      <c r="E90" s="163" t="s">
        <v>1222</v>
      </c>
      <c r="F90" s="149">
        <v>1</v>
      </c>
      <c r="G90" s="149">
        <v>1</v>
      </c>
      <c r="J90" s="126">
        <v>1</v>
      </c>
      <c r="K90" s="126">
        <v>0</v>
      </c>
      <c r="L90" s="126">
        <v>1</v>
      </c>
      <c r="M90" s="126">
        <v>0</v>
      </c>
      <c r="N90" s="126">
        <v>2</v>
      </c>
      <c r="O90" s="126">
        <v>0</v>
      </c>
      <c r="P90" s="126">
        <v>0</v>
      </c>
      <c r="Q90" s="126">
        <v>0</v>
      </c>
      <c r="R90" s="126">
        <v>0</v>
      </c>
      <c r="S90" s="126">
        <v>0</v>
      </c>
    </row>
    <row r="91" spans="3:19" ht="23.1" customHeight="1">
      <c r="C91" s="126">
        <v>44</v>
      </c>
      <c r="D91" s="141" t="s">
        <v>1229</v>
      </c>
      <c r="E91" s="163" t="s">
        <v>1230</v>
      </c>
      <c r="F91" s="149">
        <v>1</v>
      </c>
      <c r="G91" s="149">
        <v>1</v>
      </c>
      <c r="J91" s="126">
        <v>4</v>
      </c>
      <c r="K91" s="126">
        <v>0</v>
      </c>
      <c r="L91" s="126">
        <v>4</v>
      </c>
      <c r="M91" s="126">
        <v>0</v>
      </c>
      <c r="N91" s="126">
        <v>8</v>
      </c>
      <c r="O91" s="126">
        <v>0</v>
      </c>
      <c r="P91" s="126">
        <v>0</v>
      </c>
      <c r="Q91" s="126">
        <v>0</v>
      </c>
      <c r="R91" s="126">
        <v>0</v>
      </c>
      <c r="S91" s="126">
        <v>0</v>
      </c>
    </row>
    <row r="92" spans="3:19" ht="23.1" customHeight="1">
      <c r="C92" s="126">
        <v>69</v>
      </c>
      <c r="D92" s="141" t="s">
        <v>1234</v>
      </c>
      <c r="E92" s="163" t="s">
        <v>1235</v>
      </c>
      <c r="F92" s="149">
        <v>1</v>
      </c>
      <c r="G92" s="149">
        <v>1</v>
      </c>
      <c r="J92" s="126">
        <v>7</v>
      </c>
      <c r="K92" s="126">
        <v>0</v>
      </c>
      <c r="L92" s="126">
        <v>7</v>
      </c>
      <c r="M92" s="126">
        <v>0</v>
      </c>
      <c r="N92" s="126">
        <v>14</v>
      </c>
      <c r="O92" s="126">
        <v>0</v>
      </c>
      <c r="P92" s="126">
        <v>0</v>
      </c>
      <c r="Q92" s="126">
        <v>0</v>
      </c>
      <c r="R92" s="126">
        <v>0</v>
      </c>
      <c r="S92" s="126">
        <v>0</v>
      </c>
    </row>
    <row r="93" spans="3:19" ht="23.1" customHeight="1">
      <c r="C93" s="126">
        <v>68</v>
      </c>
      <c r="D93" s="141" t="s">
        <v>1242</v>
      </c>
      <c r="E93" s="163" t="s">
        <v>1243</v>
      </c>
      <c r="F93" s="149">
        <v>1</v>
      </c>
      <c r="G93" s="149">
        <v>1</v>
      </c>
      <c r="J93" s="126">
        <v>6</v>
      </c>
      <c r="K93" s="126">
        <v>0</v>
      </c>
      <c r="L93" s="126">
        <v>6</v>
      </c>
      <c r="M93" s="126">
        <v>0</v>
      </c>
      <c r="N93" s="126">
        <v>12</v>
      </c>
      <c r="O93" s="126">
        <v>0</v>
      </c>
      <c r="P93" s="126">
        <v>0</v>
      </c>
      <c r="Q93" s="126">
        <v>0</v>
      </c>
      <c r="R93" s="126">
        <v>0</v>
      </c>
      <c r="S93" s="126">
        <v>0</v>
      </c>
    </row>
    <row r="94" spans="3:19" ht="23.1" customHeight="1">
      <c r="C94" s="126">
        <v>25</v>
      </c>
      <c r="D94" s="141" t="s">
        <v>1295</v>
      </c>
      <c r="E94" s="163" t="s">
        <v>1296</v>
      </c>
      <c r="F94" s="149">
        <v>1</v>
      </c>
      <c r="G94" s="149">
        <v>1</v>
      </c>
      <c r="J94" s="126">
        <v>1</v>
      </c>
      <c r="K94" s="126">
        <v>0</v>
      </c>
      <c r="L94" s="126">
        <v>1</v>
      </c>
      <c r="M94" s="126">
        <v>0</v>
      </c>
      <c r="N94" s="126">
        <v>2</v>
      </c>
      <c r="O94" s="126">
        <v>0</v>
      </c>
      <c r="P94" s="126">
        <v>0</v>
      </c>
      <c r="Q94" s="126">
        <v>0</v>
      </c>
      <c r="R94" s="126">
        <v>0</v>
      </c>
      <c r="S94" s="126">
        <v>0</v>
      </c>
    </row>
    <row r="95" spans="3:19" ht="23.1" customHeight="1">
      <c r="C95" s="126">
        <v>73</v>
      </c>
      <c r="D95" s="141" t="s">
        <v>1303</v>
      </c>
      <c r="E95" s="163" t="s">
        <v>1304</v>
      </c>
      <c r="F95" s="149">
        <v>1</v>
      </c>
      <c r="G95" s="149">
        <v>1</v>
      </c>
      <c r="J95" s="126">
        <v>1</v>
      </c>
      <c r="K95" s="126">
        <v>0</v>
      </c>
      <c r="L95" s="126">
        <v>1</v>
      </c>
      <c r="M95" s="126">
        <v>0</v>
      </c>
      <c r="N95" s="126">
        <v>2</v>
      </c>
      <c r="O95" s="126">
        <v>0</v>
      </c>
      <c r="P95" s="126">
        <v>0</v>
      </c>
      <c r="Q95" s="126">
        <v>0</v>
      </c>
      <c r="R95" s="126">
        <v>0</v>
      </c>
      <c r="S95" s="126">
        <v>0</v>
      </c>
    </row>
    <row r="96" spans="3:19" ht="23.1" customHeight="1">
      <c r="C96" s="126">
        <v>92</v>
      </c>
      <c r="D96" s="141" t="s">
        <v>1313</v>
      </c>
      <c r="E96" s="163" t="s">
        <v>1314</v>
      </c>
      <c r="F96" s="149">
        <v>1</v>
      </c>
      <c r="G96" s="149">
        <v>1</v>
      </c>
      <c r="J96" s="126">
        <v>20</v>
      </c>
      <c r="K96" s="126">
        <v>0</v>
      </c>
      <c r="L96" s="126">
        <v>20</v>
      </c>
      <c r="M96" s="126">
        <v>0</v>
      </c>
      <c r="N96" s="126">
        <v>40</v>
      </c>
      <c r="O96" s="126">
        <v>0</v>
      </c>
      <c r="P96" s="126">
        <v>0</v>
      </c>
      <c r="Q96" s="126">
        <v>0</v>
      </c>
      <c r="R96" s="126">
        <v>0</v>
      </c>
      <c r="S96" s="126">
        <v>0</v>
      </c>
    </row>
    <row r="97" spans="3:19" ht="23.1" customHeight="1">
      <c r="C97" s="126">
        <v>94</v>
      </c>
      <c r="D97" s="141" t="s">
        <v>1323</v>
      </c>
      <c r="E97" s="163" t="s">
        <v>1324</v>
      </c>
      <c r="F97" s="149">
        <v>1</v>
      </c>
      <c r="G97" s="149">
        <v>1</v>
      </c>
      <c r="J97" s="126">
        <v>41</v>
      </c>
      <c r="K97" s="126">
        <v>0</v>
      </c>
      <c r="L97" s="126">
        <v>41</v>
      </c>
      <c r="M97" s="126">
        <v>0</v>
      </c>
      <c r="N97" s="126">
        <v>82</v>
      </c>
      <c r="O97" s="126">
        <v>0</v>
      </c>
      <c r="P97" s="126">
        <v>0</v>
      </c>
      <c r="Q97" s="126">
        <v>0</v>
      </c>
      <c r="R97" s="126">
        <v>0</v>
      </c>
      <c r="S97" s="126">
        <v>0</v>
      </c>
    </row>
    <row r="98" spans="3:19" ht="23.1" customHeight="1">
      <c r="C98" s="126">
        <v>51</v>
      </c>
      <c r="D98" s="141" t="s">
        <v>1339</v>
      </c>
      <c r="E98" s="163" t="s">
        <v>1340</v>
      </c>
      <c r="F98" s="149">
        <v>1</v>
      </c>
      <c r="G98" s="149">
        <v>1</v>
      </c>
      <c r="J98" s="126">
        <v>17</v>
      </c>
      <c r="K98" s="126">
        <v>0</v>
      </c>
      <c r="L98" s="126">
        <v>17</v>
      </c>
      <c r="M98" s="126">
        <v>0</v>
      </c>
      <c r="N98" s="126">
        <v>34</v>
      </c>
      <c r="O98" s="126">
        <v>0</v>
      </c>
      <c r="P98" s="126">
        <v>0</v>
      </c>
      <c r="Q98" s="126">
        <v>0</v>
      </c>
      <c r="R98" s="126">
        <v>0</v>
      </c>
      <c r="S98" s="126">
        <v>0</v>
      </c>
    </row>
    <row r="99" spans="3:19" ht="23.1" customHeight="1">
      <c r="C99" s="126">
        <v>74</v>
      </c>
      <c r="D99" s="141" t="s">
        <v>1367</v>
      </c>
      <c r="E99" s="163" t="s">
        <v>1368</v>
      </c>
      <c r="F99" s="149">
        <v>1</v>
      </c>
      <c r="G99" s="149">
        <v>1</v>
      </c>
      <c r="J99" s="126">
        <v>6</v>
      </c>
      <c r="K99" s="126">
        <v>0</v>
      </c>
      <c r="L99" s="126">
        <v>6</v>
      </c>
      <c r="M99" s="126">
        <v>0</v>
      </c>
      <c r="N99" s="126">
        <v>12</v>
      </c>
      <c r="O99" s="126">
        <v>0</v>
      </c>
      <c r="P99" s="126">
        <v>0</v>
      </c>
      <c r="Q99" s="126">
        <v>0</v>
      </c>
      <c r="R99" s="126">
        <v>0</v>
      </c>
      <c r="S99" s="126">
        <v>0</v>
      </c>
    </row>
    <row r="100" spans="3:19" ht="23.1" customHeight="1">
      <c r="C100" s="126">
        <v>75</v>
      </c>
      <c r="D100" s="141" t="s">
        <v>1381</v>
      </c>
      <c r="E100" s="163" t="s">
        <v>1382</v>
      </c>
      <c r="F100" s="149">
        <v>1</v>
      </c>
      <c r="G100" s="149">
        <v>1</v>
      </c>
      <c r="J100" s="126">
        <v>4</v>
      </c>
      <c r="K100" s="126">
        <v>0</v>
      </c>
      <c r="L100" s="126">
        <v>4</v>
      </c>
      <c r="M100" s="126">
        <v>0</v>
      </c>
      <c r="N100" s="126">
        <v>8</v>
      </c>
      <c r="O100" s="126">
        <v>0</v>
      </c>
      <c r="P100" s="126">
        <v>0</v>
      </c>
      <c r="Q100" s="126">
        <v>0</v>
      </c>
      <c r="R100" s="126">
        <v>0</v>
      </c>
      <c r="S100" s="126">
        <v>0</v>
      </c>
    </row>
    <row r="101" spans="3:19" ht="23.1" customHeight="1">
      <c r="C101" s="126">
        <v>150</v>
      </c>
      <c r="D101" s="141" t="s">
        <v>1405</v>
      </c>
      <c r="E101" s="163" t="s">
        <v>1406</v>
      </c>
      <c r="F101" s="149">
        <v>1</v>
      </c>
      <c r="G101" s="149">
        <v>1</v>
      </c>
      <c r="J101" s="126">
        <v>44</v>
      </c>
      <c r="K101" s="126">
        <v>0</v>
      </c>
      <c r="L101" s="126">
        <v>44</v>
      </c>
      <c r="M101" s="126">
        <v>0</v>
      </c>
      <c r="N101" s="126">
        <v>88</v>
      </c>
      <c r="O101" s="126">
        <v>0</v>
      </c>
      <c r="P101" s="126">
        <v>0</v>
      </c>
      <c r="Q101" s="126">
        <v>0</v>
      </c>
      <c r="R101" s="126">
        <v>0</v>
      </c>
      <c r="S101" s="126">
        <v>0</v>
      </c>
    </row>
    <row r="102" spans="3:19" ht="23.1" customHeight="1">
      <c r="C102" s="126">
        <v>37</v>
      </c>
      <c r="D102" s="141" t="s">
        <v>1515</v>
      </c>
      <c r="E102" s="163" t="s">
        <v>1516</v>
      </c>
      <c r="F102" s="149">
        <v>1</v>
      </c>
      <c r="G102" s="149">
        <v>1</v>
      </c>
      <c r="J102" s="126">
        <v>2</v>
      </c>
      <c r="K102" s="126">
        <v>0</v>
      </c>
      <c r="L102" s="126">
        <v>2</v>
      </c>
      <c r="M102" s="126">
        <v>0</v>
      </c>
      <c r="N102" s="126">
        <v>4</v>
      </c>
      <c r="O102" s="126">
        <v>0</v>
      </c>
      <c r="P102" s="126">
        <v>0</v>
      </c>
      <c r="Q102" s="126">
        <v>0</v>
      </c>
      <c r="R102" s="126">
        <v>0</v>
      </c>
      <c r="S102" s="126">
        <v>0</v>
      </c>
    </row>
    <row r="103" spans="3:19" ht="23.1" customHeight="1">
      <c r="C103" s="126">
        <v>29</v>
      </c>
      <c r="D103" s="141" t="s">
        <v>1523</v>
      </c>
      <c r="E103" s="163" t="s">
        <v>1524</v>
      </c>
      <c r="F103" s="149">
        <v>1</v>
      </c>
      <c r="G103" s="149">
        <v>1</v>
      </c>
      <c r="J103" s="126">
        <v>12</v>
      </c>
      <c r="K103" s="126">
        <v>0</v>
      </c>
      <c r="L103" s="126">
        <v>12</v>
      </c>
      <c r="M103" s="126">
        <v>0</v>
      </c>
      <c r="N103" s="126">
        <v>24</v>
      </c>
      <c r="O103" s="126">
        <v>0</v>
      </c>
      <c r="P103" s="126">
        <v>0</v>
      </c>
      <c r="Q103" s="126">
        <v>0</v>
      </c>
      <c r="R103" s="126">
        <v>0</v>
      </c>
      <c r="S103" s="126">
        <v>0</v>
      </c>
    </row>
    <row r="104" spans="3:19" ht="23.1" customHeight="1">
      <c r="C104" s="126">
        <v>4</v>
      </c>
      <c r="D104" s="141" t="s">
        <v>581</v>
      </c>
      <c r="E104" s="163" t="s">
        <v>582</v>
      </c>
      <c r="F104" s="149">
        <v>1</v>
      </c>
      <c r="G104" s="149">
        <v>1</v>
      </c>
      <c r="J104" s="126">
        <v>-2</v>
      </c>
      <c r="K104" s="126">
        <v>0</v>
      </c>
      <c r="L104" s="126">
        <v>2</v>
      </c>
      <c r="M104" s="126">
        <v>0</v>
      </c>
      <c r="N104" s="126">
        <v>0</v>
      </c>
      <c r="O104" s="126">
        <v>0</v>
      </c>
      <c r="P104" s="126">
        <v>0</v>
      </c>
      <c r="Q104" s="126">
        <v>0</v>
      </c>
      <c r="R104" s="126">
        <v>0</v>
      </c>
      <c r="S104" s="126">
        <v>0</v>
      </c>
    </row>
    <row r="105" spans="3:19" ht="23.1" customHeight="1">
      <c r="C105" s="126">
        <v>170</v>
      </c>
      <c r="D105" s="141" t="s">
        <v>1647</v>
      </c>
      <c r="E105" s="163" t="s">
        <v>1648</v>
      </c>
      <c r="F105" s="149">
        <v>1</v>
      </c>
      <c r="G105" s="149">
        <v>1</v>
      </c>
      <c r="J105" s="126">
        <v>10</v>
      </c>
      <c r="K105" s="126">
        <v>0</v>
      </c>
      <c r="L105" s="126">
        <v>10</v>
      </c>
      <c r="M105" s="126">
        <v>0</v>
      </c>
      <c r="N105" s="126">
        <v>20</v>
      </c>
      <c r="O105" s="126">
        <v>0</v>
      </c>
      <c r="P105" s="126">
        <v>0</v>
      </c>
      <c r="Q105" s="126">
        <v>0</v>
      </c>
      <c r="R105" s="126">
        <v>0</v>
      </c>
      <c r="S105" s="126">
        <v>0</v>
      </c>
    </row>
    <row r="106" spans="3:19" ht="23.1" customHeight="1">
      <c r="C106" s="126">
        <v>158</v>
      </c>
      <c r="D106" s="141" t="s">
        <v>1702</v>
      </c>
      <c r="E106" s="163" t="s">
        <v>1703</v>
      </c>
      <c r="F106" s="149">
        <v>1</v>
      </c>
      <c r="G106" s="149">
        <v>1</v>
      </c>
      <c r="J106" s="126">
        <v>1</v>
      </c>
      <c r="K106" s="126">
        <v>0</v>
      </c>
      <c r="L106" s="126">
        <v>1</v>
      </c>
      <c r="M106" s="126">
        <v>0</v>
      </c>
      <c r="N106" s="126">
        <v>2</v>
      </c>
      <c r="O106" s="126">
        <v>0</v>
      </c>
      <c r="P106" s="126">
        <v>0</v>
      </c>
      <c r="Q106" s="126">
        <v>0</v>
      </c>
      <c r="R106" s="126">
        <v>0</v>
      </c>
      <c r="S106" s="126">
        <v>0</v>
      </c>
    </row>
    <row r="107" spans="3:19" ht="23.1" customHeight="1">
      <c r="C107" s="126">
        <v>165</v>
      </c>
      <c r="D107" s="141" t="s">
        <v>1708</v>
      </c>
      <c r="E107" s="163" t="s">
        <v>1709</v>
      </c>
      <c r="F107" s="149">
        <v>1</v>
      </c>
      <c r="G107" s="149">
        <v>1</v>
      </c>
      <c r="J107" s="126">
        <v>1</v>
      </c>
      <c r="K107" s="126">
        <v>0</v>
      </c>
      <c r="L107" s="126">
        <v>1</v>
      </c>
      <c r="M107" s="126">
        <v>0</v>
      </c>
      <c r="N107" s="126">
        <v>2</v>
      </c>
      <c r="O107" s="126">
        <v>0</v>
      </c>
      <c r="P107" s="126">
        <v>0</v>
      </c>
      <c r="Q107" s="126">
        <v>0</v>
      </c>
      <c r="R107" s="126">
        <v>0</v>
      </c>
      <c r="S107" s="126">
        <v>0</v>
      </c>
    </row>
    <row r="108" spans="3:19" ht="23.1" customHeight="1">
      <c r="C108" s="126">
        <v>54</v>
      </c>
      <c r="D108" s="141" t="s">
        <v>1743</v>
      </c>
      <c r="E108" s="163" t="s">
        <v>1744</v>
      </c>
      <c r="F108" s="149">
        <v>1</v>
      </c>
      <c r="G108" s="149">
        <v>1</v>
      </c>
      <c r="J108" s="126">
        <v>8</v>
      </c>
      <c r="K108" s="126">
        <v>0</v>
      </c>
      <c r="L108" s="126">
        <v>8</v>
      </c>
      <c r="M108" s="126">
        <v>0</v>
      </c>
      <c r="N108" s="126">
        <v>16</v>
      </c>
      <c r="O108" s="126">
        <v>0</v>
      </c>
      <c r="P108" s="126">
        <v>0</v>
      </c>
      <c r="Q108" s="126">
        <v>0</v>
      </c>
      <c r="R108" s="126">
        <v>0</v>
      </c>
      <c r="S108" s="126">
        <v>0</v>
      </c>
    </row>
    <row r="109" spans="3:19" ht="23.1" customHeight="1">
      <c r="C109" s="126">
        <v>32</v>
      </c>
      <c r="D109" s="141" t="s">
        <v>1748</v>
      </c>
      <c r="E109" s="163" t="s">
        <v>1749</v>
      </c>
      <c r="F109" s="149">
        <v>1</v>
      </c>
      <c r="G109" s="149">
        <v>1</v>
      </c>
      <c r="J109" s="126">
        <v>2</v>
      </c>
      <c r="K109" s="126">
        <v>0</v>
      </c>
      <c r="L109" s="126">
        <v>2</v>
      </c>
      <c r="M109" s="126">
        <v>0</v>
      </c>
      <c r="N109" s="126">
        <v>4</v>
      </c>
      <c r="O109" s="126">
        <v>0</v>
      </c>
      <c r="P109" s="126">
        <v>0</v>
      </c>
      <c r="Q109" s="126">
        <v>0</v>
      </c>
      <c r="R109" s="126">
        <v>0</v>
      </c>
      <c r="S109" s="126">
        <v>0</v>
      </c>
    </row>
    <row r="110" spans="3:19" ht="23.1" customHeight="1">
      <c r="C110" s="126">
        <v>9</v>
      </c>
      <c r="D110" s="141" t="s">
        <v>1813</v>
      </c>
      <c r="E110" s="163" t="s">
        <v>1814</v>
      </c>
      <c r="F110" s="149">
        <v>1</v>
      </c>
      <c r="G110" s="149">
        <v>1</v>
      </c>
      <c r="J110" s="126">
        <v>18</v>
      </c>
      <c r="K110" s="126">
        <v>0</v>
      </c>
      <c r="L110" s="126">
        <v>18</v>
      </c>
      <c r="M110" s="126">
        <v>0</v>
      </c>
      <c r="N110" s="126">
        <v>36</v>
      </c>
      <c r="O110" s="126">
        <v>0</v>
      </c>
      <c r="P110" s="126">
        <v>0</v>
      </c>
      <c r="Q110" s="126">
        <v>0</v>
      </c>
      <c r="R110" s="126">
        <v>0</v>
      </c>
      <c r="S110" s="126">
        <v>0</v>
      </c>
    </row>
    <row r="111" spans="3:19" ht="23.1" customHeight="1">
      <c r="C111" s="126">
        <v>4</v>
      </c>
      <c r="D111" s="141" t="s">
        <v>581</v>
      </c>
      <c r="E111" s="163" t="s">
        <v>582</v>
      </c>
      <c r="F111" s="149">
        <v>1</v>
      </c>
      <c r="G111" s="149">
        <v>1</v>
      </c>
      <c r="J111" s="126">
        <v>-7</v>
      </c>
      <c r="K111" s="126">
        <v>0</v>
      </c>
      <c r="L111" s="126">
        <v>7</v>
      </c>
      <c r="M111" s="126">
        <v>0</v>
      </c>
      <c r="N111" s="126">
        <v>0</v>
      </c>
      <c r="O111" s="126">
        <v>0</v>
      </c>
      <c r="P111" s="126">
        <v>0</v>
      </c>
      <c r="Q111" s="126">
        <v>0</v>
      </c>
      <c r="R111" s="126">
        <v>0</v>
      </c>
      <c r="S111" s="126">
        <v>0</v>
      </c>
    </row>
    <row r="112" spans="3:19" ht="23.1" customHeight="1">
      <c r="C112" s="126">
        <v>61</v>
      </c>
      <c r="D112" s="141" t="s">
        <v>1924</v>
      </c>
      <c r="E112" s="163" t="s">
        <v>1925</v>
      </c>
      <c r="F112" s="149">
        <v>1</v>
      </c>
      <c r="G112" s="149">
        <v>1</v>
      </c>
      <c r="J112" s="126">
        <v>1</v>
      </c>
      <c r="K112" s="126">
        <v>0</v>
      </c>
      <c r="L112" s="126">
        <v>1</v>
      </c>
      <c r="M112" s="126">
        <v>0</v>
      </c>
      <c r="N112" s="126">
        <v>2</v>
      </c>
      <c r="O112" s="126">
        <v>0</v>
      </c>
      <c r="P112" s="126">
        <v>0</v>
      </c>
      <c r="Q112" s="126">
        <v>0</v>
      </c>
      <c r="R112" s="126">
        <v>0</v>
      </c>
      <c r="S112" s="126">
        <v>0</v>
      </c>
    </row>
    <row r="113" spans="3:19" ht="23.1" customHeight="1">
      <c r="C113" s="126">
        <v>146</v>
      </c>
      <c r="D113" s="141" t="s">
        <v>1929</v>
      </c>
      <c r="E113" s="163" t="s">
        <v>1930</v>
      </c>
      <c r="F113" s="149">
        <v>1</v>
      </c>
      <c r="G113" s="149">
        <v>1</v>
      </c>
      <c r="J113" s="126">
        <v>5</v>
      </c>
      <c r="K113" s="126">
        <v>0</v>
      </c>
      <c r="L113" s="126">
        <v>5</v>
      </c>
      <c r="M113" s="126">
        <v>0</v>
      </c>
      <c r="N113" s="126">
        <v>10</v>
      </c>
      <c r="O113" s="126">
        <v>0</v>
      </c>
      <c r="P113" s="126">
        <v>0</v>
      </c>
      <c r="Q113" s="126">
        <v>0</v>
      </c>
      <c r="R113" s="126">
        <v>0</v>
      </c>
      <c r="S113" s="126">
        <v>0</v>
      </c>
    </row>
    <row r="114" spans="3:19" ht="23.1" customHeight="1">
      <c r="C114" s="126">
        <v>1</v>
      </c>
      <c r="D114" s="141" t="s">
        <v>677</v>
      </c>
      <c r="E114" s="163" t="s">
        <v>678</v>
      </c>
      <c r="F114" s="149">
        <v>1</v>
      </c>
      <c r="G114" s="149">
        <v>1</v>
      </c>
      <c r="J114" s="126">
        <v>-1</v>
      </c>
      <c r="K114" s="126">
        <v>0</v>
      </c>
      <c r="L114" s="126">
        <v>1</v>
      </c>
      <c r="M114" s="126">
        <v>0</v>
      </c>
      <c r="N114" s="126">
        <v>0</v>
      </c>
      <c r="O114" s="126">
        <v>0</v>
      </c>
      <c r="P114" s="126">
        <v>0</v>
      </c>
      <c r="Q114" s="126">
        <v>0</v>
      </c>
      <c r="R114" s="126">
        <v>0</v>
      </c>
      <c r="S114" s="126">
        <v>0</v>
      </c>
    </row>
    <row r="115" spans="3:19" ht="23.1" customHeight="1">
      <c r="C115" s="126">
        <v>4</v>
      </c>
      <c r="D115" s="141" t="s">
        <v>581</v>
      </c>
      <c r="E115" s="163" t="s">
        <v>582</v>
      </c>
      <c r="F115" s="149">
        <v>1</v>
      </c>
      <c r="G115" s="149">
        <v>1</v>
      </c>
      <c r="J115" s="126">
        <v>-1</v>
      </c>
      <c r="K115" s="126">
        <v>0</v>
      </c>
      <c r="L115" s="126">
        <v>1</v>
      </c>
      <c r="M115" s="126">
        <v>0</v>
      </c>
      <c r="N115" s="126">
        <v>0</v>
      </c>
      <c r="O115" s="126">
        <v>0</v>
      </c>
      <c r="P115" s="126">
        <v>0</v>
      </c>
      <c r="Q115" s="126">
        <v>0</v>
      </c>
      <c r="R115" s="126">
        <v>0</v>
      </c>
      <c r="S115" s="126">
        <v>0</v>
      </c>
    </row>
    <row r="116" spans="3:19" ht="23.1" customHeight="1">
      <c r="C116" s="126">
        <v>71</v>
      </c>
      <c r="D116" s="141" t="s">
        <v>2010</v>
      </c>
      <c r="E116" s="163" t="s">
        <v>2011</v>
      </c>
      <c r="F116" s="149">
        <v>1</v>
      </c>
      <c r="G116" s="149">
        <v>1</v>
      </c>
      <c r="J116" s="126">
        <v>2</v>
      </c>
      <c r="K116" s="126">
        <v>0</v>
      </c>
      <c r="L116" s="126">
        <v>2</v>
      </c>
      <c r="M116" s="126">
        <v>0</v>
      </c>
      <c r="N116" s="126">
        <v>4</v>
      </c>
      <c r="O116" s="126">
        <v>0</v>
      </c>
      <c r="P116" s="126">
        <v>0</v>
      </c>
      <c r="Q116" s="126">
        <v>0</v>
      </c>
      <c r="R116" s="126">
        <v>0</v>
      </c>
      <c r="S116" s="126">
        <v>0</v>
      </c>
    </row>
    <row r="117" spans="3:19" ht="23.1" customHeight="1">
      <c r="C117" s="126">
        <v>79</v>
      </c>
      <c r="D117" s="141" t="s">
        <v>2027</v>
      </c>
      <c r="E117" s="163" t="s">
        <v>2028</v>
      </c>
      <c r="F117" s="149">
        <v>1</v>
      </c>
      <c r="G117" s="149">
        <v>1</v>
      </c>
      <c r="J117" s="126">
        <v>50</v>
      </c>
      <c r="K117" s="126">
        <v>0</v>
      </c>
      <c r="L117" s="126">
        <v>50</v>
      </c>
      <c r="M117" s="126">
        <v>0</v>
      </c>
      <c r="N117" s="126">
        <v>100</v>
      </c>
      <c r="O117" s="126">
        <v>0</v>
      </c>
      <c r="P117" s="126">
        <v>0</v>
      </c>
      <c r="Q117" s="126">
        <v>0</v>
      </c>
      <c r="R117" s="126">
        <v>0</v>
      </c>
      <c r="S117" s="126">
        <v>0</v>
      </c>
    </row>
    <row r="118" spans="3:19" ht="23.1" customHeight="1">
      <c r="C118" s="126">
        <v>77</v>
      </c>
      <c r="D118" s="141" t="s">
        <v>2033</v>
      </c>
      <c r="E118" s="163" t="s">
        <v>2034</v>
      </c>
      <c r="F118" s="149">
        <v>1</v>
      </c>
      <c r="G118" s="149">
        <v>1</v>
      </c>
      <c r="J118" s="126">
        <v>50</v>
      </c>
      <c r="K118" s="126">
        <v>0</v>
      </c>
      <c r="L118" s="126">
        <v>50</v>
      </c>
      <c r="M118" s="126">
        <v>0</v>
      </c>
      <c r="N118" s="126">
        <v>100</v>
      </c>
      <c r="O118" s="126">
        <v>0</v>
      </c>
      <c r="P118" s="126">
        <v>0</v>
      </c>
      <c r="Q118" s="126">
        <v>0</v>
      </c>
      <c r="R118" s="126">
        <v>0</v>
      </c>
      <c r="S118" s="126">
        <v>0</v>
      </c>
    </row>
    <row r="119" spans="3:19" ht="23.1" customHeight="1">
      <c r="C119" s="126">
        <v>112</v>
      </c>
      <c r="D119" s="141" t="s">
        <v>2067</v>
      </c>
      <c r="E119" s="163" t="s">
        <v>2068</v>
      </c>
      <c r="F119" s="149">
        <v>1</v>
      </c>
      <c r="G119" s="149">
        <v>1</v>
      </c>
      <c r="J119" s="126">
        <v>1</v>
      </c>
      <c r="K119" s="126">
        <v>0</v>
      </c>
      <c r="L119" s="126">
        <v>1</v>
      </c>
      <c r="M119" s="126">
        <v>0</v>
      </c>
      <c r="N119" s="126">
        <v>2</v>
      </c>
      <c r="O119" s="126">
        <v>0</v>
      </c>
      <c r="P119" s="126">
        <v>0</v>
      </c>
      <c r="Q119" s="126">
        <v>0</v>
      </c>
      <c r="R119" s="126">
        <v>0</v>
      </c>
      <c r="S119" s="126">
        <v>0</v>
      </c>
    </row>
    <row r="120" spans="3:19" ht="23.1" customHeight="1">
      <c r="C120" s="126">
        <v>1</v>
      </c>
      <c r="D120" s="141" t="s">
        <v>677</v>
      </c>
      <c r="E120" s="163" t="s">
        <v>678</v>
      </c>
      <c r="F120" s="149">
        <v>1</v>
      </c>
      <c r="G120" s="149">
        <v>1</v>
      </c>
      <c r="J120" s="126">
        <v>-1</v>
      </c>
      <c r="K120" s="126">
        <v>0</v>
      </c>
      <c r="L120" s="126">
        <v>1</v>
      </c>
      <c r="M120" s="126">
        <v>0</v>
      </c>
      <c r="N120" s="126">
        <v>0</v>
      </c>
      <c r="O120" s="126">
        <v>0</v>
      </c>
      <c r="P120" s="126">
        <v>0</v>
      </c>
      <c r="Q120" s="126">
        <v>0</v>
      </c>
      <c r="R120" s="126">
        <v>0</v>
      </c>
      <c r="S120" s="126">
        <v>0</v>
      </c>
    </row>
    <row r="121" spans="3:19" ht="23.1" customHeight="1">
      <c r="C121" s="126">
        <v>174</v>
      </c>
      <c r="D121" s="141" t="s">
        <v>2096</v>
      </c>
      <c r="E121" s="163" t="s">
        <v>2097</v>
      </c>
      <c r="F121" s="149">
        <v>1</v>
      </c>
      <c r="G121" s="149">
        <v>1</v>
      </c>
      <c r="J121" s="126">
        <v>2</v>
      </c>
      <c r="K121" s="126">
        <v>0</v>
      </c>
      <c r="L121" s="126">
        <v>2</v>
      </c>
      <c r="M121" s="126">
        <v>0</v>
      </c>
      <c r="N121" s="126">
        <v>4</v>
      </c>
      <c r="O121" s="126">
        <v>0</v>
      </c>
      <c r="P121" s="126">
        <v>0</v>
      </c>
      <c r="Q121" s="126">
        <v>0</v>
      </c>
      <c r="R121" s="126">
        <v>0</v>
      </c>
      <c r="S121" s="126">
        <v>0</v>
      </c>
    </row>
    <row r="122" spans="3:19" ht="23.1" customHeight="1">
      <c r="C122" s="126">
        <v>168</v>
      </c>
      <c r="D122" s="141" t="s">
        <v>2101</v>
      </c>
      <c r="E122" s="163" t="s">
        <v>2102</v>
      </c>
      <c r="F122" s="149">
        <v>1</v>
      </c>
      <c r="G122" s="149">
        <v>1</v>
      </c>
      <c r="J122" s="126">
        <v>2</v>
      </c>
      <c r="K122" s="126">
        <v>0</v>
      </c>
      <c r="L122" s="126">
        <v>2</v>
      </c>
      <c r="M122" s="126">
        <v>0</v>
      </c>
      <c r="N122" s="126">
        <v>4</v>
      </c>
      <c r="O122" s="126">
        <v>0</v>
      </c>
      <c r="P122" s="126">
        <v>0</v>
      </c>
      <c r="Q122" s="126">
        <v>0</v>
      </c>
      <c r="R122" s="126">
        <v>0</v>
      </c>
      <c r="S122" s="126">
        <v>0</v>
      </c>
    </row>
    <row r="123" spans="3:19" ht="23.1" customHeight="1">
      <c r="C123" s="126">
        <v>172</v>
      </c>
      <c r="D123" s="141" t="s">
        <v>2106</v>
      </c>
      <c r="E123" s="163" t="s">
        <v>2107</v>
      </c>
      <c r="F123" s="149">
        <v>1</v>
      </c>
      <c r="G123" s="149">
        <v>1</v>
      </c>
      <c r="J123" s="126">
        <v>2</v>
      </c>
      <c r="K123" s="126">
        <v>0</v>
      </c>
      <c r="L123" s="126">
        <v>2</v>
      </c>
      <c r="M123" s="126">
        <v>0</v>
      </c>
      <c r="N123" s="126">
        <v>4</v>
      </c>
      <c r="O123" s="126">
        <v>0</v>
      </c>
      <c r="P123" s="126">
        <v>0</v>
      </c>
      <c r="Q123" s="126">
        <v>0</v>
      </c>
      <c r="R123" s="126">
        <v>0</v>
      </c>
      <c r="S123" s="126">
        <v>0</v>
      </c>
    </row>
    <row r="124" spans="3:19" ht="23.1" customHeight="1">
      <c r="C124" s="126">
        <v>136</v>
      </c>
      <c r="D124" s="141" t="s">
        <v>2122</v>
      </c>
      <c r="E124" s="163" t="s">
        <v>2123</v>
      </c>
      <c r="F124" s="149">
        <v>1</v>
      </c>
      <c r="G124" s="149">
        <v>1</v>
      </c>
      <c r="J124" s="126">
        <v>2</v>
      </c>
      <c r="K124" s="126">
        <v>0</v>
      </c>
      <c r="L124" s="126">
        <v>2</v>
      </c>
      <c r="M124" s="126">
        <v>0</v>
      </c>
      <c r="N124" s="126">
        <v>4</v>
      </c>
      <c r="O124" s="126">
        <v>0</v>
      </c>
      <c r="P124" s="126">
        <v>0</v>
      </c>
      <c r="Q124" s="126">
        <v>0</v>
      </c>
      <c r="R124" s="126">
        <v>0</v>
      </c>
      <c r="S124" s="126">
        <v>0</v>
      </c>
    </row>
    <row r="125" spans="3:19" ht="23.1" customHeight="1">
      <c r="C125" s="126">
        <v>4</v>
      </c>
      <c r="D125" s="141" t="s">
        <v>581</v>
      </c>
      <c r="E125" s="163" t="s">
        <v>582</v>
      </c>
      <c r="F125" s="149">
        <v>1</v>
      </c>
      <c r="G125" s="149">
        <v>1</v>
      </c>
      <c r="J125" s="126">
        <v>8</v>
      </c>
      <c r="K125" s="126">
        <v>0</v>
      </c>
      <c r="L125" s="126">
        <v>0</v>
      </c>
      <c r="M125" s="126">
        <v>0</v>
      </c>
      <c r="N125" s="126">
        <v>8</v>
      </c>
      <c r="O125" s="126">
        <v>0</v>
      </c>
      <c r="P125" s="126">
        <v>0</v>
      </c>
      <c r="Q125" s="126">
        <v>0</v>
      </c>
      <c r="R125" s="126">
        <v>0</v>
      </c>
      <c r="S125" s="126">
        <v>0</v>
      </c>
    </row>
    <row r="126" spans="3:19" ht="23.1" customHeight="1">
      <c r="C126" s="126">
        <v>235</v>
      </c>
      <c r="D126" s="141" t="s">
        <v>2292</v>
      </c>
      <c r="E126" s="163" t="s">
        <v>2293</v>
      </c>
      <c r="F126" s="149">
        <v>1</v>
      </c>
      <c r="G126" s="149">
        <v>1</v>
      </c>
      <c r="J126" s="126">
        <v>-6</v>
      </c>
      <c r="K126" s="126">
        <v>0</v>
      </c>
      <c r="L126" s="126">
        <v>6</v>
      </c>
      <c r="M126" s="126">
        <v>0</v>
      </c>
      <c r="N126" s="126">
        <v>0</v>
      </c>
      <c r="O126" s="126">
        <v>0</v>
      </c>
      <c r="P126" s="126">
        <v>0</v>
      </c>
      <c r="Q126" s="126">
        <v>0</v>
      </c>
      <c r="R126" s="126">
        <v>0</v>
      </c>
      <c r="S126" s="126">
        <v>0</v>
      </c>
    </row>
    <row r="127" spans="3:19" ht="23.1" customHeight="1">
      <c r="C127" s="126">
        <v>241</v>
      </c>
      <c r="D127" s="141" t="s">
        <v>2301</v>
      </c>
      <c r="E127" s="163" t="s">
        <v>2302</v>
      </c>
      <c r="F127" s="149">
        <v>1</v>
      </c>
      <c r="G127" s="149">
        <v>1</v>
      </c>
      <c r="J127" s="126">
        <v>-1</v>
      </c>
      <c r="K127" s="126">
        <v>0</v>
      </c>
      <c r="L127" s="126">
        <v>1</v>
      </c>
      <c r="M127" s="126">
        <v>0</v>
      </c>
      <c r="N127" s="126">
        <v>0</v>
      </c>
      <c r="O127" s="126">
        <v>0</v>
      </c>
      <c r="P127" s="126">
        <v>0</v>
      </c>
      <c r="Q127" s="126">
        <v>0</v>
      </c>
      <c r="R127" s="126">
        <v>0</v>
      </c>
      <c r="S127" s="126">
        <v>0</v>
      </c>
    </row>
    <row r="128" spans="3:19" ht="23.1" customHeight="1">
      <c r="C128" s="126">
        <v>287</v>
      </c>
      <c r="D128" s="141" t="s">
        <v>2306</v>
      </c>
      <c r="E128" s="163" t="s">
        <v>2307</v>
      </c>
      <c r="F128" s="149">
        <v>1</v>
      </c>
      <c r="G128" s="149">
        <v>1</v>
      </c>
      <c r="J128" s="126">
        <v>-75</v>
      </c>
      <c r="K128" s="126">
        <v>0</v>
      </c>
      <c r="L128" s="126">
        <v>75</v>
      </c>
      <c r="M128" s="126">
        <v>0</v>
      </c>
      <c r="N128" s="126">
        <v>0</v>
      </c>
      <c r="O128" s="126">
        <v>0</v>
      </c>
      <c r="P128" s="126">
        <v>0</v>
      </c>
      <c r="Q128" s="126">
        <v>0</v>
      </c>
      <c r="R128" s="126">
        <v>0</v>
      </c>
      <c r="S128" s="126">
        <v>0</v>
      </c>
    </row>
    <row r="129" spans="3:19" ht="23.1" customHeight="1">
      <c r="C129" s="126">
        <v>298</v>
      </c>
      <c r="D129" s="141" t="s">
        <v>2318</v>
      </c>
      <c r="E129" s="163" t="s">
        <v>2319</v>
      </c>
      <c r="F129" s="149">
        <v>1</v>
      </c>
      <c r="G129" s="149">
        <v>1</v>
      </c>
      <c r="J129" s="126">
        <v>-60</v>
      </c>
      <c r="K129" s="126">
        <v>0</v>
      </c>
      <c r="L129" s="126">
        <v>60</v>
      </c>
      <c r="M129" s="126">
        <v>0</v>
      </c>
      <c r="N129" s="126">
        <v>0</v>
      </c>
      <c r="O129" s="126">
        <v>0</v>
      </c>
      <c r="P129" s="126">
        <v>0</v>
      </c>
      <c r="Q129" s="126">
        <v>0</v>
      </c>
      <c r="R129" s="126">
        <v>0</v>
      </c>
      <c r="S129" s="126">
        <v>0</v>
      </c>
    </row>
    <row r="130" spans="3:19" ht="23.1" customHeight="1">
      <c r="C130" s="126">
        <v>295</v>
      </c>
      <c r="D130" s="141" t="s">
        <v>2326</v>
      </c>
      <c r="E130" s="163" t="s">
        <v>2327</v>
      </c>
      <c r="F130" s="149">
        <v>1</v>
      </c>
      <c r="G130" s="149">
        <v>1</v>
      </c>
      <c r="J130" s="126">
        <v>-2</v>
      </c>
      <c r="K130" s="126">
        <v>0</v>
      </c>
      <c r="L130" s="126">
        <v>2</v>
      </c>
      <c r="M130" s="126">
        <v>0</v>
      </c>
      <c r="N130" s="126">
        <v>0</v>
      </c>
      <c r="O130" s="126">
        <v>0</v>
      </c>
      <c r="P130" s="126">
        <v>0</v>
      </c>
      <c r="Q130" s="126">
        <v>0</v>
      </c>
      <c r="R130" s="126">
        <v>0</v>
      </c>
      <c r="S130" s="126">
        <v>0</v>
      </c>
    </row>
    <row r="131" spans="3:19" ht="23.1" customHeight="1">
      <c r="C131" s="126">
        <v>327</v>
      </c>
      <c r="D131" s="141" t="s">
        <v>2337</v>
      </c>
      <c r="E131" s="163" t="s">
        <v>2338</v>
      </c>
      <c r="F131" s="149">
        <v>1</v>
      </c>
      <c r="G131" s="149">
        <v>1</v>
      </c>
      <c r="J131" s="126">
        <v>-1</v>
      </c>
      <c r="K131" s="126">
        <v>0</v>
      </c>
      <c r="L131" s="126">
        <v>1</v>
      </c>
      <c r="M131" s="126">
        <v>0</v>
      </c>
      <c r="N131" s="126">
        <v>0</v>
      </c>
      <c r="O131" s="126">
        <v>0</v>
      </c>
      <c r="P131" s="126">
        <v>0</v>
      </c>
      <c r="Q131" s="126">
        <v>0</v>
      </c>
      <c r="R131" s="126">
        <v>0</v>
      </c>
      <c r="S131" s="126">
        <v>0</v>
      </c>
    </row>
    <row r="132" spans="3:19" ht="23.1" customHeight="1">
      <c r="C132" s="126">
        <v>213</v>
      </c>
      <c r="D132" s="141" t="s">
        <v>2342</v>
      </c>
      <c r="E132" s="163" t="s">
        <v>2343</v>
      </c>
      <c r="F132" s="149">
        <v>1</v>
      </c>
      <c r="G132" s="149">
        <v>1</v>
      </c>
      <c r="J132" s="126">
        <v>-3</v>
      </c>
      <c r="K132" s="126">
        <v>0</v>
      </c>
      <c r="L132" s="126">
        <v>3</v>
      </c>
      <c r="M132" s="126">
        <v>0</v>
      </c>
      <c r="N132" s="126">
        <v>0</v>
      </c>
      <c r="O132" s="126">
        <v>0</v>
      </c>
      <c r="P132" s="126">
        <v>0</v>
      </c>
      <c r="Q132" s="126">
        <v>0</v>
      </c>
      <c r="R132" s="126">
        <v>0</v>
      </c>
      <c r="S132" s="126">
        <v>0</v>
      </c>
    </row>
    <row r="133" spans="3:19" ht="23.1" customHeight="1">
      <c r="C133" s="126">
        <v>228</v>
      </c>
      <c r="D133" s="141" t="s">
        <v>2347</v>
      </c>
      <c r="E133" s="163" t="s">
        <v>2348</v>
      </c>
      <c r="F133" s="149">
        <v>1</v>
      </c>
      <c r="G133" s="149">
        <v>1</v>
      </c>
      <c r="J133" s="126">
        <v>-1</v>
      </c>
      <c r="K133" s="126">
        <v>0</v>
      </c>
      <c r="L133" s="126">
        <v>1</v>
      </c>
      <c r="M133" s="126">
        <v>0</v>
      </c>
      <c r="N133" s="126">
        <v>0</v>
      </c>
      <c r="O133" s="126">
        <v>0</v>
      </c>
      <c r="P133" s="126">
        <v>0</v>
      </c>
      <c r="Q133" s="126">
        <v>0</v>
      </c>
      <c r="R133" s="126">
        <v>0</v>
      </c>
      <c r="S133" s="126">
        <v>0</v>
      </c>
    </row>
  </sheetData>
  <autoFilter ref="C7:N124" xr:uid="{748F155B-909D-4572-8E68-781C3A9B4F49}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D125C-FC1F-401E-9F7B-AF077D98F1B3}">
  <sheetPr codeName="Sheet48"/>
  <dimension ref="C1:W474"/>
  <sheetViews>
    <sheetView showGridLines="0" zoomScale="90" zoomScaleNormal="90" workbookViewId="0">
      <pane ySplit="7" topLeftCell="A8" activePane="bottomLeft" state="frozen"/>
      <selection activeCell="L28" sqref="L28"/>
      <selection pane="bottomLeft" activeCell="C7" sqref="C7"/>
    </sheetView>
  </sheetViews>
  <sheetFormatPr defaultColWidth="12.5703125" defaultRowHeight="23.1" customHeight="1"/>
  <cols>
    <col min="1" max="1" width="2.5703125" style="130" customWidth="1"/>
    <col min="2" max="2" width="3.7109375" style="130" customWidth="1"/>
    <col min="3" max="3" width="14.28515625" style="126" customWidth="1"/>
    <col min="4" max="4" width="23.42578125" style="141" customWidth="1"/>
    <col min="5" max="5" width="36.140625" style="159" customWidth="1"/>
    <col min="6" max="6" width="18.7109375" style="131" customWidth="1"/>
    <col min="7" max="7" width="19.42578125" style="131" customWidth="1"/>
    <col min="8" max="8" width="19.140625" style="161" customWidth="1"/>
    <col min="9" max="9" width="14.5703125" style="126" customWidth="1"/>
    <col min="10" max="10" width="13" style="126" customWidth="1"/>
    <col min="11" max="11" width="12.5703125" style="126" customWidth="1"/>
    <col min="12" max="12" width="14.5703125" style="126" customWidth="1"/>
    <col min="13" max="13" width="19.28515625" style="126" hidden="1" customWidth="1"/>
    <col min="14" max="14" width="19.5703125" style="126" hidden="1" customWidth="1"/>
    <col min="15" max="15" width="16.28515625" style="126" hidden="1" customWidth="1"/>
    <col min="16" max="16" width="13.7109375" style="126" hidden="1" customWidth="1"/>
    <col min="17" max="17" width="12.5703125" style="126" hidden="1" customWidth="1"/>
    <col min="18" max="18" width="27.7109375" style="171" customWidth="1"/>
    <col min="19" max="16384" width="12.5703125" style="130"/>
  </cols>
  <sheetData>
    <row r="1" spans="3:23" customFormat="1" ht="23.25" hidden="1">
      <c r="C1" s="13"/>
      <c r="D1" s="140"/>
      <c r="E1" s="127"/>
      <c r="F1" s="131"/>
      <c r="G1" s="131"/>
      <c r="H1" s="161"/>
      <c r="I1" s="13"/>
      <c r="J1" s="13"/>
      <c r="K1" s="13"/>
      <c r="L1" s="13"/>
      <c r="M1" s="13"/>
      <c r="N1" s="13"/>
      <c r="O1" s="13"/>
      <c r="P1" s="13"/>
      <c r="Q1" s="13"/>
      <c r="R1" s="132"/>
    </row>
    <row r="2" spans="3:23" customFormat="1" ht="23.25" hidden="1">
      <c r="C2" s="13"/>
      <c r="D2" s="140"/>
      <c r="E2" s="127"/>
      <c r="F2" s="131"/>
      <c r="G2" s="131"/>
      <c r="H2" s="161"/>
      <c r="I2" s="13"/>
      <c r="J2" s="13"/>
      <c r="K2" s="13"/>
      <c r="L2" s="13"/>
      <c r="M2" s="13"/>
      <c r="N2" s="13"/>
      <c r="O2" s="13"/>
      <c r="P2" s="13"/>
      <c r="Q2" s="13"/>
      <c r="R2" s="132"/>
    </row>
    <row r="3" spans="3:23" customFormat="1" ht="23.25">
      <c r="C3" s="13"/>
      <c r="D3" s="141"/>
      <c r="E3" s="127"/>
      <c r="F3" s="131"/>
      <c r="G3" s="131"/>
      <c r="H3" s="161"/>
      <c r="I3" s="13"/>
      <c r="J3" s="13"/>
      <c r="K3" s="13"/>
      <c r="L3" s="13"/>
      <c r="M3" s="13"/>
      <c r="N3" s="13"/>
      <c r="O3" s="13"/>
      <c r="P3" s="13"/>
      <c r="Q3" s="13"/>
      <c r="R3" s="132"/>
    </row>
    <row r="4" spans="3:23" customFormat="1" ht="32.25" customHeight="1">
      <c r="C4" s="13"/>
      <c r="D4" s="140"/>
      <c r="E4" s="127"/>
      <c r="F4" s="131"/>
      <c r="G4" s="131"/>
      <c r="H4" s="161"/>
      <c r="I4" s="13"/>
      <c r="J4" s="13"/>
      <c r="K4" s="13"/>
      <c r="L4" s="13"/>
      <c r="M4" s="13"/>
      <c r="N4" s="13"/>
      <c r="O4" s="13"/>
      <c r="P4" s="13"/>
      <c r="Q4" s="13"/>
      <c r="R4" s="132"/>
      <c r="T4" s="126"/>
      <c r="U4" s="126"/>
      <c r="V4" s="158"/>
      <c r="W4" s="127"/>
    </row>
    <row r="5" spans="3:23" customFormat="1" ht="8.25" customHeight="1">
      <c r="C5" s="13"/>
      <c r="D5" s="140"/>
      <c r="E5" s="127"/>
      <c r="F5" s="131"/>
      <c r="G5" s="131"/>
      <c r="H5" s="161"/>
      <c r="I5" s="13"/>
      <c r="J5" s="13"/>
      <c r="K5" s="13"/>
      <c r="L5" s="13"/>
      <c r="M5" s="13"/>
      <c r="N5" s="13"/>
      <c r="O5" s="13"/>
      <c r="P5" s="13"/>
      <c r="Q5" s="13"/>
      <c r="R5" s="132"/>
    </row>
    <row r="6" spans="3:23" customFormat="1" ht="25.5">
      <c r="C6" s="264" t="s">
        <v>173</v>
      </c>
      <c r="D6" s="265" t="s">
        <v>213</v>
      </c>
      <c r="E6" s="264" t="s">
        <v>12</v>
      </c>
      <c r="F6" s="264" t="s">
        <v>224</v>
      </c>
      <c r="G6" s="264" t="s">
        <v>294</v>
      </c>
      <c r="H6" s="264" t="s">
        <v>24</v>
      </c>
      <c r="I6" s="264" t="s">
        <v>118</v>
      </c>
      <c r="J6" s="264" t="s">
        <v>119</v>
      </c>
      <c r="K6" s="264" t="s">
        <v>176</v>
      </c>
      <c r="L6" s="264" t="s">
        <v>177</v>
      </c>
      <c r="M6" s="151" t="s">
        <v>178</v>
      </c>
      <c r="N6" s="151" t="s">
        <v>179</v>
      </c>
      <c r="O6" s="151" t="s">
        <v>180</v>
      </c>
      <c r="P6" s="151" t="s">
        <v>181</v>
      </c>
      <c r="Q6" s="151" t="s">
        <v>182</v>
      </c>
      <c r="R6" s="132"/>
    </row>
    <row r="7" spans="3:23" s="126" customFormat="1" ht="20.25" customHeight="1">
      <c r="C7" s="267" t="s">
        <v>162</v>
      </c>
      <c r="D7" s="268" t="s">
        <v>207</v>
      </c>
      <c r="E7" s="267" t="s">
        <v>17</v>
      </c>
      <c r="F7" s="267" t="s">
        <v>291</v>
      </c>
      <c r="G7" s="267" t="s">
        <v>163</v>
      </c>
      <c r="H7" s="267" t="s">
        <v>21</v>
      </c>
      <c r="I7" s="267" t="s">
        <v>165</v>
      </c>
      <c r="J7" s="267" t="s">
        <v>172</v>
      </c>
      <c r="K7" s="267" t="s">
        <v>166</v>
      </c>
      <c r="L7" s="267" t="s">
        <v>167</v>
      </c>
      <c r="M7" s="148" t="s">
        <v>168</v>
      </c>
      <c r="N7" s="148" t="s">
        <v>169</v>
      </c>
      <c r="O7" s="148" t="s">
        <v>170</v>
      </c>
      <c r="P7" s="148" t="s">
        <v>171</v>
      </c>
      <c r="Q7" s="148" t="s">
        <v>183</v>
      </c>
      <c r="R7" s="128"/>
    </row>
    <row r="8" spans="3:23" ht="23.1" customHeight="1">
      <c r="C8" s="126">
        <v>6</v>
      </c>
      <c r="D8" s="141" t="s">
        <v>559</v>
      </c>
      <c r="E8" s="159" t="s">
        <v>560</v>
      </c>
      <c r="F8" s="131">
        <v>1</v>
      </c>
      <c r="G8" s="131">
        <v>1</v>
      </c>
      <c r="H8" s="161">
        <v>46174</v>
      </c>
      <c r="I8" s="126">
        <v>0</v>
      </c>
      <c r="J8" s="126">
        <v>10</v>
      </c>
      <c r="K8" s="126">
        <v>0</v>
      </c>
      <c r="L8" s="126">
        <v>20</v>
      </c>
      <c r="M8" s="126">
        <v>0</v>
      </c>
      <c r="N8" s="126">
        <v>0</v>
      </c>
      <c r="O8" s="126">
        <v>0</v>
      </c>
      <c r="P8" s="126">
        <v>0</v>
      </c>
      <c r="Q8" s="126">
        <v>0</v>
      </c>
      <c r="R8" s="128"/>
      <c r="S8" s="126"/>
      <c r="T8" s="126"/>
    </row>
    <row r="9" spans="3:23" ht="23.1" customHeight="1">
      <c r="C9" s="126">
        <v>153</v>
      </c>
      <c r="D9" s="141" t="s">
        <v>554</v>
      </c>
      <c r="E9" s="159" t="s">
        <v>555</v>
      </c>
      <c r="F9" s="131">
        <v>1</v>
      </c>
      <c r="G9" s="131">
        <v>1</v>
      </c>
      <c r="H9" s="161">
        <v>46174</v>
      </c>
      <c r="I9" s="126">
        <v>0</v>
      </c>
      <c r="J9" s="126">
        <v>1</v>
      </c>
      <c r="K9" s="126">
        <v>0</v>
      </c>
      <c r="L9" s="126">
        <v>0</v>
      </c>
      <c r="M9" s="126">
        <v>0</v>
      </c>
      <c r="N9" s="126">
        <v>0</v>
      </c>
      <c r="O9" s="126">
        <v>0</v>
      </c>
      <c r="P9" s="126">
        <v>0</v>
      </c>
      <c r="Q9" s="126">
        <v>0</v>
      </c>
      <c r="R9" s="128"/>
      <c r="S9" s="126"/>
      <c r="T9" s="126"/>
    </row>
    <row r="10" spans="3:23" ht="23.1" customHeight="1">
      <c r="C10" s="126">
        <v>179</v>
      </c>
      <c r="D10" s="141" t="s">
        <v>564</v>
      </c>
      <c r="E10" s="159" t="s">
        <v>565</v>
      </c>
      <c r="F10" s="131">
        <v>1</v>
      </c>
      <c r="G10" s="131">
        <v>1</v>
      </c>
      <c r="H10" s="161">
        <v>46174</v>
      </c>
      <c r="I10" s="126">
        <v>0</v>
      </c>
      <c r="J10" s="126">
        <v>15</v>
      </c>
      <c r="K10" s="126">
        <v>0</v>
      </c>
      <c r="L10" s="126">
        <v>0</v>
      </c>
      <c r="M10" s="126">
        <v>0</v>
      </c>
      <c r="N10" s="126">
        <v>0</v>
      </c>
      <c r="O10" s="126">
        <v>0</v>
      </c>
      <c r="P10" s="126">
        <v>0</v>
      </c>
      <c r="Q10" s="126">
        <v>0</v>
      </c>
      <c r="R10" s="128"/>
      <c r="S10" s="126"/>
      <c r="T10" s="126"/>
    </row>
    <row r="11" spans="3:23" ht="23.1" customHeight="1">
      <c r="C11" s="126">
        <v>192</v>
      </c>
      <c r="D11" s="141" t="s">
        <v>570</v>
      </c>
      <c r="E11" s="159" t="s">
        <v>571</v>
      </c>
      <c r="F11" s="131">
        <v>1</v>
      </c>
      <c r="G11" s="131">
        <v>1</v>
      </c>
      <c r="H11" s="161">
        <v>46174</v>
      </c>
      <c r="I11" s="126">
        <v>0</v>
      </c>
      <c r="J11" s="126">
        <v>4</v>
      </c>
      <c r="K11" s="126">
        <v>0</v>
      </c>
      <c r="L11" s="126">
        <v>0</v>
      </c>
      <c r="M11" s="126">
        <v>0</v>
      </c>
      <c r="N11" s="126">
        <v>0</v>
      </c>
      <c r="O11" s="126">
        <v>0</v>
      </c>
      <c r="P11" s="126">
        <v>0</v>
      </c>
      <c r="Q11" s="126">
        <v>0</v>
      </c>
      <c r="R11" s="128"/>
      <c r="S11" s="126"/>
      <c r="T11" s="126"/>
    </row>
    <row r="12" spans="3:23" ht="23.1" customHeight="1">
      <c r="C12" s="126">
        <v>187</v>
      </c>
      <c r="D12" s="141" t="s">
        <v>576</v>
      </c>
      <c r="E12" s="159" t="s">
        <v>577</v>
      </c>
      <c r="F12" s="131">
        <v>1</v>
      </c>
      <c r="G12" s="131">
        <v>1</v>
      </c>
      <c r="H12" s="161">
        <v>46174</v>
      </c>
      <c r="I12" s="126">
        <v>0</v>
      </c>
      <c r="J12" s="126">
        <v>12</v>
      </c>
      <c r="K12" s="126">
        <v>0</v>
      </c>
      <c r="L12" s="126">
        <v>0</v>
      </c>
      <c r="M12" s="126">
        <v>0</v>
      </c>
      <c r="N12" s="126">
        <v>0</v>
      </c>
      <c r="O12" s="126">
        <v>0</v>
      </c>
      <c r="P12" s="126">
        <v>0</v>
      </c>
      <c r="Q12" s="126">
        <v>0</v>
      </c>
      <c r="R12" s="128"/>
      <c r="S12" s="126"/>
      <c r="T12" s="126"/>
    </row>
    <row r="13" spans="3:23" ht="23.1" customHeight="1">
      <c r="C13" s="126">
        <v>4</v>
      </c>
      <c r="D13" s="141" t="s">
        <v>581</v>
      </c>
      <c r="E13" s="159" t="s">
        <v>582</v>
      </c>
      <c r="F13" s="131">
        <v>1</v>
      </c>
      <c r="G13" s="131">
        <v>1</v>
      </c>
      <c r="H13" s="161">
        <v>46174</v>
      </c>
      <c r="I13" s="126">
        <v>0</v>
      </c>
      <c r="J13" s="126">
        <v>1</v>
      </c>
      <c r="K13" s="126">
        <v>0</v>
      </c>
      <c r="L13" s="126">
        <v>8</v>
      </c>
      <c r="M13" s="126">
        <v>0</v>
      </c>
      <c r="N13" s="126">
        <v>0</v>
      </c>
      <c r="O13" s="126">
        <v>0</v>
      </c>
      <c r="P13" s="126">
        <v>0</v>
      </c>
      <c r="Q13" s="126">
        <v>0</v>
      </c>
      <c r="R13" s="128"/>
      <c r="S13" s="126"/>
      <c r="T13" s="126"/>
    </row>
    <row r="14" spans="3:23" ht="23.1" customHeight="1">
      <c r="C14" s="126">
        <v>10</v>
      </c>
      <c r="D14" s="141" t="s">
        <v>586</v>
      </c>
      <c r="E14" s="159" t="s">
        <v>587</v>
      </c>
      <c r="F14" s="131">
        <v>1</v>
      </c>
      <c r="G14" s="131">
        <v>1</v>
      </c>
      <c r="H14" s="161">
        <v>46174</v>
      </c>
      <c r="I14" s="126">
        <v>0</v>
      </c>
      <c r="J14" s="126">
        <v>1</v>
      </c>
      <c r="K14" s="126">
        <v>0</v>
      </c>
      <c r="L14" s="126">
        <v>0</v>
      </c>
      <c r="M14" s="126">
        <v>0</v>
      </c>
      <c r="N14" s="126">
        <v>0</v>
      </c>
      <c r="O14" s="126">
        <v>0</v>
      </c>
      <c r="P14" s="126">
        <v>0</v>
      </c>
      <c r="Q14" s="126">
        <v>0</v>
      </c>
      <c r="R14" s="128"/>
      <c r="S14" s="126"/>
      <c r="T14" s="126"/>
    </row>
    <row r="15" spans="3:23" ht="23.1" customHeight="1">
      <c r="C15" s="126">
        <v>105</v>
      </c>
      <c r="D15" s="141" t="s">
        <v>591</v>
      </c>
      <c r="E15" s="159" t="s">
        <v>592</v>
      </c>
      <c r="F15" s="131">
        <v>1</v>
      </c>
      <c r="G15" s="131">
        <v>1</v>
      </c>
      <c r="H15" s="161">
        <v>46174</v>
      </c>
      <c r="I15" s="126">
        <v>0</v>
      </c>
      <c r="J15" s="126">
        <v>1</v>
      </c>
      <c r="K15" s="126">
        <v>0</v>
      </c>
      <c r="L15" s="126">
        <v>0</v>
      </c>
      <c r="M15" s="126">
        <v>0</v>
      </c>
      <c r="N15" s="126">
        <v>0</v>
      </c>
      <c r="O15" s="126">
        <v>0</v>
      </c>
      <c r="P15" s="126">
        <v>0</v>
      </c>
      <c r="Q15" s="126">
        <v>0</v>
      </c>
      <c r="R15" s="128"/>
      <c r="S15" s="126"/>
      <c r="T15" s="126"/>
    </row>
    <row r="16" spans="3:23" ht="23.1" customHeight="1">
      <c r="C16" s="126">
        <v>48</v>
      </c>
      <c r="D16" s="141" t="s">
        <v>596</v>
      </c>
      <c r="E16" s="159" t="s">
        <v>597</v>
      </c>
      <c r="F16" s="131">
        <v>1</v>
      </c>
      <c r="G16" s="131">
        <v>1</v>
      </c>
      <c r="H16" s="161">
        <v>46174</v>
      </c>
      <c r="I16" s="126">
        <v>0</v>
      </c>
      <c r="J16" s="126">
        <v>3</v>
      </c>
      <c r="K16" s="126">
        <v>0</v>
      </c>
      <c r="L16" s="126">
        <v>14</v>
      </c>
      <c r="M16" s="126">
        <v>0</v>
      </c>
      <c r="N16" s="126">
        <v>0</v>
      </c>
      <c r="O16" s="126">
        <v>0</v>
      </c>
      <c r="P16" s="126">
        <v>0</v>
      </c>
      <c r="Q16" s="126">
        <v>0</v>
      </c>
    </row>
    <row r="17" spans="3:18" ht="23.1" customHeight="1">
      <c r="C17" s="126">
        <v>169</v>
      </c>
      <c r="D17" s="141" t="s">
        <v>601</v>
      </c>
      <c r="E17" s="159" t="s">
        <v>602</v>
      </c>
      <c r="F17" s="131">
        <v>1</v>
      </c>
      <c r="G17" s="131">
        <v>1</v>
      </c>
      <c r="H17" s="161">
        <v>46174</v>
      </c>
      <c r="I17" s="126">
        <v>0</v>
      </c>
      <c r="J17" s="126">
        <v>1</v>
      </c>
      <c r="K17" s="126">
        <v>0</v>
      </c>
      <c r="L17" s="126">
        <v>0</v>
      </c>
      <c r="M17" s="126">
        <v>0</v>
      </c>
      <c r="N17" s="126">
        <v>0</v>
      </c>
      <c r="O17" s="126">
        <v>0</v>
      </c>
      <c r="P17" s="126">
        <v>0</v>
      </c>
      <c r="Q17" s="126">
        <v>0</v>
      </c>
      <c r="R17" s="354"/>
    </row>
    <row r="18" spans="3:18" ht="23.1" customHeight="1">
      <c r="C18" s="126">
        <v>195</v>
      </c>
      <c r="D18" s="141" t="s">
        <v>608</v>
      </c>
      <c r="E18" s="159" t="s">
        <v>609</v>
      </c>
      <c r="F18" s="131">
        <v>1</v>
      </c>
      <c r="G18" s="131">
        <v>1</v>
      </c>
      <c r="H18" s="161">
        <v>46175</v>
      </c>
      <c r="I18" s="126">
        <v>0</v>
      </c>
      <c r="J18" s="126">
        <v>24</v>
      </c>
      <c r="K18" s="126">
        <v>0</v>
      </c>
      <c r="L18" s="126">
        <v>0</v>
      </c>
      <c r="M18" s="126">
        <v>0</v>
      </c>
      <c r="N18" s="126">
        <v>0</v>
      </c>
      <c r="O18" s="126">
        <v>0</v>
      </c>
      <c r="P18" s="126">
        <v>0</v>
      </c>
      <c r="Q18" s="126">
        <v>0</v>
      </c>
      <c r="R18" s="354"/>
    </row>
    <row r="19" spans="3:18" ht="23.1" customHeight="1">
      <c r="C19" s="126">
        <v>187</v>
      </c>
      <c r="D19" s="141" t="s">
        <v>576</v>
      </c>
      <c r="E19" s="159" t="s">
        <v>577</v>
      </c>
      <c r="F19" s="131">
        <v>1</v>
      </c>
      <c r="G19" s="131">
        <v>1</v>
      </c>
      <c r="H19" s="161">
        <v>46175</v>
      </c>
      <c r="I19" s="126">
        <v>0</v>
      </c>
      <c r="J19" s="126">
        <v>44</v>
      </c>
      <c r="K19" s="126">
        <v>0</v>
      </c>
      <c r="L19" s="126">
        <v>0</v>
      </c>
      <c r="M19" s="126">
        <v>0</v>
      </c>
      <c r="N19" s="126">
        <v>0</v>
      </c>
      <c r="O19" s="126">
        <v>0</v>
      </c>
      <c r="P19" s="126">
        <v>0</v>
      </c>
      <c r="Q19" s="126">
        <v>0</v>
      </c>
      <c r="R19" s="354"/>
    </row>
    <row r="20" spans="3:18" ht="23.1" customHeight="1">
      <c r="C20" s="126">
        <v>186</v>
      </c>
      <c r="D20" s="141" t="s">
        <v>616</v>
      </c>
      <c r="E20" s="159" t="s">
        <v>617</v>
      </c>
      <c r="F20" s="131">
        <v>1</v>
      </c>
      <c r="G20" s="131">
        <v>1</v>
      </c>
      <c r="H20" s="161">
        <v>46175</v>
      </c>
      <c r="I20" s="126">
        <v>0</v>
      </c>
      <c r="J20" s="126">
        <v>12</v>
      </c>
      <c r="K20" s="126">
        <v>0</v>
      </c>
      <c r="L20" s="126">
        <v>0</v>
      </c>
      <c r="M20" s="126">
        <v>0</v>
      </c>
      <c r="N20" s="126">
        <v>0</v>
      </c>
      <c r="O20" s="126">
        <v>0</v>
      </c>
      <c r="P20" s="126">
        <v>0</v>
      </c>
      <c r="Q20" s="126">
        <v>0</v>
      </c>
      <c r="R20" s="354"/>
    </row>
    <row r="21" spans="3:18" ht="23.1" customHeight="1">
      <c r="C21" s="126">
        <v>182</v>
      </c>
      <c r="D21" s="141" t="s">
        <v>627</v>
      </c>
      <c r="E21" s="159" t="s">
        <v>628</v>
      </c>
      <c r="F21" s="131">
        <v>1</v>
      </c>
      <c r="G21" s="131">
        <v>1</v>
      </c>
      <c r="H21" s="161">
        <v>46175</v>
      </c>
      <c r="I21" s="126">
        <v>0</v>
      </c>
      <c r="J21" s="126">
        <v>60</v>
      </c>
      <c r="K21" s="126">
        <v>0</v>
      </c>
      <c r="L21" s="126">
        <v>0</v>
      </c>
      <c r="M21" s="126">
        <v>0</v>
      </c>
      <c r="N21" s="126">
        <v>0</v>
      </c>
      <c r="O21" s="126">
        <v>0</v>
      </c>
      <c r="P21" s="126">
        <v>0</v>
      </c>
      <c r="Q21" s="126">
        <v>0</v>
      </c>
      <c r="R21" s="354"/>
    </row>
    <row r="22" spans="3:18" ht="23.1" customHeight="1">
      <c r="C22" s="126">
        <v>96</v>
      </c>
      <c r="D22" s="141" t="s">
        <v>632</v>
      </c>
      <c r="E22" s="159" t="s">
        <v>633</v>
      </c>
      <c r="F22" s="131">
        <v>1</v>
      </c>
      <c r="G22" s="131">
        <v>1</v>
      </c>
      <c r="H22" s="161">
        <v>46175</v>
      </c>
      <c r="I22" s="126">
        <v>0</v>
      </c>
      <c r="J22" s="126">
        <v>2</v>
      </c>
      <c r="K22" s="126">
        <v>0</v>
      </c>
      <c r="L22" s="126">
        <v>0</v>
      </c>
      <c r="M22" s="126">
        <v>0</v>
      </c>
      <c r="N22" s="126">
        <v>0</v>
      </c>
      <c r="O22" s="126">
        <v>0</v>
      </c>
      <c r="P22" s="126">
        <v>0</v>
      </c>
      <c r="Q22" s="126">
        <v>0</v>
      </c>
    </row>
    <row r="23" spans="3:18" ht="23.1" customHeight="1">
      <c r="C23" s="126">
        <v>97</v>
      </c>
      <c r="D23" s="141" t="s">
        <v>637</v>
      </c>
      <c r="E23" s="159" t="s">
        <v>638</v>
      </c>
      <c r="F23" s="131">
        <v>1</v>
      </c>
      <c r="G23" s="131">
        <v>1</v>
      </c>
      <c r="H23" s="161">
        <v>46175</v>
      </c>
      <c r="I23" s="126">
        <v>0</v>
      </c>
      <c r="J23" s="126">
        <v>2</v>
      </c>
      <c r="K23" s="126">
        <v>0</v>
      </c>
      <c r="L23" s="126">
        <v>0</v>
      </c>
      <c r="M23" s="126">
        <v>0</v>
      </c>
      <c r="N23" s="126">
        <v>0</v>
      </c>
      <c r="O23" s="126">
        <v>0</v>
      </c>
      <c r="P23" s="126">
        <v>0</v>
      </c>
      <c r="Q23" s="126">
        <v>0</v>
      </c>
      <c r="R23" s="354"/>
    </row>
    <row r="24" spans="3:18" ht="23.1" customHeight="1">
      <c r="C24" s="126">
        <v>22</v>
      </c>
      <c r="D24" s="141" t="s">
        <v>642</v>
      </c>
      <c r="E24" s="159" t="s">
        <v>643</v>
      </c>
      <c r="F24" s="131">
        <v>1</v>
      </c>
      <c r="G24" s="131">
        <v>1</v>
      </c>
      <c r="H24" s="161">
        <v>46175</v>
      </c>
      <c r="I24" s="126">
        <v>0</v>
      </c>
      <c r="J24" s="126">
        <v>1</v>
      </c>
      <c r="K24" s="126">
        <v>0</v>
      </c>
      <c r="L24" s="126">
        <v>0</v>
      </c>
      <c r="M24" s="126">
        <v>0</v>
      </c>
      <c r="N24" s="126">
        <v>0</v>
      </c>
      <c r="O24" s="126">
        <v>0</v>
      </c>
      <c r="P24" s="126">
        <v>0</v>
      </c>
      <c r="Q24" s="126">
        <v>0</v>
      </c>
      <c r="R24" s="354"/>
    </row>
    <row r="25" spans="3:18" ht="23.1" customHeight="1">
      <c r="C25" s="126">
        <v>46</v>
      </c>
      <c r="D25" s="141" t="s">
        <v>647</v>
      </c>
      <c r="E25" s="159" t="s">
        <v>648</v>
      </c>
      <c r="F25" s="131">
        <v>1</v>
      </c>
      <c r="G25" s="131">
        <v>1</v>
      </c>
      <c r="H25" s="161">
        <v>46175</v>
      </c>
      <c r="I25" s="126">
        <v>0</v>
      </c>
      <c r="J25" s="126">
        <v>10</v>
      </c>
      <c r="K25" s="126">
        <v>0</v>
      </c>
      <c r="L25" s="126">
        <v>0</v>
      </c>
      <c r="M25" s="126">
        <v>0</v>
      </c>
      <c r="N25" s="126">
        <v>0</v>
      </c>
      <c r="O25" s="126">
        <v>0</v>
      </c>
      <c r="P25" s="126">
        <v>0</v>
      </c>
      <c r="Q25" s="126">
        <v>0</v>
      </c>
    </row>
    <row r="26" spans="3:18" ht="23.1" customHeight="1">
      <c r="C26" s="126">
        <v>197</v>
      </c>
      <c r="D26" s="141" t="s">
        <v>652</v>
      </c>
      <c r="E26" s="159" t="s">
        <v>653</v>
      </c>
      <c r="F26" s="131">
        <v>1</v>
      </c>
      <c r="G26" s="131">
        <v>1</v>
      </c>
      <c r="H26" s="161">
        <v>46175</v>
      </c>
      <c r="I26" s="126">
        <v>0</v>
      </c>
      <c r="J26" s="126">
        <v>4</v>
      </c>
      <c r="K26" s="126">
        <v>0</v>
      </c>
      <c r="L26" s="126">
        <v>0</v>
      </c>
      <c r="M26" s="126">
        <v>0</v>
      </c>
      <c r="N26" s="126">
        <v>0</v>
      </c>
      <c r="O26" s="126">
        <v>0</v>
      </c>
      <c r="P26" s="126">
        <v>0</v>
      </c>
      <c r="Q26" s="126">
        <v>0</v>
      </c>
      <c r="R26" s="354"/>
    </row>
    <row r="27" spans="3:18" ht="23.1" customHeight="1">
      <c r="C27" s="126">
        <v>17</v>
      </c>
      <c r="D27" s="141" t="s">
        <v>662</v>
      </c>
      <c r="E27" s="159" t="s">
        <v>663</v>
      </c>
      <c r="F27" s="131">
        <v>1</v>
      </c>
      <c r="G27" s="131">
        <v>1</v>
      </c>
      <c r="H27" s="161">
        <v>46175</v>
      </c>
      <c r="I27" s="126">
        <v>0</v>
      </c>
      <c r="J27" s="126">
        <v>1</v>
      </c>
      <c r="K27" s="126">
        <v>0</v>
      </c>
      <c r="L27" s="126">
        <v>0</v>
      </c>
      <c r="M27" s="126">
        <v>0</v>
      </c>
      <c r="N27" s="126">
        <v>0</v>
      </c>
      <c r="O27" s="126">
        <v>0</v>
      </c>
      <c r="P27" s="126">
        <v>0</v>
      </c>
      <c r="Q27" s="126">
        <v>0</v>
      </c>
    </row>
    <row r="28" spans="3:18" ht="23.1" customHeight="1">
      <c r="C28" s="126">
        <v>155</v>
      </c>
      <c r="D28" s="141" t="s">
        <v>667</v>
      </c>
      <c r="E28" s="159" t="s">
        <v>668</v>
      </c>
      <c r="F28" s="131">
        <v>1</v>
      </c>
      <c r="G28" s="131">
        <v>1</v>
      </c>
      <c r="H28" s="161">
        <v>46175</v>
      </c>
      <c r="I28" s="126">
        <v>0</v>
      </c>
      <c r="J28" s="126">
        <v>1</v>
      </c>
      <c r="K28" s="126">
        <v>0</v>
      </c>
      <c r="L28" s="126">
        <v>0</v>
      </c>
      <c r="M28" s="126">
        <v>0</v>
      </c>
      <c r="N28" s="126">
        <v>0</v>
      </c>
      <c r="O28" s="126">
        <v>0</v>
      </c>
      <c r="P28" s="126">
        <v>0</v>
      </c>
      <c r="Q28" s="126">
        <v>0</v>
      </c>
    </row>
    <row r="29" spans="3:18" ht="23.1" customHeight="1">
      <c r="C29" s="126">
        <v>1</v>
      </c>
      <c r="D29" s="141" t="s">
        <v>677</v>
      </c>
      <c r="E29" s="159" t="s">
        <v>678</v>
      </c>
      <c r="F29" s="131">
        <v>1</v>
      </c>
      <c r="G29" s="131">
        <v>1</v>
      </c>
      <c r="H29" s="161">
        <v>46143</v>
      </c>
      <c r="I29" s="126">
        <v>0</v>
      </c>
      <c r="J29" s="126">
        <v>0</v>
      </c>
      <c r="K29" s="126">
        <v>0</v>
      </c>
      <c r="L29" s="126">
        <v>4</v>
      </c>
      <c r="M29" s="126">
        <v>0</v>
      </c>
      <c r="N29" s="126">
        <v>0</v>
      </c>
      <c r="O29" s="126">
        <v>0</v>
      </c>
      <c r="P29" s="126">
        <v>0</v>
      </c>
      <c r="Q29" s="126">
        <v>0</v>
      </c>
    </row>
    <row r="30" spans="3:18" ht="23.1" customHeight="1">
      <c r="C30" s="126">
        <v>2</v>
      </c>
      <c r="D30" s="141" t="s">
        <v>682</v>
      </c>
      <c r="E30" s="159" t="s">
        <v>683</v>
      </c>
      <c r="F30" s="131">
        <v>1</v>
      </c>
      <c r="G30" s="131">
        <v>1</v>
      </c>
      <c r="H30" s="161">
        <v>46143</v>
      </c>
      <c r="I30" s="126">
        <v>0</v>
      </c>
      <c r="J30" s="126">
        <v>0</v>
      </c>
      <c r="K30" s="126">
        <v>0</v>
      </c>
      <c r="L30" s="126">
        <v>5</v>
      </c>
      <c r="M30" s="126">
        <v>0</v>
      </c>
      <c r="N30" s="126">
        <v>0</v>
      </c>
      <c r="O30" s="126">
        <v>0</v>
      </c>
      <c r="P30" s="126">
        <v>0</v>
      </c>
      <c r="Q30" s="126">
        <v>0</v>
      </c>
    </row>
    <row r="31" spans="3:18" ht="23.1" customHeight="1">
      <c r="C31" s="126">
        <v>4</v>
      </c>
      <c r="D31" s="141" t="s">
        <v>581</v>
      </c>
      <c r="E31" s="159" t="s">
        <v>582</v>
      </c>
      <c r="F31" s="131">
        <v>1</v>
      </c>
      <c r="G31" s="131">
        <v>1</v>
      </c>
      <c r="H31" s="161">
        <v>46143</v>
      </c>
      <c r="I31" s="126">
        <v>0</v>
      </c>
      <c r="J31" s="126">
        <v>0</v>
      </c>
      <c r="K31" s="126">
        <v>0</v>
      </c>
      <c r="L31" s="126">
        <v>7</v>
      </c>
      <c r="M31" s="126">
        <v>0</v>
      </c>
      <c r="N31" s="126">
        <v>0</v>
      </c>
      <c r="O31" s="126">
        <v>0</v>
      </c>
      <c r="P31" s="126">
        <v>0</v>
      </c>
      <c r="Q31" s="126">
        <v>0</v>
      </c>
    </row>
    <row r="32" spans="3:18" ht="23.1" customHeight="1">
      <c r="C32" s="126">
        <v>5</v>
      </c>
      <c r="D32" s="141" t="s">
        <v>686</v>
      </c>
      <c r="E32" s="159" t="s">
        <v>687</v>
      </c>
      <c r="F32" s="131">
        <v>1</v>
      </c>
      <c r="G32" s="131">
        <v>1</v>
      </c>
      <c r="H32" s="161">
        <v>46143</v>
      </c>
      <c r="I32" s="126">
        <v>0</v>
      </c>
      <c r="J32" s="126">
        <v>0</v>
      </c>
      <c r="K32" s="126">
        <v>0</v>
      </c>
      <c r="L32" s="126">
        <v>6</v>
      </c>
      <c r="M32" s="126">
        <v>0</v>
      </c>
      <c r="N32" s="126">
        <v>0</v>
      </c>
      <c r="O32" s="126">
        <v>0</v>
      </c>
      <c r="P32" s="126">
        <v>0</v>
      </c>
      <c r="Q32" s="126">
        <v>0</v>
      </c>
    </row>
    <row r="33" spans="3:17" ht="23.1" customHeight="1">
      <c r="C33" s="126">
        <v>10</v>
      </c>
      <c r="D33" s="141" t="s">
        <v>586</v>
      </c>
      <c r="E33" s="159" t="s">
        <v>587</v>
      </c>
      <c r="F33" s="131">
        <v>1</v>
      </c>
      <c r="G33" s="131">
        <v>1</v>
      </c>
      <c r="H33" s="161">
        <v>46143</v>
      </c>
      <c r="I33" s="126">
        <v>0</v>
      </c>
      <c r="J33" s="126">
        <v>0</v>
      </c>
      <c r="K33" s="126">
        <v>0</v>
      </c>
      <c r="L33" s="126">
        <v>10</v>
      </c>
      <c r="M33" s="126">
        <v>0</v>
      </c>
      <c r="N33" s="126">
        <v>0</v>
      </c>
      <c r="O33" s="126">
        <v>0</v>
      </c>
      <c r="P33" s="126">
        <v>0</v>
      </c>
      <c r="Q33" s="126">
        <v>0</v>
      </c>
    </row>
    <row r="34" spans="3:17" ht="23.1" customHeight="1">
      <c r="C34" s="126">
        <v>11</v>
      </c>
      <c r="D34" s="141" t="s">
        <v>690</v>
      </c>
      <c r="E34" s="159" t="s">
        <v>691</v>
      </c>
      <c r="F34" s="131">
        <v>1</v>
      </c>
      <c r="G34" s="131">
        <v>1</v>
      </c>
      <c r="H34" s="161">
        <v>46143</v>
      </c>
      <c r="I34" s="126">
        <v>0</v>
      </c>
      <c r="J34" s="126">
        <v>0</v>
      </c>
      <c r="K34" s="126">
        <v>0</v>
      </c>
      <c r="L34" s="126">
        <v>10</v>
      </c>
      <c r="M34" s="126">
        <v>0</v>
      </c>
      <c r="N34" s="126">
        <v>0</v>
      </c>
      <c r="O34" s="126">
        <v>0</v>
      </c>
      <c r="P34" s="126">
        <v>0</v>
      </c>
      <c r="Q34" s="126">
        <v>0</v>
      </c>
    </row>
    <row r="35" spans="3:17" ht="23.1" customHeight="1">
      <c r="C35" s="126">
        <v>13</v>
      </c>
      <c r="D35" s="141" t="s">
        <v>693</v>
      </c>
      <c r="E35" s="159" t="s">
        <v>694</v>
      </c>
      <c r="F35" s="131">
        <v>1</v>
      </c>
      <c r="G35" s="131">
        <v>1</v>
      </c>
      <c r="H35" s="161">
        <v>46143</v>
      </c>
      <c r="I35" s="126">
        <v>0</v>
      </c>
      <c r="J35" s="126">
        <v>0</v>
      </c>
      <c r="K35" s="126">
        <v>0</v>
      </c>
      <c r="L35" s="126">
        <v>8</v>
      </c>
      <c r="M35" s="126">
        <v>0</v>
      </c>
      <c r="N35" s="126">
        <v>0</v>
      </c>
      <c r="O35" s="126">
        <v>0</v>
      </c>
      <c r="P35" s="126">
        <v>0</v>
      </c>
      <c r="Q35" s="126">
        <v>0</v>
      </c>
    </row>
    <row r="36" spans="3:17" ht="23.1" customHeight="1">
      <c r="C36" s="126">
        <v>14</v>
      </c>
      <c r="D36" s="141" t="s">
        <v>696</v>
      </c>
      <c r="E36" s="159" t="s">
        <v>697</v>
      </c>
      <c r="F36" s="131">
        <v>1</v>
      </c>
      <c r="G36" s="131">
        <v>1</v>
      </c>
      <c r="H36" s="161">
        <v>46143</v>
      </c>
      <c r="I36" s="126">
        <v>0</v>
      </c>
      <c r="J36" s="126">
        <v>0</v>
      </c>
      <c r="K36" s="126">
        <v>0</v>
      </c>
      <c r="L36" s="126">
        <v>12</v>
      </c>
      <c r="M36" s="126">
        <v>0</v>
      </c>
      <c r="N36" s="126">
        <v>0</v>
      </c>
      <c r="O36" s="126">
        <v>0</v>
      </c>
      <c r="P36" s="126">
        <v>0</v>
      </c>
      <c r="Q36" s="126">
        <v>0</v>
      </c>
    </row>
    <row r="37" spans="3:17" ht="23.1" customHeight="1">
      <c r="C37" s="126">
        <v>16</v>
      </c>
      <c r="D37" s="141" t="s">
        <v>699</v>
      </c>
      <c r="E37" s="159" t="s">
        <v>700</v>
      </c>
      <c r="F37" s="131">
        <v>1</v>
      </c>
      <c r="G37" s="131">
        <v>1</v>
      </c>
      <c r="H37" s="161">
        <v>46143</v>
      </c>
      <c r="I37" s="126">
        <v>0</v>
      </c>
      <c r="J37" s="126">
        <v>0</v>
      </c>
      <c r="K37" s="126">
        <v>0</v>
      </c>
      <c r="L37" s="126">
        <v>15</v>
      </c>
      <c r="M37" s="126">
        <v>0</v>
      </c>
      <c r="N37" s="126">
        <v>0</v>
      </c>
      <c r="O37" s="126">
        <v>0</v>
      </c>
      <c r="P37" s="126">
        <v>0</v>
      </c>
      <c r="Q37" s="126">
        <v>0</v>
      </c>
    </row>
    <row r="38" spans="3:17" ht="23.1" customHeight="1">
      <c r="C38" s="126">
        <v>17</v>
      </c>
      <c r="D38" s="141" t="s">
        <v>662</v>
      </c>
      <c r="E38" s="159" t="s">
        <v>663</v>
      </c>
      <c r="F38" s="131">
        <v>1</v>
      </c>
      <c r="G38" s="131">
        <v>1</v>
      </c>
      <c r="H38" s="161">
        <v>46143</v>
      </c>
      <c r="I38" s="126">
        <v>0</v>
      </c>
      <c r="J38" s="126">
        <v>0</v>
      </c>
      <c r="K38" s="126">
        <v>0</v>
      </c>
      <c r="L38" s="126">
        <v>20</v>
      </c>
      <c r="M38" s="126">
        <v>0</v>
      </c>
      <c r="N38" s="126">
        <v>0</v>
      </c>
      <c r="O38" s="126">
        <v>0</v>
      </c>
      <c r="P38" s="126">
        <v>0</v>
      </c>
      <c r="Q38" s="126">
        <v>0</v>
      </c>
    </row>
    <row r="39" spans="3:17" ht="23.1" customHeight="1">
      <c r="C39" s="126">
        <v>18</v>
      </c>
      <c r="D39" s="141" t="s">
        <v>703</v>
      </c>
      <c r="E39" s="159" t="s">
        <v>704</v>
      </c>
      <c r="F39" s="131">
        <v>1</v>
      </c>
      <c r="G39" s="131">
        <v>1</v>
      </c>
      <c r="H39" s="161">
        <v>46143</v>
      </c>
      <c r="I39" s="126">
        <v>0</v>
      </c>
      <c r="J39" s="126">
        <v>0</v>
      </c>
      <c r="K39" s="126">
        <v>0</v>
      </c>
      <c r="L39" s="126">
        <v>18</v>
      </c>
      <c r="M39" s="126">
        <v>0</v>
      </c>
      <c r="N39" s="126">
        <v>0</v>
      </c>
      <c r="O39" s="126">
        <v>0</v>
      </c>
      <c r="P39" s="126">
        <v>0</v>
      </c>
      <c r="Q39" s="126">
        <v>0</v>
      </c>
    </row>
    <row r="40" spans="3:17" ht="23.1" customHeight="1">
      <c r="C40" s="126">
        <v>19</v>
      </c>
      <c r="D40" s="141" t="s">
        <v>706</v>
      </c>
      <c r="E40" s="159" t="s">
        <v>707</v>
      </c>
      <c r="F40" s="131">
        <v>1</v>
      </c>
      <c r="G40" s="131">
        <v>1</v>
      </c>
      <c r="H40" s="161">
        <v>46143</v>
      </c>
      <c r="I40" s="126">
        <v>0</v>
      </c>
      <c r="J40" s="126">
        <v>0</v>
      </c>
      <c r="K40" s="126">
        <v>0</v>
      </c>
      <c r="L40" s="126">
        <v>5</v>
      </c>
      <c r="M40" s="126">
        <v>0</v>
      </c>
      <c r="N40" s="126">
        <v>0</v>
      </c>
      <c r="O40" s="126">
        <v>0</v>
      </c>
      <c r="P40" s="126">
        <v>0</v>
      </c>
      <c r="Q40" s="126">
        <v>0</v>
      </c>
    </row>
    <row r="41" spans="3:17" ht="23.1" customHeight="1">
      <c r="C41" s="126">
        <v>20</v>
      </c>
      <c r="D41" s="141" t="s">
        <v>709</v>
      </c>
      <c r="E41" s="159" t="s">
        <v>710</v>
      </c>
      <c r="F41" s="131">
        <v>1</v>
      </c>
      <c r="G41" s="131">
        <v>1</v>
      </c>
      <c r="H41" s="161">
        <v>46143</v>
      </c>
      <c r="I41" s="126">
        <v>0</v>
      </c>
      <c r="J41" s="126">
        <v>0</v>
      </c>
      <c r="K41" s="126">
        <v>0</v>
      </c>
      <c r="L41" s="126">
        <v>3</v>
      </c>
      <c r="M41" s="126">
        <v>0</v>
      </c>
      <c r="N41" s="126">
        <v>0</v>
      </c>
      <c r="O41" s="126">
        <v>0</v>
      </c>
      <c r="P41" s="126">
        <v>0</v>
      </c>
      <c r="Q41" s="126">
        <v>0</v>
      </c>
    </row>
    <row r="42" spans="3:17" ht="23.1" customHeight="1">
      <c r="C42" s="126">
        <v>22</v>
      </c>
      <c r="D42" s="141" t="s">
        <v>642</v>
      </c>
      <c r="E42" s="159" t="s">
        <v>643</v>
      </c>
      <c r="F42" s="131">
        <v>1</v>
      </c>
      <c r="G42" s="131">
        <v>1</v>
      </c>
      <c r="H42" s="161">
        <v>46143</v>
      </c>
      <c r="I42" s="126">
        <v>0</v>
      </c>
      <c r="J42" s="126">
        <v>0</v>
      </c>
      <c r="K42" s="126">
        <v>0</v>
      </c>
      <c r="L42" s="126">
        <v>7</v>
      </c>
      <c r="M42" s="126">
        <v>0</v>
      </c>
      <c r="N42" s="126">
        <v>0</v>
      </c>
      <c r="O42" s="126">
        <v>0</v>
      </c>
      <c r="P42" s="126">
        <v>0</v>
      </c>
      <c r="Q42" s="126">
        <v>0</v>
      </c>
    </row>
    <row r="43" spans="3:17" ht="23.1" customHeight="1">
      <c r="C43" s="126">
        <v>26</v>
      </c>
      <c r="D43" s="141" t="s">
        <v>715</v>
      </c>
      <c r="E43" s="159" t="s">
        <v>716</v>
      </c>
      <c r="F43" s="131">
        <v>1</v>
      </c>
      <c r="G43" s="131">
        <v>1</v>
      </c>
      <c r="H43" s="161">
        <v>46146</v>
      </c>
      <c r="I43" s="126">
        <v>0</v>
      </c>
      <c r="J43" s="126">
        <v>0</v>
      </c>
      <c r="K43" s="126">
        <v>0</v>
      </c>
      <c r="L43" s="126">
        <v>5</v>
      </c>
      <c r="M43" s="126">
        <v>0</v>
      </c>
      <c r="N43" s="126">
        <v>0</v>
      </c>
      <c r="O43" s="126">
        <v>0</v>
      </c>
      <c r="P43" s="126">
        <v>0</v>
      </c>
      <c r="Q43" s="126">
        <v>0</v>
      </c>
    </row>
    <row r="44" spans="3:17" ht="23.1" customHeight="1">
      <c r="C44" s="126">
        <v>101</v>
      </c>
      <c r="D44" s="141" t="s">
        <v>718</v>
      </c>
      <c r="E44" s="159" t="s">
        <v>719</v>
      </c>
      <c r="F44" s="131">
        <v>1</v>
      </c>
      <c r="G44" s="131">
        <v>1</v>
      </c>
      <c r="H44" s="161">
        <v>46146</v>
      </c>
      <c r="I44" s="126">
        <v>0</v>
      </c>
      <c r="J44" s="126">
        <v>0</v>
      </c>
      <c r="K44" s="126">
        <v>0</v>
      </c>
      <c r="L44" s="126">
        <v>22500</v>
      </c>
      <c r="M44" s="126">
        <v>0</v>
      </c>
      <c r="N44" s="126">
        <v>0</v>
      </c>
      <c r="O44" s="126">
        <v>0</v>
      </c>
      <c r="P44" s="126">
        <v>0</v>
      </c>
      <c r="Q44" s="126">
        <v>0</v>
      </c>
    </row>
    <row r="45" spans="3:17" ht="23.1" customHeight="1">
      <c r="C45" s="126">
        <v>102</v>
      </c>
      <c r="D45" s="141" t="s">
        <v>722</v>
      </c>
      <c r="E45" s="159" t="s">
        <v>723</v>
      </c>
      <c r="F45" s="131">
        <v>1</v>
      </c>
      <c r="G45" s="131">
        <v>1</v>
      </c>
      <c r="H45" s="161">
        <v>46146</v>
      </c>
      <c r="I45" s="126">
        <v>0</v>
      </c>
      <c r="J45" s="126">
        <v>0</v>
      </c>
      <c r="K45" s="126">
        <v>0</v>
      </c>
      <c r="L45" s="126">
        <v>4</v>
      </c>
      <c r="M45" s="126">
        <v>0</v>
      </c>
      <c r="N45" s="126">
        <v>0</v>
      </c>
      <c r="O45" s="126">
        <v>0</v>
      </c>
      <c r="P45" s="126">
        <v>0</v>
      </c>
      <c r="Q45" s="126">
        <v>0</v>
      </c>
    </row>
    <row r="46" spans="3:17" ht="23.1" customHeight="1">
      <c r="C46" s="126">
        <v>125</v>
      </c>
      <c r="D46" s="141" t="s">
        <v>726</v>
      </c>
      <c r="E46" s="159" t="s">
        <v>727</v>
      </c>
      <c r="F46" s="131">
        <v>1</v>
      </c>
      <c r="G46" s="131">
        <v>1</v>
      </c>
      <c r="H46" s="161">
        <v>46146</v>
      </c>
      <c r="I46" s="126">
        <v>0</v>
      </c>
      <c r="J46" s="126">
        <v>0</v>
      </c>
      <c r="K46" s="126">
        <v>0</v>
      </c>
      <c r="L46" s="126">
        <v>700</v>
      </c>
      <c r="M46" s="126">
        <v>0</v>
      </c>
      <c r="N46" s="126">
        <v>0</v>
      </c>
      <c r="O46" s="126">
        <v>0</v>
      </c>
      <c r="P46" s="126">
        <v>0</v>
      </c>
      <c r="Q46" s="126">
        <v>0</v>
      </c>
    </row>
    <row r="47" spans="3:17" ht="23.1" customHeight="1">
      <c r="C47" s="126">
        <v>152</v>
      </c>
      <c r="D47" s="141" t="s">
        <v>730</v>
      </c>
      <c r="E47" s="159" t="s">
        <v>731</v>
      </c>
      <c r="F47" s="131">
        <v>1</v>
      </c>
      <c r="G47" s="131">
        <v>1</v>
      </c>
      <c r="H47" s="161">
        <v>46146</v>
      </c>
      <c r="I47" s="126">
        <v>0</v>
      </c>
      <c r="J47" s="126">
        <v>0</v>
      </c>
      <c r="K47" s="126">
        <v>0</v>
      </c>
      <c r="L47" s="126">
        <v>3</v>
      </c>
      <c r="M47" s="126">
        <v>0</v>
      </c>
      <c r="N47" s="126">
        <v>0</v>
      </c>
      <c r="O47" s="126">
        <v>0</v>
      </c>
      <c r="P47" s="126">
        <v>0</v>
      </c>
      <c r="Q47" s="126">
        <v>0</v>
      </c>
    </row>
    <row r="48" spans="3:17" ht="23.1" customHeight="1">
      <c r="C48" s="126">
        <v>155</v>
      </c>
      <c r="D48" s="141" t="s">
        <v>667</v>
      </c>
      <c r="E48" s="159" t="s">
        <v>668</v>
      </c>
      <c r="F48" s="131">
        <v>1</v>
      </c>
      <c r="G48" s="131">
        <v>1</v>
      </c>
      <c r="H48" s="161">
        <v>46146</v>
      </c>
      <c r="I48" s="126">
        <v>0</v>
      </c>
      <c r="J48" s="126">
        <v>0</v>
      </c>
      <c r="K48" s="126">
        <v>0</v>
      </c>
      <c r="L48" s="126">
        <v>3</v>
      </c>
      <c r="M48" s="126">
        <v>0</v>
      </c>
      <c r="N48" s="126">
        <v>0</v>
      </c>
      <c r="O48" s="126">
        <v>0</v>
      </c>
      <c r="P48" s="126">
        <v>0</v>
      </c>
      <c r="Q48" s="126">
        <v>0</v>
      </c>
    </row>
    <row r="49" spans="3:17" ht="23.1" customHeight="1">
      <c r="C49" s="126">
        <v>156</v>
      </c>
      <c r="D49" s="141" t="s">
        <v>735</v>
      </c>
      <c r="E49" s="159" t="s">
        <v>736</v>
      </c>
      <c r="F49" s="131">
        <v>1</v>
      </c>
      <c r="G49" s="131">
        <v>1</v>
      </c>
      <c r="H49" s="161">
        <v>46146</v>
      </c>
      <c r="I49" s="126">
        <v>0</v>
      </c>
      <c r="J49" s="126">
        <v>0</v>
      </c>
      <c r="K49" s="126">
        <v>0</v>
      </c>
      <c r="L49" s="126">
        <v>5</v>
      </c>
      <c r="M49" s="126">
        <v>0</v>
      </c>
      <c r="N49" s="126">
        <v>0</v>
      </c>
      <c r="O49" s="126">
        <v>0</v>
      </c>
      <c r="P49" s="126">
        <v>0</v>
      </c>
      <c r="Q49" s="126">
        <v>0</v>
      </c>
    </row>
    <row r="50" spans="3:17" ht="23.1" customHeight="1">
      <c r="C50" s="126">
        <v>160</v>
      </c>
      <c r="D50" s="141" t="s">
        <v>738</v>
      </c>
      <c r="E50" s="159" t="s">
        <v>739</v>
      </c>
      <c r="F50" s="131">
        <v>1</v>
      </c>
      <c r="G50" s="131">
        <v>1</v>
      </c>
      <c r="H50" s="161">
        <v>46146</v>
      </c>
      <c r="I50" s="126">
        <v>0</v>
      </c>
      <c r="J50" s="126">
        <v>0</v>
      </c>
      <c r="K50" s="126">
        <v>0</v>
      </c>
      <c r="L50" s="126">
        <v>2</v>
      </c>
      <c r="M50" s="126">
        <v>0</v>
      </c>
      <c r="N50" s="126">
        <v>0</v>
      </c>
      <c r="O50" s="126">
        <v>0</v>
      </c>
      <c r="P50" s="126">
        <v>0</v>
      </c>
      <c r="Q50" s="126">
        <v>0</v>
      </c>
    </row>
    <row r="51" spans="3:17" ht="23.1" customHeight="1">
      <c r="C51" s="126">
        <v>162</v>
      </c>
      <c r="D51" s="141" t="s">
        <v>741</v>
      </c>
      <c r="E51" s="159" t="s">
        <v>742</v>
      </c>
      <c r="F51" s="131">
        <v>1</v>
      </c>
      <c r="G51" s="131">
        <v>1</v>
      </c>
      <c r="H51" s="161">
        <v>46146</v>
      </c>
      <c r="I51" s="126">
        <v>0</v>
      </c>
      <c r="J51" s="126">
        <v>0</v>
      </c>
      <c r="K51" s="126">
        <v>0</v>
      </c>
      <c r="L51" s="126">
        <v>2</v>
      </c>
      <c r="M51" s="126">
        <v>0</v>
      </c>
      <c r="N51" s="126">
        <v>0</v>
      </c>
      <c r="O51" s="126">
        <v>0</v>
      </c>
      <c r="P51" s="126">
        <v>0</v>
      </c>
      <c r="Q51" s="126">
        <v>0</v>
      </c>
    </row>
    <row r="52" spans="3:17" ht="23.1" customHeight="1">
      <c r="C52" s="126">
        <v>163</v>
      </c>
      <c r="D52" s="141" t="s">
        <v>745</v>
      </c>
      <c r="E52" s="159" t="s">
        <v>746</v>
      </c>
      <c r="F52" s="131">
        <v>1</v>
      </c>
      <c r="G52" s="131">
        <v>1</v>
      </c>
      <c r="H52" s="161">
        <v>46146</v>
      </c>
      <c r="I52" s="126">
        <v>0</v>
      </c>
      <c r="J52" s="126">
        <v>0</v>
      </c>
      <c r="K52" s="126">
        <v>0</v>
      </c>
      <c r="L52" s="126">
        <v>2</v>
      </c>
      <c r="M52" s="126">
        <v>0</v>
      </c>
      <c r="N52" s="126">
        <v>0</v>
      </c>
      <c r="O52" s="126">
        <v>0</v>
      </c>
      <c r="P52" s="126">
        <v>0</v>
      </c>
      <c r="Q52" s="126">
        <v>0</v>
      </c>
    </row>
    <row r="53" spans="3:17" ht="23.1" customHeight="1">
      <c r="C53" s="126">
        <v>176</v>
      </c>
      <c r="D53" s="141" t="s">
        <v>748</v>
      </c>
      <c r="E53" s="159" t="s">
        <v>749</v>
      </c>
      <c r="F53" s="131">
        <v>1</v>
      </c>
      <c r="G53" s="131">
        <v>1</v>
      </c>
      <c r="H53" s="161">
        <v>46146</v>
      </c>
      <c r="I53" s="126">
        <v>0</v>
      </c>
      <c r="J53" s="126">
        <v>0</v>
      </c>
      <c r="K53" s="126">
        <v>0</v>
      </c>
      <c r="L53" s="126">
        <v>5000</v>
      </c>
      <c r="M53" s="126">
        <v>0</v>
      </c>
      <c r="N53" s="126">
        <v>0</v>
      </c>
      <c r="O53" s="126">
        <v>0</v>
      </c>
      <c r="P53" s="126">
        <v>0</v>
      </c>
      <c r="Q53" s="126">
        <v>0</v>
      </c>
    </row>
    <row r="54" spans="3:17" ht="23.1" customHeight="1">
      <c r="C54" s="126">
        <v>177</v>
      </c>
      <c r="D54" s="141" t="s">
        <v>752</v>
      </c>
      <c r="E54" s="159" t="s">
        <v>753</v>
      </c>
      <c r="F54" s="131">
        <v>1</v>
      </c>
      <c r="G54" s="131">
        <v>1</v>
      </c>
      <c r="H54" s="161">
        <v>46146</v>
      </c>
      <c r="I54" s="126">
        <v>0</v>
      </c>
      <c r="J54" s="126">
        <v>0</v>
      </c>
      <c r="K54" s="126">
        <v>0</v>
      </c>
      <c r="L54" s="126">
        <v>12000</v>
      </c>
      <c r="M54" s="126">
        <v>0</v>
      </c>
      <c r="N54" s="126">
        <v>0</v>
      </c>
      <c r="O54" s="126">
        <v>0</v>
      </c>
      <c r="P54" s="126">
        <v>0</v>
      </c>
      <c r="Q54" s="126">
        <v>0</v>
      </c>
    </row>
    <row r="55" spans="3:17" ht="23.1" customHeight="1">
      <c r="C55" s="126">
        <v>178</v>
      </c>
      <c r="D55" s="141" t="s">
        <v>755</v>
      </c>
      <c r="E55" s="159" t="s">
        <v>756</v>
      </c>
      <c r="F55" s="131">
        <v>1</v>
      </c>
      <c r="G55" s="131">
        <v>1</v>
      </c>
      <c r="H55" s="161">
        <v>46146</v>
      </c>
      <c r="I55" s="126">
        <v>0</v>
      </c>
      <c r="J55" s="126">
        <v>0</v>
      </c>
      <c r="K55" s="126">
        <v>0</v>
      </c>
      <c r="L55" s="126">
        <v>6000</v>
      </c>
      <c r="M55" s="126">
        <v>0</v>
      </c>
      <c r="N55" s="126">
        <v>0</v>
      </c>
      <c r="O55" s="126">
        <v>0</v>
      </c>
      <c r="P55" s="126">
        <v>0</v>
      </c>
      <c r="Q55" s="126">
        <v>0</v>
      </c>
    </row>
    <row r="56" spans="3:17" ht="23.1" customHeight="1">
      <c r="C56" s="126">
        <v>179</v>
      </c>
      <c r="D56" s="141" t="s">
        <v>564</v>
      </c>
      <c r="E56" s="159" t="s">
        <v>565</v>
      </c>
      <c r="F56" s="131">
        <v>1</v>
      </c>
      <c r="G56" s="131">
        <v>1</v>
      </c>
      <c r="H56" s="161">
        <v>46146</v>
      </c>
      <c r="I56" s="126">
        <v>0</v>
      </c>
      <c r="J56" s="126">
        <v>0</v>
      </c>
      <c r="K56" s="126">
        <v>0</v>
      </c>
      <c r="L56" s="126">
        <v>4000</v>
      </c>
      <c r="M56" s="126">
        <v>0</v>
      </c>
      <c r="N56" s="126">
        <v>0</v>
      </c>
      <c r="O56" s="126">
        <v>0</v>
      </c>
      <c r="P56" s="126">
        <v>0</v>
      </c>
      <c r="Q56" s="126">
        <v>0</v>
      </c>
    </row>
    <row r="57" spans="3:17" ht="23.1" customHeight="1">
      <c r="C57" s="126">
        <v>181</v>
      </c>
      <c r="D57" s="141" t="s">
        <v>761</v>
      </c>
      <c r="E57" s="159" t="s">
        <v>762</v>
      </c>
      <c r="F57" s="131">
        <v>1</v>
      </c>
      <c r="G57" s="131">
        <v>1</v>
      </c>
      <c r="H57" s="161">
        <v>46148</v>
      </c>
      <c r="I57" s="126">
        <v>0</v>
      </c>
      <c r="J57" s="126">
        <v>0</v>
      </c>
      <c r="K57" s="126">
        <v>0</v>
      </c>
      <c r="L57" s="126">
        <v>180</v>
      </c>
      <c r="M57" s="126">
        <v>0</v>
      </c>
      <c r="N57" s="126">
        <v>0</v>
      </c>
      <c r="O57" s="126">
        <v>0</v>
      </c>
      <c r="P57" s="126">
        <v>0</v>
      </c>
      <c r="Q57" s="126">
        <v>0</v>
      </c>
    </row>
    <row r="58" spans="3:17" ht="23.1" customHeight="1">
      <c r="C58" s="126">
        <v>182</v>
      </c>
      <c r="D58" s="141" t="s">
        <v>627</v>
      </c>
      <c r="E58" s="159" t="s">
        <v>628</v>
      </c>
      <c r="F58" s="131">
        <v>1</v>
      </c>
      <c r="G58" s="131">
        <v>1</v>
      </c>
      <c r="H58" s="161">
        <v>46148</v>
      </c>
      <c r="I58" s="126">
        <v>0</v>
      </c>
      <c r="J58" s="126">
        <v>0</v>
      </c>
      <c r="K58" s="126">
        <v>0</v>
      </c>
      <c r="L58" s="126">
        <v>120</v>
      </c>
      <c r="M58" s="126">
        <v>0</v>
      </c>
      <c r="N58" s="126">
        <v>0</v>
      </c>
      <c r="O58" s="126">
        <v>0</v>
      </c>
      <c r="P58" s="126">
        <v>0</v>
      </c>
      <c r="Q58" s="126">
        <v>0</v>
      </c>
    </row>
    <row r="59" spans="3:17" ht="23.1" customHeight="1">
      <c r="C59" s="126">
        <v>183</v>
      </c>
      <c r="D59" s="141" t="s">
        <v>766</v>
      </c>
      <c r="E59" s="159" t="s">
        <v>767</v>
      </c>
      <c r="F59" s="131">
        <v>1</v>
      </c>
      <c r="G59" s="131">
        <v>1</v>
      </c>
      <c r="H59" s="161">
        <v>46148</v>
      </c>
      <c r="I59" s="126">
        <v>0</v>
      </c>
      <c r="J59" s="126">
        <v>0</v>
      </c>
      <c r="K59" s="126">
        <v>0</v>
      </c>
      <c r="L59" s="126">
        <v>240</v>
      </c>
      <c r="M59" s="126">
        <v>0</v>
      </c>
      <c r="N59" s="126">
        <v>0</v>
      </c>
      <c r="O59" s="126">
        <v>0</v>
      </c>
      <c r="P59" s="126">
        <v>0</v>
      </c>
      <c r="Q59" s="126">
        <v>0</v>
      </c>
    </row>
    <row r="60" spans="3:17" ht="23.1" customHeight="1">
      <c r="C60" s="126">
        <v>184</v>
      </c>
      <c r="D60" s="141" t="s">
        <v>769</v>
      </c>
      <c r="E60" s="159" t="s">
        <v>770</v>
      </c>
      <c r="F60" s="131">
        <v>1</v>
      </c>
      <c r="G60" s="131">
        <v>1</v>
      </c>
      <c r="H60" s="161">
        <v>46148</v>
      </c>
      <c r="I60" s="126">
        <v>0</v>
      </c>
      <c r="J60" s="126">
        <v>0</v>
      </c>
      <c r="K60" s="126">
        <v>0</v>
      </c>
      <c r="L60" s="126">
        <v>168</v>
      </c>
      <c r="M60" s="126">
        <v>0</v>
      </c>
      <c r="N60" s="126">
        <v>0</v>
      </c>
      <c r="O60" s="126">
        <v>0</v>
      </c>
      <c r="P60" s="126">
        <v>0</v>
      </c>
      <c r="Q60" s="126">
        <v>0</v>
      </c>
    </row>
    <row r="61" spans="3:17" ht="23.1" customHeight="1">
      <c r="C61" s="126">
        <v>185</v>
      </c>
      <c r="D61" s="141" t="s">
        <v>772</v>
      </c>
      <c r="E61" s="159" t="s">
        <v>773</v>
      </c>
      <c r="F61" s="131">
        <v>1</v>
      </c>
      <c r="G61" s="131">
        <v>1</v>
      </c>
      <c r="H61" s="161">
        <v>46148</v>
      </c>
      <c r="I61" s="126">
        <v>0</v>
      </c>
      <c r="J61" s="126">
        <v>0</v>
      </c>
      <c r="K61" s="126">
        <v>0</v>
      </c>
      <c r="L61" s="126">
        <v>60</v>
      </c>
      <c r="M61" s="126">
        <v>0</v>
      </c>
      <c r="N61" s="126">
        <v>0</v>
      </c>
      <c r="O61" s="126">
        <v>0</v>
      </c>
      <c r="P61" s="126">
        <v>0</v>
      </c>
      <c r="Q61" s="126">
        <v>0</v>
      </c>
    </row>
    <row r="62" spans="3:17" ht="23.1" customHeight="1">
      <c r="C62" s="126">
        <v>186</v>
      </c>
      <c r="D62" s="141" t="s">
        <v>616</v>
      </c>
      <c r="E62" s="159" t="s">
        <v>617</v>
      </c>
      <c r="F62" s="131">
        <v>1</v>
      </c>
      <c r="G62" s="131">
        <v>1</v>
      </c>
      <c r="H62" s="161">
        <v>46148</v>
      </c>
      <c r="I62" s="126">
        <v>0</v>
      </c>
      <c r="J62" s="126">
        <v>0</v>
      </c>
      <c r="K62" s="126">
        <v>0</v>
      </c>
      <c r="L62" s="126">
        <v>36</v>
      </c>
      <c r="M62" s="126">
        <v>0</v>
      </c>
      <c r="N62" s="126">
        <v>0</v>
      </c>
      <c r="O62" s="126">
        <v>0</v>
      </c>
      <c r="P62" s="126">
        <v>0</v>
      </c>
      <c r="Q62" s="126">
        <v>0</v>
      </c>
    </row>
    <row r="63" spans="3:17" ht="23.1" customHeight="1">
      <c r="C63" s="126">
        <v>187</v>
      </c>
      <c r="D63" s="141" t="s">
        <v>576</v>
      </c>
      <c r="E63" s="159" t="s">
        <v>577</v>
      </c>
      <c r="F63" s="131">
        <v>1</v>
      </c>
      <c r="G63" s="131">
        <v>1</v>
      </c>
      <c r="H63" s="161">
        <v>46148</v>
      </c>
      <c r="I63" s="126">
        <v>0</v>
      </c>
      <c r="J63" s="126">
        <v>0</v>
      </c>
      <c r="K63" s="126">
        <v>0</v>
      </c>
      <c r="L63" s="126">
        <v>128</v>
      </c>
      <c r="M63" s="126">
        <v>0</v>
      </c>
      <c r="N63" s="126">
        <v>0</v>
      </c>
      <c r="O63" s="126">
        <v>0</v>
      </c>
      <c r="P63" s="126">
        <v>0</v>
      </c>
      <c r="Q63" s="126">
        <v>0</v>
      </c>
    </row>
    <row r="64" spans="3:17" ht="23.1" customHeight="1">
      <c r="C64" s="126">
        <v>189</v>
      </c>
      <c r="D64" s="141" t="s">
        <v>778</v>
      </c>
      <c r="E64" s="159" t="s">
        <v>779</v>
      </c>
      <c r="F64" s="131">
        <v>1</v>
      </c>
      <c r="G64" s="131">
        <v>1</v>
      </c>
      <c r="H64" s="161">
        <v>46148</v>
      </c>
      <c r="I64" s="126">
        <v>0</v>
      </c>
      <c r="J64" s="126">
        <v>0</v>
      </c>
      <c r="K64" s="126">
        <v>0</v>
      </c>
      <c r="L64" s="126">
        <v>52</v>
      </c>
      <c r="M64" s="126">
        <v>0</v>
      </c>
      <c r="N64" s="126">
        <v>0</v>
      </c>
      <c r="O64" s="126">
        <v>0</v>
      </c>
      <c r="P64" s="126">
        <v>0</v>
      </c>
      <c r="Q64" s="126">
        <v>0</v>
      </c>
    </row>
    <row r="65" spans="3:17" ht="23.1" customHeight="1">
      <c r="C65" s="126">
        <v>191</v>
      </c>
      <c r="D65" s="141" t="s">
        <v>781</v>
      </c>
      <c r="E65" s="159" t="s">
        <v>782</v>
      </c>
      <c r="F65" s="131">
        <v>1</v>
      </c>
      <c r="G65" s="131">
        <v>1</v>
      </c>
      <c r="H65" s="161">
        <v>46148</v>
      </c>
      <c r="I65" s="126">
        <v>0</v>
      </c>
      <c r="J65" s="126">
        <v>0</v>
      </c>
      <c r="K65" s="126">
        <v>0</v>
      </c>
      <c r="L65" s="126">
        <v>64</v>
      </c>
      <c r="M65" s="126">
        <v>0</v>
      </c>
      <c r="N65" s="126">
        <v>0</v>
      </c>
      <c r="O65" s="126">
        <v>0</v>
      </c>
      <c r="P65" s="126">
        <v>0</v>
      </c>
      <c r="Q65" s="126">
        <v>0</v>
      </c>
    </row>
    <row r="66" spans="3:17" ht="23.1" customHeight="1">
      <c r="C66" s="126">
        <v>193</v>
      </c>
      <c r="D66" s="141" t="s">
        <v>784</v>
      </c>
      <c r="E66" s="159" t="s">
        <v>785</v>
      </c>
      <c r="F66" s="131">
        <v>1</v>
      </c>
      <c r="G66" s="131">
        <v>1</v>
      </c>
      <c r="H66" s="161">
        <v>46148</v>
      </c>
      <c r="I66" s="126">
        <v>0</v>
      </c>
      <c r="J66" s="126">
        <v>0</v>
      </c>
      <c r="K66" s="126">
        <v>0</v>
      </c>
      <c r="L66" s="126">
        <v>60</v>
      </c>
      <c r="M66" s="126">
        <v>0</v>
      </c>
      <c r="N66" s="126">
        <v>0</v>
      </c>
      <c r="O66" s="126">
        <v>0</v>
      </c>
      <c r="P66" s="126">
        <v>0</v>
      </c>
      <c r="Q66" s="126">
        <v>0</v>
      </c>
    </row>
    <row r="67" spans="3:17" ht="23.1" customHeight="1">
      <c r="C67" s="126">
        <v>195</v>
      </c>
      <c r="D67" s="141" t="s">
        <v>608</v>
      </c>
      <c r="E67" s="159" t="s">
        <v>609</v>
      </c>
      <c r="F67" s="131">
        <v>1</v>
      </c>
      <c r="G67" s="131">
        <v>1</v>
      </c>
      <c r="H67" s="161">
        <v>46148</v>
      </c>
      <c r="I67" s="126">
        <v>0</v>
      </c>
      <c r="J67" s="126">
        <v>0</v>
      </c>
      <c r="K67" s="126">
        <v>0</v>
      </c>
      <c r="L67" s="126">
        <v>100</v>
      </c>
      <c r="M67" s="126">
        <v>0</v>
      </c>
      <c r="N67" s="126">
        <v>0</v>
      </c>
      <c r="O67" s="126">
        <v>0</v>
      </c>
      <c r="P67" s="126">
        <v>0</v>
      </c>
      <c r="Q67" s="126">
        <v>0</v>
      </c>
    </row>
    <row r="68" spans="3:17" ht="23.1" customHeight="1">
      <c r="C68" s="126">
        <v>197</v>
      </c>
      <c r="D68" s="141" t="s">
        <v>652</v>
      </c>
      <c r="E68" s="159" t="s">
        <v>653</v>
      </c>
      <c r="F68" s="131">
        <v>1</v>
      </c>
      <c r="G68" s="131">
        <v>1</v>
      </c>
      <c r="H68" s="161">
        <v>46148</v>
      </c>
      <c r="I68" s="126">
        <v>0</v>
      </c>
      <c r="J68" s="126">
        <v>0</v>
      </c>
      <c r="K68" s="126">
        <v>0</v>
      </c>
      <c r="L68" s="126">
        <v>72</v>
      </c>
      <c r="M68" s="126">
        <v>0</v>
      </c>
      <c r="N68" s="126">
        <v>0</v>
      </c>
      <c r="O68" s="126">
        <v>0</v>
      </c>
      <c r="P68" s="126">
        <v>0</v>
      </c>
      <c r="Q68" s="126">
        <v>0</v>
      </c>
    </row>
    <row r="69" spans="3:17" ht="23.1" customHeight="1">
      <c r="C69" s="126">
        <v>176</v>
      </c>
      <c r="D69" s="141" t="s">
        <v>748</v>
      </c>
      <c r="E69" s="159" t="s">
        <v>749</v>
      </c>
      <c r="F69" s="131">
        <v>1</v>
      </c>
      <c r="G69" s="131">
        <v>1</v>
      </c>
      <c r="H69" s="161">
        <v>46176</v>
      </c>
      <c r="I69" s="126">
        <v>0</v>
      </c>
      <c r="J69" s="126">
        <v>500</v>
      </c>
      <c r="K69" s="126">
        <v>0</v>
      </c>
      <c r="L69" s="126">
        <v>0</v>
      </c>
      <c r="M69" s="126">
        <v>0</v>
      </c>
      <c r="N69" s="126">
        <v>0</v>
      </c>
      <c r="O69" s="126">
        <v>0</v>
      </c>
      <c r="P69" s="126">
        <v>0</v>
      </c>
      <c r="Q69" s="126">
        <v>0</v>
      </c>
    </row>
    <row r="70" spans="3:17" ht="23.1" customHeight="1">
      <c r="C70" s="126">
        <v>142</v>
      </c>
      <c r="D70" s="141" t="s">
        <v>798</v>
      </c>
      <c r="E70" s="159" t="s">
        <v>799</v>
      </c>
      <c r="F70" s="131">
        <v>1</v>
      </c>
      <c r="G70" s="131">
        <v>1</v>
      </c>
      <c r="H70" s="161">
        <v>46176</v>
      </c>
      <c r="I70" s="126">
        <v>0</v>
      </c>
      <c r="J70" s="126">
        <v>1</v>
      </c>
      <c r="K70" s="126">
        <v>0</v>
      </c>
      <c r="L70" s="126">
        <v>0</v>
      </c>
      <c r="M70" s="126">
        <v>0</v>
      </c>
      <c r="N70" s="126">
        <v>0</v>
      </c>
      <c r="O70" s="126">
        <v>0</v>
      </c>
      <c r="P70" s="126">
        <v>0</v>
      </c>
      <c r="Q70" s="126">
        <v>0</v>
      </c>
    </row>
    <row r="71" spans="3:17" ht="23.1" customHeight="1">
      <c r="C71" s="126">
        <v>50</v>
      </c>
      <c r="D71" s="141" t="s">
        <v>803</v>
      </c>
      <c r="E71" s="159" t="s">
        <v>804</v>
      </c>
      <c r="F71" s="131">
        <v>1</v>
      </c>
      <c r="G71" s="131">
        <v>1</v>
      </c>
      <c r="H71" s="161">
        <v>46176</v>
      </c>
      <c r="I71" s="126">
        <v>0</v>
      </c>
      <c r="J71" s="126">
        <v>4</v>
      </c>
      <c r="K71" s="126">
        <v>0</v>
      </c>
      <c r="L71" s="126">
        <v>0</v>
      </c>
      <c r="M71" s="126">
        <v>0</v>
      </c>
      <c r="N71" s="126">
        <v>0</v>
      </c>
      <c r="O71" s="126">
        <v>0</v>
      </c>
      <c r="P71" s="126">
        <v>0</v>
      </c>
      <c r="Q71" s="126">
        <v>0</v>
      </c>
    </row>
    <row r="72" spans="3:17" ht="23.1" customHeight="1">
      <c r="C72" s="126">
        <v>41</v>
      </c>
      <c r="D72" s="141" t="s">
        <v>808</v>
      </c>
      <c r="E72" s="159" t="s">
        <v>809</v>
      </c>
      <c r="F72" s="131">
        <v>1</v>
      </c>
      <c r="G72" s="131">
        <v>1</v>
      </c>
      <c r="H72" s="161">
        <v>46176</v>
      </c>
      <c r="I72" s="126">
        <v>0</v>
      </c>
      <c r="J72" s="126">
        <v>2</v>
      </c>
      <c r="K72" s="126">
        <v>0</v>
      </c>
      <c r="L72" s="126">
        <v>0</v>
      </c>
      <c r="M72" s="126">
        <v>0</v>
      </c>
      <c r="N72" s="126">
        <v>0</v>
      </c>
      <c r="O72" s="126">
        <v>0</v>
      </c>
      <c r="P72" s="126">
        <v>0</v>
      </c>
      <c r="Q72" s="126">
        <v>0</v>
      </c>
    </row>
    <row r="73" spans="3:17" ht="23.1" customHeight="1">
      <c r="C73" s="126">
        <v>49</v>
      </c>
      <c r="D73" s="141" t="s">
        <v>813</v>
      </c>
      <c r="E73" s="159" t="s">
        <v>814</v>
      </c>
      <c r="F73" s="131">
        <v>1</v>
      </c>
      <c r="G73" s="131">
        <v>1</v>
      </c>
      <c r="H73" s="161">
        <v>46176</v>
      </c>
      <c r="I73" s="126">
        <v>0</v>
      </c>
      <c r="J73" s="126">
        <v>1</v>
      </c>
      <c r="K73" s="126">
        <v>0</v>
      </c>
      <c r="L73" s="126">
        <v>0</v>
      </c>
      <c r="M73" s="126">
        <v>0</v>
      </c>
      <c r="N73" s="126">
        <v>0</v>
      </c>
      <c r="O73" s="126">
        <v>0</v>
      </c>
      <c r="P73" s="126">
        <v>0</v>
      </c>
      <c r="Q73" s="126">
        <v>0</v>
      </c>
    </row>
    <row r="74" spans="3:17" ht="23.1" customHeight="1">
      <c r="C74" s="126">
        <v>7</v>
      </c>
      <c r="D74" s="141" t="s">
        <v>818</v>
      </c>
      <c r="E74" s="159" t="s">
        <v>819</v>
      </c>
      <c r="F74" s="131">
        <v>1</v>
      </c>
      <c r="G74" s="131">
        <v>1</v>
      </c>
      <c r="H74" s="161">
        <v>46176</v>
      </c>
      <c r="I74" s="126">
        <v>0</v>
      </c>
      <c r="J74" s="126">
        <v>1</v>
      </c>
      <c r="K74" s="126">
        <v>0</v>
      </c>
      <c r="L74" s="126">
        <v>0</v>
      </c>
      <c r="M74" s="126">
        <v>0</v>
      </c>
      <c r="N74" s="126">
        <v>0</v>
      </c>
      <c r="O74" s="126">
        <v>0</v>
      </c>
      <c r="P74" s="126">
        <v>0</v>
      </c>
      <c r="Q74" s="126">
        <v>0</v>
      </c>
    </row>
    <row r="75" spans="3:17" ht="23.1" customHeight="1">
      <c r="C75" s="126">
        <v>145</v>
      </c>
      <c r="D75" s="141" t="s">
        <v>823</v>
      </c>
      <c r="E75" s="159" t="s">
        <v>824</v>
      </c>
      <c r="F75" s="131">
        <v>1</v>
      </c>
      <c r="G75" s="131">
        <v>1</v>
      </c>
      <c r="H75" s="161">
        <v>46176</v>
      </c>
      <c r="I75" s="126">
        <v>0</v>
      </c>
      <c r="J75" s="126">
        <v>2</v>
      </c>
      <c r="K75" s="126">
        <v>0</v>
      </c>
      <c r="L75" s="126">
        <v>0</v>
      </c>
      <c r="M75" s="126">
        <v>0</v>
      </c>
      <c r="N75" s="126">
        <v>0</v>
      </c>
      <c r="O75" s="126">
        <v>0</v>
      </c>
      <c r="P75" s="126">
        <v>0</v>
      </c>
      <c r="Q75" s="126">
        <v>0</v>
      </c>
    </row>
    <row r="76" spans="3:17" ht="23.1" customHeight="1">
      <c r="C76" s="126">
        <v>163</v>
      </c>
      <c r="D76" s="141" t="s">
        <v>745</v>
      </c>
      <c r="E76" s="159" t="s">
        <v>746</v>
      </c>
      <c r="F76" s="131">
        <v>1</v>
      </c>
      <c r="G76" s="131">
        <v>1</v>
      </c>
      <c r="H76" s="161">
        <v>46176</v>
      </c>
      <c r="I76" s="126">
        <v>0</v>
      </c>
      <c r="J76" s="126">
        <v>4</v>
      </c>
      <c r="K76" s="126">
        <v>0</v>
      </c>
      <c r="L76" s="126">
        <v>0</v>
      </c>
      <c r="M76" s="126">
        <v>0</v>
      </c>
      <c r="N76" s="126">
        <v>0</v>
      </c>
      <c r="O76" s="126">
        <v>0</v>
      </c>
      <c r="P76" s="126">
        <v>0</v>
      </c>
      <c r="Q76" s="126">
        <v>0</v>
      </c>
    </row>
    <row r="77" spans="3:17" ht="23.1" customHeight="1">
      <c r="C77" s="126">
        <v>177</v>
      </c>
      <c r="D77" s="141" t="s">
        <v>752</v>
      </c>
      <c r="E77" s="159" t="s">
        <v>753</v>
      </c>
      <c r="F77" s="131">
        <v>1</v>
      </c>
      <c r="G77" s="131">
        <v>1</v>
      </c>
      <c r="H77" s="161">
        <v>46177</v>
      </c>
      <c r="I77" s="126">
        <v>0</v>
      </c>
      <c r="J77" s="126">
        <v>250</v>
      </c>
      <c r="K77" s="126">
        <v>0</v>
      </c>
      <c r="L77" s="126">
        <v>0</v>
      </c>
      <c r="M77" s="126">
        <v>0</v>
      </c>
      <c r="N77" s="126">
        <v>0</v>
      </c>
      <c r="O77" s="126">
        <v>0</v>
      </c>
      <c r="P77" s="126">
        <v>0</v>
      </c>
      <c r="Q77" s="126">
        <v>0</v>
      </c>
    </row>
    <row r="78" spans="3:17" ht="23.1" customHeight="1">
      <c r="C78" s="126">
        <v>179</v>
      </c>
      <c r="D78" s="141" t="s">
        <v>564</v>
      </c>
      <c r="E78" s="159" t="s">
        <v>565</v>
      </c>
      <c r="F78" s="131">
        <v>1</v>
      </c>
      <c r="G78" s="131">
        <v>1</v>
      </c>
      <c r="H78" s="161">
        <v>46177</v>
      </c>
      <c r="I78" s="126">
        <v>0</v>
      </c>
      <c r="J78" s="126">
        <v>250</v>
      </c>
      <c r="K78" s="126">
        <v>0</v>
      </c>
      <c r="L78" s="126">
        <v>0</v>
      </c>
      <c r="M78" s="126">
        <v>0</v>
      </c>
      <c r="N78" s="126">
        <v>0</v>
      </c>
      <c r="O78" s="126">
        <v>0</v>
      </c>
      <c r="P78" s="126">
        <v>0</v>
      </c>
      <c r="Q78" s="126">
        <v>0</v>
      </c>
    </row>
    <row r="79" spans="3:17" ht="23.1" customHeight="1">
      <c r="C79" s="126">
        <v>11</v>
      </c>
      <c r="D79" s="141" t="s">
        <v>690</v>
      </c>
      <c r="E79" s="159" t="s">
        <v>691</v>
      </c>
      <c r="F79" s="131">
        <v>1</v>
      </c>
      <c r="G79" s="131">
        <v>1</v>
      </c>
      <c r="H79" s="161">
        <v>46177</v>
      </c>
      <c r="I79" s="126">
        <v>0</v>
      </c>
      <c r="J79" s="126">
        <v>6</v>
      </c>
      <c r="K79" s="126">
        <v>0</v>
      </c>
      <c r="L79" s="126">
        <v>0</v>
      </c>
      <c r="M79" s="126">
        <v>0</v>
      </c>
      <c r="N79" s="126">
        <v>0</v>
      </c>
      <c r="O79" s="126">
        <v>0</v>
      </c>
      <c r="P79" s="126">
        <v>0</v>
      </c>
      <c r="Q79" s="126">
        <v>0</v>
      </c>
    </row>
    <row r="80" spans="3:17" ht="23.1" customHeight="1">
      <c r="C80" s="126">
        <v>18</v>
      </c>
      <c r="D80" s="141" t="s">
        <v>703</v>
      </c>
      <c r="E80" s="159" t="s">
        <v>704</v>
      </c>
      <c r="F80" s="131">
        <v>1</v>
      </c>
      <c r="G80" s="131">
        <v>1</v>
      </c>
      <c r="H80" s="161">
        <v>46177</v>
      </c>
      <c r="I80" s="126">
        <v>0</v>
      </c>
      <c r="J80" s="126">
        <v>10</v>
      </c>
      <c r="K80" s="126">
        <v>0</v>
      </c>
      <c r="L80" s="126">
        <v>0</v>
      </c>
      <c r="M80" s="126">
        <v>0</v>
      </c>
      <c r="N80" s="126">
        <v>0</v>
      </c>
      <c r="O80" s="126">
        <v>0</v>
      </c>
      <c r="P80" s="126">
        <v>0</v>
      </c>
      <c r="Q80" s="126">
        <v>0</v>
      </c>
    </row>
    <row r="81" spans="3:17" ht="23.1" customHeight="1">
      <c r="C81" s="126">
        <v>195</v>
      </c>
      <c r="D81" s="141" t="s">
        <v>608</v>
      </c>
      <c r="E81" s="159" t="s">
        <v>609</v>
      </c>
      <c r="F81" s="131">
        <v>1</v>
      </c>
      <c r="G81" s="131">
        <v>1</v>
      </c>
      <c r="H81" s="161">
        <v>46177</v>
      </c>
      <c r="I81" s="126">
        <v>0</v>
      </c>
      <c r="J81" s="126">
        <v>8</v>
      </c>
      <c r="K81" s="126">
        <v>0</v>
      </c>
      <c r="L81" s="126">
        <v>0</v>
      </c>
      <c r="M81" s="126">
        <v>0</v>
      </c>
      <c r="N81" s="126">
        <v>0</v>
      </c>
      <c r="O81" s="126">
        <v>0</v>
      </c>
      <c r="P81" s="126">
        <v>0</v>
      </c>
      <c r="Q81" s="126">
        <v>0</v>
      </c>
    </row>
    <row r="82" spans="3:17" ht="23.1" customHeight="1">
      <c r="C82" s="126">
        <v>102</v>
      </c>
      <c r="D82" s="141" t="s">
        <v>722</v>
      </c>
      <c r="E82" s="159" t="s">
        <v>723</v>
      </c>
      <c r="F82" s="131">
        <v>1</v>
      </c>
      <c r="G82" s="131">
        <v>1</v>
      </c>
      <c r="H82" s="161">
        <v>46177</v>
      </c>
      <c r="I82" s="126">
        <v>0</v>
      </c>
      <c r="J82" s="126">
        <v>1</v>
      </c>
      <c r="K82" s="126">
        <v>0</v>
      </c>
      <c r="L82" s="126">
        <v>0</v>
      </c>
      <c r="M82" s="126">
        <v>0</v>
      </c>
      <c r="N82" s="126">
        <v>0</v>
      </c>
      <c r="O82" s="126">
        <v>0</v>
      </c>
      <c r="P82" s="126">
        <v>0</v>
      </c>
      <c r="Q82" s="126">
        <v>0</v>
      </c>
    </row>
    <row r="83" spans="3:17" ht="23.1" customHeight="1">
      <c r="C83" s="126">
        <v>185</v>
      </c>
      <c r="D83" s="141" t="s">
        <v>772</v>
      </c>
      <c r="E83" s="159" t="s">
        <v>773</v>
      </c>
      <c r="F83" s="131">
        <v>1</v>
      </c>
      <c r="G83" s="131">
        <v>1</v>
      </c>
      <c r="H83" s="161">
        <v>46177</v>
      </c>
      <c r="I83" s="126">
        <v>0</v>
      </c>
      <c r="J83" s="126">
        <v>72</v>
      </c>
      <c r="K83" s="126">
        <v>0</v>
      </c>
      <c r="L83" s="126">
        <v>0</v>
      </c>
      <c r="M83" s="126">
        <v>0</v>
      </c>
      <c r="N83" s="126">
        <v>0</v>
      </c>
      <c r="O83" s="126">
        <v>0</v>
      </c>
      <c r="P83" s="126">
        <v>0</v>
      </c>
      <c r="Q83" s="126">
        <v>0</v>
      </c>
    </row>
    <row r="84" spans="3:17" ht="23.1" customHeight="1">
      <c r="C84" s="126">
        <v>176</v>
      </c>
      <c r="D84" s="141" t="s">
        <v>748</v>
      </c>
      <c r="E84" s="159" t="s">
        <v>749</v>
      </c>
      <c r="F84" s="131">
        <v>1</v>
      </c>
      <c r="G84" s="131">
        <v>1</v>
      </c>
      <c r="H84" s="161">
        <v>46178</v>
      </c>
      <c r="I84" s="126">
        <v>0</v>
      </c>
      <c r="J84" s="126">
        <v>500</v>
      </c>
      <c r="K84" s="126">
        <v>0</v>
      </c>
      <c r="L84" s="126">
        <v>0</v>
      </c>
      <c r="M84" s="126">
        <v>0</v>
      </c>
      <c r="N84" s="126">
        <v>0</v>
      </c>
      <c r="O84" s="126">
        <v>0</v>
      </c>
      <c r="P84" s="126">
        <v>0</v>
      </c>
      <c r="Q84" s="126">
        <v>0</v>
      </c>
    </row>
    <row r="85" spans="3:17" ht="23.1" customHeight="1">
      <c r="C85" s="126">
        <v>99</v>
      </c>
      <c r="D85" s="141" t="s">
        <v>883</v>
      </c>
      <c r="E85" s="159" t="s">
        <v>884</v>
      </c>
      <c r="F85" s="131">
        <v>1</v>
      </c>
      <c r="G85" s="131">
        <v>1</v>
      </c>
      <c r="H85" s="161">
        <v>46178</v>
      </c>
      <c r="I85" s="126">
        <v>0</v>
      </c>
      <c r="J85" s="126">
        <v>1</v>
      </c>
      <c r="K85" s="126">
        <v>0</v>
      </c>
      <c r="L85" s="126">
        <v>0</v>
      </c>
      <c r="M85" s="126">
        <v>0</v>
      </c>
      <c r="N85" s="126">
        <v>0</v>
      </c>
      <c r="O85" s="126">
        <v>0</v>
      </c>
      <c r="P85" s="126">
        <v>0</v>
      </c>
      <c r="Q85" s="126">
        <v>0</v>
      </c>
    </row>
    <row r="86" spans="3:17" ht="23.1" customHeight="1">
      <c r="C86" s="126">
        <v>14</v>
      </c>
      <c r="D86" s="141" t="s">
        <v>696</v>
      </c>
      <c r="E86" s="159" t="s">
        <v>697</v>
      </c>
      <c r="F86" s="131">
        <v>1</v>
      </c>
      <c r="G86" s="131">
        <v>1</v>
      </c>
      <c r="H86" s="161">
        <v>46178</v>
      </c>
      <c r="I86" s="126">
        <v>0</v>
      </c>
      <c r="J86" s="126">
        <v>1</v>
      </c>
      <c r="K86" s="126">
        <v>0</v>
      </c>
      <c r="L86" s="126">
        <v>0</v>
      </c>
      <c r="M86" s="126">
        <v>0</v>
      </c>
      <c r="N86" s="126">
        <v>0</v>
      </c>
      <c r="O86" s="126">
        <v>0</v>
      </c>
      <c r="P86" s="126">
        <v>0</v>
      </c>
      <c r="Q86" s="126">
        <v>0</v>
      </c>
    </row>
    <row r="87" spans="3:17" ht="23.1" customHeight="1">
      <c r="C87" s="126">
        <v>182</v>
      </c>
      <c r="D87" s="141" t="s">
        <v>627</v>
      </c>
      <c r="E87" s="159" t="s">
        <v>628</v>
      </c>
      <c r="F87" s="131">
        <v>1</v>
      </c>
      <c r="G87" s="131">
        <v>1</v>
      </c>
      <c r="H87" s="161">
        <v>46178</v>
      </c>
      <c r="I87" s="126">
        <v>0</v>
      </c>
      <c r="J87" s="126">
        <v>12</v>
      </c>
      <c r="K87" s="126">
        <v>0</v>
      </c>
      <c r="L87" s="126">
        <v>0</v>
      </c>
      <c r="M87" s="126">
        <v>0</v>
      </c>
      <c r="N87" s="126">
        <v>0</v>
      </c>
      <c r="O87" s="126">
        <v>0</v>
      </c>
      <c r="P87" s="126">
        <v>0</v>
      </c>
      <c r="Q87" s="126">
        <v>0</v>
      </c>
    </row>
    <row r="88" spans="3:17" ht="23.1" customHeight="1">
      <c r="C88" s="126">
        <v>160</v>
      </c>
      <c r="D88" s="141" t="s">
        <v>738</v>
      </c>
      <c r="E88" s="159" t="s">
        <v>739</v>
      </c>
      <c r="F88" s="131">
        <v>1</v>
      </c>
      <c r="G88" s="131">
        <v>1</v>
      </c>
      <c r="H88" s="161">
        <v>46178</v>
      </c>
      <c r="I88" s="126">
        <v>0</v>
      </c>
      <c r="J88" s="126">
        <v>2</v>
      </c>
      <c r="K88" s="126">
        <v>0</v>
      </c>
      <c r="L88" s="126">
        <v>0</v>
      </c>
      <c r="M88" s="126">
        <v>0</v>
      </c>
      <c r="N88" s="126">
        <v>0</v>
      </c>
      <c r="O88" s="126">
        <v>0</v>
      </c>
      <c r="P88" s="126">
        <v>0</v>
      </c>
      <c r="Q88" s="126">
        <v>0</v>
      </c>
    </row>
    <row r="89" spans="3:17" ht="23.1" customHeight="1">
      <c r="C89" s="126">
        <v>46</v>
      </c>
      <c r="D89" s="141" t="s">
        <v>647</v>
      </c>
      <c r="E89" s="159" t="s">
        <v>648</v>
      </c>
      <c r="F89" s="131">
        <v>1</v>
      </c>
      <c r="G89" s="131">
        <v>1</v>
      </c>
      <c r="H89" s="161">
        <v>46178</v>
      </c>
      <c r="I89" s="126">
        <v>0</v>
      </c>
      <c r="J89" s="126">
        <v>1</v>
      </c>
      <c r="K89" s="126">
        <v>0</v>
      </c>
      <c r="L89" s="126">
        <v>0</v>
      </c>
      <c r="M89" s="126">
        <v>0</v>
      </c>
      <c r="N89" s="126">
        <v>0</v>
      </c>
      <c r="O89" s="126">
        <v>0</v>
      </c>
      <c r="P89" s="126">
        <v>0</v>
      </c>
      <c r="Q89" s="126">
        <v>0</v>
      </c>
    </row>
    <row r="90" spans="3:17" ht="23.1" customHeight="1">
      <c r="C90" s="126">
        <v>97</v>
      </c>
      <c r="D90" s="141" t="s">
        <v>637</v>
      </c>
      <c r="E90" s="159" t="s">
        <v>638</v>
      </c>
      <c r="F90" s="131">
        <v>1</v>
      </c>
      <c r="G90" s="131">
        <v>1</v>
      </c>
      <c r="H90" s="161">
        <v>46178</v>
      </c>
      <c r="I90" s="126">
        <v>0</v>
      </c>
      <c r="J90" s="126">
        <v>2</v>
      </c>
      <c r="K90" s="126">
        <v>0</v>
      </c>
      <c r="L90" s="126">
        <v>0</v>
      </c>
      <c r="M90" s="126">
        <v>0</v>
      </c>
      <c r="N90" s="126">
        <v>0</v>
      </c>
      <c r="O90" s="126">
        <v>0</v>
      </c>
      <c r="P90" s="126">
        <v>0</v>
      </c>
      <c r="Q90" s="126">
        <v>0</v>
      </c>
    </row>
    <row r="91" spans="3:17" ht="23.1" customHeight="1">
      <c r="C91" s="126">
        <v>96</v>
      </c>
      <c r="D91" s="141" t="s">
        <v>632</v>
      </c>
      <c r="E91" s="159" t="s">
        <v>633</v>
      </c>
      <c r="F91" s="131">
        <v>1</v>
      </c>
      <c r="G91" s="131">
        <v>1</v>
      </c>
      <c r="H91" s="161">
        <v>46178</v>
      </c>
      <c r="I91" s="126">
        <v>0</v>
      </c>
      <c r="J91" s="126">
        <v>15</v>
      </c>
      <c r="K91" s="126">
        <v>0</v>
      </c>
      <c r="L91" s="126">
        <v>0</v>
      </c>
      <c r="M91" s="126">
        <v>0</v>
      </c>
      <c r="N91" s="126">
        <v>0</v>
      </c>
      <c r="O91" s="126">
        <v>0</v>
      </c>
      <c r="P91" s="126">
        <v>0</v>
      </c>
      <c r="Q91" s="126">
        <v>0</v>
      </c>
    </row>
    <row r="92" spans="3:17" ht="23.1" customHeight="1">
      <c r="C92" s="126">
        <v>70</v>
      </c>
      <c r="D92" s="141" t="s">
        <v>906</v>
      </c>
      <c r="E92" s="159" t="s">
        <v>907</v>
      </c>
      <c r="F92" s="131">
        <v>1</v>
      </c>
      <c r="G92" s="131">
        <v>1</v>
      </c>
      <c r="H92" s="161">
        <v>46178</v>
      </c>
      <c r="I92" s="126">
        <v>0</v>
      </c>
      <c r="J92" s="126">
        <v>1</v>
      </c>
      <c r="K92" s="126">
        <v>0</v>
      </c>
      <c r="L92" s="126">
        <v>0</v>
      </c>
      <c r="M92" s="126">
        <v>0</v>
      </c>
      <c r="N92" s="126">
        <v>0</v>
      </c>
      <c r="O92" s="126">
        <v>0</v>
      </c>
      <c r="P92" s="126">
        <v>0</v>
      </c>
      <c r="Q92" s="126">
        <v>0</v>
      </c>
    </row>
    <row r="93" spans="3:17" ht="23.1" customHeight="1">
      <c r="C93" s="126">
        <v>178</v>
      </c>
      <c r="D93" s="141" t="s">
        <v>755</v>
      </c>
      <c r="E93" s="159" t="s">
        <v>756</v>
      </c>
      <c r="F93" s="131">
        <v>1</v>
      </c>
      <c r="G93" s="131">
        <v>1</v>
      </c>
      <c r="H93" s="161">
        <v>46178</v>
      </c>
      <c r="I93" s="126">
        <v>0</v>
      </c>
      <c r="J93" s="126">
        <v>450</v>
      </c>
      <c r="K93" s="126">
        <v>0</v>
      </c>
      <c r="L93" s="126">
        <v>0</v>
      </c>
      <c r="M93" s="126">
        <v>0</v>
      </c>
      <c r="N93" s="126">
        <v>0</v>
      </c>
      <c r="O93" s="126">
        <v>0</v>
      </c>
      <c r="P93" s="126">
        <v>0</v>
      </c>
      <c r="Q93" s="126">
        <v>0</v>
      </c>
    </row>
    <row r="94" spans="3:17" ht="23.1" customHeight="1">
      <c r="C94" s="126">
        <v>177</v>
      </c>
      <c r="D94" s="141" t="s">
        <v>752</v>
      </c>
      <c r="E94" s="159" t="s">
        <v>753</v>
      </c>
      <c r="F94" s="131">
        <v>1</v>
      </c>
      <c r="G94" s="131">
        <v>1</v>
      </c>
      <c r="H94" s="161">
        <v>46178</v>
      </c>
      <c r="I94" s="126">
        <v>0</v>
      </c>
      <c r="J94" s="126">
        <v>150</v>
      </c>
      <c r="K94" s="126">
        <v>0</v>
      </c>
      <c r="L94" s="126">
        <v>0</v>
      </c>
      <c r="M94" s="126">
        <v>0</v>
      </c>
      <c r="N94" s="126">
        <v>0</v>
      </c>
      <c r="O94" s="126">
        <v>0</v>
      </c>
      <c r="P94" s="126">
        <v>0</v>
      </c>
      <c r="Q94" s="126">
        <v>0</v>
      </c>
    </row>
    <row r="95" spans="3:17" ht="23.1" customHeight="1">
      <c r="C95" s="126">
        <v>179</v>
      </c>
      <c r="D95" s="141" t="s">
        <v>564</v>
      </c>
      <c r="E95" s="159" t="s">
        <v>565</v>
      </c>
      <c r="F95" s="131">
        <v>1</v>
      </c>
      <c r="G95" s="131">
        <v>1</v>
      </c>
      <c r="H95" s="161">
        <v>46178</v>
      </c>
      <c r="I95" s="126">
        <v>0</v>
      </c>
      <c r="J95" s="126">
        <v>300</v>
      </c>
      <c r="K95" s="126">
        <v>0</v>
      </c>
      <c r="L95" s="126">
        <v>0</v>
      </c>
      <c r="M95" s="126">
        <v>0</v>
      </c>
      <c r="N95" s="126">
        <v>0</v>
      </c>
      <c r="O95" s="126">
        <v>0</v>
      </c>
      <c r="P95" s="126">
        <v>0</v>
      </c>
      <c r="Q95" s="126">
        <v>0</v>
      </c>
    </row>
    <row r="96" spans="3:17" ht="23.1" customHeight="1">
      <c r="C96" s="126">
        <v>178</v>
      </c>
      <c r="D96" s="141" t="s">
        <v>755</v>
      </c>
      <c r="E96" s="159" t="s">
        <v>756</v>
      </c>
      <c r="F96" s="131">
        <v>1</v>
      </c>
      <c r="G96" s="131">
        <v>1</v>
      </c>
      <c r="H96" s="161">
        <v>46179</v>
      </c>
      <c r="I96" s="126">
        <v>0</v>
      </c>
      <c r="J96" s="126">
        <v>250</v>
      </c>
      <c r="K96" s="126">
        <v>0</v>
      </c>
      <c r="L96" s="126">
        <v>0</v>
      </c>
      <c r="M96" s="126">
        <v>0</v>
      </c>
      <c r="N96" s="126">
        <v>0</v>
      </c>
      <c r="O96" s="126">
        <v>0</v>
      </c>
      <c r="P96" s="126">
        <v>0</v>
      </c>
      <c r="Q96" s="126">
        <v>0</v>
      </c>
    </row>
    <row r="97" spans="3:17" ht="23.1" customHeight="1">
      <c r="C97" s="126">
        <v>197</v>
      </c>
      <c r="D97" s="141" t="s">
        <v>652</v>
      </c>
      <c r="E97" s="159" t="s">
        <v>653</v>
      </c>
      <c r="F97" s="131">
        <v>1</v>
      </c>
      <c r="G97" s="131">
        <v>1</v>
      </c>
      <c r="H97" s="161">
        <v>46179</v>
      </c>
      <c r="I97" s="126">
        <v>0</v>
      </c>
      <c r="J97" s="126">
        <v>12</v>
      </c>
      <c r="K97" s="126">
        <v>0</v>
      </c>
      <c r="L97" s="126">
        <v>0</v>
      </c>
      <c r="M97" s="126">
        <v>0</v>
      </c>
      <c r="N97" s="126">
        <v>0</v>
      </c>
      <c r="O97" s="126">
        <v>0</v>
      </c>
      <c r="P97" s="126">
        <v>0</v>
      </c>
      <c r="Q97" s="126">
        <v>0</v>
      </c>
    </row>
    <row r="98" spans="3:17" ht="23.1" customHeight="1">
      <c r="C98" s="126">
        <v>52</v>
      </c>
      <c r="D98" s="141" t="s">
        <v>933</v>
      </c>
      <c r="E98" s="159" t="s">
        <v>934</v>
      </c>
      <c r="F98" s="131">
        <v>1</v>
      </c>
      <c r="G98" s="131">
        <v>1</v>
      </c>
      <c r="H98" s="161">
        <v>46179</v>
      </c>
      <c r="I98" s="126">
        <v>0</v>
      </c>
      <c r="J98" s="126">
        <v>11</v>
      </c>
      <c r="K98" s="126">
        <v>0</v>
      </c>
      <c r="L98" s="126">
        <v>0</v>
      </c>
      <c r="M98" s="126">
        <v>0</v>
      </c>
      <c r="N98" s="126">
        <v>0</v>
      </c>
      <c r="O98" s="126">
        <v>0</v>
      </c>
      <c r="P98" s="126">
        <v>0</v>
      </c>
      <c r="Q98" s="126">
        <v>0</v>
      </c>
    </row>
    <row r="99" spans="3:17" ht="23.1" customHeight="1">
      <c r="C99" s="126">
        <v>177</v>
      </c>
      <c r="D99" s="141" t="s">
        <v>752</v>
      </c>
      <c r="E99" s="159" t="s">
        <v>753</v>
      </c>
      <c r="F99" s="131">
        <v>1</v>
      </c>
      <c r="G99" s="131">
        <v>1</v>
      </c>
      <c r="H99" s="161">
        <v>46179</v>
      </c>
      <c r="I99" s="126">
        <v>0</v>
      </c>
      <c r="J99" s="126">
        <v>1000</v>
      </c>
      <c r="K99" s="126">
        <v>0</v>
      </c>
      <c r="L99" s="126">
        <v>0</v>
      </c>
      <c r="M99" s="126">
        <v>0</v>
      </c>
      <c r="N99" s="126">
        <v>0</v>
      </c>
      <c r="O99" s="126">
        <v>0</v>
      </c>
      <c r="P99" s="126">
        <v>0</v>
      </c>
      <c r="Q99" s="126">
        <v>0</v>
      </c>
    </row>
    <row r="100" spans="3:17" ht="23.1" customHeight="1">
      <c r="C100" s="126">
        <v>177</v>
      </c>
      <c r="D100" s="141" t="s">
        <v>752</v>
      </c>
      <c r="E100" s="159" t="s">
        <v>753</v>
      </c>
      <c r="F100" s="131">
        <v>1</v>
      </c>
      <c r="G100" s="131">
        <v>1</v>
      </c>
      <c r="H100" s="161">
        <v>46180</v>
      </c>
      <c r="I100" s="126">
        <v>0</v>
      </c>
      <c r="J100" s="126">
        <v>750</v>
      </c>
      <c r="K100" s="126">
        <v>0</v>
      </c>
      <c r="L100" s="126">
        <v>0</v>
      </c>
      <c r="M100" s="126">
        <v>0</v>
      </c>
      <c r="N100" s="126">
        <v>0</v>
      </c>
      <c r="O100" s="126">
        <v>0</v>
      </c>
      <c r="P100" s="126">
        <v>0</v>
      </c>
      <c r="Q100" s="126">
        <v>0</v>
      </c>
    </row>
    <row r="101" spans="3:17" ht="23.1" customHeight="1">
      <c r="C101" s="126">
        <v>183</v>
      </c>
      <c r="D101" s="141" t="s">
        <v>766</v>
      </c>
      <c r="E101" s="159" t="s">
        <v>767</v>
      </c>
      <c r="F101" s="131">
        <v>1</v>
      </c>
      <c r="G101" s="131">
        <v>1</v>
      </c>
      <c r="H101" s="161">
        <v>46180</v>
      </c>
      <c r="I101" s="126">
        <v>0</v>
      </c>
      <c r="J101" s="126">
        <v>60</v>
      </c>
      <c r="K101" s="126">
        <v>0</v>
      </c>
      <c r="L101" s="126">
        <v>0</v>
      </c>
      <c r="M101" s="126">
        <v>0</v>
      </c>
      <c r="N101" s="126">
        <v>0</v>
      </c>
      <c r="O101" s="126">
        <v>0</v>
      </c>
      <c r="P101" s="126">
        <v>0</v>
      </c>
      <c r="Q101" s="126">
        <v>0</v>
      </c>
    </row>
    <row r="102" spans="3:17" ht="23.1" customHeight="1">
      <c r="C102" s="126">
        <v>10</v>
      </c>
      <c r="D102" s="141" t="s">
        <v>586</v>
      </c>
      <c r="E102" s="159" t="s">
        <v>587</v>
      </c>
      <c r="F102" s="131">
        <v>1</v>
      </c>
      <c r="G102" s="131">
        <v>1</v>
      </c>
      <c r="H102" s="161">
        <v>46180</v>
      </c>
      <c r="I102" s="126">
        <v>0</v>
      </c>
      <c r="J102" s="126">
        <v>1</v>
      </c>
      <c r="K102" s="126">
        <v>0</v>
      </c>
      <c r="L102" s="126">
        <v>0</v>
      </c>
      <c r="M102" s="126">
        <v>0</v>
      </c>
      <c r="N102" s="126">
        <v>0</v>
      </c>
      <c r="O102" s="126">
        <v>0</v>
      </c>
      <c r="P102" s="126">
        <v>0</v>
      </c>
      <c r="Q102" s="126">
        <v>0</v>
      </c>
    </row>
    <row r="103" spans="3:17" ht="23.1" customHeight="1">
      <c r="C103" s="126">
        <v>11</v>
      </c>
      <c r="D103" s="141" t="s">
        <v>690</v>
      </c>
      <c r="E103" s="159" t="s">
        <v>691</v>
      </c>
      <c r="F103" s="131">
        <v>1</v>
      </c>
      <c r="G103" s="131">
        <v>1</v>
      </c>
      <c r="H103" s="161">
        <v>46180</v>
      </c>
      <c r="I103" s="126">
        <v>0</v>
      </c>
      <c r="J103" s="126">
        <v>5</v>
      </c>
      <c r="K103" s="126">
        <v>0</v>
      </c>
      <c r="L103" s="126">
        <v>0</v>
      </c>
      <c r="M103" s="126">
        <v>0</v>
      </c>
      <c r="N103" s="126">
        <v>0</v>
      </c>
      <c r="O103" s="126">
        <v>0</v>
      </c>
      <c r="P103" s="126">
        <v>0</v>
      </c>
      <c r="Q103" s="126">
        <v>0</v>
      </c>
    </row>
    <row r="104" spans="3:17" ht="23.1" customHeight="1">
      <c r="C104" s="126">
        <v>19</v>
      </c>
      <c r="D104" s="141" t="s">
        <v>706</v>
      </c>
      <c r="E104" s="159" t="s">
        <v>707</v>
      </c>
      <c r="F104" s="131">
        <v>1</v>
      </c>
      <c r="G104" s="131">
        <v>1</v>
      </c>
      <c r="H104" s="161">
        <v>46181</v>
      </c>
      <c r="I104" s="126">
        <v>0</v>
      </c>
      <c r="J104" s="126">
        <v>1</v>
      </c>
      <c r="K104" s="126">
        <v>0</v>
      </c>
      <c r="L104" s="126">
        <v>0</v>
      </c>
      <c r="M104" s="126">
        <v>0</v>
      </c>
      <c r="N104" s="126">
        <v>0</v>
      </c>
      <c r="O104" s="126">
        <v>0</v>
      </c>
      <c r="P104" s="126">
        <v>0</v>
      </c>
      <c r="Q104" s="126">
        <v>0</v>
      </c>
    </row>
    <row r="105" spans="3:17" ht="23.1" customHeight="1">
      <c r="C105" s="126">
        <v>42</v>
      </c>
      <c r="D105" s="141" t="s">
        <v>975</v>
      </c>
      <c r="E105" s="159" t="s">
        <v>976</v>
      </c>
      <c r="F105" s="131">
        <v>1</v>
      </c>
      <c r="G105" s="131">
        <v>1</v>
      </c>
      <c r="H105" s="161">
        <v>46181</v>
      </c>
      <c r="I105" s="126">
        <v>0</v>
      </c>
      <c r="J105" s="126">
        <v>1</v>
      </c>
      <c r="K105" s="126">
        <v>0</v>
      </c>
      <c r="L105" s="126">
        <v>0</v>
      </c>
      <c r="M105" s="126">
        <v>0</v>
      </c>
      <c r="N105" s="126">
        <v>0</v>
      </c>
      <c r="O105" s="126">
        <v>0</v>
      </c>
      <c r="P105" s="126">
        <v>0</v>
      </c>
      <c r="Q105" s="126">
        <v>0</v>
      </c>
    </row>
    <row r="106" spans="3:17" ht="23.1" customHeight="1">
      <c r="C106" s="126">
        <v>45</v>
      </c>
      <c r="D106" s="141" t="s">
        <v>980</v>
      </c>
      <c r="E106" s="159" t="s">
        <v>981</v>
      </c>
      <c r="F106" s="131">
        <v>1</v>
      </c>
      <c r="G106" s="131">
        <v>1</v>
      </c>
      <c r="H106" s="161">
        <v>46181</v>
      </c>
      <c r="I106" s="126">
        <v>0</v>
      </c>
      <c r="J106" s="126">
        <v>12</v>
      </c>
      <c r="K106" s="126">
        <v>0</v>
      </c>
      <c r="L106" s="126">
        <v>0</v>
      </c>
      <c r="M106" s="126">
        <v>0</v>
      </c>
      <c r="N106" s="126">
        <v>0</v>
      </c>
      <c r="O106" s="126">
        <v>0</v>
      </c>
      <c r="P106" s="126">
        <v>0</v>
      </c>
      <c r="Q106" s="126">
        <v>0</v>
      </c>
    </row>
    <row r="107" spans="3:17" ht="23.1" customHeight="1">
      <c r="C107" s="126">
        <v>183</v>
      </c>
      <c r="D107" s="141" t="s">
        <v>766</v>
      </c>
      <c r="E107" s="159" t="s">
        <v>767</v>
      </c>
      <c r="F107" s="131">
        <v>1</v>
      </c>
      <c r="G107" s="131">
        <v>1</v>
      </c>
      <c r="H107" s="161">
        <v>46181</v>
      </c>
      <c r="I107" s="126">
        <v>0</v>
      </c>
      <c r="J107" s="126">
        <v>120</v>
      </c>
      <c r="K107" s="126">
        <v>0</v>
      </c>
      <c r="L107" s="126">
        <v>0</v>
      </c>
      <c r="M107" s="126">
        <v>0</v>
      </c>
      <c r="N107" s="126">
        <v>0</v>
      </c>
      <c r="O107" s="126">
        <v>0</v>
      </c>
      <c r="P107" s="126">
        <v>0</v>
      </c>
      <c r="Q107" s="126">
        <v>0</v>
      </c>
    </row>
    <row r="108" spans="3:17" ht="23.1" customHeight="1">
      <c r="C108" s="126">
        <v>16</v>
      </c>
      <c r="D108" s="141" t="s">
        <v>699</v>
      </c>
      <c r="E108" s="159" t="s">
        <v>700</v>
      </c>
      <c r="F108" s="131">
        <v>1</v>
      </c>
      <c r="G108" s="131">
        <v>1</v>
      </c>
      <c r="H108" s="161">
        <v>46181</v>
      </c>
      <c r="I108" s="126">
        <v>0</v>
      </c>
      <c r="J108" s="126">
        <v>8</v>
      </c>
      <c r="K108" s="126">
        <v>0</v>
      </c>
      <c r="L108" s="126">
        <v>0</v>
      </c>
      <c r="M108" s="126">
        <v>0</v>
      </c>
      <c r="N108" s="126">
        <v>0</v>
      </c>
      <c r="O108" s="126">
        <v>0</v>
      </c>
      <c r="P108" s="126">
        <v>0</v>
      </c>
      <c r="Q108" s="126">
        <v>0</v>
      </c>
    </row>
    <row r="109" spans="3:17" ht="23.1" customHeight="1">
      <c r="C109" s="126">
        <v>41</v>
      </c>
      <c r="D109" s="141" t="s">
        <v>808</v>
      </c>
      <c r="E109" s="159" t="s">
        <v>809</v>
      </c>
      <c r="F109" s="131">
        <v>1</v>
      </c>
      <c r="G109" s="131">
        <v>1</v>
      </c>
      <c r="H109" s="161">
        <v>46181</v>
      </c>
      <c r="I109" s="126">
        <v>0</v>
      </c>
      <c r="J109" s="126">
        <v>2</v>
      </c>
      <c r="K109" s="126">
        <v>0</v>
      </c>
      <c r="L109" s="126">
        <v>0</v>
      </c>
      <c r="M109" s="126">
        <v>0</v>
      </c>
      <c r="N109" s="126">
        <v>0</v>
      </c>
      <c r="O109" s="126">
        <v>0</v>
      </c>
      <c r="P109" s="126">
        <v>0</v>
      </c>
      <c r="Q109" s="126">
        <v>0</v>
      </c>
    </row>
    <row r="110" spans="3:17" ht="23.1" customHeight="1">
      <c r="C110" s="126">
        <v>144</v>
      </c>
      <c r="D110" s="141" t="s">
        <v>996</v>
      </c>
      <c r="E110" s="159" t="s">
        <v>997</v>
      </c>
      <c r="F110" s="131">
        <v>1</v>
      </c>
      <c r="G110" s="131">
        <v>1</v>
      </c>
      <c r="H110" s="161">
        <v>46181</v>
      </c>
      <c r="I110" s="126">
        <v>0</v>
      </c>
      <c r="J110" s="126">
        <v>8</v>
      </c>
      <c r="K110" s="126">
        <v>0</v>
      </c>
      <c r="L110" s="126">
        <v>0</v>
      </c>
      <c r="M110" s="126">
        <v>0</v>
      </c>
      <c r="N110" s="126">
        <v>0</v>
      </c>
      <c r="O110" s="126">
        <v>0</v>
      </c>
      <c r="P110" s="126">
        <v>0</v>
      </c>
      <c r="Q110" s="126">
        <v>0</v>
      </c>
    </row>
    <row r="111" spans="3:17" ht="23.1" customHeight="1">
      <c r="C111" s="126">
        <v>155</v>
      </c>
      <c r="D111" s="141" t="s">
        <v>667</v>
      </c>
      <c r="E111" s="159" t="s">
        <v>668</v>
      </c>
      <c r="F111" s="131">
        <v>1</v>
      </c>
      <c r="G111" s="131">
        <v>1</v>
      </c>
      <c r="H111" s="161">
        <v>46181</v>
      </c>
      <c r="I111" s="126">
        <v>0</v>
      </c>
      <c r="J111" s="126">
        <v>2</v>
      </c>
      <c r="K111" s="126">
        <v>0</v>
      </c>
      <c r="L111" s="126">
        <v>0</v>
      </c>
      <c r="M111" s="126">
        <v>0</v>
      </c>
      <c r="N111" s="126">
        <v>0</v>
      </c>
      <c r="O111" s="126">
        <v>0</v>
      </c>
      <c r="P111" s="126">
        <v>0</v>
      </c>
      <c r="Q111" s="126">
        <v>0</v>
      </c>
    </row>
    <row r="112" spans="3:17" ht="23.1" customHeight="1">
      <c r="C112" s="126">
        <v>189</v>
      </c>
      <c r="D112" s="141" t="s">
        <v>778</v>
      </c>
      <c r="E112" s="159" t="s">
        <v>779</v>
      </c>
      <c r="F112" s="131">
        <v>1</v>
      </c>
      <c r="G112" s="131">
        <v>1</v>
      </c>
      <c r="H112" s="161">
        <v>46181</v>
      </c>
      <c r="I112" s="126">
        <v>0</v>
      </c>
      <c r="J112" s="126">
        <v>32</v>
      </c>
      <c r="K112" s="126">
        <v>0</v>
      </c>
      <c r="L112" s="126">
        <v>0</v>
      </c>
      <c r="M112" s="126">
        <v>0</v>
      </c>
      <c r="N112" s="126">
        <v>0</v>
      </c>
      <c r="O112" s="126">
        <v>0</v>
      </c>
      <c r="P112" s="126">
        <v>0</v>
      </c>
      <c r="Q112" s="126">
        <v>0</v>
      </c>
    </row>
    <row r="113" spans="3:17" ht="23.1" customHeight="1">
      <c r="C113" s="126">
        <v>108</v>
      </c>
      <c r="D113" s="141" t="s">
        <v>1009</v>
      </c>
      <c r="E113" s="159" t="s">
        <v>1010</v>
      </c>
      <c r="F113" s="131">
        <v>1</v>
      </c>
      <c r="G113" s="131">
        <v>1</v>
      </c>
      <c r="H113" s="161">
        <v>46181</v>
      </c>
      <c r="I113" s="126">
        <v>0</v>
      </c>
      <c r="J113" s="126">
        <v>4</v>
      </c>
      <c r="K113" s="126">
        <v>0</v>
      </c>
      <c r="L113" s="126">
        <v>0</v>
      </c>
      <c r="M113" s="126">
        <v>0</v>
      </c>
      <c r="N113" s="126">
        <v>0</v>
      </c>
      <c r="O113" s="126">
        <v>0</v>
      </c>
      <c r="P113" s="126">
        <v>0</v>
      </c>
      <c r="Q113" s="126">
        <v>0</v>
      </c>
    </row>
    <row r="114" spans="3:17" ht="23.1" customHeight="1">
      <c r="C114" s="126">
        <v>177</v>
      </c>
      <c r="D114" s="141" t="s">
        <v>752</v>
      </c>
      <c r="E114" s="159" t="s">
        <v>753</v>
      </c>
      <c r="F114" s="131">
        <v>1</v>
      </c>
      <c r="G114" s="131">
        <v>1</v>
      </c>
      <c r="H114" s="161">
        <v>46182</v>
      </c>
      <c r="I114" s="126">
        <v>0</v>
      </c>
      <c r="J114" s="126">
        <v>1200</v>
      </c>
      <c r="K114" s="126">
        <v>0</v>
      </c>
      <c r="L114" s="126">
        <v>0</v>
      </c>
      <c r="M114" s="126">
        <v>0</v>
      </c>
      <c r="N114" s="126">
        <v>0</v>
      </c>
      <c r="O114" s="126">
        <v>0</v>
      </c>
      <c r="P114" s="126">
        <v>0</v>
      </c>
      <c r="Q114" s="126">
        <v>0</v>
      </c>
    </row>
    <row r="115" spans="3:17" ht="23.1" customHeight="1">
      <c r="C115" s="126">
        <v>193</v>
      </c>
      <c r="D115" s="141" t="s">
        <v>784</v>
      </c>
      <c r="E115" s="159" t="s">
        <v>785</v>
      </c>
      <c r="F115" s="131">
        <v>1</v>
      </c>
      <c r="G115" s="131">
        <v>1</v>
      </c>
      <c r="H115" s="161">
        <v>46182</v>
      </c>
      <c r="I115" s="126">
        <v>0</v>
      </c>
      <c r="J115" s="126">
        <v>20</v>
      </c>
      <c r="K115" s="126">
        <v>0</v>
      </c>
      <c r="L115" s="126">
        <v>0</v>
      </c>
      <c r="M115" s="126">
        <v>0</v>
      </c>
      <c r="N115" s="126">
        <v>0</v>
      </c>
      <c r="O115" s="126">
        <v>0</v>
      </c>
      <c r="P115" s="126">
        <v>0</v>
      </c>
      <c r="Q115" s="126">
        <v>0</v>
      </c>
    </row>
    <row r="116" spans="3:17" ht="23.1" customHeight="1">
      <c r="C116" s="126">
        <v>103</v>
      </c>
      <c r="D116" s="141" t="s">
        <v>1024</v>
      </c>
      <c r="E116" s="159" t="s">
        <v>1025</v>
      </c>
      <c r="F116" s="131">
        <v>1</v>
      </c>
      <c r="G116" s="131">
        <v>1</v>
      </c>
      <c r="H116" s="161">
        <v>46182</v>
      </c>
      <c r="I116" s="126">
        <v>0</v>
      </c>
      <c r="J116" s="126">
        <v>2</v>
      </c>
      <c r="K116" s="126">
        <v>0</v>
      </c>
      <c r="L116" s="126">
        <v>0</v>
      </c>
      <c r="M116" s="126">
        <v>0</v>
      </c>
      <c r="N116" s="126">
        <v>0</v>
      </c>
      <c r="O116" s="126">
        <v>0</v>
      </c>
      <c r="P116" s="126">
        <v>0</v>
      </c>
      <c r="Q116" s="126">
        <v>0</v>
      </c>
    </row>
    <row r="117" spans="3:17" ht="23.1" customHeight="1">
      <c r="C117" s="126">
        <v>167</v>
      </c>
      <c r="D117" s="141" t="s">
        <v>1029</v>
      </c>
      <c r="E117" s="159" t="s">
        <v>1030</v>
      </c>
      <c r="F117" s="131">
        <v>1</v>
      </c>
      <c r="G117" s="131">
        <v>1</v>
      </c>
      <c r="H117" s="161">
        <v>46182</v>
      </c>
      <c r="I117" s="126">
        <v>0</v>
      </c>
      <c r="J117" s="126">
        <v>2</v>
      </c>
      <c r="K117" s="126">
        <v>0</v>
      </c>
      <c r="L117" s="126">
        <v>0</v>
      </c>
      <c r="M117" s="126">
        <v>0</v>
      </c>
      <c r="N117" s="126">
        <v>0</v>
      </c>
      <c r="O117" s="126">
        <v>0</v>
      </c>
      <c r="P117" s="126">
        <v>0</v>
      </c>
      <c r="Q117" s="126">
        <v>0</v>
      </c>
    </row>
    <row r="118" spans="3:17" ht="23.1" customHeight="1">
      <c r="C118" s="126">
        <v>184</v>
      </c>
      <c r="D118" s="141" t="s">
        <v>769</v>
      </c>
      <c r="E118" s="159" t="s">
        <v>770</v>
      </c>
      <c r="F118" s="131">
        <v>1</v>
      </c>
      <c r="G118" s="131">
        <v>1</v>
      </c>
      <c r="H118" s="161">
        <v>46182</v>
      </c>
      <c r="I118" s="126">
        <v>0</v>
      </c>
      <c r="J118" s="126">
        <v>24</v>
      </c>
      <c r="K118" s="126">
        <v>0</v>
      </c>
      <c r="L118" s="126">
        <v>0</v>
      </c>
      <c r="M118" s="126">
        <v>0</v>
      </c>
      <c r="N118" s="126">
        <v>0</v>
      </c>
      <c r="O118" s="126">
        <v>0</v>
      </c>
      <c r="P118" s="126">
        <v>0</v>
      </c>
      <c r="Q118" s="126">
        <v>0</v>
      </c>
    </row>
    <row r="119" spans="3:17" ht="23.1" customHeight="1">
      <c r="C119" s="126">
        <v>63</v>
      </c>
      <c r="D119" s="141" t="s">
        <v>1037</v>
      </c>
      <c r="E119" s="159" t="s">
        <v>1038</v>
      </c>
      <c r="F119" s="131">
        <v>1</v>
      </c>
      <c r="G119" s="131">
        <v>1</v>
      </c>
      <c r="H119" s="161">
        <v>46182</v>
      </c>
      <c r="I119" s="126">
        <v>0</v>
      </c>
      <c r="J119" s="126">
        <v>1</v>
      </c>
      <c r="K119" s="126">
        <v>0</v>
      </c>
      <c r="L119" s="126">
        <v>0</v>
      </c>
      <c r="M119" s="126">
        <v>0</v>
      </c>
      <c r="N119" s="126">
        <v>0</v>
      </c>
      <c r="O119" s="126">
        <v>0</v>
      </c>
      <c r="P119" s="126">
        <v>0</v>
      </c>
      <c r="Q119" s="126">
        <v>0</v>
      </c>
    </row>
    <row r="120" spans="3:17" ht="23.1" customHeight="1">
      <c r="C120" s="126">
        <v>182</v>
      </c>
      <c r="D120" s="141" t="s">
        <v>627</v>
      </c>
      <c r="E120" s="159" t="s">
        <v>628</v>
      </c>
      <c r="F120" s="131">
        <v>1</v>
      </c>
      <c r="G120" s="131">
        <v>1</v>
      </c>
      <c r="H120" s="161">
        <v>46182</v>
      </c>
      <c r="I120" s="126">
        <v>0</v>
      </c>
      <c r="J120" s="126">
        <v>24</v>
      </c>
      <c r="K120" s="126">
        <v>0</v>
      </c>
      <c r="L120" s="126">
        <v>0</v>
      </c>
      <c r="M120" s="126">
        <v>0</v>
      </c>
      <c r="N120" s="126">
        <v>0</v>
      </c>
      <c r="O120" s="126">
        <v>0</v>
      </c>
      <c r="P120" s="126">
        <v>0</v>
      </c>
      <c r="Q120" s="126">
        <v>0</v>
      </c>
    </row>
    <row r="121" spans="3:17" ht="23.1" customHeight="1">
      <c r="C121" s="126">
        <v>187</v>
      </c>
      <c r="D121" s="141" t="s">
        <v>576</v>
      </c>
      <c r="E121" s="159" t="s">
        <v>577</v>
      </c>
      <c r="F121" s="131">
        <v>1</v>
      </c>
      <c r="G121" s="131">
        <v>1</v>
      </c>
      <c r="H121" s="161">
        <v>46182</v>
      </c>
      <c r="I121" s="126">
        <v>0</v>
      </c>
      <c r="J121" s="126">
        <v>8</v>
      </c>
      <c r="K121" s="126">
        <v>0</v>
      </c>
      <c r="L121" s="126">
        <v>0</v>
      </c>
      <c r="M121" s="126">
        <v>0</v>
      </c>
      <c r="N121" s="126">
        <v>0</v>
      </c>
      <c r="O121" s="126">
        <v>0</v>
      </c>
      <c r="P121" s="126">
        <v>0</v>
      </c>
      <c r="Q121" s="126">
        <v>0</v>
      </c>
    </row>
    <row r="122" spans="3:17" ht="23.1" customHeight="1">
      <c r="C122" s="126">
        <v>195</v>
      </c>
      <c r="D122" s="141" t="s">
        <v>608</v>
      </c>
      <c r="E122" s="159" t="s">
        <v>609</v>
      </c>
      <c r="F122" s="131">
        <v>1</v>
      </c>
      <c r="G122" s="131">
        <v>1</v>
      </c>
      <c r="H122" s="161">
        <v>46182</v>
      </c>
      <c r="I122" s="126">
        <v>0</v>
      </c>
      <c r="J122" s="126">
        <v>4</v>
      </c>
      <c r="K122" s="126">
        <v>0</v>
      </c>
      <c r="L122" s="126">
        <v>0</v>
      </c>
      <c r="M122" s="126">
        <v>0</v>
      </c>
      <c r="N122" s="126">
        <v>0</v>
      </c>
      <c r="O122" s="126">
        <v>0</v>
      </c>
      <c r="P122" s="126">
        <v>0</v>
      </c>
      <c r="Q122" s="126">
        <v>0</v>
      </c>
    </row>
    <row r="123" spans="3:17" ht="23.1" customHeight="1">
      <c r="C123" s="126">
        <v>22</v>
      </c>
      <c r="D123" s="141" t="s">
        <v>642</v>
      </c>
      <c r="E123" s="159" t="s">
        <v>643</v>
      </c>
      <c r="F123" s="131">
        <v>1</v>
      </c>
      <c r="G123" s="131">
        <v>1</v>
      </c>
      <c r="H123" s="161">
        <v>46182</v>
      </c>
      <c r="I123" s="126">
        <v>0</v>
      </c>
      <c r="J123" s="126">
        <v>1</v>
      </c>
      <c r="K123" s="126">
        <v>0</v>
      </c>
      <c r="L123" s="126">
        <v>0</v>
      </c>
      <c r="M123" s="126">
        <v>0</v>
      </c>
      <c r="N123" s="126">
        <v>0</v>
      </c>
      <c r="O123" s="126">
        <v>0</v>
      </c>
      <c r="P123" s="126">
        <v>0</v>
      </c>
      <c r="Q123" s="126">
        <v>0</v>
      </c>
    </row>
    <row r="124" spans="3:17" ht="23.1" customHeight="1">
      <c r="C124" s="126">
        <v>177</v>
      </c>
      <c r="D124" s="141" t="s">
        <v>752</v>
      </c>
      <c r="E124" s="159" t="s">
        <v>753</v>
      </c>
      <c r="F124" s="131">
        <v>1</v>
      </c>
      <c r="G124" s="131">
        <v>1</v>
      </c>
      <c r="H124" s="161">
        <v>46183</v>
      </c>
      <c r="I124" s="126">
        <v>0</v>
      </c>
      <c r="J124" s="126">
        <v>500</v>
      </c>
      <c r="K124" s="126">
        <v>0</v>
      </c>
      <c r="L124" s="126">
        <v>0</v>
      </c>
      <c r="M124" s="126">
        <v>0</v>
      </c>
      <c r="N124" s="126">
        <v>0</v>
      </c>
      <c r="O124" s="126">
        <v>0</v>
      </c>
      <c r="P124" s="126">
        <v>0</v>
      </c>
      <c r="Q124" s="126">
        <v>0</v>
      </c>
    </row>
    <row r="125" spans="3:17" ht="23.1" customHeight="1">
      <c r="C125" s="126">
        <v>178</v>
      </c>
      <c r="D125" s="141" t="s">
        <v>755</v>
      </c>
      <c r="E125" s="159" t="s">
        <v>756</v>
      </c>
      <c r="F125" s="131">
        <v>1</v>
      </c>
      <c r="G125" s="131">
        <v>1</v>
      </c>
      <c r="H125" s="161">
        <v>46183</v>
      </c>
      <c r="I125" s="126">
        <v>0</v>
      </c>
      <c r="J125" s="126">
        <v>300</v>
      </c>
      <c r="K125" s="126">
        <v>0</v>
      </c>
      <c r="L125" s="126">
        <v>0</v>
      </c>
      <c r="M125" s="126">
        <v>0</v>
      </c>
      <c r="N125" s="126">
        <v>0</v>
      </c>
      <c r="O125" s="126">
        <v>0</v>
      </c>
      <c r="P125" s="126">
        <v>0</v>
      </c>
      <c r="Q125" s="126">
        <v>0</v>
      </c>
    </row>
    <row r="126" spans="3:17" ht="23.1" customHeight="1">
      <c r="C126" s="126">
        <v>183</v>
      </c>
      <c r="D126" s="141" t="s">
        <v>766</v>
      </c>
      <c r="E126" s="159" t="s">
        <v>767</v>
      </c>
      <c r="F126" s="131">
        <v>1</v>
      </c>
      <c r="G126" s="131">
        <v>1</v>
      </c>
      <c r="H126" s="161">
        <v>46183</v>
      </c>
      <c r="I126" s="126">
        <v>0</v>
      </c>
      <c r="J126" s="126">
        <v>24</v>
      </c>
      <c r="K126" s="126">
        <v>0</v>
      </c>
      <c r="L126" s="126">
        <v>0</v>
      </c>
      <c r="M126" s="126">
        <v>0</v>
      </c>
      <c r="N126" s="126">
        <v>0</v>
      </c>
      <c r="O126" s="126">
        <v>0</v>
      </c>
      <c r="P126" s="126">
        <v>0</v>
      </c>
      <c r="Q126" s="126">
        <v>0</v>
      </c>
    </row>
    <row r="127" spans="3:17" ht="23.1" customHeight="1">
      <c r="C127" s="126">
        <v>184</v>
      </c>
      <c r="D127" s="141" t="s">
        <v>769</v>
      </c>
      <c r="E127" s="159" t="s">
        <v>770</v>
      </c>
      <c r="F127" s="131">
        <v>1</v>
      </c>
      <c r="G127" s="131">
        <v>1</v>
      </c>
      <c r="H127" s="161">
        <v>46183</v>
      </c>
      <c r="I127" s="126">
        <v>0</v>
      </c>
      <c r="J127" s="126">
        <v>120</v>
      </c>
      <c r="K127" s="126">
        <v>0</v>
      </c>
      <c r="L127" s="126">
        <v>0</v>
      </c>
      <c r="M127" s="126">
        <v>0</v>
      </c>
      <c r="N127" s="126">
        <v>0</v>
      </c>
      <c r="O127" s="126">
        <v>0</v>
      </c>
      <c r="P127" s="126">
        <v>0</v>
      </c>
      <c r="Q127" s="126">
        <v>0</v>
      </c>
    </row>
    <row r="128" spans="3:17" ht="23.1" customHeight="1">
      <c r="C128" s="126">
        <v>19</v>
      </c>
      <c r="D128" s="141" t="s">
        <v>706</v>
      </c>
      <c r="E128" s="159" t="s">
        <v>707</v>
      </c>
      <c r="F128" s="131">
        <v>1</v>
      </c>
      <c r="G128" s="131">
        <v>1</v>
      </c>
      <c r="H128" s="161">
        <v>46183</v>
      </c>
      <c r="I128" s="126">
        <v>0</v>
      </c>
      <c r="J128" s="126">
        <v>2</v>
      </c>
      <c r="K128" s="126">
        <v>0</v>
      </c>
      <c r="L128" s="126">
        <v>0</v>
      </c>
      <c r="M128" s="126">
        <v>0</v>
      </c>
      <c r="N128" s="126">
        <v>0</v>
      </c>
      <c r="O128" s="126">
        <v>0</v>
      </c>
      <c r="P128" s="126">
        <v>0</v>
      </c>
      <c r="Q128" s="126">
        <v>0</v>
      </c>
    </row>
    <row r="129" spans="3:17" ht="23.1" customHeight="1">
      <c r="C129" s="126">
        <v>14</v>
      </c>
      <c r="D129" s="141" t="s">
        <v>696</v>
      </c>
      <c r="E129" s="159" t="s">
        <v>697</v>
      </c>
      <c r="F129" s="131">
        <v>1</v>
      </c>
      <c r="G129" s="131">
        <v>1</v>
      </c>
      <c r="H129" s="161">
        <v>46183</v>
      </c>
      <c r="I129" s="126">
        <v>0</v>
      </c>
      <c r="J129" s="126">
        <v>1</v>
      </c>
      <c r="K129" s="126">
        <v>0</v>
      </c>
      <c r="L129" s="126">
        <v>0</v>
      </c>
      <c r="M129" s="126">
        <v>0</v>
      </c>
      <c r="N129" s="126">
        <v>0</v>
      </c>
      <c r="O129" s="126">
        <v>0</v>
      </c>
      <c r="P129" s="126">
        <v>0</v>
      </c>
      <c r="Q129" s="126">
        <v>0</v>
      </c>
    </row>
    <row r="130" spans="3:17" ht="23.1" customHeight="1">
      <c r="C130" s="126">
        <v>178</v>
      </c>
      <c r="D130" s="141" t="s">
        <v>755</v>
      </c>
      <c r="E130" s="159" t="s">
        <v>756</v>
      </c>
      <c r="F130" s="131">
        <v>1</v>
      </c>
      <c r="G130" s="131">
        <v>1</v>
      </c>
      <c r="H130" s="161">
        <v>46184</v>
      </c>
      <c r="I130" s="126">
        <v>0</v>
      </c>
      <c r="J130" s="126">
        <v>500</v>
      </c>
      <c r="K130" s="126">
        <v>0</v>
      </c>
      <c r="L130" s="126">
        <v>0</v>
      </c>
      <c r="M130" s="126">
        <v>0</v>
      </c>
      <c r="N130" s="126">
        <v>0</v>
      </c>
      <c r="O130" s="126">
        <v>0</v>
      </c>
      <c r="P130" s="126">
        <v>0</v>
      </c>
      <c r="Q130" s="126">
        <v>0</v>
      </c>
    </row>
    <row r="131" spans="3:17" ht="23.1" customHeight="1">
      <c r="C131" s="126">
        <v>17</v>
      </c>
      <c r="D131" s="141" t="s">
        <v>662</v>
      </c>
      <c r="E131" s="159" t="s">
        <v>663</v>
      </c>
      <c r="F131" s="131">
        <v>1</v>
      </c>
      <c r="G131" s="131">
        <v>1</v>
      </c>
      <c r="H131" s="161">
        <v>46184</v>
      </c>
      <c r="I131" s="126">
        <v>0</v>
      </c>
      <c r="J131" s="126">
        <v>3</v>
      </c>
      <c r="K131" s="126">
        <v>0</v>
      </c>
      <c r="L131" s="126">
        <v>0</v>
      </c>
      <c r="M131" s="126">
        <v>0</v>
      </c>
      <c r="N131" s="126">
        <v>0</v>
      </c>
      <c r="O131" s="126">
        <v>0</v>
      </c>
      <c r="P131" s="126">
        <v>0</v>
      </c>
      <c r="Q131" s="126">
        <v>0</v>
      </c>
    </row>
    <row r="132" spans="3:17" ht="23.1" customHeight="1">
      <c r="C132" s="126">
        <v>70</v>
      </c>
      <c r="D132" s="141" t="s">
        <v>906</v>
      </c>
      <c r="E132" s="159" t="s">
        <v>907</v>
      </c>
      <c r="F132" s="131">
        <v>1</v>
      </c>
      <c r="G132" s="131">
        <v>1</v>
      </c>
      <c r="H132" s="161">
        <v>46184</v>
      </c>
      <c r="I132" s="126">
        <v>0</v>
      </c>
      <c r="J132" s="126">
        <v>1</v>
      </c>
      <c r="K132" s="126">
        <v>0</v>
      </c>
      <c r="L132" s="126">
        <v>0</v>
      </c>
      <c r="M132" s="126">
        <v>0</v>
      </c>
      <c r="N132" s="126">
        <v>0</v>
      </c>
      <c r="O132" s="126">
        <v>0</v>
      </c>
      <c r="P132" s="126">
        <v>0</v>
      </c>
      <c r="Q132" s="126">
        <v>0</v>
      </c>
    </row>
    <row r="133" spans="3:17" ht="23.1" customHeight="1">
      <c r="C133" s="126">
        <v>181</v>
      </c>
      <c r="D133" s="141" t="s">
        <v>761</v>
      </c>
      <c r="E133" s="159" t="s">
        <v>762</v>
      </c>
      <c r="F133" s="131">
        <v>1</v>
      </c>
      <c r="G133" s="131">
        <v>1</v>
      </c>
      <c r="H133" s="161">
        <v>46184</v>
      </c>
      <c r="I133" s="126">
        <v>0</v>
      </c>
      <c r="J133" s="126">
        <v>36</v>
      </c>
      <c r="K133" s="126">
        <v>0</v>
      </c>
      <c r="L133" s="126">
        <v>0</v>
      </c>
      <c r="M133" s="126">
        <v>0</v>
      </c>
      <c r="N133" s="126">
        <v>0</v>
      </c>
      <c r="O133" s="126">
        <v>0</v>
      </c>
      <c r="P133" s="126">
        <v>0</v>
      </c>
      <c r="Q133" s="126">
        <v>0</v>
      </c>
    </row>
    <row r="134" spans="3:17" ht="23.1" customHeight="1">
      <c r="C134" s="126">
        <v>40</v>
      </c>
      <c r="D134" s="141" t="s">
        <v>1108</v>
      </c>
      <c r="E134" s="159" t="s">
        <v>1109</v>
      </c>
      <c r="F134" s="131">
        <v>1</v>
      </c>
      <c r="G134" s="131">
        <v>1</v>
      </c>
      <c r="H134" s="161">
        <v>46184</v>
      </c>
      <c r="I134" s="126">
        <v>0</v>
      </c>
      <c r="J134" s="126">
        <v>2</v>
      </c>
      <c r="K134" s="126">
        <v>0</v>
      </c>
      <c r="L134" s="126">
        <v>0</v>
      </c>
      <c r="M134" s="126">
        <v>0</v>
      </c>
      <c r="N134" s="126">
        <v>0</v>
      </c>
      <c r="O134" s="126">
        <v>0</v>
      </c>
      <c r="P134" s="126">
        <v>0</v>
      </c>
      <c r="Q134" s="126">
        <v>0</v>
      </c>
    </row>
    <row r="135" spans="3:17" ht="23.1" customHeight="1">
      <c r="C135" s="126">
        <v>38</v>
      </c>
      <c r="D135" s="141" t="s">
        <v>1113</v>
      </c>
      <c r="E135" s="159" t="s">
        <v>1114</v>
      </c>
      <c r="F135" s="131">
        <v>1</v>
      </c>
      <c r="G135" s="131">
        <v>1</v>
      </c>
      <c r="H135" s="161">
        <v>46184</v>
      </c>
      <c r="I135" s="126">
        <v>0</v>
      </c>
      <c r="J135" s="126">
        <v>2</v>
      </c>
      <c r="K135" s="126">
        <v>0</v>
      </c>
      <c r="L135" s="126">
        <v>0</v>
      </c>
      <c r="M135" s="126">
        <v>0</v>
      </c>
      <c r="N135" s="126">
        <v>0</v>
      </c>
      <c r="O135" s="126">
        <v>0</v>
      </c>
      <c r="P135" s="126">
        <v>0</v>
      </c>
      <c r="Q135" s="126">
        <v>0</v>
      </c>
    </row>
    <row r="136" spans="3:17" ht="23.1" customHeight="1">
      <c r="C136" s="126">
        <v>5</v>
      </c>
      <c r="D136" s="141" t="s">
        <v>686</v>
      </c>
      <c r="E136" s="159" t="s">
        <v>687</v>
      </c>
      <c r="F136" s="131">
        <v>1</v>
      </c>
      <c r="G136" s="131">
        <v>1</v>
      </c>
      <c r="H136" s="161">
        <v>46184</v>
      </c>
      <c r="I136" s="126">
        <v>0</v>
      </c>
      <c r="J136" s="126">
        <v>1</v>
      </c>
      <c r="K136" s="126">
        <v>0</v>
      </c>
      <c r="L136" s="126">
        <v>0</v>
      </c>
      <c r="M136" s="126">
        <v>0</v>
      </c>
      <c r="N136" s="126">
        <v>0</v>
      </c>
      <c r="O136" s="126">
        <v>0</v>
      </c>
      <c r="P136" s="126">
        <v>0</v>
      </c>
      <c r="Q136" s="126">
        <v>0</v>
      </c>
    </row>
    <row r="137" spans="3:17" ht="23.1" customHeight="1">
      <c r="C137" s="126">
        <v>182</v>
      </c>
      <c r="D137" s="141" t="s">
        <v>627</v>
      </c>
      <c r="E137" s="159" t="s">
        <v>628</v>
      </c>
      <c r="F137" s="131">
        <v>1</v>
      </c>
      <c r="G137" s="131">
        <v>1</v>
      </c>
      <c r="H137" s="161">
        <v>46184</v>
      </c>
      <c r="I137" s="126">
        <v>0</v>
      </c>
      <c r="J137" s="126">
        <v>36</v>
      </c>
      <c r="K137" s="126">
        <v>0</v>
      </c>
      <c r="L137" s="126">
        <v>0</v>
      </c>
      <c r="M137" s="126">
        <v>0</v>
      </c>
      <c r="N137" s="126">
        <v>0</v>
      </c>
      <c r="O137" s="126">
        <v>0</v>
      </c>
      <c r="P137" s="126">
        <v>0</v>
      </c>
      <c r="Q137" s="126">
        <v>0</v>
      </c>
    </row>
    <row r="138" spans="3:17" ht="23.1" customHeight="1">
      <c r="C138" s="126">
        <v>8</v>
      </c>
      <c r="D138" s="141" t="s">
        <v>1125</v>
      </c>
      <c r="E138" s="159" t="s">
        <v>1126</v>
      </c>
      <c r="F138" s="131">
        <v>1</v>
      </c>
      <c r="G138" s="131">
        <v>1</v>
      </c>
      <c r="H138" s="161">
        <v>46184</v>
      </c>
      <c r="I138" s="126">
        <v>0</v>
      </c>
      <c r="J138" s="126">
        <v>1</v>
      </c>
      <c r="K138" s="126">
        <v>0</v>
      </c>
      <c r="L138" s="126">
        <v>0</v>
      </c>
      <c r="M138" s="126">
        <v>0</v>
      </c>
      <c r="N138" s="126">
        <v>0</v>
      </c>
      <c r="O138" s="126">
        <v>0</v>
      </c>
      <c r="P138" s="126">
        <v>0</v>
      </c>
      <c r="Q138" s="126">
        <v>0</v>
      </c>
    </row>
    <row r="139" spans="3:17" ht="23.1" customHeight="1">
      <c r="C139" s="126">
        <v>26</v>
      </c>
      <c r="D139" s="141" t="s">
        <v>715</v>
      </c>
      <c r="E139" s="159" t="s">
        <v>716</v>
      </c>
      <c r="F139" s="131">
        <v>1</v>
      </c>
      <c r="G139" s="131">
        <v>1</v>
      </c>
      <c r="H139" s="161">
        <v>46184</v>
      </c>
      <c r="I139" s="126">
        <v>0</v>
      </c>
      <c r="J139" s="126">
        <v>1</v>
      </c>
      <c r="K139" s="126">
        <v>0</v>
      </c>
      <c r="L139" s="126">
        <v>0</v>
      </c>
      <c r="M139" s="126">
        <v>0</v>
      </c>
      <c r="N139" s="126">
        <v>0</v>
      </c>
      <c r="O139" s="126">
        <v>0</v>
      </c>
      <c r="P139" s="126">
        <v>0</v>
      </c>
      <c r="Q139" s="126">
        <v>0</v>
      </c>
    </row>
    <row r="140" spans="3:17" ht="23.1" customHeight="1">
      <c r="C140" s="126">
        <v>76</v>
      </c>
      <c r="D140" s="141" t="s">
        <v>1133</v>
      </c>
      <c r="E140" s="159" t="s">
        <v>1134</v>
      </c>
      <c r="F140" s="131">
        <v>1</v>
      </c>
      <c r="G140" s="131">
        <v>1</v>
      </c>
      <c r="H140" s="161">
        <v>46184</v>
      </c>
      <c r="I140" s="126">
        <v>0</v>
      </c>
      <c r="J140" s="126">
        <v>5</v>
      </c>
      <c r="K140" s="126">
        <v>0</v>
      </c>
      <c r="L140" s="126">
        <v>0</v>
      </c>
      <c r="M140" s="126">
        <v>0</v>
      </c>
      <c r="N140" s="126">
        <v>0</v>
      </c>
      <c r="O140" s="126">
        <v>0</v>
      </c>
      <c r="P140" s="126">
        <v>0</v>
      </c>
      <c r="Q140" s="126">
        <v>0</v>
      </c>
    </row>
    <row r="141" spans="3:17" ht="23.1" customHeight="1">
      <c r="C141" s="126">
        <v>90</v>
      </c>
      <c r="D141" s="141" t="s">
        <v>1139</v>
      </c>
      <c r="E141" s="159" t="s">
        <v>1140</v>
      </c>
      <c r="F141" s="131">
        <v>1</v>
      </c>
      <c r="G141" s="131">
        <v>1</v>
      </c>
      <c r="H141" s="161">
        <v>46184</v>
      </c>
      <c r="I141" s="126">
        <v>0</v>
      </c>
      <c r="J141" s="126">
        <v>4</v>
      </c>
      <c r="K141" s="126">
        <v>0</v>
      </c>
      <c r="L141" s="126">
        <v>0</v>
      </c>
      <c r="M141" s="126">
        <v>0</v>
      </c>
      <c r="N141" s="126">
        <v>0</v>
      </c>
      <c r="O141" s="126">
        <v>0</v>
      </c>
      <c r="P141" s="126">
        <v>0</v>
      </c>
      <c r="Q141" s="126">
        <v>0</v>
      </c>
    </row>
    <row r="142" spans="3:17" ht="23.1" customHeight="1">
      <c r="C142" s="126">
        <v>39</v>
      </c>
      <c r="D142" s="141" t="s">
        <v>1144</v>
      </c>
      <c r="E142" s="159" t="s">
        <v>1145</v>
      </c>
      <c r="F142" s="131">
        <v>1</v>
      </c>
      <c r="G142" s="131">
        <v>1</v>
      </c>
      <c r="H142" s="161">
        <v>46184</v>
      </c>
      <c r="I142" s="126">
        <v>0</v>
      </c>
      <c r="J142" s="126">
        <v>3</v>
      </c>
      <c r="K142" s="126">
        <v>0</v>
      </c>
      <c r="L142" s="126">
        <v>0</v>
      </c>
      <c r="M142" s="126">
        <v>0</v>
      </c>
      <c r="N142" s="126">
        <v>0</v>
      </c>
      <c r="O142" s="126">
        <v>0</v>
      </c>
      <c r="P142" s="126">
        <v>0</v>
      </c>
      <c r="Q142" s="126">
        <v>0</v>
      </c>
    </row>
    <row r="143" spans="3:17" ht="23.1" customHeight="1">
      <c r="C143" s="126">
        <v>42</v>
      </c>
      <c r="D143" s="141" t="s">
        <v>975</v>
      </c>
      <c r="E143" s="159" t="s">
        <v>976</v>
      </c>
      <c r="F143" s="131">
        <v>1</v>
      </c>
      <c r="G143" s="131">
        <v>1</v>
      </c>
      <c r="H143" s="161">
        <v>46184</v>
      </c>
      <c r="I143" s="126">
        <v>0</v>
      </c>
      <c r="J143" s="126">
        <v>3</v>
      </c>
      <c r="K143" s="126">
        <v>0</v>
      </c>
      <c r="L143" s="126">
        <v>0</v>
      </c>
      <c r="M143" s="126">
        <v>0</v>
      </c>
      <c r="N143" s="126">
        <v>0</v>
      </c>
      <c r="O143" s="126">
        <v>0</v>
      </c>
      <c r="P143" s="126">
        <v>0</v>
      </c>
      <c r="Q143" s="126">
        <v>0</v>
      </c>
    </row>
    <row r="144" spans="3:17" ht="23.1" customHeight="1">
      <c r="C144" s="126">
        <v>169</v>
      </c>
      <c r="D144" s="141" t="s">
        <v>601</v>
      </c>
      <c r="E144" s="159" t="s">
        <v>602</v>
      </c>
      <c r="F144" s="131">
        <v>1</v>
      </c>
      <c r="G144" s="131">
        <v>1</v>
      </c>
      <c r="H144" s="161">
        <v>46184</v>
      </c>
      <c r="I144" s="126">
        <v>0</v>
      </c>
      <c r="J144" s="126">
        <v>15</v>
      </c>
      <c r="K144" s="126">
        <v>0</v>
      </c>
      <c r="L144" s="126">
        <v>0</v>
      </c>
      <c r="M144" s="126">
        <v>0</v>
      </c>
      <c r="N144" s="126">
        <v>0</v>
      </c>
      <c r="O144" s="126">
        <v>0</v>
      </c>
      <c r="P144" s="126">
        <v>0</v>
      </c>
      <c r="Q144" s="126">
        <v>0</v>
      </c>
    </row>
    <row r="145" spans="3:17" ht="23.1" customHeight="1">
      <c r="C145" s="126">
        <v>131</v>
      </c>
      <c r="D145" s="141" t="s">
        <v>1155</v>
      </c>
      <c r="E145" s="159" t="s">
        <v>1156</v>
      </c>
      <c r="F145" s="131">
        <v>1</v>
      </c>
      <c r="G145" s="131">
        <v>1</v>
      </c>
      <c r="H145" s="161">
        <v>46184</v>
      </c>
      <c r="I145" s="126">
        <v>0</v>
      </c>
      <c r="J145" s="126">
        <v>1</v>
      </c>
      <c r="K145" s="126">
        <v>0</v>
      </c>
      <c r="L145" s="126">
        <v>0</v>
      </c>
      <c r="M145" s="126">
        <v>0</v>
      </c>
      <c r="N145" s="126">
        <v>0</v>
      </c>
      <c r="O145" s="126">
        <v>0</v>
      </c>
      <c r="P145" s="126">
        <v>0</v>
      </c>
      <c r="Q145" s="126">
        <v>0</v>
      </c>
    </row>
    <row r="146" spans="3:17" ht="23.1" customHeight="1">
      <c r="C146" s="126">
        <v>177</v>
      </c>
      <c r="D146" s="141" t="s">
        <v>752</v>
      </c>
      <c r="E146" s="159" t="s">
        <v>753</v>
      </c>
      <c r="F146" s="131">
        <v>1</v>
      </c>
      <c r="G146" s="131">
        <v>1</v>
      </c>
      <c r="H146" s="161">
        <v>46184</v>
      </c>
      <c r="I146" s="126">
        <v>0</v>
      </c>
      <c r="J146" s="126">
        <v>250</v>
      </c>
      <c r="K146" s="126">
        <v>0</v>
      </c>
      <c r="L146" s="126">
        <v>0</v>
      </c>
      <c r="M146" s="126">
        <v>0</v>
      </c>
      <c r="N146" s="126">
        <v>0</v>
      </c>
      <c r="O146" s="126">
        <v>0</v>
      </c>
      <c r="P146" s="126">
        <v>0</v>
      </c>
      <c r="Q146" s="126">
        <v>0</v>
      </c>
    </row>
    <row r="147" spans="3:17" ht="23.1" customHeight="1">
      <c r="C147" s="126">
        <v>197</v>
      </c>
      <c r="D147" s="141" t="s">
        <v>652</v>
      </c>
      <c r="E147" s="159" t="s">
        <v>653</v>
      </c>
      <c r="F147" s="131">
        <v>1</v>
      </c>
      <c r="G147" s="131">
        <v>1</v>
      </c>
      <c r="H147" s="161">
        <v>46184</v>
      </c>
      <c r="I147" s="126">
        <v>0</v>
      </c>
      <c r="J147" s="126">
        <v>8</v>
      </c>
      <c r="K147" s="126">
        <v>0</v>
      </c>
      <c r="L147" s="126">
        <v>0</v>
      </c>
      <c r="M147" s="126">
        <v>0</v>
      </c>
      <c r="N147" s="126">
        <v>0</v>
      </c>
      <c r="O147" s="126">
        <v>0</v>
      </c>
      <c r="P147" s="126">
        <v>0</v>
      </c>
      <c r="Q147" s="126">
        <v>0</v>
      </c>
    </row>
    <row r="148" spans="3:17" ht="23.1" customHeight="1">
      <c r="C148" s="126">
        <v>198</v>
      </c>
      <c r="D148" s="141" t="s">
        <v>1170</v>
      </c>
      <c r="E148" s="159" t="s">
        <v>1171</v>
      </c>
      <c r="F148" s="131">
        <v>1</v>
      </c>
      <c r="G148" s="131">
        <v>1</v>
      </c>
      <c r="H148" s="161">
        <v>46184</v>
      </c>
      <c r="I148" s="126">
        <v>0</v>
      </c>
      <c r="J148" s="126">
        <v>16</v>
      </c>
      <c r="K148" s="126">
        <v>0</v>
      </c>
      <c r="L148" s="126">
        <v>0</v>
      </c>
      <c r="M148" s="126">
        <v>0</v>
      </c>
      <c r="N148" s="126">
        <v>0</v>
      </c>
      <c r="O148" s="126">
        <v>0</v>
      </c>
      <c r="P148" s="126">
        <v>0</v>
      </c>
      <c r="Q148" s="126">
        <v>0</v>
      </c>
    </row>
    <row r="149" spans="3:17" ht="23.1" customHeight="1">
      <c r="C149" s="126">
        <v>2</v>
      </c>
      <c r="D149" s="141" t="s">
        <v>682</v>
      </c>
      <c r="E149" s="159" t="s">
        <v>683</v>
      </c>
      <c r="F149" s="131">
        <v>1</v>
      </c>
      <c r="G149" s="131">
        <v>1</v>
      </c>
      <c r="H149" s="161">
        <v>46185</v>
      </c>
      <c r="I149" s="126">
        <v>0</v>
      </c>
      <c r="J149" s="126">
        <v>2</v>
      </c>
      <c r="K149" s="126">
        <v>0</v>
      </c>
      <c r="L149" s="126">
        <v>0</v>
      </c>
      <c r="M149" s="126">
        <v>0</v>
      </c>
      <c r="N149" s="126">
        <v>0</v>
      </c>
      <c r="O149" s="126">
        <v>0</v>
      </c>
      <c r="P149" s="126">
        <v>0</v>
      </c>
      <c r="Q149" s="126">
        <v>0</v>
      </c>
    </row>
    <row r="150" spans="3:17" ht="23.1" customHeight="1">
      <c r="C150" s="126">
        <v>7</v>
      </c>
      <c r="D150" s="141" t="s">
        <v>818</v>
      </c>
      <c r="E150" s="159" t="s">
        <v>819</v>
      </c>
      <c r="F150" s="131">
        <v>1</v>
      </c>
      <c r="G150" s="131">
        <v>1</v>
      </c>
      <c r="H150" s="161">
        <v>46185</v>
      </c>
      <c r="I150" s="126">
        <v>0</v>
      </c>
      <c r="J150" s="126">
        <v>6</v>
      </c>
      <c r="K150" s="126">
        <v>0</v>
      </c>
      <c r="L150" s="126">
        <v>0</v>
      </c>
      <c r="M150" s="126">
        <v>0</v>
      </c>
      <c r="N150" s="126">
        <v>0</v>
      </c>
      <c r="O150" s="126">
        <v>0</v>
      </c>
      <c r="P150" s="126">
        <v>0</v>
      </c>
      <c r="Q150" s="126">
        <v>0</v>
      </c>
    </row>
    <row r="151" spans="3:17" ht="23.1" customHeight="1">
      <c r="C151" s="126">
        <v>30</v>
      </c>
      <c r="D151" s="141" t="s">
        <v>1187</v>
      </c>
      <c r="E151" s="159" t="s">
        <v>1188</v>
      </c>
      <c r="F151" s="131">
        <v>1</v>
      </c>
      <c r="G151" s="131">
        <v>1</v>
      </c>
      <c r="H151" s="161">
        <v>46185</v>
      </c>
      <c r="I151" s="126">
        <v>0</v>
      </c>
      <c r="J151" s="126">
        <v>3</v>
      </c>
      <c r="K151" s="126">
        <v>0</v>
      </c>
      <c r="L151" s="126">
        <v>0</v>
      </c>
      <c r="M151" s="126">
        <v>0</v>
      </c>
      <c r="N151" s="126">
        <v>0</v>
      </c>
      <c r="O151" s="126">
        <v>0</v>
      </c>
      <c r="P151" s="126">
        <v>0</v>
      </c>
      <c r="Q151" s="126">
        <v>0</v>
      </c>
    </row>
    <row r="152" spans="3:17" ht="23.1" customHeight="1">
      <c r="C152" s="126">
        <v>34</v>
      </c>
      <c r="D152" s="141" t="s">
        <v>1193</v>
      </c>
      <c r="E152" s="159" t="s">
        <v>1194</v>
      </c>
      <c r="F152" s="131">
        <v>1</v>
      </c>
      <c r="G152" s="131">
        <v>1</v>
      </c>
      <c r="H152" s="161">
        <v>46185</v>
      </c>
      <c r="I152" s="126">
        <v>0</v>
      </c>
      <c r="J152" s="126">
        <v>2</v>
      </c>
      <c r="K152" s="126">
        <v>0</v>
      </c>
      <c r="L152" s="126">
        <v>0</v>
      </c>
      <c r="M152" s="126">
        <v>0</v>
      </c>
      <c r="N152" s="126">
        <v>0</v>
      </c>
      <c r="O152" s="126">
        <v>0</v>
      </c>
      <c r="P152" s="126">
        <v>0</v>
      </c>
      <c r="Q152" s="126">
        <v>0</v>
      </c>
    </row>
    <row r="153" spans="3:17" ht="23.1" customHeight="1">
      <c r="C153" s="126">
        <v>33</v>
      </c>
      <c r="D153" s="141" t="s">
        <v>1198</v>
      </c>
      <c r="E153" s="159" t="s">
        <v>1199</v>
      </c>
      <c r="F153" s="131">
        <v>1</v>
      </c>
      <c r="G153" s="131">
        <v>1</v>
      </c>
      <c r="H153" s="161">
        <v>46185</v>
      </c>
      <c r="I153" s="126">
        <v>0</v>
      </c>
      <c r="J153" s="126">
        <v>1</v>
      </c>
      <c r="K153" s="126">
        <v>0</v>
      </c>
      <c r="L153" s="126">
        <v>0</v>
      </c>
      <c r="M153" s="126">
        <v>0</v>
      </c>
      <c r="N153" s="126">
        <v>0</v>
      </c>
      <c r="O153" s="126">
        <v>0</v>
      </c>
      <c r="P153" s="126">
        <v>0</v>
      </c>
      <c r="Q153" s="126">
        <v>0</v>
      </c>
    </row>
    <row r="154" spans="3:17" ht="23.1" customHeight="1">
      <c r="C154" s="126">
        <v>56</v>
      </c>
      <c r="D154" s="141" t="s">
        <v>1203</v>
      </c>
      <c r="E154" s="159" t="s">
        <v>1204</v>
      </c>
      <c r="F154" s="131">
        <v>1</v>
      </c>
      <c r="G154" s="131">
        <v>1</v>
      </c>
      <c r="H154" s="161">
        <v>46185</v>
      </c>
      <c r="I154" s="126">
        <v>0</v>
      </c>
      <c r="J154" s="126">
        <v>1</v>
      </c>
      <c r="K154" s="126">
        <v>0</v>
      </c>
      <c r="L154" s="126">
        <v>0</v>
      </c>
      <c r="M154" s="126">
        <v>0</v>
      </c>
      <c r="N154" s="126">
        <v>0</v>
      </c>
      <c r="O154" s="126">
        <v>0</v>
      </c>
      <c r="P154" s="126">
        <v>0</v>
      </c>
      <c r="Q154" s="126">
        <v>0</v>
      </c>
    </row>
    <row r="155" spans="3:17" ht="23.1" customHeight="1">
      <c r="C155" s="126">
        <v>108</v>
      </c>
      <c r="D155" s="141" t="s">
        <v>1009</v>
      </c>
      <c r="E155" s="159" t="s">
        <v>1010</v>
      </c>
      <c r="F155" s="131">
        <v>1</v>
      </c>
      <c r="G155" s="131">
        <v>1</v>
      </c>
      <c r="H155" s="161">
        <v>46185</v>
      </c>
      <c r="I155" s="126">
        <v>0</v>
      </c>
      <c r="J155" s="126">
        <v>1</v>
      </c>
      <c r="K155" s="126">
        <v>0</v>
      </c>
      <c r="L155" s="126">
        <v>0</v>
      </c>
      <c r="M155" s="126">
        <v>0</v>
      </c>
      <c r="N155" s="126">
        <v>0</v>
      </c>
      <c r="O155" s="126">
        <v>0</v>
      </c>
      <c r="P155" s="126">
        <v>0</v>
      </c>
      <c r="Q155" s="126">
        <v>0</v>
      </c>
    </row>
    <row r="156" spans="3:17" ht="23.1" customHeight="1">
      <c r="C156" s="126">
        <v>53</v>
      </c>
      <c r="D156" s="141" t="s">
        <v>1211</v>
      </c>
      <c r="E156" s="159" t="s">
        <v>1212</v>
      </c>
      <c r="F156" s="131">
        <v>1</v>
      </c>
      <c r="G156" s="131">
        <v>1</v>
      </c>
      <c r="H156" s="161">
        <v>46185</v>
      </c>
      <c r="I156" s="126">
        <v>0</v>
      </c>
      <c r="J156" s="126">
        <v>1</v>
      </c>
      <c r="K156" s="126">
        <v>0</v>
      </c>
      <c r="L156" s="126">
        <v>0</v>
      </c>
      <c r="M156" s="126">
        <v>0</v>
      </c>
      <c r="N156" s="126">
        <v>0</v>
      </c>
      <c r="O156" s="126">
        <v>0</v>
      </c>
      <c r="P156" s="126">
        <v>0</v>
      </c>
      <c r="Q156" s="126">
        <v>0</v>
      </c>
    </row>
    <row r="157" spans="3:17" ht="23.1" customHeight="1">
      <c r="C157" s="126">
        <v>66</v>
      </c>
      <c r="D157" s="141" t="s">
        <v>1216</v>
      </c>
      <c r="E157" s="159" t="s">
        <v>1217</v>
      </c>
      <c r="F157" s="131">
        <v>1</v>
      </c>
      <c r="G157" s="131">
        <v>1</v>
      </c>
      <c r="H157" s="161">
        <v>46185</v>
      </c>
      <c r="I157" s="126">
        <v>0</v>
      </c>
      <c r="J157" s="126">
        <v>1</v>
      </c>
      <c r="K157" s="126">
        <v>0</v>
      </c>
      <c r="L157" s="126">
        <v>0</v>
      </c>
      <c r="M157" s="126">
        <v>0</v>
      </c>
      <c r="N157" s="126">
        <v>0</v>
      </c>
      <c r="O157" s="126">
        <v>0</v>
      </c>
      <c r="P157" s="126">
        <v>0</v>
      </c>
      <c r="Q157" s="126">
        <v>0</v>
      </c>
    </row>
    <row r="158" spans="3:17" ht="23.1" customHeight="1">
      <c r="C158" s="126">
        <v>64</v>
      </c>
      <c r="D158" s="141" t="s">
        <v>1221</v>
      </c>
      <c r="E158" s="159" t="s">
        <v>1222</v>
      </c>
      <c r="F158" s="131">
        <v>1</v>
      </c>
      <c r="G158" s="131">
        <v>1</v>
      </c>
      <c r="H158" s="161">
        <v>46185</v>
      </c>
      <c r="I158" s="126">
        <v>0</v>
      </c>
      <c r="J158" s="126">
        <v>1</v>
      </c>
      <c r="K158" s="126">
        <v>0</v>
      </c>
      <c r="L158" s="126">
        <v>0</v>
      </c>
      <c r="M158" s="126">
        <v>0</v>
      </c>
      <c r="N158" s="126">
        <v>0</v>
      </c>
      <c r="O158" s="126">
        <v>0</v>
      </c>
      <c r="P158" s="126">
        <v>0</v>
      </c>
      <c r="Q158" s="126">
        <v>0</v>
      </c>
    </row>
    <row r="159" spans="3:17" ht="23.1" customHeight="1">
      <c r="C159" s="126">
        <v>46</v>
      </c>
      <c r="D159" s="141" t="s">
        <v>647</v>
      </c>
      <c r="E159" s="159" t="s">
        <v>648</v>
      </c>
      <c r="F159" s="131">
        <v>1</v>
      </c>
      <c r="G159" s="131">
        <v>1</v>
      </c>
      <c r="H159" s="161">
        <v>46185</v>
      </c>
      <c r="I159" s="126">
        <v>0</v>
      </c>
      <c r="J159" s="126">
        <v>7</v>
      </c>
      <c r="K159" s="126">
        <v>0</v>
      </c>
      <c r="L159" s="126">
        <v>0</v>
      </c>
      <c r="M159" s="126">
        <v>0</v>
      </c>
      <c r="N159" s="126">
        <v>0</v>
      </c>
      <c r="O159" s="126">
        <v>0</v>
      </c>
      <c r="P159" s="126">
        <v>0</v>
      </c>
      <c r="Q159" s="126">
        <v>0</v>
      </c>
    </row>
    <row r="160" spans="3:17" ht="23.1" customHeight="1">
      <c r="C160" s="126">
        <v>44</v>
      </c>
      <c r="D160" s="141" t="s">
        <v>1229</v>
      </c>
      <c r="E160" s="159" t="s">
        <v>1230</v>
      </c>
      <c r="F160" s="131">
        <v>1</v>
      </c>
      <c r="G160" s="131">
        <v>1</v>
      </c>
      <c r="H160" s="161">
        <v>46185</v>
      </c>
      <c r="I160" s="126">
        <v>0</v>
      </c>
      <c r="J160" s="126">
        <v>2</v>
      </c>
      <c r="K160" s="126">
        <v>0</v>
      </c>
      <c r="L160" s="126">
        <v>0</v>
      </c>
      <c r="M160" s="126">
        <v>0</v>
      </c>
      <c r="N160" s="126">
        <v>0</v>
      </c>
      <c r="O160" s="126">
        <v>0</v>
      </c>
      <c r="P160" s="126">
        <v>0</v>
      </c>
      <c r="Q160" s="126">
        <v>0</v>
      </c>
    </row>
    <row r="161" spans="3:17" ht="23.1" customHeight="1">
      <c r="C161" s="126">
        <v>69</v>
      </c>
      <c r="D161" s="141" t="s">
        <v>1234</v>
      </c>
      <c r="E161" s="159" t="s">
        <v>1235</v>
      </c>
      <c r="F161" s="131">
        <v>1</v>
      </c>
      <c r="G161" s="131">
        <v>1</v>
      </c>
      <c r="H161" s="161">
        <v>46185</v>
      </c>
      <c r="I161" s="126">
        <v>0</v>
      </c>
      <c r="J161" s="126">
        <v>2</v>
      </c>
      <c r="K161" s="126">
        <v>0</v>
      </c>
      <c r="L161" s="126">
        <v>0</v>
      </c>
      <c r="M161" s="126">
        <v>0</v>
      </c>
      <c r="N161" s="126">
        <v>0</v>
      </c>
      <c r="O161" s="126">
        <v>0</v>
      </c>
      <c r="P161" s="126">
        <v>0</v>
      </c>
      <c r="Q161" s="126">
        <v>0</v>
      </c>
    </row>
    <row r="162" spans="3:17" ht="23.1" customHeight="1">
      <c r="C162" s="126">
        <v>70</v>
      </c>
      <c r="D162" s="141" t="s">
        <v>906</v>
      </c>
      <c r="E162" s="159" t="s">
        <v>907</v>
      </c>
      <c r="F162" s="131">
        <v>1</v>
      </c>
      <c r="G162" s="131">
        <v>1</v>
      </c>
      <c r="H162" s="161">
        <v>46185</v>
      </c>
      <c r="I162" s="126">
        <v>0</v>
      </c>
      <c r="J162" s="126">
        <v>1</v>
      </c>
      <c r="K162" s="126">
        <v>0</v>
      </c>
      <c r="L162" s="126">
        <v>0</v>
      </c>
      <c r="M162" s="126">
        <v>0</v>
      </c>
      <c r="N162" s="126">
        <v>0</v>
      </c>
      <c r="O162" s="126">
        <v>0</v>
      </c>
      <c r="P162" s="126">
        <v>0</v>
      </c>
      <c r="Q162" s="126">
        <v>0</v>
      </c>
    </row>
    <row r="163" spans="3:17" ht="23.1" customHeight="1">
      <c r="C163" s="126">
        <v>68</v>
      </c>
      <c r="D163" s="141" t="s">
        <v>1242</v>
      </c>
      <c r="E163" s="159" t="s">
        <v>1243</v>
      </c>
      <c r="F163" s="131">
        <v>1</v>
      </c>
      <c r="G163" s="131">
        <v>1</v>
      </c>
      <c r="H163" s="161">
        <v>46185</v>
      </c>
      <c r="I163" s="126">
        <v>0</v>
      </c>
      <c r="J163" s="126">
        <v>1</v>
      </c>
      <c r="K163" s="126">
        <v>0</v>
      </c>
      <c r="L163" s="126">
        <v>0</v>
      </c>
      <c r="M163" s="126">
        <v>0</v>
      </c>
      <c r="N163" s="126">
        <v>0</v>
      </c>
      <c r="O163" s="126">
        <v>0</v>
      </c>
      <c r="P163" s="126">
        <v>0</v>
      </c>
      <c r="Q163" s="126">
        <v>0</v>
      </c>
    </row>
    <row r="164" spans="3:17" ht="23.1" customHeight="1">
      <c r="C164" s="126">
        <v>156</v>
      </c>
      <c r="D164" s="141" t="s">
        <v>735</v>
      </c>
      <c r="E164" s="159" t="s">
        <v>736</v>
      </c>
      <c r="F164" s="131">
        <v>1</v>
      </c>
      <c r="G164" s="131">
        <v>1</v>
      </c>
      <c r="H164" s="161">
        <v>46185</v>
      </c>
      <c r="I164" s="126">
        <v>0</v>
      </c>
      <c r="J164" s="126">
        <v>1</v>
      </c>
      <c r="K164" s="126">
        <v>0</v>
      </c>
      <c r="L164" s="126">
        <v>0</v>
      </c>
      <c r="M164" s="126">
        <v>0</v>
      </c>
      <c r="N164" s="126">
        <v>0</v>
      </c>
      <c r="O164" s="126">
        <v>0</v>
      </c>
      <c r="P164" s="126">
        <v>0</v>
      </c>
      <c r="Q164" s="126">
        <v>0</v>
      </c>
    </row>
    <row r="165" spans="3:17" ht="23.1" customHeight="1">
      <c r="C165" s="126">
        <v>177</v>
      </c>
      <c r="D165" s="141" t="s">
        <v>752</v>
      </c>
      <c r="E165" s="159" t="s">
        <v>753</v>
      </c>
      <c r="F165" s="131">
        <v>1</v>
      </c>
      <c r="G165" s="131">
        <v>1</v>
      </c>
      <c r="H165" s="161">
        <v>46185</v>
      </c>
      <c r="I165" s="126">
        <v>0</v>
      </c>
      <c r="J165" s="126">
        <v>500</v>
      </c>
      <c r="K165" s="126">
        <v>0</v>
      </c>
      <c r="L165" s="126">
        <v>0</v>
      </c>
      <c r="M165" s="126">
        <v>0</v>
      </c>
      <c r="N165" s="126">
        <v>0</v>
      </c>
      <c r="O165" s="126">
        <v>0</v>
      </c>
      <c r="P165" s="126">
        <v>0</v>
      </c>
      <c r="Q165" s="126">
        <v>0</v>
      </c>
    </row>
    <row r="166" spans="3:17" ht="23.1" customHeight="1">
      <c r="C166" s="126">
        <v>179</v>
      </c>
      <c r="D166" s="141" t="s">
        <v>564</v>
      </c>
      <c r="E166" s="159" t="s">
        <v>565</v>
      </c>
      <c r="F166" s="131">
        <v>1</v>
      </c>
      <c r="G166" s="131">
        <v>1</v>
      </c>
      <c r="H166" s="161">
        <v>46185</v>
      </c>
      <c r="I166" s="126">
        <v>0</v>
      </c>
      <c r="J166" s="126">
        <v>1000</v>
      </c>
      <c r="K166" s="126">
        <v>0</v>
      </c>
      <c r="L166" s="126">
        <v>0</v>
      </c>
      <c r="M166" s="126">
        <v>0</v>
      </c>
      <c r="N166" s="126">
        <v>0</v>
      </c>
      <c r="O166" s="126">
        <v>0</v>
      </c>
      <c r="P166" s="126">
        <v>0</v>
      </c>
      <c r="Q166" s="126">
        <v>0</v>
      </c>
    </row>
    <row r="167" spans="3:17" ht="23.1" customHeight="1">
      <c r="C167" s="126">
        <v>177</v>
      </c>
      <c r="D167" s="141" t="s">
        <v>752</v>
      </c>
      <c r="E167" s="159" t="s">
        <v>753</v>
      </c>
      <c r="F167" s="131">
        <v>1</v>
      </c>
      <c r="G167" s="131">
        <v>1</v>
      </c>
      <c r="H167" s="161">
        <v>46186</v>
      </c>
      <c r="I167" s="126">
        <v>0</v>
      </c>
      <c r="J167" s="126">
        <v>250</v>
      </c>
      <c r="K167" s="126">
        <v>0</v>
      </c>
      <c r="L167" s="126">
        <v>0</v>
      </c>
      <c r="M167" s="126">
        <v>0</v>
      </c>
      <c r="N167" s="126">
        <v>0</v>
      </c>
      <c r="O167" s="126">
        <v>0</v>
      </c>
      <c r="P167" s="126">
        <v>0</v>
      </c>
      <c r="Q167" s="126">
        <v>0</v>
      </c>
    </row>
    <row r="168" spans="3:17" ht="23.1" customHeight="1">
      <c r="C168" s="126">
        <v>191</v>
      </c>
      <c r="D168" s="141" t="s">
        <v>781</v>
      </c>
      <c r="E168" s="159" t="s">
        <v>782</v>
      </c>
      <c r="F168" s="131">
        <v>1</v>
      </c>
      <c r="G168" s="131">
        <v>1</v>
      </c>
      <c r="H168" s="161">
        <v>46186</v>
      </c>
      <c r="I168" s="126">
        <v>0</v>
      </c>
      <c r="J168" s="126">
        <v>20</v>
      </c>
      <c r="K168" s="126">
        <v>0</v>
      </c>
      <c r="L168" s="126">
        <v>0</v>
      </c>
      <c r="M168" s="126">
        <v>0</v>
      </c>
      <c r="N168" s="126">
        <v>0</v>
      </c>
      <c r="O168" s="126">
        <v>0</v>
      </c>
      <c r="P168" s="126">
        <v>0</v>
      </c>
      <c r="Q168" s="126">
        <v>0</v>
      </c>
    </row>
    <row r="169" spans="3:17" ht="23.1" customHeight="1">
      <c r="C169" s="126">
        <v>41</v>
      </c>
      <c r="D169" s="141" t="s">
        <v>808</v>
      </c>
      <c r="E169" s="159" t="s">
        <v>809</v>
      </c>
      <c r="F169" s="131">
        <v>1</v>
      </c>
      <c r="G169" s="131">
        <v>1</v>
      </c>
      <c r="H169" s="161">
        <v>46186</v>
      </c>
      <c r="I169" s="126">
        <v>0</v>
      </c>
      <c r="J169" s="126">
        <v>2</v>
      </c>
      <c r="K169" s="126">
        <v>0</v>
      </c>
      <c r="L169" s="126">
        <v>0</v>
      </c>
      <c r="M169" s="126">
        <v>0</v>
      </c>
      <c r="N169" s="126">
        <v>0</v>
      </c>
      <c r="O169" s="126">
        <v>0</v>
      </c>
      <c r="P169" s="126">
        <v>0</v>
      </c>
      <c r="Q169" s="126">
        <v>0</v>
      </c>
    </row>
    <row r="170" spans="3:17" ht="23.1" customHeight="1">
      <c r="C170" s="126">
        <v>8</v>
      </c>
      <c r="D170" s="141" t="s">
        <v>1125</v>
      </c>
      <c r="E170" s="159" t="s">
        <v>1126</v>
      </c>
      <c r="F170" s="131">
        <v>1</v>
      </c>
      <c r="G170" s="131">
        <v>1</v>
      </c>
      <c r="H170" s="161">
        <v>46186</v>
      </c>
      <c r="I170" s="126">
        <v>0</v>
      </c>
      <c r="J170" s="126">
        <v>2</v>
      </c>
      <c r="K170" s="126">
        <v>0</v>
      </c>
      <c r="L170" s="126">
        <v>0</v>
      </c>
      <c r="M170" s="126">
        <v>0</v>
      </c>
      <c r="N170" s="126">
        <v>0</v>
      </c>
      <c r="O170" s="126">
        <v>0</v>
      </c>
      <c r="P170" s="126">
        <v>0</v>
      </c>
      <c r="Q170" s="126">
        <v>0</v>
      </c>
    </row>
    <row r="171" spans="3:17" ht="23.1" customHeight="1">
      <c r="C171" s="126">
        <v>45</v>
      </c>
      <c r="D171" s="141" t="s">
        <v>980</v>
      </c>
      <c r="E171" s="159" t="s">
        <v>981</v>
      </c>
      <c r="F171" s="131">
        <v>1</v>
      </c>
      <c r="G171" s="131">
        <v>1</v>
      </c>
      <c r="H171" s="161">
        <v>46186</v>
      </c>
      <c r="I171" s="126">
        <v>0</v>
      </c>
      <c r="J171" s="126">
        <v>3</v>
      </c>
      <c r="K171" s="126">
        <v>0</v>
      </c>
      <c r="L171" s="126">
        <v>0</v>
      </c>
      <c r="M171" s="126">
        <v>0</v>
      </c>
      <c r="N171" s="126">
        <v>0</v>
      </c>
      <c r="O171" s="126">
        <v>0</v>
      </c>
      <c r="P171" s="126">
        <v>0</v>
      </c>
      <c r="Q171" s="126">
        <v>0</v>
      </c>
    </row>
    <row r="172" spans="3:17" ht="23.1" customHeight="1">
      <c r="C172" s="126">
        <v>42</v>
      </c>
      <c r="D172" s="141" t="s">
        <v>975</v>
      </c>
      <c r="E172" s="159" t="s">
        <v>976</v>
      </c>
      <c r="F172" s="131">
        <v>1</v>
      </c>
      <c r="G172" s="131">
        <v>1</v>
      </c>
      <c r="H172" s="161">
        <v>46186</v>
      </c>
      <c r="I172" s="126">
        <v>0</v>
      </c>
      <c r="J172" s="126">
        <v>2</v>
      </c>
      <c r="K172" s="126">
        <v>0</v>
      </c>
      <c r="L172" s="126">
        <v>0</v>
      </c>
      <c r="M172" s="126">
        <v>0</v>
      </c>
      <c r="N172" s="126">
        <v>0</v>
      </c>
      <c r="O172" s="126">
        <v>0</v>
      </c>
      <c r="P172" s="126">
        <v>0</v>
      </c>
      <c r="Q172" s="126">
        <v>0</v>
      </c>
    </row>
    <row r="173" spans="3:17" ht="23.1" customHeight="1">
      <c r="C173" s="126">
        <v>56</v>
      </c>
      <c r="D173" s="141" t="s">
        <v>1203</v>
      </c>
      <c r="E173" s="159" t="s">
        <v>1204</v>
      </c>
      <c r="F173" s="131">
        <v>1</v>
      </c>
      <c r="G173" s="131">
        <v>1</v>
      </c>
      <c r="H173" s="161">
        <v>46186</v>
      </c>
      <c r="I173" s="126">
        <v>0</v>
      </c>
      <c r="J173" s="126">
        <v>1</v>
      </c>
      <c r="K173" s="126">
        <v>0</v>
      </c>
      <c r="L173" s="126">
        <v>0</v>
      </c>
      <c r="M173" s="126">
        <v>0</v>
      </c>
      <c r="N173" s="126">
        <v>0</v>
      </c>
      <c r="O173" s="126">
        <v>0</v>
      </c>
      <c r="P173" s="126">
        <v>0</v>
      </c>
      <c r="Q173" s="126">
        <v>0</v>
      </c>
    </row>
    <row r="174" spans="3:17" ht="23.1" customHeight="1">
      <c r="C174" s="126">
        <v>68</v>
      </c>
      <c r="D174" s="141" t="s">
        <v>1242</v>
      </c>
      <c r="E174" s="159" t="s">
        <v>1243</v>
      </c>
      <c r="F174" s="131">
        <v>1</v>
      </c>
      <c r="G174" s="131">
        <v>1</v>
      </c>
      <c r="H174" s="161">
        <v>46186</v>
      </c>
      <c r="I174" s="126">
        <v>0</v>
      </c>
      <c r="J174" s="126">
        <v>2</v>
      </c>
      <c r="K174" s="126">
        <v>0</v>
      </c>
      <c r="L174" s="126">
        <v>0</v>
      </c>
      <c r="M174" s="126">
        <v>0</v>
      </c>
      <c r="N174" s="126">
        <v>0</v>
      </c>
      <c r="O174" s="126">
        <v>0</v>
      </c>
      <c r="P174" s="126">
        <v>0</v>
      </c>
      <c r="Q174" s="126">
        <v>0</v>
      </c>
    </row>
    <row r="175" spans="3:17" ht="23.1" customHeight="1">
      <c r="C175" s="126">
        <v>49</v>
      </c>
      <c r="D175" s="141" t="s">
        <v>813</v>
      </c>
      <c r="E175" s="159" t="s">
        <v>814</v>
      </c>
      <c r="F175" s="131">
        <v>1</v>
      </c>
      <c r="G175" s="131">
        <v>1</v>
      </c>
      <c r="H175" s="161">
        <v>46186</v>
      </c>
      <c r="I175" s="126">
        <v>0</v>
      </c>
      <c r="J175" s="126">
        <v>1</v>
      </c>
      <c r="K175" s="126">
        <v>0</v>
      </c>
      <c r="L175" s="126">
        <v>0</v>
      </c>
      <c r="M175" s="126">
        <v>0</v>
      </c>
      <c r="N175" s="126">
        <v>0</v>
      </c>
      <c r="O175" s="126">
        <v>0</v>
      </c>
      <c r="P175" s="126">
        <v>0</v>
      </c>
      <c r="Q175" s="126">
        <v>0</v>
      </c>
    </row>
    <row r="176" spans="3:17" ht="23.1" customHeight="1">
      <c r="C176" s="126">
        <v>69</v>
      </c>
      <c r="D176" s="141" t="s">
        <v>1234</v>
      </c>
      <c r="E176" s="159" t="s">
        <v>1235</v>
      </c>
      <c r="F176" s="131">
        <v>1</v>
      </c>
      <c r="G176" s="131">
        <v>1</v>
      </c>
      <c r="H176" s="161">
        <v>46186</v>
      </c>
      <c r="I176" s="126">
        <v>0</v>
      </c>
      <c r="J176" s="126">
        <v>1</v>
      </c>
      <c r="K176" s="126">
        <v>0</v>
      </c>
      <c r="L176" s="126">
        <v>0</v>
      </c>
      <c r="M176" s="126">
        <v>0</v>
      </c>
      <c r="N176" s="126">
        <v>0</v>
      </c>
      <c r="O176" s="126">
        <v>0</v>
      </c>
      <c r="P176" s="126">
        <v>0</v>
      </c>
      <c r="Q176" s="126">
        <v>0</v>
      </c>
    </row>
    <row r="177" spans="3:17" ht="23.1" customHeight="1">
      <c r="C177" s="126">
        <v>25</v>
      </c>
      <c r="D177" s="141" t="s">
        <v>1295</v>
      </c>
      <c r="E177" s="159" t="s">
        <v>1296</v>
      </c>
      <c r="F177" s="131">
        <v>1</v>
      </c>
      <c r="G177" s="131">
        <v>1</v>
      </c>
      <c r="H177" s="161">
        <v>46186</v>
      </c>
      <c r="I177" s="126">
        <v>0</v>
      </c>
      <c r="J177" s="126">
        <v>1</v>
      </c>
      <c r="K177" s="126">
        <v>0</v>
      </c>
      <c r="L177" s="126">
        <v>0</v>
      </c>
      <c r="M177" s="126">
        <v>0</v>
      </c>
      <c r="N177" s="126">
        <v>0</v>
      </c>
      <c r="O177" s="126">
        <v>0</v>
      </c>
      <c r="P177" s="126">
        <v>0</v>
      </c>
      <c r="Q177" s="126">
        <v>0</v>
      </c>
    </row>
    <row r="178" spans="3:17" ht="23.1" customHeight="1">
      <c r="C178" s="126">
        <v>7</v>
      </c>
      <c r="D178" s="141" t="s">
        <v>818</v>
      </c>
      <c r="E178" s="159" t="s">
        <v>819</v>
      </c>
      <c r="F178" s="131">
        <v>1</v>
      </c>
      <c r="G178" s="131">
        <v>1</v>
      </c>
      <c r="H178" s="161">
        <v>46186</v>
      </c>
      <c r="I178" s="126">
        <v>0</v>
      </c>
      <c r="J178" s="126">
        <v>1</v>
      </c>
      <c r="K178" s="126">
        <v>0</v>
      </c>
      <c r="L178" s="126">
        <v>0</v>
      </c>
      <c r="M178" s="126">
        <v>0</v>
      </c>
      <c r="N178" s="126">
        <v>0</v>
      </c>
      <c r="O178" s="126">
        <v>0</v>
      </c>
      <c r="P178" s="126">
        <v>0</v>
      </c>
      <c r="Q178" s="126">
        <v>0</v>
      </c>
    </row>
    <row r="179" spans="3:17" ht="23.1" customHeight="1">
      <c r="C179" s="126">
        <v>73</v>
      </c>
      <c r="D179" s="141" t="s">
        <v>1303</v>
      </c>
      <c r="E179" s="159" t="s">
        <v>1304</v>
      </c>
      <c r="F179" s="131">
        <v>1</v>
      </c>
      <c r="G179" s="131">
        <v>1</v>
      </c>
      <c r="H179" s="161">
        <v>46186</v>
      </c>
      <c r="I179" s="126">
        <v>0</v>
      </c>
      <c r="J179" s="126">
        <v>1</v>
      </c>
      <c r="K179" s="126">
        <v>0</v>
      </c>
      <c r="L179" s="126">
        <v>0</v>
      </c>
      <c r="M179" s="126">
        <v>0</v>
      </c>
      <c r="N179" s="126">
        <v>0</v>
      </c>
      <c r="O179" s="126">
        <v>0</v>
      </c>
      <c r="P179" s="126">
        <v>0</v>
      </c>
      <c r="Q179" s="126">
        <v>0</v>
      </c>
    </row>
    <row r="180" spans="3:17" ht="23.1" customHeight="1">
      <c r="C180" s="126">
        <v>108</v>
      </c>
      <c r="D180" s="141" t="s">
        <v>1009</v>
      </c>
      <c r="E180" s="159" t="s">
        <v>1010</v>
      </c>
      <c r="F180" s="131">
        <v>1</v>
      </c>
      <c r="G180" s="131">
        <v>1</v>
      </c>
      <c r="H180" s="161">
        <v>46186</v>
      </c>
      <c r="I180" s="126">
        <v>0</v>
      </c>
      <c r="J180" s="126">
        <v>1</v>
      </c>
      <c r="K180" s="126">
        <v>0</v>
      </c>
      <c r="L180" s="126">
        <v>0</v>
      </c>
      <c r="M180" s="126">
        <v>0</v>
      </c>
      <c r="N180" s="126">
        <v>0</v>
      </c>
      <c r="O180" s="126">
        <v>0</v>
      </c>
      <c r="P180" s="126">
        <v>0</v>
      </c>
      <c r="Q180" s="126">
        <v>0</v>
      </c>
    </row>
    <row r="181" spans="3:17" ht="23.1" customHeight="1">
      <c r="C181" s="126">
        <v>92</v>
      </c>
      <c r="D181" s="141" t="s">
        <v>1313</v>
      </c>
      <c r="E181" s="159" t="s">
        <v>1314</v>
      </c>
      <c r="F181" s="131">
        <v>1</v>
      </c>
      <c r="G181" s="131">
        <v>1</v>
      </c>
      <c r="H181" s="161">
        <v>46186</v>
      </c>
      <c r="I181" s="126">
        <v>0</v>
      </c>
      <c r="J181" s="126">
        <v>20</v>
      </c>
      <c r="K181" s="126">
        <v>0</v>
      </c>
      <c r="L181" s="126">
        <v>0</v>
      </c>
      <c r="M181" s="126">
        <v>0</v>
      </c>
      <c r="N181" s="126">
        <v>0</v>
      </c>
      <c r="O181" s="126">
        <v>0</v>
      </c>
      <c r="P181" s="126">
        <v>0</v>
      </c>
      <c r="Q181" s="126">
        <v>0</v>
      </c>
    </row>
    <row r="182" spans="3:17" ht="23.1" customHeight="1">
      <c r="C182" s="126">
        <v>50</v>
      </c>
      <c r="D182" s="141" t="s">
        <v>803</v>
      </c>
      <c r="E182" s="159" t="s">
        <v>804</v>
      </c>
      <c r="F182" s="131">
        <v>1</v>
      </c>
      <c r="G182" s="131">
        <v>1</v>
      </c>
      <c r="H182" s="161">
        <v>46186</v>
      </c>
      <c r="I182" s="126">
        <v>0</v>
      </c>
      <c r="J182" s="126">
        <v>30</v>
      </c>
      <c r="K182" s="126">
        <v>0</v>
      </c>
      <c r="L182" s="126">
        <v>0</v>
      </c>
      <c r="M182" s="126">
        <v>0</v>
      </c>
      <c r="N182" s="126">
        <v>0</v>
      </c>
      <c r="O182" s="126">
        <v>0</v>
      </c>
      <c r="P182" s="126">
        <v>0</v>
      </c>
      <c r="Q182" s="126">
        <v>0</v>
      </c>
    </row>
    <row r="183" spans="3:17" ht="23.1" customHeight="1">
      <c r="C183" s="126">
        <v>101</v>
      </c>
      <c r="D183" s="141" t="s">
        <v>718</v>
      </c>
      <c r="E183" s="159" t="s">
        <v>719</v>
      </c>
      <c r="F183" s="131">
        <v>1</v>
      </c>
      <c r="G183" s="131">
        <v>1</v>
      </c>
      <c r="H183" s="161">
        <v>46186</v>
      </c>
      <c r="I183" s="126">
        <v>0</v>
      </c>
      <c r="J183" s="126">
        <v>20</v>
      </c>
      <c r="K183" s="126">
        <v>0</v>
      </c>
      <c r="L183" s="126">
        <v>0</v>
      </c>
      <c r="M183" s="126">
        <v>0</v>
      </c>
      <c r="N183" s="126">
        <v>0</v>
      </c>
      <c r="O183" s="126">
        <v>0</v>
      </c>
      <c r="P183" s="126">
        <v>0</v>
      </c>
      <c r="Q183" s="126">
        <v>0</v>
      </c>
    </row>
    <row r="184" spans="3:17" ht="23.1" customHeight="1">
      <c r="C184" s="126">
        <v>94</v>
      </c>
      <c r="D184" s="141" t="s">
        <v>1323</v>
      </c>
      <c r="E184" s="159" t="s">
        <v>1324</v>
      </c>
      <c r="F184" s="131">
        <v>1</v>
      </c>
      <c r="G184" s="131">
        <v>1</v>
      </c>
      <c r="H184" s="161">
        <v>46186</v>
      </c>
      <c r="I184" s="126">
        <v>0</v>
      </c>
      <c r="J184" s="126">
        <v>40</v>
      </c>
      <c r="K184" s="126">
        <v>0</v>
      </c>
      <c r="L184" s="126">
        <v>0</v>
      </c>
      <c r="M184" s="126">
        <v>0</v>
      </c>
      <c r="N184" s="126">
        <v>0</v>
      </c>
      <c r="O184" s="126">
        <v>0</v>
      </c>
      <c r="P184" s="126">
        <v>0</v>
      </c>
      <c r="Q184" s="126">
        <v>0</v>
      </c>
    </row>
    <row r="185" spans="3:17" ht="23.1" customHeight="1">
      <c r="C185" s="126">
        <v>177</v>
      </c>
      <c r="D185" s="141" t="s">
        <v>752</v>
      </c>
      <c r="E185" s="159" t="s">
        <v>753</v>
      </c>
      <c r="F185" s="131">
        <v>1</v>
      </c>
      <c r="G185" s="131">
        <v>1</v>
      </c>
      <c r="H185" s="161">
        <v>46187</v>
      </c>
      <c r="I185" s="126">
        <v>0</v>
      </c>
      <c r="J185" s="126">
        <v>1250</v>
      </c>
      <c r="K185" s="126">
        <v>0</v>
      </c>
      <c r="L185" s="126">
        <v>0</v>
      </c>
      <c r="M185" s="126">
        <v>0</v>
      </c>
      <c r="N185" s="126">
        <v>0</v>
      </c>
      <c r="O185" s="126">
        <v>0</v>
      </c>
      <c r="P185" s="126">
        <v>0</v>
      </c>
      <c r="Q185" s="126">
        <v>0</v>
      </c>
    </row>
    <row r="186" spans="3:17" ht="23.1" customHeight="1">
      <c r="C186" s="126">
        <v>51</v>
      </c>
      <c r="D186" s="141" t="s">
        <v>1339</v>
      </c>
      <c r="E186" s="159" t="s">
        <v>1340</v>
      </c>
      <c r="F186" s="131">
        <v>1</v>
      </c>
      <c r="G186" s="131">
        <v>1</v>
      </c>
      <c r="H186" s="161">
        <v>46187</v>
      </c>
      <c r="I186" s="126">
        <v>0</v>
      </c>
      <c r="J186" s="126">
        <v>3</v>
      </c>
      <c r="K186" s="126">
        <v>0</v>
      </c>
      <c r="L186" s="126">
        <v>0</v>
      </c>
      <c r="M186" s="126">
        <v>0</v>
      </c>
      <c r="N186" s="126">
        <v>0</v>
      </c>
      <c r="O186" s="126">
        <v>0</v>
      </c>
      <c r="P186" s="126">
        <v>0</v>
      </c>
      <c r="Q186" s="126">
        <v>0</v>
      </c>
    </row>
    <row r="187" spans="3:17" ht="23.1" customHeight="1">
      <c r="C187" s="126">
        <v>184</v>
      </c>
      <c r="D187" s="141" t="s">
        <v>769</v>
      </c>
      <c r="E187" s="159" t="s">
        <v>770</v>
      </c>
      <c r="F187" s="131">
        <v>1</v>
      </c>
      <c r="G187" s="131">
        <v>1</v>
      </c>
      <c r="H187" s="161">
        <v>46187</v>
      </c>
      <c r="I187" s="126">
        <v>0</v>
      </c>
      <c r="J187" s="126">
        <v>120</v>
      </c>
      <c r="K187" s="126">
        <v>0</v>
      </c>
      <c r="L187" s="126">
        <v>0</v>
      </c>
      <c r="M187" s="126">
        <v>0</v>
      </c>
      <c r="N187" s="126">
        <v>0</v>
      </c>
      <c r="O187" s="126">
        <v>0</v>
      </c>
      <c r="P187" s="126">
        <v>0</v>
      </c>
      <c r="Q187" s="126">
        <v>0</v>
      </c>
    </row>
    <row r="188" spans="3:17" ht="23.1" customHeight="1">
      <c r="C188" s="126">
        <v>177</v>
      </c>
      <c r="D188" s="141" t="s">
        <v>752</v>
      </c>
      <c r="E188" s="159" t="s">
        <v>753</v>
      </c>
      <c r="F188" s="131">
        <v>1</v>
      </c>
      <c r="G188" s="131">
        <v>1</v>
      </c>
      <c r="H188" s="161">
        <v>46188</v>
      </c>
      <c r="I188" s="126">
        <v>0</v>
      </c>
      <c r="J188" s="126">
        <v>800</v>
      </c>
      <c r="K188" s="126">
        <v>0</v>
      </c>
      <c r="L188" s="126">
        <v>0</v>
      </c>
      <c r="M188" s="126">
        <v>0</v>
      </c>
      <c r="N188" s="126">
        <v>0</v>
      </c>
      <c r="O188" s="126">
        <v>0</v>
      </c>
      <c r="P188" s="126">
        <v>0</v>
      </c>
      <c r="Q188" s="126">
        <v>0</v>
      </c>
    </row>
    <row r="189" spans="3:17" ht="23.1" customHeight="1">
      <c r="C189" s="126">
        <v>179</v>
      </c>
      <c r="D189" s="141" t="s">
        <v>564</v>
      </c>
      <c r="E189" s="159" t="s">
        <v>565</v>
      </c>
      <c r="F189" s="131">
        <v>1</v>
      </c>
      <c r="G189" s="131">
        <v>1</v>
      </c>
      <c r="H189" s="161">
        <v>46188</v>
      </c>
      <c r="I189" s="126">
        <v>0</v>
      </c>
      <c r="J189" s="126">
        <v>750</v>
      </c>
      <c r="K189" s="126">
        <v>0</v>
      </c>
      <c r="L189" s="126">
        <v>0</v>
      </c>
      <c r="M189" s="126">
        <v>0</v>
      </c>
      <c r="N189" s="126">
        <v>0</v>
      </c>
      <c r="O189" s="126">
        <v>0</v>
      </c>
      <c r="P189" s="126">
        <v>0</v>
      </c>
      <c r="Q189" s="126">
        <v>0</v>
      </c>
    </row>
    <row r="190" spans="3:17" ht="23.1" customHeight="1">
      <c r="C190" s="126">
        <v>69</v>
      </c>
      <c r="D190" s="141" t="s">
        <v>1234</v>
      </c>
      <c r="E190" s="159" t="s">
        <v>1235</v>
      </c>
      <c r="F190" s="131">
        <v>1</v>
      </c>
      <c r="G190" s="131">
        <v>1</v>
      </c>
      <c r="H190" s="161">
        <v>46188</v>
      </c>
      <c r="I190" s="126">
        <v>0</v>
      </c>
      <c r="J190" s="126">
        <v>4</v>
      </c>
      <c r="K190" s="126">
        <v>0</v>
      </c>
      <c r="L190" s="126">
        <v>0</v>
      </c>
      <c r="M190" s="126">
        <v>0</v>
      </c>
      <c r="N190" s="126">
        <v>0</v>
      </c>
      <c r="O190" s="126">
        <v>0</v>
      </c>
      <c r="P190" s="126">
        <v>0</v>
      </c>
      <c r="Q190" s="126">
        <v>0</v>
      </c>
    </row>
    <row r="191" spans="3:17" ht="23.1" customHeight="1">
      <c r="C191" s="126">
        <v>181</v>
      </c>
      <c r="D191" s="141" t="s">
        <v>761</v>
      </c>
      <c r="E191" s="159" t="s">
        <v>762</v>
      </c>
      <c r="F191" s="131">
        <v>1</v>
      </c>
      <c r="G191" s="131">
        <v>1</v>
      </c>
      <c r="H191" s="161">
        <v>46188</v>
      </c>
      <c r="I191" s="126">
        <v>0</v>
      </c>
      <c r="J191" s="126">
        <v>12</v>
      </c>
      <c r="K191" s="126">
        <v>0</v>
      </c>
      <c r="L191" s="126">
        <v>0</v>
      </c>
      <c r="M191" s="126">
        <v>0</v>
      </c>
      <c r="N191" s="126">
        <v>0</v>
      </c>
      <c r="O191" s="126">
        <v>0</v>
      </c>
      <c r="P191" s="126">
        <v>0</v>
      </c>
      <c r="Q191" s="126">
        <v>0</v>
      </c>
    </row>
    <row r="192" spans="3:17" ht="23.1" customHeight="1">
      <c r="C192" s="126">
        <v>42</v>
      </c>
      <c r="D192" s="141" t="s">
        <v>975</v>
      </c>
      <c r="E192" s="159" t="s">
        <v>976</v>
      </c>
      <c r="F192" s="131">
        <v>1</v>
      </c>
      <c r="G192" s="131">
        <v>1</v>
      </c>
      <c r="H192" s="161">
        <v>46188</v>
      </c>
      <c r="I192" s="126">
        <v>0</v>
      </c>
      <c r="J192" s="126">
        <v>4</v>
      </c>
      <c r="K192" s="126">
        <v>0</v>
      </c>
      <c r="L192" s="126">
        <v>0</v>
      </c>
      <c r="M192" s="126">
        <v>0</v>
      </c>
      <c r="N192" s="126">
        <v>0</v>
      </c>
      <c r="O192" s="126">
        <v>0</v>
      </c>
      <c r="P192" s="126">
        <v>0</v>
      </c>
      <c r="Q192" s="126">
        <v>0</v>
      </c>
    </row>
    <row r="193" spans="3:17" ht="23.1" customHeight="1">
      <c r="C193" s="126">
        <v>74</v>
      </c>
      <c r="D193" s="141" t="s">
        <v>1367</v>
      </c>
      <c r="E193" s="159" t="s">
        <v>1368</v>
      </c>
      <c r="F193" s="131">
        <v>1</v>
      </c>
      <c r="G193" s="131">
        <v>1</v>
      </c>
      <c r="H193" s="161">
        <v>46188</v>
      </c>
      <c r="I193" s="126">
        <v>0</v>
      </c>
      <c r="J193" s="126">
        <v>2</v>
      </c>
      <c r="K193" s="126">
        <v>0</v>
      </c>
      <c r="L193" s="126">
        <v>0</v>
      </c>
      <c r="M193" s="126">
        <v>0</v>
      </c>
      <c r="N193" s="126">
        <v>0</v>
      </c>
      <c r="O193" s="126">
        <v>0</v>
      </c>
      <c r="P193" s="126">
        <v>0</v>
      </c>
      <c r="Q193" s="126">
        <v>0</v>
      </c>
    </row>
    <row r="194" spans="3:17" ht="23.1" customHeight="1">
      <c r="C194" s="126">
        <v>44</v>
      </c>
      <c r="D194" s="141" t="s">
        <v>1229</v>
      </c>
      <c r="E194" s="159" t="s">
        <v>1230</v>
      </c>
      <c r="F194" s="131">
        <v>1</v>
      </c>
      <c r="G194" s="131">
        <v>1</v>
      </c>
      <c r="H194" s="161">
        <v>46188</v>
      </c>
      <c r="I194" s="126">
        <v>0</v>
      </c>
      <c r="J194" s="126">
        <v>2</v>
      </c>
      <c r="K194" s="126">
        <v>0</v>
      </c>
      <c r="L194" s="126">
        <v>0</v>
      </c>
      <c r="M194" s="126">
        <v>0</v>
      </c>
      <c r="N194" s="126">
        <v>0</v>
      </c>
      <c r="O194" s="126">
        <v>0</v>
      </c>
      <c r="P194" s="126">
        <v>0</v>
      </c>
      <c r="Q194" s="126">
        <v>0</v>
      </c>
    </row>
    <row r="195" spans="3:17" ht="23.1" customHeight="1">
      <c r="C195" s="126">
        <v>46</v>
      </c>
      <c r="D195" s="141" t="s">
        <v>647</v>
      </c>
      <c r="E195" s="159" t="s">
        <v>648</v>
      </c>
      <c r="F195" s="131">
        <v>1</v>
      </c>
      <c r="G195" s="131">
        <v>1</v>
      </c>
      <c r="H195" s="161">
        <v>46188</v>
      </c>
      <c r="I195" s="126">
        <v>0</v>
      </c>
      <c r="J195" s="126">
        <v>4</v>
      </c>
      <c r="K195" s="126">
        <v>0</v>
      </c>
      <c r="L195" s="126">
        <v>0</v>
      </c>
      <c r="M195" s="126">
        <v>0</v>
      </c>
      <c r="N195" s="126">
        <v>0</v>
      </c>
      <c r="O195" s="126">
        <v>0</v>
      </c>
      <c r="P195" s="126">
        <v>0</v>
      </c>
      <c r="Q195" s="126">
        <v>0</v>
      </c>
    </row>
    <row r="196" spans="3:17" ht="23.1" customHeight="1">
      <c r="C196" s="126">
        <v>103</v>
      </c>
      <c r="D196" s="141" t="s">
        <v>1024</v>
      </c>
      <c r="E196" s="159" t="s">
        <v>1025</v>
      </c>
      <c r="F196" s="131">
        <v>1</v>
      </c>
      <c r="G196" s="131">
        <v>1</v>
      </c>
      <c r="H196" s="161">
        <v>46188</v>
      </c>
      <c r="I196" s="126">
        <v>0</v>
      </c>
      <c r="J196" s="126">
        <v>1</v>
      </c>
      <c r="K196" s="126">
        <v>0</v>
      </c>
      <c r="L196" s="126">
        <v>0</v>
      </c>
      <c r="M196" s="126">
        <v>0</v>
      </c>
      <c r="N196" s="126">
        <v>0</v>
      </c>
      <c r="O196" s="126">
        <v>0</v>
      </c>
      <c r="P196" s="126">
        <v>0</v>
      </c>
      <c r="Q196" s="126">
        <v>0</v>
      </c>
    </row>
    <row r="197" spans="3:17" ht="23.1" customHeight="1">
      <c r="C197" s="126">
        <v>75</v>
      </c>
      <c r="D197" s="141" t="s">
        <v>1381</v>
      </c>
      <c r="E197" s="159" t="s">
        <v>1382</v>
      </c>
      <c r="F197" s="131">
        <v>1</v>
      </c>
      <c r="G197" s="131">
        <v>1</v>
      </c>
      <c r="H197" s="161">
        <v>46188</v>
      </c>
      <c r="I197" s="126">
        <v>0</v>
      </c>
      <c r="J197" s="126">
        <v>1</v>
      </c>
      <c r="K197" s="126">
        <v>0</v>
      </c>
      <c r="L197" s="126">
        <v>0</v>
      </c>
      <c r="M197" s="126">
        <v>0</v>
      </c>
      <c r="N197" s="126">
        <v>0</v>
      </c>
      <c r="O197" s="126">
        <v>0</v>
      </c>
      <c r="P197" s="126">
        <v>0</v>
      </c>
      <c r="Q197" s="126">
        <v>0</v>
      </c>
    </row>
    <row r="198" spans="3:17" ht="23.1" customHeight="1">
      <c r="C198" s="126">
        <v>68</v>
      </c>
      <c r="D198" s="141" t="s">
        <v>1242</v>
      </c>
      <c r="E198" s="159" t="s">
        <v>1243</v>
      </c>
      <c r="F198" s="131">
        <v>1</v>
      </c>
      <c r="G198" s="131">
        <v>1</v>
      </c>
      <c r="H198" s="161">
        <v>46188</v>
      </c>
      <c r="I198" s="126">
        <v>0</v>
      </c>
      <c r="J198" s="126">
        <v>1</v>
      </c>
      <c r="K198" s="126">
        <v>0</v>
      </c>
      <c r="L198" s="126">
        <v>0</v>
      </c>
      <c r="M198" s="126">
        <v>0</v>
      </c>
      <c r="N198" s="126">
        <v>0</v>
      </c>
      <c r="O198" s="126">
        <v>0</v>
      </c>
      <c r="P198" s="126">
        <v>0</v>
      </c>
      <c r="Q198" s="126">
        <v>0</v>
      </c>
    </row>
    <row r="199" spans="3:17" ht="23.1" customHeight="1">
      <c r="C199" s="126">
        <v>150</v>
      </c>
      <c r="D199" s="141" t="s">
        <v>1405</v>
      </c>
      <c r="E199" s="159" t="s">
        <v>1406</v>
      </c>
      <c r="F199" s="131">
        <v>1</v>
      </c>
      <c r="G199" s="131">
        <v>1</v>
      </c>
      <c r="H199" s="161">
        <v>46188</v>
      </c>
      <c r="I199" s="126">
        <v>0</v>
      </c>
      <c r="J199" s="126">
        <v>24</v>
      </c>
      <c r="K199" s="126">
        <v>0</v>
      </c>
      <c r="L199" s="126">
        <v>0</v>
      </c>
      <c r="M199" s="126">
        <v>0</v>
      </c>
      <c r="N199" s="126">
        <v>0</v>
      </c>
      <c r="O199" s="126">
        <v>0</v>
      </c>
      <c r="P199" s="126">
        <v>0</v>
      </c>
      <c r="Q199" s="126">
        <v>0</v>
      </c>
    </row>
    <row r="200" spans="3:17" ht="23.1" customHeight="1">
      <c r="C200" s="126">
        <v>18</v>
      </c>
      <c r="D200" s="141" t="s">
        <v>703</v>
      </c>
      <c r="E200" s="159" t="s">
        <v>704</v>
      </c>
      <c r="F200" s="131">
        <v>1</v>
      </c>
      <c r="G200" s="131">
        <v>1</v>
      </c>
      <c r="H200" s="161">
        <v>46188</v>
      </c>
      <c r="I200" s="126">
        <v>0</v>
      </c>
      <c r="J200" s="126">
        <v>2</v>
      </c>
      <c r="K200" s="126">
        <v>0</v>
      </c>
      <c r="L200" s="126">
        <v>0</v>
      </c>
      <c r="M200" s="126">
        <v>0</v>
      </c>
      <c r="N200" s="126">
        <v>0</v>
      </c>
      <c r="O200" s="126">
        <v>0</v>
      </c>
      <c r="P200" s="126">
        <v>0</v>
      </c>
      <c r="Q200" s="126">
        <v>0</v>
      </c>
    </row>
    <row r="201" spans="3:17" ht="23.1" customHeight="1">
      <c r="C201" s="126">
        <v>108</v>
      </c>
      <c r="D201" s="141" t="s">
        <v>1009</v>
      </c>
      <c r="E201" s="159" t="s">
        <v>1010</v>
      </c>
      <c r="F201" s="131">
        <v>1</v>
      </c>
      <c r="G201" s="131">
        <v>1</v>
      </c>
      <c r="H201" s="161">
        <v>46188</v>
      </c>
      <c r="I201" s="126">
        <v>0</v>
      </c>
      <c r="J201" s="126">
        <v>1</v>
      </c>
      <c r="K201" s="126">
        <v>0</v>
      </c>
      <c r="L201" s="126">
        <v>0</v>
      </c>
      <c r="M201" s="126">
        <v>0</v>
      </c>
      <c r="N201" s="126">
        <v>0</v>
      </c>
      <c r="O201" s="126">
        <v>0</v>
      </c>
      <c r="P201" s="126">
        <v>0</v>
      </c>
      <c r="Q201" s="126">
        <v>0</v>
      </c>
    </row>
    <row r="202" spans="3:17" ht="23.1" customHeight="1">
      <c r="C202" s="126">
        <v>22</v>
      </c>
      <c r="D202" s="141" t="s">
        <v>642</v>
      </c>
      <c r="E202" s="159" t="s">
        <v>643</v>
      </c>
      <c r="F202" s="131">
        <v>1</v>
      </c>
      <c r="G202" s="131">
        <v>1</v>
      </c>
      <c r="H202" s="161">
        <v>46188</v>
      </c>
      <c r="I202" s="126">
        <v>0</v>
      </c>
      <c r="J202" s="126">
        <v>2</v>
      </c>
      <c r="K202" s="126">
        <v>0</v>
      </c>
      <c r="L202" s="126">
        <v>0</v>
      </c>
      <c r="M202" s="126">
        <v>0</v>
      </c>
      <c r="N202" s="126">
        <v>0</v>
      </c>
      <c r="O202" s="126">
        <v>0</v>
      </c>
      <c r="P202" s="126">
        <v>0</v>
      </c>
      <c r="Q202" s="126">
        <v>0</v>
      </c>
    </row>
    <row r="203" spans="3:17" ht="23.1" customHeight="1">
      <c r="C203" s="126">
        <v>14</v>
      </c>
      <c r="D203" s="141" t="s">
        <v>696</v>
      </c>
      <c r="E203" s="159" t="s">
        <v>697</v>
      </c>
      <c r="F203" s="131">
        <v>1</v>
      </c>
      <c r="G203" s="131">
        <v>1</v>
      </c>
      <c r="H203" s="161">
        <v>46188</v>
      </c>
      <c r="I203" s="126">
        <v>0</v>
      </c>
      <c r="J203" s="126">
        <v>1</v>
      </c>
      <c r="K203" s="126">
        <v>0</v>
      </c>
      <c r="L203" s="126">
        <v>0</v>
      </c>
      <c r="M203" s="126">
        <v>0</v>
      </c>
      <c r="N203" s="126">
        <v>0</v>
      </c>
      <c r="O203" s="126">
        <v>0</v>
      </c>
      <c r="P203" s="126">
        <v>0</v>
      </c>
      <c r="Q203" s="126">
        <v>0</v>
      </c>
    </row>
    <row r="204" spans="3:17" ht="23.1" customHeight="1">
      <c r="C204" s="126">
        <v>16</v>
      </c>
      <c r="D204" s="141" t="s">
        <v>699</v>
      </c>
      <c r="E204" s="159" t="s">
        <v>700</v>
      </c>
      <c r="F204" s="131">
        <v>1</v>
      </c>
      <c r="G204" s="131">
        <v>1</v>
      </c>
      <c r="H204" s="161">
        <v>46188</v>
      </c>
      <c r="I204" s="126">
        <v>0</v>
      </c>
      <c r="J204" s="126">
        <v>1</v>
      </c>
      <c r="K204" s="126">
        <v>0</v>
      </c>
      <c r="L204" s="126">
        <v>0</v>
      </c>
      <c r="M204" s="126">
        <v>0</v>
      </c>
      <c r="N204" s="126">
        <v>0</v>
      </c>
      <c r="O204" s="126">
        <v>0</v>
      </c>
      <c r="P204" s="126">
        <v>0</v>
      </c>
      <c r="Q204" s="126">
        <v>0</v>
      </c>
    </row>
    <row r="205" spans="3:17" ht="23.1" customHeight="1">
      <c r="C205" s="126">
        <v>50</v>
      </c>
      <c r="D205" s="141" t="s">
        <v>803</v>
      </c>
      <c r="E205" s="159" t="s">
        <v>804</v>
      </c>
      <c r="F205" s="131">
        <v>1</v>
      </c>
      <c r="G205" s="131">
        <v>1</v>
      </c>
      <c r="H205" s="161">
        <v>46188</v>
      </c>
      <c r="I205" s="126">
        <v>0</v>
      </c>
      <c r="J205" s="126">
        <v>3</v>
      </c>
      <c r="K205" s="126">
        <v>0</v>
      </c>
      <c r="L205" s="126">
        <v>0</v>
      </c>
      <c r="M205" s="126">
        <v>0</v>
      </c>
      <c r="N205" s="126">
        <v>0</v>
      </c>
      <c r="O205" s="126">
        <v>0</v>
      </c>
      <c r="P205" s="126">
        <v>0</v>
      </c>
      <c r="Q205" s="126">
        <v>0</v>
      </c>
    </row>
    <row r="206" spans="3:17" ht="23.1" customHeight="1">
      <c r="C206" s="126">
        <v>177</v>
      </c>
      <c r="D206" s="141" t="s">
        <v>752</v>
      </c>
      <c r="E206" s="159" t="s">
        <v>753</v>
      </c>
      <c r="F206" s="131">
        <v>1</v>
      </c>
      <c r="G206" s="131">
        <v>1</v>
      </c>
      <c r="H206" s="161">
        <v>46189</v>
      </c>
      <c r="I206" s="126">
        <v>0</v>
      </c>
      <c r="J206" s="126">
        <v>650</v>
      </c>
      <c r="K206" s="126">
        <v>0</v>
      </c>
      <c r="L206" s="126">
        <v>0</v>
      </c>
      <c r="M206" s="126">
        <v>0</v>
      </c>
      <c r="N206" s="126">
        <v>0</v>
      </c>
      <c r="O206" s="126">
        <v>0</v>
      </c>
      <c r="P206" s="126">
        <v>0</v>
      </c>
      <c r="Q206" s="126">
        <v>0</v>
      </c>
    </row>
    <row r="207" spans="3:17" ht="23.1" customHeight="1">
      <c r="C207" s="126">
        <v>179</v>
      </c>
      <c r="D207" s="141" t="s">
        <v>564</v>
      </c>
      <c r="E207" s="159" t="s">
        <v>565</v>
      </c>
      <c r="F207" s="131">
        <v>1</v>
      </c>
      <c r="G207" s="131">
        <v>1</v>
      </c>
      <c r="H207" s="161">
        <v>46189</v>
      </c>
      <c r="I207" s="126">
        <v>0</v>
      </c>
      <c r="J207" s="126">
        <v>300</v>
      </c>
      <c r="K207" s="126">
        <v>0</v>
      </c>
      <c r="L207" s="126">
        <v>0</v>
      </c>
      <c r="M207" s="126">
        <v>0</v>
      </c>
      <c r="N207" s="126">
        <v>0</v>
      </c>
      <c r="O207" s="126">
        <v>0</v>
      </c>
      <c r="P207" s="126">
        <v>0</v>
      </c>
      <c r="Q207" s="126">
        <v>0</v>
      </c>
    </row>
    <row r="208" spans="3:17" ht="23.1" customHeight="1">
      <c r="C208" s="126">
        <v>187</v>
      </c>
      <c r="D208" s="141" t="s">
        <v>576</v>
      </c>
      <c r="E208" s="159" t="s">
        <v>577</v>
      </c>
      <c r="F208" s="131">
        <v>1</v>
      </c>
      <c r="G208" s="131">
        <v>1</v>
      </c>
      <c r="H208" s="161">
        <v>46189</v>
      </c>
      <c r="I208" s="126">
        <v>0</v>
      </c>
      <c r="J208" s="126">
        <v>40</v>
      </c>
      <c r="K208" s="126">
        <v>0</v>
      </c>
      <c r="L208" s="126">
        <v>0</v>
      </c>
      <c r="M208" s="126">
        <v>0</v>
      </c>
      <c r="N208" s="126">
        <v>0</v>
      </c>
      <c r="O208" s="126">
        <v>0</v>
      </c>
      <c r="P208" s="126">
        <v>0</v>
      </c>
      <c r="Q208" s="126">
        <v>0</v>
      </c>
    </row>
    <row r="209" spans="3:17" ht="23.1" customHeight="1">
      <c r="C209" s="126">
        <v>195</v>
      </c>
      <c r="D209" s="141" t="s">
        <v>608</v>
      </c>
      <c r="E209" s="159" t="s">
        <v>609</v>
      </c>
      <c r="F209" s="131">
        <v>1</v>
      </c>
      <c r="G209" s="131">
        <v>1</v>
      </c>
      <c r="H209" s="161">
        <v>46189</v>
      </c>
      <c r="I209" s="126">
        <v>0</v>
      </c>
      <c r="J209" s="126">
        <v>12</v>
      </c>
      <c r="K209" s="126">
        <v>0</v>
      </c>
      <c r="L209" s="126">
        <v>0</v>
      </c>
      <c r="M209" s="126">
        <v>0</v>
      </c>
      <c r="N209" s="126">
        <v>0</v>
      </c>
      <c r="O209" s="126">
        <v>0</v>
      </c>
      <c r="P209" s="126">
        <v>0</v>
      </c>
      <c r="Q209" s="126">
        <v>0</v>
      </c>
    </row>
    <row r="210" spans="3:17" ht="23.1" customHeight="1">
      <c r="C210" s="126">
        <v>16</v>
      </c>
      <c r="D210" s="141" t="s">
        <v>699</v>
      </c>
      <c r="E210" s="159" t="s">
        <v>700</v>
      </c>
      <c r="F210" s="131">
        <v>1</v>
      </c>
      <c r="G210" s="131">
        <v>1</v>
      </c>
      <c r="H210" s="161">
        <v>46189</v>
      </c>
      <c r="I210" s="126">
        <v>0</v>
      </c>
      <c r="J210" s="126">
        <v>10</v>
      </c>
      <c r="K210" s="126">
        <v>0</v>
      </c>
      <c r="L210" s="126">
        <v>0</v>
      </c>
      <c r="M210" s="126">
        <v>0</v>
      </c>
      <c r="N210" s="126">
        <v>0</v>
      </c>
      <c r="O210" s="126">
        <v>0</v>
      </c>
      <c r="P210" s="126">
        <v>0</v>
      </c>
      <c r="Q210" s="126">
        <v>0</v>
      </c>
    </row>
    <row r="211" spans="3:17" ht="23.1" customHeight="1">
      <c r="C211" s="126">
        <v>10</v>
      </c>
      <c r="D211" s="141" t="s">
        <v>586</v>
      </c>
      <c r="E211" s="159" t="s">
        <v>587</v>
      </c>
      <c r="F211" s="131">
        <v>1</v>
      </c>
      <c r="G211" s="131">
        <v>1</v>
      </c>
      <c r="H211" s="161">
        <v>46189</v>
      </c>
      <c r="I211" s="126">
        <v>0</v>
      </c>
      <c r="J211" s="126">
        <v>1</v>
      </c>
      <c r="K211" s="126">
        <v>0</v>
      </c>
      <c r="L211" s="126">
        <v>0</v>
      </c>
      <c r="M211" s="126">
        <v>0</v>
      </c>
      <c r="N211" s="126">
        <v>0</v>
      </c>
      <c r="O211" s="126">
        <v>0</v>
      </c>
      <c r="P211" s="126">
        <v>0</v>
      </c>
      <c r="Q211" s="126">
        <v>0</v>
      </c>
    </row>
    <row r="212" spans="3:17" ht="23.1" customHeight="1">
      <c r="C212" s="126">
        <v>178</v>
      </c>
      <c r="D212" s="141" t="s">
        <v>755</v>
      </c>
      <c r="E212" s="159" t="s">
        <v>756</v>
      </c>
      <c r="F212" s="131">
        <v>1</v>
      </c>
      <c r="G212" s="131">
        <v>1</v>
      </c>
      <c r="H212" s="161">
        <v>46189</v>
      </c>
      <c r="I212" s="126">
        <v>0</v>
      </c>
      <c r="J212" s="126">
        <v>200</v>
      </c>
      <c r="K212" s="126">
        <v>0</v>
      </c>
      <c r="L212" s="126">
        <v>0</v>
      </c>
      <c r="M212" s="126">
        <v>0</v>
      </c>
      <c r="N212" s="126">
        <v>0</v>
      </c>
      <c r="O212" s="126">
        <v>0</v>
      </c>
      <c r="P212" s="126">
        <v>0</v>
      </c>
      <c r="Q212" s="126">
        <v>0</v>
      </c>
    </row>
    <row r="213" spans="3:17" ht="23.1" customHeight="1">
      <c r="C213" s="126">
        <v>197</v>
      </c>
      <c r="D213" s="141" t="s">
        <v>652</v>
      </c>
      <c r="E213" s="159" t="s">
        <v>653</v>
      </c>
      <c r="F213" s="131">
        <v>1</v>
      </c>
      <c r="G213" s="131">
        <v>1</v>
      </c>
      <c r="H213" s="161">
        <v>46190</v>
      </c>
      <c r="I213" s="126">
        <v>0</v>
      </c>
      <c r="J213" s="126">
        <v>8</v>
      </c>
      <c r="K213" s="126">
        <v>0</v>
      </c>
      <c r="L213" s="126">
        <v>0</v>
      </c>
      <c r="M213" s="126">
        <v>0</v>
      </c>
      <c r="N213" s="126">
        <v>0</v>
      </c>
      <c r="O213" s="126">
        <v>0</v>
      </c>
      <c r="P213" s="126">
        <v>0</v>
      </c>
      <c r="Q213" s="126">
        <v>0</v>
      </c>
    </row>
    <row r="214" spans="3:17" ht="23.1" customHeight="1">
      <c r="C214" s="126">
        <v>181</v>
      </c>
      <c r="D214" s="141" t="s">
        <v>761</v>
      </c>
      <c r="E214" s="159" t="s">
        <v>762</v>
      </c>
      <c r="F214" s="131">
        <v>1</v>
      </c>
      <c r="G214" s="131">
        <v>1</v>
      </c>
      <c r="H214" s="161">
        <v>46190</v>
      </c>
      <c r="I214" s="126">
        <v>0</v>
      </c>
      <c r="J214" s="126">
        <v>120</v>
      </c>
      <c r="K214" s="126">
        <v>0</v>
      </c>
      <c r="L214" s="126">
        <v>0</v>
      </c>
      <c r="M214" s="126">
        <v>0</v>
      </c>
      <c r="N214" s="126">
        <v>0</v>
      </c>
      <c r="O214" s="126">
        <v>0</v>
      </c>
      <c r="P214" s="126">
        <v>0</v>
      </c>
      <c r="Q214" s="126">
        <v>0</v>
      </c>
    </row>
    <row r="215" spans="3:17" ht="23.1" customHeight="1">
      <c r="C215" s="126">
        <v>178</v>
      </c>
      <c r="D215" s="141" t="s">
        <v>755</v>
      </c>
      <c r="E215" s="159" t="s">
        <v>756</v>
      </c>
      <c r="F215" s="131">
        <v>1</v>
      </c>
      <c r="G215" s="131">
        <v>1</v>
      </c>
      <c r="H215" s="161">
        <v>46190</v>
      </c>
      <c r="I215" s="126">
        <v>0</v>
      </c>
      <c r="J215" s="126">
        <v>1300</v>
      </c>
      <c r="K215" s="126">
        <v>0</v>
      </c>
      <c r="L215" s="126">
        <v>0</v>
      </c>
      <c r="M215" s="126">
        <v>0</v>
      </c>
      <c r="N215" s="126">
        <v>0</v>
      </c>
      <c r="O215" s="126">
        <v>0</v>
      </c>
      <c r="P215" s="126">
        <v>0</v>
      </c>
      <c r="Q215" s="126">
        <v>0</v>
      </c>
    </row>
    <row r="216" spans="3:17" ht="23.1" customHeight="1">
      <c r="C216" s="126">
        <v>177</v>
      </c>
      <c r="D216" s="141" t="s">
        <v>752</v>
      </c>
      <c r="E216" s="159" t="s">
        <v>753</v>
      </c>
      <c r="F216" s="131">
        <v>1</v>
      </c>
      <c r="G216" s="131">
        <v>1</v>
      </c>
      <c r="H216" s="161">
        <v>46190</v>
      </c>
      <c r="I216" s="126">
        <v>0</v>
      </c>
      <c r="J216" s="126">
        <v>150</v>
      </c>
      <c r="K216" s="126">
        <v>0</v>
      </c>
      <c r="L216" s="126">
        <v>0</v>
      </c>
      <c r="M216" s="126">
        <v>0</v>
      </c>
      <c r="N216" s="126">
        <v>0</v>
      </c>
      <c r="O216" s="126">
        <v>0</v>
      </c>
      <c r="P216" s="126">
        <v>0</v>
      </c>
      <c r="Q216" s="126">
        <v>0</v>
      </c>
    </row>
    <row r="217" spans="3:17" ht="23.1" customHeight="1">
      <c r="C217" s="126">
        <v>183</v>
      </c>
      <c r="D217" s="141" t="s">
        <v>766</v>
      </c>
      <c r="E217" s="159" t="s">
        <v>767</v>
      </c>
      <c r="F217" s="131">
        <v>1</v>
      </c>
      <c r="G217" s="131">
        <v>1</v>
      </c>
      <c r="H217" s="161">
        <v>46190</v>
      </c>
      <c r="I217" s="126">
        <v>0</v>
      </c>
      <c r="J217" s="126">
        <v>60</v>
      </c>
      <c r="K217" s="126">
        <v>0</v>
      </c>
      <c r="L217" s="126">
        <v>0</v>
      </c>
      <c r="M217" s="126">
        <v>0</v>
      </c>
      <c r="N217" s="126">
        <v>0</v>
      </c>
      <c r="O217" s="126">
        <v>0</v>
      </c>
      <c r="P217" s="126">
        <v>0</v>
      </c>
      <c r="Q217" s="126">
        <v>0</v>
      </c>
    </row>
    <row r="218" spans="3:17" ht="23.1" customHeight="1">
      <c r="C218" s="126">
        <v>167</v>
      </c>
      <c r="D218" s="141" t="s">
        <v>1029</v>
      </c>
      <c r="E218" s="159" t="s">
        <v>1030</v>
      </c>
      <c r="F218" s="131">
        <v>1</v>
      </c>
      <c r="G218" s="131">
        <v>1</v>
      </c>
      <c r="H218" s="161">
        <v>46190</v>
      </c>
      <c r="I218" s="126">
        <v>0</v>
      </c>
      <c r="J218" s="126">
        <v>7</v>
      </c>
      <c r="K218" s="126">
        <v>0</v>
      </c>
      <c r="L218" s="126">
        <v>0</v>
      </c>
      <c r="M218" s="126">
        <v>0</v>
      </c>
      <c r="N218" s="126">
        <v>0</v>
      </c>
      <c r="O218" s="126">
        <v>0</v>
      </c>
      <c r="P218" s="126">
        <v>0</v>
      </c>
      <c r="Q218" s="126">
        <v>0</v>
      </c>
    </row>
    <row r="219" spans="3:17" ht="23.1" customHeight="1">
      <c r="C219" s="126">
        <v>144</v>
      </c>
      <c r="D219" s="141" t="s">
        <v>996</v>
      </c>
      <c r="E219" s="159" t="s">
        <v>997</v>
      </c>
      <c r="F219" s="131">
        <v>1</v>
      </c>
      <c r="G219" s="131">
        <v>1</v>
      </c>
      <c r="H219" s="161">
        <v>46190</v>
      </c>
      <c r="I219" s="126">
        <v>0</v>
      </c>
      <c r="J219" s="126">
        <v>4</v>
      </c>
      <c r="K219" s="126">
        <v>0</v>
      </c>
      <c r="L219" s="126">
        <v>0</v>
      </c>
      <c r="M219" s="126">
        <v>0</v>
      </c>
      <c r="N219" s="126">
        <v>0</v>
      </c>
      <c r="O219" s="126">
        <v>0</v>
      </c>
      <c r="P219" s="126">
        <v>0</v>
      </c>
      <c r="Q219" s="126">
        <v>0</v>
      </c>
    </row>
    <row r="220" spans="3:17" ht="23.1" customHeight="1">
      <c r="C220" s="126">
        <v>74</v>
      </c>
      <c r="D220" s="141" t="s">
        <v>1367</v>
      </c>
      <c r="E220" s="159" t="s">
        <v>1368</v>
      </c>
      <c r="F220" s="131">
        <v>1</v>
      </c>
      <c r="G220" s="131">
        <v>1</v>
      </c>
      <c r="H220" s="161">
        <v>46190</v>
      </c>
      <c r="I220" s="126">
        <v>0</v>
      </c>
      <c r="J220" s="126">
        <v>4</v>
      </c>
      <c r="K220" s="126">
        <v>0</v>
      </c>
      <c r="L220" s="126">
        <v>0</v>
      </c>
      <c r="M220" s="126">
        <v>0</v>
      </c>
      <c r="N220" s="126">
        <v>0</v>
      </c>
      <c r="O220" s="126">
        <v>0</v>
      </c>
      <c r="P220" s="126">
        <v>0</v>
      </c>
      <c r="Q220" s="126">
        <v>0</v>
      </c>
    </row>
    <row r="221" spans="3:17" ht="23.1" customHeight="1">
      <c r="C221" s="126">
        <v>90</v>
      </c>
      <c r="D221" s="141" t="s">
        <v>1139</v>
      </c>
      <c r="E221" s="159" t="s">
        <v>1140</v>
      </c>
      <c r="F221" s="131">
        <v>1</v>
      </c>
      <c r="G221" s="131">
        <v>1</v>
      </c>
      <c r="H221" s="161">
        <v>46190</v>
      </c>
      <c r="I221" s="126">
        <v>0</v>
      </c>
      <c r="J221" s="126">
        <v>4</v>
      </c>
      <c r="K221" s="126">
        <v>0</v>
      </c>
      <c r="L221" s="126">
        <v>0</v>
      </c>
      <c r="M221" s="126">
        <v>0</v>
      </c>
      <c r="N221" s="126">
        <v>0</v>
      </c>
      <c r="O221" s="126">
        <v>0</v>
      </c>
      <c r="P221" s="126">
        <v>0</v>
      </c>
      <c r="Q221" s="126">
        <v>0</v>
      </c>
    </row>
    <row r="222" spans="3:17" ht="23.1" customHeight="1">
      <c r="C222" s="126">
        <v>49</v>
      </c>
      <c r="D222" s="141" t="s">
        <v>813</v>
      </c>
      <c r="E222" s="159" t="s">
        <v>814</v>
      </c>
      <c r="F222" s="131">
        <v>1</v>
      </c>
      <c r="G222" s="131">
        <v>1</v>
      </c>
      <c r="H222" s="161">
        <v>46190</v>
      </c>
      <c r="I222" s="126">
        <v>0</v>
      </c>
      <c r="J222" s="126">
        <v>2</v>
      </c>
      <c r="K222" s="126">
        <v>0</v>
      </c>
      <c r="L222" s="126">
        <v>0</v>
      </c>
      <c r="M222" s="126">
        <v>0</v>
      </c>
      <c r="N222" s="126">
        <v>0</v>
      </c>
      <c r="O222" s="126">
        <v>0</v>
      </c>
      <c r="P222" s="126">
        <v>0</v>
      </c>
      <c r="Q222" s="126">
        <v>0</v>
      </c>
    </row>
    <row r="223" spans="3:17" ht="23.1" customHeight="1">
      <c r="C223" s="126">
        <v>94</v>
      </c>
      <c r="D223" s="141" t="s">
        <v>1323</v>
      </c>
      <c r="E223" s="159" t="s">
        <v>1324</v>
      </c>
      <c r="F223" s="131">
        <v>1</v>
      </c>
      <c r="G223" s="131">
        <v>1</v>
      </c>
      <c r="H223" s="161">
        <v>46190</v>
      </c>
      <c r="I223" s="126">
        <v>0</v>
      </c>
      <c r="J223" s="126">
        <v>1</v>
      </c>
      <c r="K223" s="126">
        <v>0</v>
      </c>
      <c r="L223" s="126">
        <v>0</v>
      </c>
      <c r="M223" s="126">
        <v>0</v>
      </c>
      <c r="N223" s="126">
        <v>0</v>
      </c>
      <c r="O223" s="126">
        <v>0</v>
      </c>
      <c r="P223" s="126">
        <v>0</v>
      </c>
      <c r="Q223" s="126">
        <v>0</v>
      </c>
    </row>
    <row r="224" spans="3:17" ht="23.1" customHeight="1">
      <c r="C224" s="126">
        <v>19</v>
      </c>
      <c r="D224" s="141" t="s">
        <v>706</v>
      </c>
      <c r="E224" s="159" t="s">
        <v>707</v>
      </c>
      <c r="F224" s="131">
        <v>1</v>
      </c>
      <c r="G224" s="131">
        <v>1</v>
      </c>
      <c r="H224" s="161">
        <v>46191</v>
      </c>
      <c r="I224" s="126">
        <v>0</v>
      </c>
      <c r="J224" s="126">
        <v>1</v>
      </c>
      <c r="K224" s="126">
        <v>0</v>
      </c>
      <c r="L224" s="126">
        <v>0</v>
      </c>
      <c r="M224" s="126">
        <v>0</v>
      </c>
      <c r="N224" s="126">
        <v>0</v>
      </c>
      <c r="O224" s="126">
        <v>0</v>
      </c>
      <c r="P224" s="126">
        <v>0</v>
      </c>
      <c r="Q224" s="126">
        <v>0</v>
      </c>
    </row>
    <row r="225" spans="3:17" ht="23.1" customHeight="1">
      <c r="C225" s="126">
        <v>22</v>
      </c>
      <c r="D225" s="141" t="s">
        <v>642</v>
      </c>
      <c r="E225" s="159" t="s">
        <v>643</v>
      </c>
      <c r="F225" s="131">
        <v>1</v>
      </c>
      <c r="G225" s="131">
        <v>1</v>
      </c>
      <c r="H225" s="161">
        <v>46191</v>
      </c>
      <c r="I225" s="126">
        <v>0</v>
      </c>
      <c r="J225" s="126">
        <v>1</v>
      </c>
      <c r="K225" s="126">
        <v>0</v>
      </c>
      <c r="L225" s="126">
        <v>0</v>
      </c>
      <c r="M225" s="126">
        <v>0</v>
      </c>
      <c r="N225" s="126">
        <v>0</v>
      </c>
      <c r="O225" s="126">
        <v>0</v>
      </c>
      <c r="P225" s="126">
        <v>0</v>
      </c>
      <c r="Q225" s="126">
        <v>0</v>
      </c>
    </row>
    <row r="226" spans="3:17" ht="23.1" customHeight="1">
      <c r="C226" s="126">
        <v>34</v>
      </c>
      <c r="D226" s="141" t="s">
        <v>1193</v>
      </c>
      <c r="E226" s="159" t="s">
        <v>1194</v>
      </c>
      <c r="F226" s="131">
        <v>1</v>
      </c>
      <c r="G226" s="131">
        <v>1</v>
      </c>
      <c r="H226" s="161">
        <v>46191</v>
      </c>
      <c r="I226" s="126">
        <v>0</v>
      </c>
      <c r="J226" s="126">
        <v>3</v>
      </c>
      <c r="K226" s="126">
        <v>0</v>
      </c>
      <c r="L226" s="126">
        <v>0</v>
      </c>
      <c r="M226" s="126">
        <v>0</v>
      </c>
      <c r="N226" s="126">
        <v>0</v>
      </c>
      <c r="O226" s="126">
        <v>0</v>
      </c>
      <c r="P226" s="126">
        <v>0</v>
      </c>
      <c r="Q226" s="126">
        <v>0</v>
      </c>
    </row>
    <row r="227" spans="3:17" ht="23.1" customHeight="1">
      <c r="C227" s="126">
        <v>37</v>
      </c>
      <c r="D227" s="141" t="s">
        <v>1515</v>
      </c>
      <c r="E227" s="159" t="s">
        <v>1516</v>
      </c>
      <c r="F227" s="131">
        <v>1</v>
      </c>
      <c r="G227" s="131">
        <v>1</v>
      </c>
      <c r="H227" s="161">
        <v>46191</v>
      </c>
      <c r="I227" s="126">
        <v>0</v>
      </c>
      <c r="J227" s="126">
        <v>1</v>
      </c>
      <c r="K227" s="126">
        <v>0</v>
      </c>
      <c r="L227" s="126">
        <v>0</v>
      </c>
      <c r="M227" s="126">
        <v>0</v>
      </c>
      <c r="N227" s="126">
        <v>0</v>
      </c>
      <c r="O227" s="126">
        <v>0</v>
      </c>
      <c r="P227" s="126">
        <v>0</v>
      </c>
      <c r="Q227" s="126">
        <v>0</v>
      </c>
    </row>
    <row r="228" spans="3:17" ht="23.1" customHeight="1">
      <c r="C228" s="126">
        <v>26</v>
      </c>
      <c r="D228" s="141" t="s">
        <v>715</v>
      </c>
      <c r="E228" s="159" t="s">
        <v>716</v>
      </c>
      <c r="F228" s="131">
        <v>1</v>
      </c>
      <c r="G228" s="131">
        <v>1</v>
      </c>
      <c r="H228" s="161">
        <v>46191</v>
      </c>
      <c r="I228" s="126">
        <v>0</v>
      </c>
      <c r="J228" s="126">
        <v>2</v>
      </c>
      <c r="K228" s="126">
        <v>0</v>
      </c>
      <c r="L228" s="126">
        <v>0</v>
      </c>
      <c r="M228" s="126">
        <v>0</v>
      </c>
      <c r="N228" s="126">
        <v>0</v>
      </c>
      <c r="O228" s="126">
        <v>0</v>
      </c>
      <c r="P228" s="126">
        <v>0</v>
      </c>
      <c r="Q228" s="126">
        <v>0</v>
      </c>
    </row>
    <row r="229" spans="3:17" ht="23.1" customHeight="1">
      <c r="C229" s="126">
        <v>29</v>
      </c>
      <c r="D229" s="141" t="s">
        <v>1523</v>
      </c>
      <c r="E229" s="159" t="s">
        <v>1524</v>
      </c>
      <c r="F229" s="131">
        <v>1</v>
      </c>
      <c r="G229" s="131">
        <v>1</v>
      </c>
      <c r="H229" s="161">
        <v>46191</v>
      </c>
      <c r="I229" s="126">
        <v>0</v>
      </c>
      <c r="J229" s="126">
        <v>1</v>
      </c>
      <c r="K229" s="126">
        <v>0</v>
      </c>
      <c r="L229" s="126">
        <v>0</v>
      </c>
      <c r="M229" s="126">
        <v>0</v>
      </c>
      <c r="N229" s="126">
        <v>0</v>
      </c>
      <c r="O229" s="126">
        <v>0</v>
      </c>
      <c r="P229" s="126">
        <v>0</v>
      </c>
      <c r="Q229" s="126">
        <v>0</v>
      </c>
    </row>
    <row r="230" spans="3:17" ht="23.1" customHeight="1">
      <c r="C230" s="126">
        <v>183</v>
      </c>
      <c r="D230" s="141" t="s">
        <v>766</v>
      </c>
      <c r="E230" s="159" t="s">
        <v>767</v>
      </c>
      <c r="F230" s="131">
        <v>1</v>
      </c>
      <c r="G230" s="131">
        <v>1</v>
      </c>
      <c r="H230" s="161">
        <v>46191</v>
      </c>
      <c r="I230" s="126">
        <v>0</v>
      </c>
      <c r="J230" s="126">
        <v>120</v>
      </c>
      <c r="K230" s="126">
        <v>0</v>
      </c>
      <c r="L230" s="126">
        <v>0</v>
      </c>
      <c r="M230" s="126">
        <v>0</v>
      </c>
      <c r="N230" s="126">
        <v>0</v>
      </c>
      <c r="O230" s="126">
        <v>0</v>
      </c>
      <c r="P230" s="126">
        <v>0</v>
      </c>
      <c r="Q230" s="126">
        <v>0</v>
      </c>
    </row>
    <row r="231" spans="3:17" ht="23.1" customHeight="1">
      <c r="C231" s="126">
        <v>181</v>
      </c>
      <c r="D231" s="141" t="s">
        <v>761</v>
      </c>
      <c r="E231" s="159" t="s">
        <v>762</v>
      </c>
      <c r="F231" s="131">
        <v>1</v>
      </c>
      <c r="G231" s="131">
        <v>1</v>
      </c>
      <c r="H231" s="161">
        <v>46191</v>
      </c>
      <c r="I231" s="126">
        <v>0</v>
      </c>
      <c r="J231" s="126">
        <v>12</v>
      </c>
      <c r="K231" s="126">
        <v>0</v>
      </c>
      <c r="L231" s="126">
        <v>0</v>
      </c>
      <c r="M231" s="126">
        <v>0</v>
      </c>
      <c r="N231" s="126">
        <v>0</v>
      </c>
      <c r="O231" s="126">
        <v>0</v>
      </c>
      <c r="P231" s="126">
        <v>0</v>
      </c>
      <c r="Q231" s="126">
        <v>0</v>
      </c>
    </row>
    <row r="232" spans="3:17" ht="23.1" customHeight="1">
      <c r="C232" s="126">
        <v>102</v>
      </c>
      <c r="D232" s="141" t="s">
        <v>722</v>
      </c>
      <c r="E232" s="159" t="s">
        <v>723</v>
      </c>
      <c r="F232" s="131">
        <v>1</v>
      </c>
      <c r="G232" s="131">
        <v>1</v>
      </c>
      <c r="H232" s="161">
        <v>46191</v>
      </c>
      <c r="I232" s="126">
        <v>0</v>
      </c>
      <c r="J232" s="126">
        <v>1</v>
      </c>
      <c r="K232" s="126">
        <v>0</v>
      </c>
      <c r="L232" s="126">
        <v>0</v>
      </c>
      <c r="M232" s="126">
        <v>0</v>
      </c>
      <c r="N232" s="126">
        <v>0</v>
      </c>
      <c r="O232" s="126">
        <v>0</v>
      </c>
      <c r="P232" s="126">
        <v>0</v>
      </c>
      <c r="Q232" s="126">
        <v>0</v>
      </c>
    </row>
    <row r="233" spans="3:17" ht="23.1" customHeight="1">
      <c r="C233" s="126">
        <v>177</v>
      </c>
      <c r="D233" s="141" t="s">
        <v>752</v>
      </c>
      <c r="E233" s="159" t="s">
        <v>753</v>
      </c>
      <c r="F233" s="131">
        <v>1</v>
      </c>
      <c r="G233" s="131">
        <v>1</v>
      </c>
      <c r="H233" s="161">
        <v>46191</v>
      </c>
      <c r="I233" s="126">
        <v>0</v>
      </c>
      <c r="J233" s="126">
        <v>600</v>
      </c>
      <c r="K233" s="126">
        <v>0</v>
      </c>
      <c r="L233" s="126">
        <v>0</v>
      </c>
      <c r="M233" s="126">
        <v>0</v>
      </c>
      <c r="N233" s="126">
        <v>0</v>
      </c>
      <c r="O233" s="126">
        <v>0</v>
      </c>
      <c r="P233" s="126">
        <v>0</v>
      </c>
      <c r="Q233" s="126">
        <v>0</v>
      </c>
    </row>
    <row r="234" spans="3:17" ht="23.1" customHeight="1">
      <c r="C234" s="126">
        <v>179</v>
      </c>
      <c r="D234" s="141" t="s">
        <v>564</v>
      </c>
      <c r="E234" s="159" t="s">
        <v>565</v>
      </c>
      <c r="F234" s="131">
        <v>1</v>
      </c>
      <c r="G234" s="131">
        <v>1</v>
      </c>
      <c r="H234" s="161">
        <v>46191</v>
      </c>
      <c r="I234" s="126">
        <v>0</v>
      </c>
      <c r="J234" s="126">
        <v>300</v>
      </c>
      <c r="K234" s="126">
        <v>0</v>
      </c>
      <c r="L234" s="126">
        <v>0</v>
      </c>
      <c r="M234" s="126">
        <v>0</v>
      </c>
      <c r="N234" s="126">
        <v>0</v>
      </c>
      <c r="O234" s="126">
        <v>0</v>
      </c>
      <c r="P234" s="126">
        <v>0</v>
      </c>
      <c r="Q234" s="126">
        <v>0</v>
      </c>
    </row>
    <row r="235" spans="3:17" ht="23.1" customHeight="1">
      <c r="C235" s="126">
        <v>195</v>
      </c>
      <c r="D235" s="141" t="s">
        <v>608</v>
      </c>
      <c r="E235" s="159" t="s">
        <v>609</v>
      </c>
      <c r="F235" s="131">
        <v>1</v>
      </c>
      <c r="G235" s="131">
        <v>1</v>
      </c>
      <c r="H235" s="161">
        <v>46191</v>
      </c>
      <c r="I235" s="126">
        <v>0</v>
      </c>
      <c r="J235" s="126">
        <v>8</v>
      </c>
      <c r="K235" s="126">
        <v>0</v>
      </c>
      <c r="L235" s="126">
        <v>0</v>
      </c>
      <c r="M235" s="126">
        <v>0</v>
      </c>
      <c r="N235" s="126">
        <v>0</v>
      </c>
      <c r="O235" s="126">
        <v>0</v>
      </c>
      <c r="P235" s="126">
        <v>0</v>
      </c>
      <c r="Q235" s="126">
        <v>0</v>
      </c>
    </row>
    <row r="236" spans="3:17" ht="23.1" customHeight="1">
      <c r="C236" s="126">
        <v>187</v>
      </c>
      <c r="D236" s="141" t="s">
        <v>576</v>
      </c>
      <c r="E236" s="159" t="s">
        <v>577</v>
      </c>
      <c r="F236" s="131">
        <v>1</v>
      </c>
      <c r="G236" s="131">
        <v>1</v>
      </c>
      <c r="H236" s="161">
        <v>46191</v>
      </c>
      <c r="I236" s="126">
        <v>0</v>
      </c>
      <c r="J236" s="126">
        <v>16</v>
      </c>
      <c r="K236" s="126">
        <v>0</v>
      </c>
      <c r="L236" s="126">
        <v>0</v>
      </c>
      <c r="M236" s="126">
        <v>0</v>
      </c>
      <c r="N236" s="126">
        <v>0</v>
      </c>
      <c r="O236" s="126">
        <v>0</v>
      </c>
      <c r="P236" s="126">
        <v>0</v>
      </c>
      <c r="Q236" s="126">
        <v>0</v>
      </c>
    </row>
    <row r="237" spans="3:17" ht="23.1" customHeight="1">
      <c r="C237" s="126">
        <v>189</v>
      </c>
      <c r="D237" s="141" t="s">
        <v>778</v>
      </c>
      <c r="E237" s="159" t="s">
        <v>779</v>
      </c>
      <c r="F237" s="131">
        <v>1</v>
      </c>
      <c r="G237" s="131">
        <v>1</v>
      </c>
      <c r="H237" s="161">
        <v>46191</v>
      </c>
      <c r="I237" s="126">
        <v>0</v>
      </c>
      <c r="J237" s="126">
        <v>12</v>
      </c>
      <c r="K237" s="126">
        <v>0</v>
      </c>
      <c r="L237" s="126">
        <v>0</v>
      </c>
      <c r="M237" s="126">
        <v>0</v>
      </c>
      <c r="N237" s="126">
        <v>0</v>
      </c>
      <c r="O237" s="126">
        <v>0</v>
      </c>
      <c r="P237" s="126">
        <v>0</v>
      </c>
      <c r="Q237" s="126">
        <v>0</v>
      </c>
    </row>
    <row r="238" spans="3:17" ht="23.1" customHeight="1">
      <c r="C238" s="126">
        <v>14</v>
      </c>
      <c r="D238" s="141" t="s">
        <v>696</v>
      </c>
      <c r="E238" s="159" t="s">
        <v>697</v>
      </c>
      <c r="F238" s="131">
        <v>1</v>
      </c>
      <c r="G238" s="131">
        <v>1</v>
      </c>
      <c r="H238" s="161">
        <v>46191</v>
      </c>
      <c r="I238" s="126">
        <v>0</v>
      </c>
      <c r="J238" s="126">
        <v>5</v>
      </c>
      <c r="K238" s="126">
        <v>0</v>
      </c>
      <c r="L238" s="126">
        <v>0</v>
      </c>
      <c r="M238" s="126">
        <v>0</v>
      </c>
      <c r="N238" s="126">
        <v>0</v>
      </c>
      <c r="O238" s="126">
        <v>0</v>
      </c>
      <c r="P238" s="126">
        <v>0</v>
      </c>
      <c r="Q238" s="126">
        <v>0</v>
      </c>
    </row>
    <row r="239" spans="3:17" ht="23.1" customHeight="1">
      <c r="C239" s="126">
        <v>183</v>
      </c>
      <c r="D239" s="141" t="s">
        <v>766</v>
      </c>
      <c r="E239" s="159" t="s">
        <v>767</v>
      </c>
      <c r="F239" s="131">
        <v>1</v>
      </c>
      <c r="G239" s="131">
        <v>1</v>
      </c>
      <c r="H239" s="161">
        <v>46192</v>
      </c>
      <c r="I239" s="126">
        <v>0</v>
      </c>
      <c r="J239" s="126">
        <v>60</v>
      </c>
      <c r="K239" s="126">
        <v>0</v>
      </c>
      <c r="L239" s="126">
        <v>0</v>
      </c>
      <c r="M239" s="126">
        <v>0</v>
      </c>
      <c r="N239" s="126">
        <v>0</v>
      </c>
      <c r="O239" s="126">
        <v>0</v>
      </c>
      <c r="P239" s="126">
        <v>0</v>
      </c>
      <c r="Q239" s="126">
        <v>0</v>
      </c>
    </row>
    <row r="240" spans="3:17" ht="23.1" customHeight="1">
      <c r="C240" s="126">
        <v>195</v>
      </c>
      <c r="D240" s="141" t="s">
        <v>608</v>
      </c>
      <c r="E240" s="159" t="s">
        <v>609</v>
      </c>
      <c r="F240" s="131">
        <v>1</v>
      </c>
      <c r="G240" s="131">
        <v>1</v>
      </c>
      <c r="H240" s="161">
        <v>46192</v>
      </c>
      <c r="I240" s="126">
        <v>0</v>
      </c>
      <c r="J240" s="126">
        <v>4</v>
      </c>
      <c r="K240" s="126">
        <v>0</v>
      </c>
      <c r="L240" s="126">
        <v>0</v>
      </c>
      <c r="M240" s="126">
        <v>0</v>
      </c>
      <c r="N240" s="126">
        <v>0</v>
      </c>
      <c r="O240" s="126">
        <v>0</v>
      </c>
      <c r="P240" s="126">
        <v>0</v>
      </c>
      <c r="Q240" s="126">
        <v>0</v>
      </c>
    </row>
    <row r="241" spans="3:17" ht="23.1" customHeight="1">
      <c r="C241" s="126">
        <v>66</v>
      </c>
      <c r="D241" s="141" t="s">
        <v>1216</v>
      </c>
      <c r="E241" s="159" t="s">
        <v>1217</v>
      </c>
      <c r="F241" s="131">
        <v>1</v>
      </c>
      <c r="G241" s="131">
        <v>1</v>
      </c>
      <c r="H241" s="161">
        <v>46192</v>
      </c>
      <c r="I241" s="126">
        <v>0</v>
      </c>
      <c r="J241" s="126">
        <v>1</v>
      </c>
      <c r="K241" s="126">
        <v>0</v>
      </c>
      <c r="L241" s="126">
        <v>0</v>
      </c>
      <c r="M241" s="126">
        <v>0</v>
      </c>
      <c r="N241" s="126">
        <v>0</v>
      </c>
      <c r="O241" s="126">
        <v>0</v>
      </c>
      <c r="P241" s="126">
        <v>0</v>
      </c>
      <c r="Q241" s="126">
        <v>0</v>
      </c>
    </row>
    <row r="242" spans="3:17" ht="23.1" customHeight="1">
      <c r="C242" s="126">
        <v>178</v>
      </c>
      <c r="D242" s="141" t="s">
        <v>755</v>
      </c>
      <c r="E242" s="159" t="s">
        <v>756</v>
      </c>
      <c r="F242" s="131">
        <v>1</v>
      </c>
      <c r="G242" s="131">
        <v>1</v>
      </c>
      <c r="H242" s="161">
        <v>46192</v>
      </c>
      <c r="I242" s="126">
        <v>0</v>
      </c>
      <c r="J242" s="126">
        <v>150</v>
      </c>
      <c r="K242" s="126">
        <v>0</v>
      </c>
      <c r="L242" s="126">
        <v>0</v>
      </c>
      <c r="M242" s="126">
        <v>0</v>
      </c>
      <c r="N242" s="126">
        <v>0</v>
      </c>
      <c r="O242" s="126">
        <v>0</v>
      </c>
      <c r="P242" s="126">
        <v>0</v>
      </c>
      <c r="Q242" s="126">
        <v>0</v>
      </c>
    </row>
    <row r="243" spans="3:17" ht="23.1" customHeight="1">
      <c r="C243" s="126">
        <v>181</v>
      </c>
      <c r="D243" s="141" t="s">
        <v>761</v>
      </c>
      <c r="E243" s="159" t="s">
        <v>762</v>
      </c>
      <c r="F243" s="131">
        <v>1</v>
      </c>
      <c r="G243" s="131">
        <v>1</v>
      </c>
      <c r="H243" s="161">
        <v>46192</v>
      </c>
      <c r="I243" s="126">
        <v>0</v>
      </c>
      <c r="J243" s="126">
        <v>24</v>
      </c>
      <c r="K243" s="126">
        <v>0</v>
      </c>
      <c r="L243" s="126">
        <v>0</v>
      </c>
      <c r="M243" s="126">
        <v>0</v>
      </c>
      <c r="N243" s="126">
        <v>0</v>
      </c>
      <c r="O243" s="126">
        <v>0</v>
      </c>
      <c r="P243" s="126">
        <v>0</v>
      </c>
      <c r="Q243" s="126">
        <v>0</v>
      </c>
    </row>
    <row r="244" spans="3:17" ht="23.1" customHeight="1">
      <c r="C244" s="126">
        <v>176</v>
      </c>
      <c r="D244" s="141" t="s">
        <v>748</v>
      </c>
      <c r="E244" s="159" t="s">
        <v>749</v>
      </c>
      <c r="F244" s="131">
        <v>1</v>
      </c>
      <c r="G244" s="131">
        <v>1</v>
      </c>
      <c r="H244" s="161">
        <v>46192</v>
      </c>
      <c r="I244" s="126">
        <v>0</v>
      </c>
      <c r="J244" s="126">
        <v>1000</v>
      </c>
      <c r="K244" s="126">
        <v>0</v>
      </c>
      <c r="L244" s="126">
        <v>0</v>
      </c>
      <c r="M244" s="126">
        <v>0</v>
      </c>
      <c r="N244" s="126">
        <v>0</v>
      </c>
      <c r="O244" s="126">
        <v>0</v>
      </c>
      <c r="P244" s="126">
        <v>0</v>
      </c>
      <c r="Q244" s="126">
        <v>0</v>
      </c>
    </row>
    <row r="245" spans="3:17" ht="23.1" customHeight="1">
      <c r="C245" s="126">
        <v>4</v>
      </c>
      <c r="D245" s="141" t="s">
        <v>581</v>
      </c>
      <c r="E245" s="159" t="s">
        <v>582</v>
      </c>
      <c r="F245" s="131">
        <v>1</v>
      </c>
      <c r="G245" s="131">
        <v>1</v>
      </c>
      <c r="H245" s="161">
        <v>46192</v>
      </c>
      <c r="I245" s="126">
        <v>0</v>
      </c>
      <c r="J245" s="126">
        <v>2</v>
      </c>
      <c r="K245" s="126">
        <v>0</v>
      </c>
      <c r="L245" s="126">
        <v>0</v>
      </c>
      <c r="M245" s="126">
        <v>0</v>
      </c>
      <c r="N245" s="126">
        <v>0</v>
      </c>
      <c r="O245" s="126">
        <v>0</v>
      </c>
      <c r="P245" s="126">
        <v>0</v>
      </c>
      <c r="Q245" s="126">
        <v>0</v>
      </c>
    </row>
    <row r="246" spans="3:17" ht="23.1" customHeight="1">
      <c r="C246" s="126">
        <v>34</v>
      </c>
      <c r="D246" s="141" t="s">
        <v>1193</v>
      </c>
      <c r="E246" s="159" t="s">
        <v>1194</v>
      </c>
      <c r="F246" s="131">
        <v>1</v>
      </c>
      <c r="G246" s="131">
        <v>1</v>
      </c>
      <c r="H246" s="161">
        <v>46192</v>
      </c>
      <c r="I246" s="126">
        <v>0</v>
      </c>
      <c r="J246" s="126">
        <v>2</v>
      </c>
      <c r="K246" s="126">
        <v>0</v>
      </c>
      <c r="L246" s="126">
        <v>0</v>
      </c>
      <c r="M246" s="126">
        <v>0</v>
      </c>
      <c r="N246" s="126">
        <v>0</v>
      </c>
      <c r="O246" s="126">
        <v>0</v>
      </c>
      <c r="P246" s="126">
        <v>0</v>
      </c>
      <c r="Q246" s="126">
        <v>0</v>
      </c>
    </row>
    <row r="247" spans="3:17" ht="23.1" customHeight="1">
      <c r="C247" s="126">
        <v>178</v>
      </c>
      <c r="D247" s="141" t="s">
        <v>755</v>
      </c>
      <c r="E247" s="159" t="s">
        <v>756</v>
      </c>
      <c r="F247" s="131">
        <v>1</v>
      </c>
      <c r="G247" s="131">
        <v>1</v>
      </c>
      <c r="H247" s="161">
        <v>46193</v>
      </c>
      <c r="I247" s="126">
        <v>0</v>
      </c>
      <c r="J247" s="126">
        <v>600</v>
      </c>
      <c r="K247" s="126">
        <v>0</v>
      </c>
      <c r="L247" s="126">
        <v>0</v>
      </c>
      <c r="M247" s="126">
        <v>0</v>
      </c>
      <c r="N247" s="126">
        <v>0</v>
      </c>
      <c r="O247" s="126">
        <v>0</v>
      </c>
      <c r="P247" s="126">
        <v>0</v>
      </c>
      <c r="Q247" s="126">
        <v>0</v>
      </c>
    </row>
    <row r="248" spans="3:17" ht="23.1" customHeight="1">
      <c r="C248" s="126">
        <v>197</v>
      </c>
      <c r="D248" s="141" t="s">
        <v>652</v>
      </c>
      <c r="E248" s="159" t="s">
        <v>653</v>
      </c>
      <c r="F248" s="131">
        <v>1</v>
      </c>
      <c r="G248" s="131">
        <v>1</v>
      </c>
      <c r="H248" s="161">
        <v>46193</v>
      </c>
      <c r="I248" s="126">
        <v>0</v>
      </c>
      <c r="J248" s="126">
        <v>12</v>
      </c>
      <c r="K248" s="126">
        <v>0</v>
      </c>
      <c r="L248" s="126">
        <v>0</v>
      </c>
      <c r="M248" s="126">
        <v>0</v>
      </c>
      <c r="N248" s="126">
        <v>0</v>
      </c>
      <c r="O248" s="126">
        <v>0</v>
      </c>
      <c r="P248" s="126">
        <v>0</v>
      </c>
      <c r="Q248" s="126">
        <v>0</v>
      </c>
    </row>
    <row r="249" spans="3:17" ht="23.1" customHeight="1">
      <c r="C249" s="126">
        <v>189</v>
      </c>
      <c r="D249" s="141" t="s">
        <v>778</v>
      </c>
      <c r="E249" s="159" t="s">
        <v>779</v>
      </c>
      <c r="F249" s="131">
        <v>1</v>
      </c>
      <c r="G249" s="131">
        <v>1</v>
      </c>
      <c r="H249" s="161">
        <v>46193</v>
      </c>
      <c r="I249" s="126">
        <v>0</v>
      </c>
      <c r="J249" s="126">
        <v>24</v>
      </c>
      <c r="K249" s="126">
        <v>0</v>
      </c>
      <c r="L249" s="126">
        <v>0</v>
      </c>
      <c r="M249" s="126">
        <v>0</v>
      </c>
      <c r="N249" s="126">
        <v>0</v>
      </c>
      <c r="O249" s="126">
        <v>0</v>
      </c>
      <c r="P249" s="126">
        <v>0</v>
      </c>
      <c r="Q249" s="126">
        <v>0</v>
      </c>
    </row>
    <row r="250" spans="3:17" ht="23.1" customHeight="1">
      <c r="C250" s="126">
        <v>16</v>
      </c>
      <c r="D250" s="141" t="s">
        <v>699</v>
      </c>
      <c r="E250" s="159" t="s">
        <v>700</v>
      </c>
      <c r="F250" s="131">
        <v>1</v>
      </c>
      <c r="G250" s="131">
        <v>1</v>
      </c>
      <c r="H250" s="161">
        <v>46193</v>
      </c>
      <c r="I250" s="126">
        <v>0</v>
      </c>
      <c r="J250" s="126">
        <v>2</v>
      </c>
      <c r="K250" s="126">
        <v>0</v>
      </c>
      <c r="L250" s="126">
        <v>0</v>
      </c>
      <c r="M250" s="126">
        <v>0</v>
      </c>
      <c r="N250" s="126">
        <v>0</v>
      </c>
      <c r="O250" s="126">
        <v>0</v>
      </c>
      <c r="P250" s="126">
        <v>0</v>
      </c>
      <c r="Q250" s="126">
        <v>0</v>
      </c>
    </row>
    <row r="251" spans="3:17" ht="23.1" customHeight="1">
      <c r="C251" s="126">
        <v>99</v>
      </c>
      <c r="D251" s="141" t="s">
        <v>883</v>
      </c>
      <c r="E251" s="159" t="s">
        <v>884</v>
      </c>
      <c r="F251" s="131">
        <v>1</v>
      </c>
      <c r="G251" s="131">
        <v>1</v>
      </c>
      <c r="H251" s="161">
        <v>46193</v>
      </c>
      <c r="I251" s="126">
        <v>0</v>
      </c>
      <c r="J251" s="126">
        <v>4</v>
      </c>
      <c r="K251" s="126">
        <v>0</v>
      </c>
      <c r="L251" s="126">
        <v>0</v>
      </c>
      <c r="M251" s="126">
        <v>0</v>
      </c>
      <c r="N251" s="126">
        <v>0</v>
      </c>
      <c r="O251" s="126">
        <v>0</v>
      </c>
      <c r="P251" s="126">
        <v>0</v>
      </c>
      <c r="Q251" s="126">
        <v>0</v>
      </c>
    </row>
    <row r="252" spans="3:17" ht="23.1" customHeight="1">
      <c r="C252" s="126">
        <v>8</v>
      </c>
      <c r="D252" s="141" t="s">
        <v>1125</v>
      </c>
      <c r="E252" s="159" t="s">
        <v>1126</v>
      </c>
      <c r="F252" s="131">
        <v>1</v>
      </c>
      <c r="G252" s="131">
        <v>1</v>
      </c>
      <c r="H252" s="161">
        <v>46193</v>
      </c>
      <c r="I252" s="126">
        <v>0</v>
      </c>
      <c r="J252" s="126">
        <v>1</v>
      </c>
      <c r="K252" s="126">
        <v>0</v>
      </c>
      <c r="L252" s="126">
        <v>0</v>
      </c>
      <c r="M252" s="126">
        <v>0</v>
      </c>
      <c r="N252" s="126">
        <v>0</v>
      </c>
      <c r="O252" s="126">
        <v>0</v>
      </c>
      <c r="P252" s="126">
        <v>0</v>
      </c>
      <c r="Q252" s="126">
        <v>0</v>
      </c>
    </row>
    <row r="253" spans="3:17" ht="23.1" customHeight="1">
      <c r="C253" s="126">
        <v>142</v>
      </c>
      <c r="D253" s="141" t="s">
        <v>798</v>
      </c>
      <c r="E253" s="159" t="s">
        <v>799</v>
      </c>
      <c r="F253" s="131">
        <v>1</v>
      </c>
      <c r="G253" s="131">
        <v>1</v>
      </c>
      <c r="H253" s="161">
        <v>46193</v>
      </c>
      <c r="I253" s="126">
        <v>0</v>
      </c>
      <c r="J253" s="126">
        <v>1</v>
      </c>
      <c r="K253" s="126">
        <v>0</v>
      </c>
      <c r="L253" s="126">
        <v>0</v>
      </c>
      <c r="M253" s="126">
        <v>0</v>
      </c>
      <c r="N253" s="126">
        <v>0</v>
      </c>
      <c r="O253" s="126">
        <v>0</v>
      </c>
      <c r="P253" s="126">
        <v>0</v>
      </c>
      <c r="Q253" s="126">
        <v>0</v>
      </c>
    </row>
    <row r="254" spans="3:17" ht="23.1" customHeight="1">
      <c r="C254" s="126">
        <v>177</v>
      </c>
      <c r="D254" s="141" t="s">
        <v>752</v>
      </c>
      <c r="E254" s="159" t="s">
        <v>753</v>
      </c>
      <c r="F254" s="131">
        <v>1</v>
      </c>
      <c r="G254" s="131">
        <v>1</v>
      </c>
      <c r="H254" s="161">
        <v>46193</v>
      </c>
      <c r="I254" s="126">
        <v>0</v>
      </c>
      <c r="J254" s="126">
        <v>500</v>
      </c>
      <c r="K254" s="126">
        <v>0</v>
      </c>
      <c r="L254" s="126">
        <v>0</v>
      </c>
      <c r="M254" s="126">
        <v>0</v>
      </c>
      <c r="N254" s="126">
        <v>0</v>
      </c>
      <c r="O254" s="126">
        <v>0</v>
      </c>
      <c r="P254" s="126">
        <v>0</v>
      </c>
      <c r="Q254" s="126">
        <v>0</v>
      </c>
    </row>
    <row r="255" spans="3:17" ht="23.1" customHeight="1">
      <c r="C255" s="126">
        <v>187</v>
      </c>
      <c r="D255" s="141" t="s">
        <v>576</v>
      </c>
      <c r="E255" s="159" t="s">
        <v>577</v>
      </c>
      <c r="F255" s="131">
        <v>1</v>
      </c>
      <c r="G255" s="131">
        <v>1</v>
      </c>
      <c r="H255" s="161">
        <v>46194</v>
      </c>
      <c r="I255" s="126">
        <v>0</v>
      </c>
      <c r="J255" s="126">
        <v>32</v>
      </c>
      <c r="K255" s="126">
        <v>0</v>
      </c>
      <c r="L255" s="126">
        <v>0</v>
      </c>
      <c r="M255" s="126">
        <v>0</v>
      </c>
      <c r="N255" s="126">
        <v>0</v>
      </c>
      <c r="O255" s="126">
        <v>0</v>
      </c>
      <c r="P255" s="126">
        <v>0</v>
      </c>
      <c r="Q255" s="126">
        <v>0</v>
      </c>
    </row>
    <row r="256" spans="3:17" ht="23.1" customHeight="1">
      <c r="C256" s="126">
        <v>191</v>
      </c>
      <c r="D256" s="141" t="s">
        <v>781</v>
      </c>
      <c r="E256" s="159" t="s">
        <v>782</v>
      </c>
      <c r="F256" s="131">
        <v>1</v>
      </c>
      <c r="G256" s="131">
        <v>1</v>
      </c>
      <c r="H256" s="161">
        <v>46194</v>
      </c>
      <c r="I256" s="126">
        <v>0</v>
      </c>
      <c r="J256" s="126">
        <v>16</v>
      </c>
      <c r="K256" s="126">
        <v>0</v>
      </c>
      <c r="L256" s="126">
        <v>0</v>
      </c>
      <c r="M256" s="126">
        <v>0</v>
      </c>
      <c r="N256" s="126">
        <v>0</v>
      </c>
      <c r="O256" s="126">
        <v>0</v>
      </c>
      <c r="P256" s="126">
        <v>0</v>
      </c>
      <c r="Q256" s="126">
        <v>0</v>
      </c>
    </row>
    <row r="257" spans="3:17" ht="23.1" customHeight="1">
      <c r="C257" s="126">
        <v>189</v>
      </c>
      <c r="D257" s="141" t="s">
        <v>778</v>
      </c>
      <c r="E257" s="159" t="s">
        <v>779</v>
      </c>
      <c r="F257" s="131">
        <v>1</v>
      </c>
      <c r="G257" s="131">
        <v>1</v>
      </c>
      <c r="H257" s="161">
        <v>46194</v>
      </c>
      <c r="I257" s="126">
        <v>0</v>
      </c>
      <c r="J257" s="126">
        <v>20</v>
      </c>
      <c r="K257" s="126">
        <v>0</v>
      </c>
      <c r="L257" s="126">
        <v>0</v>
      </c>
      <c r="M257" s="126">
        <v>0</v>
      </c>
      <c r="N257" s="126">
        <v>0</v>
      </c>
      <c r="O257" s="126">
        <v>0</v>
      </c>
      <c r="P257" s="126">
        <v>0</v>
      </c>
      <c r="Q257" s="126">
        <v>0</v>
      </c>
    </row>
    <row r="258" spans="3:17" ht="23.1" customHeight="1">
      <c r="C258" s="126">
        <v>197</v>
      </c>
      <c r="D258" s="141" t="s">
        <v>652</v>
      </c>
      <c r="E258" s="159" t="s">
        <v>653</v>
      </c>
      <c r="F258" s="131">
        <v>1</v>
      </c>
      <c r="G258" s="131">
        <v>1</v>
      </c>
      <c r="H258" s="161">
        <v>46194</v>
      </c>
      <c r="I258" s="126">
        <v>0</v>
      </c>
      <c r="J258" s="126">
        <v>8</v>
      </c>
      <c r="K258" s="126">
        <v>0</v>
      </c>
      <c r="L258" s="126">
        <v>0</v>
      </c>
      <c r="M258" s="126">
        <v>0</v>
      </c>
      <c r="N258" s="126">
        <v>0</v>
      </c>
      <c r="O258" s="126">
        <v>0</v>
      </c>
      <c r="P258" s="126">
        <v>0</v>
      </c>
      <c r="Q258" s="126">
        <v>0</v>
      </c>
    </row>
    <row r="259" spans="3:17" ht="23.1" customHeight="1">
      <c r="C259" s="126">
        <v>160</v>
      </c>
      <c r="D259" s="141" t="s">
        <v>738</v>
      </c>
      <c r="E259" s="159" t="s">
        <v>739</v>
      </c>
      <c r="F259" s="131">
        <v>1</v>
      </c>
      <c r="G259" s="131">
        <v>1</v>
      </c>
      <c r="H259" s="161">
        <v>46194</v>
      </c>
      <c r="I259" s="126">
        <v>0</v>
      </c>
      <c r="J259" s="126">
        <v>4</v>
      </c>
      <c r="K259" s="126">
        <v>0</v>
      </c>
      <c r="L259" s="126">
        <v>0</v>
      </c>
      <c r="M259" s="126">
        <v>0</v>
      </c>
      <c r="N259" s="126">
        <v>0</v>
      </c>
      <c r="O259" s="126">
        <v>0</v>
      </c>
      <c r="P259" s="126">
        <v>0</v>
      </c>
      <c r="Q259" s="126">
        <v>0</v>
      </c>
    </row>
    <row r="260" spans="3:17" ht="23.1" customHeight="1">
      <c r="C260" s="126">
        <v>170</v>
      </c>
      <c r="D260" s="141" t="s">
        <v>1647</v>
      </c>
      <c r="E260" s="159" t="s">
        <v>1648</v>
      </c>
      <c r="F260" s="131">
        <v>1</v>
      </c>
      <c r="G260" s="131">
        <v>1</v>
      </c>
      <c r="H260" s="161">
        <v>46194</v>
      </c>
      <c r="I260" s="126">
        <v>0</v>
      </c>
      <c r="J260" s="126">
        <v>10</v>
      </c>
      <c r="K260" s="126">
        <v>0</v>
      </c>
      <c r="L260" s="126">
        <v>0</v>
      </c>
      <c r="M260" s="126">
        <v>0</v>
      </c>
      <c r="N260" s="126">
        <v>0</v>
      </c>
      <c r="O260" s="126">
        <v>0</v>
      </c>
      <c r="P260" s="126">
        <v>0</v>
      </c>
      <c r="Q260" s="126">
        <v>0</v>
      </c>
    </row>
    <row r="261" spans="3:17" ht="23.1" customHeight="1">
      <c r="C261" s="126">
        <v>176</v>
      </c>
      <c r="D261" s="141" t="s">
        <v>748</v>
      </c>
      <c r="E261" s="159" t="s">
        <v>749</v>
      </c>
      <c r="F261" s="131">
        <v>1</v>
      </c>
      <c r="G261" s="131">
        <v>1</v>
      </c>
      <c r="H261" s="161">
        <v>46195</v>
      </c>
      <c r="I261" s="126">
        <v>0</v>
      </c>
      <c r="J261" s="126">
        <v>1000</v>
      </c>
      <c r="K261" s="126">
        <v>0</v>
      </c>
      <c r="L261" s="126">
        <v>0</v>
      </c>
      <c r="M261" s="126">
        <v>0</v>
      </c>
      <c r="N261" s="126">
        <v>0</v>
      </c>
      <c r="O261" s="126">
        <v>0</v>
      </c>
      <c r="P261" s="126">
        <v>0</v>
      </c>
      <c r="Q261" s="126">
        <v>0</v>
      </c>
    </row>
    <row r="262" spans="3:17" ht="23.1" customHeight="1">
      <c r="C262" s="126">
        <v>177</v>
      </c>
      <c r="D262" s="141" t="s">
        <v>752</v>
      </c>
      <c r="E262" s="159" t="s">
        <v>753</v>
      </c>
      <c r="F262" s="131">
        <v>1</v>
      </c>
      <c r="G262" s="131">
        <v>1</v>
      </c>
      <c r="H262" s="161">
        <v>46195</v>
      </c>
      <c r="I262" s="126">
        <v>0</v>
      </c>
      <c r="J262" s="126">
        <v>900</v>
      </c>
      <c r="K262" s="126">
        <v>0</v>
      </c>
      <c r="L262" s="126">
        <v>0</v>
      </c>
      <c r="M262" s="126">
        <v>0</v>
      </c>
      <c r="N262" s="126">
        <v>0</v>
      </c>
      <c r="O262" s="126">
        <v>0</v>
      </c>
      <c r="P262" s="126">
        <v>0</v>
      </c>
      <c r="Q262" s="126">
        <v>0</v>
      </c>
    </row>
    <row r="263" spans="3:17" ht="23.1" customHeight="1">
      <c r="C263" s="126">
        <v>195</v>
      </c>
      <c r="D263" s="141" t="s">
        <v>608</v>
      </c>
      <c r="E263" s="159" t="s">
        <v>609</v>
      </c>
      <c r="F263" s="131">
        <v>1</v>
      </c>
      <c r="G263" s="131">
        <v>1</v>
      </c>
      <c r="H263" s="161">
        <v>46195</v>
      </c>
      <c r="I263" s="126">
        <v>0</v>
      </c>
      <c r="J263" s="126">
        <v>12</v>
      </c>
      <c r="K263" s="126">
        <v>0</v>
      </c>
      <c r="L263" s="126">
        <v>0</v>
      </c>
      <c r="M263" s="126">
        <v>0</v>
      </c>
      <c r="N263" s="126">
        <v>0</v>
      </c>
      <c r="O263" s="126">
        <v>0</v>
      </c>
      <c r="P263" s="126">
        <v>0</v>
      </c>
      <c r="Q263" s="126">
        <v>0</v>
      </c>
    </row>
    <row r="264" spans="3:17" ht="23.1" customHeight="1">
      <c r="C264" s="126">
        <v>14</v>
      </c>
      <c r="D264" s="141" t="s">
        <v>696</v>
      </c>
      <c r="E264" s="159" t="s">
        <v>697</v>
      </c>
      <c r="F264" s="131">
        <v>1</v>
      </c>
      <c r="G264" s="131">
        <v>1</v>
      </c>
      <c r="H264" s="161">
        <v>46195</v>
      </c>
      <c r="I264" s="126">
        <v>0</v>
      </c>
      <c r="J264" s="126">
        <v>2</v>
      </c>
      <c r="K264" s="126">
        <v>0</v>
      </c>
      <c r="L264" s="126">
        <v>0</v>
      </c>
      <c r="M264" s="126">
        <v>0</v>
      </c>
      <c r="N264" s="126">
        <v>0</v>
      </c>
      <c r="O264" s="126">
        <v>0</v>
      </c>
      <c r="P264" s="126">
        <v>0</v>
      </c>
      <c r="Q264" s="126">
        <v>0</v>
      </c>
    </row>
    <row r="265" spans="3:17" ht="23.1" customHeight="1">
      <c r="C265" s="126">
        <v>102</v>
      </c>
      <c r="D265" s="141" t="s">
        <v>722</v>
      </c>
      <c r="E265" s="159" t="s">
        <v>723</v>
      </c>
      <c r="F265" s="131">
        <v>1</v>
      </c>
      <c r="G265" s="131">
        <v>1</v>
      </c>
      <c r="H265" s="161">
        <v>46195</v>
      </c>
      <c r="I265" s="126">
        <v>0</v>
      </c>
      <c r="J265" s="126">
        <v>2</v>
      </c>
      <c r="K265" s="126">
        <v>0</v>
      </c>
      <c r="L265" s="126">
        <v>0</v>
      </c>
      <c r="M265" s="126">
        <v>0</v>
      </c>
      <c r="N265" s="126">
        <v>0</v>
      </c>
      <c r="O265" s="126">
        <v>0</v>
      </c>
      <c r="P265" s="126">
        <v>0</v>
      </c>
      <c r="Q265" s="126">
        <v>0</v>
      </c>
    </row>
    <row r="266" spans="3:17" ht="23.1" customHeight="1">
      <c r="C266" s="126">
        <v>18</v>
      </c>
      <c r="D266" s="141" t="s">
        <v>703</v>
      </c>
      <c r="E266" s="159" t="s">
        <v>704</v>
      </c>
      <c r="F266" s="131">
        <v>1</v>
      </c>
      <c r="G266" s="131">
        <v>1</v>
      </c>
      <c r="H266" s="161">
        <v>46195</v>
      </c>
      <c r="I266" s="126">
        <v>0</v>
      </c>
      <c r="J266" s="126">
        <v>5</v>
      </c>
      <c r="K266" s="126">
        <v>0</v>
      </c>
      <c r="L266" s="126">
        <v>0</v>
      </c>
      <c r="M266" s="126">
        <v>0</v>
      </c>
      <c r="N266" s="126">
        <v>0</v>
      </c>
      <c r="O266" s="126">
        <v>0</v>
      </c>
      <c r="P266" s="126">
        <v>0</v>
      </c>
      <c r="Q266" s="126">
        <v>0</v>
      </c>
    </row>
    <row r="267" spans="3:17" ht="23.1" customHeight="1">
      <c r="C267" s="126">
        <v>29</v>
      </c>
      <c r="D267" s="141" t="s">
        <v>1523</v>
      </c>
      <c r="E267" s="159" t="s">
        <v>1524</v>
      </c>
      <c r="F267" s="131">
        <v>1</v>
      </c>
      <c r="G267" s="131">
        <v>1</v>
      </c>
      <c r="H267" s="161">
        <v>46195</v>
      </c>
      <c r="I267" s="126">
        <v>0</v>
      </c>
      <c r="J267" s="126">
        <v>3</v>
      </c>
      <c r="K267" s="126">
        <v>0</v>
      </c>
      <c r="L267" s="126">
        <v>0</v>
      </c>
      <c r="M267" s="126">
        <v>0</v>
      </c>
      <c r="N267" s="126">
        <v>0</v>
      </c>
      <c r="O267" s="126">
        <v>0</v>
      </c>
      <c r="P267" s="126">
        <v>0</v>
      </c>
      <c r="Q267" s="126">
        <v>0</v>
      </c>
    </row>
    <row r="268" spans="3:17" ht="23.1" customHeight="1">
      <c r="C268" s="126">
        <v>63</v>
      </c>
      <c r="D268" s="141" t="s">
        <v>1037</v>
      </c>
      <c r="E268" s="159" t="s">
        <v>1038</v>
      </c>
      <c r="F268" s="131">
        <v>1</v>
      </c>
      <c r="G268" s="131">
        <v>1</v>
      </c>
      <c r="H268" s="161">
        <v>46195</v>
      </c>
      <c r="I268" s="126">
        <v>0</v>
      </c>
      <c r="J268" s="126">
        <v>5</v>
      </c>
      <c r="K268" s="126">
        <v>0</v>
      </c>
      <c r="L268" s="126">
        <v>0</v>
      </c>
      <c r="M268" s="126">
        <v>0</v>
      </c>
      <c r="N268" s="126">
        <v>0</v>
      </c>
      <c r="O268" s="126">
        <v>0</v>
      </c>
      <c r="P268" s="126">
        <v>0</v>
      </c>
      <c r="Q268" s="126">
        <v>0</v>
      </c>
    </row>
    <row r="269" spans="3:17" ht="23.1" customHeight="1">
      <c r="C269" s="126">
        <v>158</v>
      </c>
      <c r="D269" s="141" t="s">
        <v>1702</v>
      </c>
      <c r="E269" s="159" t="s">
        <v>1703</v>
      </c>
      <c r="F269" s="131">
        <v>1</v>
      </c>
      <c r="G269" s="131">
        <v>1</v>
      </c>
      <c r="H269" s="161">
        <v>46196</v>
      </c>
      <c r="I269" s="126">
        <v>0</v>
      </c>
      <c r="J269" s="126">
        <v>1</v>
      </c>
      <c r="K269" s="126">
        <v>0</v>
      </c>
      <c r="L269" s="126">
        <v>0</v>
      </c>
      <c r="M269" s="126">
        <v>0</v>
      </c>
      <c r="N269" s="126">
        <v>0</v>
      </c>
      <c r="O269" s="126">
        <v>0</v>
      </c>
      <c r="P269" s="126">
        <v>0</v>
      </c>
      <c r="Q269" s="126">
        <v>0</v>
      </c>
    </row>
    <row r="270" spans="3:17" ht="23.1" customHeight="1">
      <c r="C270" s="126">
        <v>165</v>
      </c>
      <c r="D270" s="141" t="s">
        <v>1708</v>
      </c>
      <c r="E270" s="159" t="s">
        <v>1709</v>
      </c>
      <c r="F270" s="131">
        <v>1</v>
      </c>
      <c r="G270" s="131">
        <v>1</v>
      </c>
      <c r="H270" s="161">
        <v>46196</v>
      </c>
      <c r="I270" s="126">
        <v>0</v>
      </c>
      <c r="J270" s="126">
        <v>1</v>
      </c>
      <c r="K270" s="126">
        <v>0</v>
      </c>
      <c r="L270" s="126">
        <v>0</v>
      </c>
      <c r="M270" s="126">
        <v>0</v>
      </c>
      <c r="N270" s="126">
        <v>0</v>
      </c>
      <c r="O270" s="126">
        <v>0</v>
      </c>
      <c r="P270" s="126">
        <v>0</v>
      </c>
      <c r="Q270" s="126">
        <v>0</v>
      </c>
    </row>
    <row r="271" spans="3:17" ht="23.1" customHeight="1">
      <c r="C271" s="126">
        <v>191</v>
      </c>
      <c r="D271" s="141" t="s">
        <v>781</v>
      </c>
      <c r="E271" s="159" t="s">
        <v>782</v>
      </c>
      <c r="F271" s="131">
        <v>1</v>
      </c>
      <c r="G271" s="131">
        <v>1</v>
      </c>
      <c r="H271" s="161">
        <v>46196</v>
      </c>
      <c r="I271" s="126">
        <v>0</v>
      </c>
      <c r="J271" s="126">
        <v>20</v>
      </c>
      <c r="K271" s="126">
        <v>0</v>
      </c>
      <c r="L271" s="126">
        <v>0</v>
      </c>
      <c r="M271" s="126">
        <v>0</v>
      </c>
      <c r="N271" s="126">
        <v>0</v>
      </c>
      <c r="O271" s="126">
        <v>0</v>
      </c>
      <c r="P271" s="126">
        <v>0</v>
      </c>
      <c r="Q271" s="126">
        <v>0</v>
      </c>
    </row>
    <row r="272" spans="3:17" ht="23.1" customHeight="1">
      <c r="C272" s="126">
        <v>178</v>
      </c>
      <c r="D272" s="141" t="s">
        <v>755</v>
      </c>
      <c r="E272" s="159" t="s">
        <v>756</v>
      </c>
      <c r="F272" s="131">
        <v>1</v>
      </c>
      <c r="G272" s="131">
        <v>1</v>
      </c>
      <c r="H272" s="161">
        <v>46196</v>
      </c>
      <c r="I272" s="126">
        <v>0</v>
      </c>
      <c r="J272" s="126">
        <v>600</v>
      </c>
      <c r="K272" s="126">
        <v>0</v>
      </c>
      <c r="L272" s="126">
        <v>0</v>
      </c>
      <c r="M272" s="126">
        <v>0</v>
      </c>
      <c r="N272" s="126">
        <v>0</v>
      </c>
      <c r="O272" s="126">
        <v>0</v>
      </c>
      <c r="P272" s="126">
        <v>0</v>
      </c>
      <c r="Q272" s="126">
        <v>0</v>
      </c>
    </row>
    <row r="273" spans="3:17" ht="23.1" customHeight="1">
      <c r="C273" s="126">
        <v>178</v>
      </c>
      <c r="D273" s="141" t="s">
        <v>755</v>
      </c>
      <c r="E273" s="159" t="s">
        <v>756</v>
      </c>
      <c r="F273" s="131">
        <v>1</v>
      </c>
      <c r="G273" s="131">
        <v>1</v>
      </c>
      <c r="H273" s="161">
        <v>46197</v>
      </c>
      <c r="I273" s="126">
        <v>0</v>
      </c>
      <c r="J273" s="126">
        <v>150</v>
      </c>
      <c r="K273" s="126">
        <v>0</v>
      </c>
      <c r="L273" s="126">
        <v>0</v>
      </c>
      <c r="M273" s="126">
        <v>0</v>
      </c>
      <c r="N273" s="126">
        <v>0</v>
      </c>
      <c r="O273" s="126">
        <v>0</v>
      </c>
      <c r="P273" s="126">
        <v>0</v>
      </c>
      <c r="Q273" s="126">
        <v>0</v>
      </c>
    </row>
    <row r="274" spans="3:17" ht="23.1" customHeight="1">
      <c r="C274" s="126">
        <v>181</v>
      </c>
      <c r="D274" s="141" t="s">
        <v>761</v>
      </c>
      <c r="E274" s="159" t="s">
        <v>762</v>
      </c>
      <c r="F274" s="131">
        <v>1</v>
      </c>
      <c r="G274" s="131">
        <v>1</v>
      </c>
      <c r="H274" s="161">
        <v>46197</v>
      </c>
      <c r="I274" s="126">
        <v>0</v>
      </c>
      <c r="J274" s="126">
        <v>12</v>
      </c>
      <c r="K274" s="126">
        <v>0</v>
      </c>
      <c r="L274" s="126">
        <v>0</v>
      </c>
      <c r="M274" s="126">
        <v>0</v>
      </c>
      <c r="N274" s="126">
        <v>0</v>
      </c>
      <c r="O274" s="126">
        <v>0</v>
      </c>
      <c r="P274" s="126">
        <v>0</v>
      </c>
      <c r="Q274" s="126">
        <v>0</v>
      </c>
    </row>
    <row r="275" spans="3:17" ht="23.1" customHeight="1">
      <c r="C275" s="126">
        <v>195</v>
      </c>
      <c r="D275" s="141" t="s">
        <v>608</v>
      </c>
      <c r="E275" s="159" t="s">
        <v>609</v>
      </c>
      <c r="F275" s="131">
        <v>1</v>
      </c>
      <c r="G275" s="131">
        <v>1</v>
      </c>
      <c r="H275" s="161">
        <v>46197</v>
      </c>
      <c r="I275" s="126">
        <v>0</v>
      </c>
      <c r="J275" s="126">
        <v>28</v>
      </c>
      <c r="K275" s="126">
        <v>0</v>
      </c>
      <c r="L275" s="126">
        <v>0</v>
      </c>
      <c r="M275" s="126">
        <v>0</v>
      </c>
      <c r="N275" s="126">
        <v>0</v>
      </c>
      <c r="O275" s="126">
        <v>0</v>
      </c>
      <c r="P275" s="126">
        <v>0</v>
      </c>
      <c r="Q275" s="126">
        <v>0</v>
      </c>
    </row>
    <row r="276" spans="3:17" ht="23.1" customHeight="1">
      <c r="C276" s="126">
        <v>197</v>
      </c>
      <c r="D276" s="141" t="s">
        <v>652</v>
      </c>
      <c r="E276" s="159" t="s">
        <v>653</v>
      </c>
      <c r="F276" s="131">
        <v>1</v>
      </c>
      <c r="G276" s="131">
        <v>1</v>
      </c>
      <c r="H276" s="161">
        <v>46197</v>
      </c>
      <c r="I276" s="126">
        <v>0</v>
      </c>
      <c r="J276" s="126">
        <v>8</v>
      </c>
      <c r="K276" s="126">
        <v>0</v>
      </c>
      <c r="L276" s="126">
        <v>0</v>
      </c>
      <c r="M276" s="126">
        <v>0</v>
      </c>
      <c r="N276" s="126">
        <v>0</v>
      </c>
      <c r="O276" s="126">
        <v>0</v>
      </c>
      <c r="P276" s="126">
        <v>0</v>
      </c>
      <c r="Q276" s="126">
        <v>0</v>
      </c>
    </row>
    <row r="277" spans="3:17" ht="23.1" customHeight="1">
      <c r="C277" s="126">
        <v>177</v>
      </c>
      <c r="D277" s="141" t="s">
        <v>752</v>
      </c>
      <c r="E277" s="159" t="s">
        <v>753</v>
      </c>
      <c r="F277" s="131">
        <v>1</v>
      </c>
      <c r="G277" s="131">
        <v>1</v>
      </c>
      <c r="H277" s="161">
        <v>46197</v>
      </c>
      <c r="I277" s="126">
        <v>0</v>
      </c>
      <c r="J277" s="126">
        <v>250</v>
      </c>
      <c r="K277" s="126">
        <v>0</v>
      </c>
      <c r="L277" s="126">
        <v>0</v>
      </c>
      <c r="M277" s="126">
        <v>0</v>
      </c>
      <c r="N277" s="126">
        <v>0</v>
      </c>
      <c r="O277" s="126">
        <v>0</v>
      </c>
      <c r="P277" s="126">
        <v>0</v>
      </c>
      <c r="Q277" s="126">
        <v>0</v>
      </c>
    </row>
    <row r="278" spans="3:17" ht="23.1" customHeight="1">
      <c r="C278" s="126">
        <v>54</v>
      </c>
      <c r="D278" s="141" t="s">
        <v>1743</v>
      </c>
      <c r="E278" s="159" t="s">
        <v>1744</v>
      </c>
      <c r="F278" s="131">
        <v>1</v>
      </c>
      <c r="G278" s="131">
        <v>1</v>
      </c>
      <c r="H278" s="161">
        <v>46197</v>
      </c>
      <c r="I278" s="126">
        <v>0</v>
      </c>
      <c r="J278" s="126">
        <v>8</v>
      </c>
      <c r="K278" s="126">
        <v>0</v>
      </c>
      <c r="L278" s="126">
        <v>0</v>
      </c>
      <c r="M278" s="126">
        <v>0</v>
      </c>
      <c r="N278" s="126">
        <v>0</v>
      </c>
      <c r="O278" s="126">
        <v>0</v>
      </c>
      <c r="P278" s="126">
        <v>0</v>
      </c>
      <c r="Q278" s="126">
        <v>0</v>
      </c>
    </row>
    <row r="279" spans="3:17" ht="23.1" customHeight="1">
      <c r="C279" s="126">
        <v>32</v>
      </c>
      <c r="D279" s="141" t="s">
        <v>1748</v>
      </c>
      <c r="E279" s="159" t="s">
        <v>1749</v>
      </c>
      <c r="F279" s="131">
        <v>1</v>
      </c>
      <c r="G279" s="131">
        <v>1</v>
      </c>
      <c r="H279" s="161">
        <v>46197</v>
      </c>
      <c r="I279" s="126">
        <v>0</v>
      </c>
      <c r="J279" s="126">
        <v>1</v>
      </c>
      <c r="K279" s="126">
        <v>0</v>
      </c>
      <c r="L279" s="126">
        <v>0</v>
      </c>
      <c r="M279" s="126">
        <v>0</v>
      </c>
      <c r="N279" s="126">
        <v>0</v>
      </c>
      <c r="O279" s="126">
        <v>0</v>
      </c>
      <c r="P279" s="126">
        <v>0</v>
      </c>
      <c r="Q279" s="126">
        <v>0</v>
      </c>
    </row>
    <row r="280" spans="3:17" ht="23.1" customHeight="1">
      <c r="C280" s="126">
        <v>162</v>
      </c>
      <c r="D280" s="141" t="s">
        <v>741</v>
      </c>
      <c r="E280" s="159" t="s">
        <v>742</v>
      </c>
      <c r="F280" s="131">
        <v>1</v>
      </c>
      <c r="G280" s="131">
        <v>1</v>
      </c>
      <c r="H280" s="161">
        <v>46197</v>
      </c>
      <c r="I280" s="126">
        <v>0</v>
      </c>
      <c r="J280" s="126">
        <v>1</v>
      </c>
      <c r="K280" s="126">
        <v>0</v>
      </c>
      <c r="L280" s="126">
        <v>0</v>
      </c>
      <c r="M280" s="126">
        <v>0</v>
      </c>
      <c r="N280" s="126">
        <v>0</v>
      </c>
      <c r="O280" s="126">
        <v>0</v>
      </c>
      <c r="P280" s="126">
        <v>0</v>
      </c>
      <c r="Q280" s="126">
        <v>0</v>
      </c>
    </row>
    <row r="281" spans="3:17" ht="23.1" customHeight="1">
      <c r="C281" s="126">
        <v>179</v>
      </c>
      <c r="D281" s="141" t="s">
        <v>564</v>
      </c>
      <c r="E281" s="159" t="s">
        <v>565</v>
      </c>
      <c r="F281" s="131">
        <v>1</v>
      </c>
      <c r="G281" s="131">
        <v>1</v>
      </c>
      <c r="H281" s="161">
        <v>46197</v>
      </c>
      <c r="I281" s="126">
        <v>0</v>
      </c>
      <c r="J281" s="126">
        <v>250</v>
      </c>
      <c r="K281" s="126">
        <v>0</v>
      </c>
      <c r="L281" s="126">
        <v>0</v>
      </c>
      <c r="M281" s="126">
        <v>0</v>
      </c>
      <c r="N281" s="126">
        <v>0</v>
      </c>
      <c r="O281" s="126">
        <v>0</v>
      </c>
      <c r="P281" s="126">
        <v>0</v>
      </c>
      <c r="Q281" s="126">
        <v>0</v>
      </c>
    </row>
    <row r="282" spans="3:17" ht="23.1" customHeight="1">
      <c r="C282" s="126">
        <v>16</v>
      </c>
      <c r="D282" s="141" t="s">
        <v>699</v>
      </c>
      <c r="E282" s="159" t="s">
        <v>700</v>
      </c>
      <c r="F282" s="131">
        <v>1</v>
      </c>
      <c r="G282" s="131">
        <v>1</v>
      </c>
      <c r="H282" s="161">
        <v>46197</v>
      </c>
      <c r="I282" s="126">
        <v>0</v>
      </c>
      <c r="J282" s="126">
        <v>7</v>
      </c>
      <c r="K282" s="126">
        <v>0</v>
      </c>
      <c r="L282" s="126">
        <v>0</v>
      </c>
      <c r="M282" s="126">
        <v>0</v>
      </c>
      <c r="N282" s="126">
        <v>0</v>
      </c>
      <c r="O282" s="126">
        <v>0</v>
      </c>
      <c r="P282" s="126">
        <v>0</v>
      </c>
      <c r="Q282" s="126">
        <v>0</v>
      </c>
    </row>
    <row r="283" spans="3:17" ht="23.1" customHeight="1">
      <c r="C283" s="126">
        <v>182</v>
      </c>
      <c r="D283" s="141" t="s">
        <v>627</v>
      </c>
      <c r="E283" s="159" t="s">
        <v>628</v>
      </c>
      <c r="F283" s="131">
        <v>1</v>
      </c>
      <c r="G283" s="131">
        <v>1</v>
      </c>
      <c r="H283" s="161">
        <v>46197</v>
      </c>
      <c r="I283" s="126">
        <v>0</v>
      </c>
      <c r="J283" s="126">
        <v>84</v>
      </c>
      <c r="K283" s="126">
        <v>0</v>
      </c>
      <c r="L283" s="126">
        <v>0</v>
      </c>
      <c r="M283" s="126">
        <v>0</v>
      </c>
      <c r="N283" s="126">
        <v>0</v>
      </c>
      <c r="O283" s="126">
        <v>0</v>
      </c>
      <c r="P283" s="126">
        <v>0</v>
      </c>
      <c r="Q283" s="126">
        <v>0</v>
      </c>
    </row>
    <row r="284" spans="3:17" ht="23.1" customHeight="1">
      <c r="C284" s="126">
        <v>177</v>
      </c>
      <c r="D284" s="141" t="s">
        <v>752</v>
      </c>
      <c r="E284" s="159" t="s">
        <v>753</v>
      </c>
      <c r="F284" s="131">
        <v>1</v>
      </c>
      <c r="G284" s="131">
        <v>1</v>
      </c>
      <c r="H284" s="161">
        <v>46198</v>
      </c>
      <c r="I284" s="126">
        <v>0</v>
      </c>
      <c r="J284" s="126">
        <v>550</v>
      </c>
      <c r="K284" s="126">
        <v>0</v>
      </c>
      <c r="L284" s="126">
        <v>0</v>
      </c>
      <c r="M284" s="126">
        <v>0</v>
      </c>
      <c r="N284" s="126">
        <v>0</v>
      </c>
      <c r="O284" s="126">
        <v>0</v>
      </c>
      <c r="P284" s="126">
        <v>0</v>
      </c>
      <c r="Q284" s="126">
        <v>0</v>
      </c>
    </row>
    <row r="285" spans="3:17" ht="23.1" customHeight="1">
      <c r="C285" s="126">
        <v>189</v>
      </c>
      <c r="D285" s="141" t="s">
        <v>778</v>
      </c>
      <c r="E285" s="159" t="s">
        <v>779</v>
      </c>
      <c r="F285" s="131">
        <v>1</v>
      </c>
      <c r="G285" s="131">
        <v>1</v>
      </c>
      <c r="H285" s="161">
        <v>46198</v>
      </c>
      <c r="I285" s="126">
        <v>0</v>
      </c>
      <c r="J285" s="126">
        <v>8</v>
      </c>
      <c r="K285" s="126">
        <v>0</v>
      </c>
      <c r="L285" s="126">
        <v>0</v>
      </c>
      <c r="M285" s="126">
        <v>0</v>
      </c>
      <c r="N285" s="126">
        <v>0</v>
      </c>
      <c r="O285" s="126">
        <v>0</v>
      </c>
      <c r="P285" s="126">
        <v>0</v>
      </c>
      <c r="Q285" s="126">
        <v>0</v>
      </c>
    </row>
    <row r="286" spans="3:17" ht="23.1" customHeight="1">
      <c r="C286" s="126">
        <v>51</v>
      </c>
      <c r="D286" s="141" t="s">
        <v>1339</v>
      </c>
      <c r="E286" s="159" t="s">
        <v>1340</v>
      </c>
      <c r="F286" s="131">
        <v>1</v>
      </c>
      <c r="G286" s="131">
        <v>1</v>
      </c>
      <c r="H286" s="161">
        <v>46198</v>
      </c>
      <c r="I286" s="126">
        <v>0</v>
      </c>
      <c r="J286" s="126">
        <v>5</v>
      </c>
      <c r="K286" s="126">
        <v>0</v>
      </c>
      <c r="L286" s="126">
        <v>0</v>
      </c>
      <c r="M286" s="126">
        <v>0</v>
      </c>
      <c r="N286" s="126">
        <v>0</v>
      </c>
      <c r="O286" s="126">
        <v>0</v>
      </c>
      <c r="P286" s="126">
        <v>0</v>
      </c>
      <c r="Q286" s="126">
        <v>0</v>
      </c>
    </row>
    <row r="287" spans="3:17" ht="23.1" customHeight="1">
      <c r="C287" s="126">
        <v>195</v>
      </c>
      <c r="D287" s="141" t="s">
        <v>608</v>
      </c>
      <c r="E287" s="159" t="s">
        <v>609</v>
      </c>
      <c r="F287" s="131">
        <v>1</v>
      </c>
      <c r="G287" s="131">
        <v>1</v>
      </c>
      <c r="H287" s="161">
        <v>46198</v>
      </c>
      <c r="I287" s="126">
        <v>0</v>
      </c>
      <c r="J287" s="126">
        <v>12</v>
      </c>
      <c r="K287" s="126">
        <v>0</v>
      </c>
      <c r="L287" s="126">
        <v>0</v>
      </c>
      <c r="M287" s="126">
        <v>0</v>
      </c>
      <c r="N287" s="126">
        <v>0</v>
      </c>
      <c r="O287" s="126">
        <v>0</v>
      </c>
      <c r="P287" s="126">
        <v>0</v>
      </c>
      <c r="Q287" s="126">
        <v>0</v>
      </c>
    </row>
    <row r="288" spans="3:17" ht="23.1" customHeight="1">
      <c r="C288" s="126">
        <v>187</v>
      </c>
      <c r="D288" s="141" t="s">
        <v>576</v>
      </c>
      <c r="E288" s="159" t="s">
        <v>577</v>
      </c>
      <c r="F288" s="131">
        <v>1</v>
      </c>
      <c r="G288" s="131">
        <v>1</v>
      </c>
      <c r="H288" s="161">
        <v>46198</v>
      </c>
      <c r="I288" s="126">
        <v>0</v>
      </c>
      <c r="J288" s="126">
        <v>24</v>
      </c>
      <c r="K288" s="126">
        <v>0</v>
      </c>
      <c r="L288" s="126">
        <v>0</v>
      </c>
      <c r="M288" s="126">
        <v>0</v>
      </c>
      <c r="N288" s="126">
        <v>0</v>
      </c>
      <c r="O288" s="126">
        <v>0</v>
      </c>
      <c r="P288" s="126">
        <v>0</v>
      </c>
      <c r="Q288" s="126">
        <v>0</v>
      </c>
    </row>
    <row r="289" spans="3:17" ht="23.1" customHeight="1">
      <c r="C289" s="126">
        <v>153</v>
      </c>
      <c r="D289" s="141" t="s">
        <v>554</v>
      </c>
      <c r="E289" s="159" t="s">
        <v>555</v>
      </c>
      <c r="F289" s="131">
        <v>1</v>
      </c>
      <c r="G289" s="131">
        <v>1</v>
      </c>
      <c r="H289" s="161">
        <v>46198</v>
      </c>
      <c r="I289" s="126">
        <v>0</v>
      </c>
      <c r="J289" s="126">
        <v>4</v>
      </c>
      <c r="K289" s="126">
        <v>0</v>
      </c>
      <c r="L289" s="126">
        <v>0</v>
      </c>
      <c r="M289" s="126">
        <v>0</v>
      </c>
      <c r="N289" s="126">
        <v>0</v>
      </c>
      <c r="O289" s="126">
        <v>0</v>
      </c>
      <c r="P289" s="126">
        <v>0</v>
      </c>
      <c r="Q289" s="126">
        <v>0</v>
      </c>
    </row>
    <row r="290" spans="3:17" ht="23.1" customHeight="1">
      <c r="C290" s="126">
        <v>182</v>
      </c>
      <c r="D290" s="141" t="s">
        <v>627</v>
      </c>
      <c r="E290" s="159" t="s">
        <v>628</v>
      </c>
      <c r="F290" s="131">
        <v>1</v>
      </c>
      <c r="G290" s="131">
        <v>1</v>
      </c>
      <c r="H290" s="161">
        <v>46198</v>
      </c>
      <c r="I290" s="126">
        <v>0</v>
      </c>
      <c r="J290" s="126">
        <v>24</v>
      </c>
      <c r="K290" s="126">
        <v>0</v>
      </c>
      <c r="L290" s="126">
        <v>0</v>
      </c>
      <c r="M290" s="126">
        <v>0</v>
      </c>
      <c r="N290" s="126">
        <v>0</v>
      </c>
      <c r="O290" s="126">
        <v>0</v>
      </c>
      <c r="P290" s="126">
        <v>0</v>
      </c>
      <c r="Q290" s="126">
        <v>0</v>
      </c>
    </row>
    <row r="291" spans="3:17" ht="23.1" customHeight="1">
      <c r="C291" s="126">
        <v>49</v>
      </c>
      <c r="D291" s="141" t="s">
        <v>813</v>
      </c>
      <c r="E291" s="159" t="s">
        <v>814</v>
      </c>
      <c r="F291" s="131">
        <v>1</v>
      </c>
      <c r="G291" s="131">
        <v>1</v>
      </c>
      <c r="H291" s="161">
        <v>46198</v>
      </c>
      <c r="I291" s="126">
        <v>0</v>
      </c>
      <c r="J291" s="126">
        <v>1</v>
      </c>
      <c r="K291" s="126">
        <v>0</v>
      </c>
      <c r="L291" s="126">
        <v>0</v>
      </c>
      <c r="M291" s="126">
        <v>0</v>
      </c>
      <c r="N291" s="126">
        <v>0</v>
      </c>
      <c r="O291" s="126">
        <v>0</v>
      </c>
      <c r="P291" s="126">
        <v>0</v>
      </c>
      <c r="Q291" s="126">
        <v>0</v>
      </c>
    </row>
    <row r="292" spans="3:17" ht="23.1" customHeight="1">
      <c r="C292" s="126">
        <v>48</v>
      </c>
      <c r="D292" s="141" t="s">
        <v>596</v>
      </c>
      <c r="E292" s="159" t="s">
        <v>597</v>
      </c>
      <c r="F292" s="131">
        <v>1</v>
      </c>
      <c r="G292" s="131">
        <v>1</v>
      </c>
      <c r="H292" s="161">
        <v>46198</v>
      </c>
      <c r="I292" s="126">
        <v>0</v>
      </c>
      <c r="J292" s="126">
        <v>4</v>
      </c>
      <c r="K292" s="126">
        <v>0</v>
      </c>
      <c r="L292" s="126">
        <v>0</v>
      </c>
      <c r="M292" s="126">
        <v>0</v>
      </c>
      <c r="N292" s="126">
        <v>0</v>
      </c>
      <c r="O292" s="126">
        <v>0</v>
      </c>
      <c r="P292" s="126">
        <v>0</v>
      </c>
      <c r="Q292" s="126">
        <v>0</v>
      </c>
    </row>
    <row r="293" spans="3:17" ht="23.1" customHeight="1">
      <c r="C293" s="126">
        <v>46</v>
      </c>
      <c r="D293" s="141" t="s">
        <v>647</v>
      </c>
      <c r="E293" s="159" t="s">
        <v>648</v>
      </c>
      <c r="F293" s="131">
        <v>1</v>
      </c>
      <c r="G293" s="131">
        <v>1</v>
      </c>
      <c r="H293" s="161">
        <v>46198</v>
      </c>
      <c r="I293" s="126">
        <v>0</v>
      </c>
      <c r="J293" s="126">
        <v>8</v>
      </c>
      <c r="K293" s="126">
        <v>0</v>
      </c>
      <c r="L293" s="126">
        <v>0</v>
      </c>
      <c r="M293" s="126">
        <v>0</v>
      </c>
      <c r="N293" s="126">
        <v>0</v>
      </c>
      <c r="O293" s="126">
        <v>0</v>
      </c>
      <c r="P293" s="126">
        <v>0</v>
      </c>
      <c r="Q293" s="126">
        <v>0</v>
      </c>
    </row>
    <row r="294" spans="3:17" ht="23.1" customHeight="1">
      <c r="C294" s="126">
        <v>42</v>
      </c>
      <c r="D294" s="141" t="s">
        <v>975</v>
      </c>
      <c r="E294" s="159" t="s">
        <v>976</v>
      </c>
      <c r="F294" s="131">
        <v>1</v>
      </c>
      <c r="G294" s="131">
        <v>1</v>
      </c>
      <c r="H294" s="161">
        <v>46198</v>
      </c>
      <c r="I294" s="126">
        <v>0</v>
      </c>
      <c r="J294" s="126">
        <v>6</v>
      </c>
      <c r="K294" s="126">
        <v>0</v>
      </c>
      <c r="L294" s="126">
        <v>0</v>
      </c>
      <c r="M294" s="126">
        <v>0</v>
      </c>
      <c r="N294" s="126">
        <v>0</v>
      </c>
      <c r="O294" s="126">
        <v>0</v>
      </c>
      <c r="P294" s="126">
        <v>0</v>
      </c>
      <c r="Q294" s="126">
        <v>0</v>
      </c>
    </row>
    <row r="295" spans="3:17" ht="23.1" customHeight="1">
      <c r="C295" s="126">
        <v>50</v>
      </c>
      <c r="D295" s="141" t="s">
        <v>803</v>
      </c>
      <c r="E295" s="159" t="s">
        <v>804</v>
      </c>
      <c r="F295" s="131">
        <v>1</v>
      </c>
      <c r="G295" s="131">
        <v>1</v>
      </c>
      <c r="H295" s="161">
        <v>46198</v>
      </c>
      <c r="I295" s="126">
        <v>0</v>
      </c>
      <c r="J295" s="126">
        <v>6</v>
      </c>
      <c r="K295" s="126">
        <v>0</v>
      </c>
      <c r="L295" s="126">
        <v>0</v>
      </c>
      <c r="M295" s="126">
        <v>0</v>
      </c>
      <c r="N295" s="126">
        <v>0</v>
      </c>
      <c r="O295" s="126">
        <v>0</v>
      </c>
      <c r="P295" s="126">
        <v>0</v>
      </c>
      <c r="Q295" s="126">
        <v>0</v>
      </c>
    </row>
    <row r="296" spans="3:17" ht="23.1" customHeight="1">
      <c r="C296" s="126">
        <v>9</v>
      </c>
      <c r="D296" s="141" t="s">
        <v>1813</v>
      </c>
      <c r="E296" s="159" t="s">
        <v>1814</v>
      </c>
      <c r="F296" s="131">
        <v>1</v>
      </c>
      <c r="G296" s="131">
        <v>1</v>
      </c>
      <c r="H296" s="161">
        <v>46198</v>
      </c>
      <c r="I296" s="126">
        <v>0</v>
      </c>
      <c r="J296" s="126">
        <v>7</v>
      </c>
      <c r="K296" s="126">
        <v>0</v>
      </c>
      <c r="L296" s="126">
        <v>0</v>
      </c>
      <c r="M296" s="126">
        <v>0</v>
      </c>
      <c r="N296" s="126">
        <v>0</v>
      </c>
      <c r="O296" s="126">
        <v>0</v>
      </c>
      <c r="P296" s="126">
        <v>0</v>
      </c>
      <c r="Q296" s="126">
        <v>0</v>
      </c>
    </row>
    <row r="297" spans="3:17" ht="23.1" customHeight="1">
      <c r="C297" s="126">
        <v>8</v>
      </c>
      <c r="D297" s="141" t="s">
        <v>1125</v>
      </c>
      <c r="E297" s="159" t="s">
        <v>1126</v>
      </c>
      <c r="F297" s="131">
        <v>1</v>
      </c>
      <c r="G297" s="131">
        <v>1</v>
      </c>
      <c r="H297" s="161">
        <v>46198</v>
      </c>
      <c r="I297" s="126">
        <v>0</v>
      </c>
      <c r="J297" s="126">
        <v>2</v>
      </c>
      <c r="K297" s="126">
        <v>0</v>
      </c>
      <c r="L297" s="126">
        <v>0</v>
      </c>
      <c r="M297" s="126">
        <v>0</v>
      </c>
      <c r="N297" s="126">
        <v>0</v>
      </c>
      <c r="O297" s="126">
        <v>0</v>
      </c>
      <c r="P297" s="126">
        <v>0</v>
      </c>
      <c r="Q297" s="126">
        <v>0</v>
      </c>
    </row>
    <row r="298" spans="3:17" ht="23.1" customHeight="1">
      <c r="C298" s="126">
        <v>75</v>
      </c>
      <c r="D298" s="141" t="s">
        <v>1381</v>
      </c>
      <c r="E298" s="159" t="s">
        <v>1382</v>
      </c>
      <c r="F298" s="131">
        <v>1</v>
      </c>
      <c r="G298" s="131">
        <v>1</v>
      </c>
      <c r="H298" s="161">
        <v>46198</v>
      </c>
      <c r="I298" s="126">
        <v>0</v>
      </c>
      <c r="J298" s="126">
        <v>1</v>
      </c>
      <c r="K298" s="126">
        <v>0</v>
      </c>
      <c r="L298" s="126">
        <v>0</v>
      </c>
      <c r="M298" s="126">
        <v>0</v>
      </c>
      <c r="N298" s="126">
        <v>0</v>
      </c>
      <c r="O298" s="126">
        <v>0</v>
      </c>
      <c r="P298" s="126">
        <v>0</v>
      </c>
      <c r="Q298" s="126">
        <v>0</v>
      </c>
    </row>
    <row r="299" spans="3:17" ht="23.1" customHeight="1">
      <c r="C299" s="126">
        <v>56</v>
      </c>
      <c r="D299" s="141" t="s">
        <v>1203</v>
      </c>
      <c r="E299" s="159" t="s">
        <v>1204</v>
      </c>
      <c r="F299" s="131">
        <v>1</v>
      </c>
      <c r="G299" s="131">
        <v>1</v>
      </c>
      <c r="H299" s="161">
        <v>46198</v>
      </c>
      <c r="I299" s="126">
        <v>0</v>
      </c>
      <c r="J299" s="126">
        <v>3</v>
      </c>
      <c r="K299" s="126">
        <v>0</v>
      </c>
      <c r="L299" s="126">
        <v>0</v>
      </c>
      <c r="M299" s="126">
        <v>0</v>
      </c>
      <c r="N299" s="126">
        <v>0</v>
      </c>
      <c r="O299" s="126">
        <v>0</v>
      </c>
      <c r="P299" s="126">
        <v>0</v>
      </c>
      <c r="Q299" s="126">
        <v>0</v>
      </c>
    </row>
    <row r="300" spans="3:17" ht="23.1" customHeight="1">
      <c r="C300" s="126">
        <v>41</v>
      </c>
      <c r="D300" s="141" t="s">
        <v>808</v>
      </c>
      <c r="E300" s="159" t="s">
        <v>809</v>
      </c>
      <c r="F300" s="131">
        <v>1</v>
      </c>
      <c r="G300" s="131">
        <v>1</v>
      </c>
      <c r="H300" s="161">
        <v>46198</v>
      </c>
      <c r="I300" s="126">
        <v>0</v>
      </c>
      <c r="J300" s="126">
        <v>2</v>
      </c>
      <c r="K300" s="126">
        <v>0</v>
      </c>
      <c r="L300" s="126">
        <v>0</v>
      </c>
      <c r="M300" s="126">
        <v>0</v>
      </c>
      <c r="N300" s="126">
        <v>0</v>
      </c>
      <c r="O300" s="126">
        <v>0</v>
      </c>
      <c r="P300" s="126">
        <v>0</v>
      </c>
      <c r="Q300" s="126">
        <v>0</v>
      </c>
    </row>
    <row r="301" spans="3:17" ht="23.1" customHeight="1">
      <c r="C301" s="126">
        <v>68</v>
      </c>
      <c r="D301" s="141" t="s">
        <v>1242</v>
      </c>
      <c r="E301" s="159" t="s">
        <v>1243</v>
      </c>
      <c r="F301" s="131">
        <v>1</v>
      </c>
      <c r="G301" s="131">
        <v>1</v>
      </c>
      <c r="H301" s="161">
        <v>46198</v>
      </c>
      <c r="I301" s="126">
        <v>0</v>
      </c>
      <c r="J301" s="126">
        <v>2</v>
      </c>
      <c r="K301" s="126">
        <v>0</v>
      </c>
      <c r="L301" s="126">
        <v>0</v>
      </c>
      <c r="M301" s="126">
        <v>0</v>
      </c>
      <c r="N301" s="126">
        <v>0</v>
      </c>
      <c r="O301" s="126">
        <v>0</v>
      </c>
      <c r="P301" s="126">
        <v>0</v>
      </c>
      <c r="Q301" s="126">
        <v>0</v>
      </c>
    </row>
    <row r="302" spans="3:17" ht="23.1" customHeight="1">
      <c r="C302" s="126">
        <v>108</v>
      </c>
      <c r="D302" s="141" t="s">
        <v>1009</v>
      </c>
      <c r="E302" s="159" t="s">
        <v>1010</v>
      </c>
      <c r="F302" s="131">
        <v>1</v>
      </c>
      <c r="G302" s="131">
        <v>1</v>
      </c>
      <c r="H302" s="161">
        <v>46198</v>
      </c>
      <c r="I302" s="126">
        <v>0</v>
      </c>
      <c r="J302" s="126">
        <v>1</v>
      </c>
      <c r="K302" s="126">
        <v>0</v>
      </c>
      <c r="L302" s="126">
        <v>0</v>
      </c>
      <c r="M302" s="126">
        <v>0</v>
      </c>
      <c r="N302" s="126">
        <v>0</v>
      </c>
      <c r="O302" s="126">
        <v>0</v>
      </c>
      <c r="P302" s="126">
        <v>0</v>
      </c>
      <c r="Q302" s="126">
        <v>0</v>
      </c>
    </row>
    <row r="303" spans="3:17" ht="23.1" customHeight="1">
      <c r="C303" s="126">
        <v>14</v>
      </c>
      <c r="D303" s="141" t="s">
        <v>696</v>
      </c>
      <c r="E303" s="159" t="s">
        <v>697</v>
      </c>
      <c r="F303" s="131">
        <v>1</v>
      </c>
      <c r="G303" s="131">
        <v>1</v>
      </c>
      <c r="H303" s="161">
        <v>46198</v>
      </c>
      <c r="I303" s="126">
        <v>0</v>
      </c>
      <c r="J303" s="126">
        <v>1</v>
      </c>
      <c r="K303" s="126">
        <v>0</v>
      </c>
      <c r="L303" s="126">
        <v>0</v>
      </c>
      <c r="M303" s="126">
        <v>0</v>
      </c>
      <c r="N303" s="126">
        <v>0</v>
      </c>
      <c r="O303" s="126">
        <v>0</v>
      </c>
      <c r="P303" s="126">
        <v>0</v>
      </c>
      <c r="Q303" s="126">
        <v>0</v>
      </c>
    </row>
    <row r="304" spans="3:17" ht="23.1" customHeight="1">
      <c r="C304" s="126">
        <v>18</v>
      </c>
      <c r="D304" s="141" t="s">
        <v>703</v>
      </c>
      <c r="E304" s="159" t="s">
        <v>704</v>
      </c>
      <c r="F304" s="131">
        <v>1</v>
      </c>
      <c r="G304" s="131">
        <v>1</v>
      </c>
      <c r="H304" s="161">
        <v>46198</v>
      </c>
      <c r="I304" s="126">
        <v>0</v>
      </c>
      <c r="J304" s="126">
        <v>2</v>
      </c>
      <c r="K304" s="126">
        <v>0</v>
      </c>
      <c r="L304" s="126">
        <v>0</v>
      </c>
      <c r="M304" s="126">
        <v>0</v>
      </c>
      <c r="N304" s="126">
        <v>0</v>
      </c>
      <c r="O304" s="126">
        <v>0</v>
      </c>
      <c r="P304" s="126">
        <v>0</v>
      </c>
      <c r="Q304" s="126">
        <v>0</v>
      </c>
    </row>
    <row r="305" spans="3:17" ht="23.1" customHeight="1">
      <c r="C305" s="126">
        <v>29</v>
      </c>
      <c r="D305" s="141" t="s">
        <v>1523</v>
      </c>
      <c r="E305" s="159" t="s">
        <v>1524</v>
      </c>
      <c r="F305" s="131">
        <v>1</v>
      </c>
      <c r="G305" s="131">
        <v>1</v>
      </c>
      <c r="H305" s="161">
        <v>46198</v>
      </c>
      <c r="I305" s="126">
        <v>0</v>
      </c>
      <c r="J305" s="126">
        <v>2</v>
      </c>
      <c r="K305" s="126">
        <v>0</v>
      </c>
      <c r="L305" s="126">
        <v>0</v>
      </c>
      <c r="M305" s="126">
        <v>0</v>
      </c>
      <c r="N305" s="126">
        <v>0</v>
      </c>
      <c r="O305" s="126">
        <v>0</v>
      </c>
      <c r="P305" s="126">
        <v>0</v>
      </c>
      <c r="Q305" s="126">
        <v>0</v>
      </c>
    </row>
    <row r="306" spans="3:17" ht="23.1" customHeight="1">
      <c r="C306" s="126">
        <v>11</v>
      </c>
      <c r="D306" s="141" t="s">
        <v>690</v>
      </c>
      <c r="E306" s="159" t="s">
        <v>691</v>
      </c>
      <c r="F306" s="131">
        <v>1</v>
      </c>
      <c r="G306" s="131">
        <v>1</v>
      </c>
      <c r="H306" s="161">
        <v>46199</v>
      </c>
      <c r="I306" s="126">
        <v>0</v>
      </c>
      <c r="J306" s="126">
        <v>2</v>
      </c>
      <c r="K306" s="126">
        <v>0</v>
      </c>
      <c r="L306" s="126">
        <v>0</v>
      </c>
      <c r="M306" s="126">
        <v>0</v>
      </c>
      <c r="N306" s="126">
        <v>0</v>
      </c>
      <c r="O306" s="126">
        <v>0</v>
      </c>
      <c r="P306" s="126">
        <v>0</v>
      </c>
      <c r="Q306" s="126">
        <v>0</v>
      </c>
    </row>
    <row r="307" spans="3:17" ht="23.1" customHeight="1">
      <c r="C307" s="126">
        <v>9</v>
      </c>
      <c r="D307" s="141" t="s">
        <v>1813</v>
      </c>
      <c r="E307" s="159" t="s">
        <v>1814</v>
      </c>
      <c r="F307" s="131">
        <v>1</v>
      </c>
      <c r="G307" s="131">
        <v>1</v>
      </c>
      <c r="H307" s="161">
        <v>46199</v>
      </c>
      <c r="I307" s="126">
        <v>0</v>
      </c>
      <c r="J307" s="126">
        <v>8</v>
      </c>
      <c r="K307" s="126">
        <v>0</v>
      </c>
      <c r="L307" s="126">
        <v>0</v>
      </c>
      <c r="M307" s="126">
        <v>0</v>
      </c>
      <c r="N307" s="126">
        <v>0</v>
      </c>
      <c r="O307" s="126">
        <v>0</v>
      </c>
      <c r="P307" s="126">
        <v>0</v>
      </c>
      <c r="Q307" s="126">
        <v>0</v>
      </c>
    </row>
    <row r="308" spans="3:17" ht="23.1" customHeight="1">
      <c r="C308" s="126">
        <v>50</v>
      </c>
      <c r="D308" s="141" t="s">
        <v>803</v>
      </c>
      <c r="E308" s="159" t="s">
        <v>804</v>
      </c>
      <c r="F308" s="131">
        <v>1</v>
      </c>
      <c r="G308" s="131">
        <v>1</v>
      </c>
      <c r="H308" s="161">
        <v>46199</v>
      </c>
      <c r="I308" s="126">
        <v>0</v>
      </c>
      <c r="J308" s="126">
        <v>5</v>
      </c>
      <c r="K308" s="126">
        <v>0</v>
      </c>
      <c r="L308" s="126">
        <v>0</v>
      </c>
      <c r="M308" s="126">
        <v>0</v>
      </c>
      <c r="N308" s="126">
        <v>0</v>
      </c>
      <c r="O308" s="126">
        <v>0</v>
      </c>
      <c r="P308" s="126">
        <v>0</v>
      </c>
      <c r="Q308" s="126">
        <v>0</v>
      </c>
    </row>
    <row r="309" spans="3:17" ht="23.1" customHeight="1">
      <c r="C309" s="126">
        <v>49</v>
      </c>
      <c r="D309" s="141" t="s">
        <v>813</v>
      </c>
      <c r="E309" s="159" t="s">
        <v>814</v>
      </c>
      <c r="F309" s="131">
        <v>1</v>
      </c>
      <c r="G309" s="131">
        <v>1</v>
      </c>
      <c r="H309" s="161">
        <v>46199</v>
      </c>
      <c r="I309" s="126">
        <v>0</v>
      </c>
      <c r="J309" s="126">
        <v>2</v>
      </c>
      <c r="K309" s="126">
        <v>0</v>
      </c>
      <c r="L309" s="126">
        <v>0</v>
      </c>
      <c r="M309" s="126">
        <v>0</v>
      </c>
      <c r="N309" s="126">
        <v>0</v>
      </c>
      <c r="O309" s="126">
        <v>0</v>
      </c>
      <c r="P309" s="126">
        <v>0</v>
      </c>
      <c r="Q309" s="126">
        <v>0</v>
      </c>
    </row>
    <row r="310" spans="3:17" ht="23.1" customHeight="1">
      <c r="C310" s="126">
        <v>66</v>
      </c>
      <c r="D310" s="141" t="s">
        <v>1216</v>
      </c>
      <c r="E310" s="159" t="s">
        <v>1217</v>
      </c>
      <c r="F310" s="131">
        <v>1</v>
      </c>
      <c r="G310" s="131">
        <v>1</v>
      </c>
      <c r="H310" s="161">
        <v>46199</v>
      </c>
      <c r="I310" s="126">
        <v>0</v>
      </c>
      <c r="J310" s="126">
        <v>2</v>
      </c>
      <c r="K310" s="126">
        <v>0</v>
      </c>
      <c r="L310" s="126">
        <v>0</v>
      </c>
      <c r="M310" s="126">
        <v>0</v>
      </c>
      <c r="N310" s="126">
        <v>0</v>
      </c>
      <c r="O310" s="126">
        <v>0</v>
      </c>
      <c r="P310" s="126">
        <v>0</v>
      </c>
      <c r="Q310" s="126">
        <v>0</v>
      </c>
    </row>
    <row r="311" spans="3:17" ht="23.1" customHeight="1">
      <c r="C311" s="126">
        <v>177</v>
      </c>
      <c r="D311" s="141" t="s">
        <v>752</v>
      </c>
      <c r="E311" s="159" t="s">
        <v>753</v>
      </c>
      <c r="F311" s="131">
        <v>1</v>
      </c>
      <c r="G311" s="131">
        <v>1</v>
      </c>
      <c r="H311" s="161">
        <v>46199</v>
      </c>
      <c r="I311" s="126">
        <v>0</v>
      </c>
      <c r="J311" s="126">
        <v>750</v>
      </c>
      <c r="K311" s="126">
        <v>0</v>
      </c>
      <c r="L311" s="126">
        <v>0</v>
      </c>
      <c r="M311" s="126">
        <v>0</v>
      </c>
      <c r="N311" s="126">
        <v>0</v>
      </c>
      <c r="O311" s="126">
        <v>0</v>
      </c>
      <c r="P311" s="126">
        <v>0</v>
      </c>
      <c r="Q311" s="126">
        <v>0</v>
      </c>
    </row>
    <row r="312" spans="3:17" ht="23.1" customHeight="1">
      <c r="C312" s="126">
        <v>108</v>
      </c>
      <c r="D312" s="141" t="s">
        <v>1009</v>
      </c>
      <c r="E312" s="159" t="s">
        <v>1010</v>
      </c>
      <c r="F312" s="131">
        <v>1</v>
      </c>
      <c r="G312" s="131">
        <v>1</v>
      </c>
      <c r="H312" s="161">
        <v>46199</v>
      </c>
      <c r="I312" s="126">
        <v>0</v>
      </c>
      <c r="J312" s="126">
        <v>5</v>
      </c>
      <c r="K312" s="126">
        <v>0</v>
      </c>
      <c r="L312" s="126">
        <v>0</v>
      </c>
      <c r="M312" s="126">
        <v>0</v>
      </c>
      <c r="N312" s="126">
        <v>0</v>
      </c>
      <c r="O312" s="126">
        <v>0</v>
      </c>
      <c r="P312" s="126">
        <v>0</v>
      </c>
      <c r="Q312" s="126">
        <v>0</v>
      </c>
    </row>
    <row r="313" spans="3:17" ht="23.1" customHeight="1">
      <c r="C313" s="126">
        <v>29</v>
      </c>
      <c r="D313" s="141" t="s">
        <v>1523</v>
      </c>
      <c r="E313" s="159" t="s">
        <v>1524</v>
      </c>
      <c r="F313" s="131">
        <v>1</v>
      </c>
      <c r="G313" s="131">
        <v>1</v>
      </c>
      <c r="H313" s="161">
        <v>46199</v>
      </c>
      <c r="I313" s="126">
        <v>0</v>
      </c>
      <c r="J313" s="126">
        <v>4</v>
      </c>
      <c r="K313" s="126">
        <v>0</v>
      </c>
      <c r="L313" s="126">
        <v>0</v>
      </c>
      <c r="M313" s="126">
        <v>0</v>
      </c>
      <c r="N313" s="126">
        <v>0</v>
      </c>
      <c r="O313" s="126">
        <v>0</v>
      </c>
      <c r="P313" s="126">
        <v>0</v>
      </c>
      <c r="Q313" s="126">
        <v>0</v>
      </c>
    </row>
    <row r="314" spans="3:17" ht="23.1" customHeight="1">
      <c r="C314" s="126">
        <v>51</v>
      </c>
      <c r="D314" s="141" t="s">
        <v>1339</v>
      </c>
      <c r="E314" s="159" t="s">
        <v>1340</v>
      </c>
      <c r="F314" s="131">
        <v>1</v>
      </c>
      <c r="G314" s="131">
        <v>1</v>
      </c>
      <c r="H314" s="161">
        <v>46200</v>
      </c>
      <c r="I314" s="126">
        <v>0</v>
      </c>
      <c r="J314" s="126">
        <v>9</v>
      </c>
      <c r="K314" s="126">
        <v>0</v>
      </c>
      <c r="L314" s="126">
        <v>0</v>
      </c>
      <c r="M314" s="126">
        <v>0</v>
      </c>
      <c r="N314" s="126">
        <v>0</v>
      </c>
      <c r="O314" s="126">
        <v>0</v>
      </c>
      <c r="P314" s="126">
        <v>0</v>
      </c>
      <c r="Q314" s="126">
        <v>0</v>
      </c>
    </row>
    <row r="315" spans="3:17" ht="23.1" customHeight="1">
      <c r="C315" s="126">
        <v>183</v>
      </c>
      <c r="D315" s="141" t="s">
        <v>766</v>
      </c>
      <c r="E315" s="159" t="s">
        <v>767</v>
      </c>
      <c r="F315" s="131">
        <v>1</v>
      </c>
      <c r="G315" s="131">
        <v>1</v>
      </c>
      <c r="H315" s="161">
        <v>46200</v>
      </c>
      <c r="I315" s="126">
        <v>0</v>
      </c>
      <c r="J315" s="126">
        <v>192</v>
      </c>
      <c r="K315" s="126">
        <v>0</v>
      </c>
      <c r="L315" s="126">
        <v>0</v>
      </c>
      <c r="M315" s="126">
        <v>0</v>
      </c>
      <c r="N315" s="126">
        <v>0</v>
      </c>
      <c r="O315" s="126">
        <v>0</v>
      </c>
      <c r="P315" s="126">
        <v>0</v>
      </c>
      <c r="Q315" s="126">
        <v>0</v>
      </c>
    </row>
    <row r="316" spans="3:17" ht="23.1" customHeight="1">
      <c r="C316" s="126">
        <v>181</v>
      </c>
      <c r="D316" s="141" t="s">
        <v>761</v>
      </c>
      <c r="E316" s="159" t="s">
        <v>762</v>
      </c>
      <c r="F316" s="131">
        <v>1</v>
      </c>
      <c r="G316" s="131">
        <v>1</v>
      </c>
      <c r="H316" s="161">
        <v>46200</v>
      </c>
      <c r="I316" s="126">
        <v>0</v>
      </c>
      <c r="J316" s="126">
        <v>120</v>
      </c>
      <c r="K316" s="126">
        <v>0</v>
      </c>
      <c r="L316" s="126">
        <v>0</v>
      </c>
      <c r="M316" s="126">
        <v>0</v>
      </c>
      <c r="N316" s="126">
        <v>0</v>
      </c>
      <c r="O316" s="126">
        <v>0</v>
      </c>
      <c r="P316" s="126">
        <v>0</v>
      </c>
      <c r="Q316" s="126">
        <v>0</v>
      </c>
    </row>
    <row r="317" spans="3:17" ht="23.1" customHeight="1">
      <c r="C317" s="126">
        <v>195</v>
      </c>
      <c r="D317" s="141" t="s">
        <v>608</v>
      </c>
      <c r="E317" s="159" t="s">
        <v>609</v>
      </c>
      <c r="F317" s="131">
        <v>1</v>
      </c>
      <c r="G317" s="131">
        <v>1</v>
      </c>
      <c r="H317" s="161">
        <v>46200</v>
      </c>
      <c r="I317" s="126">
        <v>0</v>
      </c>
      <c r="J317" s="126">
        <v>8</v>
      </c>
      <c r="K317" s="126">
        <v>0</v>
      </c>
      <c r="L317" s="126">
        <v>0</v>
      </c>
      <c r="M317" s="126">
        <v>0</v>
      </c>
      <c r="N317" s="126">
        <v>0</v>
      </c>
      <c r="O317" s="126">
        <v>0</v>
      </c>
      <c r="P317" s="126">
        <v>0</v>
      </c>
      <c r="Q317" s="126">
        <v>0</v>
      </c>
    </row>
    <row r="318" spans="3:17" ht="23.1" customHeight="1">
      <c r="C318" s="126">
        <v>16</v>
      </c>
      <c r="D318" s="141" t="s">
        <v>699</v>
      </c>
      <c r="E318" s="159" t="s">
        <v>700</v>
      </c>
      <c r="F318" s="131">
        <v>1</v>
      </c>
      <c r="G318" s="131">
        <v>1</v>
      </c>
      <c r="H318" s="161">
        <v>46200</v>
      </c>
      <c r="I318" s="126">
        <v>0</v>
      </c>
      <c r="J318" s="126">
        <v>2</v>
      </c>
      <c r="K318" s="126">
        <v>0</v>
      </c>
      <c r="L318" s="126">
        <v>0</v>
      </c>
      <c r="M318" s="126">
        <v>0</v>
      </c>
      <c r="N318" s="126">
        <v>0</v>
      </c>
      <c r="O318" s="126">
        <v>0</v>
      </c>
      <c r="P318" s="126">
        <v>0</v>
      </c>
      <c r="Q318" s="126">
        <v>0</v>
      </c>
    </row>
    <row r="319" spans="3:17" ht="23.1" customHeight="1">
      <c r="C319" s="126">
        <v>177</v>
      </c>
      <c r="D319" s="141" t="s">
        <v>752</v>
      </c>
      <c r="E319" s="159" t="s">
        <v>753</v>
      </c>
      <c r="F319" s="131">
        <v>1</v>
      </c>
      <c r="G319" s="131">
        <v>1</v>
      </c>
      <c r="H319" s="161">
        <v>46200</v>
      </c>
      <c r="I319" s="126">
        <v>0</v>
      </c>
      <c r="J319" s="126">
        <v>250</v>
      </c>
      <c r="K319" s="126">
        <v>0</v>
      </c>
      <c r="L319" s="126">
        <v>0</v>
      </c>
      <c r="M319" s="126">
        <v>0</v>
      </c>
      <c r="N319" s="126">
        <v>0</v>
      </c>
      <c r="O319" s="126">
        <v>0</v>
      </c>
      <c r="P319" s="126">
        <v>0</v>
      </c>
      <c r="Q319" s="126">
        <v>0</v>
      </c>
    </row>
    <row r="320" spans="3:17" ht="23.1" customHeight="1">
      <c r="C320" s="126">
        <v>4</v>
      </c>
      <c r="D320" s="141" t="s">
        <v>581</v>
      </c>
      <c r="E320" s="159" t="s">
        <v>582</v>
      </c>
      <c r="F320" s="131">
        <v>1</v>
      </c>
      <c r="G320" s="131">
        <v>1</v>
      </c>
      <c r="H320" s="161">
        <v>46200</v>
      </c>
      <c r="I320" s="126">
        <v>0</v>
      </c>
      <c r="J320" s="126">
        <v>7</v>
      </c>
      <c r="K320" s="126">
        <v>0</v>
      </c>
      <c r="L320" s="126">
        <v>0</v>
      </c>
      <c r="M320" s="126">
        <v>0</v>
      </c>
      <c r="N320" s="126">
        <v>0</v>
      </c>
      <c r="O320" s="126">
        <v>0</v>
      </c>
      <c r="P320" s="126">
        <v>0</v>
      </c>
      <c r="Q320" s="126">
        <v>0</v>
      </c>
    </row>
    <row r="321" spans="3:17" ht="23.1" customHeight="1">
      <c r="C321" s="126">
        <v>177</v>
      </c>
      <c r="D321" s="141" t="s">
        <v>752</v>
      </c>
      <c r="E321" s="159" t="s">
        <v>753</v>
      </c>
      <c r="F321" s="131">
        <v>1</v>
      </c>
      <c r="G321" s="131">
        <v>1</v>
      </c>
      <c r="H321" s="161">
        <v>46201</v>
      </c>
      <c r="I321" s="126">
        <v>0</v>
      </c>
      <c r="J321" s="126">
        <v>500</v>
      </c>
      <c r="K321" s="126">
        <v>0</v>
      </c>
      <c r="L321" s="126">
        <v>0</v>
      </c>
      <c r="M321" s="126">
        <v>0</v>
      </c>
      <c r="N321" s="126">
        <v>0</v>
      </c>
      <c r="O321" s="126">
        <v>0</v>
      </c>
      <c r="P321" s="126">
        <v>0</v>
      </c>
      <c r="Q321" s="126">
        <v>0</v>
      </c>
    </row>
    <row r="322" spans="3:17" ht="23.1" customHeight="1">
      <c r="C322" s="126">
        <v>61</v>
      </c>
      <c r="D322" s="141" t="s">
        <v>1924</v>
      </c>
      <c r="E322" s="159" t="s">
        <v>1925</v>
      </c>
      <c r="F322" s="131">
        <v>1</v>
      </c>
      <c r="G322" s="131">
        <v>1</v>
      </c>
      <c r="H322" s="161">
        <v>46201</v>
      </c>
      <c r="I322" s="126">
        <v>0</v>
      </c>
      <c r="J322" s="126">
        <v>1</v>
      </c>
      <c r="K322" s="126">
        <v>0</v>
      </c>
      <c r="L322" s="126">
        <v>0</v>
      </c>
      <c r="M322" s="126">
        <v>0</v>
      </c>
      <c r="N322" s="126">
        <v>0</v>
      </c>
      <c r="O322" s="126">
        <v>0</v>
      </c>
      <c r="P322" s="126">
        <v>0</v>
      </c>
      <c r="Q322" s="126">
        <v>0</v>
      </c>
    </row>
    <row r="323" spans="3:17" ht="23.1" customHeight="1">
      <c r="C323" s="126">
        <v>146</v>
      </c>
      <c r="D323" s="141" t="s">
        <v>1929</v>
      </c>
      <c r="E323" s="159" t="s">
        <v>1930</v>
      </c>
      <c r="F323" s="131">
        <v>1</v>
      </c>
      <c r="G323" s="131">
        <v>1</v>
      </c>
      <c r="H323" s="161">
        <v>46201</v>
      </c>
      <c r="I323" s="126">
        <v>0</v>
      </c>
      <c r="J323" s="126">
        <v>5</v>
      </c>
      <c r="K323" s="126">
        <v>0</v>
      </c>
      <c r="L323" s="126">
        <v>0</v>
      </c>
      <c r="M323" s="126">
        <v>0</v>
      </c>
      <c r="N323" s="126">
        <v>0</v>
      </c>
      <c r="O323" s="126">
        <v>0</v>
      </c>
      <c r="P323" s="126">
        <v>0</v>
      </c>
      <c r="Q323" s="126">
        <v>0</v>
      </c>
    </row>
    <row r="324" spans="3:17" ht="23.1" customHeight="1">
      <c r="C324" s="126">
        <v>176</v>
      </c>
      <c r="D324" s="141" t="s">
        <v>748</v>
      </c>
      <c r="E324" s="159" t="s">
        <v>749</v>
      </c>
      <c r="F324" s="131">
        <v>1</v>
      </c>
      <c r="G324" s="131">
        <v>1</v>
      </c>
      <c r="H324" s="161">
        <v>46201</v>
      </c>
      <c r="I324" s="126">
        <v>0</v>
      </c>
      <c r="J324" s="126">
        <v>50</v>
      </c>
      <c r="K324" s="126">
        <v>0</v>
      </c>
      <c r="L324" s="126">
        <v>0</v>
      </c>
      <c r="M324" s="126">
        <v>0</v>
      </c>
      <c r="N324" s="126">
        <v>0</v>
      </c>
      <c r="O324" s="126">
        <v>0</v>
      </c>
      <c r="P324" s="126">
        <v>0</v>
      </c>
      <c r="Q324" s="126">
        <v>0</v>
      </c>
    </row>
    <row r="325" spans="3:17" ht="23.1" customHeight="1">
      <c r="C325" s="126">
        <v>66</v>
      </c>
      <c r="D325" s="141" t="s">
        <v>1216</v>
      </c>
      <c r="E325" s="159" t="s">
        <v>1217</v>
      </c>
      <c r="F325" s="131">
        <v>1</v>
      </c>
      <c r="G325" s="131">
        <v>1</v>
      </c>
      <c r="H325" s="161">
        <v>46201</v>
      </c>
      <c r="I325" s="126">
        <v>0</v>
      </c>
      <c r="J325" s="126">
        <v>2</v>
      </c>
      <c r="K325" s="126">
        <v>0</v>
      </c>
      <c r="L325" s="126">
        <v>0</v>
      </c>
      <c r="M325" s="126">
        <v>0</v>
      </c>
      <c r="N325" s="126">
        <v>0</v>
      </c>
      <c r="O325" s="126">
        <v>0</v>
      </c>
      <c r="P325" s="126">
        <v>0</v>
      </c>
      <c r="Q325" s="126">
        <v>0</v>
      </c>
    </row>
    <row r="326" spans="3:17" ht="23.1" customHeight="1">
      <c r="C326" s="126">
        <v>75</v>
      </c>
      <c r="D326" s="141" t="s">
        <v>1381</v>
      </c>
      <c r="E326" s="159" t="s">
        <v>1382</v>
      </c>
      <c r="F326" s="131">
        <v>1</v>
      </c>
      <c r="G326" s="131">
        <v>1</v>
      </c>
      <c r="H326" s="161">
        <v>46201</v>
      </c>
      <c r="I326" s="126">
        <v>0</v>
      </c>
      <c r="J326" s="126">
        <v>2</v>
      </c>
      <c r="K326" s="126">
        <v>0</v>
      </c>
      <c r="L326" s="126">
        <v>0</v>
      </c>
      <c r="M326" s="126">
        <v>0</v>
      </c>
      <c r="N326" s="126">
        <v>0</v>
      </c>
      <c r="O326" s="126">
        <v>0</v>
      </c>
      <c r="P326" s="126">
        <v>0</v>
      </c>
      <c r="Q326" s="126">
        <v>0</v>
      </c>
    </row>
    <row r="327" spans="3:17" ht="23.1" customHeight="1">
      <c r="C327" s="126">
        <v>182</v>
      </c>
      <c r="D327" s="141" t="s">
        <v>627</v>
      </c>
      <c r="E327" s="159" t="s">
        <v>628</v>
      </c>
      <c r="F327" s="131">
        <v>1</v>
      </c>
      <c r="G327" s="131">
        <v>1</v>
      </c>
      <c r="H327" s="161">
        <v>46201</v>
      </c>
      <c r="I327" s="126">
        <v>0</v>
      </c>
      <c r="J327" s="126">
        <v>12</v>
      </c>
      <c r="K327" s="126">
        <v>0</v>
      </c>
      <c r="L327" s="126">
        <v>0</v>
      </c>
      <c r="M327" s="126">
        <v>0</v>
      </c>
      <c r="N327" s="126">
        <v>0</v>
      </c>
      <c r="O327" s="126">
        <v>0</v>
      </c>
      <c r="P327" s="126">
        <v>0</v>
      </c>
      <c r="Q327" s="126">
        <v>0</v>
      </c>
    </row>
    <row r="328" spans="3:17" ht="23.1" customHeight="1">
      <c r="C328" s="126">
        <v>105</v>
      </c>
      <c r="D328" s="141" t="s">
        <v>591</v>
      </c>
      <c r="E328" s="159" t="s">
        <v>592</v>
      </c>
      <c r="F328" s="131">
        <v>1</v>
      </c>
      <c r="G328" s="131">
        <v>1</v>
      </c>
      <c r="H328" s="161">
        <v>46201</v>
      </c>
      <c r="I328" s="126">
        <v>0</v>
      </c>
      <c r="J328" s="126">
        <v>1</v>
      </c>
      <c r="K328" s="126">
        <v>0</v>
      </c>
      <c r="L328" s="126">
        <v>0</v>
      </c>
      <c r="M328" s="126">
        <v>0</v>
      </c>
      <c r="N328" s="126">
        <v>0</v>
      </c>
      <c r="O328" s="126">
        <v>0</v>
      </c>
      <c r="P328" s="126">
        <v>0</v>
      </c>
      <c r="Q328" s="126">
        <v>0</v>
      </c>
    </row>
    <row r="329" spans="3:17" ht="23.1" customHeight="1">
      <c r="C329" s="126">
        <v>34</v>
      </c>
      <c r="D329" s="141" t="s">
        <v>1193</v>
      </c>
      <c r="E329" s="159" t="s">
        <v>1194</v>
      </c>
      <c r="F329" s="131">
        <v>1</v>
      </c>
      <c r="G329" s="131">
        <v>1</v>
      </c>
      <c r="H329" s="161">
        <v>46201</v>
      </c>
      <c r="I329" s="126">
        <v>0</v>
      </c>
      <c r="J329" s="126">
        <v>2</v>
      </c>
      <c r="K329" s="126">
        <v>0</v>
      </c>
      <c r="L329" s="126">
        <v>0</v>
      </c>
      <c r="M329" s="126">
        <v>0</v>
      </c>
      <c r="N329" s="126">
        <v>0</v>
      </c>
      <c r="O329" s="126">
        <v>0</v>
      </c>
      <c r="P329" s="126">
        <v>0</v>
      </c>
      <c r="Q329" s="126">
        <v>0</v>
      </c>
    </row>
    <row r="330" spans="3:17" ht="23.1" customHeight="1">
      <c r="C330" s="126">
        <v>50</v>
      </c>
      <c r="D330" s="141" t="s">
        <v>803</v>
      </c>
      <c r="E330" s="159" t="s">
        <v>804</v>
      </c>
      <c r="F330" s="131">
        <v>1</v>
      </c>
      <c r="G330" s="131">
        <v>1</v>
      </c>
      <c r="H330" s="161">
        <v>46201</v>
      </c>
      <c r="I330" s="126">
        <v>0</v>
      </c>
      <c r="J330" s="126">
        <v>9</v>
      </c>
      <c r="K330" s="126">
        <v>0</v>
      </c>
      <c r="L330" s="126">
        <v>0</v>
      </c>
      <c r="M330" s="126">
        <v>0</v>
      </c>
      <c r="N330" s="126">
        <v>0</v>
      </c>
      <c r="O330" s="126">
        <v>0</v>
      </c>
      <c r="P330" s="126">
        <v>0</v>
      </c>
      <c r="Q330" s="126">
        <v>0</v>
      </c>
    </row>
    <row r="331" spans="3:17" ht="23.1" customHeight="1">
      <c r="C331" s="126">
        <v>142</v>
      </c>
      <c r="D331" s="141" t="s">
        <v>798</v>
      </c>
      <c r="E331" s="159" t="s">
        <v>799</v>
      </c>
      <c r="F331" s="131">
        <v>1</v>
      </c>
      <c r="G331" s="131">
        <v>1</v>
      </c>
      <c r="H331" s="161">
        <v>46201</v>
      </c>
      <c r="I331" s="126">
        <v>0</v>
      </c>
      <c r="J331" s="126">
        <v>3</v>
      </c>
      <c r="K331" s="126">
        <v>0</v>
      </c>
      <c r="L331" s="126">
        <v>0</v>
      </c>
      <c r="M331" s="126">
        <v>0</v>
      </c>
      <c r="N331" s="126">
        <v>0</v>
      </c>
      <c r="O331" s="126">
        <v>0</v>
      </c>
      <c r="P331" s="126">
        <v>0</v>
      </c>
      <c r="Q331" s="126">
        <v>0</v>
      </c>
    </row>
    <row r="332" spans="3:17" ht="23.1" customHeight="1">
      <c r="C332" s="126">
        <v>144</v>
      </c>
      <c r="D332" s="141" t="s">
        <v>996</v>
      </c>
      <c r="E332" s="159" t="s">
        <v>997</v>
      </c>
      <c r="F332" s="131">
        <v>1</v>
      </c>
      <c r="G332" s="131">
        <v>1</v>
      </c>
      <c r="H332" s="161">
        <v>46201</v>
      </c>
      <c r="I332" s="126">
        <v>0</v>
      </c>
      <c r="J332" s="126">
        <v>2</v>
      </c>
      <c r="K332" s="126">
        <v>0</v>
      </c>
      <c r="L332" s="126">
        <v>0</v>
      </c>
      <c r="M332" s="126">
        <v>0</v>
      </c>
      <c r="N332" s="126">
        <v>0</v>
      </c>
      <c r="O332" s="126">
        <v>0</v>
      </c>
      <c r="P332" s="126">
        <v>0</v>
      </c>
      <c r="Q332" s="126">
        <v>0</v>
      </c>
    </row>
    <row r="333" spans="3:17" ht="23.1" customHeight="1">
      <c r="C333" s="126">
        <v>29</v>
      </c>
      <c r="D333" s="141" t="s">
        <v>1523</v>
      </c>
      <c r="E333" s="159" t="s">
        <v>1524</v>
      </c>
      <c r="F333" s="131">
        <v>1</v>
      </c>
      <c r="G333" s="131">
        <v>1</v>
      </c>
      <c r="H333" s="161">
        <v>46201</v>
      </c>
      <c r="I333" s="126">
        <v>0</v>
      </c>
      <c r="J333" s="126">
        <v>2</v>
      </c>
      <c r="K333" s="126">
        <v>0</v>
      </c>
      <c r="L333" s="126">
        <v>0</v>
      </c>
      <c r="M333" s="126">
        <v>0</v>
      </c>
      <c r="N333" s="126">
        <v>0</v>
      </c>
      <c r="O333" s="126">
        <v>0</v>
      </c>
      <c r="P333" s="126">
        <v>0</v>
      </c>
      <c r="Q333" s="126">
        <v>0</v>
      </c>
    </row>
    <row r="334" spans="3:17" ht="23.1" customHeight="1">
      <c r="C334" s="126">
        <v>37</v>
      </c>
      <c r="D334" s="141" t="s">
        <v>1515</v>
      </c>
      <c r="E334" s="159" t="s">
        <v>1516</v>
      </c>
      <c r="F334" s="131">
        <v>1</v>
      </c>
      <c r="G334" s="131">
        <v>1</v>
      </c>
      <c r="H334" s="161">
        <v>46201</v>
      </c>
      <c r="I334" s="126">
        <v>0</v>
      </c>
      <c r="J334" s="126">
        <v>1</v>
      </c>
      <c r="K334" s="126">
        <v>0</v>
      </c>
      <c r="L334" s="126">
        <v>0</v>
      </c>
      <c r="M334" s="126">
        <v>0</v>
      </c>
      <c r="N334" s="126">
        <v>0</v>
      </c>
      <c r="O334" s="126">
        <v>0</v>
      </c>
      <c r="P334" s="126">
        <v>0</v>
      </c>
      <c r="Q334" s="126">
        <v>0</v>
      </c>
    </row>
    <row r="335" spans="3:17" ht="23.1" customHeight="1">
      <c r="C335" s="126">
        <v>49</v>
      </c>
      <c r="D335" s="141" t="s">
        <v>813</v>
      </c>
      <c r="E335" s="159" t="s">
        <v>814</v>
      </c>
      <c r="F335" s="131">
        <v>1</v>
      </c>
      <c r="G335" s="131">
        <v>1</v>
      </c>
      <c r="H335" s="161">
        <v>46201</v>
      </c>
      <c r="I335" s="126">
        <v>0</v>
      </c>
      <c r="J335" s="126">
        <v>8</v>
      </c>
      <c r="K335" s="126">
        <v>0</v>
      </c>
      <c r="L335" s="126">
        <v>0</v>
      </c>
      <c r="M335" s="126">
        <v>0</v>
      </c>
      <c r="N335" s="126">
        <v>0</v>
      </c>
      <c r="O335" s="126">
        <v>0</v>
      </c>
      <c r="P335" s="126">
        <v>0</v>
      </c>
      <c r="Q335" s="126">
        <v>0</v>
      </c>
    </row>
    <row r="336" spans="3:17" ht="23.1" customHeight="1">
      <c r="C336" s="126">
        <v>108</v>
      </c>
      <c r="D336" s="141" t="s">
        <v>1009</v>
      </c>
      <c r="E336" s="159" t="s">
        <v>1010</v>
      </c>
      <c r="F336" s="131">
        <v>1</v>
      </c>
      <c r="G336" s="131">
        <v>1</v>
      </c>
      <c r="H336" s="161">
        <v>46201</v>
      </c>
      <c r="I336" s="126">
        <v>0</v>
      </c>
      <c r="J336" s="126">
        <v>2</v>
      </c>
      <c r="K336" s="126">
        <v>0</v>
      </c>
      <c r="L336" s="126">
        <v>0</v>
      </c>
      <c r="M336" s="126">
        <v>0</v>
      </c>
      <c r="N336" s="126">
        <v>0</v>
      </c>
      <c r="O336" s="126">
        <v>0</v>
      </c>
      <c r="P336" s="126">
        <v>0</v>
      </c>
      <c r="Q336" s="126">
        <v>0</v>
      </c>
    </row>
    <row r="337" spans="3:18" ht="23.1" customHeight="1">
      <c r="C337" s="126">
        <v>153</v>
      </c>
      <c r="D337" s="141" t="s">
        <v>554</v>
      </c>
      <c r="E337" s="159" t="s">
        <v>555</v>
      </c>
      <c r="F337" s="131">
        <v>1</v>
      </c>
      <c r="G337" s="131">
        <v>1</v>
      </c>
      <c r="H337" s="161">
        <v>46201</v>
      </c>
      <c r="I337" s="126">
        <v>0</v>
      </c>
      <c r="J337" s="126">
        <v>2</v>
      </c>
      <c r="K337" s="126">
        <v>0</v>
      </c>
      <c r="L337" s="126">
        <v>0</v>
      </c>
      <c r="M337" s="126">
        <v>0</v>
      </c>
      <c r="N337" s="126">
        <v>0</v>
      </c>
      <c r="O337" s="126">
        <v>0</v>
      </c>
      <c r="P337" s="126">
        <v>0</v>
      </c>
      <c r="Q337" s="126">
        <v>0</v>
      </c>
    </row>
    <row r="338" spans="3:18" ht="23.1" customHeight="1">
      <c r="C338" s="126">
        <v>181</v>
      </c>
      <c r="D338" s="141" t="s">
        <v>761</v>
      </c>
      <c r="E338" s="159" t="s">
        <v>762</v>
      </c>
      <c r="F338" s="131">
        <v>1</v>
      </c>
      <c r="G338" s="131">
        <v>1</v>
      </c>
      <c r="H338" s="161">
        <v>46201</v>
      </c>
      <c r="I338" s="126">
        <v>0</v>
      </c>
      <c r="J338" s="126">
        <v>12</v>
      </c>
      <c r="K338" s="126">
        <v>0</v>
      </c>
      <c r="L338" s="126">
        <v>0</v>
      </c>
      <c r="M338" s="126">
        <v>0</v>
      </c>
      <c r="N338" s="126">
        <v>0</v>
      </c>
      <c r="O338" s="126">
        <v>0</v>
      </c>
      <c r="P338" s="126">
        <v>0</v>
      </c>
      <c r="Q338" s="126">
        <v>0</v>
      </c>
    </row>
    <row r="339" spans="3:18" ht="23.1" customHeight="1">
      <c r="C339" s="126">
        <v>101</v>
      </c>
      <c r="D339" s="141" t="s">
        <v>718</v>
      </c>
      <c r="E339" s="159" t="s">
        <v>719</v>
      </c>
      <c r="F339" s="131">
        <v>1</v>
      </c>
      <c r="G339" s="131">
        <v>1</v>
      </c>
      <c r="H339" s="161">
        <v>46201</v>
      </c>
      <c r="I339" s="126">
        <v>0</v>
      </c>
      <c r="J339" s="126">
        <v>500</v>
      </c>
      <c r="K339" s="126">
        <v>0</v>
      </c>
      <c r="L339" s="126">
        <v>0</v>
      </c>
      <c r="M339" s="126">
        <v>0</v>
      </c>
      <c r="N339" s="126">
        <v>0</v>
      </c>
      <c r="O339" s="126">
        <v>0</v>
      </c>
      <c r="P339" s="126">
        <v>0</v>
      </c>
      <c r="Q339" s="126">
        <v>0</v>
      </c>
    </row>
    <row r="340" spans="3:18" ht="23.1" customHeight="1">
      <c r="C340" s="126">
        <v>7</v>
      </c>
      <c r="D340" s="141" t="s">
        <v>818</v>
      </c>
      <c r="E340" s="159" t="s">
        <v>819</v>
      </c>
      <c r="F340" s="131">
        <v>1</v>
      </c>
      <c r="G340" s="131">
        <v>1</v>
      </c>
      <c r="H340" s="161">
        <v>46201</v>
      </c>
      <c r="I340" s="126">
        <v>0</v>
      </c>
      <c r="J340" s="126">
        <v>1</v>
      </c>
      <c r="K340" s="126">
        <v>0</v>
      </c>
      <c r="L340" s="126">
        <v>0</v>
      </c>
      <c r="M340" s="126">
        <v>0</v>
      </c>
      <c r="N340" s="126">
        <v>0</v>
      </c>
      <c r="O340" s="126">
        <v>0</v>
      </c>
      <c r="P340" s="126">
        <v>0</v>
      </c>
      <c r="Q340" s="126">
        <v>0</v>
      </c>
    </row>
    <row r="341" spans="3:18" ht="23.1" customHeight="1">
      <c r="C341" s="126">
        <v>13</v>
      </c>
      <c r="D341" s="141" t="s">
        <v>693</v>
      </c>
      <c r="E341" s="159" t="s">
        <v>694</v>
      </c>
      <c r="F341" s="131">
        <v>1</v>
      </c>
      <c r="G341" s="131">
        <v>1</v>
      </c>
      <c r="H341" s="161">
        <v>46201</v>
      </c>
      <c r="I341" s="126">
        <v>0</v>
      </c>
      <c r="J341" s="126">
        <v>1</v>
      </c>
      <c r="K341" s="126">
        <v>0</v>
      </c>
      <c r="L341" s="126">
        <v>0</v>
      </c>
      <c r="M341" s="126">
        <v>0</v>
      </c>
      <c r="N341" s="126">
        <v>0</v>
      </c>
      <c r="O341" s="126">
        <v>0</v>
      </c>
      <c r="P341" s="126">
        <v>0</v>
      </c>
      <c r="Q341" s="126">
        <v>0</v>
      </c>
    </row>
    <row r="342" spans="3:18" ht="23.1" customHeight="1">
      <c r="C342" s="126">
        <v>1</v>
      </c>
      <c r="D342" s="141" t="s">
        <v>677</v>
      </c>
      <c r="E342" s="159" t="s">
        <v>678</v>
      </c>
      <c r="F342" s="131">
        <v>1</v>
      </c>
      <c r="G342" s="131">
        <v>1</v>
      </c>
      <c r="H342" s="161">
        <v>46201</v>
      </c>
      <c r="I342" s="126">
        <v>0</v>
      </c>
      <c r="J342" s="126">
        <v>1</v>
      </c>
      <c r="K342" s="126">
        <v>0</v>
      </c>
      <c r="L342" s="126">
        <v>0</v>
      </c>
      <c r="M342" s="126">
        <v>0</v>
      </c>
      <c r="N342" s="126">
        <v>0</v>
      </c>
      <c r="O342" s="126">
        <v>0</v>
      </c>
      <c r="P342" s="126">
        <v>0</v>
      </c>
      <c r="Q342" s="126">
        <v>0</v>
      </c>
    </row>
    <row r="343" spans="3:18" ht="23.1" customHeight="1">
      <c r="C343" s="126">
        <v>26</v>
      </c>
      <c r="D343" s="141" t="s">
        <v>715</v>
      </c>
      <c r="E343" s="159" t="s">
        <v>716</v>
      </c>
      <c r="F343" s="131">
        <v>1</v>
      </c>
      <c r="G343" s="131">
        <v>1</v>
      </c>
      <c r="H343" s="161">
        <v>46201</v>
      </c>
      <c r="I343" s="126">
        <v>0</v>
      </c>
      <c r="J343" s="126">
        <v>1</v>
      </c>
      <c r="K343" s="126">
        <v>0</v>
      </c>
      <c r="L343" s="126">
        <v>0</v>
      </c>
      <c r="M343" s="126">
        <v>0</v>
      </c>
      <c r="N343" s="126">
        <v>0</v>
      </c>
      <c r="O343" s="126">
        <v>0</v>
      </c>
      <c r="P343" s="126">
        <v>0</v>
      </c>
      <c r="Q343" s="126">
        <v>0</v>
      </c>
    </row>
    <row r="344" spans="3:18" ht="23.1" customHeight="1">
      <c r="C344" s="126">
        <v>4</v>
      </c>
      <c r="D344" s="141" t="s">
        <v>581</v>
      </c>
      <c r="E344" s="159" t="s">
        <v>582</v>
      </c>
      <c r="F344" s="131">
        <v>1</v>
      </c>
      <c r="G344" s="131">
        <v>1</v>
      </c>
      <c r="H344" s="161">
        <v>46201</v>
      </c>
      <c r="I344" s="126">
        <v>0</v>
      </c>
      <c r="J344" s="126">
        <v>1</v>
      </c>
      <c r="K344" s="126">
        <v>0</v>
      </c>
      <c r="L344" s="126">
        <v>0</v>
      </c>
      <c r="M344" s="126">
        <v>0</v>
      </c>
      <c r="N344" s="126">
        <v>0</v>
      </c>
      <c r="O344" s="126">
        <v>0</v>
      </c>
      <c r="P344" s="126">
        <v>0</v>
      </c>
      <c r="Q344" s="126">
        <v>0</v>
      </c>
    </row>
    <row r="345" spans="3:18" ht="23.1" customHeight="1">
      <c r="C345" s="126">
        <v>20</v>
      </c>
      <c r="D345" s="141" t="s">
        <v>709</v>
      </c>
      <c r="E345" s="159" t="s">
        <v>710</v>
      </c>
      <c r="F345" s="131">
        <v>1</v>
      </c>
      <c r="G345" s="131">
        <v>1</v>
      </c>
      <c r="H345" s="161">
        <v>46201</v>
      </c>
      <c r="I345" s="126">
        <v>0</v>
      </c>
      <c r="J345" s="126">
        <v>10</v>
      </c>
      <c r="K345" s="126">
        <v>0</v>
      </c>
      <c r="L345" s="126">
        <v>0</v>
      </c>
      <c r="M345" s="126">
        <v>0</v>
      </c>
      <c r="N345" s="126">
        <v>0</v>
      </c>
      <c r="O345" s="126">
        <v>0</v>
      </c>
      <c r="P345" s="126">
        <v>0</v>
      </c>
      <c r="Q345" s="126">
        <v>0</v>
      </c>
    </row>
    <row r="346" spans="3:18" ht="23.1" customHeight="1">
      <c r="C346" s="126">
        <v>71</v>
      </c>
      <c r="D346" s="141" t="s">
        <v>2010</v>
      </c>
      <c r="E346" s="159" t="s">
        <v>2011</v>
      </c>
      <c r="F346" s="131">
        <v>1</v>
      </c>
      <c r="G346" s="131">
        <v>1</v>
      </c>
      <c r="H346" s="161">
        <v>46201</v>
      </c>
      <c r="I346" s="126">
        <v>0</v>
      </c>
      <c r="J346" s="126">
        <v>2</v>
      </c>
      <c r="K346" s="126">
        <v>0</v>
      </c>
      <c r="L346" s="126">
        <v>0</v>
      </c>
      <c r="M346" s="126">
        <v>0</v>
      </c>
      <c r="N346" s="126">
        <v>0</v>
      </c>
      <c r="O346" s="126">
        <v>0</v>
      </c>
      <c r="P346" s="126">
        <v>0</v>
      </c>
      <c r="Q346" s="126">
        <v>0</v>
      </c>
    </row>
    <row r="347" spans="3:18" ht="23.1" customHeight="1">
      <c r="C347" s="126">
        <v>9</v>
      </c>
      <c r="D347" s="141" t="s">
        <v>1813</v>
      </c>
      <c r="E347" s="159" t="s">
        <v>1814</v>
      </c>
      <c r="F347" s="131">
        <v>1</v>
      </c>
      <c r="G347" s="131">
        <v>1</v>
      </c>
      <c r="H347" s="161">
        <v>46201</v>
      </c>
      <c r="I347" s="126">
        <v>0</v>
      </c>
      <c r="J347" s="126">
        <v>3</v>
      </c>
      <c r="K347" s="126">
        <v>0</v>
      </c>
      <c r="L347" s="126">
        <v>0</v>
      </c>
      <c r="M347" s="126">
        <v>0</v>
      </c>
      <c r="N347" s="126">
        <v>0</v>
      </c>
      <c r="O347" s="126">
        <v>0</v>
      </c>
      <c r="P347" s="126">
        <v>0</v>
      </c>
      <c r="Q347" s="126">
        <v>0</v>
      </c>
      <c r="R347" s="126"/>
    </row>
    <row r="348" spans="3:18" ht="23.1" customHeight="1">
      <c r="C348" s="126">
        <v>70</v>
      </c>
      <c r="D348" s="141" t="s">
        <v>906</v>
      </c>
      <c r="E348" s="159" t="s">
        <v>907</v>
      </c>
      <c r="F348" s="131">
        <v>1</v>
      </c>
      <c r="G348" s="131">
        <v>1</v>
      </c>
      <c r="H348" s="161">
        <v>46201</v>
      </c>
      <c r="I348" s="126">
        <v>0</v>
      </c>
      <c r="J348" s="126">
        <v>1</v>
      </c>
      <c r="K348" s="126">
        <v>0</v>
      </c>
      <c r="L348" s="126">
        <v>0</v>
      </c>
      <c r="M348" s="126">
        <v>0</v>
      </c>
      <c r="N348" s="126">
        <v>0</v>
      </c>
      <c r="O348" s="126">
        <v>0</v>
      </c>
      <c r="P348" s="126">
        <v>0</v>
      </c>
      <c r="Q348" s="126">
        <v>0</v>
      </c>
    </row>
    <row r="349" spans="3:18" ht="23.1" customHeight="1">
      <c r="C349" s="126">
        <v>17</v>
      </c>
      <c r="D349" s="141" t="s">
        <v>662</v>
      </c>
      <c r="E349" s="159" t="s">
        <v>663</v>
      </c>
      <c r="F349" s="131">
        <v>1</v>
      </c>
      <c r="G349" s="131">
        <v>1</v>
      </c>
      <c r="H349" s="161">
        <v>46201</v>
      </c>
      <c r="I349" s="126">
        <v>0</v>
      </c>
      <c r="J349" s="126">
        <v>1</v>
      </c>
      <c r="K349" s="126">
        <v>0</v>
      </c>
      <c r="L349" s="126">
        <v>0</v>
      </c>
      <c r="M349" s="126">
        <v>0</v>
      </c>
      <c r="N349" s="126">
        <v>0</v>
      </c>
      <c r="O349" s="126">
        <v>0</v>
      </c>
      <c r="P349" s="126">
        <v>0</v>
      </c>
      <c r="Q349" s="126">
        <v>0</v>
      </c>
      <c r="R349" s="126"/>
    </row>
    <row r="350" spans="3:18" ht="23.1" customHeight="1">
      <c r="C350" s="126">
        <v>79</v>
      </c>
      <c r="D350" s="141" t="s">
        <v>2027</v>
      </c>
      <c r="E350" s="159" t="s">
        <v>2028</v>
      </c>
      <c r="F350" s="131">
        <v>1</v>
      </c>
      <c r="G350" s="131">
        <v>1</v>
      </c>
      <c r="H350" s="161">
        <v>46201</v>
      </c>
      <c r="I350" s="126">
        <v>0</v>
      </c>
      <c r="J350" s="126">
        <v>50</v>
      </c>
      <c r="K350" s="126">
        <v>0</v>
      </c>
      <c r="L350" s="126">
        <v>0</v>
      </c>
      <c r="M350" s="126">
        <v>0</v>
      </c>
      <c r="N350" s="126">
        <v>0</v>
      </c>
      <c r="O350" s="126">
        <v>0</v>
      </c>
      <c r="P350" s="126">
        <v>0</v>
      </c>
      <c r="Q350" s="126">
        <v>0</v>
      </c>
      <c r="R350" s="126"/>
    </row>
    <row r="351" spans="3:18" ht="23.1" customHeight="1">
      <c r="C351" s="126">
        <v>77</v>
      </c>
      <c r="D351" s="141" t="s">
        <v>2033</v>
      </c>
      <c r="E351" s="159" t="s">
        <v>2034</v>
      </c>
      <c r="F351" s="131">
        <v>1</v>
      </c>
      <c r="G351" s="131">
        <v>1</v>
      </c>
      <c r="H351" s="161">
        <v>46201</v>
      </c>
      <c r="I351" s="126">
        <v>0</v>
      </c>
      <c r="J351" s="126">
        <v>50</v>
      </c>
      <c r="K351" s="126">
        <v>0</v>
      </c>
      <c r="L351" s="126">
        <v>0</v>
      </c>
      <c r="M351" s="126">
        <v>0</v>
      </c>
      <c r="N351" s="126">
        <v>0</v>
      </c>
      <c r="O351" s="126">
        <v>0</v>
      </c>
      <c r="P351" s="126">
        <v>0</v>
      </c>
      <c r="Q351" s="126">
        <v>0</v>
      </c>
    </row>
    <row r="352" spans="3:18" ht="23.1" customHeight="1">
      <c r="C352" s="126">
        <v>32</v>
      </c>
      <c r="D352" s="141" t="s">
        <v>1748</v>
      </c>
      <c r="E352" s="159" t="s">
        <v>1749</v>
      </c>
      <c r="F352" s="131">
        <v>1</v>
      </c>
      <c r="G352" s="131">
        <v>1</v>
      </c>
      <c r="H352" s="161">
        <v>46201</v>
      </c>
      <c r="I352" s="126">
        <v>0</v>
      </c>
      <c r="J352" s="126">
        <v>1</v>
      </c>
      <c r="K352" s="126">
        <v>0</v>
      </c>
      <c r="L352" s="126">
        <v>0</v>
      </c>
      <c r="M352" s="126">
        <v>0</v>
      </c>
      <c r="N352" s="126">
        <v>0</v>
      </c>
      <c r="O352" s="126">
        <v>0</v>
      </c>
      <c r="P352" s="126">
        <v>0</v>
      </c>
      <c r="Q352" s="126">
        <v>0</v>
      </c>
      <c r="R352" s="126"/>
    </row>
    <row r="353" spans="3:18" ht="23.1" customHeight="1">
      <c r="C353" s="126">
        <v>176</v>
      </c>
      <c r="D353" s="141" t="s">
        <v>748</v>
      </c>
      <c r="E353" s="159" t="s">
        <v>749</v>
      </c>
      <c r="F353" s="131">
        <v>1</v>
      </c>
      <c r="G353" s="131">
        <v>1</v>
      </c>
      <c r="H353" s="161">
        <v>46202</v>
      </c>
      <c r="I353" s="126">
        <v>0</v>
      </c>
      <c r="J353" s="126">
        <v>750</v>
      </c>
      <c r="K353" s="126">
        <v>0</v>
      </c>
      <c r="L353" s="126">
        <v>0</v>
      </c>
      <c r="M353" s="126">
        <v>0</v>
      </c>
      <c r="N353" s="126">
        <v>0</v>
      </c>
      <c r="O353" s="126">
        <v>0</v>
      </c>
      <c r="P353" s="126">
        <v>0</v>
      </c>
      <c r="Q353" s="126">
        <v>0</v>
      </c>
    </row>
    <row r="354" spans="3:18" ht="23.1" customHeight="1">
      <c r="C354" s="126">
        <v>156</v>
      </c>
      <c r="D354" s="141" t="s">
        <v>735</v>
      </c>
      <c r="E354" s="159" t="s">
        <v>736</v>
      </c>
      <c r="F354" s="131">
        <v>1</v>
      </c>
      <c r="G354" s="131">
        <v>1</v>
      </c>
      <c r="H354" s="161">
        <v>46202</v>
      </c>
      <c r="I354" s="126">
        <v>0</v>
      </c>
      <c r="J354" s="126">
        <v>6</v>
      </c>
      <c r="K354" s="126">
        <v>0</v>
      </c>
      <c r="L354" s="126">
        <v>0</v>
      </c>
      <c r="M354" s="126">
        <v>0</v>
      </c>
      <c r="N354" s="126">
        <v>0</v>
      </c>
      <c r="O354" s="126">
        <v>0</v>
      </c>
      <c r="P354" s="126">
        <v>0</v>
      </c>
      <c r="Q354" s="126">
        <v>0</v>
      </c>
      <c r="R354" s="126"/>
    </row>
    <row r="355" spans="3:18" ht="23.1" customHeight="1">
      <c r="C355" s="126">
        <v>162</v>
      </c>
      <c r="D355" s="141" t="s">
        <v>741</v>
      </c>
      <c r="E355" s="159" t="s">
        <v>742</v>
      </c>
      <c r="F355" s="131">
        <v>1</v>
      </c>
      <c r="G355" s="131">
        <v>1</v>
      </c>
      <c r="H355" s="161">
        <v>46202</v>
      </c>
      <c r="I355" s="126">
        <v>0</v>
      </c>
      <c r="J355" s="126">
        <v>1</v>
      </c>
      <c r="K355" s="126">
        <v>0</v>
      </c>
      <c r="L355" s="126">
        <v>0</v>
      </c>
      <c r="M355" s="126">
        <v>0</v>
      </c>
      <c r="N355" s="126">
        <v>0</v>
      </c>
      <c r="O355" s="126">
        <v>0</v>
      </c>
      <c r="P355" s="126">
        <v>0</v>
      </c>
      <c r="Q355" s="126">
        <v>0</v>
      </c>
    </row>
    <row r="356" spans="3:18" ht="23.1" customHeight="1">
      <c r="C356" s="126">
        <v>108</v>
      </c>
      <c r="D356" s="141" t="s">
        <v>1009</v>
      </c>
      <c r="E356" s="159" t="s">
        <v>1010</v>
      </c>
      <c r="F356" s="131">
        <v>1</v>
      </c>
      <c r="G356" s="131">
        <v>1</v>
      </c>
      <c r="H356" s="161">
        <v>46202</v>
      </c>
      <c r="I356" s="126">
        <v>0</v>
      </c>
      <c r="J356" s="126">
        <v>7</v>
      </c>
      <c r="K356" s="126">
        <v>0</v>
      </c>
      <c r="L356" s="126">
        <v>0</v>
      </c>
      <c r="M356" s="126">
        <v>0</v>
      </c>
      <c r="N356" s="126">
        <v>0</v>
      </c>
      <c r="O356" s="126">
        <v>0</v>
      </c>
      <c r="P356" s="126">
        <v>0</v>
      </c>
      <c r="Q356" s="126">
        <v>0</v>
      </c>
    </row>
    <row r="357" spans="3:18" ht="23.1" customHeight="1">
      <c r="C357" s="126">
        <v>150</v>
      </c>
      <c r="D357" s="141" t="s">
        <v>1405</v>
      </c>
      <c r="E357" s="159" t="s">
        <v>1406</v>
      </c>
      <c r="F357" s="131">
        <v>1</v>
      </c>
      <c r="G357" s="131">
        <v>1</v>
      </c>
      <c r="H357" s="161">
        <v>46202</v>
      </c>
      <c r="I357" s="126">
        <v>0</v>
      </c>
      <c r="J357" s="126">
        <v>20</v>
      </c>
      <c r="K357" s="126">
        <v>0</v>
      </c>
      <c r="L357" s="126">
        <v>0</v>
      </c>
      <c r="M357" s="126">
        <v>0</v>
      </c>
      <c r="N357" s="126">
        <v>0</v>
      </c>
      <c r="O357" s="126">
        <v>0</v>
      </c>
      <c r="P357" s="126">
        <v>0</v>
      </c>
      <c r="Q357" s="126">
        <v>0</v>
      </c>
      <c r="R357" s="126"/>
    </row>
    <row r="358" spans="3:18" ht="23.1" customHeight="1">
      <c r="C358" s="126">
        <v>112</v>
      </c>
      <c r="D358" s="141" t="s">
        <v>2067</v>
      </c>
      <c r="E358" s="159" t="s">
        <v>2068</v>
      </c>
      <c r="F358" s="131">
        <v>1</v>
      </c>
      <c r="G358" s="131">
        <v>1</v>
      </c>
      <c r="H358" s="161">
        <v>46202</v>
      </c>
      <c r="I358" s="126">
        <v>0</v>
      </c>
      <c r="J358" s="126">
        <v>1</v>
      </c>
      <c r="K358" s="126">
        <v>0</v>
      </c>
      <c r="L358" s="126">
        <v>0</v>
      </c>
      <c r="M358" s="126">
        <v>0</v>
      </c>
      <c r="N358" s="126">
        <v>0</v>
      </c>
      <c r="O358" s="126">
        <v>0</v>
      </c>
      <c r="P358" s="126">
        <v>0</v>
      </c>
      <c r="Q358" s="126">
        <v>0</v>
      </c>
    </row>
    <row r="359" spans="3:18" ht="23.1" customHeight="1">
      <c r="C359" s="126">
        <v>76</v>
      </c>
      <c r="D359" s="141" t="s">
        <v>1133</v>
      </c>
      <c r="E359" s="159" t="s">
        <v>1134</v>
      </c>
      <c r="F359" s="131">
        <v>1</v>
      </c>
      <c r="G359" s="131">
        <v>1</v>
      </c>
      <c r="H359" s="161">
        <v>46202</v>
      </c>
      <c r="I359" s="126">
        <v>0</v>
      </c>
      <c r="J359" s="126">
        <v>1</v>
      </c>
      <c r="K359" s="126">
        <v>0</v>
      </c>
      <c r="L359" s="126">
        <v>0</v>
      </c>
      <c r="M359" s="126">
        <v>0</v>
      </c>
      <c r="N359" s="126">
        <v>0</v>
      </c>
      <c r="O359" s="126">
        <v>0</v>
      </c>
      <c r="P359" s="126">
        <v>0</v>
      </c>
      <c r="Q359" s="126">
        <v>0</v>
      </c>
    </row>
    <row r="360" spans="3:18" ht="23.1" customHeight="1">
      <c r="C360" s="126">
        <v>142</v>
      </c>
      <c r="D360" s="141" t="s">
        <v>798</v>
      </c>
      <c r="E360" s="159" t="s">
        <v>799</v>
      </c>
      <c r="F360" s="131">
        <v>1</v>
      </c>
      <c r="G360" s="131">
        <v>1</v>
      </c>
      <c r="H360" s="161">
        <v>46202</v>
      </c>
      <c r="I360" s="126">
        <v>0</v>
      </c>
      <c r="J360" s="126">
        <v>1</v>
      </c>
      <c r="K360" s="126">
        <v>0</v>
      </c>
      <c r="L360" s="126">
        <v>0</v>
      </c>
      <c r="M360" s="126">
        <v>0</v>
      </c>
      <c r="N360" s="126">
        <v>0</v>
      </c>
      <c r="O360" s="126">
        <v>0</v>
      </c>
      <c r="P360" s="126">
        <v>0</v>
      </c>
      <c r="Q360" s="126">
        <v>0</v>
      </c>
      <c r="R360" s="126"/>
    </row>
    <row r="361" spans="3:18" ht="23.1" customHeight="1">
      <c r="C361" s="126">
        <v>187</v>
      </c>
      <c r="D361" s="141" t="s">
        <v>576</v>
      </c>
      <c r="E361" s="159" t="s">
        <v>577</v>
      </c>
      <c r="F361" s="131">
        <v>1</v>
      </c>
      <c r="G361" s="131">
        <v>1</v>
      </c>
      <c r="H361" s="161">
        <v>46202</v>
      </c>
      <c r="I361" s="126">
        <v>0</v>
      </c>
      <c r="J361" s="126">
        <v>16</v>
      </c>
      <c r="K361" s="126">
        <v>0</v>
      </c>
      <c r="L361" s="126">
        <v>0</v>
      </c>
      <c r="M361" s="126">
        <v>0</v>
      </c>
      <c r="N361" s="126">
        <v>0</v>
      </c>
      <c r="O361" s="126">
        <v>0</v>
      </c>
      <c r="P361" s="126">
        <v>0</v>
      </c>
      <c r="Q361" s="126">
        <v>0</v>
      </c>
      <c r="R361" s="126"/>
    </row>
    <row r="362" spans="3:18" ht="23.1" customHeight="1">
      <c r="C362" s="126">
        <v>145</v>
      </c>
      <c r="D362" s="141" t="s">
        <v>823</v>
      </c>
      <c r="E362" s="159" t="s">
        <v>824</v>
      </c>
      <c r="F362" s="131">
        <v>1</v>
      </c>
      <c r="G362" s="131">
        <v>1</v>
      </c>
      <c r="H362" s="161">
        <v>46202</v>
      </c>
      <c r="I362" s="126">
        <v>0</v>
      </c>
      <c r="J362" s="126">
        <v>8</v>
      </c>
      <c r="K362" s="126">
        <v>0</v>
      </c>
      <c r="L362" s="126">
        <v>0</v>
      </c>
      <c r="M362" s="126">
        <v>0</v>
      </c>
      <c r="N362" s="126">
        <v>0</v>
      </c>
      <c r="O362" s="126">
        <v>0</v>
      </c>
      <c r="P362" s="126">
        <v>0</v>
      </c>
      <c r="Q362" s="126">
        <v>0</v>
      </c>
    </row>
    <row r="363" spans="3:18" ht="23.1" customHeight="1">
      <c r="C363" s="126">
        <v>144</v>
      </c>
      <c r="D363" s="141" t="s">
        <v>996</v>
      </c>
      <c r="E363" s="159" t="s">
        <v>997</v>
      </c>
      <c r="F363" s="131">
        <v>1</v>
      </c>
      <c r="G363" s="131">
        <v>1</v>
      </c>
      <c r="H363" s="161">
        <v>46202</v>
      </c>
      <c r="I363" s="126">
        <v>0</v>
      </c>
      <c r="J363" s="126">
        <v>1</v>
      </c>
      <c r="K363" s="126">
        <v>0</v>
      </c>
      <c r="L363" s="126">
        <v>0</v>
      </c>
      <c r="M363" s="126">
        <v>0</v>
      </c>
      <c r="N363" s="126">
        <v>0</v>
      </c>
      <c r="O363" s="126">
        <v>0</v>
      </c>
      <c r="P363" s="126">
        <v>0</v>
      </c>
      <c r="Q363" s="126">
        <v>0</v>
      </c>
      <c r="R363" s="126"/>
    </row>
    <row r="364" spans="3:18" ht="23.1" customHeight="1">
      <c r="C364" s="126">
        <v>8</v>
      </c>
      <c r="D364" s="141" t="s">
        <v>1125</v>
      </c>
      <c r="E364" s="159" t="s">
        <v>1126</v>
      </c>
      <c r="F364" s="131">
        <v>1</v>
      </c>
      <c r="G364" s="131">
        <v>1</v>
      </c>
      <c r="H364" s="161">
        <v>46202</v>
      </c>
      <c r="I364" s="126">
        <v>0</v>
      </c>
      <c r="J364" s="126">
        <v>1</v>
      </c>
      <c r="K364" s="126">
        <v>0</v>
      </c>
      <c r="L364" s="126">
        <v>0</v>
      </c>
      <c r="M364" s="126">
        <v>0</v>
      </c>
      <c r="N364" s="126">
        <v>0</v>
      </c>
      <c r="O364" s="126">
        <v>0</v>
      </c>
      <c r="P364" s="126">
        <v>0</v>
      </c>
      <c r="Q364" s="126">
        <v>0</v>
      </c>
    </row>
    <row r="365" spans="3:18" ht="23.1" customHeight="1">
      <c r="C365" s="126">
        <v>1</v>
      </c>
      <c r="D365" s="141" t="s">
        <v>677</v>
      </c>
      <c r="E365" s="159" t="s">
        <v>678</v>
      </c>
      <c r="F365" s="131">
        <v>1</v>
      </c>
      <c r="G365" s="131">
        <v>1</v>
      </c>
      <c r="H365" s="161">
        <v>46203</v>
      </c>
      <c r="I365" s="126">
        <v>0</v>
      </c>
      <c r="J365" s="126">
        <v>1</v>
      </c>
      <c r="K365" s="126">
        <v>0</v>
      </c>
      <c r="L365" s="126">
        <v>0</v>
      </c>
      <c r="M365" s="126">
        <v>0</v>
      </c>
      <c r="N365" s="126">
        <v>0</v>
      </c>
      <c r="O365" s="126">
        <v>0</v>
      </c>
      <c r="P365" s="126">
        <v>0</v>
      </c>
      <c r="Q365" s="126">
        <v>0</v>
      </c>
      <c r="R365" s="126"/>
    </row>
    <row r="366" spans="3:18" ht="23.1" customHeight="1">
      <c r="C366" s="126">
        <v>174</v>
      </c>
      <c r="D366" s="141" t="s">
        <v>2096</v>
      </c>
      <c r="E366" s="159" t="s">
        <v>2097</v>
      </c>
      <c r="F366" s="131">
        <v>1</v>
      </c>
      <c r="G366" s="131">
        <v>1</v>
      </c>
      <c r="H366" s="161">
        <v>46203</v>
      </c>
      <c r="I366" s="126">
        <v>0</v>
      </c>
      <c r="J366" s="126">
        <v>2</v>
      </c>
      <c r="K366" s="126">
        <v>0</v>
      </c>
      <c r="L366" s="126">
        <v>0</v>
      </c>
      <c r="M366" s="126">
        <v>0</v>
      </c>
      <c r="N366" s="126">
        <v>0</v>
      </c>
      <c r="O366" s="126">
        <v>0</v>
      </c>
      <c r="P366" s="126">
        <v>0</v>
      </c>
      <c r="Q366" s="126">
        <v>0</v>
      </c>
    </row>
    <row r="367" spans="3:18" ht="23.1" customHeight="1">
      <c r="C367" s="126">
        <v>168</v>
      </c>
      <c r="D367" s="141" t="s">
        <v>2101</v>
      </c>
      <c r="E367" s="159" t="s">
        <v>2102</v>
      </c>
      <c r="F367" s="131">
        <v>1</v>
      </c>
      <c r="G367" s="131">
        <v>1</v>
      </c>
      <c r="H367" s="161">
        <v>46203</v>
      </c>
      <c r="I367" s="126">
        <v>0</v>
      </c>
      <c r="J367" s="126">
        <v>2</v>
      </c>
      <c r="K367" s="126">
        <v>0</v>
      </c>
      <c r="L367" s="126">
        <v>0</v>
      </c>
      <c r="M367" s="126">
        <v>0</v>
      </c>
      <c r="N367" s="126">
        <v>0</v>
      </c>
      <c r="O367" s="126">
        <v>0</v>
      </c>
      <c r="P367" s="126">
        <v>0</v>
      </c>
      <c r="Q367" s="126">
        <v>0</v>
      </c>
    </row>
    <row r="368" spans="3:18" ht="23.1" customHeight="1">
      <c r="C368" s="126">
        <v>172</v>
      </c>
      <c r="D368" s="141" t="s">
        <v>2106</v>
      </c>
      <c r="E368" s="159" t="s">
        <v>2107</v>
      </c>
      <c r="F368" s="131">
        <v>1</v>
      </c>
      <c r="G368" s="131">
        <v>1</v>
      </c>
      <c r="H368" s="161">
        <v>46203</v>
      </c>
      <c r="I368" s="126">
        <v>0</v>
      </c>
      <c r="J368" s="126">
        <v>2</v>
      </c>
      <c r="K368" s="126">
        <v>0</v>
      </c>
      <c r="L368" s="126">
        <v>0</v>
      </c>
      <c r="M368" s="126">
        <v>0</v>
      </c>
      <c r="N368" s="126">
        <v>0</v>
      </c>
      <c r="O368" s="126">
        <v>0</v>
      </c>
      <c r="P368" s="126">
        <v>0</v>
      </c>
      <c r="Q368" s="126">
        <v>0</v>
      </c>
      <c r="R368" s="126"/>
    </row>
    <row r="369" spans="3:18" ht="23.1" customHeight="1">
      <c r="C369" s="126">
        <v>10</v>
      </c>
      <c r="D369" s="141" t="s">
        <v>586</v>
      </c>
      <c r="E369" s="159" t="s">
        <v>587</v>
      </c>
      <c r="F369" s="131">
        <v>1</v>
      </c>
      <c r="G369" s="131">
        <v>1</v>
      </c>
      <c r="H369" s="161">
        <v>46203</v>
      </c>
      <c r="I369" s="126">
        <v>0</v>
      </c>
      <c r="J369" s="126">
        <v>2</v>
      </c>
      <c r="K369" s="126">
        <v>0</v>
      </c>
      <c r="L369" s="126">
        <v>0</v>
      </c>
      <c r="M369" s="126">
        <v>0</v>
      </c>
      <c r="N369" s="126">
        <v>0</v>
      </c>
      <c r="O369" s="126">
        <v>0</v>
      </c>
      <c r="P369" s="126">
        <v>0</v>
      </c>
      <c r="Q369" s="126">
        <v>0</v>
      </c>
    </row>
    <row r="370" spans="3:18" ht="23.1" customHeight="1">
      <c r="C370" s="126">
        <v>189</v>
      </c>
      <c r="D370" s="141" t="s">
        <v>778</v>
      </c>
      <c r="E370" s="159" t="s">
        <v>779</v>
      </c>
      <c r="F370" s="131">
        <v>1</v>
      </c>
      <c r="G370" s="131">
        <v>1</v>
      </c>
      <c r="H370" s="161">
        <v>46203</v>
      </c>
      <c r="I370" s="126">
        <v>0</v>
      </c>
      <c r="J370" s="126">
        <v>20</v>
      </c>
      <c r="K370" s="126">
        <v>0</v>
      </c>
      <c r="L370" s="126">
        <v>0</v>
      </c>
      <c r="M370" s="126">
        <v>0</v>
      </c>
      <c r="N370" s="126">
        <v>0</v>
      </c>
      <c r="O370" s="126">
        <v>0</v>
      </c>
      <c r="P370" s="126">
        <v>0</v>
      </c>
      <c r="Q370" s="126">
        <v>0</v>
      </c>
      <c r="R370" s="126"/>
    </row>
    <row r="371" spans="3:18" ht="23.1" customHeight="1">
      <c r="C371" s="126">
        <v>183</v>
      </c>
      <c r="D371" s="141" t="s">
        <v>766</v>
      </c>
      <c r="E371" s="159" t="s">
        <v>767</v>
      </c>
      <c r="F371" s="131">
        <v>1</v>
      </c>
      <c r="G371" s="131">
        <v>1</v>
      </c>
      <c r="H371" s="161">
        <v>46203</v>
      </c>
      <c r="I371" s="126">
        <v>0</v>
      </c>
      <c r="J371" s="126">
        <v>24</v>
      </c>
      <c r="K371" s="126">
        <v>0</v>
      </c>
      <c r="L371" s="126">
        <v>0</v>
      </c>
      <c r="M371" s="126">
        <v>0</v>
      </c>
      <c r="N371" s="126">
        <v>0</v>
      </c>
      <c r="O371" s="126">
        <v>0</v>
      </c>
      <c r="P371" s="126">
        <v>0</v>
      </c>
      <c r="Q371" s="126">
        <v>0</v>
      </c>
    </row>
    <row r="372" spans="3:18" ht="23.1" customHeight="1">
      <c r="C372" s="126">
        <v>136</v>
      </c>
      <c r="D372" s="141" t="s">
        <v>2122</v>
      </c>
      <c r="E372" s="159" t="s">
        <v>2123</v>
      </c>
      <c r="F372" s="131">
        <v>1</v>
      </c>
      <c r="G372" s="131">
        <v>1</v>
      </c>
      <c r="H372" s="161">
        <v>46203</v>
      </c>
      <c r="I372" s="126">
        <v>0</v>
      </c>
      <c r="J372" s="126">
        <v>2</v>
      </c>
      <c r="K372" s="126">
        <v>0</v>
      </c>
      <c r="L372" s="126">
        <v>0</v>
      </c>
      <c r="M372" s="126">
        <v>0</v>
      </c>
      <c r="N372" s="126">
        <v>0</v>
      </c>
      <c r="O372" s="126">
        <v>0</v>
      </c>
      <c r="P372" s="126">
        <v>0</v>
      </c>
      <c r="Q372" s="126">
        <v>0</v>
      </c>
      <c r="R372" s="126"/>
    </row>
    <row r="373" spans="3:18" ht="23.1" customHeight="1">
      <c r="C373" s="126">
        <v>142</v>
      </c>
      <c r="D373" s="141" t="s">
        <v>798</v>
      </c>
      <c r="E373" s="159" t="s">
        <v>799</v>
      </c>
      <c r="F373" s="131">
        <v>1</v>
      </c>
      <c r="G373" s="131">
        <v>1</v>
      </c>
      <c r="H373" s="161">
        <v>46203</v>
      </c>
      <c r="I373" s="126">
        <v>0</v>
      </c>
      <c r="J373" s="126">
        <v>1</v>
      </c>
      <c r="K373" s="126">
        <v>0</v>
      </c>
      <c r="L373" s="126">
        <v>0</v>
      </c>
      <c r="M373" s="126">
        <v>0</v>
      </c>
      <c r="N373" s="126">
        <v>0</v>
      </c>
      <c r="O373" s="126">
        <v>0</v>
      </c>
      <c r="P373" s="126">
        <v>0</v>
      </c>
      <c r="Q373" s="126">
        <v>0</v>
      </c>
      <c r="R373" s="126"/>
    </row>
    <row r="374" spans="3:18" ht="23.1" customHeight="1">
      <c r="C374" s="126">
        <v>53</v>
      </c>
      <c r="D374" s="141" t="s">
        <v>1211</v>
      </c>
      <c r="E374" s="159" t="s">
        <v>1212</v>
      </c>
      <c r="F374" s="131">
        <v>1</v>
      </c>
      <c r="G374" s="131">
        <v>1</v>
      </c>
      <c r="H374" s="161">
        <v>46203</v>
      </c>
      <c r="I374" s="126">
        <v>0</v>
      </c>
      <c r="J374" s="126">
        <v>1</v>
      </c>
      <c r="K374" s="126">
        <v>0</v>
      </c>
      <c r="L374" s="126">
        <v>0</v>
      </c>
      <c r="M374" s="126">
        <v>0</v>
      </c>
      <c r="N374" s="126">
        <v>0</v>
      </c>
      <c r="O374" s="126">
        <v>0</v>
      </c>
      <c r="P374" s="126">
        <v>0</v>
      </c>
      <c r="Q374" s="126">
        <v>0</v>
      </c>
    </row>
    <row r="375" spans="3:18" ht="23.1" customHeight="1">
      <c r="C375" s="126">
        <v>50</v>
      </c>
      <c r="D375" s="141" t="s">
        <v>803</v>
      </c>
      <c r="E375" s="159" t="s">
        <v>804</v>
      </c>
      <c r="F375" s="131">
        <v>1</v>
      </c>
      <c r="G375" s="131">
        <v>1</v>
      </c>
      <c r="H375" s="161">
        <v>46203</v>
      </c>
      <c r="I375" s="126">
        <v>0</v>
      </c>
      <c r="J375" s="126">
        <v>2</v>
      </c>
      <c r="K375" s="126">
        <v>0</v>
      </c>
      <c r="L375" s="126">
        <v>0</v>
      </c>
      <c r="M375" s="126">
        <v>0</v>
      </c>
      <c r="N375" s="126">
        <v>0</v>
      </c>
      <c r="O375" s="126">
        <v>0</v>
      </c>
      <c r="P375" s="126">
        <v>0</v>
      </c>
      <c r="Q375" s="126">
        <v>0</v>
      </c>
      <c r="R375" s="126"/>
    </row>
    <row r="376" spans="3:18" ht="23.1" customHeight="1">
      <c r="C376" s="126">
        <v>56</v>
      </c>
      <c r="D376" s="141" t="s">
        <v>1203</v>
      </c>
      <c r="E376" s="159" t="s">
        <v>1204</v>
      </c>
      <c r="F376" s="131">
        <v>1</v>
      </c>
      <c r="G376" s="131">
        <v>1</v>
      </c>
      <c r="H376" s="161">
        <v>46203</v>
      </c>
      <c r="I376" s="126">
        <v>0</v>
      </c>
      <c r="J376" s="126">
        <v>2</v>
      </c>
      <c r="K376" s="126">
        <v>0</v>
      </c>
      <c r="L376" s="126">
        <v>0</v>
      </c>
      <c r="M376" s="126">
        <v>0</v>
      </c>
      <c r="N376" s="126">
        <v>0</v>
      </c>
      <c r="O376" s="126">
        <v>0</v>
      </c>
      <c r="P376" s="126">
        <v>0</v>
      </c>
      <c r="Q376" s="126">
        <v>0</v>
      </c>
      <c r="R376" s="126"/>
    </row>
    <row r="377" spans="3:18" ht="23.1" customHeight="1">
      <c r="C377" s="126">
        <v>34</v>
      </c>
      <c r="D377" s="141" t="s">
        <v>1193</v>
      </c>
      <c r="E377" s="159" t="s">
        <v>1194</v>
      </c>
      <c r="F377" s="131">
        <v>1</v>
      </c>
      <c r="G377" s="131">
        <v>1</v>
      </c>
      <c r="H377" s="161">
        <v>46203</v>
      </c>
      <c r="I377" s="126">
        <v>0</v>
      </c>
      <c r="J377" s="126">
        <v>1</v>
      </c>
      <c r="K377" s="126">
        <v>0</v>
      </c>
      <c r="L377" s="126">
        <v>0</v>
      </c>
      <c r="M377" s="126">
        <v>0</v>
      </c>
      <c r="N377" s="126">
        <v>0</v>
      </c>
      <c r="O377" s="126">
        <v>0</v>
      </c>
      <c r="P377" s="126">
        <v>0</v>
      </c>
      <c r="Q377" s="126">
        <v>0</v>
      </c>
    </row>
    <row r="378" spans="3:18" ht="23.1" customHeight="1">
      <c r="C378" s="126">
        <v>7</v>
      </c>
      <c r="D378" s="141" t="s">
        <v>818</v>
      </c>
      <c r="E378" s="159" t="s">
        <v>819</v>
      </c>
      <c r="F378" s="131">
        <v>1</v>
      </c>
      <c r="G378" s="131">
        <v>1</v>
      </c>
      <c r="H378" s="161">
        <v>46174</v>
      </c>
      <c r="I378" s="126">
        <v>0</v>
      </c>
      <c r="J378" s="126">
        <v>0</v>
      </c>
      <c r="K378" s="126">
        <v>0</v>
      </c>
      <c r="L378" s="126">
        <v>18</v>
      </c>
      <c r="M378" s="126">
        <v>0</v>
      </c>
      <c r="N378" s="126">
        <v>0</v>
      </c>
      <c r="O378" s="126">
        <v>0</v>
      </c>
      <c r="P378" s="126">
        <v>0</v>
      </c>
      <c r="Q378" s="126">
        <v>0</v>
      </c>
    </row>
    <row r="379" spans="3:18" ht="23.1" customHeight="1">
      <c r="C379" s="126">
        <v>8</v>
      </c>
      <c r="D379" s="141" t="s">
        <v>1125</v>
      </c>
      <c r="E379" s="159" t="s">
        <v>1126</v>
      </c>
      <c r="F379" s="131">
        <v>1</v>
      </c>
      <c r="G379" s="131">
        <v>1</v>
      </c>
      <c r="H379" s="161">
        <v>46174</v>
      </c>
      <c r="I379" s="126">
        <v>0</v>
      </c>
      <c r="J379" s="126">
        <v>0</v>
      </c>
      <c r="K379" s="126">
        <v>0</v>
      </c>
      <c r="L379" s="126">
        <v>14</v>
      </c>
      <c r="M379" s="126">
        <v>0</v>
      </c>
      <c r="N379" s="126">
        <v>0</v>
      </c>
      <c r="O379" s="126">
        <v>0</v>
      </c>
      <c r="P379" s="126">
        <v>0</v>
      </c>
      <c r="Q379" s="126">
        <v>0</v>
      </c>
      <c r="R379" s="126"/>
    </row>
    <row r="380" spans="3:18" ht="23.1" customHeight="1">
      <c r="C380" s="126">
        <v>9</v>
      </c>
      <c r="D380" s="141" t="s">
        <v>1813</v>
      </c>
      <c r="E380" s="159" t="s">
        <v>1814</v>
      </c>
      <c r="F380" s="131">
        <v>1</v>
      </c>
      <c r="G380" s="131">
        <v>1</v>
      </c>
      <c r="H380" s="161">
        <v>46174</v>
      </c>
      <c r="I380" s="126">
        <v>0</v>
      </c>
      <c r="J380" s="126">
        <v>0</v>
      </c>
      <c r="K380" s="126">
        <v>0</v>
      </c>
      <c r="L380" s="126">
        <v>36</v>
      </c>
      <c r="M380" s="126">
        <v>0</v>
      </c>
      <c r="N380" s="126">
        <v>0</v>
      </c>
      <c r="O380" s="126">
        <v>0</v>
      </c>
      <c r="P380" s="126">
        <v>0</v>
      </c>
      <c r="Q380" s="126">
        <v>0</v>
      </c>
    </row>
    <row r="381" spans="3:18" ht="23.1" customHeight="1">
      <c r="C381" s="126">
        <v>11</v>
      </c>
      <c r="D381" s="141" t="s">
        <v>690</v>
      </c>
      <c r="E381" s="159" t="s">
        <v>691</v>
      </c>
      <c r="F381" s="131">
        <v>1</v>
      </c>
      <c r="G381" s="131">
        <v>1</v>
      </c>
      <c r="H381" s="161">
        <v>46174</v>
      </c>
      <c r="I381" s="126">
        <v>0</v>
      </c>
      <c r="J381" s="126">
        <v>0</v>
      </c>
      <c r="K381" s="126">
        <v>0</v>
      </c>
      <c r="L381" s="126">
        <v>6</v>
      </c>
      <c r="M381" s="126">
        <v>0</v>
      </c>
      <c r="N381" s="126">
        <v>0</v>
      </c>
      <c r="O381" s="126">
        <v>0</v>
      </c>
      <c r="P381" s="126">
        <v>0</v>
      </c>
      <c r="Q381" s="126">
        <v>0</v>
      </c>
    </row>
    <row r="382" spans="3:18" ht="23.1" customHeight="1">
      <c r="C382" s="126">
        <v>16</v>
      </c>
      <c r="D382" s="141" t="s">
        <v>699</v>
      </c>
      <c r="E382" s="159" t="s">
        <v>700</v>
      </c>
      <c r="F382" s="131">
        <v>1</v>
      </c>
      <c r="G382" s="131">
        <v>1</v>
      </c>
      <c r="H382" s="161">
        <v>46174</v>
      </c>
      <c r="I382" s="126">
        <v>0</v>
      </c>
      <c r="J382" s="126">
        <v>0</v>
      </c>
      <c r="K382" s="126">
        <v>0</v>
      </c>
      <c r="L382" s="126">
        <v>30</v>
      </c>
      <c r="M382" s="126">
        <v>0</v>
      </c>
      <c r="N382" s="126">
        <v>0</v>
      </c>
      <c r="O382" s="126">
        <v>0</v>
      </c>
      <c r="P382" s="126">
        <v>0</v>
      </c>
      <c r="Q382" s="126">
        <v>0</v>
      </c>
    </row>
    <row r="383" spans="3:18" ht="23.1" customHeight="1">
      <c r="C383" s="126">
        <v>18</v>
      </c>
      <c r="D383" s="141" t="s">
        <v>703</v>
      </c>
      <c r="E383" s="159" t="s">
        <v>704</v>
      </c>
      <c r="F383" s="131">
        <v>1</v>
      </c>
      <c r="G383" s="131">
        <v>1</v>
      </c>
      <c r="H383" s="161">
        <v>46174</v>
      </c>
      <c r="I383" s="126">
        <v>0</v>
      </c>
      <c r="J383" s="126">
        <v>0</v>
      </c>
      <c r="K383" s="126">
        <v>0</v>
      </c>
      <c r="L383" s="126">
        <v>2</v>
      </c>
      <c r="M383" s="126">
        <v>0</v>
      </c>
      <c r="N383" s="126">
        <v>0</v>
      </c>
      <c r="O383" s="126">
        <v>0</v>
      </c>
      <c r="P383" s="126">
        <v>0</v>
      </c>
      <c r="Q383" s="126">
        <v>0</v>
      </c>
    </row>
    <row r="384" spans="3:18" ht="23.1" customHeight="1">
      <c r="C384" s="126">
        <v>20</v>
      </c>
      <c r="D384" s="141" t="s">
        <v>709</v>
      </c>
      <c r="E384" s="159" t="s">
        <v>710</v>
      </c>
      <c r="F384" s="131">
        <v>1</v>
      </c>
      <c r="G384" s="131">
        <v>1</v>
      </c>
      <c r="H384" s="161">
        <v>46174</v>
      </c>
      <c r="I384" s="126">
        <v>0</v>
      </c>
      <c r="J384" s="126">
        <v>0</v>
      </c>
      <c r="K384" s="126">
        <v>0</v>
      </c>
      <c r="L384" s="126">
        <v>14</v>
      </c>
      <c r="M384" s="126">
        <v>0</v>
      </c>
      <c r="N384" s="126">
        <v>0</v>
      </c>
      <c r="O384" s="126">
        <v>0</v>
      </c>
      <c r="P384" s="126">
        <v>0</v>
      </c>
      <c r="Q384" s="126">
        <v>0</v>
      </c>
    </row>
    <row r="385" spans="3:17" ht="23.1" customHeight="1">
      <c r="C385" s="126">
        <v>25</v>
      </c>
      <c r="D385" s="141" t="s">
        <v>1295</v>
      </c>
      <c r="E385" s="159" t="s">
        <v>1296</v>
      </c>
      <c r="F385" s="131">
        <v>1</v>
      </c>
      <c r="G385" s="131">
        <v>1</v>
      </c>
      <c r="H385" s="161">
        <v>46174</v>
      </c>
      <c r="I385" s="126">
        <v>0</v>
      </c>
      <c r="J385" s="126">
        <v>0</v>
      </c>
      <c r="K385" s="126">
        <v>0</v>
      </c>
      <c r="L385" s="126">
        <v>2</v>
      </c>
      <c r="M385" s="126">
        <v>0</v>
      </c>
      <c r="N385" s="126">
        <v>0</v>
      </c>
      <c r="O385" s="126">
        <v>0</v>
      </c>
      <c r="P385" s="126">
        <v>0</v>
      </c>
      <c r="Q385" s="126">
        <v>0</v>
      </c>
    </row>
    <row r="386" spans="3:17" ht="23.1" customHeight="1">
      <c r="C386" s="126">
        <v>29</v>
      </c>
      <c r="D386" s="141" t="s">
        <v>1523</v>
      </c>
      <c r="E386" s="159" t="s">
        <v>1524</v>
      </c>
      <c r="F386" s="131">
        <v>1</v>
      </c>
      <c r="G386" s="131">
        <v>1</v>
      </c>
      <c r="H386" s="161">
        <v>46174</v>
      </c>
      <c r="I386" s="126">
        <v>0</v>
      </c>
      <c r="J386" s="126">
        <v>0</v>
      </c>
      <c r="K386" s="126">
        <v>0</v>
      </c>
      <c r="L386" s="126">
        <v>24</v>
      </c>
      <c r="M386" s="126">
        <v>0</v>
      </c>
      <c r="N386" s="126">
        <v>0</v>
      </c>
      <c r="O386" s="126">
        <v>0</v>
      </c>
      <c r="P386" s="126">
        <v>0</v>
      </c>
      <c r="Q386" s="126">
        <v>0</v>
      </c>
    </row>
    <row r="387" spans="3:17" ht="23.1" customHeight="1">
      <c r="C387" s="126">
        <v>30</v>
      </c>
      <c r="D387" s="141" t="s">
        <v>1187</v>
      </c>
      <c r="E387" s="159" t="s">
        <v>1188</v>
      </c>
      <c r="F387" s="131">
        <v>1</v>
      </c>
      <c r="G387" s="131">
        <v>1</v>
      </c>
      <c r="H387" s="161">
        <v>46174</v>
      </c>
      <c r="I387" s="126">
        <v>0</v>
      </c>
      <c r="J387" s="126">
        <v>0</v>
      </c>
      <c r="K387" s="126">
        <v>0</v>
      </c>
      <c r="L387" s="126">
        <v>6</v>
      </c>
      <c r="M387" s="126">
        <v>0</v>
      </c>
      <c r="N387" s="126">
        <v>0</v>
      </c>
      <c r="O387" s="126">
        <v>0</v>
      </c>
      <c r="P387" s="126">
        <v>0</v>
      </c>
      <c r="Q387" s="126">
        <v>0</v>
      </c>
    </row>
    <row r="388" spans="3:17" ht="23.1" customHeight="1">
      <c r="C388" s="126">
        <v>32</v>
      </c>
      <c r="D388" s="141" t="s">
        <v>1748</v>
      </c>
      <c r="E388" s="159" t="s">
        <v>1749</v>
      </c>
      <c r="F388" s="131">
        <v>1</v>
      </c>
      <c r="G388" s="131">
        <v>1</v>
      </c>
      <c r="H388" s="161">
        <v>46174</v>
      </c>
      <c r="I388" s="126">
        <v>0</v>
      </c>
      <c r="J388" s="126">
        <v>0</v>
      </c>
      <c r="K388" s="126">
        <v>0</v>
      </c>
      <c r="L388" s="126">
        <v>4</v>
      </c>
      <c r="M388" s="126">
        <v>0</v>
      </c>
      <c r="N388" s="126">
        <v>0</v>
      </c>
      <c r="O388" s="126">
        <v>0</v>
      </c>
      <c r="P388" s="126">
        <v>0</v>
      </c>
      <c r="Q388" s="126">
        <v>0</v>
      </c>
    </row>
    <row r="389" spans="3:17" ht="23.1" customHeight="1">
      <c r="C389" s="126">
        <v>33</v>
      </c>
      <c r="D389" s="141" t="s">
        <v>1198</v>
      </c>
      <c r="E389" s="159" t="s">
        <v>1199</v>
      </c>
      <c r="F389" s="131">
        <v>1</v>
      </c>
      <c r="G389" s="131">
        <v>1</v>
      </c>
      <c r="H389" s="161">
        <v>46174</v>
      </c>
      <c r="I389" s="126">
        <v>0</v>
      </c>
      <c r="J389" s="126">
        <v>0</v>
      </c>
      <c r="K389" s="126">
        <v>0</v>
      </c>
      <c r="L389" s="126">
        <v>2</v>
      </c>
      <c r="M389" s="126">
        <v>0</v>
      </c>
      <c r="N389" s="126">
        <v>0</v>
      </c>
      <c r="O389" s="126">
        <v>0</v>
      </c>
      <c r="P389" s="126">
        <v>0</v>
      </c>
      <c r="Q389" s="126">
        <v>0</v>
      </c>
    </row>
    <row r="390" spans="3:17" ht="23.1" customHeight="1">
      <c r="C390" s="126">
        <v>34</v>
      </c>
      <c r="D390" s="141" t="s">
        <v>1193</v>
      </c>
      <c r="E390" s="159" t="s">
        <v>1194</v>
      </c>
      <c r="F390" s="131">
        <v>1</v>
      </c>
      <c r="G390" s="131">
        <v>1</v>
      </c>
      <c r="H390" s="161">
        <v>46174</v>
      </c>
      <c r="I390" s="126">
        <v>0</v>
      </c>
      <c r="J390" s="126">
        <v>0</v>
      </c>
      <c r="K390" s="126">
        <v>0</v>
      </c>
      <c r="L390" s="126">
        <v>20</v>
      </c>
      <c r="M390" s="126">
        <v>0</v>
      </c>
      <c r="N390" s="126">
        <v>0</v>
      </c>
      <c r="O390" s="126">
        <v>0</v>
      </c>
      <c r="P390" s="126">
        <v>0</v>
      </c>
      <c r="Q390" s="126">
        <v>0</v>
      </c>
    </row>
    <row r="391" spans="3:17" ht="23.1" customHeight="1">
      <c r="C391" s="126">
        <v>37</v>
      </c>
      <c r="D391" s="141" t="s">
        <v>1515</v>
      </c>
      <c r="E391" s="159" t="s">
        <v>1516</v>
      </c>
      <c r="F391" s="131">
        <v>1</v>
      </c>
      <c r="G391" s="131">
        <v>1</v>
      </c>
      <c r="H391" s="161">
        <v>46174</v>
      </c>
      <c r="I391" s="126">
        <v>0</v>
      </c>
      <c r="J391" s="126">
        <v>0</v>
      </c>
      <c r="K391" s="126">
        <v>0</v>
      </c>
      <c r="L391" s="126">
        <v>4</v>
      </c>
      <c r="M391" s="126">
        <v>0</v>
      </c>
      <c r="N391" s="126">
        <v>0</v>
      </c>
      <c r="O391" s="126">
        <v>0</v>
      </c>
      <c r="P391" s="126">
        <v>0</v>
      </c>
      <c r="Q391" s="126">
        <v>0</v>
      </c>
    </row>
    <row r="392" spans="3:17" ht="23.1" customHeight="1">
      <c r="C392" s="126">
        <v>38</v>
      </c>
      <c r="D392" s="141" t="s">
        <v>1113</v>
      </c>
      <c r="E392" s="159" t="s">
        <v>1114</v>
      </c>
      <c r="F392" s="131">
        <v>1</v>
      </c>
      <c r="G392" s="131">
        <v>1</v>
      </c>
      <c r="H392" s="161">
        <v>46174</v>
      </c>
      <c r="I392" s="126">
        <v>0</v>
      </c>
      <c r="J392" s="126">
        <v>0</v>
      </c>
      <c r="K392" s="126">
        <v>0</v>
      </c>
      <c r="L392" s="126">
        <v>4</v>
      </c>
      <c r="M392" s="126">
        <v>0</v>
      </c>
      <c r="N392" s="126">
        <v>0</v>
      </c>
      <c r="O392" s="126">
        <v>0</v>
      </c>
      <c r="P392" s="126">
        <v>0</v>
      </c>
      <c r="Q392" s="126">
        <v>0</v>
      </c>
    </row>
    <row r="393" spans="3:17" ht="23.1" customHeight="1">
      <c r="C393" s="126">
        <v>39</v>
      </c>
      <c r="D393" s="141" t="s">
        <v>1144</v>
      </c>
      <c r="E393" s="159" t="s">
        <v>1145</v>
      </c>
      <c r="F393" s="131">
        <v>1</v>
      </c>
      <c r="G393" s="131">
        <v>1</v>
      </c>
      <c r="H393" s="161">
        <v>46174</v>
      </c>
      <c r="I393" s="126">
        <v>0</v>
      </c>
      <c r="J393" s="126">
        <v>0</v>
      </c>
      <c r="K393" s="126">
        <v>0</v>
      </c>
      <c r="L393" s="126">
        <v>6</v>
      </c>
      <c r="M393" s="126">
        <v>0</v>
      </c>
      <c r="N393" s="126">
        <v>0</v>
      </c>
      <c r="O393" s="126">
        <v>0</v>
      </c>
      <c r="P393" s="126">
        <v>0</v>
      </c>
      <c r="Q393" s="126">
        <v>0</v>
      </c>
    </row>
    <row r="394" spans="3:17" ht="23.1" customHeight="1">
      <c r="C394" s="126">
        <v>40</v>
      </c>
      <c r="D394" s="141" t="s">
        <v>1108</v>
      </c>
      <c r="E394" s="159" t="s">
        <v>1109</v>
      </c>
      <c r="F394" s="131">
        <v>1</v>
      </c>
      <c r="G394" s="131">
        <v>1</v>
      </c>
      <c r="H394" s="161">
        <v>46174</v>
      </c>
      <c r="I394" s="126">
        <v>0</v>
      </c>
      <c r="J394" s="126">
        <v>0</v>
      </c>
      <c r="K394" s="126">
        <v>0</v>
      </c>
      <c r="L394" s="126">
        <v>4</v>
      </c>
      <c r="M394" s="126">
        <v>0</v>
      </c>
      <c r="N394" s="126">
        <v>0</v>
      </c>
      <c r="O394" s="126">
        <v>0</v>
      </c>
      <c r="P394" s="126">
        <v>0</v>
      </c>
      <c r="Q394" s="126">
        <v>0</v>
      </c>
    </row>
    <row r="395" spans="3:17" ht="23.1" customHeight="1">
      <c r="C395" s="126">
        <v>41</v>
      </c>
      <c r="D395" s="141" t="s">
        <v>808</v>
      </c>
      <c r="E395" s="159" t="s">
        <v>809</v>
      </c>
      <c r="F395" s="131">
        <v>1</v>
      </c>
      <c r="G395" s="131">
        <v>1</v>
      </c>
      <c r="H395" s="161">
        <v>46174</v>
      </c>
      <c r="I395" s="126">
        <v>0</v>
      </c>
      <c r="J395" s="126">
        <v>0</v>
      </c>
      <c r="K395" s="126">
        <v>0</v>
      </c>
      <c r="L395" s="126">
        <v>16</v>
      </c>
      <c r="M395" s="126">
        <v>0</v>
      </c>
      <c r="N395" s="126">
        <v>0</v>
      </c>
      <c r="O395" s="126">
        <v>0</v>
      </c>
      <c r="P395" s="126">
        <v>0</v>
      </c>
      <c r="Q395" s="126">
        <v>0</v>
      </c>
    </row>
    <row r="396" spans="3:17" ht="23.1" customHeight="1">
      <c r="C396" s="126">
        <v>42</v>
      </c>
      <c r="D396" s="141" t="s">
        <v>975</v>
      </c>
      <c r="E396" s="159" t="s">
        <v>976</v>
      </c>
      <c r="F396" s="131">
        <v>1</v>
      </c>
      <c r="G396" s="131">
        <v>1</v>
      </c>
      <c r="H396" s="161">
        <v>46174</v>
      </c>
      <c r="I396" s="126">
        <v>0</v>
      </c>
      <c r="J396" s="126">
        <v>0</v>
      </c>
      <c r="K396" s="126">
        <v>0</v>
      </c>
      <c r="L396" s="126">
        <v>32</v>
      </c>
      <c r="M396" s="126">
        <v>0</v>
      </c>
      <c r="N396" s="126">
        <v>0</v>
      </c>
      <c r="O396" s="126">
        <v>0</v>
      </c>
      <c r="P396" s="126">
        <v>0</v>
      </c>
      <c r="Q396" s="126">
        <v>0</v>
      </c>
    </row>
    <row r="397" spans="3:17" ht="23.1" customHeight="1">
      <c r="C397" s="126">
        <v>44</v>
      </c>
      <c r="D397" s="141" t="s">
        <v>1229</v>
      </c>
      <c r="E397" s="159" t="s">
        <v>1230</v>
      </c>
      <c r="F397" s="131">
        <v>1</v>
      </c>
      <c r="G397" s="131">
        <v>1</v>
      </c>
      <c r="H397" s="161">
        <v>46174</v>
      </c>
      <c r="I397" s="126">
        <v>0</v>
      </c>
      <c r="J397" s="126">
        <v>0</v>
      </c>
      <c r="K397" s="126">
        <v>0</v>
      </c>
      <c r="L397" s="126">
        <v>8</v>
      </c>
      <c r="M397" s="126">
        <v>0</v>
      </c>
      <c r="N397" s="126">
        <v>0</v>
      </c>
      <c r="O397" s="126">
        <v>0</v>
      </c>
      <c r="P397" s="126">
        <v>0</v>
      </c>
      <c r="Q397" s="126">
        <v>0</v>
      </c>
    </row>
    <row r="398" spans="3:17" ht="23.1" customHeight="1">
      <c r="C398" s="126">
        <v>45</v>
      </c>
      <c r="D398" s="141" t="s">
        <v>980</v>
      </c>
      <c r="E398" s="159" t="s">
        <v>981</v>
      </c>
      <c r="F398" s="131">
        <v>1</v>
      </c>
      <c r="G398" s="131">
        <v>1</v>
      </c>
      <c r="H398" s="161">
        <v>46174</v>
      </c>
      <c r="I398" s="126">
        <v>0</v>
      </c>
      <c r="J398" s="126">
        <v>0</v>
      </c>
      <c r="K398" s="126">
        <v>0</v>
      </c>
      <c r="L398" s="126">
        <v>30</v>
      </c>
      <c r="M398" s="126">
        <v>0</v>
      </c>
      <c r="N398" s="126">
        <v>0</v>
      </c>
      <c r="O398" s="126">
        <v>0</v>
      </c>
      <c r="P398" s="126">
        <v>0</v>
      </c>
      <c r="Q398" s="126">
        <v>0</v>
      </c>
    </row>
    <row r="399" spans="3:17" ht="23.1" customHeight="1">
      <c r="C399" s="126">
        <v>46</v>
      </c>
      <c r="D399" s="141" t="s">
        <v>647</v>
      </c>
      <c r="E399" s="159" t="s">
        <v>648</v>
      </c>
      <c r="F399" s="131">
        <v>1</v>
      </c>
      <c r="G399" s="131">
        <v>1</v>
      </c>
      <c r="H399" s="161">
        <v>46174</v>
      </c>
      <c r="I399" s="126">
        <v>0</v>
      </c>
      <c r="J399" s="126">
        <v>0</v>
      </c>
      <c r="K399" s="126">
        <v>0</v>
      </c>
      <c r="L399" s="126">
        <v>60</v>
      </c>
      <c r="M399" s="126">
        <v>0</v>
      </c>
      <c r="N399" s="126">
        <v>0</v>
      </c>
      <c r="O399" s="126">
        <v>0</v>
      </c>
      <c r="P399" s="126">
        <v>0</v>
      </c>
      <c r="Q399" s="126">
        <v>0</v>
      </c>
    </row>
    <row r="400" spans="3:17" ht="23.1" customHeight="1">
      <c r="C400" s="126">
        <v>49</v>
      </c>
      <c r="D400" s="141" t="s">
        <v>813</v>
      </c>
      <c r="E400" s="159" t="s">
        <v>814</v>
      </c>
      <c r="F400" s="131">
        <v>1</v>
      </c>
      <c r="G400" s="131">
        <v>1</v>
      </c>
      <c r="H400" s="161">
        <v>46174</v>
      </c>
      <c r="I400" s="126">
        <v>0</v>
      </c>
      <c r="J400" s="126">
        <v>0</v>
      </c>
      <c r="K400" s="126">
        <v>0</v>
      </c>
      <c r="L400" s="126">
        <v>30</v>
      </c>
      <c r="M400" s="126">
        <v>0</v>
      </c>
      <c r="N400" s="126">
        <v>0</v>
      </c>
      <c r="O400" s="126">
        <v>0</v>
      </c>
      <c r="P400" s="126">
        <v>0</v>
      </c>
      <c r="Q400" s="126">
        <v>0</v>
      </c>
    </row>
    <row r="401" spans="3:17" ht="23.1" customHeight="1">
      <c r="C401" s="126">
        <v>50</v>
      </c>
      <c r="D401" s="141" t="s">
        <v>803</v>
      </c>
      <c r="E401" s="159" t="s">
        <v>804</v>
      </c>
      <c r="F401" s="131">
        <v>1</v>
      </c>
      <c r="G401" s="131">
        <v>1</v>
      </c>
      <c r="H401" s="161">
        <v>46174</v>
      </c>
      <c r="I401" s="126">
        <v>0</v>
      </c>
      <c r="J401" s="126">
        <v>0</v>
      </c>
      <c r="K401" s="126">
        <v>0</v>
      </c>
      <c r="L401" s="126">
        <v>118</v>
      </c>
      <c r="M401" s="126">
        <v>0</v>
      </c>
      <c r="N401" s="126">
        <v>0</v>
      </c>
      <c r="O401" s="126">
        <v>0</v>
      </c>
      <c r="P401" s="126">
        <v>0</v>
      </c>
      <c r="Q401" s="126">
        <v>0</v>
      </c>
    </row>
    <row r="402" spans="3:17" ht="23.1" customHeight="1">
      <c r="C402" s="126">
        <v>51</v>
      </c>
      <c r="D402" s="141" t="s">
        <v>1339</v>
      </c>
      <c r="E402" s="159" t="s">
        <v>1340</v>
      </c>
      <c r="F402" s="131">
        <v>1</v>
      </c>
      <c r="G402" s="131">
        <v>1</v>
      </c>
      <c r="H402" s="161">
        <v>46174</v>
      </c>
      <c r="I402" s="126">
        <v>0</v>
      </c>
      <c r="J402" s="126">
        <v>0</v>
      </c>
      <c r="K402" s="126">
        <v>0</v>
      </c>
      <c r="L402" s="126">
        <v>34</v>
      </c>
      <c r="M402" s="126">
        <v>0</v>
      </c>
      <c r="N402" s="126">
        <v>0</v>
      </c>
      <c r="O402" s="126">
        <v>0</v>
      </c>
      <c r="P402" s="126">
        <v>0</v>
      </c>
      <c r="Q402" s="126">
        <v>0</v>
      </c>
    </row>
    <row r="403" spans="3:17" ht="23.1" customHeight="1">
      <c r="C403" s="126">
        <v>52</v>
      </c>
      <c r="D403" s="141" t="s">
        <v>933</v>
      </c>
      <c r="E403" s="159" t="s">
        <v>934</v>
      </c>
      <c r="F403" s="131">
        <v>1</v>
      </c>
      <c r="G403" s="131">
        <v>1</v>
      </c>
      <c r="H403" s="161">
        <v>46176</v>
      </c>
      <c r="I403" s="126">
        <v>0</v>
      </c>
      <c r="J403" s="126">
        <v>0</v>
      </c>
      <c r="K403" s="126">
        <v>0</v>
      </c>
      <c r="L403" s="126">
        <v>22</v>
      </c>
      <c r="M403" s="126">
        <v>0</v>
      </c>
      <c r="N403" s="126">
        <v>0</v>
      </c>
      <c r="O403" s="126">
        <v>0</v>
      </c>
      <c r="P403" s="126">
        <v>0</v>
      </c>
      <c r="Q403" s="126">
        <v>0</v>
      </c>
    </row>
    <row r="404" spans="3:17" ht="23.1" customHeight="1">
      <c r="C404" s="126">
        <v>53</v>
      </c>
      <c r="D404" s="141" t="s">
        <v>1211</v>
      </c>
      <c r="E404" s="159" t="s">
        <v>1212</v>
      </c>
      <c r="F404" s="131">
        <v>1</v>
      </c>
      <c r="G404" s="131">
        <v>1</v>
      </c>
      <c r="H404" s="161">
        <v>46176</v>
      </c>
      <c r="I404" s="126">
        <v>0</v>
      </c>
      <c r="J404" s="126">
        <v>0</v>
      </c>
      <c r="K404" s="126">
        <v>0</v>
      </c>
      <c r="L404" s="126">
        <v>4</v>
      </c>
      <c r="M404" s="126">
        <v>0</v>
      </c>
      <c r="N404" s="126">
        <v>0</v>
      </c>
      <c r="O404" s="126">
        <v>0</v>
      </c>
      <c r="P404" s="126">
        <v>0</v>
      </c>
      <c r="Q404" s="126">
        <v>0</v>
      </c>
    </row>
    <row r="405" spans="3:17" ht="23.1" customHeight="1">
      <c r="C405" s="126">
        <v>54</v>
      </c>
      <c r="D405" s="141" t="s">
        <v>1743</v>
      </c>
      <c r="E405" s="159" t="s">
        <v>1744</v>
      </c>
      <c r="F405" s="131">
        <v>1</v>
      </c>
      <c r="G405" s="131">
        <v>1</v>
      </c>
      <c r="H405" s="161">
        <v>46176</v>
      </c>
      <c r="I405" s="126">
        <v>0</v>
      </c>
      <c r="J405" s="126">
        <v>0</v>
      </c>
      <c r="K405" s="126">
        <v>0</v>
      </c>
      <c r="L405" s="126">
        <v>16</v>
      </c>
      <c r="M405" s="126">
        <v>0</v>
      </c>
      <c r="N405" s="126">
        <v>0</v>
      </c>
      <c r="O405" s="126">
        <v>0</v>
      </c>
      <c r="P405" s="126">
        <v>0</v>
      </c>
      <c r="Q405" s="126">
        <v>0</v>
      </c>
    </row>
    <row r="406" spans="3:17" ht="23.1" customHeight="1">
      <c r="C406" s="126">
        <v>56</v>
      </c>
      <c r="D406" s="141" t="s">
        <v>1203</v>
      </c>
      <c r="E406" s="159" t="s">
        <v>1204</v>
      </c>
      <c r="F406" s="131">
        <v>1</v>
      </c>
      <c r="G406" s="131">
        <v>1</v>
      </c>
      <c r="H406" s="161">
        <v>46176</v>
      </c>
      <c r="I406" s="126">
        <v>0</v>
      </c>
      <c r="J406" s="126">
        <v>0</v>
      </c>
      <c r="K406" s="126">
        <v>0</v>
      </c>
      <c r="L406" s="126">
        <v>14</v>
      </c>
      <c r="M406" s="126">
        <v>0</v>
      </c>
      <c r="N406" s="126">
        <v>0</v>
      </c>
      <c r="O406" s="126">
        <v>0</v>
      </c>
      <c r="P406" s="126">
        <v>0</v>
      </c>
      <c r="Q406" s="126">
        <v>0</v>
      </c>
    </row>
    <row r="407" spans="3:17" ht="23.1" customHeight="1">
      <c r="C407" s="126">
        <v>61</v>
      </c>
      <c r="D407" s="141" t="s">
        <v>1924</v>
      </c>
      <c r="E407" s="159" t="s">
        <v>1925</v>
      </c>
      <c r="F407" s="131">
        <v>1</v>
      </c>
      <c r="G407" s="131">
        <v>1</v>
      </c>
      <c r="H407" s="161">
        <v>46176</v>
      </c>
      <c r="I407" s="126">
        <v>0</v>
      </c>
      <c r="J407" s="126">
        <v>0</v>
      </c>
      <c r="K407" s="126">
        <v>0</v>
      </c>
      <c r="L407" s="126">
        <v>2</v>
      </c>
      <c r="M407" s="126">
        <v>0</v>
      </c>
      <c r="N407" s="126">
        <v>0</v>
      </c>
      <c r="O407" s="126">
        <v>0</v>
      </c>
      <c r="P407" s="126">
        <v>0</v>
      </c>
      <c r="Q407" s="126">
        <v>0</v>
      </c>
    </row>
    <row r="408" spans="3:17" ht="23.1" customHeight="1">
      <c r="C408" s="126">
        <v>63</v>
      </c>
      <c r="D408" s="141" t="s">
        <v>1037</v>
      </c>
      <c r="E408" s="159" t="s">
        <v>1038</v>
      </c>
      <c r="F408" s="131">
        <v>1</v>
      </c>
      <c r="G408" s="131">
        <v>1</v>
      </c>
      <c r="H408" s="161">
        <v>46176</v>
      </c>
      <c r="I408" s="126">
        <v>0</v>
      </c>
      <c r="J408" s="126">
        <v>0</v>
      </c>
      <c r="K408" s="126">
        <v>0</v>
      </c>
      <c r="L408" s="126">
        <v>12</v>
      </c>
      <c r="M408" s="126">
        <v>0</v>
      </c>
      <c r="N408" s="126">
        <v>0</v>
      </c>
      <c r="O408" s="126">
        <v>0</v>
      </c>
      <c r="P408" s="126">
        <v>0</v>
      </c>
      <c r="Q408" s="126">
        <v>0</v>
      </c>
    </row>
    <row r="409" spans="3:17" ht="23.1" customHeight="1">
      <c r="C409" s="126">
        <v>64</v>
      </c>
      <c r="D409" s="141" t="s">
        <v>1221</v>
      </c>
      <c r="E409" s="159" t="s">
        <v>1222</v>
      </c>
      <c r="F409" s="131">
        <v>1</v>
      </c>
      <c r="G409" s="131">
        <v>1</v>
      </c>
      <c r="H409" s="161">
        <v>46176</v>
      </c>
      <c r="I409" s="126">
        <v>0</v>
      </c>
      <c r="J409" s="126">
        <v>0</v>
      </c>
      <c r="K409" s="126">
        <v>0</v>
      </c>
      <c r="L409" s="126">
        <v>2</v>
      </c>
      <c r="M409" s="126">
        <v>0</v>
      </c>
      <c r="N409" s="126">
        <v>0</v>
      </c>
      <c r="O409" s="126">
        <v>0</v>
      </c>
      <c r="P409" s="126">
        <v>0</v>
      </c>
      <c r="Q409" s="126">
        <v>0</v>
      </c>
    </row>
    <row r="410" spans="3:17" ht="23.1" customHeight="1">
      <c r="C410" s="126">
        <v>66</v>
      </c>
      <c r="D410" s="141" t="s">
        <v>1216</v>
      </c>
      <c r="E410" s="159" t="s">
        <v>1217</v>
      </c>
      <c r="F410" s="131">
        <v>1</v>
      </c>
      <c r="G410" s="131">
        <v>1</v>
      </c>
      <c r="H410" s="161">
        <v>46176</v>
      </c>
      <c r="I410" s="126">
        <v>0</v>
      </c>
      <c r="J410" s="126">
        <v>0</v>
      </c>
      <c r="K410" s="126">
        <v>0</v>
      </c>
      <c r="L410" s="126">
        <v>12</v>
      </c>
      <c r="M410" s="126">
        <v>0</v>
      </c>
      <c r="N410" s="126">
        <v>0</v>
      </c>
      <c r="O410" s="126">
        <v>0</v>
      </c>
      <c r="P410" s="126">
        <v>0</v>
      </c>
      <c r="Q410" s="126">
        <v>0</v>
      </c>
    </row>
    <row r="411" spans="3:17" ht="23.1" customHeight="1">
      <c r="C411" s="126">
        <v>68</v>
      </c>
      <c r="D411" s="141" t="s">
        <v>1242</v>
      </c>
      <c r="E411" s="159" t="s">
        <v>1243</v>
      </c>
      <c r="F411" s="131">
        <v>1</v>
      </c>
      <c r="G411" s="131">
        <v>1</v>
      </c>
      <c r="H411" s="161">
        <v>46176</v>
      </c>
      <c r="I411" s="126">
        <v>0</v>
      </c>
      <c r="J411" s="126">
        <v>0</v>
      </c>
      <c r="K411" s="126">
        <v>0</v>
      </c>
      <c r="L411" s="126">
        <v>12</v>
      </c>
      <c r="M411" s="126">
        <v>0</v>
      </c>
      <c r="N411" s="126">
        <v>0</v>
      </c>
      <c r="O411" s="126">
        <v>0</v>
      </c>
      <c r="P411" s="126">
        <v>0</v>
      </c>
      <c r="Q411" s="126">
        <v>0</v>
      </c>
    </row>
    <row r="412" spans="3:17" ht="23.1" customHeight="1">
      <c r="C412" s="126">
        <v>69</v>
      </c>
      <c r="D412" s="141" t="s">
        <v>1234</v>
      </c>
      <c r="E412" s="159" t="s">
        <v>1235</v>
      </c>
      <c r="F412" s="131">
        <v>1</v>
      </c>
      <c r="G412" s="131">
        <v>1</v>
      </c>
      <c r="H412" s="161">
        <v>46176</v>
      </c>
      <c r="I412" s="126">
        <v>0</v>
      </c>
      <c r="J412" s="126">
        <v>0</v>
      </c>
      <c r="K412" s="126">
        <v>0</v>
      </c>
      <c r="L412" s="126">
        <v>14</v>
      </c>
      <c r="M412" s="126">
        <v>0</v>
      </c>
      <c r="N412" s="126">
        <v>0</v>
      </c>
      <c r="O412" s="126">
        <v>0</v>
      </c>
      <c r="P412" s="126">
        <v>0</v>
      </c>
      <c r="Q412" s="126">
        <v>0</v>
      </c>
    </row>
    <row r="413" spans="3:17" ht="23.1" customHeight="1">
      <c r="C413" s="126">
        <v>70</v>
      </c>
      <c r="D413" s="141" t="s">
        <v>906</v>
      </c>
      <c r="E413" s="159" t="s">
        <v>907</v>
      </c>
      <c r="F413" s="131">
        <v>1</v>
      </c>
      <c r="G413" s="131">
        <v>1</v>
      </c>
      <c r="H413" s="161">
        <v>46176</v>
      </c>
      <c r="I413" s="126">
        <v>0</v>
      </c>
      <c r="J413" s="126">
        <v>0</v>
      </c>
      <c r="K413" s="126">
        <v>0</v>
      </c>
      <c r="L413" s="126">
        <v>8</v>
      </c>
      <c r="M413" s="126">
        <v>0</v>
      </c>
      <c r="N413" s="126">
        <v>0</v>
      </c>
      <c r="O413" s="126">
        <v>0</v>
      </c>
      <c r="P413" s="126">
        <v>0</v>
      </c>
      <c r="Q413" s="126">
        <v>0</v>
      </c>
    </row>
    <row r="414" spans="3:17" ht="23.1" customHeight="1">
      <c r="C414" s="126">
        <v>71</v>
      </c>
      <c r="D414" s="141" t="s">
        <v>2010</v>
      </c>
      <c r="E414" s="159" t="s">
        <v>2011</v>
      </c>
      <c r="F414" s="131">
        <v>1</v>
      </c>
      <c r="G414" s="131">
        <v>1</v>
      </c>
      <c r="H414" s="161">
        <v>46176</v>
      </c>
      <c r="I414" s="126">
        <v>0</v>
      </c>
      <c r="J414" s="126">
        <v>0</v>
      </c>
      <c r="K414" s="126">
        <v>0</v>
      </c>
      <c r="L414" s="126">
        <v>4</v>
      </c>
      <c r="M414" s="126">
        <v>0</v>
      </c>
      <c r="N414" s="126">
        <v>0</v>
      </c>
      <c r="O414" s="126">
        <v>0</v>
      </c>
      <c r="P414" s="126">
        <v>0</v>
      </c>
      <c r="Q414" s="126">
        <v>0</v>
      </c>
    </row>
    <row r="415" spans="3:17" ht="23.1" customHeight="1">
      <c r="C415" s="126">
        <v>73</v>
      </c>
      <c r="D415" s="141" t="s">
        <v>1303</v>
      </c>
      <c r="E415" s="159" t="s">
        <v>1304</v>
      </c>
      <c r="F415" s="131">
        <v>1</v>
      </c>
      <c r="G415" s="131">
        <v>1</v>
      </c>
      <c r="H415" s="161">
        <v>46176</v>
      </c>
      <c r="I415" s="126">
        <v>0</v>
      </c>
      <c r="J415" s="126">
        <v>0</v>
      </c>
      <c r="K415" s="126">
        <v>0</v>
      </c>
      <c r="L415" s="126">
        <v>2</v>
      </c>
      <c r="M415" s="126">
        <v>0</v>
      </c>
      <c r="N415" s="126">
        <v>0</v>
      </c>
      <c r="O415" s="126">
        <v>0</v>
      </c>
      <c r="P415" s="126">
        <v>0</v>
      </c>
      <c r="Q415" s="126">
        <v>0</v>
      </c>
    </row>
    <row r="416" spans="3:17" ht="23.1" customHeight="1">
      <c r="C416" s="126">
        <v>74</v>
      </c>
      <c r="D416" s="141" t="s">
        <v>1367</v>
      </c>
      <c r="E416" s="159" t="s">
        <v>1368</v>
      </c>
      <c r="F416" s="131">
        <v>1</v>
      </c>
      <c r="G416" s="131">
        <v>1</v>
      </c>
      <c r="H416" s="161">
        <v>46176</v>
      </c>
      <c r="I416" s="126">
        <v>0</v>
      </c>
      <c r="J416" s="126">
        <v>0</v>
      </c>
      <c r="K416" s="126">
        <v>0</v>
      </c>
      <c r="L416" s="126">
        <v>12</v>
      </c>
      <c r="M416" s="126">
        <v>0</v>
      </c>
      <c r="N416" s="126">
        <v>0</v>
      </c>
      <c r="O416" s="126">
        <v>0</v>
      </c>
      <c r="P416" s="126">
        <v>0</v>
      </c>
      <c r="Q416" s="126">
        <v>0</v>
      </c>
    </row>
    <row r="417" spans="3:17" ht="23.1" customHeight="1">
      <c r="C417" s="126">
        <v>75</v>
      </c>
      <c r="D417" s="141" t="s">
        <v>1381</v>
      </c>
      <c r="E417" s="159" t="s">
        <v>1382</v>
      </c>
      <c r="F417" s="131">
        <v>1</v>
      </c>
      <c r="G417" s="131">
        <v>1</v>
      </c>
      <c r="H417" s="161">
        <v>46176</v>
      </c>
      <c r="I417" s="126">
        <v>0</v>
      </c>
      <c r="J417" s="126">
        <v>0</v>
      </c>
      <c r="K417" s="126">
        <v>0</v>
      </c>
      <c r="L417" s="126">
        <v>8</v>
      </c>
      <c r="M417" s="126">
        <v>0</v>
      </c>
      <c r="N417" s="126">
        <v>0</v>
      </c>
      <c r="O417" s="126">
        <v>0</v>
      </c>
      <c r="P417" s="126">
        <v>0</v>
      </c>
      <c r="Q417" s="126">
        <v>0</v>
      </c>
    </row>
    <row r="418" spans="3:17" ht="23.1" customHeight="1">
      <c r="C418" s="126">
        <v>76</v>
      </c>
      <c r="D418" s="141" t="s">
        <v>1133</v>
      </c>
      <c r="E418" s="159" t="s">
        <v>1134</v>
      </c>
      <c r="F418" s="131">
        <v>1</v>
      </c>
      <c r="G418" s="131">
        <v>1</v>
      </c>
      <c r="H418" s="161">
        <v>46176</v>
      </c>
      <c r="I418" s="126">
        <v>0</v>
      </c>
      <c r="J418" s="126">
        <v>0</v>
      </c>
      <c r="K418" s="126">
        <v>0</v>
      </c>
      <c r="L418" s="126">
        <v>12</v>
      </c>
      <c r="M418" s="126">
        <v>0</v>
      </c>
      <c r="N418" s="126">
        <v>0</v>
      </c>
      <c r="O418" s="126">
        <v>0</v>
      </c>
      <c r="P418" s="126">
        <v>0</v>
      </c>
      <c r="Q418" s="126">
        <v>0</v>
      </c>
    </row>
    <row r="419" spans="3:17" ht="23.1" customHeight="1">
      <c r="C419" s="126">
        <v>77</v>
      </c>
      <c r="D419" s="141" t="s">
        <v>2033</v>
      </c>
      <c r="E419" s="159" t="s">
        <v>2034</v>
      </c>
      <c r="F419" s="131">
        <v>1</v>
      </c>
      <c r="G419" s="131">
        <v>1</v>
      </c>
      <c r="H419" s="161">
        <v>46176</v>
      </c>
      <c r="I419" s="126">
        <v>0</v>
      </c>
      <c r="J419" s="126">
        <v>0</v>
      </c>
      <c r="K419" s="126">
        <v>0</v>
      </c>
      <c r="L419" s="126">
        <v>100</v>
      </c>
      <c r="M419" s="126">
        <v>0</v>
      </c>
      <c r="N419" s="126">
        <v>0</v>
      </c>
      <c r="O419" s="126">
        <v>0</v>
      </c>
      <c r="P419" s="126">
        <v>0</v>
      </c>
      <c r="Q419" s="126">
        <v>0</v>
      </c>
    </row>
    <row r="420" spans="3:17" ht="23.1" customHeight="1">
      <c r="C420" s="126">
        <v>79</v>
      </c>
      <c r="D420" s="141" t="s">
        <v>2027</v>
      </c>
      <c r="E420" s="159" t="s">
        <v>2028</v>
      </c>
      <c r="F420" s="131">
        <v>1</v>
      </c>
      <c r="G420" s="131">
        <v>1</v>
      </c>
      <c r="H420" s="161">
        <v>46176</v>
      </c>
      <c r="I420" s="126">
        <v>0</v>
      </c>
      <c r="J420" s="126">
        <v>0</v>
      </c>
      <c r="K420" s="126">
        <v>0</v>
      </c>
      <c r="L420" s="126">
        <v>100</v>
      </c>
      <c r="M420" s="126">
        <v>0</v>
      </c>
      <c r="N420" s="126">
        <v>0</v>
      </c>
      <c r="O420" s="126">
        <v>0</v>
      </c>
      <c r="P420" s="126">
        <v>0</v>
      </c>
      <c r="Q420" s="126">
        <v>0</v>
      </c>
    </row>
    <row r="421" spans="3:17" ht="23.1" customHeight="1">
      <c r="C421" s="126">
        <v>90</v>
      </c>
      <c r="D421" s="141" t="s">
        <v>1139</v>
      </c>
      <c r="E421" s="159" t="s">
        <v>1140</v>
      </c>
      <c r="F421" s="131">
        <v>1</v>
      </c>
      <c r="G421" s="131">
        <v>1</v>
      </c>
      <c r="H421" s="161">
        <v>46176</v>
      </c>
      <c r="I421" s="126">
        <v>0</v>
      </c>
      <c r="J421" s="126">
        <v>0</v>
      </c>
      <c r="K421" s="126">
        <v>0</v>
      </c>
      <c r="L421" s="126">
        <v>16</v>
      </c>
      <c r="M421" s="126">
        <v>0</v>
      </c>
      <c r="N421" s="126">
        <v>0</v>
      </c>
      <c r="O421" s="126">
        <v>0</v>
      </c>
      <c r="P421" s="126">
        <v>0</v>
      </c>
      <c r="Q421" s="126">
        <v>0</v>
      </c>
    </row>
    <row r="422" spans="3:17" ht="23.1" customHeight="1">
      <c r="C422" s="126">
        <v>92</v>
      </c>
      <c r="D422" s="141" t="s">
        <v>1313</v>
      </c>
      <c r="E422" s="159" t="s">
        <v>1314</v>
      </c>
      <c r="F422" s="131">
        <v>1</v>
      </c>
      <c r="G422" s="131">
        <v>1</v>
      </c>
      <c r="H422" s="161">
        <v>46176</v>
      </c>
      <c r="I422" s="126">
        <v>0</v>
      </c>
      <c r="J422" s="126">
        <v>0</v>
      </c>
      <c r="K422" s="126">
        <v>0</v>
      </c>
      <c r="L422" s="126">
        <v>40</v>
      </c>
      <c r="M422" s="126">
        <v>0</v>
      </c>
      <c r="N422" s="126">
        <v>0</v>
      </c>
      <c r="O422" s="126">
        <v>0</v>
      </c>
      <c r="P422" s="126">
        <v>0</v>
      </c>
      <c r="Q422" s="126">
        <v>0</v>
      </c>
    </row>
    <row r="423" spans="3:17" ht="23.1" customHeight="1">
      <c r="C423" s="126">
        <v>94</v>
      </c>
      <c r="D423" s="141" t="s">
        <v>1323</v>
      </c>
      <c r="E423" s="159" t="s">
        <v>1324</v>
      </c>
      <c r="F423" s="131">
        <v>1</v>
      </c>
      <c r="G423" s="131">
        <v>1</v>
      </c>
      <c r="H423" s="161">
        <v>46176</v>
      </c>
      <c r="I423" s="126">
        <v>0</v>
      </c>
      <c r="J423" s="126">
        <v>0</v>
      </c>
      <c r="K423" s="126">
        <v>0</v>
      </c>
      <c r="L423" s="126">
        <v>82</v>
      </c>
      <c r="M423" s="126">
        <v>0</v>
      </c>
      <c r="N423" s="126">
        <v>0</v>
      </c>
      <c r="O423" s="126">
        <v>0</v>
      </c>
      <c r="P423" s="126">
        <v>0</v>
      </c>
      <c r="Q423" s="126">
        <v>0</v>
      </c>
    </row>
    <row r="424" spans="3:17" ht="23.1" customHeight="1">
      <c r="C424" s="126">
        <v>96</v>
      </c>
      <c r="D424" s="141" t="s">
        <v>632</v>
      </c>
      <c r="E424" s="159" t="s">
        <v>633</v>
      </c>
      <c r="F424" s="131">
        <v>1</v>
      </c>
      <c r="G424" s="131">
        <v>1</v>
      </c>
      <c r="H424" s="161">
        <v>46176</v>
      </c>
      <c r="I424" s="126">
        <v>0</v>
      </c>
      <c r="J424" s="126">
        <v>0</v>
      </c>
      <c r="K424" s="126">
        <v>0</v>
      </c>
      <c r="L424" s="126">
        <v>34</v>
      </c>
      <c r="M424" s="126">
        <v>0</v>
      </c>
      <c r="N424" s="126">
        <v>0</v>
      </c>
      <c r="O424" s="126">
        <v>0</v>
      </c>
      <c r="P424" s="126">
        <v>0</v>
      </c>
      <c r="Q424" s="126">
        <v>0</v>
      </c>
    </row>
    <row r="425" spans="3:17" ht="23.1" customHeight="1">
      <c r="C425" s="126">
        <v>97</v>
      </c>
      <c r="D425" s="141" t="s">
        <v>637</v>
      </c>
      <c r="E425" s="159" t="s">
        <v>638</v>
      </c>
      <c r="F425" s="131">
        <v>1</v>
      </c>
      <c r="G425" s="131">
        <v>1</v>
      </c>
      <c r="H425" s="161">
        <v>46176</v>
      </c>
      <c r="I425" s="126">
        <v>0</v>
      </c>
      <c r="J425" s="126">
        <v>0</v>
      </c>
      <c r="K425" s="126">
        <v>0</v>
      </c>
      <c r="L425" s="126">
        <v>8</v>
      </c>
      <c r="M425" s="126">
        <v>0</v>
      </c>
      <c r="N425" s="126">
        <v>0</v>
      </c>
      <c r="O425" s="126">
        <v>0</v>
      </c>
      <c r="P425" s="126">
        <v>0</v>
      </c>
      <c r="Q425" s="126">
        <v>0</v>
      </c>
    </row>
    <row r="426" spans="3:17" ht="23.1" customHeight="1">
      <c r="C426" s="126">
        <v>99</v>
      </c>
      <c r="D426" s="141" t="s">
        <v>883</v>
      </c>
      <c r="E426" s="159" t="s">
        <v>884</v>
      </c>
      <c r="F426" s="131">
        <v>1</v>
      </c>
      <c r="G426" s="131">
        <v>1</v>
      </c>
      <c r="H426" s="161">
        <v>46176</v>
      </c>
      <c r="I426" s="126">
        <v>0</v>
      </c>
      <c r="J426" s="126">
        <v>0</v>
      </c>
      <c r="K426" s="126">
        <v>0</v>
      </c>
      <c r="L426" s="126">
        <v>10</v>
      </c>
      <c r="M426" s="126">
        <v>0</v>
      </c>
      <c r="N426" s="126">
        <v>0</v>
      </c>
      <c r="O426" s="126">
        <v>0</v>
      </c>
      <c r="P426" s="126">
        <v>0</v>
      </c>
      <c r="Q426" s="126">
        <v>0</v>
      </c>
    </row>
    <row r="427" spans="3:17" ht="23.1" customHeight="1">
      <c r="C427" s="126">
        <v>103</v>
      </c>
      <c r="D427" s="141" t="s">
        <v>1024</v>
      </c>
      <c r="E427" s="159" t="s">
        <v>1025</v>
      </c>
      <c r="F427" s="131">
        <v>1</v>
      </c>
      <c r="G427" s="131">
        <v>1</v>
      </c>
      <c r="H427" s="161">
        <v>46176</v>
      </c>
      <c r="I427" s="126">
        <v>0</v>
      </c>
      <c r="J427" s="126">
        <v>0</v>
      </c>
      <c r="K427" s="126">
        <v>0</v>
      </c>
      <c r="L427" s="126">
        <v>6</v>
      </c>
      <c r="M427" s="126">
        <v>0</v>
      </c>
      <c r="N427" s="126">
        <v>0</v>
      </c>
      <c r="O427" s="126">
        <v>0</v>
      </c>
      <c r="P427" s="126">
        <v>0</v>
      </c>
      <c r="Q427" s="126">
        <v>0</v>
      </c>
    </row>
    <row r="428" spans="3:17" ht="23.1" customHeight="1">
      <c r="C428" s="126">
        <v>105</v>
      </c>
      <c r="D428" s="141" t="s">
        <v>591</v>
      </c>
      <c r="E428" s="159" t="s">
        <v>592</v>
      </c>
      <c r="F428" s="131">
        <v>1</v>
      </c>
      <c r="G428" s="131">
        <v>1</v>
      </c>
      <c r="H428" s="161">
        <v>46176</v>
      </c>
      <c r="I428" s="126">
        <v>0</v>
      </c>
      <c r="J428" s="126">
        <v>0</v>
      </c>
      <c r="K428" s="126">
        <v>0</v>
      </c>
      <c r="L428" s="126">
        <v>4</v>
      </c>
      <c r="M428" s="126">
        <v>0</v>
      </c>
      <c r="N428" s="126">
        <v>0</v>
      </c>
      <c r="O428" s="126">
        <v>0</v>
      </c>
      <c r="P428" s="126">
        <v>0</v>
      </c>
      <c r="Q428" s="126">
        <v>0</v>
      </c>
    </row>
    <row r="429" spans="3:17" ht="23.1" customHeight="1">
      <c r="C429" s="126">
        <v>108</v>
      </c>
      <c r="D429" s="141" t="s">
        <v>1009</v>
      </c>
      <c r="E429" s="159" t="s">
        <v>1010</v>
      </c>
      <c r="F429" s="131">
        <v>1</v>
      </c>
      <c r="G429" s="131">
        <v>1</v>
      </c>
      <c r="H429" s="161">
        <v>46176</v>
      </c>
      <c r="I429" s="126">
        <v>0</v>
      </c>
      <c r="J429" s="126">
        <v>0</v>
      </c>
      <c r="K429" s="126">
        <v>0</v>
      </c>
      <c r="L429" s="126">
        <v>44</v>
      </c>
      <c r="M429" s="126">
        <v>0</v>
      </c>
      <c r="N429" s="126">
        <v>0</v>
      </c>
      <c r="O429" s="126">
        <v>0</v>
      </c>
      <c r="P429" s="126">
        <v>0</v>
      </c>
      <c r="Q429" s="126">
        <v>0</v>
      </c>
    </row>
    <row r="430" spans="3:17" ht="23.1" customHeight="1">
      <c r="C430" s="126">
        <v>112</v>
      </c>
      <c r="D430" s="141" t="s">
        <v>2067</v>
      </c>
      <c r="E430" s="159" t="s">
        <v>2068</v>
      </c>
      <c r="F430" s="131">
        <v>1</v>
      </c>
      <c r="G430" s="131">
        <v>1</v>
      </c>
      <c r="H430" s="161">
        <v>46176</v>
      </c>
      <c r="I430" s="126">
        <v>0</v>
      </c>
      <c r="J430" s="126">
        <v>0</v>
      </c>
      <c r="K430" s="126">
        <v>0</v>
      </c>
      <c r="L430" s="126">
        <v>2</v>
      </c>
      <c r="M430" s="126">
        <v>0</v>
      </c>
      <c r="N430" s="126">
        <v>0</v>
      </c>
      <c r="O430" s="126">
        <v>0</v>
      </c>
      <c r="P430" s="126">
        <v>0</v>
      </c>
      <c r="Q430" s="126">
        <v>0</v>
      </c>
    </row>
    <row r="431" spans="3:17" ht="23.1" customHeight="1">
      <c r="C431" s="126">
        <v>131</v>
      </c>
      <c r="D431" s="141" t="s">
        <v>1155</v>
      </c>
      <c r="E431" s="159" t="s">
        <v>1156</v>
      </c>
      <c r="F431" s="131">
        <v>1</v>
      </c>
      <c r="G431" s="131">
        <v>1</v>
      </c>
      <c r="H431" s="161">
        <v>46179</v>
      </c>
      <c r="I431" s="126">
        <v>0</v>
      </c>
      <c r="J431" s="126">
        <v>0</v>
      </c>
      <c r="K431" s="126">
        <v>0</v>
      </c>
      <c r="L431" s="126">
        <v>2</v>
      </c>
      <c r="M431" s="126">
        <v>0</v>
      </c>
      <c r="N431" s="126">
        <v>0</v>
      </c>
      <c r="O431" s="126">
        <v>0</v>
      </c>
      <c r="P431" s="126">
        <v>0</v>
      </c>
      <c r="Q431" s="126">
        <v>0</v>
      </c>
    </row>
    <row r="432" spans="3:17" ht="23.1" customHeight="1">
      <c r="C432" s="126">
        <v>136</v>
      </c>
      <c r="D432" s="141" t="s">
        <v>2122</v>
      </c>
      <c r="E432" s="159" t="s">
        <v>2123</v>
      </c>
      <c r="F432" s="131">
        <v>1</v>
      </c>
      <c r="G432" s="131">
        <v>1</v>
      </c>
      <c r="H432" s="161">
        <v>46179</v>
      </c>
      <c r="I432" s="126">
        <v>0</v>
      </c>
      <c r="J432" s="126">
        <v>0</v>
      </c>
      <c r="K432" s="126">
        <v>0</v>
      </c>
      <c r="L432" s="126">
        <v>4</v>
      </c>
      <c r="M432" s="126">
        <v>0</v>
      </c>
      <c r="N432" s="126">
        <v>0</v>
      </c>
      <c r="O432" s="126">
        <v>0</v>
      </c>
      <c r="P432" s="126">
        <v>0</v>
      </c>
      <c r="Q432" s="126">
        <v>0</v>
      </c>
    </row>
    <row r="433" spans="3:17" ht="23.1" customHeight="1">
      <c r="C433" s="126">
        <v>142</v>
      </c>
      <c r="D433" s="141" t="s">
        <v>798</v>
      </c>
      <c r="E433" s="159" t="s">
        <v>799</v>
      </c>
      <c r="F433" s="131">
        <v>1</v>
      </c>
      <c r="G433" s="131">
        <v>1</v>
      </c>
      <c r="H433" s="161">
        <v>46179</v>
      </c>
      <c r="I433" s="126">
        <v>0</v>
      </c>
      <c r="J433" s="126">
        <v>0</v>
      </c>
      <c r="K433" s="126">
        <v>0</v>
      </c>
      <c r="L433" s="126">
        <v>14</v>
      </c>
      <c r="M433" s="126">
        <v>0</v>
      </c>
      <c r="N433" s="126">
        <v>0</v>
      </c>
      <c r="O433" s="126">
        <v>0</v>
      </c>
      <c r="P433" s="126">
        <v>0</v>
      </c>
      <c r="Q433" s="126">
        <v>0</v>
      </c>
    </row>
    <row r="434" spans="3:17" ht="23.1" customHeight="1">
      <c r="C434" s="126">
        <v>144</v>
      </c>
      <c r="D434" s="141" t="s">
        <v>996</v>
      </c>
      <c r="E434" s="159" t="s">
        <v>997</v>
      </c>
      <c r="F434" s="131">
        <v>1</v>
      </c>
      <c r="G434" s="131">
        <v>1</v>
      </c>
      <c r="H434" s="161">
        <v>46179</v>
      </c>
      <c r="I434" s="126">
        <v>0</v>
      </c>
      <c r="J434" s="126">
        <v>0</v>
      </c>
      <c r="K434" s="126">
        <v>0</v>
      </c>
      <c r="L434" s="126">
        <v>30</v>
      </c>
      <c r="M434" s="126">
        <v>0</v>
      </c>
      <c r="N434" s="126">
        <v>0</v>
      </c>
      <c r="O434" s="126">
        <v>0</v>
      </c>
      <c r="P434" s="126">
        <v>0</v>
      </c>
      <c r="Q434" s="126">
        <v>0</v>
      </c>
    </row>
    <row r="435" spans="3:17" ht="23.1" customHeight="1">
      <c r="C435" s="126">
        <v>145</v>
      </c>
      <c r="D435" s="141" t="s">
        <v>823</v>
      </c>
      <c r="E435" s="159" t="s">
        <v>824</v>
      </c>
      <c r="F435" s="131">
        <v>1</v>
      </c>
      <c r="G435" s="131">
        <v>1</v>
      </c>
      <c r="H435" s="161">
        <v>46179</v>
      </c>
      <c r="I435" s="126">
        <v>0</v>
      </c>
      <c r="J435" s="126">
        <v>0</v>
      </c>
      <c r="K435" s="126">
        <v>0</v>
      </c>
      <c r="L435" s="126">
        <v>20</v>
      </c>
      <c r="M435" s="126">
        <v>0</v>
      </c>
      <c r="N435" s="126">
        <v>0</v>
      </c>
      <c r="O435" s="126">
        <v>0</v>
      </c>
      <c r="P435" s="126">
        <v>0</v>
      </c>
      <c r="Q435" s="126">
        <v>0</v>
      </c>
    </row>
    <row r="436" spans="3:17" ht="23.1" customHeight="1">
      <c r="C436" s="126">
        <v>146</v>
      </c>
      <c r="D436" s="141" t="s">
        <v>1929</v>
      </c>
      <c r="E436" s="159" t="s">
        <v>1930</v>
      </c>
      <c r="F436" s="131">
        <v>1</v>
      </c>
      <c r="G436" s="131">
        <v>1</v>
      </c>
      <c r="H436" s="161">
        <v>46179</v>
      </c>
      <c r="I436" s="126">
        <v>0</v>
      </c>
      <c r="J436" s="126">
        <v>0</v>
      </c>
      <c r="K436" s="126">
        <v>0</v>
      </c>
      <c r="L436" s="126">
        <v>10</v>
      </c>
      <c r="M436" s="126">
        <v>0</v>
      </c>
      <c r="N436" s="126">
        <v>0</v>
      </c>
      <c r="O436" s="126">
        <v>0</v>
      </c>
      <c r="P436" s="126">
        <v>0</v>
      </c>
      <c r="Q436" s="126">
        <v>0</v>
      </c>
    </row>
    <row r="437" spans="3:17" ht="23.1" customHeight="1">
      <c r="C437" s="126">
        <v>150</v>
      </c>
      <c r="D437" s="141" t="s">
        <v>1405</v>
      </c>
      <c r="E437" s="159" t="s">
        <v>1406</v>
      </c>
      <c r="F437" s="131">
        <v>1</v>
      </c>
      <c r="G437" s="131">
        <v>1</v>
      </c>
      <c r="H437" s="161">
        <v>46179</v>
      </c>
      <c r="I437" s="126">
        <v>0</v>
      </c>
      <c r="J437" s="126">
        <v>0</v>
      </c>
      <c r="K437" s="126">
        <v>0</v>
      </c>
      <c r="L437" s="126">
        <v>88</v>
      </c>
      <c r="M437" s="126">
        <v>0</v>
      </c>
      <c r="N437" s="126">
        <v>0</v>
      </c>
      <c r="O437" s="126">
        <v>0</v>
      </c>
      <c r="P437" s="126">
        <v>0</v>
      </c>
      <c r="Q437" s="126">
        <v>0</v>
      </c>
    </row>
    <row r="438" spans="3:17" ht="23.1" customHeight="1">
      <c r="C438" s="126">
        <v>153</v>
      </c>
      <c r="D438" s="141" t="s">
        <v>554</v>
      </c>
      <c r="E438" s="159" t="s">
        <v>2218</v>
      </c>
      <c r="F438" s="131">
        <v>1</v>
      </c>
      <c r="G438" s="131">
        <v>1</v>
      </c>
      <c r="H438" s="161">
        <v>46179</v>
      </c>
      <c r="I438" s="126">
        <v>0</v>
      </c>
      <c r="J438" s="126">
        <v>0</v>
      </c>
      <c r="K438" s="126">
        <v>0</v>
      </c>
      <c r="L438" s="126">
        <v>14</v>
      </c>
      <c r="M438" s="126">
        <v>0</v>
      </c>
      <c r="N438" s="126">
        <v>0</v>
      </c>
      <c r="O438" s="126">
        <v>0</v>
      </c>
      <c r="P438" s="126">
        <v>0</v>
      </c>
      <c r="Q438" s="126">
        <v>0</v>
      </c>
    </row>
    <row r="439" spans="3:17" ht="23.1" customHeight="1">
      <c r="C439" s="126">
        <v>156</v>
      </c>
      <c r="D439" s="141" t="s">
        <v>735</v>
      </c>
      <c r="E439" s="159" t="s">
        <v>2220</v>
      </c>
      <c r="F439" s="131">
        <v>1</v>
      </c>
      <c r="G439" s="131">
        <v>1</v>
      </c>
      <c r="H439" s="161">
        <v>46179</v>
      </c>
      <c r="I439" s="126">
        <v>0</v>
      </c>
      <c r="J439" s="126">
        <v>0</v>
      </c>
      <c r="K439" s="126">
        <v>0</v>
      </c>
      <c r="L439" s="126">
        <v>4</v>
      </c>
      <c r="M439" s="126">
        <v>0</v>
      </c>
      <c r="N439" s="126">
        <v>0</v>
      </c>
      <c r="O439" s="126">
        <v>0</v>
      </c>
      <c r="P439" s="126">
        <v>0</v>
      </c>
      <c r="Q439" s="126">
        <v>0</v>
      </c>
    </row>
    <row r="440" spans="3:17" ht="23.1" customHeight="1">
      <c r="C440" s="126">
        <v>158</v>
      </c>
      <c r="D440" s="141" t="s">
        <v>1702</v>
      </c>
      <c r="E440" s="159" t="s">
        <v>2222</v>
      </c>
      <c r="F440" s="131">
        <v>1</v>
      </c>
      <c r="G440" s="131">
        <v>1</v>
      </c>
      <c r="H440" s="161">
        <v>46179</v>
      </c>
      <c r="I440" s="126">
        <v>0</v>
      </c>
      <c r="J440" s="126">
        <v>0</v>
      </c>
      <c r="K440" s="126">
        <v>0</v>
      </c>
      <c r="L440" s="126">
        <v>2</v>
      </c>
      <c r="M440" s="126">
        <v>0</v>
      </c>
      <c r="N440" s="126">
        <v>0</v>
      </c>
      <c r="O440" s="126">
        <v>0</v>
      </c>
      <c r="P440" s="126">
        <v>0</v>
      </c>
      <c r="Q440" s="126">
        <v>0</v>
      </c>
    </row>
    <row r="441" spans="3:17" ht="23.1" customHeight="1">
      <c r="C441" s="126">
        <v>160</v>
      </c>
      <c r="D441" s="141" t="s">
        <v>738</v>
      </c>
      <c r="E441" s="159" t="s">
        <v>2224</v>
      </c>
      <c r="F441" s="131">
        <v>1</v>
      </c>
      <c r="G441" s="131">
        <v>1</v>
      </c>
      <c r="H441" s="161">
        <v>46179</v>
      </c>
      <c r="I441" s="126">
        <v>0</v>
      </c>
      <c r="J441" s="126">
        <v>0</v>
      </c>
      <c r="K441" s="126">
        <v>0</v>
      </c>
      <c r="L441" s="126">
        <v>8</v>
      </c>
      <c r="M441" s="126">
        <v>0</v>
      </c>
      <c r="N441" s="126">
        <v>0</v>
      </c>
      <c r="O441" s="126">
        <v>0</v>
      </c>
      <c r="P441" s="126">
        <v>0</v>
      </c>
      <c r="Q441" s="126">
        <v>0</v>
      </c>
    </row>
    <row r="442" spans="3:17" ht="23.1" customHeight="1">
      <c r="C442" s="126">
        <v>163</v>
      </c>
      <c r="D442" s="141" t="s">
        <v>745</v>
      </c>
      <c r="E442" s="159" t="s">
        <v>2227</v>
      </c>
      <c r="F442" s="131">
        <v>1</v>
      </c>
      <c r="G442" s="131">
        <v>1</v>
      </c>
      <c r="H442" s="161">
        <v>46179</v>
      </c>
      <c r="I442" s="126">
        <v>0</v>
      </c>
      <c r="J442" s="126">
        <v>0</v>
      </c>
      <c r="K442" s="126">
        <v>0</v>
      </c>
      <c r="L442" s="126">
        <v>4</v>
      </c>
      <c r="M442" s="126">
        <v>0</v>
      </c>
      <c r="N442" s="126">
        <v>0</v>
      </c>
      <c r="O442" s="126">
        <v>0</v>
      </c>
      <c r="P442" s="126">
        <v>0</v>
      </c>
      <c r="Q442" s="126">
        <v>0</v>
      </c>
    </row>
    <row r="443" spans="3:17" ht="23.1" customHeight="1">
      <c r="C443" s="126">
        <v>165</v>
      </c>
      <c r="D443" s="141" t="s">
        <v>1708</v>
      </c>
      <c r="E443" s="159" t="s">
        <v>2229</v>
      </c>
      <c r="F443" s="131">
        <v>1</v>
      </c>
      <c r="G443" s="131">
        <v>1</v>
      </c>
      <c r="H443" s="161">
        <v>46179</v>
      </c>
      <c r="I443" s="126">
        <v>0</v>
      </c>
      <c r="J443" s="126">
        <v>0</v>
      </c>
      <c r="K443" s="126">
        <v>0</v>
      </c>
      <c r="L443" s="126">
        <v>2</v>
      </c>
      <c r="M443" s="126">
        <v>0</v>
      </c>
      <c r="N443" s="126">
        <v>0</v>
      </c>
      <c r="O443" s="126">
        <v>0</v>
      </c>
      <c r="P443" s="126">
        <v>0</v>
      </c>
      <c r="Q443" s="126">
        <v>0</v>
      </c>
    </row>
    <row r="444" spans="3:17" ht="23.1" customHeight="1">
      <c r="C444" s="126">
        <v>167</v>
      </c>
      <c r="D444" s="141" t="s">
        <v>1029</v>
      </c>
      <c r="E444" s="159" t="s">
        <v>1030</v>
      </c>
      <c r="F444" s="131">
        <v>1</v>
      </c>
      <c r="G444" s="131">
        <v>1</v>
      </c>
      <c r="H444" s="161">
        <v>46179</v>
      </c>
      <c r="I444" s="126">
        <v>0</v>
      </c>
      <c r="J444" s="126">
        <v>0</v>
      </c>
      <c r="K444" s="126">
        <v>0</v>
      </c>
      <c r="L444" s="126">
        <v>18</v>
      </c>
      <c r="M444" s="126">
        <v>0</v>
      </c>
      <c r="N444" s="126">
        <v>0</v>
      </c>
      <c r="O444" s="126">
        <v>0</v>
      </c>
      <c r="P444" s="126">
        <v>0</v>
      </c>
      <c r="Q444" s="126">
        <v>0</v>
      </c>
    </row>
    <row r="445" spans="3:17" ht="23.1" customHeight="1">
      <c r="C445" s="126">
        <v>168</v>
      </c>
      <c r="D445" s="141" t="s">
        <v>2101</v>
      </c>
      <c r="E445" s="159" t="s">
        <v>2102</v>
      </c>
      <c r="F445" s="131">
        <v>1</v>
      </c>
      <c r="G445" s="131">
        <v>1</v>
      </c>
      <c r="H445" s="161">
        <v>46179</v>
      </c>
      <c r="I445" s="126">
        <v>0</v>
      </c>
      <c r="J445" s="126">
        <v>0</v>
      </c>
      <c r="K445" s="126">
        <v>0</v>
      </c>
      <c r="L445" s="126">
        <v>4</v>
      </c>
      <c r="M445" s="126">
        <v>0</v>
      </c>
      <c r="N445" s="126">
        <v>0</v>
      </c>
      <c r="O445" s="126">
        <v>0</v>
      </c>
      <c r="P445" s="126">
        <v>0</v>
      </c>
      <c r="Q445" s="126">
        <v>0</v>
      </c>
    </row>
    <row r="446" spans="3:17" ht="23.1" customHeight="1">
      <c r="C446" s="126">
        <v>169</v>
      </c>
      <c r="D446" s="141" t="s">
        <v>601</v>
      </c>
      <c r="E446" s="159" t="s">
        <v>602</v>
      </c>
      <c r="F446" s="131">
        <v>1</v>
      </c>
      <c r="G446" s="131">
        <v>1</v>
      </c>
      <c r="H446" s="161">
        <v>46179</v>
      </c>
      <c r="I446" s="126">
        <v>0</v>
      </c>
      <c r="J446" s="126">
        <v>0</v>
      </c>
      <c r="K446" s="126">
        <v>0</v>
      </c>
      <c r="L446" s="126">
        <v>32</v>
      </c>
      <c r="M446" s="126">
        <v>0</v>
      </c>
      <c r="N446" s="126">
        <v>0</v>
      </c>
      <c r="O446" s="126">
        <v>0</v>
      </c>
      <c r="P446" s="126">
        <v>0</v>
      </c>
      <c r="Q446" s="126">
        <v>0</v>
      </c>
    </row>
    <row r="447" spans="3:17" ht="23.1" customHeight="1">
      <c r="C447" s="126">
        <v>170</v>
      </c>
      <c r="D447" s="141" t="s">
        <v>1647</v>
      </c>
      <c r="E447" s="159" t="s">
        <v>1648</v>
      </c>
      <c r="F447" s="131">
        <v>1</v>
      </c>
      <c r="G447" s="131">
        <v>1</v>
      </c>
      <c r="H447" s="161">
        <v>46179</v>
      </c>
      <c r="I447" s="126">
        <v>0</v>
      </c>
      <c r="J447" s="126">
        <v>0</v>
      </c>
      <c r="K447" s="126">
        <v>0</v>
      </c>
      <c r="L447" s="126">
        <v>20</v>
      </c>
      <c r="M447" s="126">
        <v>0</v>
      </c>
      <c r="N447" s="126">
        <v>0</v>
      </c>
      <c r="O447" s="126">
        <v>0</v>
      </c>
      <c r="P447" s="126">
        <v>0</v>
      </c>
      <c r="Q447" s="126">
        <v>0</v>
      </c>
    </row>
    <row r="448" spans="3:17" ht="23.1" customHeight="1">
      <c r="C448" s="126">
        <v>172</v>
      </c>
      <c r="D448" s="141" t="s">
        <v>2106</v>
      </c>
      <c r="E448" s="159" t="s">
        <v>2107</v>
      </c>
      <c r="F448" s="131">
        <v>1</v>
      </c>
      <c r="G448" s="131">
        <v>1</v>
      </c>
      <c r="H448" s="161">
        <v>46179</v>
      </c>
      <c r="I448" s="126">
        <v>0</v>
      </c>
      <c r="J448" s="126">
        <v>0</v>
      </c>
      <c r="K448" s="126">
        <v>0</v>
      </c>
      <c r="L448" s="126">
        <v>4</v>
      </c>
      <c r="M448" s="126">
        <v>0</v>
      </c>
      <c r="N448" s="126">
        <v>0</v>
      </c>
      <c r="O448" s="126">
        <v>0</v>
      </c>
      <c r="P448" s="126">
        <v>0</v>
      </c>
      <c r="Q448" s="126">
        <v>0</v>
      </c>
    </row>
    <row r="449" spans="3:17" ht="23.1" customHeight="1">
      <c r="C449" s="126">
        <v>174</v>
      </c>
      <c r="D449" s="141" t="s">
        <v>2096</v>
      </c>
      <c r="E449" s="159" t="s">
        <v>2097</v>
      </c>
      <c r="F449" s="131">
        <v>1</v>
      </c>
      <c r="G449" s="131">
        <v>1</v>
      </c>
      <c r="H449" s="161">
        <v>46179</v>
      </c>
      <c r="I449" s="126">
        <v>0</v>
      </c>
      <c r="J449" s="126">
        <v>0</v>
      </c>
      <c r="K449" s="126">
        <v>0</v>
      </c>
      <c r="L449" s="126">
        <v>4</v>
      </c>
      <c r="M449" s="126">
        <v>0</v>
      </c>
      <c r="N449" s="126">
        <v>0</v>
      </c>
      <c r="O449" s="126">
        <v>0</v>
      </c>
      <c r="P449" s="126">
        <v>0</v>
      </c>
      <c r="Q449" s="126">
        <v>0</v>
      </c>
    </row>
    <row r="450" spans="3:17" ht="23.1" customHeight="1">
      <c r="C450" s="126">
        <v>181</v>
      </c>
      <c r="D450" s="141" t="s">
        <v>761</v>
      </c>
      <c r="E450" s="159" t="s">
        <v>762</v>
      </c>
      <c r="F450" s="131">
        <v>1</v>
      </c>
      <c r="G450" s="131">
        <v>1</v>
      </c>
      <c r="H450" s="161">
        <v>46179</v>
      </c>
      <c r="I450" s="126">
        <v>0</v>
      </c>
      <c r="J450" s="126">
        <v>0</v>
      </c>
      <c r="K450" s="126">
        <v>0</v>
      </c>
      <c r="L450" s="126">
        <v>336</v>
      </c>
      <c r="M450" s="126">
        <v>0</v>
      </c>
      <c r="N450" s="126">
        <v>0</v>
      </c>
      <c r="O450" s="126">
        <v>0</v>
      </c>
      <c r="P450" s="126">
        <v>0</v>
      </c>
      <c r="Q450" s="126">
        <v>0</v>
      </c>
    </row>
    <row r="451" spans="3:17" ht="23.1" customHeight="1">
      <c r="C451" s="126">
        <v>182</v>
      </c>
      <c r="D451" s="141" t="s">
        <v>627</v>
      </c>
      <c r="E451" s="159" t="s">
        <v>628</v>
      </c>
      <c r="F451" s="131">
        <v>1</v>
      </c>
      <c r="G451" s="131">
        <v>1</v>
      </c>
      <c r="H451" s="161">
        <v>46179</v>
      </c>
      <c r="I451" s="126">
        <v>0</v>
      </c>
      <c r="J451" s="126">
        <v>0</v>
      </c>
      <c r="K451" s="126">
        <v>0</v>
      </c>
      <c r="L451" s="126">
        <v>264</v>
      </c>
      <c r="M451" s="126">
        <v>0</v>
      </c>
      <c r="N451" s="126">
        <v>0</v>
      </c>
      <c r="O451" s="126">
        <v>0</v>
      </c>
      <c r="P451" s="126">
        <v>0</v>
      </c>
      <c r="Q451" s="126">
        <v>0</v>
      </c>
    </row>
    <row r="452" spans="3:17" ht="23.1" customHeight="1">
      <c r="C452" s="126">
        <v>183</v>
      </c>
      <c r="D452" s="141" t="s">
        <v>766</v>
      </c>
      <c r="E452" s="159" t="s">
        <v>767</v>
      </c>
      <c r="F452" s="131">
        <v>1</v>
      </c>
      <c r="G452" s="131">
        <v>1</v>
      </c>
      <c r="H452" s="161">
        <v>46179</v>
      </c>
      <c r="I452" s="126">
        <v>0</v>
      </c>
      <c r="J452" s="126">
        <v>0</v>
      </c>
      <c r="K452" s="126">
        <v>0</v>
      </c>
      <c r="L452" s="126">
        <v>840</v>
      </c>
      <c r="M452" s="126">
        <v>0</v>
      </c>
      <c r="N452" s="126">
        <v>0</v>
      </c>
      <c r="O452" s="126">
        <v>0</v>
      </c>
      <c r="P452" s="126">
        <v>0</v>
      </c>
      <c r="Q452" s="126">
        <v>0</v>
      </c>
    </row>
    <row r="453" spans="3:17" ht="23.1" customHeight="1">
      <c r="C453" s="126">
        <v>184</v>
      </c>
      <c r="D453" s="141" t="s">
        <v>769</v>
      </c>
      <c r="E453" s="159" t="s">
        <v>770</v>
      </c>
      <c r="F453" s="131">
        <v>1</v>
      </c>
      <c r="G453" s="131">
        <v>1</v>
      </c>
      <c r="H453" s="161">
        <v>46179</v>
      </c>
      <c r="I453" s="126">
        <v>0</v>
      </c>
      <c r="J453" s="126">
        <v>0</v>
      </c>
      <c r="K453" s="126">
        <v>0</v>
      </c>
      <c r="L453" s="126">
        <v>192</v>
      </c>
      <c r="M453" s="126">
        <v>0</v>
      </c>
      <c r="N453" s="126">
        <v>0</v>
      </c>
      <c r="O453" s="126">
        <v>0</v>
      </c>
      <c r="P453" s="126">
        <v>0</v>
      </c>
      <c r="Q453" s="126">
        <v>0</v>
      </c>
    </row>
    <row r="454" spans="3:17" ht="23.1" customHeight="1">
      <c r="C454" s="126">
        <v>185</v>
      </c>
      <c r="D454" s="141" t="s">
        <v>772</v>
      </c>
      <c r="E454" s="159" t="s">
        <v>773</v>
      </c>
      <c r="F454" s="131">
        <v>1</v>
      </c>
      <c r="G454" s="131">
        <v>1</v>
      </c>
      <c r="H454" s="161">
        <v>46179</v>
      </c>
      <c r="I454" s="126">
        <v>0</v>
      </c>
      <c r="J454" s="126">
        <v>0</v>
      </c>
      <c r="K454" s="126">
        <v>0</v>
      </c>
      <c r="L454" s="126">
        <v>24</v>
      </c>
      <c r="M454" s="126">
        <v>0</v>
      </c>
      <c r="N454" s="126">
        <v>0</v>
      </c>
      <c r="O454" s="126">
        <v>0</v>
      </c>
      <c r="P454" s="126">
        <v>0</v>
      </c>
      <c r="Q454" s="126">
        <v>0</v>
      </c>
    </row>
    <row r="455" spans="3:17" ht="23.1" customHeight="1">
      <c r="C455" s="126">
        <v>187</v>
      </c>
      <c r="D455" s="141" t="s">
        <v>576</v>
      </c>
      <c r="E455" s="159" t="s">
        <v>577</v>
      </c>
      <c r="F455" s="131">
        <v>1</v>
      </c>
      <c r="G455" s="131">
        <v>1</v>
      </c>
      <c r="H455" s="161">
        <v>46179</v>
      </c>
      <c r="I455" s="126">
        <v>0</v>
      </c>
      <c r="J455" s="126">
        <v>0</v>
      </c>
      <c r="K455" s="126">
        <v>0</v>
      </c>
      <c r="L455" s="126">
        <v>128</v>
      </c>
      <c r="M455" s="126">
        <v>0</v>
      </c>
      <c r="N455" s="126">
        <v>0</v>
      </c>
      <c r="O455" s="126">
        <v>0</v>
      </c>
      <c r="P455" s="126">
        <v>0</v>
      </c>
      <c r="Q455" s="126">
        <v>0</v>
      </c>
    </row>
    <row r="456" spans="3:17" ht="23.1" customHeight="1">
      <c r="C456" s="126">
        <v>189</v>
      </c>
      <c r="D456" s="141" t="s">
        <v>778</v>
      </c>
      <c r="E456" s="159" t="s">
        <v>779</v>
      </c>
      <c r="F456" s="131">
        <v>1</v>
      </c>
      <c r="G456" s="131">
        <v>1</v>
      </c>
      <c r="H456" s="161">
        <v>46179</v>
      </c>
      <c r="I456" s="126">
        <v>0</v>
      </c>
      <c r="J456" s="126">
        <v>0</v>
      </c>
      <c r="K456" s="126">
        <v>0</v>
      </c>
      <c r="L456" s="126">
        <v>128</v>
      </c>
      <c r="M456" s="126">
        <v>0</v>
      </c>
      <c r="N456" s="126">
        <v>0</v>
      </c>
      <c r="O456" s="126">
        <v>0</v>
      </c>
      <c r="P456" s="126">
        <v>0</v>
      </c>
      <c r="Q456" s="126">
        <v>0</v>
      </c>
    </row>
    <row r="457" spans="3:17" ht="23.1" customHeight="1">
      <c r="C457" s="126">
        <v>192</v>
      </c>
      <c r="D457" s="141" t="s">
        <v>570</v>
      </c>
      <c r="E457" s="159" t="s">
        <v>571</v>
      </c>
      <c r="F457" s="131">
        <v>1</v>
      </c>
      <c r="G457" s="131">
        <v>1</v>
      </c>
      <c r="H457" s="161">
        <v>46179</v>
      </c>
      <c r="I457" s="126">
        <v>0</v>
      </c>
      <c r="J457" s="126">
        <v>0</v>
      </c>
      <c r="K457" s="126">
        <v>0</v>
      </c>
      <c r="L457" s="126">
        <v>8</v>
      </c>
      <c r="M457" s="126">
        <v>0</v>
      </c>
      <c r="N457" s="126">
        <v>0</v>
      </c>
      <c r="O457" s="126">
        <v>0</v>
      </c>
      <c r="P457" s="126">
        <v>0</v>
      </c>
      <c r="Q457" s="126">
        <v>0</v>
      </c>
    </row>
    <row r="458" spans="3:17" ht="23.1" customHeight="1">
      <c r="C458" s="126">
        <v>195</v>
      </c>
      <c r="D458" s="141" t="s">
        <v>608</v>
      </c>
      <c r="E458" s="159" t="s">
        <v>609</v>
      </c>
      <c r="F458" s="131">
        <v>1</v>
      </c>
      <c r="G458" s="131">
        <v>1</v>
      </c>
      <c r="H458" s="161">
        <v>46179</v>
      </c>
      <c r="I458" s="126">
        <v>0</v>
      </c>
      <c r="J458" s="126">
        <v>0</v>
      </c>
      <c r="K458" s="126">
        <v>0</v>
      </c>
      <c r="L458" s="126">
        <v>40</v>
      </c>
      <c r="M458" s="126">
        <v>0</v>
      </c>
      <c r="N458" s="126">
        <v>0</v>
      </c>
      <c r="O458" s="126">
        <v>0</v>
      </c>
      <c r="P458" s="126">
        <v>0</v>
      </c>
      <c r="Q458" s="126">
        <v>0</v>
      </c>
    </row>
    <row r="459" spans="3:17" ht="23.1" customHeight="1">
      <c r="C459" s="126">
        <v>198</v>
      </c>
      <c r="D459" s="141" t="s">
        <v>1170</v>
      </c>
      <c r="E459" s="159" t="s">
        <v>1171</v>
      </c>
      <c r="F459" s="131">
        <v>1</v>
      </c>
      <c r="G459" s="131">
        <v>1</v>
      </c>
      <c r="H459" s="161">
        <v>46179</v>
      </c>
      <c r="I459" s="126">
        <v>0</v>
      </c>
      <c r="J459" s="126">
        <v>0</v>
      </c>
      <c r="K459" s="126">
        <v>0</v>
      </c>
      <c r="L459" s="126">
        <v>32</v>
      </c>
      <c r="M459" s="126">
        <v>0</v>
      </c>
      <c r="N459" s="126">
        <v>0</v>
      </c>
      <c r="O459" s="126">
        <v>0</v>
      </c>
      <c r="P459" s="126">
        <v>0</v>
      </c>
      <c r="Q459" s="126">
        <v>0</v>
      </c>
    </row>
    <row r="460" spans="3:17" ht="23.1" customHeight="1">
      <c r="C460" s="126">
        <v>187</v>
      </c>
      <c r="D460" s="141" t="s">
        <v>576</v>
      </c>
      <c r="E460" s="159" t="s">
        <v>577</v>
      </c>
      <c r="F460" s="131">
        <v>1</v>
      </c>
      <c r="G460" s="131">
        <v>1</v>
      </c>
      <c r="H460" s="161">
        <v>46204</v>
      </c>
      <c r="I460" s="126">
        <v>0</v>
      </c>
      <c r="J460" s="126">
        <v>20</v>
      </c>
      <c r="K460" s="126">
        <v>0</v>
      </c>
      <c r="L460" s="126">
        <v>0</v>
      </c>
      <c r="M460" s="126">
        <v>0</v>
      </c>
      <c r="N460" s="126">
        <v>0</v>
      </c>
      <c r="O460" s="126">
        <v>0</v>
      </c>
      <c r="P460" s="126">
        <v>0</v>
      </c>
      <c r="Q460" s="126">
        <v>0</v>
      </c>
    </row>
    <row r="461" spans="3:17" ht="23.1" customHeight="1">
      <c r="C461" s="126">
        <v>193</v>
      </c>
      <c r="D461" s="141" t="s">
        <v>784</v>
      </c>
      <c r="E461" s="159" t="s">
        <v>785</v>
      </c>
      <c r="F461" s="131">
        <v>1</v>
      </c>
      <c r="G461" s="131">
        <v>1</v>
      </c>
      <c r="H461" s="161">
        <v>46204</v>
      </c>
      <c r="I461" s="126">
        <v>0</v>
      </c>
      <c r="J461" s="126">
        <v>8</v>
      </c>
      <c r="K461" s="126">
        <v>0</v>
      </c>
      <c r="L461" s="126">
        <v>0</v>
      </c>
      <c r="M461" s="126">
        <v>0</v>
      </c>
      <c r="N461" s="126">
        <v>0</v>
      </c>
      <c r="O461" s="126">
        <v>0</v>
      </c>
      <c r="P461" s="126">
        <v>0</v>
      </c>
      <c r="Q461" s="126">
        <v>0</v>
      </c>
    </row>
    <row r="462" spans="3:17" ht="23.1" customHeight="1">
      <c r="C462" s="126">
        <v>235</v>
      </c>
      <c r="D462" s="141" t="s">
        <v>2292</v>
      </c>
      <c r="E462" s="159" t="s">
        <v>2293</v>
      </c>
      <c r="F462" s="131">
        <v>1</v>
      </c>
      <c r="G462" s="131">
        <v>1</v>
      </c>
      <c r="H462" s="161">
        <v>46204</v>
      </c>
      <c r="I462" s="126">
        <v>0</v>
      </c>
      <c r="J462" s="126">
        <v>6</v>
      </c>
      <c r="K462" s="126">
        <v>0</v>
      </c>
      <c r="L462" s="126">
        <v>0</v>
      </c>
      <c r="M462" s="126">
        <v>0</v>
      </c>
      <c r="N462" s="126">
        <v>0</v>
      </c>
      <c r="O462" s="126">
        <v>0</v>
      </c>
      <c r="P462" s="126">
        <v>0</v>
      </c>
      <c r="Q462" s="126">
        <v>0</v>
      </c>
    </row>
    <row r="463" spans="3:17" ht="23.1" customHeight="1">
      <c r="C463" s="126">
        <v>178</v>
      </c>
      <c r="D463" s="141" t="s">
        <v>755</v>
      </c>
      <c r="E463" s="159" t="s">
        <v>756</v>
      </c>
      <c r="F463" s="131">
        <v>1</v>
      </c>
      <c r="G463" s="131">
        <v>1</v>
      </c>
      <c r="H463" s="161">
        <v>46204</v>
      </c>
      <c r="I463" s="126">
        <v>0</v>
      </c>
      <c r="J463" s="126">
        <v>350</v>
      </c>
      <c r="K463" s="126">
        <v>0</v>
      </c>
      <c r="L463" s="126">
        <v>0</v>
      </c>
      <c r="M463" s="126">
        <v>0</v>
      </c>
      <c r="N463" s="126">
        <v>0</v>
      </c>
      <c r="O463" s="126">
        <v>0</v>
      </c>
      <c r="P463" s="126">
        <v>0</v>
      </c>
      <c r="Q463" s="126">
        <v>0</v>
      </c>
    </row>
    <row r="464" spans="3:17" ht="23.1" customHeight="1">
      <c r="C464" s="126">
        <v>241</v>
      </c>
      <c r="D464" s="141" t="s">
        <v>2301</v>
      </c>
      <c r="E464" s="159" t="s">
        <v>2302</v>
      </c>
      <c r="F464" s="131">
        <v>1</v>
      </c>
      <c r="G464" s="131">
        <v>1</v>
      </c>
      <c r="H464" s="161">
        <v>46204</v>
      </c>
      <c r="I464" s="126">
        <v>0</v>
      </c>
      <c r="J464" s="126">
        <v>1</v>
      </c>
      <c r="K464" s="126">
        <v>0</v>
      </c>
      <c r="L464" s="126">
        <v>0</v>
      </c>
      <c r="M464" s="126">
        <v>0</v>
      </c>
      <c r="N464" s="126">
        <v>0</v>
      </c>
      <c r="O464" s="126">
        <v>0</v>
      </c>
      <c r="P464" s="126">
        <v>0</v>
      </c>
      <c r="Q464" s="126">
        <v>0</v>
      </c>
    </row>
    <row r="465" spans="3:17" ht="23.1" customHeight="1">
      <c r="C465" s="126">
        <v>287</v>
      </c>
      <c r="D465" s="141" t="s">
        <v>2306</v>
      </c>
      <c r="E465" s="159" t="s">
        <v>2307</v>
      </c>
      <c r="F465" s="131">
        <v>1</v>
      </c>
      <c r="G465" s="131">
        <v>1</v>
      </c>
      <c r="H465" s="161">
        <v>46204</v>
      </c>
      <c r="I465" s="126">
        <v>0</v>
      </c>
      <c r="J465" s="126">
        <v>75</v>
      </c>
      <c r="K465" s="126">
        <v>0</v>
      </c>
      <c r="L465" s="126">
        <v>0</v>
      </c>
      <c r="M465" s="126">
        <v>0</v>
      </c>
      <c r="N465" s="126">
        <v>0</v>
      </c>
      <c r="O465" s="126">
        <v>0</v>
      </c>
      <c r="P465" s="126">
        <v>0</v>
      </c>
      <c r="Q465" s="126">
        <v>0</v>
      </c>
    </row>
    <row r="466" spans="3:17" ht="23.1" customHeight="1">
      <c r="C466" s="126">
        <v>177</v>
      </c>
      <c r="D466" s="141" t="s">
        <v>752</v>
      </c>
      <c r="E466" s="159" t="s">
        <v>753</v>
      </c>
      <c r="F466" s="131">
        <v>1</v>
      </c>
      <c r="G466" s="131">
        <v>1</v>
      </c>
      <c r="H466" s="161">
        <v>46204</v>
      </c>
      <c r="I466" s="126">
        <v>0</v>
      </c>
      <c r="J466" s="126">
        <v>300</v>
      </c>
      <c r="K466" s="126">
        <v>0</v>
      </c>
      <c r="L466" s="126">
        <v>0</v>
      </c>
      <c r="M466" s="126">
        <v>0</v>
      </c>
      <c r="N466" s="126">
        <v>0</v>
      </c>
      <c r="O466" s="126">
        <v>0</v>
      </c>
      <c r="P466" s="126">
        <v>0</v>
      </c>
      <c r="Q466" s="126">
        <v>0</v>
      </c>
    </row>
    <row r="467" spans="3:17" ht="23.1" customHeight="1">
      <c r="C467" s="126">
        <v>298</v>
      </c>
      <c r="D467" s="141" t="s">
        <v>2318</v>
      </c>
      <c r="E467" s="159" t="s">
        <v>2319</v>
      </c>
      <c r="F467" s="131">
        <v>1</v>
      </c>
      <c r="G467" s="131">
        <v>1</v>
      </c>
      <c r="H467" s="161">
        <v>46204</v>
      </c>
      <c r="I467" s="126">
        <v>0</v>
      </c>
      <c r="J467" s="126">
        <v>60</v>
      </c>
      <c r="K467" s="126">
        <v>0</v>
      </c>
      <c r="L467" s="126">
        <v>0</v>
      </c>
      <c r="M467" s="126">
        <v>0</v>
      </c>
      <c r="N467" s="126">
        <v>0</v>
      </c>
      <c r="O467" s="126">
        <v>0</v>
      </c>
      <c r="P467" s="126">
        <v>0</v>
      </c>
      <c r="Q467" s="126">
        <v>0</v>
      </c>
    </row>
    <row r="468" spans="3:17" ht="23.1" customHeight="1">
      <c r="C468" s="126">
        <v>295</v>
      </c>
      <c r="D468" s="141" t="s">
        <v>2326</v>
      </c>
      <c r="E468" s="159" t="s">
        <v>2327</v>
      </c>
      <c r="F468" s="131">
        <v>1</v>
      </c>
      <c r="G468" s="131">
        <v>1</v>
      </c>
      <c r="H468" s="161">
        <v>46204</v>
      </c>
      <c r="I468" s="126">
        <v>0</v>
      </c>
      <c r="J468" s="126">
        <v>2</v>
      </c>
      <c r="K468" s="126">
        <v>0</v>
      </c>
      <c r="L468" s="126">
        <v>0</v>
      </c>
      <c r="M468" s="126">
        <v>0</v>
      </c>
      <c r="N468" s="126">
        <v>0</v>
      </c>
      <c r="O468" s="126">
        <v>0</v>
      </c>
      <c r="P468" s="126">
        <v>0</v>
      </c>
      <c r="Q468" s="126">
        <v>0</v>
      </c>
    </row>
    <row r="469" spans="3:17" ht="23.1" customHeight="1">
      <c r="C469" s="126">
        <v>327</v>
      </c>
      <c r="D469" s="141" t="s">
        <v>2337</v>
      </c>
      <c r="E469" s="159" t="s">
        <v>2338</v>
      </c>
      <c r="F469" s="131">
        <v>1</v>
      </c>
      <c r="G469" s="131">
        <v>1</v>
      </c>
      <c r="H469" s="161">
        <v>46204</v>
      </c>
      <c r="I469" s="126">
        <v>0</v>
      </c>
      <c r="J469" s="126">
        <v>1</v>
      </c>
      <c r="K469" s="126">
        <v>0</v>
      </c>
      <c r="L469" s="126">
        <v>0</v>
      </c>
      <c r="M469" s="126">
        <v>0</v>
      </c>
      <c r="N469" s="126">
        <v>0</v>
      </c>
      <c r="O469" s="126">
        <v>0</v>
      </c>
      <c r="P469" s="126">
        <v>0</v>
      </c>
      <c r="Q469" s="126">
        <v>0</v>
      </c>
    </row>
    <row r="470" spans="3:17" ht="23.1" customHeight="1">
      <c r="C470" s="126">
        <v>213</v>
      </c>
      <c r="D470" s="141" t="s">
        <v>2342</v>
      </c>
      <c r="E470" s="159" t="s">
        <v>2343</v>
      </c>
      <c r="F470" s="131">
        <v>1</v>
      </c>
      <c r="G470" s="131">
        <v>1</v>
      </c>
      <c r="H470" s="161">
        <v>46204</v>
      </c>
      <c r="I470" s="126">
        <v>0</v>
      </c>
      <c r="J470" s="126">
        <v>3</v>
      </c>
      <c r="K470" s="126">
        <v>0</v>
      </c>
      <c r="L470" s="126">
        <v>0</v>
      </c>
      <c r="M470" s="126">
        <v>0</v>
      </c>
      <c r="N470" s="126">
        <v>0</v>
      </c>
      <c r="O470" s="126">
        <v>0</v>
      </c>
      <c r="P470" s="126">
        <v>0</v>
      </c>
      <c r="Q470" s="126">
        <v>0</v>
      </c>
    </row>
    <row r="471" spans="3:17" ht="23.1" customHeight="1">
      <c r="C471" s="126">
        <v>228</v>
      </c>
      <c r="D471" s="141" t="s">
        <v>2347</v>
      </c>
      <c r="E471" s="159" t="s">
        <v>2348</v>
      </c>
      <c r="F471" s="131">
        <v>1</v>
      </c>
      <c r="G471" s="131">
        <v>1</v>
      </c>
      <c r="H471" s="161">
        <v>46204</v>
      </c>
      <c r="I471" s="126">
        <v>0</v>
      </c>
      <c r="J471" s="126">
        <v>1</v>
      </c>
      <c r="K471" s="126">
        <v>0</v>
      </c>
      <c r="L471" s="126">
        <v>0</v>
      </c>
      <c r="M471" s="126">
        <v>0</v>
      </c>
      <c r="N471" s="126">
        <v>0</v>
      </c>
      <c r="O471" s="126">
        <v>0</v>
      </c>
      <c r="P471" s="126">
        <v>0</v>
      </c>
      <c r="Q471" s="126">
        <v>0</v>
      </c>
    </row>
    <row r="472" spans="3:17" ht="23.1" customHeight="1">
      <c r="C472" s="126">
        <v>195</v>
      </c>
      <c r="D472" s="141" t="s">
        <v>608</v>
      </c>
      <c r="E472" s="159" t="s">
        <v>609</v>
      </c>
      <c r="F472" s="131">
        <v>1</v>
      </c>
      <c r="G472" s="131">
        <v>1</v>
      </c>
      <c r="H472" s="161">
        <v>46205</v>
      </c>
      <c r="I472" s="126">
        <v>0</v>
      </c>
      <c r="J472" s="126">
        <v>24</v>
      </c>
      <c r="K472" s="126">
        <v>0</v>
      </c>
      <c r="L472" s="126">
        <v>0</v>
      </c>
      <c r="M472" s="126">
        <v>0</v>
      </c>
      <c r="N472" s="126">
        <v>0</v>
      </c>
      <c r="O472" s="126">
        <v>0</v>
      </c>
      <c r="P472" s="126">
        <v>0</v>
      </c>
      <c r="Q472" s="126">
        <v>0</v>
      </c>
    </row>
    <row r="473" spans="3:17" ht="23.1" customHeight="1">
      <c r="C473" s="126">
        <v>187</v>
      </c>
      <c r="D473" s="141" t="s">
        <v>576</v>
      </c>
      <c r="E473" s="159" t="s">
        <v>577</v>
      </c>
      <c r="F473" s="131">
        <v>1</v>
      </c>
      <c r="G473" s="131">
        <v>1</v>
      </c>
      <c r="H473" s="161">
        <v>46205</v>
      </c>
      <c r="I473" s="126">
        <v>0</v>
      </c>
      <c r="J473" s="126">
        <v>28</v>
      </c>
      <c r="K473" s="126">
        <v>0</v>
      </c>
      <c r="L473" s="126">
        <v>0</v>
      </c>
      <c r="M473" s="126">
        <v>0</v>
      </c>
      <c r="N473" s="126">
        <v>0</v>
      </c>
      <c r="O473" s="126">
        <v>0</v>
      </c>
      <c r="P473" s="126">
        <v>0</v>
      </c>
      <c r="Q473" s="126">
        <v>0</v>
      </c>
    </row>
    <row r="474" spans="3:17" ht="23.1" customHeight="1">
      <c r="C474" s="126">
        <v>197</v>
      </c>
      <c r="D474" s="141" t="s">
        <v>652</v>
      </c>
      <c r="E474" s="159" t="s">
        <v>653</v>
      </c>
      <c r="F474" s="131">
        <v>1</v>
      </c>
      <c r="G474" s="131">
        <v>1</v>
      </c>
      <c r="H474" s="161">
        <v>46205</v>
      </c>
      <c r="I474" s="126">
        <v>0</v>
      </c>
      <c r="J474" s="126">
        <v>8</v>
      </c>
      <c r="K474" s="126">
        <v>0</v>
      </c>
      <c r="L474" s="126">
        <v>0</v>
      </c>
      <c r="M474" s="126">
        <v>0</v>
      </c>
      <c r="N474" s="126">
        <v>0</v>
      </c>
      <c r="O474" s="126">
        <v>0</v>
      </c>
      <c r="P474" s="126">
        <v>0</v>
      </c>
      <c r="Q474" s="126">
        <v>0</v>
      </c>
    </row>
  </sheetData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E7F01-1A65-41C9-973F-35C1A88204D8}">
  <sheetPr codeName="Sheet16"/>
  <dimension ref="B1:AF1800"/>
  <sheetViews>
    <sheetView showGridLines="0" topLeftCell="A3" zoomScale="80" zoomScaleNormal="80" workbookViewId="0">
      <pane ySplit="5" topLeftCell="A8" activePane="bottomLeft" state="frozen"/>
      <selection activeCell="L28" sqref="L28"/>
      <selection pane="bottomLeft" activeCell="K21" sqref="K21"/>
    </sheetView>
  </sheetViews>
  <sheetFormatPr defaultColWidth="15.42578125" defaultRowHeight="23.1" customHeight="1"/>
  <cols>
    <col min="1" max="1" width="1.42578125" style="130" customWidth="1"/>
    <col min="2" max="2" width="2.42578125" style="138" customWidth="1"/>
    <col min="3" max="3" width="9.42578125" style="126" customWidth="1"/>
    <col min="4" max="4" width="22.85546875" style="126" customWidth="1"/>
    <col min="5" max="5" width="24" style="141" customWidth="1"/>
    <col min="6" max="6" width="29.42578125" style="163" bestFit="1" customWidth="1"/>
    <col min="7" max="7" width="15.42578125" style="162" customWidth="1"/>
    <col min="8" max="8" width="14.85546875" style="131" customWidth="1"/>
    <col min="9" max="9" width="18.7109375" style="131" customWidth="1"/>
    <col min="10" max="10" width="14.28515625" style="141" customWidth="1"/>
    <col min="11" max="20" width="5.28515625" style="141" bestFit="1" customWidth="1"/>
    <col min="21" max="21" width="15.42578125" style="126" customWidth="1"/>
    <col min="22" max="22" width="18" style="218" customWidth="1"/>
    <col min="23" max="23" width="19.5703125" style="218" customWidth="1"/>
    <col min="24" max="25" width="18.85546875" style="126" customWidth="1"/>
    <col min="26" max="26" width="18.85546875" style="162" customWidth="1"/>
    <col min="27" max="27" width="24.140625" style="188" customWidth="1"/>
    <col min="28" max="28" width="8.28515625" style="131" customWidth="1"/>
    <col min="29" max="29" width="11.42578125" style="126" customWidth="1"/>
    <col min="30" max="30" width="10.7109375" style="126" customWidth="1"/>
    <col min="31" max="16384" width="15.42578125" style="130"/>
  </cols>
  <sheetData>
    <row r="1" spans="2:32" customFormat="1" ht="23.25" hidden="1">
      <c r="B1" s="133"/>
      <c r="C1" s="13"/>
      <c r="D1" s="13"/>
      <c r="E1" s="140"/>
      <c r="F1" s="163"/>
      <c r="G1" s="161"/>
      <c r="H1" s="131"/>
      <c r="I1" s="131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3"/>
      <c r="V1" s="208"/>
      <c r="W1" s="208"/>
      <c r="X1" s="13"/>
      <c r="Y1" s="13"/>
      <c r="Z1" s="161"/>
      <c r="AA1" s="188"/>
      <c r="AB1" s="131"/>
      <c r="AC1" s="13"/>
      <c r="AD1" s="13"/>
    </row>
    <row r="2" spans="2:32" customFormat="1" ht="23.25" hidden="1">
      <c r="B2" s="133"/>
      <c r="C2" s="13"/>
      <c r="D2" s="13"/>
      <c r="E2" s="140"/>
      <c r="F2" s="163"/>
      <c r="G2" s="161"/>
      <c r="H2" s="131"/>
      <c r="I2" s="131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3"/>
      <c r="V2" s="208"/>
      <c r="W2" s="208"/>
      <c r="X2" s="13"/>
      <c r="Y2" s="13"/>
      <c r="Z2" s="161"/>
      <c r="AA2" s="188"/>
      <c r="AB2" s="131"/>
      <c r="AC2" s="13"/>
      <c r="AD2" s="13"/>
    </row>
    <row r="3" spans="2:32" customFormat="1" ht="23.25">
      <c r="B3" s="133"/>
      <c r="C3" s="13"/>
      <c r="D3" s="13"/>
      <c r="E3" s="140"/>
      <c r="F3" s="163"/>
      <c r="G3" s="161"/>
      <c r="H3" s="131"/>
      <c r="I3" s="131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3"/>
      <c r="V3" s="208"/>
      <c r="W3" s="208"/>
      <c r="X3" s="13"/>
      <c r="Y3" s="13"/>
      <c r="Z3" s="161"/>
      <c r="AA3" s="188"/>
      <c r="AB3" s="131"/>
      <c r="AC3" s="13"/>
      <c r="AD3" s="13"/>
    </row>
    <row r="4" spans="2:32" customFormat="1" ht="23.25">
      <c r="B4" s="133"/>
      <c r="C4" s="13"/>
      <c r="D4" s="13"/>
      <c r="E4" s="140"/>
      <c r="F4" s="163"/>
      <c r="G4" s="161"/>
      <c r="H4" s="131"/>
      <c r="I4" s="131"/>
      <c r="J4" s="140"/>
      <c r="K4" s="140"/>
      <c r="L4" s="140"/>
      <c r="M4" s="140"/>
      <c r="N4" s="140"/>
      <c r="O4" s="140"/>
      <c r="P4" s="140"/>
      <c r="Q4" s="140"/>
      <c r="R4" s="141"/>
      <c r="S4" s="141"/>
      <c r="T4" s="140"/>
      <c r="U4" s="13"/>
      <c r="V4" s="208"/>
      <c r="W4" s="208"/>
      <c r="X4" s="13"/>
      <c r="Y4" s="13"/>
      <c r="Z4" s="161"/>
      <c r="AA4" s="188"/>
      <c r="AB4" s="131"/>
      <c r="AC4" s="13"/>
      <c r="AD4" s="13"/>
    </row>
    <row r="5" spans="2:32" customFormat="1" ht="23.25">
      <c r="B5" s="133"/>
      <c r="C5" s="13"/>
      <c r="D5" s="13"/>
      <c r="E5" s="140"/>
      <c r="F5" s="163"/>
      <c r="G5" s="161"/>
      <c r="H5" s="131"/>
      <c r="I5" s="131"/>
      <c r="J5" s="140"/>
      <c r="K5" s="140"/>
      <c r="L5" s="140"/>
      <c r="M5" s="140"/>
      <c r="N5" s="140"/>
      <c r="O5" s="140"/>
      <c r="P5" s="13"/>
      <c r="Q5" s="140"/>
      <c r="R5" s="140"/>
      <c r="S5" s="140"/>
      <c r="T5" s="140"/>
      <c r="U5" s="13"/>
      <c r="V5" s="208"/>
      <c r="W5" s="208"/>
      <c r="X5" s="13"/>
      <c r="Y5" s="13"/>
      <c r="Z5" s="161"/>
      <c r="AA5" s="188"/>
      <c r="AB5" s="131"/>
      <c r="AC5" s="13"/>
      <c r="AD5" s="13"/>
    </row>
    <row r="6" spans="2:32" customFormat="1" ht="27.75" customHeight="1">
      <c r="B6" s="133"/>
      <c r="C6" s="264" t="s">
        <v>184</v>
      </c>
      <c r="D6" s="264" t="s">
        <v>208</v>
      </c>
      <c r="E6" s="265" t="s">
        <v>189</v>
      </c>
      <c r="F6" s="265" t="s">
        <v>12</v>
      </c>
      <c r="G6" s="266" t="s">
        <v>24</v>
      </c>
      <c r="H6" s="264" t="s">
        <v>186</v>
      </c>
      <c r="I6" s="264" t="s">
        <v>142</v>
      </c>
      <c r="J6" s="266" t="s">
        <v>185</v>
      </c>
      <c r="K6" s="265"/>
      <c r="L6" s="265"/>
      <c r="M6" s="265"/>
      <c r="N6" s="265"/>
      <c r="O6" s="265"/>
      <c r="P6" s="265"/>
      <c r="Q6" s="265"/>
      <c r="R6" s="265"/>
      <c r="S6" s="265"/>
      <c r="T6" s="265"/>
      <c r="U6" s="264"/>
      <c r="V6" s="315" t="s">
        <v>188</v>
      </c>
      <c r="W6" s="315" t="s">
        <v>187</v>
      </c>
      <c r="X6" s="264" t="s">
        <v>109</v>
      </c>
      <c r="Y6" s="264" t="s">
        <v>452</v>
      </c>
      <c r="Z6" s="266" t="s">
        <v>211</v>
      </c>
      <c r="AA6" s="264" t="s">
        <v>209</v>
      </c>
      <c r="AB6" s="264" t="s">
        <v>23</v>
      </c>
      <c r="AC6" s="264" t="s">
        <v>95</v>
      </c>
      <c r="AD6" s="264" t="s">
        <v>120</v>
      </c>
    </row>
    <row r="7" spans="2:32" s="13" customFormat="1" ht="84">
      <c r="B7" s="133"/>
      <c r="C7" s="307" t="s">
        <v>139</v>
      </c>
      <c r="D7" s="307" t="s">
        <v>162</v>
      </c>
      <c r="E7" s="316" t="s">
        <v>207</v>
      </c>
      <c r="F7" s="316" t="s">
        <v>17</v>
      </c>
      <c r="G7" s="312" t="s">
        <v>21</v>
      </c>
      <c r="H7" s="307" t="s">
        <v>163</v>
      </c>
      <c r="I7" s="307" t="s">
        <v>140</v>
      </c>
      <c r="J7" s="312" t="s">
        <v>159</v>
      </c>
      <c r="K7" s="317" t="s">
        <v>160</v>
      </c>
      <c r="L7" s="317" t="s">
        <v>161</v>
      </c>
      <c r="M7" s="317" t="s">
        <v>152</v>
      </c>
      <c r="N7" s="317" t="s">
        <v>153</v>
      </c>
      <c r="O7" s="317" t="s">
        <v>154</v>
      </c>
      <c r="P7" s="317" t="s">
        <v>155</v>
      </c>
      <c r="Q7" s="317" t="s">
        <v>156</v>
      </c>
      <c r="R7" s="317" t="s">
        <v>157</v>
      </c>
      <c r="S7" s="317" t="s">
        <v>420</v>
      </c>
      <c r="T7" s="317" t="s">
        <v>158</v>
      </c>
      <c r="U7" s="318" t="s">
        <v>18</v>
      </c>
      <c r="V7" s="319" t="s">
        <v>19</v>
      </c>
      <c r="W7" s="319" t="s">
        <v>8</v>
      </c>
      <c r="X7" s="307" t="s">
        <v>98</v>
      </c>
      <c r="Y7" s="307" t="s">
        <v>210</v>
      </c>
      <c r="Z7" s="312" t="s">
        <v>202</v>
      </c>
      <c r="AA7" s="307" t="s">
        <v>203</v>
      </c>
      <c r="AB7" s="307" t="s">
        <v>26</v>
      </c>
      <c r="AC7" s="307" t="s">
        <v>2</v>
      </c>
      <c r="AD7" s="307" t="s">
        <v>121</v>
      </c>
    </row>
    <row r="8" spans="2:32" ht="23.1" customHeight="1">
      <c r="C8" s="126">
        <v>1</v>
      </c>
      <c r="D8" s="126">
        <v>6</v>
      </c>
      <c r="E8" s="141" t="s">
        <v>559</v>
      </c>
      <c r="F8" s="163" t="s">
        <v>560</v>
      </c>
      <c r="G8" s="162">
        <v>46174</v>
      </c>
      <c r="H8" s="131">
        <v>1</v>
      </c>
      <c r="I8" s="131">
        <v>1</v>
      </c>
      <c r="J8" s="141" t="s">
        <v>551</v>
      </c>
      <c r="K8" s="141">
        <v>1</v>
      </c>
      <c r="N8" s="141">
        <v>1</v>
      </c>
      <c r="U8" s="126">
        <v>-10</v>
      </c>
      <c r="V8" s="218">
        <v>2.89</v>
      </c>
      <c r="W8" s="218">
        <v>3.5</v>
      </c>
      <c r="X8" s="126">
        <v>1</v>
      </c>
      <c r="AA8" s="188">
        <v>46222.633958333332</v>
      </c>
      <c r="AB8" s="131">
        <v>1</v>
      </c>
      <c r="AC8" s="126">
        <v>6</v>
      </c>
      <c r="AD8" s="126">
        <v>2026</v>
      </c>
      <c r="AF8" s="197"/>
    </row>
    <row r="9" spans="2:32" ht="23.1" customHeight="1">
      <c r="C9" s="126">
        <v>2</v>
      </c>
      <c r="D9" s="126">
        <v>153</v>
      </c>
      <c r="E9" s="141" t="s">
        <v>554</v>
      </c>
      <c r="F9" s="163" t="s">
        <v>555</v>
      </c>
      <c r="G9" s="162">
        <v>46174</v>
      </c>
      <c r="H9" s="131">
        <v>1</v>
      </c>
      <c r="I9" s="131">
        <v>1</v>
      </c>
      <c r="J9" s="141" t="s">
        <v>551</v>
      </c>
      <c r="K9" s="141">
        <v>1</v>
      </c>
      <c r="N9" s="141">
        <v>1</v>
      </c>
      <c r="U9" s="126">
        <v>-1</v>
      </c>
      <c r="V9" s="218">
        <v>3.3</v>
      </c>
      <c r="W9" s="218">
        <v>5.5</v>
      </c>
      <c r="X9" s="126">
        <v>1</v>
      </c>
      <c r="AA9" s="188">
        <v>46222.633958333332</v>
      </c>
      <c r="AB9" s="131">
        <v>1</v>
      </c>
      <c r="AC9" s="126">
        <v>6</v>
      </c>
      <c r="AD9" s="126">
        <v>2026</v>
      </c>
      <c r="AF9" s="197"/>
    </row>
    <row r="10" spans="2:32" ht="23.25" customHeight="1">
      <c r="C10" s="126">
        <v>3</v>
      </c>
      <c r="D10" s="126">
        <v>179</v>
      </c>
      <c r="E10" s="141" t="s">
        <v>564</v>
      </c>
      <c r="F10" s="163" t="s">
        <v>565</v>
      </c>
      <c r="G10" s="162">
        <v>46174</v>
      </c>
      <c r="H10" s="131">
        <v>1</v>
      </c>
      <c r="I10" s="131">
        <v>1</v>
      </c>
      <c r="J10" s="141" t="s">
        <v>551</v>
      </c>
      <c r="K10" s="141">
        <v>1</v>
      </c>
      <c r="N10" s="141">
        <v>2</v>
      </c>
      <c r="U10" s="126">
        <v>-15</v>
      </c>
      <c r="V10" s="218">
        <v>0.1</v>
      </c>
      <c r="W10" s="218">
        <v>0.18</v>
      </c>
      <c r="X10" s="126">
        <v>1</v>
      </c>
      <c r="AA10" s="188">
        <v>46222.698009259257</v>
      </c>
      <c r="AB10" s="131">
        <v>1</v>
      </c>
      <c r="AC10" s="126">
        <v>6</v>
      </c>
      <c r="AD10" s="126">
        <v>2026</v>
      </c>
    </row>
    <row r="11" spans="2:32" ht="23.1" customHeight="1">
      <c r="C11" s="126">
        <v>4</v>
      </c>
      <c r="D11" s="126">
        <v>192</v>
      </c>
      <c r="E11" s="141" t="s">
        <v>570</v>
      </c>
      <c r="F11" s="163" t="s">
        <v>571</v>
      </c>
      <c r="G11" s="162">
        <v>46174</v>
      </c>
      <c r="H11" s="131">
        <v>1</v>
      </c>
      <c r="I11" s="131">
        <v>1</v>
      </c>
      <c r="J11" s="141" t="s">
        <v>551</v>
      </c>
      <c r="K11" s="141">
        <v>1</v>
      </c>
      <c r="N11" s="141">
        <v>2</v>
      </c>
      <c r="U11" s="126">
        <v>-4</v>
      </c>
      <c r="V11" s="218">
        <v>6.03</v>
      </c>
      <c r="W11" s="218">
        <v>6.5</v>
      </c>
      <c r="X11" s="126">
        <v>1</v>
      </c>
      <c r="AA11" s="188">
        <v>46222.698009259257</v>
      </c>
      <c r="AB11" s="131">
        <v>1</v>
      </c>
      <c r="AC11" s="126">
        <v>6</v>
      </c>
      <c r="AD11" s="126">
        <v>2026</v>
      </c>
    </row>
    <row r="12" spans="2:32" ht="23.1" customHeight="1">
      <c r="C12" s="126">
        <v>5</v>
      </c>
      <c r="D12" s="126">
        <v>187</v>
      </c>
      <c r="E12" s="141" t="s">
        <v>576</v>
      </c>
      <c r="F12" s="163" t="s">
        <v>577</v>
      </c>
      <c r="G12" s="162">
        <v>46174</v>
      </c>
      <c r="H12" s="131">
        <v>1</v>
      </c>
      <c r="I12" s="131">
        <v>1</v>
      </c>
      <c r="J12" s="141" t="s">
        <v>551</v>
      </c>
      <c r="K12" s="141">
        <v>1</v>
      </c>
      <c r="N12" s="141">
        <v>2</v>
      </c>
      <c r="U12" s="126">
        <v>-12</v>
      </c>
      <c r="V12" s="218">
        <v>3.37</v>
      </c>
      <c r="W12" s="218">
        <v>3.5</v>
      </c>
      <c r="X12" s="126">
        <v>1</v>
      </c>
      <c r="AA12" s="188">
        <v>46222.698009259257</v>
      </c>
      <c r="AB12" s="131">
        <v>1</v>
      </c>
      <c r="AC12" s="126">
        <v>6</v>
      </c>
      <c r="AD12" s="126">
        <v>2026</v>
      </c>
    </row>
    <row r="13" spans="2:32" ht="23.1" customHeight="1">
      <c r="C13" s="126">
        <v>6</v>
      </c>
      <c r="D13" s="126">
        <v>4</v>
      </c>
      <c r="E13" s="141" t="s">
        <v>581</v>
      </c>
      <c r="F13" s="163" t="s">
        <v>582</v>
      </c>
      <c r="G13" s="162">
        <v>46174</v>
      </c>
      <c r="H13" s="131">
        <v>1</v>
      </c>
      <c r="I13" s="131">
        <v>1</v>
      </c>
      <c r="J13" s="141" t="s">
        <v>551</v>
      </c>
      <c r="K13" s="141">
        <v>1</v>
      </c>
      <c r="N13" s="141">
        <v>2</v>
      </c>
      <c r="U13" s="126">
        <v>-1</v>
      </c>
      <c r="V13" s="218">
        <v>5.8</v>
      </c>
      <c r="W13" s="218">
        <v>6</v>
      </c>
      <c r="X13" s="126">
        <v>1</v>
      </c>
      <c r="AA13" s="188">
        <v>46222.698009259257</v>
      </c>
      <c r="AB13" s="131">
        <v>1</v>
      </c>
      <c r="AC13" s="126">
        <v>6</v>
      </c>
      <c r="AD13" s="126">
        <v>2026</v>
      </c>
    </row>
    <row r="14" spans="2:32" ht="23.1" customHeight="1">
      <c r="C14" s="126">
        <v>7</v>
      </c>
      <c r="D14" s="126">
        <v>10</v>
      </c>
      <c r="E14" s="141" t="s">
        <v>586</v>
      </c>
      <c r="F14" s="163" t="s">
        <v>587</v>
      </c>
      <c r="G14" s="162">
        <v>46174</v>
      </c>
      <c r="H14" s="131">
        <v>1</v>
      </c>
      <c r="I14" s="131">
        <v>1</v>
      </c>
      <c r="J14" s="141" t="s">
        <v>551</v>
      </c>
      <c r="K14" s="141">
        <v>1</v>
      </c>
      <c r="N14" s="141">
        <v>2</v>
      </c>
      <c r="U14" s="126">
        <v>-1</v>
      </c>
      <c r="V14" s="218">
        <v>14.85</v>
      </c>
      <c r="W14" s="218">
        <v>15</v>
      </c>
      <c r="X14" s="126">
        <v>1</v>
      </c>
      <c r="AA14" s="188">
        <v>46222.698009259257</v>
      </c>
      <c r="AB14" s="131">
        <v>1</v>
      </c>
      <c r="AC14" s="126">
        <v>6</v>
      </c>
      <c r="AD14" s="126">
        <v>2026</v>
      </c>
    </row>
    <row r="15" spans="2:32" ht="23.1" customHeight="1">
      <c r="C15" s="126">
        <v>8</v>
      </c>
      <c r="D15" s="126">
        <v>105</v>
      </c>
      <c r="E15" s="141" t="s">
        <v>591</v>
      </c>
      <c r="F15" s="163" t="s">
        <v>592</v>
      </c>
      <c r="G15" s="162">
        <v>46174</v>
      </c>
      <c r="H15" s="131">
        <v>1</v>
      </c>
      <c r="I15" s="131">
        <v>1</v>
      </c>
      <c r="J15" s="141" t="s">
        <v>551</v>
      </c>
      <c r="K15" s="141">
        <v>1</v>
      </c>
      <c r="N15" s="141">
        <v>2</v>
      </c>
      <c r="U15" s="126">
        <v>-1</v>
      </c>
      <c r="V15" s="218">
        <v>1.1000000000000001</v>
      </c>
      <c r="W15" s="218">
        <v>1.25</v>
      </c>
      <c r="X15" s="126">
        <v>1</v>
      </c>
      <c r="AA15" s="188">
        <v>46222.698009259257</v>
      </c>
      <c r="AB15" s="131">
        <v>1</v>
      </c>
      <c r="AC15" s="126">
        <v>6</v>
      </c>
      <c r="AD15" s="126">
        <v>2026</v>
      </c>
    </row>
    <row r="16" spans="2:32" ht="23.1" customHeight="1">
      <c r="C16" s="126">
        <v>9</v>
      </c>
      <c r="D16" s="126">
        <v>48</v>
      </c>
      <c r="E16" s="141" t="s">
        <v>596</v>
      </c>
      <c r="F16" s="163" t="s">
        <v>597</v>
      </c>
      <c r="G16" s="162">
        <v>46174</v>
      </c>
      <c r="H16" s="131">
        <v>1</v>
      </c>
      <c r="I16" s="131">
        <v>1</v>
      </c>
      <c r="J16" s="141" t="s">
        <v>551</v>
      </c>
      <c r="K16" s="141">
        <v>1</v>
      </c>
      <c r="N16" s="141">
        <v>2</v>
      </c>
      <c r="U16" s="126">
        <v>-3</v>
      </c>
      <c r="V16" s="218">
        <v>0.12</v>
      </c>
      <c r="W16" s="218">
        <v>0.25</v>
      </c>
      <c r="X16" s="126">
        <v>1</v>
      </c>
      <c r="AA16" s="188">
        <v>46222.698009259257</v>
      </c>
      <c r="AB16" s="131">
        <v>1</v>
      </c>
      <c r="AC16" s="126">
        <v>6</v>
      </c>
      <c r="AD16" s="126">
        <v>2026</v>
      </c>
    </row>
    <row r="17" spans="3:30" ht="23.1" customHeight="1">
      <c r="C17" s="126">
        <v>10</v>
      </c>
      <c r="D17" s="126">
        <v>169</v>
      </c>
      <c r="E17" s="141" t="s">
        <v>601</v>
      </c>
      <c r="F17" s="163" t="s">
        <v>602</v>
      </c>
      <c r="G17" s="162">
        <v>46174</v>
      </c>
      <c r="H17" s="131">
        <v>1</v>
      </c>
      <c r="I17" s="131">
        <v>1</v>
      </c>
      <c r="J17" s="141" t="s">
        <v>551</v>
      </c>
      <c r="K17" s="141">
        <v>1</v>
      </c>
      <c r="N17" s="141">
        <v>2</v>
      </c>
      <c r="U17" s="126">
        <v>-1</v>
      </c>
      <c r="V17" s="218">
        <v>0.5</v>
      </c>
      <c r="W17" s="218">
        <v>0.63</v>
      </c>
      <c r="X17" s="126">
        <v>1</v>
      </c>
      <c r="AA17" s="188">
        <v>46222.698009259257</v>
      </c>
      <c r="AB17" s="131">
        <v>1</v>
      </c>
      <c r="AC17" s="126">
        <v>6</v>
      </c>
      <c r="AD17" s="126">
        <v>2026</v>
      </c>
    </row>
    <row r="18" spans="3:30" ht="23.1" customHeight="1">
      <c r="C18" s="126">
        <v>11</v>
      </c>
      <c r="D18" s="126">
        <v>195</v>
      </c>
      <c r="E18" s="141" t="s">
        <v>608</v>
      </c>
      <c r="F18" s="163" t="s">
        <v>609</v>
      </c>
      <c r="G18" s="162">
        <v>46175</v>
      </c>
      <c r="H18" s="131">
        <v>1</v>
      </c>
      <c r="I18" s="131">
        <v>1</v>
      </c>
      <c r="J18" s="141" t="s">
        <v>551</v>
      </c>
      <c r="K18" s="141">
        <v>1</v>
      </c>
      <c r="N18" s="141">
        <v>3</v>
      </c>
      <c r="U18" s="126">
        <v>-12</v>
      </c>
      <c r="V18" s="218">
        <v>6.28</v>
      </c>
      <c r="W18" s="218">
        <v>6</v>
      </c>
      <c r="X18" s="126">
        <v>1</v>
      </c>
      <c r="AA18" s="188">
        <v>46223.450949074075</v>
      </c>
      <c r="AB18" s="131">
        <v>1</v>
      </c>
      <c r="AC18" s="126">
        <v>6</v>
      </c>
      <c r="AD18" s="126">
        <v>2026</v>
      </c>
    </row>
    <row r="19" spans="3:30" ht="23.1" customHeight="1">
      <c r="C19" s="126">
        <v>12</v>
      </c>
      <c r="D19" s="126">
        <v>187</v>
      </c>
      <c r="E19" s="141" t="s">
        <v>576</v>
      </c>
      <c r="F19" s="163" t="s">
        <v>577</v>
      </c>
      <c r="G19" s="162">
        <v>46175</v>
      </c>
      <c r="H19" s="131">
        <v>1</v>
      </c>
      <c r="I19" s="131">
        <v>1</v>
      </c>
      <c r="J19" s="141" t="s">
        <v>551</v>
      </c>
      <c r="K19" s="141">
        <v>1</v>
      </c>
      <c r="N19" s="141">
        <v>3</v>
      </c>
      <c r="U19" s="126">
        <v>-8</v>
      </c>
      <c r="V19" s="218">
        <v>3.37</v>
      </c>
      <c r="W19" s="218">
        <v>3.5</v>
      </c>
      <c r="X19" s="126">
        <v>1</v>
      </c>
      <c r="AA19" s="188">
        <v>46223.450949074075</v>
      </c>
      <c r="AB19" s="131">
        <v>1</v>
      </c>
      <c r="AC19" s="126">
        <v>6</v>
      </c>
      <c r="AD19" s="126">
        <v>2026</v>
      </c>
    </row>
    <row r="20" spans="3:30" ht="23.1" customHeight="1">
      <c r="C20" s="126">
        <v>13</v>
      </c>
      <c r="D20" s="126">
        <v>186</v>
      </c>
      <c r="E20" s="141" t="s">
        <v>616</v>
      </c>
      <c r="F20" s="163" t="s">
        <v>617</v>
      </c>
      <c r="G20" s="162">
        <v>46175</v>
      </c>
      <c r="H20" s="131">
        <v>1</v>
      </c>
      <c r="I20" s="131">
        <v>1</v>
      </c>
      <c r="J20" s="141" t="s">
        <v>551</v>
      </c>
      <c r="K20" s="141">
        <v>1</v>
      </c>
      <c r="N20" s="141">
        <v>3</v>
      </c>
      <c r="U20" s="126">
        <v>-12</v>
      </c>
      <c r="V20" s="218">
        <v>12</v>
      </c>
      <c r="W20" s="218">
        <v>12</v>
      </c>
      <c r="X20" s="126">
        <v>1</v>
      </c>
      <c r="AA20" s="188">
        <v>46223.450949074075</v>
      </c>
      <c r="AB20" s="131">
        <v>1</v>
      </c>
      <c r="AC20" s="126">
        <v>6</v>
      </c>
      <c r="AD20" s="126">
        <v>2026</v>
      </c>
    </row>
    <row r="21" spans="3:30" ht="23.1" customHeight="1">
      <c r="C21" s="126">
        <v>14</v>
      </c>
      <c r="D21" s="126">
        <v>195</v>
      </c>
      <c r="E21" s="141" t="s">
        <v>608</v>
      </c>
      <c r="F21" s="163" t="s">
        <v>609</v>
      </c>
      <c r="G21" s="162">
        <v>46175</v>
      </c>
      <c r="H21" s="131">
        <v>1</v>
      </c>
      <c r="I21" s="131">
        <v>1</v>
      </c>
      <c r="J21" s="141" t="s">
        <v>551</v>
      </c>
      <c r="K21" s="141">
        <v>1</v>
      </c>
      <c r="N21" s="141">
        <v>3</v>
      </c>
      <c r="U21" s="126">
        <v>-12</v>
      </c>
      <c r="V21" s="218">
        <v>6.28</v>
      </c>
      <c r="W21" s="218">
        <v>7</v>
      </c>
      <c r="X21" s="126">
        <v>1</v>
      </c>
      <c r="AA21" s="188">
        <v>46223.450949074075</v>
      </c>
      <c r="AB21" s="131">
        <v>1</v>
      </c>
      <c r="AC21" s="126">
        <v>6</v>
      </c>
      <c r="AD21" s="126">
        <v>2026</v>
      </c>
    </row>
    <row r="22" spans="3:30" ht="23.1" customHeight="1">
      <c r="C22" s="126">
        <v>15</v>
      </c>
      <c r="D22" s="126">
        <v>187</v>
      </c>
      <c r="E22" s="141" t="s">
        <v>576</v>
      </c>
      <c r="F22" s="163" t="s">
        <v>577</v>
      </c>
      <c r="G22" s="162">
        <v>46175</v>
      </c>
      <c r="H22" s="131">
        <v>1</v>
      </c>
      <c r="I22" s="131">
        <v>1</v>
      </c>
      <c r="J22" s="141" t="s">
        <v>551</v>
      </c>
      <c r="K22" s="141">
        <v>1</v>
      </c>
      <c r="N22" s="141">
        <v>4</v>
      </c>
      <c r="U22" s="126">
        <v>-24</v>
      </c>
      <c r="V22" s="218">
        <v>3.37</v>
      </c>
      <c r="W22" s="218">
        <v>3.5</v>
      </c>
      <c r="X22" s="126">
        <v>1</v>
      </c>
      <c r="AA22" s="188">
        <v>46223.52480324074</v>
      </c>
      <c r="AB22" s="131">
        <v>1</v>
      </c>
      <c r="AC22" s="126">
        <v>6</v>
      </c>
      <c r="AD22" s="126">
        <v>2026</v>
      </c>
    </row>
    <row r="23" spans="3:30" ht="23.1" customHeight="1">
      <c r="C23" s="126">
        <v>16</v>
      </c>
      <c r="D23" s="126">
        <v>182</v>
      </c>
      <c r="E23" s="141" t="s">
        <v>627</v>
      </c>
      <c r="F23" s="163" t="s">
        <v>628</v>
      </c>
      <c r="G23" s="162">
        <v>46175</v>
      </c>
      <c r="H23" s="131">
        <v>1</v>
      </c>
      <c r="I23" s="131">
        <v>1</v>
      </c>
      <c r="J23" s="141" t="s">
        <v>551</v>
      </c>
      <c r="K23" s="141">
        <v>1</v>
      </c>
      <c r="N23" s="141">
        <v>4</v>
      </c>
      <c r="U23" s="126">
        <v>-60</v>
      </c>
      <c r="V23" s="218">
        <v>2</v>
      </c>
      <c r="W23" s="218">
        <v>3</v>
      </c>
      <c r="X23" s="126">
        <v>1</v>
      </c>
      <c r="AA23" s="188">
        <v>46223.52480324074</v>
      </c>
      <c r="AB23" s="131">
        <v>1</v>
      </c>
      <c r="AC23" s="126">
        <v>6</v>
      </c>
      <c r="AD23" s="126">
        <v>2026</v>
      </c>
    </row>
    <row r="24" spans="3:30" ht="23.1" customHeight="1">
      <c r="C24" s="126">
        <v>17</v>
      </c>
      <c r="D24" s="126">
        <v>96</v>
      </c>
      <c r="E24" s="141" t="s">
        <v>632</v>
      </c>
      <c r="F24" s="163" t="s">
        <v>633</v>
      </c>
      <c r="G24" s="162">
        <v>46175</v>
      </c>
      <c r="H24" s="131">
        <v>1</v>
      </c>
      <c r="I24" s="131">
        <v>1</v>
      </c>
      <c r="J24" s="141" t="s">
        <v>551</v>
      </c>
      <c r="K24" s="141">
        <v>1</v>
      </c>
      <c r="N24" s="141">
        <v>4</v>
      </c>
      <c r="U24" s="126">
        <v>-2</v>
      </c>
      <c r="V24" s="218">
        <v>0.27</v>
      </c>
      <c r="W24" s="218">
        <v>0.38</v>
      </c>
      <c r="X24" s="126">
        <v>1</v>
      </c>
      <c r="Z24" s="228"/>
      <c r="AA24" s="188">
        <v>46223.52480324074</v>
      </c>
      <c r="AB24" s="131">
        <v>1</v>
      </c>
      <c r="AC24" s="126">
        <v>6</v>
      </c>
      <c r="AD24" s="126">
        <v>2026</v>
      </c>
    </row>
    <row r="25" spans="3:30" ht="23.1" customHeight="1">
      <c r="C25" s="126">
        <v>18</v>
      </c>
      <c r="D25" s="126">
        <v>97</v>
      </c>
      <c r="E25" s="141" t="s">
        <v>637</v>
      </c>
      <c r="F25" s="163" t="s">
        <v>638</v>
      </c>
      <c r="G25" s="162">
        <v>46175</v>
      </c>
      <c r="H25" s="131">
        <v>1</v>
      </c>
      <c r="I25" s="131">
        <v>1</v>
      </c>
      <c r="J25" s="141" t="s">
        <v>551</v>
      </c>
      <c r="K25" s="141">
        <v>1</v>
      </c>
      <c r="N25" s="141">
        <v>4</v>
      </c>
      <c r="U25" s="126">
        <v>-2</v>
      </c>
      <c r="V25" s="218">
        <v>0.3</v>
      </c>
      <c r="W25" s="218">
        <v>1.37</v>
      </c>
      <c r="X25" s="126">
        <v>1</v>
      </c>
      <c r="AA25" s="188">
        <v>46223.52480324074</v>
      </c>
      <c r="AB25" s="131">
        <v>1</v>
      </c>
      <c r="AC25" s="126">
        <v>6</v>
      </c>
      <c r="AD25" s="126">
        <v>2026</v>
      </c>
    </row>
    <row r="26" spans="3:30" ht="23.1" customHeight="1">
      <c r="C26" s="126">
        <v>19</v>
      </c>
      <c r="D26" s="126">
        <v>22</v>
      </c>
      <c r="E26" s="141" t="s">
        <v>642</v>
      </c>
      <c r="F26" s="163" t="s">
        <v>643</v>
      </c>
      <c r="G26" s="162">
        <v>46175</v>
      </c>
      <c r="H26" s="131">
        <v>1</v>
      </c>
      <c r="I26" s="131">
        <v>1</v>
      </c>
      <c r="J26" s="141" t="s">
        <v>551</v>
      </c>
      <c r="K26" s="141">
        <v>1</v>
      </c>
      <c r="N26" s="141">
        <v>4</v>
      </c>
      <c r="U26" s="126">
        <v>-1</v>
      </c>
      <c r="V26" s="218">
        <v>2.9</v>
      </c>
      <c r="W26" s="218">
        <v>3.25</v>
      </c>
      <c r="X26" s="126">
        <v>1</v>
      </c>
      <c r="AA26" s="188">
        <v>46223.52480324074</v>
      </c>
      <c r="AB26" s="131">
        <v>1</v>
      </c>
      <c r="AC26" s="126">
        <v>6</v>
      </c>
      <c r="AD26" s="126">
        <v>2026</v>
      </c>
    </row>
    <row r="27" spans="3:30" ht="23.1" customHeight="1">
      <c r="C27" s="126">
        <v>20</v>
      </c>
      <c r="D27" s="126">
        <v>46</v>
      </c>
      <c r="E27" s="141" t="s">
        <v>647</v>
      </c>
      <c r="F27" s="163" t="s">
        <v>648</v>
      </c>
      <c r="G27" s="162">
        <v>46175</v>
      </c>
      <c r="H27" s="131">
        <v>1</v>
      </c>
      <c r="I27" s="131">
        <v>1</v>
      </c>
      <c r="J27" s="141" t="s">
        <v>551</v>
      </c>
      <c r="K27" s="141">
        <v>1</v>
      </c>
      <c r="N27" s="141">
        <v>4</v>
      </c>
      <c r="U27" s="126">
        <v>-10</v>
      </c>
      <c r="V27" s="218">
        <v>0.15</v>
      </c>
      <c r="W27" s="218">
        <v>0.3</v>
      </c>
      <c r="X27" s="126">
        <v>1</v>
      </c>
      <c r="AA27" s="188">
        <v>46223.52480324074</v>
      </c>
      <c r="AB27" s="131">
        <v>1</v>
      </c>
      <c r="AC27" s="126">
        <v>6</v>
      </c>
      <c r="AD27" s="126">
        <v>2026</v>
      </c>
    </row>
    <row r="28" spans="3:30" ht="23.1" customHeight="1">
      <c r="C28" s="126">
        <v>21</v>
      </c>
      <c r="D28" s="126">
        <v>197</v>
      </c>
      <c r="E28" s="141" t="s">
        <v>652</v>
      </c>
      <c r="F28" s="163" t="s">
        <v>653</v>
      </c>
      <c r="G28" s="162">
        <v>46175</v>
      </c>
      <c r="H28" s="131">
        <v>1</v>
      </c>
      <c r="I28" s="131">
        <v>1</v>
      </c>
      <c r="J28" s="141" t="s">
        <v>551</v>
      </c>
      <c r="K28" s="141">
        <v>1</v>
      </c>
      <c r="N28" s="141">
        <v>4</v>
      </c>
      <c r="U28" s="126">
        <v>-4</v>
      </c>
      <c r="V28" s="218">
        <v>8.36</v>
      </c>
      <c r="W28" s="218">
        <v>8.75</v>
      </c>
      <c r="X28" s="126">
        <v>1</v>
      </c>
      <c r="AA28" s="188">
        <v>46223.52480324074</v>
      </c>
      <c r="AB28" s="131">
        <v>1</v>
      </c>
      <c r="AC28" s="126">
        <v>6</v>
      </c>
      <c r="AD28" s="126">
        <v>2026</v>
      </c>
    </row>
    <row r="29" spans="3:30" ht="23.1" customHeight="1">
      <c r="C29" s="126">
        <v>22</v>
      </c>
      <c r="D29" s="126">
        <v>187</v>
      </c>
      <c r="E29" s="141" t="s">
        <v>576</v>
      </c>
      <c r="F29" s="163" t="s">
        <v>577</v>
      </c>
      <c r="G29" s="162">
        <v>46175</v>
      </c>
      <c r="H29" s="131">
        <v>1</v>
      </c>
      <c r="I29" s="131">
        <v>1</v>
      </c>
      <c r="J29" s="141" t="s">
        <v>551</v>
      </c>
      <c r="K29" s="141">
        <v>1</v>
      </c>
      <c r="N29" s="141">
        <v>5</v>
      </c>
      <c r="U29" s="126">
        <v>-12</v>
      </c>
      <c r="V29" s="218">
        <v>3.37</v>
      </c>
      <c r="W29" s="218">
        <v>3.5</v>
      </c>
      <c r="X29" s="126">
        <v>1</v>
      </c>
      <c r="AA29" s="188">
        <v>46223.656875000001</v>
      </c>
      <c r="AB29" s="131">
        <v>1</v>
      </c>
      <c r="AC29" s="126">
        <v>6</v>
      </c>
      <c r="AD29" s="126">
        <v>2026</v>
      </c>
    </row>
    <row r="30" spans="3:30" ht="23.1" customHeight="1">
      <c r="C30" s="126">
        <v>23</v>
      </c>
      <c r="D30" s="126">
        <v>17</v>
      </c>
      <c r="E30" s="141" t="s">
        <v>662</v>
      </c>
      <c r="F30" s="163" t="s">
        <v>663</v>
      </c>
      <c r="G30" s="162">
        <v>46175</v>
      </c>
      <c r="H30" s="131">
        <v>1</v>
      </c>
      <c r="I30" s="131">
        <v>1</v>
      </c>
      <c r="J30" s="141" t="s">
        <v>551</v>
      </c>
      <c r="K30" s="141">
        <v>1</v>
      </c>
      <c r="N30" s="141">
        <v>5</v>
      </c>
      <c r="U30" s="126">
        <v>-1</v>
      </c>
      <c r="V30" s="218">
        <v>1.63</v>
      </c>
      <c r="W30" s="218">
        <v>2.25</v>
      </c>
      <c r="X30" s="126">
        <v>1</v>
      </c>
      <c r="AA30" s="188">
        <v>46223.656875000001</v>
      </c>
      <c r="AB30" s="131">
        <v>1</v>
      </c>
      <c r="AC30" s="126">
        <v>6</v>
      </c>
      <c r="AD30" s="126">
        <v>2026</v>
      </c>
    </row>
    <row r="31" spans="3:30" ht="23.1" customHeight="1">
      <c r="C31" s="126">
        <v>24</v>
      </c>
      <c r="D31" s="126">
        <v>155</v>
      </c>
      <c r="E31" s="141" t="s">
        <v>667</v>
      </c>
      <c r="F31" s="163" t="s">
        <v>668</v>
      </c>
      <c r="G31" s="162">
        <v>46175</v>
      </c>
      <c r="H31" s="131">
        <v>1</v>
      </c>
      <c r="I31" s="131">
        <v>1</v>
      </c>
      <c r="J31" s="141" t="s">
        <v>551</v>
      </c>
      <c r="K31" s="141">
        <v>1</v>
      </c>
      <c r="N31" s="141">
        <v>5</v>
      </c>
      <c r="U31" s="126">
        <v>-1</v>
      </c>
      <c r="V31" s="218">
        <v>14.5</v>
      </c>
      <c r="W31" s="218">
        <v>15</v>
      </c>
      <c r="X31" s="126">
        <v>1</v>
      </c>
      <c r="AA31" s="188">
        <v>46223.656875000001</v>
      </c>
      <c r="AB31" s="131">
        <v>1</v>
      </c>
      <c r="AC31" s="126">
        <v>6</v>
      </c>
      <c r="AD31" s="126">
        <v>2026</v>
      </c>
    </row>
    <row r="32" spans="3:30" ht="23.1" customHeight="1">
      <c r="C32" s="126">
        <v>25</v>
      </c>
      <c r="D32" s="126">
        <v>1</v>
      </c>
      <c r="E32" s="141" t="s">
        <v>677</v>
      </c>
      <c r="F32" s="163" t="s">
        <v>678</v>
      </c>
      <c r="G32" s="162">
        <v>46143</v>
      </c>
      <c r="H32" s="131">
        <v>1</v>
      </c>
      <c r="I32" s="131">
        <v>1</v>
      </c>
      <c r="J32" s="141" t="s">
        <v>681</v>
      </c>
      <c r="L32" s="141">
        <v>2</v>
      </c>
      <c r="Q32" s="141">
        <v>1</v>
      </c>
      <c r="U32" s="126">
        <v>4</v>
      </c>
      <c r="V32" s="218">
        <v>27.34</v>
      </c>
      <c r="W32" s="218">
        <v>0</v>
      </c>
      <c r="X32" s="126">
        <v>1</v>
      </c>
      <c r="AA32" s="188">
        <v>46224.761064814818</v>
      </c>
      <c r="AB32" s="131">
        <v>1</v>
      </c>
      <c r="AC32" s="126">
        <v>5</v>
      </c>
      <c r="AD32" s="126">
        <v>2026</v>
      </c>
    </row>
    <row r="33" spans="3:30" ht="23.1" customHeight="1">
      <c r="C33" s="126">
        <v>26</v>
      </c>
      <c r="D33" s="126">
        <v>2</v>
      </c>
      <c r="E33" s="141" t="s">
        <v>682</v>
      </c>
      <c r="F33" s="163" t="s">
        <v>683</v>
      </c>
      <c r="G33" s="162">
        <v>46143</v>
      </c>
      <c r="H33" s="131">
        <v>1</v>
      </c>
      <c r="I33" s="131">
        <v>1</v>
      </c>
      <c r="J33" s="141" t="s">
        <v>681</v>
      </c>
      <c r="L33" s="141">
        <v>2</v>
      </c>
      <c r="Q33" s="141">
        <v>1</v>
      </c>
      <c r="U33" s="126">
        <v>5</v>
      </c>
      <c r="V33" s="218">
        <v>11.32</v>
      </c>
      <c r="W33" s="218">
        <v>0</v>
      </c>
      <c r="X33" s="126">
        <v>1</v>
      </c>
      <c r="AA33" s="188">
        <v>46224.761064814818</v>
      </c>
      <c r="AB33" s="131">
        <v>1</v>
      </c>
      <c r="AC33" s="126">
        <v>5</v>
      </c>
      <c r="AD33" s="126">
        <v>2026</v>
      </c>
    </row>
    <row r="34" spans="3:30" ht="23.1" customHeight="1">
      <c r="C34" s="126">
        <v>27</v>
      </c>
      <c r="D34" s="126">
        <v>4</v>
      </c>
      <c r="E34" s="141" t="s">
        <v>581</v>
      </c>
      <c r="F34" s="163" t="s">
        <v>582</v>
      </c>
      <c r="G34" s="162">
        <v>46143</v>
      </c>
      <c r="H34" s="131">
        <v>1</v>
      </c>
      <c r="I34" s="131">
        <v>1</v>
      </c>
      <c r="J34" s="141" t="s">
        <v>681</v>
      </c>
      <c r="L34" s="141">
        <v>2</v>
      </c>
      <c r="Q34" s="141">
        <v>1</v>
      </c>
      <c r="U34" s="126">
        <v>7</v>
      </c>
      <c r="V34" s="218">
        <v>5.8</v>
      </c>
      <c r="W34" s="218">
        <v>0</v>
      </c>
      <c r="X34" s="126">
        <v>1</v>
      </c>
      <c r="AA34" s="188">
        <v>46224.761064814818</v>
      </c>
      <c r="AB34" s="131">
        <v>1</v>
      </c>
      <c r="AC34" s="126">
        <v>5</v>
      </c>
      <c r="AD34" s="126">
        <v>2026</v>
      </c>
    </row>
    <row r="35" spans="3:30" ht="23.1" customHeight="1">
      <c r="C35" s="126">
        <v>28</v>
      </c>
      <c r="D35" s="126">
        <v>5</v>
      </c>
      <c r="E35" s="141" t="s">
        <v>686</v>
      </c>
      <c r="F35" s="163" t="s">
        <v>687</v>
      </c>
      <c r="G35" s="162">
        <v>46143</v>
      </c>
      <c r="H35" s="131">
        <v>1</v>
      </c>
      <c r="I35" s="131">
        <v>1</v>
      </c>
      <c r="J35" s="141" t="s">
        <v>681</v>
      </c>
      <c r="L35" s="141">
        <v>2</v>
      </c>
      <c r="Q35" s="141">
        <v>1</v>
      </c>
      <c r="U35" s="126">
        <v>6</v>
      </c>
      <c r="V35" s="218">
        <v>3.74</v>
      </c>
      <c r="W35" s="218">
        <v>0</v>
      </c>
      <c r="X35" s="126">
        <v>1</v>
      </c>
      <c r="AA35" s="188">
        <v>46224.761064814818</v>
      </c>
      <c r="AB35" s="131">
        <v>1</v>
      </c>
      <c r="AC35" s="126">
        <v>5</v>
      </c>
      <c r="AD35" s="126">
        <v>2026</v>
      </c>
    </row>
    <row r="36" spans="3:30" ht="23.1" customHeight="1">
      <c r="C36" s="126">
        <v>29</v>
      </c>
      <c r="D36" s="126">
        <v>10</v>
      </c>
      <c r="E36" s="141" t="s">
        <v>586</v>
      </c>
      <c r="F36" s="163" t="s">
        <v>587</v>
      </c>
      <c r="G36" s="162">
        <v>46143</v>
      </c>
      <c r="H36" s="131">
        <v>1</v>
      </c>
      <c r="I36" s="131">
        <v>1</v>
      </c>
      <c r="J36" s="141" t="s">
        <v>681</v>
      </c>
      <c r="L36" s="141">
        <v>2</v>
      </c>
      <c r="Q36" s="141">
        <v>1</v>
      </c>
      <c r="U36" s="126">
        <v>10</v>
      </c>
      <c r="V36" s="218">
        <v>14.85</v>
      </c>
      <c r="W36" s="218">
        <v>0</v>
      </c>
      <c r="X36" s="126">
        <v>1</v>
      </c>
      <c r="AA36" s="188">
        <v>46224.761064814818</v>
      </c>
      <c r="AB36" s="131">
        <v>1</v>
      </c>
      <c r="AC36" s="126">
        <v>5</v>
      </c>
      <c r="AD36" s="126">
        <v>2026</v>
      </c>
    </row>
    <row r="37" spans="3:30" ht="23.1" customHeight="1">
      <c r="C37" s="126">
        <v>30</v>
      </c>
      <c r="D37" s="126">
        <v>11</v>
      </c>
      <c r="E37" s="141" t="s">
        <v>690</v>
      </c>
      <c r="F37" s="163" t="s">
        <v>691</v>
      </c>
      <c r="G37" s="162">
        <v>46143</v>
      </c>
      <c r="H37" s="131">
        <v>1</v>
      </c>
      <c r="I37" s="131">
        <v>1</v>
      </c>
      <c r="J37" s="141" t="s">
        <v>681</v>
      </c>
      <c r="L37" s="141">
        <v>2</v>
      </c>
      <c r="Q37" s="141">
        <v>1</v>
      </c>
      <c r="U37" s="126">
        <v>10</v>
      </c>
      <c r="V37" s="218">
        <v>9.52</v>
      </c>
      <c r="W37" s="218">
        <v>0</v>
      </c>
      <c r="X37" s="126">
        <v>1</v>
      </c>
      <c r="AA37" s="188">
        <v>46224.761064814818</v>
      </c>
      <c r="AB37" s="131">
        <v>1</v>
      </c>
      <c r="AC37" s="126">
        <v>5</v>
      </c>
      <c r="AD37" s="126">
        <v>2026</v>
      </c>
    </row>
    <row r="38" spans="3:30" ht="23.1" customHeight="1">
      <c r="C38" s="126">
        <v>31</v>
      </c>
      <c r="D38" s="126">
        <v>13</v>
      </c>
      <c r="E38" s="141" t="s">
        <v>693</v>
      </c>
      <c r="F38" s="163" t="s">
        <v>694</v>
      </c>
      <c r="G38" s="162">
        <v>46143</v>
      </c>
      <c r="H38" s="131">
        <v>1</v>
      </c>
      <c r="I38" s="131">
        <v>1</v>
      </c>
      <c r="J38" s="141" t="s">
        <v>681</v>
      </c>
      <c r="L38" s="141">
        <v>2</v>
      </c>
      <c r="Q38" s="141">
        <v>1</v>
      </c>
      <c r="U38" s="126">
        <v>8</v>
      </c>
      <c r="V38" s="218">
        <v>5.3</v>
      </c>
      <c r="W38" s="218">
        <v>0</v>
      </c>
      <c r="X38" s="126">
        <v>1</v>
      </c>
      <c r="AA38" s="188">
        <v>46224.761064814818</v>
      </c>
      <c r="AB38" s="131">
        <v>1</v>
      </c>
      <c r="AC38" s="126">
        <v>5</v>
      </c>
      <c r="AD38" s="126">
        <v>2026</v>
      </c>
    </row>
    <row r="39" spans="3:30" ht="23.1" customHeight="1">
      <c r="C39" s="126">
        <v>32</v>
      </c>
      <c r="D39" s="126">
        <v>14</v>
      </c>
      <c r="E39" s="141" t="s">
        <v>696</v>
      </c>
      <c r="F39" s="163" t="s">
        <v>697</v>
      </c>
      <c r="G39" s="162">
        <v>46143</v>
      </c>
      <c r="H39" s="131">
        <v>1</v>
      </c>
      <c r="I39" s="131">
        <v>1</v>
      </c>
      <c r="J39" s="141" t="s">
        <v>681</v>
      </c>
      <c r="L39" s="141">
        <v>2</v>
      </c>
      <c r="Q39" s="141">
        <v>1</v>
      </c>
      <c r="U39" s="126">
        <v>12</v>
      </c>
      <c r="V39" s="218">
        <v>3.3</v>
      </c>
      <c r="W39" s="218">
        <v>0</v>
      </c>
      <c r="X39" s="126">
        <v>1</v>
      </c>
      <c r="AA39" s="188">
        <v>46224.761064814818</v>
      </c>
      <c r="AB39" s="131">
        <v>1</v>
      </c>
      <c r="AC39" s="126">
        <v>5</v>
      </c>
      <c r="AD39" s="126">
        <v>2026</v>
      </c>
    </row>
    <row r="40" spans="3:30" ht="23.1" customHeight="1">
      <c r="C40" s="126">
        <v>33</v>
      </c>
      <c r="D40" s="126">
        <v>16</v>
      </c>
      <c r="E40" s="141" t="s">
        <v>699</v>
      </c>
      <c r="F40" s="163" t="s">
        <v>700</v>
      </c>
      <c r="G40" s="162">
        <v>46143</v>
      </c>
      <c r="H40" s="131">
        <v>1</v>
      </c>
      <c r="I40" s="131">
        <v>1</v>
      </c>
      <c r="J40" s="141" t="s">
        <v>681</v>
      </c>
      <c r="L40" s="141">
        <v>2</v>
      </c>
      <c r="Q40" s="141">
        <v>1</v>
      </c>
      <c r="U40" s="126">
        <v>15</v>
      </c>
      <c r="V40" s="218">
        <v>2.1</v>
      </c>
      <c r="W40" s="218">
        <v>0</v>
      </c>
      <c r="X40" s="126">
        <v>1</v>
      </c>
      <c r="AA40" s="188">
        <v>46224.761064814818</v>
      </c>
      <c r="AB40" s="131">
        <v>1</v>
      </c>
      <c r="AC40" s="126">
        <v>5</v>
      </c>
      <c r="AD40" s="126">
        <v>2026</v>
      </c>
    </row>
    <row r="41" spans="3:30" ht="23.1" customHeight="1">
      <c r="C41" s="126">
        <v>34</v>
      </c>
      <c r="D41" s="126">
        <v>17</v>
      </c>
      <c r="E41" s="141" t="s">
        <v>662</v>
      </c>
      <c r="F41" s="163" t="s">
        <v>663</v>
      </c>
      <c r="G41" s="162">
        <v>46143</v>
      </c>
      <c r="H41" s="131">
        <v>1</v>
      </c>
      <c r="I41" s="131">
        <v>1</v>
      </c>
      <c r="J41" s="141" t="s">
        <v>681</v>
      </c>
      <c r="L41" s="141">
        <v>2</v>
      </c>
      <c r="Q41" s="141">
        <v>1</v>
      </c>
      <c r="U41" s="126">
        <v>20</v>
      </c>
      <c r="V41" s="218">
        <v>1.63</v>
      </c>
      <c r="W41" s="218">
        <v>0</v>
      </c>
      <c r="X41" s="126">
        <v>1</v>
      </c>
      <c r="AA41" s="188">
        <v>46224.761064814818</v>
      </c>
      <c r="AB41" s="131">
        <v>1</v>
      </c>
      <c r="AC41" s="126">
        <v>5</v>
      </c>
      <c r="AD41" s="126">
        <v>2026</v>
      </c>
    </row>
    <row r="42" spans="3:30" ht="23.1" customHeight="1">
      <c r="C42" s="126">
        <v>35</v>
      </c>
      <c r="D42" s="126">
        <v>18</v>
      </c>
      <c r="E42" s="141" t="s">
        <v>703</v>
      </c>
      <c r="F42" s="163" t="s">
        <v>704</v>
      </c>
      <c r="G42" s="162">
        <v>46143</v>
      </c>
      <c r="H42" s="131">
        <v>1</v>
      </c>
      <c r="I42" s="131">
        <v>1</v>
      </c>
      <c r="J42" s="141" t="s">
        <v>681</v>
      </c>
      <c r="L42" s="141">
        <v>2</v>
      </c>
      <c r="Q42" s="141">
        <v>1</v>
      </c>
      <c r="U42" s="126">
        <v>18</v>
      </c>
      <c r="V42" s="218">
        <v>1.35</v>
      </c>
      <c r="W42" s="218">
        <v>0</v>
      </c>
      <c r="X42" s="126">
        <v>1</v>
      </c>
      <c r="AA42" s="188">
        <v>46224.761064814818</v>
      </c>
      <c r="AB42" s="131">
        <v>1</v>
      </c>
      <c r="AC42" s="126">
        <v>5</v>
      </c>
      <c r="AD42" s="126">
        <v>2026</v>
      </c>
    </row>
    <row r="43" spans="3:30" ht="23.1" customHeight="1">
      <c r="C43" s="126">
        <v>36</v>
      </c>
      <c r="D43" s="126">
        <v>19</v>
      </c>
      <c r="E43" s="141" t="s">
        <v>706</v>
      </c>
      <c r="F43" s="163" t="s">
        <v>707</v>
      </c>
      <c r="G43" s="162">
        <v>46143</v>
      </c>
      <c r="H43" s="131">
        <v>1</v>
      </c>
      <c r="I43" s="131">
        <v>1</v>
      </c>
      <c r="J43" s="141" t="s">
        <v>681</v>
      </c>
      <c r="L43" s="141">
        <v>2</v>
      </c>
      <c r="Q43" s="141">
        <v>1</v>
      </c>
      <c r="U43" s="126">
        <v>5</v>
      </c>
      <c r="V43" s="218">
        <v>7.49</v>
      </c>
      <c r="W43" s="218">
        <v>0</v>
      </c>
      <c r="X43" s="126">
        <v>1</v>
      </c>
      <c r="AA43" s="188">
        <v>46224.761064814818</v>
      </c>
      <c r="AB43" s="131">
        <v>1</v>
      </c>
      <c r="AC43" s="126">
        <v>5</v>
      </c>
      <c r="AD43" s="126">
        <v>2026</v>
      </c>
    </row>
    <row r="44" spans="3:30" ht="23.1" customHeight="1">
      <c r="C44" s="126">
        <v>37</v>
      </c>
      <c r="D44" s="126">
        <v>20</v>
      </c>
      <c r="E44" s="141" t="s">
        <v>709</v>
      </c>
      <c r="F44" s="163" t="s">
        <v>710</v>
      </c>
      <c r="G44" s="162">
        <v>46143</v>
      </c>
      <c r="H44" s="131">
        <v>1</v>
      </c>
      <c r="I44" s="131">
        <v>1</v>
      </c>
      <c r="J44" s="141" t="s">
        <v>681</v>
      </c>
      <c r="L44" s="141">
        <v>2</v>
      </c>
      <c r="Q44" s="141">
        <v>1</v>
      </c>
      <c r="U44" s="126">
        <v>3</v>
      </c>
      <c r="V44" s="218">
        <v>5.03</v>
      </c>
      <c r="W44" s="218">
        <v>0</v>
      </c>
      <c r="X44" s="126">
        <v>1</v>
      </c>
      <c r="AA44" s="188">
        <v>46224.761064814818</v>
      </c>
      <c r="AB44" s="131">
        <v>1</v>
      </c>
      <c r="AC44" s="126">
        <v>5</v>
      </c>
      <c r="AD44" s="126">
        <v>2026</v>
      </c>
    </row>
    <row r="45" spans="3:30" ht="23.1" customHeight="1">
      <c r="C45" s="126">
        <v>38</v>
      </c>
      <c r="D45" s="126">
        <v>22</v>
      </c>
      <c r="E45" s="141" t="s">
        <v>642</v>
      </c>
      <c r="F45" s="163" t="s">
        <v>643</v>
      </c>
      <c r="G45" s="162">
        <v>46143</v>
      </c>
      <c r="H45" s="131">
        <v>1</v>
      </c>
      <c r="I45" s="131">
        <v>1</v>
      </c>
      <c r="J45" s="141" t="s">
        <v>681</v>
      </c>
      <c r="L45" s="141">
        <v>2</v>
      </c>
      <c r="Q45" s="141">
        <v>1</v>
      </c>
      <c r="U45" s="126">
        <v>7</v>
      </c>
      <c r="V45" s="218">
        <v>2.9</v>
      </c>
      <c r="W45" s="218">
        <v>0</v>
      </c>
      <c r="X45" s="126">
        <v>1</v>
      </c>
      <c r="AA45" s="188">
        <v>46224.761064814818</v>
      </c>
      <c r="AB45" s="131">
        <v>1</v>
      </c>
      <c r="AC45" s="126">
        <v>5</v>
      </c>
      <c r="AD45" s="126">
        <v>2026</v>
      </c>
    </row>
    <row r="46" spans="3:30" ht="23.1" customHeight="1">
      <c r="C46" s="126">
        <v>39</v>
      </c>
      <c r="D46" s="126">
        <v>26</v>
      </c>
      <c r="E46" s="141" t="s">
        <v>715</v>
      </c>
      <c r="F46" s="163" t="s">
        <v>716</v>
      </c>
      <c r="G46" s="162">
        <v>46146</v>
      </c>
      <c r="H46" s="131">
        <v>1</v>
      </c>
      <c r="I46" s="131">
        <v>1</v>
      </c>
      <c r="J46" s="141" t="s">
        <v>681</v>
      </c>
      <c r="L46" s="141">
        <v>2</v>
      </c>
      <c r="Q46" s="141">
        <v>2</v>
      </c>
      <c r="U46" s="126">
        <v>5</v>
      </c>
      <c r="V46" s="218">
        <v>3.01</v>
      </c>
      <c r="W46" s="218">
        <v>0</v>
      </c>
      <c r="X46" s="126">
        <v>1</v>
      </c>
      <c r="AA46" s="188">
        <v>46224.769317129627</v>
      </c>
      <c r="AB46" s="131">
        <v>1</v>
      </c>
      <c r="AC46" s="126">
        <v>5</v>
      </c>
      <c r="AD46" s="126">
        <v>2026</v>
      </c>
    </row>
    <row r="47" spans="3:30" ht="23.1" customHeight="1">
      <c r="C47" s="126">
        <v>40</v>
      </c>
      <c r="D47" s="126">
        <v>101</v>
      </c>
      <c r="E47" s="141" t="s">
        <v>718</v>
      </c>
      <c r="F47" s="163" t="s">
        <v>719</v>
      </c>
      <c r="G47" s="162">
        <v>46146</v>
      </c>
      <c r="H47" s="131">
        <v>1</v>
      </c>
      <c r="I47" s="131">
        <v>1</v>
      </c>
      <c r="J47" s="141" t="s">
        <v>681</v>
      </c>
      <c r="L47" s="141">
        <v>2</v>
      </c>
      <c r="Q47" s="141">
        <v>2</v>
      </c>
      <c r="U47" s="126">
        <v>22500</v>
      </c>
      <c r="V47" s="218">
        <v>5</v>
      </c>
      <c r="W47" s="218">
        <v>0</v>
      </c>
      <c r="X47" s="126">
        <v>1</v>
      </c>
      <c r="AA47" s="188">
        <v>46224.769317129627</v>
      </c>
      <c r="AB47" s="131">
        <v>1</v>
      </c>
      <c r="AC47" s="126">
        <v>5</v>
      </c>
      <c r="AD47" s="126">
        <v>2026</v>
      </c>
    </row>
    <row r="48" spans="3:30" ht="23.1" customHeight="1">
      <c r="C48" s="126">
        <v>41</v>
      </c>
      <c r="D48" s="126">
        <v>102</v>
      </c>
      <c r="E48" s="141" t="s">
        <v>722</v>
      </c>
      <c r="F48" s="163" t="s">
        <v>723</v>
      </c>
      <c r="G48" s="162">
        <v>46146</v>
      </c>
      <c r="H48" s="131">
        <v>1</v>
      </c>
      <c r="I48" s="131">
        <v>1</v>
      </c>
      <c r="J48" s="141" t="s">
        <v>681</v>
      </c>
      <c r="L48" s="141">
        <v>2</v>
      </c>
      <c r="Q48" s="141">
        <v>2</v>
      </c>
      <c r="U48" s="126">
        <v>4</v>
      </c>
      <c r="V48" s="218">
        <v>4.5</v>
      </c>
      <c r="W48" s="218">
        <v>0</v>
      </c>
      <c r="X48" s="126">
        <v>1</v>
      </c>
      <c r="AA48" s="188">
        <v>46224.769317129627</v>
      </c>
      <c r="AB48" s="131">
        <v>1</v>
      </c>
      <c r="AC48" s="126">
        <v>5</v>
      </c>
      <c r="AD48" s="126">
        <v>2026</v>
      </c>
    </row>
    <row r="49" spans="3:30" ht="23.1" customHeight="1">
      <c r="C49" s="126">
        <v>42</v>
      </c>
      <c r="D49" s="126">
        <v>125</v>
      </c>
      <c r="E49" s="141" t="s">
        <v>726</v>
      </c>
      <c r="F49" s="163" t="s">
        <v>727</v>
      </c>
      <c r="G49" s="162">
        <v>46146</v>
      </c>
      <c r="H49" s="131">
        <v>1</v>
      </c>
      <c r="I49" s="131">
        <v>1</v>
      </c>
      <c r="J49" s="141" t="s">
        <v>681</v>
      </c>
      <c r="L49" s="141">
        <v>2</v>
      </c>
      <c r="Q49" s="141">
        <v>2</v>
      </c>
      <c r="U49" s="126">
        <v>700</v>
      </c>
      <c r="V49" s="218">
        <v>4</v>
      </c>
      <c r="W49" s="218">
        <v>0</v>
      </c>
      <c r="X49" s="126">
        <v>1</v>
      </c>
      <c r="AA49" s="188">
        <v>46224.769317129627</v>
      </c>
      <c r="AB49" s="131">
        <v>1</v>
      </c>
      <c r="AC49" s="126">
        <v>5</v>
      </c>
      <c r="AD49" s="126">
        <v>2026</v>
      </c>
    </row>
    <row r="50" spans="3:30" ht="23.1" customHeight="1">
      <c r="C50" s="126">
        <v>43</v>
      </c>
      <c r="D50" s="126">
        <v>152</v>
      </c>
      <c r="E50" s="141" t="s">
        <v>730</v>
      </c>
      <c r="F50" s="163" t="s">
        <v>731</v>
      </c>
      <c r="G50" s="162">
        <v>46146</v>
      </c>
      <c r="H50" s="131">
        <v>1</v>
      </c>
      <c r="I50" s="131">
        <v>1</v>
      </c>
      <c r="J50" s="141" t="s">
        <v>681</v>
      </c>
      <c r="L50" s="141">
        <v>2</v>
      </c>
      <c r="Q50" s="141">
        <v>2</v>
      </c>
      <c r="U50" s="126">
        <v>3</v>
      </c>
      <c r="V50" s="218">
        <v>11.25</v>
      </c>
      <c r="W50" s="218">
        <v>0</v>
      </c>
      <c r="X50" s="126">
        <v>1</v>
      </c>
      <c r="AA50" s="188">
        <v>46224.769317129627</v>
      </c>
      <c r="AB50" s="131">
        <v>1</v>
      </c>
      <c r="AC50" s="126">
        <v>5</v>
      </c>
      <c r="AD50" s="126">
        <v>2026</v>
      </c>
    </row>
    <row r="51" spans="3:30" ht="23.1" customHeight="1">
      <c r="C51" s="126">
        <v>44</v>
      </c>
      <c r="D51" s="126">
        <v>155</v>
      </c>
      <c r="E51" s="141" t="s">
        <v>667</v>
      </c>
      <c r="F51" s="163" t="s">
        <v>668</v>
      </c>
      <c r="G51" s="162">
        <v>46146</v>
      </c>
      <c r="H51" s="131">
        <v>1</v>
      </c>
      <c r="I51" s="131">
        <v>1</v>
      </c>
      <c r="J51" s="141" t="s">
        <v>681</v>
      </c>
      <c r="L51" s="141">
        <v>2</v>
      </c>
      <c r="Q51" s="141">
        <v>2</v>
      </c>
      <c r="U51" s="126">
        <v>3</v>
      </c>
      <c r="V51" s="218">
        <v>14.5</v>
      </c>
      <c r="W51" s="218">
        <v>0</v>
      </c>
      <c r="X51" s="126">
        <v>1</v>
      </c>
      <c r="AA51" s="188">
        <v>46224.769317129627</v>
      </c>
      <c r="AB51" s="131">
        <v>1</v>
      </c>
      <c r="AC51" s="126">
        <v>5</v>
      </c>
      <c r="AD51" s="126">
        <v>2026</v>
      </c>
    </row>
    <row r="52" spans="3:30" ht="23.1" customHeight="1">
      <c r="C52" s="126">
        <v>45</v>
      </c>
      <c r="D52" s="126">
        <v>156</v>
      </c>
      <c r="E52" s="141" t="s">
        <v>735</v>
      </c>
      <c r="F52" s="163" t="s">
        <v>736</v>
      </c>
      <c r="G52" s="162">
        <v>46146</v>
      </c>
      <c r="H52" s="131">
        <v>1</v>
      </c>
      <c r="I52" s="131">
        <v>1</v>
      </c>
      <c r="J52" s="141" t="s">
        <v>681</v>
      </c>
      <c r="L52" s="141">
        <v>2</v>
      </c>
      <c r="Q52" s="141">
        <v>2</v>
      </c>
      <c r="U52" s="126">
        <v>5</v>
      </c>
      <c r="V52" s="218">
        <v>4.41</v>
      </c>
      <c r="W52" s="218">
        <v>0</v>
      </c>
      <c r="X52" s="126">
        <v>1</v>
      </c>
      <c r="AA52" s="188">
        <v>46224.769317129627</v>
      </c>
      <c r="AB52" s="131">
        <v>1</v>
      </c>
      <c r="AC52" s="126">
        <v>5</v>
      </c>
      <c r="AD52" s="126">
        <v>2026</v>
      </c>
    </row>
    <row r="53" spans="3:30" ht="23.1" customHeight="1">
      <c r="C53" s="126">
        <v>46</v>
      </c>
      <c r="D53" s="126">
        <v>160</v>
      </c>
      <c r="E53" s="141" t="s">
        <v>738</v>
      </c>
      <c r="F53" s="163" t="s">
        <v>739</v>
      </c>
      <c r="G53" s="162">
        <v>46146</v>
      </c>
      <c r="H53" s="131">
        <v>1</v>
      </c>
      <c r="I53" s="131">
        <v>1</v>
      </c>
      <c r="J53" s="141" t="s">
        <v>681</v>
      </c>
      <c r="L53" s="141">
        <v>2</v>
      </c>
      <c r="Q53" s="141">
        <v>2</v>
      </c>
      <c r="U53" s="126">
        <v>2</v>
      </c>
      <c r="V53" s="218">
        <v>11.75</v>
      </c>
      <c r="W53" s="218">
        <v>0</v>
      </c>
      <c r="X53" s="126">
        <v>1</v>
      </c>
      <c r="AA53" s="188">
        <v>46224.769317129627</v>
      </c>
      <c r="AB53" s="131">
        <v>1</v>
      </c>
      <c r="AC53" s="126">
        <v>5</v>
      </c>
      <c r="AD53" s="126">
        <v>2026</v>
      </c>
    </row>
    <row r="54" spans="3:30" ht="23.1" customHeight="1">
      <c r="C54" s="126">
        <v>47</v>
      </c>
      <c r="D54" s="126">
        <v>162</v>
      </c>
      <c r="E54" s="141" t="s">
        <v>741</v>
      </c>
      <c r="F54" s="163" t="s">
        <v>742</v>
      </c>
      <c r="G54" s="162">
        <v>46146</v>
      </c>
      <c r="H54" s="131">
        <v>1</v>
      </c>
      <c r="I54" s="131">
        <v>1</v>
      </c>
      <c r="J54" s="141" t="s">
        <v>681</v>
      </c>
      <c r="L54" s="141">
        <v>2</v>
      </c>
      <c r="Q54" s="141">
        <v>2</v>
      </c>
      <c r="U54" s="126">
        <v>2</v>
      </c>
      <c r="V54" s="218">
        <v>53</v>
      </c>
      <c r="W54" s="218">
        <v>0</v>
      </c>
      <c r="X54" s="126">
        <v>1</v>
      </c>
      <c r="AA54" s="188">
        <v>46224.769317129627</v>
      </c>
      <c r="AB54" s="131">
        <v>1</v>
      </c>
      <c r="AC54" s="126">
        <v>5</v>
      </c>
      <c r="AD54" s="126">
        <v>2026</v>
      </c>
    </row>
    <row r="55" spans="3:30" ht="23.1" customHeight="1">
      <c r="C55" s="126">
        <v>48</v>
      </c>
      <c r="D55" s="126">
        <v>163</v>
      </c>
      <c r="E55" s="141" t="s">
        <v>745</v>
      </c>
      <c r="F55" s="163" t="s">
        <v>746</v>
      </c>
      <c r="G55" s="162">
        <v>46146</v>
      </c>
      <c r="H55" s="131">
        <v>1</v>
      </c>
      <c r="I55" s="131">
        <v>1</v>
      </c>
      <c r="J55" s="141" t="s">
        <v>681</v>
      </c>
      <c r="L55" s="141">
        <v>2</v>
      </c>
      <c r="Q55" s="141">
        <v>2</v>
      </c>
      <c r="U55" s="126">
        <v>2</v>
      </c>
      <c r="V55" s="218">
        <v>12.75</v>
      </c>
      <c r="W55" s="218">
        <v>0</v>
      </c>
      <c r="X55" s="126">
        <v>1</v>
      </c>
      <c r="AA55" s="188">
        <v>46224.769317129627</v>
      </c>
      <c r="AB55" s="131">
        <v>1</v>
      </c>
      <c r="AC55" s="126">
        <v>5</v>
      </c>
      <c r="AD55" s="126">
        <v>2026</v>
      </c>
    </row>
    <row r="56" spans="3:30" ht="23.1" customHeight="1">
      <c r="C56" s="126">
        <v>49</v>
      </c>
      <c r="D56" s="126">
        <v>176</v>
      </c>
      <c r="E56" s="141" t="s">
        <v>748</v>
      </c>
      <c r="F56" s="163" t="s">
        <v>749</v>
      </c>
      <c r="G56" s="162">
        <v>46146</v>
      </c>
      <c r="H56" s="131">
        <v>1</v>
      </c>
      <c r="I56" s="131">
        <v>1</v>
      </c>
      <c r="J56" s="141" t="s">
        <v>681</v>
      </c>
      <c r="L56" s="141">
        <v>2</v>
      </c>
      <c r="Q56" s="141">
        <v>2</v>
      </c>
      <c r="U56" s="126">
        <v>5000</v>
      </c>
      <c r="V56" s="218">
        <v>85</v>
      </c>
      <c r="W56" s="218">
        <v>0</v>
      </c>
      <c r="X56" s="126">
        <v>1</v>
      </c>
      <c r="AA56" s="188">
        <v>46224.769317129627</v>
      </c>
      <c r="AB56" s="131">
        <v>1</v>
      </c>
      <c r="AC56" s="126">
        <v>5</v>
      </c>
      <c r="AD56" s="126">
        <v>2026</v>
      </c>
    </row>
    <row r="57" spans="3:30" ht="23.1" customHeight="1">
      <c r="C57" s="126">
        <v>50</v>
      </c>
      <c r="D57" s="126">
        <v>177</v>
      </c>
      <c r="E57" s="141" t="s">
        <v>752</v>
      </c>
      <c r="F57" s="163" t="s">
        <v>753</v>
      </c>
      <c r="G57" s="162">
        <v>46146</v>
      </c>
      <c r="H57" s="131">
        <v>1</v>
      </c>
      <c r="I57" s="131">
        <v>1</v>
      </c>
      <c r="J57" s="141" t="s">
        <v>681</v>
      </c>
      <c r="L57" s="141">
        <v>2</v>
      </c>
      <c r="Q57" s="141">
        <v>2</v>
      </c>
      <c r="U57" s="126">
        <v>12000</v>
      </c>
      <c r="V57" s="218">
        <v>83</v>
      </c>
      <c r="W57" s="218">
        <v>0</v>
      </c>
      <c r="X57" s="126">
        <v>1</v>
      </c>
      <c r="AA57" s="188">
        <v>46224.769317129627</v>
      </c>
      <c r="AB57" s="131">
        <v>1</v>
      </c>
      <c r="AC57" s="126">
        <v>5</v>
      </c>
      <c r="AD57" s="126">
        <v>2026</v>
      </c>
    </row>
    <row r="58" spans="3:30" ht="23.1" customHeight="1">
      <c r="C58" s="126">
        <v>51</v>
      </c>
      <c r="D58" s="126">
        <v>178</v>
      </c>
      <c r="E58" s="141" t="s">
        <v>755</v>
      </c>
      <c r="F58" s="163" t="s">
        <v>756</v>
      </c>
      <c r="G58" s="162">
        <v>46146</v>
      </c>
      <c r="H58" s="131">
        <v>1</v>
      </c>
      <c r="I58" s="131">
        <v>1</v>
      </c>
      <c r="J58" s="141" t="s">
        <v>681</v>
      </c>
      <c r="L58" s="141">
        <v>2</v>
      </c>
      <c r="Q58" s="141">
        <v>2</v>
      </c>
      <c r="U58" s="126">
        <v>6000</v>
      </c>
      <c r="V58" s="218">
        <v>95</v>
      </c>
      <c r="W58" s="218">
        <v>0</v>
      </c>
      <c r="X58" s="126">
        <v>1</v>
      </c>
      <c r="AA58" s="188">
        <v>46224.769317129627</v>
      </c>
      <c r="AB58" s="131">
        <v>1</v>
      </c>
      <c r="AC58" s="126">
        <v>5</v>
      </c>
      <c r="AD58" s="126">
        <v>2026</v>
      </c>
    </row>
    <row r="59" spans="3:30" ht="23.1" customHeight="1">
      <c r="C59" s="126">
        <v>52</v>
      </c>
      <c r="D59" s="126">
        <v>179</v>
      </c>
      <c r="E59" s="141" t="s">
        <v>564</v>
      </c>
      <c r="F59" s="163" t="s">
        <v>565</v>
      </c>
      <c r="G59" s="162">
        <v>46146</v>
      </c>
      <c r="H59" s="131">
        <v>1</v>
      </c>
      <c r="I59" s="131">
        <v>1</v>
      </c>
      <c r="J59" s="141" t="s">
        <v>681</v>
      </c>
      <c r="L59" s="141">
        <v>2</v>
      </c>
      <c r="Q59" s="141">
        <v>2</v>
      </c>
      <c r="U59" s="126">
        <v>4000</v>
      </c>
      <c r="V59" s="218">
        <v>95</v>
      </c>
      <c r="W59" s="218">
        <v>0</v>
      </c>
      <c r="X59" s="126">
        <v>1</v>
      </c>
      <c r="AA59" s="188">
        <v>46224.769317129627</v>
      </c>
      <c r="AB59" s="131">
        <v>1</v>
      </c>
      <c r="AC59" s="126">
        <v>5</v>
      </c>
      <c r="AD59" s="126">
        <v>2026</v>
      </c>
    </row>
    <row r="60" spans="3:30" ht="23.1" customHeight="1">
      <c r="C60" s="126">
        <v>53</v>
      </c>
      <c r="D60" s="126">
        <v>181</v>
      </c>
      <c r="E60" s="141" t="s">
        <v>761</v>
      </c>
      <c r="F60" s="163" t="s">
        <v>762</v>
      </c>
      <c r="G60" s="162">
        <v>46148</v>
      </c>
      <c r="H60" s="131">
        <v>1</v>
      </c>
      <c r="I60" s="131">
        <v>1</v>
      </c>
      <c r="J60" s="141" t="s">
        <v>681</v>
      </c>
      <c r="L60" s="141">
        <v>2</v>
      </c>
      <c r="Q60" s="141">
        <v>3</v>
      </c>
      <c r="U60" s="126">
        <v>180</v>
      </c>
      <c r="V60" s="218">
        <v>1</v>
      </c>
      <c r="W60" s="218">
        <v>0</v>
      </c>
      <c r="X60" s="126">
        <v>1</v>
      </c>
      <c r="AA60" s="188">
        <v>46224.785381944443</v>
      </c>
      <c r="AB60" s="131">
        <v>1</v>
      </c>
      <c r="AC60" s="126">
        <v>5</v>
      </c>
      <c r="AD60" s="126">
        <v>2026</v>
      </c>
    </row>
    <row r="61" spans="3:30" ht="23.1" customHeight="1">
      <c r="C61" s="126">
        <v>54</v>
      </c>
      <c r="D61" s="126">
        <v>182</v>
      </c>
      <c r="E61" s="141" t="s">
        <v>627</v>
      </c>
      <c r="F61" s="163" t="s">
        <v>628</v>
      </c>
      <c r="G61" s="162">
        <v>46148</v>
      </c>
      <c r="H61" s="131">
        <v>1</v>
      </c>
      <c r="I61" s="131">
        <v>1</v>
      </c>
      <c r="J61" s="141" t="s">
        <v>681</v>
      </c>
      <c r="L61" s="141">
        <v>2</v>
      </c>
      <c r="Q61" s="141">
        <v>3</v>
      </c>
      <c r="U61" s="126">
        <v>120</v>
      </c>
      <c r="V61" s="218">
        <v>2</v>
      </c>
      <c r="W61" s="218">
        <v>0</v>
      </c>
      <c r="X61" s="126">
        <v>1</v>
      </c>
      <c r="AA61" s="188">
        <v>46224.785381944443</v>
      </c>
      <c r="AB61" s="131">
        <v>1</v>
      </c>
      <c r="AC61" s="126">
        <v>5</v>
      </c>
      <c r="AD61" s="126">
        <v>2026</v>
      </c>
    </row>
    <row r="62" spans="3:30" ht="23.1" customHeight="1">
      <c r="C62" s="126">
        <v>55</v>
      </c>
      <c r="D62" s="126">
        <v>183</v>
      </c>
      <c r="E62" s="141" t="s">
        <v>766</v>
      </c>
      <c r="F62" s="163" t="s">
        <v>767</v>
      </c>
      <c r="G62" s="162">
        <v>46148</v>
      </c>
      <c r="H62" s="131">
        <v>1</v>
      </c>
      <c r="I62" s="131">
        <v>1</v>
      </c>
      <c r="J62" s="141" t="s">
        <v>681</v>
      </c>
      <c r="L62" s="141">
        <v>2</v>
      </c>
      <c r="Q62" s="141">
        <v>3</v>
      </c>
      <c r="U62" s="126">
        <v>240</v>
      </c>
      <c r="V62" s="218">
        <v>4</v>
      </c>
      <c r="W62" s="218">
        <v>0</v>
      </c>
      <c r="X62" s="126">
        <v>1</v>
      </c>
      <c r="AA62" s="188">
        <v>46224.785381944443</v>
      </c>
      <c r="AB62" s="131">
        <v>1</v>
      </c>
      <c r="AC62" s="126">
        <v>5</v>
      </c>
      <c r="AD62" s="126">
        <v>2026</v>
      </c>
    </row>
    <row r="63" spans="3:30" ht="23.1" customHeight="1">
      <c r="C63" s="126">
        <v>56</v>
      </c>
      <c r="D63" s="126">
        <v>184</v>
      </c>
      <c r="E63" s="141" t="s">
        <v>769</v>
      </c>
      <c r="F63" s="163" t="s">
        <v>770</v>
      </c>
      <c r="G63" s="162">
        <v>46148</v>
      </c>
      <c r="H63" s="131">
        <v>1</v>
      </c>
      <c r="I63" s="131">
        <v>1</v>
      </c>
      <c r="J63" s="141" t="s">
        <v>681</v>
      </c>
      <c r="L63" s="141">
        <v>2</v>
      </c>
      <c r="Q63" s="141">
        <v>3</v>
      </c>
      <c r="U63" s="126">
        <v>168</v>
      </c>
      <c r="V63" s="218">
        <v>6</v>
      </c>
      <c r="W63" s="218">
        <v>0</v>
      </c>
      <c r="X63" s="126">
        <v>1</v>
      </c>
      <c r="AA63" s="188">
        <v>46224.785381944443</v>
      </c>
      <c r="AB63" s="131">
        <v>1</v>
      </c>
      <c r="AC63" s="126">
        <v>5</v>
      </c>
      <c r="AD63" s="126">
        <v>2026</v>
      </c>
    </row>
    <row r="64" spans="3:30" ht="23.1" customHeight="1">
      <c r="C64" s="126">
        <v>57</v>
      </c>
      <c r="D64" s="126">
        <v>185</v>
      </c>
      <c r="E64" s="141" t="s">
        <v>772</v>
      </c>
      <c r="F64" s="163" t="s">
        <v>773</v>
      </c>
      <c r="G64" s="162">
        <v>46148</v>
      </c>
      <c r="H64" s="131">
        <v>1</v>
      </c>
      <c r="I64" s="131">
        <v>1</v>
      </c>
      <c r="J64" s="141" t="s">
        <v>681</v>
      </c>
      <c r="L64" s="141">
        <v>2</v>
      </c>
      <c r="Q64" s="141">
        <v>3</v>
      </c>
      <c r="U64" s="126">
        <v>60</v>
      </c>
      <c r="V64" s="218">
        <v>8</v>
      </c>
      <c r="W64" s="218">
        <v>0</v>
      </c>
      <c r="X64" s="126">
        <v>1</v>
      </c>
      <c r="AA64" s="188">
        <v>46224.785381944443</v>
      </c>
      <c r="AB64" s="131">
        <v>1</v>
      </c>
      <c r="AC64" s="126">
        <v>5</v>
      </c>
      <c r="AD64" s="126">
        <v>2026</v>
      </c>
    </row>
    <row r="65" spans="3:30" ht="23.1" customHeight="1">
      <c r="C65" s="126">
        <v>58</v>
      </c>
      <c r="D65" s="126">
        <v>186</v>
      </c>
      <c r="E65" s="141" t="s">
        <v>616</v>
      </c>
      <c r="F65" s="163" t="s">
        <v>617</v>
      </c>
      <c r="G65" s="162">
        <v>46148</v>
      </c>
      <c r="H65" s="131">
        <v>1</v>
      </c>
      <c r="I65" s="131">
        <v>1</v>
      </c>
      <c r="J65" s="141" t="s">
        <v>681</v>
      </c>
      <c r="L65" s="141">
        <v>2</v>
      </c>
      <c r="Q65" s="141">
        <v>3</v>
      </c>
      <c r="U65" s="126">
        <v>36</v>
      </c>
      <c r="V65" s="218">
        <v>12</v>
      </c>
      <c r="W65" s="218">
        <v>0</v>
      </c>
      <c r="X65" s="126">
        <v>1</v>
      </c>
      <c r="AA65" s="188">
        <v>46224.785381944443</v>
      </c>
      <c r="AB65" s="131">
        <v>1</v>
      </c>
      <c r="AC65" s="126">
        <v>5</v>
      </c>
      <c r="AD65" s="126">
        <v>2026</v>
      </c>
    </row>
    <row r="66" spans="3:30" ht="23.1" customHeight="1">
      <c r="C66" s="126">
        <v>59</v>
      </c>
      <c r="D66" s="126">
        <v>187</v>
      </c>
      <c r="E66" s="141" t="s">
        <v>576</v>
      </c>
      <c r="F66" s="163" t="s">
        <v>577</v>
      </c>
      <c r="G66" s="162">
        <v>46148</v>
      </c>
      <c r="H66" s="131">
        <v>1</v>
      </c>
      <c r="I66" s="131">
        <v>1</v>
      </c>
      <c r="J66" s="141" t="s">
        <v>681</v>
      </c>
      <c r="L66" s="141">
        <v>2</v>
      </c>
      <c r="Q66" s="141">
        <v>3</v>
      </c>
      <c r="U66" s="126">
        <v>128</v>
      </c>
      <c r="V66" s="218">
        <v>3.37</v>
      </c>
      <c r="W66" s="218">
        <v>0</v>
      </c>
      <c r="X66" s="126">
        <v>1</v>
      </c>
      <c r="AA66" s="188">
        <v>46224.785381944443</v>
      </c>
      <c r="AB66" s="131">
        <v>1</v>
      </c>
      <c r="AC66" s="126">
        <v>5</v>
      </c>
      <c r="AD66" s="126">
        <v>2026</v>
      </c>
    </row>
    <row r="67" spans="3:30" ht="23.1" customHeight="1">
      <c r="C67" s="126">
        <v>60</v>
      </c>
      <c r="D67" s="126">
        <v>189</v>
      </c>
      <c r="E67" s="141" t="s">
        <v>778</v>
      </c>
      <c r="F67" s="163" t="s">
        <v>779</v>
      </c>
      <c r="G67" s="162">
        <v>46148</v>
      </c>
      <c r="H67" s="131">
        <v>1</v>
      </c>
      <c r="I67" s="131">
        <v>1</v>
      </c>
      <c r="J67" s="141" t="s">
        <v>681</v>
      </c>
      <c r="L67" s="141">
        <v>2</v>
      </c>
      <c r="Q67" s="141">
        <v>3</v>
      </c>
      <c r="U67" s="126">
        <v>52</v>
      </c>
      <c r="V67" s="218">
        <v>4.09</v>
      </c>
      <c r="W67" s="218">
        <v>0</v>
      </c>
      <c r="X67" s="126">
        <v>1</v>
      </c>
      <c r="AA67" s="188">
        <v>46224.785381944443</v>
      </c>
      <c r="AB67" s="131">
        <v>1</v>
      </c>
      <c r="AC67" s="126">
        <v>5</v>
      </c>
      <c r="AD67" s="126">
        <v>2026</v>
      </c>
    </row>
    <row r="68" spans="3:30" ht="23.1" customHeight="1">
      <c r="C68" s="126">
        <v>61</v>
      </c>
      <c r="D68" s="126">
        <v>191</v>
      </c>
      <c r="E68" s="141" t="s">
        <v>781</v>
      </c>
      <c r="F68" s="163" t="s">
        <v>782</v>
      </c>
      <c r="G68" s="162">
        <v>46148</v>
      </c>
      <c r="H68" s="131">
        <v>1</v>
      </c>
      <c r="I68" s="131">
        <v>1</v>
      </c>
      <c r="J68" s="141" t="s">
        <v>681</v>
      </c>
      <c r="L68" s="141">
        <v>2</v>
      </c>
      <c r="Q68" s="141">
        <v>3</v>
      </c>
      <c r="U68" s="126">
        <v>64</v>
      </c>
      <c r="V68" s="218">
        <v>4.92</v>
      </c>
      <c r="W68" s="218">
        <v>0</v>
      </c>
      <c r="X68" s="126">
        <v>1</v>
      </c>
      <c r="AA68" s="188">
        <v>46224.785381944443</v>
      </c>
      <c r="AB68" s="131">
        <v>1</v>
      </c>
      <c r="AC68" s="126">
        <v>5</v>
      </c>
      <c r="AD68" s="126">
        <v>2026</v>
      </c>
    </row>
    <row r="69" spans="3:30" ht="23.1" customHeight="1">
      <c r="C69" s="126">
        <v>62</v>
      </c>
      <c r="D69" s="126">
        <v>193</v>
      </c>
      <c r="E69" s="141" t="s">
        <v>784</v>
      </c>
      <c r="F69" s="163" t="s">
        <v>785</v>
      </c>
      <c r="G69" s="162">
        <v>46148</v>
      </c>
      <c r="H69" s="131">
        <v>1</v>
      </c>
      <c r="I69" s="131">
        <v>1</v>
      </c>
      <c r="J69" s="141" t="s">
        <v>681</v>
      </c>
      <c r="L69" s="141">
        <v>2</v>
      </c>
      <c r="Q69" s="141">
        <v>3</v>
      </c>
      <c r="U69" s="126">
        <v>60</v>
      </c>
      <c r="V69" s="218">
        <v>3.88</v>
      </c>
      <c r="W69" s="218">
        <v>0</v>
      </c>
      <c r="X69" s="126">
        <v>1</v>
      </c>
      <c r="AA69" s="188">
        <v>46224.785381944443</v>
      </c>
      <c r="AB69" s="131">
        <v>1</v>
      </c>
      <c r="AC69" s="126">
        <v>5</v>
      </c>
      <c r="AD69" s="126">
        <v>2026</v>
      </c>
    </row>
    <row r="70" spans="3:30" ht="23.1" customHeight="1">
      <c r="C70" s="126">
        <v>63</v>
      </c>
      <c r="D70" s="126">
        <v>195</v>
      </c>
      <c r="E70" s="141" t="s">
        <v>608</v>
      </c>
      <c r="F70" s="163" t="s">
        <v>609</v>
      </c>
      <c r="G70" s="162">
        <v>46148</v>
      </c>
      <c r="H70" s="131">
        <v>1</v>
      </c>
      <c r="I70" s="131">
        <v>1</v>
      </c>
      <c r="J70" s="141" t="s">
        <v>681</v>
      </c>
      <c r="L70" s="141">
        <v>2</v>
      </c>
      <c r="Q70" s="141">
        <v>3</v>
      </c>
      <c r="U70" s="126">
        <v>100</v>
      </c>
      <c r="V70" s="218">
        <v>6.28</v>
      </c>
      <c r="W70" s="218">
        <v>0</v>
      </c>
      <c r="X70" s="126">
        <v>1</v>
      </c>
      <c r="AA70" s="188">
        <v>46224.785381944443</v>
      </c>
      <c r="AB70" s="131">
        <v>1</v>
      </c>
      <c r="AC70" s="126">
        <v>5</v>
      </c>
      <c r="AD70" s="126">
        <v>2026</v>
      </c>
    </row>
    <row r="71" spans="3:30" ht="23.1" customHeight="1">
      <c r="C71" s="126">
        <v>64</v>
      </c>
      <c r="D71" s="126">
        <v>197</v>
      </c>
      <c r="E71" s="141" t="s">
        <v>652</v>
      </c>
      <c r="F71" s="163" t="s">
        <v>653</v>
      </c>
      <c r="G71" s="162">
        <v>46148</v>
      </c>
      <c r="H71" s="131">
        <v>1</v>
      </c>
      <c r="I71" s="131">
        <v>1</v>
      </c>
      <c r="J71" s="141" t="s">
        <v>681</v>
      </c>
      <c r="L71" s="141">
        <v>2</v>
      </c>
      <c r="Q71" s="141">
        <v>3</v>
      </c>
      <c r="U71" s="126">
        <v>72</v>
      </c>
      <c r="V71" s="218">
        <v>8.36</v>
      </c>
      <c r="W71" s="218">
        <v>0</v>
      </c>
      <c r="X71" s="126">
        <v>1</v>
      </c>
      <c r="AA71" s="188">
        <v>46224.785381944443</v>
      </c>
      <c r="AB71" s="131">
        <v>1</v>
      </c>
      <c r="AC71" s="126">
        <v>5</v>
      </c>
      <c r="AD71" s="126">
        <v>2026</v>
      </c>
    </row>
    <row r="72" spans="3:30" ht="23.1" customHeight="1">
      <c r="C72" s="126">
        <v>65</v>
      </c>
      <c r="D72" s="126">
        <v>176</v>
      </c>
      <c r="E72" s="141" t="s">
        <v>748</v>
      </c>
      <c r="F72" s="163" t="s">
        <v>749</v>
      </c>
      <c r="G72" s="162">
        <v>46176</v>
      </c>
      <c r="H72" s="131">
        <v>1</v>
      </c>
      <c r="I72" s="131">
        <v>1</v>
      </c>
      <c r="J72" s="141" t="s">
        <v>551</v>
      </c>
      <c r="K72" s="141">
        <v>1</v>
      </c>
      <c r="N72" s="141">
        <v>6</v>
      </c>
      <c r="U72" s="126">
        <v>-500</v>
      </c>
      <c r="V72" s="218">
        <v>4.25</v>
      </c>
      <c r="W72" s="218">
        <v>4.5</v>
      </c>
      <c r="X72" s="126">
        <v>1</v>
      </c>
      <c r="AA72" s="188">
        <v>46224.857037037036</v>
      </c>
      <c r="AB72" s="131">
        <v>1</v>
      </c>
      <c r="AC72" s="126">
        <v>6</v>
      </c>
      <c r="AD72" s="126">
        <v>2026</v>
      </c>
    </row>
    <row r="73" spans="3:30" ht="23.1" customHeight="1">
      <c r="C73" s="126">
        <v>66</v>
      </c>
      <c r="D73" s="126">
        <v>142</v>
      </c>
      <c r="E73" s="141" t="s">
        <v>798</v>
      </c>
      <c r="F73" s="163" t="s">
        <v>799</v>
      </c>
      <c r="G73" s="162">
        <v>46176</v>
      </c>
      <c r="H73" s="131">
        <v>1</v>
      </c>
      <c r="I73" s="131">
        <v>1</v>
      </c>
      <c r="J73" s="141" t="s">
        <v>551</v>
      </c>
      <c r="K73" s="141">
        <v>1</v>
      </c>
      <c r="N73" s="141">
        <v>6</v>
      </c>
      <c r="U73" s="126">
        <v>-1</v>
      </c>
      <c r="V73" s="218">
        <v>0.34</v>
      </c>
      <c r="W73" s="218">
        <v>0.88</v>
      </c>
      <c r="X73" s="126">
        <v>1</v>
      </c>
      <c r="AA73" s="188">
        <v>46224.857037037036</v>
      </c>
      <c r="AB73" s="131">
        <v>1</v>
      </c>
      <c r="AC73" s="126">
        <v>6</v>
      </c>
      <c r="AD73" s="126">
        <v>2026</v>
      </c>
    </row>
    <row r="74" spans="3:30" ht="23.1" customHeight="1">
      <c r="C74" s="126">
        <v>67</v>
      </c>
      <c r="D74" s="126">
        <v>50</v>
      </c>
      <c r="E74" s="141" t="s">
        <v>803</v>
      </c>
      <c r="F74" s="163" t="s">
        <v>804</v>
      </c>
      <c r="G74" s="162">
        <v>46176</v>
      </c>
      <c r="H74" s="131">
        <v>1</v>
      </c>
      <c r="I74" s="131">
        <v>1</v>
      </c>
      <c r="J74" s="141" t="s">
        <v>551</v>
      </c>
      <c r="K74" s="141">
        <v>1</v>
      </c>
      <c r="N74" s="141">
        <v>6</v>
      </c>
      <c r="U74" s="126">
        <v>-4</v>
      </c>
      <c r="V74" s="218">
        <v>0.12</v>
      </c>
      <c r="W74" s="218">
        <v>0.25</v>
      </c>
      <c r="X74" s="126">
        <v>1</v>
      </c>
      <c r="AA74" s="188">
        <v>46224.857037037036</v>
      </c>
      <c r="AB74" s="131">
        <v>1</v>
      </c>
      <c r="AC74" s="126">
        <v>6</v>
      </c>
      <c r="AD74" s="126">
        <v>2026</v>
      </c>
    </row>
    <row r="75" spans="3:30" ht="23.1" customHeight="1">
      <c r="C75" s="126">
        <v>68</v>
      </c>
      <c r="D75" s="126">
        <v>41</v>
      </c>
      <c r="E75" s="141" t="s">
        <v>808</v>
      </c>
      <c r="F75" s="163" t="s">
        <v>809</v>
      </c>
      <c r="G75" s="162">
        <v>46176</v>
      </c>
      <c r="H75" s="131">
        <v>1</v>
      </c>
      <c r="I75" s="131">
        <v>1</v>
      </c>
      <c r="J75" s="141" t="s">
        <v>551</v>
      </c>
      <c r="K75" s="141">
        <v>1</v>
      </c>
      <c r="N75" s="141">
        <v>6</v>
      </c>
      <c r="U75" s="126">
        <v>-2</v>
      </c>
      <c r="V75" s="218">
        <v>0.53</v>
      </c>
      <c r="W75" s="218">
        <v>0.75</v>
      </c>
      <c r="X75" s="126">
        <v>1</v>
      </c>
      <c r="AA75" s="188">
        <v>46224.857037037036</v>
      </c>
      <c r="AB75" s="131">
        <v>1</v>
      </c>
      <c r="AC75" s="126">
        <v>6</v>
      </c>
      <c r="AD75" s="126">
        <v>2026</v>
      </c>
    </row>
    <row r="76" spans="3:30" ht="23.1" customHeight="1">
      <c r="C76" s="126">
        <v>69</v>
      </c>
      <c r="D76" s="126">
        <v>49</v>
      </c>
      <c r="E76" s="141" t="s">
        <v>813</v>
      </c>
      <c r="F76" s="163" t="s">
        <v>814</v>
      </c>
      <c r="G76" s="162">
        <v>46176</v>
      </c>
      <c r="H76" s="131">
        <v>1</v>
      </c>
      <c r="I76" s="131">
        <v>1</v>
      </c>
      <c r="J76" s="141" t="s">
        <v>551</v>
      </c>
      <c r="K76" s="141">
        <v>1</v>
      </c>
      <c r="N76" s="141">
        <v>6</v>
      </c>
      <c r="U76" s="126">
        <v>-1</v>
      </c>
      <c r="V76" s="218">
        <v>0.28000000000000003</v>
      </c>
      <c r="W76" s="218">
        <v>0.38</v>
      </c>
      <c r="X76" s="126">
        <v>1</v>
      </c>
      <c r="AA76" s="188">
        <v>46224.857037037036</v>
      </c>
      <c r="AB76" s="131">
        <v>1</v>
      </c>
      <c r="AC76" s="126">
        <v>6</v>
      </c>
      <c r="AD76" s="126">
        <v>2026</v>
      </c>
    </row>
    <row r="77" spans="3:30" ht="23.1" customHeight="1">
      <c r="C77" s="126">
        <v>70</v>
      </c>
      <c r="D77" s="126">
        <v>7</v>
      </c>
      <c r="E77" s="141" t="s">
        <v>818</v>
      </c>
      <c r="F77" s="163" t="s">
        <v>819</v>
      </c>
      <c r="G77" s="162">
        <v>46176</v>
      </c>
      <c r="H77" s="131">
        <v>1</v>
      </c>
      <c r="I77" s="131">
        <v>1</v>
      </c>
      <c r="J77" s="141" t="s">
        <v>551</v>
      </c>
      <c r="K77" s="141">
        <v>1</v>
      </c>
      <c r="N77" s="141">
        <v>6</v>
      </c>
      <c r="U77" s="126">
        <v>-1</v>
      </c>
      <c r="V77" s="218">
        <v>1.79</v>
      </c>
      <c r="W77" s="218">
        <v>2.5</v>
      </c>
      <c r="X77" s="126">
        <v>1</v>
      </c>
      <c r="AA77" s="188">
        <v>46224.857037037036</v>
      </c>
      <c r="AB77" s="131">
        <v>1</v>
      </c>
      <c r="AC77" s="126">
        <v>6</v>
      </c>
      <c r="AD77" s="126">
        <v>2026</v>
      </c>
    </row>
    <row r="78" spans="3:30" ht="23.1" customHeight="1">
      <c r="C78" s="126">
        <v>71</v>
      </c>
      <c r="D78" s="126">
        <v>145</v>
      </c>
      <c r="E78" s="141" t="s">
        <v>823</v>
      </c>
      <c r="F78" s="163" t="s">
        <v>824</v>
      </c>
      <c r="G78" s="162">
        <v>46176</v>
      </c>
      <c r="H78" s="131">
        <v>1</v>
      </c>
      <c r="I78" s="131">
        <v>1</v>
      </c>
      <c r="J78" s="141" t="s">
        <v>551</v>
      </c>
      <c r="K78" s="141">
        <v>1</v>
      </c>
      <c r="N78" s="141">
        <v>6</v>
      </c>
      <c r="U78" s="126">
        <v>-2</v>
      </c>
      <c r="V78" s="218">
        <v>0.28999999999999998</v>
      </c>
      <c r="W78" s="218">
        <v>0.5</v>
      </c>
      <c r="X78" s="126">
        <v>1</v>
      </c>
      <c r="AA78" s="188">
        <v>46224.857037037036</v>
      </c>
      <c r="AB78" s="131">
        <v>1</v>
      </c>
      <c r="AC78" s="126">
        <v>6</v>
      </c>
      <c r="AD78" s="126">
        <v>2026</v>
      </c>
    </row>
    <row r="79" spans="3:30" ht="23.1" customHeight="1">
      <c r="C79" s="126">
        <v>72</v>
      </c>
      <c r="D79" s="126">
        <v>163</v>
      </c>
      <c r="E79" s="141" t="s">
        <v>745</v>
      </c>
      <c r="F79" s="163" t="s">
        <v>746</v>
      </c>
      <c r="G79" s="162">
        <v>46176</v>
      </c>
      <c r="H79" s="131">
        <v>1</v>
      </c>
      <c r="I79" s="131">
        <v>1</v>
      </c>
      <c r="J79" s="141" t="s">
        <v>551</v>
      </c>
      <c r="K79" s="141">
        <v>1</v>
      </c>
      <c r="N79" s="141">
        <v>7</v>
      </c>
      <c r="U79" s="126">
        <v>-4</v>
      </c>
      <c r="V79" s="218">
        <v>12.75</v>
      </c>
      <c r="W79" s="218">
        <v>13</v>
      </c>
      <c r="X79" s="126">
        <v>1</v>
      </c>
      <c r="AA79" s="188">
        <v>46224.890914351854</v>
      </c>
      <c r="AB79" s="131">
        <v>1</v>
      </c>
      <c r="AC79" s="126">
        <v>6</v>
      </c>
      <c r="AD79" s="126">
        <v>2026</v>
      </c>
    </row>
    <row r="80" spans="3:30" ht="23.1" customHeight="1">
      <c r="C80" s="126">
        <v>73</v>
      </c>
      <c r="D80" s="126">
        <v>177</v>
      </c>
      <c r="E80" s="141" t="s">
        <v>752</v>
      </c>
      <c r="F80" s="163" t="s">
        <v>753</v>
      </c>
      <c r="G80" s="162">
        <v>46177</v>
      </c>
      <c r="H80" s="131">
        <v>1</v>
      </c>
      <c r="I80" s="131">
        <v>1</v>
      </c>
      <c r="J80" s="141" t="s">
        <v>551</v>
      </c>
      <c r="K80" s="141">
        <v>1</v>
      </c>
      <c r="N80" s="141">
        <v>8</v>
      </c>
      <c r="U80" s="126">
        <v>-250</v>
      </c>
      <c r="V80" s="218">
        <v>4.1500000000000004</v>
      </c>
      <c r="W80" s="218">
        <v>4.75</v>
      </c>
      <c r="X80" s="126">
        <v>1</v>
      </c>
      <c r="AA80" s="188">
        <v>46225.027615740742</v>
      </c>
      <c r="AB80" s="131">
        <v>1</v>
      </c>
      <c r="AC80" s="126">
        <v>6</v>
      </c>
      <c r="AD80" s="126">
        <v>2026</v>
      </c>
    </row>
    <row r="81" spans="3:30" ht="23.1" customHeight="1">
      <c r="C81" s="126">
        <v>74</v>
      </c>
      <c r="D81" s="126">
        <v>179</v>
      </c>
      <c r="E81" s="141" t="s">
        <v>564</v>
      </c>
      <c r="F81" s="163" t="s">
        <v>565</v>
      </c>
      <c r="G81" s="162">
        <v>46177</v>
      </c>
      <c r="H81" s="131">
        <v>1</v>
      </c>
      <c r="I81" s="131">
        <v>1</v>
      </c>
      <c r="J81" s="141" t="s">
        <v>551</v>
      </c>
      <c r="K81" s="141">
        <v>1</v>
      </c>
      <c r="N81" s="141">
        <v>8</v>
      </c>
      <c r="U81" s="126">
        <v>-250</v>
      </c>
      <c r="V81" s="218">
        <v>4.75</v>
      </c>
      <c r="W81" s="218">
        <v>5</v>
      </c>
      <c r="X81" s="126">
        <v>1</v>
      </c>
      <c r="AA81" s="188">
        <v>46225.027615740742</v>
      </c>
      <c r="AB81" s="131">
        <v>1</v>
      </c>
      <c r="AC81" s="126">
        <v>6</v>
      </c>
      <c r="AD81" s="126">
        <v>2026</v>
      </c>
    </row>
    <row r="82" spans="3:30" ht="23.1" customHeight="1">
      <c r="C82" s="126">
        <v>75</v>
      </c>
      <c r="D82" s="126">
        <v>11</v>
      </c>
      <c r="E82" s="141" t="s">
        <v>690</v>
      </c>
      <c r="F82" s="163" t="s">
        <v>691</v>
      </c>
      <c r="G82" s="162">
        <v>46177</v>
      </c>
      <c r="H82" s="131">
        <v>1</v>
      </c>
      <c r="I82" s="131">
        <v>1</v>
      </c>
      <c r="J82" s="141" t="s">
        <v>551</v>
      </c>
      <c r="K82" s="141">
        <v>1</v>
      </c>
      <c r="N82" s="141">
        <v>8</v>
      </c>
      <c r="U82" s="126">
        <v>-2</v>
      </c>
      <c r="V82" s="218">
        <v>9.52</v>
      </c>
      <c r="W82" s="218">
        <v>10</v>
      </c>
      <c r="X82" s="126">
        <v>1</v>
      </c>
      <c r="AA82" s="188">
        <v>46225.027615740742</v>
      </c>
      <c r="AB82" s="131">
        <v>1</v>
      </c>
      <c r="AC82" s="126">
        <v>6</v>
      </c>
      <c r="AD82" s="126">
        <v>2026</v>
      </c>
    </row>
    <row r="83" spans="3:30" ht="23.1" customHeight="1">
      <c r="C83" s="126">
        <v>76</v>
      </c>
      <c r="D83" s="126">
        <v>18</v>
      </c>
      <c r="E83" s="141" t="s">
        <v>703</v>
      </c>
      <c r="F83" s="163" t="s">
        <v>704</v>
      </c>
      <c r="G83" s="162">
        <v>46177</v>
      </c>
      <c r="H83" s="131">
        <v>1</v>
      </c>
      <c r="I83" s="131">
        <v>1</v>
      </c>
      <c r="J83" s="141" t="s">
        <v>551</v>
      </c>
      <c r="K83" s="141">
        <v>1</v>
      </c>
      <c r="N83" s="141">
        <v>8</v>
      </c>
      <c r="U83" s="126">
        <v>-10</v>
      </c>
      <c r="V83" s="218">
        <v>1.35</v>
      </c>
      <c r="W83" s="218">
        <v>2.5</v>
      </c>
      <c r="X83" s="126">
        <v>1</v>
      </c>
      <c r="AA83" s="188">
        <v>46225.027615740742</v>
      </c>
      <c r="AB83" s="131">
        <v>1</v>
      </c>
      <c r="AC83" s="126">
        <v>6</v>
      </c>
      <c r="AD83" s="126">
        <v>2026</v>
      </c>
    </row>
    <row r="84" spans="3:30" ht="23.1" customHeight="1">
      <c r="C84" s="126">
        <v>77</v>
      </c>
      <c r="D84" s="126">
        <v>195</v>
      </c>
      <c r="E84" s="141" t="s">
        <v>608</v>
      </c>
      <c r="F84" s="163" t="s">
        <v>609</v>
      </c>
      <c r="G84" s="162">
        <v>46177</v>
      </c>
      <c r="H84" s="131">
        <v>1</v>
      </c>
      <c r="I84" s="131">
        <v>1</v>
      </c>
      <c r="J84" s="141" t="s">
        <v>551</v>
      </c>
      <c r="K84" s="141">
        <v>1</v>
      </c>
      <c r="N84" s="141">
        <v>9</v>
      </c>
      <c r="U84" s="126">
        <v>-8</v>
      </c>
      <c r="V84" s="218">
        <v>6.28</v>
      </c>
      <c r="W84" s="218">
        <v>7.5</v>
      </c>
      <c r="X84" s="126">
        <v>1</v>
      </c>
      <c r="AA84" s="188">
        <v>46225.055312500001</v>
      </c>
      <c r="AB84" s="131">
        <v>1</v>
      </c>
      <c r="AC84" s="126">
        <v>6</v>
      </c>
      <c r="AD84" s="126">
        <v>2026</v>
      </c>
    </row>
    <row r="85" spans="3:30" ht="23.1" customHeight="1">
      <c r="C85" s="126">
        <v>78</v>
      </c>
      <c r="D85" s="126">
        <v>11</v>
      </c>
      <c r="E85" s="141" t="s">
        <v>690</v>
      </c>
      <c r="F85" s="163" t="s">
        <v>691</v>
      </c>
      <c r="G85" s="162">
        <v>46177</v>
      </c>
      <c r="H85" s="131">
        <v>1</v>
      </c>
      <c r="I85" s="131">
        <v>1</v>
      </c>
      <c r="J85" s="141" t="s">
        <v>551</v>
      </c>
      <c r="K85" s="141">
        <v>1</v>
      </c>
      <c r="N85" s="141">
        <v>9</v>
      </c>
      <c r="U85" s="126">
        <v>-4</v>
      </c>
      <c r="V85" s="218">
        <v>9.52</v>
      </c>
      <c r="W85" s="218">
        <v>11</v>
      </c>
      <c r="X85" s="126">
        <v>1</v>
      </c>
      <c r="AA85" s="188">
        <v>46225.055312500001</v>
      </c>
      <c r="AB85" s="131">
        <v>1</v>
      </c>
      <c r="AC85" s="126">
        <v>6</v>
      </c>
      <c r="AD85" s="126">
        <v>2026</v>
      </c>
    </row>
    <row r="86" spans="3:30" ht="23.1" customHeight="1">
      <c r="C86" s="126">
        <v>79</v>
      </c>
      <c r="D86" s="126">
        <v>102</v>
      </c>
      <c r="E86" s="141" t="s">
        <v>722</v>
      </c>
      <c r="F86" s="163" t="s">
        <v>723</v>
      </c>
      <c r="G86" s="162">
        <v>46177</v>
      </c>
      <c r="H86" s="131">
        <v>1</v>
      </c>
      <c r="I86" s="131">
        <v>1</v>
      </c>
      <c r="J86" s="141" t="s">
        <v>551</v>
      </c>
      <c r="K86" s="141">
        <v>1</v>
      </c>
      <c r="N86" s="141">
        <v>10</v>
      </c>
      <c r="U86" s="126">
        <v>-1</v>
      </c>
      <c r="V86" s="218">
        <v>4.5</v>
      </c>
      <c r="W86" s="218">
        <v>5</v>
      </c>
      <c r="X86" s="126">
        <v>1</v>
      </c>
      <c r="AA86" s="188">
        <v>46225.08792824074</v>
      </c>
      <c r="AB86" s="131">
        <v>1</v>
      </c>
      <c r="AC86" s="126">
        <v>6</v>
      </c>
      <c r="AD86" s="126">
        <v>2026</v>
      </c>
    </row>
    <row r="87" spans="3:30" ht="23.1" customHeight="1">
      <c r="C87" s="126">
        <v>80</v>
      </c>
      <c r="D87" s="126">
        <v>185</v>
      </c>
      <c r="E87" s="141" t="s">
        <v>772</v>
      </c>
      <c r="F87" s="163" t="s">
        <v>773</v>
      </c>
      <c r="G87" s="162">
        <v>46177</v>
      </c>
      <c r="H87" s="131">
        <v>1</v>
      </c>
      <c r="I87" s="131">
        <v>1</v>
      </c>
      <c r="J87" s="141" t="s">
        <v>551</v>
      </c>
      <c r="K87" s="141">
        <v>1</v>
      </c>
      <c r="N87" s="141">
        <v>10</v>
      </c>
      <c r="U87" s="126">
        <v>-72</v>
      </c>
      <c r="V87" s="218">
        <v>8</v>
      </c>
      <c r="W87" s="218">
        <v>8.5500000000000007</v>
      </c>
      <c r="X87" s="126">
        <v>1</v>
      </c>
      <c r="AA87" s="188">
        <v>46225.08792824074</v>
      </c>
      <c r="AB87" s="131">
        <v>1</v>
      </c>
      <c r="AC87" s="126">
        <v>6</v>
      </c>
      <c r="AD87" s="126">
        <v>2026</v>
      </c>
    </row>
    <row r="88" spans="3:30" ht="23.1" customHeight="1">
      <c r="C88" s="126">
        <v>81</v>
      </c>
      <c r="D88" s="126">
        <v>176</v>
      </c>
      <c r="E88" s="141" t="s">
        <v>748</v>
      </c>
      <c r="F88" s="163" t="s">
        <v>749</v>
      </c>
      <c r="G88" s="162">
        <v>46178</v>
      </c>
      <c r="H88" s="131">
        <v>1</v>
      </c>
      <c r="I88" s="131">
        <v>1</v>
      </c>
      <c r="J88" s="141" t="s">
        <v>551</v>
      </c>
      <c r="K88" s="141">
        <v>1</v>
      </c>
      <c r="N88" s="141">
        <v>11</v>
      </c>
      <c r="U88" s="126">
        <v>-500</v>
      </c>
      <c r="V88" s="218">
        <v>4.25</v>
      </c>
      <c r="W88" s="218">
        <v>4.75</v>
      </c>
      <c r="X88" s="126">
        <v>1</v>
      </c>
      <c r="AA88" s="188">
        <v>46225.101134259261</v>
      </c>
      <c r="AB88" s="131">
        <v>1</v>
      </c>
      <c r="AC88" s="126">
        <v>6</v>
      </c>
      <c r="AD88" s="126">
        <v>2026</v>
      </c>
    </row>
    <row r="89" spans="3:30" ht="23.1" customHeight="1">
      <c r="C89" s="126">
        <v>82</v>
      </c>
      <c r="D89" s="126">
        <v>99</v>
      </c>
      <c r="E89" s="141" t="s">
        <v>883</v>
      </c>
      <c r="F89" s="163" t="s">
        <v>884</v>
      </c>
      <c r="G89" s="162">
        <v>46178</v>
      </c>
      <c r="H89" s="131">
        <v>1</v>
      </c>
      <c r="I89" s="131">
        <v>1</v>
      </c>
      <c r="J89" s="141" t="s">
        <v>551</v>
      </c>
      <c r="K89" s="141">
        <v>1</v>
      </c>
      <c r="N89" s="141">
        <v>12</v>
      </c>
      <c r="U89" s="126">
        <v>-1</v>
      </c>
      <c r="V89" s="218">
        <v>0.24</v>
      </c>
      <c r="W89" s="218">
        <v>0.74</v>
      </c>
      <c r="X89" s="126">
        <v>1</v>
      </c>
      <c r="AA89" s="188">
        <v>46225.352233796293</v>
      </c>
      <c r="AB89" s="131">
        <v>1</v>
      </c>
      <c r="AC89" s="126">
        <v>6</v>
      </c>
      <c r="AD89" s="126">
        <v>2026</v>
      </c>
    </row>
    <row r="90" spans="3:30" ht="23.1" customHeight="1">
      <c r="C90" s="126">
        <v>83</v>
      </c>
      <c r="D90" s="126">
        <v>14</v>
      </c>
      <c r="E90" s="141" t="s">
        <v>696</v>
      </c>
      <c r="F90" s="163" t="s">
        <v>697</v>
      </c>
      <c r="G90" s="162">
        <v>46178</v>
      </c>
      <c r="H90" s="131">
        <v>1</v>
      </c>
      <c r="I90" s="131">
        <v>1</v>
      </c>
      <c r="J90" s="141" t="s">
        <v>551</v>
      </c>
      <c r="K90" s="141">
        <v>1</v>
      </c>
      <c r="N90" s="141">
        <v>12</v>
      </c>
      <c r="U90" s="126">
        <v>-1</v>
      </c>
      <c r="V90" s="218">
        <v>3.3</v>
      </c>
      <c r="W90" s="218">
        <v>3.75</v>
      </c>
      <c r="X90" s="126">
        <v>1</v>
      </c>
      <c r="AA90" s="188">
        <v>46225.352233796293</v>
      </c>
      <c r="AB90" s="131">
        <v>1</v>
      </c>
      <c r="AC90" s="126">
        <v>6</v>
      </c>
      <c r="AD90" s="126">
        <v>2026</v>
      </c>
    </row>
    <row r="91" spans="3:30" ht="23.1" customHeight="1">
      <c r="C91" s="126">
        <v>84</v>
      </c>
      <c r="D91" s="126">
        <v>182</v>
      </c>
      <c r="E91" s="141" t="s">
        <v>627</v>
      </c>
      <c r="F91" s="163" t="s">
        <v>628</v>
      </c>
      <c r="G91" s="162">
        <v>46178</v>
      </c>
      <c r="H91" s="131">
        <v>1</v>
      </c>
      <c r="I91" s="131">
        <v>1</v>
      </c>
      <c r="J91" s="141" t="s">
        <v>551</v>
      </c>
      <c r="K91" s="141">
        <v>1</v>
      </c>
      <c r="N91" s="141">
        <v>12</v>
      </c>
      <c r="U91" s="126">
        <v>-12</v>
      </c>
      <c r="V91" s="218">
        <v>2</v>
      </c>
      <c r="W91" s="218">
        <v>2.5</v>
      </c>
      <c r="X91" s="126">
        <v>1</v>
      </c>
      <c r="AA91" s="188">
        <v>46225.352233796293</v>
      </c>
      <c r="AB91" s="131">
        <v>1</v>
      </c>
      <c r="AC91" s="126">
        <v>6</v>
      </c>
      <c r="AD91" s="126">
        <v>2026</v>
      </c>
    </row>
    <row r="92" spans="3:30" ht="23.1" customHeight="1">
      <c r="C92" s="126">
        <v>85</v>
      </c>
      <c r="D92" s="126">
        <v>160</v>
      </c>
      <c r="E92" s="141" t="s">
        <v>738</v>
      </c>
      <c r="F92" s="163" t="s">
        <v>739</v>
      </c>
      <c r="G92" s="162">
        <v>46178</v>
      </c>
      <c r="H92" s="131">
        <v>1</v>
      </c>
      <c r="I92" s="131">
        <v>1</v>
      </c>
      <c r="J92" s="141" t="s">
        <v>551</v>
      </c>
      <c r="K92" s="141">
        <v>1</v>
      </c>
      <c r="N92" s="141">
        <v>12</v>
      </c>
      <c r="U92" s="126">
        <v>-2</v>
      </c>
      <c r="V92" s="218">
        <v>11.75</v>
      </c>
      <c r="W92" s="218">
        <v>12</v>
      </c>
      <c r="X92" s="126">
        <v>1</v>
      </c>
      <c r="AA92" s="188">
        <v>46225.352233796293</v>
      </c>
      <c r="AB92" s="131">
        <v>1</v>
      </c>
      <c r="AC92" s="126">
        <v>6</v>
      </c>
      <c r="AD92" s="126">
        <v>2026</v>
      </c>
    </row>
    <row r="93" spans="3:30" ht="23.1" customHeight="1">
      <c r="C93" s="126">
        <v>86</v>
      </c>
      <c r="D93" s="126">
        <v>46</v>
      </c>
      <c r="E93" s="141" t="s">
        <v>647</v>
      </c>
      <c r="F93" s="163" t="s">
        <v>648</v>
      </c>
      <c r="G93" s="162">
        <v>46178</v>
      </c>
      <c r="H93" s="131">
        <v>1</v>
      </c>
      <c r="I93" s="131">
        <v>1</v>
      </c>
      <c r="J93" s="141" t="s">
        <v>551</v>
      </c>
      <c r="K93" s="141">
        <v>1</v>
      </c>
      <c r="N93" s="141">
        <v>12</v>
      </c>
      <c r="U93" s="126">
        <v>-1</v>
      </c>
      <c r="V93" s="218">
        <v>0.15</v>
      </c>
      <c r="W93" s="218">
        <v>0.38</v>
      </c>
      <c r="X93" s="126">
        <v>1</v>
      </c>
      <c r="AA93" s="188">
        <v>46225.352233796293</v>
      </c>
      <c r="AB93" s="131">
        <v>1</v>
      </c>
      <c r="AC93" s="126">
        <v>6</v>
      </c>
      <c r="AD93" s="126">
        <v>2026</v>
      </c>
    </row>
    <row r="94" spans="3:30" ht="23.1" customHeight="1">
      <c r="C94" s="126">
        <v>87</v>
      </c>
      <c r="D94" s="126">
        <v>97</v>
      </c>
      <c r="E94" s="141" t="s">
        <v>637</v>
      </c>
      <c r="F94" s="163" t="s">
        <v>638</v>
      </c>
      <c r="G94" s="162">
        <v>46178</v>
      </c>
      <c r="H94" s="131">
        <v>1</v>
      </c>
      <c r="I94" s="131">
        <v>1</v>
      </c>
      <c r="J94" s="141" t="s">
        <v>551</v>
      </c>
      <c r="K94" s="141">
        <v>1</v>
      </c>
      <c r="N94" s="141">
        <v>12</v>
      </c>
      <c r="U94" s="126">
        <v>-2</v>
      </c>
      <c r="V94" s="218">
        <v>0.3</v>
      </c>
      <c r="W94" s="218">
        <v>0.5</v>
      </c>
      <c r="X94" s="126">
        <v>1</v>
      </c>
      <c r="AA94" s="188">
        <v>46225.352233796293</v>
      </c>
      <c r="AB94" s="131">
        <v>1</v>
      </c>
      <c r="AC94" s="126">
        <v>6</v>
      </c>
      <c r="AD94" s="126">
        <v>2026</v>
      </c>
    </row>
    <row r="95" spans="3:30" ht="23.1" customHeight="1">
      <c r="C95" s="126">
        <v>88</v>
      </c>
      <c r="D95" s="126">
        <v>96</v>
      </c>
      <c r="E95" s="141" t="s">
        <v>632</v>
      </c>
      <c r="F95" s="163" t="s">
        <v>633</v>
      </c>
      <c r="G95" s="162">
        <v>46178</v>
      </c>
      <c r="H95" s="131">
        <v>1</v>
      </c>
      <c r="I95" s="131">
        <v>1</v>
      </c>
      <c r="J95" s="141" t="s">
        <v>551</v>
      </c>
      <c r="K95" s="141">
        <v>1</v>
      </c>
      <c r="N95" s="141">
        <v>12</v>
      </c>
      <c r="U95" s="126">
        <v>-15</v>
      </c>
      <c r="V95" s="218">
        <v>0.27</v>
      </c>
      <c r="W95" s="218">
        <v>0.38</v>
      </c>
      <c r="X95" s="126">
        <v>1</v>
      </c>
      <c r="AA95" s="188">
        <v>46225.352233796293</v>
      </c>
      <c r="AB95" s="131">
        <v>1</v>
      </c>
      <c r="AC95" s="126">
        <v>6</v>
      </c>
      <c r="AD95" s="126">
        <v>2026</v>
      </c>
    </row>
    <row r="96" spans="3:30" ht="23.1" customHeight="1">
      <c r="C96" s="126">
        <v>89</v>
      </c>
      <c r="D96" s="126">
        <v>70</v>
      </c>
      <c r="E96" s="141" t="s">
        <v>906</v>
      </c>
      <c r="F96" s="163" t="s">
        <v>907</v>
      </c>
      <c r="G96" s="162">
        <v>46178</v>
      </c>
      <c r="H96" s="131">
        <v>1</v>
      </c>
      <c r="I96" s="131">
        <v>1</v>
      </c>
      <c r="J96" s="141" t="s">
        <v>551</v>
      </c>
      <c r="K96" s="141">
        <v>1</v>
      </c>
      <c r="N96" s="141">
        <v>12</v>
      </c>
      <c r="U96" s="126">
        <v>-1</v>
      </c>
      <c r="V96" s="218">
        <v>0.15</v>
      </c>
      <c r="W96" s="218">
        <v>0.25</v>
      </c>
      <c r="X96" s="126">
        <v>1</v>
      </c>
      <c r="AA96" s="188">
        <v>46225.352233796293</v>
      </c>
      <c r="AB96" s="131">
        <v>1</v>
      </c>
      <c r="AC96" s="126">
        <v>6</v>
      </c>
      <c r="AD96" s="126">
        <v>2026</v>
      </c>
    </row>
    <row r="97" spans="3:30" ht="23.1" customHeight="1">
      <c r="C97" s="126">
        <v>90</v>
      </c>
      <c r="D97" s="126">
        <v>178</v>
      </c>
      <c r="E97" s="141" t="s">
        <v>755</v>
      </c>
      <c r="F97" s="163" t="s">
        <v>756</v>
      </c>
      <c r="G97" s="162">
        <v>46178</v>
      </c>
      <c r="H97" s="131">
        <v>1</v>
      </c>
      <c r="I97" s="131">
        <v>1</v>
      </c>
      <c r="J97" s="141" t="s">
        <v>551</v>
      </c>
      <c r="K97" s="141">
        <v>1</v>
      </c>
      <c r="N97" s="141">
        <v>13</v>
      </c>
      <c r="U97" s="126">
        <v>-450</v>
      </c>
      <c r="V97" s="218">
        <v>4.75</v>
      </c>
      <c r="W97" s="218">
        <v>5</v>
      </c>
      <c r="X97" s="126">
        <v>1</v>
      </c>
      <c r="AA97" s="188">
        <v>46225.355312500003</v>
      </c>
      <c r="AB97" s="131">
        <v>1</v>
      </c>
      <c r="AC97" s="126">
        <v>6</v>
      </c>
      <c r="AD97" s="126">
        <v>2026</v>
      </c>
    </row>
    <row r="98" spans="3:30" ht="23.1" customHeight="1">
      <c r="C98" s="126">
        <v>91</v>
      </c>
      <c r="D98" s="126">
        <v>177</v>
      </c>
      <c r="E98" s="141" t="s">
        <v>752</v>
      </c>
      <c r="F98" s="163" t="s">
        <v>753</v>
      </c>
      <c r="G98" s="162">
        <v>46178</v>
      </c>
      <c r="H98" s="131">
        <v>1</v>
      </c>
      <c r="I98" s="131">
        <v>1</v>
      </c>
      <c r="J98" s="141" t="s">
        <v>551</v>
      </c>
      <c r="K98" s="141">
        <v>1</v>
      </c>
      <c r="N98" s="141">
        <v>14</v>
      </c>
      <c r="U98" s="126">
        <v>-150</v>
      </c>
      <c r="V98" s="218">
        <v>4.1500000000000004</v>
      </c>
      <c r="W98" s="218">
        <v>4.75</v>
      </c>
      <c r="X98" s="126">
        <v>1</v>
      </c>
      <c r="AA98" s="188">
        <v>46225.358194444445</v>
      </c>
      <c r="AB98" s="131">
        <v>1</v>
      </c>
      <c r="AC98" s="126">
        <v>6</v>
      </c>
      <c r="AD98" s="126">
        <v>2026</v>
      </c>
    </row>
    <row r="99" spans="3:30" ht="23.1" customHeight="1">
      <c r="C99" s="126">
        <v>92</v>
      </c>
      <c r="D99" s="126">
        <v>179</v>
      </c>
      <c r="E99" s="141" t="s">
        <v>564</v>
      </c>
      <c r="F99" s="163" t="s">
        <v>565</v>
      </c>
      <c r="G99" s="162">
        <v>46178</v>
      </c>
      <c r="H99" s="131">
        <v>1</v>
      </c>
      <c r="I99" s="131">
        <v>1</v>
      </c>
      <c r="J99" s="141" t="s">
        <v>551</v>
      </c>
      <c r="K99" s="141">
        <v>1</v>
      </c>
      <c r="N99" s="141">
        <v>14</v>
      </c>
      <c r="U99" s="126">
        <v>-300</v>
      </c>
      <c r="V99" s="218">
        <v>4.75</v>
      </c>
      <c r="W99" s="218">
        <v>5</v>
      </c>
      <c r="X99" s="126">
        <v>1</v>
      </c>
      <c r="AA99" s="188">
        <v>46225.358194444445</v>
      </c>
      <c r="AB99" s="131">
        <v>1</v>
      </c>
      <c r="AC99" s="126">
        <v>6</v>
      </c>
      <c r="AD99" s="126">
        <v>2026</v>
      </c>
    </row>
    <row r="100" spans="3:30" ht="23.1" customHeight="1">
      <c r="C100" s="126">
        <v>93</v>
      </c>
      <c r="D100" s="126">
        <v>178</v>
      </c>
      <c r="E100" s="141" t="s">
        <v>755</v>
      </c>
      <c r="F100" s="163" t="s">
        <v>756</v>
      </c>
      <c r="G100" s="162">
        <v>46179</v>
      </c>
      <c r="H100" s="131">
        <v>1</v>
      </c>
      <c r="I100" s="131">
        <v>1</v>
      </c>
      <c r="J100" s="141" t="s">
        <v>551</v>
      </c>
      <c r="K100" s="141">
        <v>1</v>
      </c>
      <c r="N100" s="141">
        <v>15</v>
      </c>
      <c r="U100" s="126">
        <v>-250</v>
      </c>
      <c r="V100" s="218">
        <v>4.75</v>
      </c>
      <c r="W100" s="218">
        <v>4.75</v>
      </c>
      <c r="X100" s="126">
        <v>1</v>
      </c>
      <c r="AA100" s="188">
        <v>46225.385636574072</v>
      </c>
      <c r="AB100" s="131">
        <v>1</v>
      </c>
      <c r="AC100" s="126">
        <v>6</v>
      </c>
      <c r="AD100" s="126">
        <v>2026</v>
      </c>
    </row>
    <row r="101" spans="3:30" ht="23.1" customHeight="1">
      <c r="C101" s="126">
        <v>94</v>
      </c>
      <c r="D101" s="126">
        <v>197</v>
      </c>
      <c r="E101" s="141" t="s">
        <v>652</v>
      </c>
      <c r="F101" s="163" t="s">
        <v>653</v>
      </c>
      <c r="G101" s="162">
        <v>46179</v>
      </c>
      <c r="H101" s="131">
        <v>1</v>
      </c>
      <c r="I101" s="131">
        <v>1</v>
      </c>
      <c r="J101" s="141" t="s">
        <v>551</v>
      </c>
      <c r="K101" s="141">
        <v>1</v>
      </c>
      <c r="N101" s="141">
        <v>15</v>
      </c>
      <c r="U101" s="126">
        <v>-12</v>
      </c>
      <c r="V101" s="218">
        <v>8.36</v>
      </c>
      <c r="W101" s="218">
        <v>8.1</v>
      </c>
      <c r="X101" s="126">
        <v>1</v>
      </c>
      <c r="AA101" s="188">
        <v>46225.385636574072</v>
      </c>
      <c r="AB101" s="131">
        <v>1</v>
      </c>
      <c r="AC101" s="126">
        <v>6</v>
      </c>
      <c r="AD101" s="126">
        <v>2026</v>
      </c>
    </row>
    <row r="102" spans="3:30" ht="23.1" customHeight="1">
      <c r="C102" s="126">
        <v>95</v>
      </c>
      <c r="D102" s="126">
        <v>52</v>
      </c>
      <c r="E102" s="141" t="s">
        <v>933</v>
      </c>
      <c r="F102" s="163" t="s">
        <v>934</v>
      </c>
      <c r="G102" s="162">
        <v>46179</v>
      </c>
      <c r="H102" s="131">
        <v>1</v>
      </c>
      <c r="I102" s="131">
        <v>1</v>
      </c>
      <c r="J102" s="141" t="s">
        <v>551</v>
      </c>
      <c r="K102" s="141">
        <v>1</v>
      </c>
      <c r="N102" s="141">
        <v>15</v>
      </c>
      <c r="U102" s="126">
        <v>-11</v>
      </c>
      <c r="V102" s="218">
        <v>1.91</v>
      </c>
      <c r="W102" s="218">
        <v>2.5</v>
      </c>
      <c r="X102" s="126">
        <v>1</v>
      </c>
      <c r="AA102" s="188">
        <v>46225.385636574072</v>
      </c>
      <c r="AB102" s="131">
        <v>1</v>
      </c>
      <c r="AC102" s="126">
        <v>6</v>
      </c>
      <c r="AD102" s="126">
        <v>2026</v>
      </c>
    </row>
    <row r="103" spans="3:30" ht="23.1" customHeight="1">
      <c r="C103" s="126">
        <v>96</v>
      </c>
      <c r="D103" s="126">
        <v>177</v>
      </c>
      <c r="E103" s="141" t="s">
        <v>752</v>
      </c>
      <c r="F103" s="163" t="s">
        <v>753</v>
      </c>
      <c r="G103" s="162">
        <v>46179</v>
      </c>
      <c r="H103" s="131">
        <v>1</v>
      </c>
      <c r="I103" s="131">
        <v>1</v>
      </c>
      <c r="J103" s="141" t="s">
        <v>551</v>
      </c>
      <c r="K103" s="141">
        <v>1</v>
      </c>
      <c r="N103" s="141">
        <v>16</v>
      </c>
      <c r="U103" s="126">
        <v>-1000</v>
      </c>
      <c r="V103" s="218">
        <v>83</v>
      </c>
      <c r="W103" s="218">
        <v>90</v>
      </c>
      <c r="X103" s="126">
        <v>1</v>
      </c>
      <c r="AA103" s="188">
        <v>46225.388078703705</v>
      </c>
      <c r="AB103" s="131">
        <v>1</v>
      </c>
      <c r="AC103" s="126">
        <v>6</v>
      </c>
      <c r="AD103" s="126">
        <v>2026</v>
      </c>
    </row>
    <row r="104" spans="3:30" ht="23.1" customHeight="1">
      <c r="C104" s="126">
        <v>97</v>
      </c>
      <c r="D104" s="126">
        <v>177</v>
      </c>
      <c r="E104" s="141" t="s">
        <v>752</v>
      </c>
      <c r="F104" s="163" t="s">
        <v>753</v>
      </c>
      <c r="G104" s="162">
        <v>46180</v>
      </c>
      <c r="H104" s="131">
        <v>1</v>
      </c>
      <c r="I104" s="131">
        <v>1</v>
      </c>
      <c r="J104" s="141" t="s">
        <v>551</v>
      </c>
      <c r="K104" s="141">
        <v>1</v>
      </c>
      <c r="N104" s="141">
        <v>17</v>
      </c>
      <c r="U104" s="126">
        <v>-200</v>
      </c>
      <c r="V104" s="218">
        <v>4.1500000000000004</v>
      </c>
      <c r="W104" s="218">
        <v>4.75</v>
      </c>
      <c r="X104" s="126">
        <v>1</v>
      </c>
      <c r="AA104" s="188">
        <v>46225.41233796296</v>
      </c>
      <c r="AB104" s="131">
        <v>1</v>
      </c>
      <c r="AC104" s="126">
        <v>6</v>
      </c>
      <c r="AD104" s="126">
        <v>2026</v>
      </c>
    </row>
    <row r="105" spans="3:30" ht="23.1" customHeight="1">
      <c r="C105" s="126">
        <v>98</v>
      </c>
      <c r="D105" s="126">
        <v>183</v>
      </c>
      <c r="E105" s="141" t="s">
        <v>766</v>
      </c>
      <c r="F105" s="163" t="s">
        <v>767</v>
      </c>
      <c r="G105" s="162">
        <v>46180</v>
      </c>
      <c r="H105" s="131">
        <v>1</v>
      </c>
      <c r="I105" s="131">
        <v>1</v>
      </c>
      <c r="J105" s="141" t="s">
        <v>551</v>
      </c>
      <c r="K105" s="141">
        <v>1</v>
      </c>
      <c r="N105" s="141">
        <v>17</v>
      </c>
      <c r="U105" s="126">
        <v>-60</v>
      </c>
      <c r="V105" s="218">
        <v>4</v>
      </c>
      <c r="W105" s="218">
        <v>5</v>
      </c>
      <c r="X105" s="126">
        <v>1</v>
      </c>
      <c r="AA105" s="188">
        <v>46225.41233796296</v>
      </c>
      <c r="AB105" s="131">
        <v>1</v>
      </c>
      <c r="AC105" s="126">
        <v>6</v>
      </c>
      <c r="AD105" s="126">
        <v>2026</v>
      </c>
    </row>
    <row r="106" spans="3:30" ht="23.1" customHeight="1">
      <c r="C106" s="126">
        <v>99</v>
      </c>
      <c r="D106" s="126">
        <v>177</v>
      </c>
      <c r="E106" s="141" t="s">
        <v>752</v>
      </c>
      <c r="F106" s="163" t="s">
        <v>753</v>
      </c>
      <c r="G106" s="162">
        <v>46180</v>
      </c>
      <c r="H106" s="131">
        <v>1</v>
      </c>
      <c r="I106" s="131">
        <v>1</v>
      </c>
      <c r="J106" s="141" t="s">
        <v>551</v>
      </c>
      <c r="K106" s="141">
        <v>1</v>
      </c>
      <c r="N106" s="141">
        <v>18</v>
      </c>
      <c r="U106" s="126">
        <v>-500</v>
      </c>
      <c r="V106" s="218">
        <v>4.1500000000000004</v>
      </c>
      <c r="W106" s="218">
        <v>4.75</v>
      </c>
      <c r="X106" s="126">
        <v>1</v>
      </c>
      <c r="AA106" s="188">
        <v>46225.415694444448</v>
      </c>
      <c r="AB106" s="131">
        <v>1</v>
      </c>
      <c r="AC106" s="126">
        <v>6</v>
      </c>
      <c r="AD106" s="126">
        <v>2026</v>
      </c>
    </row>
    <row r="107" spans="3:30" ht="23.1" customHeight="1">
      <c r="C107" s="126">
        <v>100</v>
      </c>
      <c r="D107" s="126">
        <v>177</v>
      </c>
      <c r="E107" s="141" t="s">
        <v>752</v>
      </c>
      <c r="F107" s="163" t="s">
        <v>753</v>
      </c>
      <c r="G107" s="162">
        <v>46180</v>
      </c>
      <c r="H107" s="131">
        <v>1</v>
      </c>
      <c r="I107" s="131">
        <v>1</v>
      </c>
      <c r="J107" s="141" t="s">
        <v>551</v>
      </c>
      <c r="K107" s="141">
        <v>1</v>
      </c>
      <c r="N107" s="141">
        <v>19</v>
      </c>
      <c r="U107" s="126">
        <v>-50</v>
      </c>
      <c r="V107" s="218">
        <v>4.1500000000000004</v>
      </c>
      <c r="W107" s="218">
        <v>4.75</v>
      </c>
      <c r="X107" s="126">
        <v>1</v>
      </c>
      <c r="AA107" s="188">
        <v>46225.425000000003</v>
      </c>
      <c r="AB107" s="131">
        <v>1</v>
      </c>
      <c r="AC107" s="126">
        <v>6</v>
      </c>
      <c r="AD107" s="126">
        <v>2026</v>
      </c>
    </row>
    <row r="108" spans="3:30" ht="23.1" customHeight="1">
      <c r="C108" s="126">
        <v>101</v>
      </c>
      <c r="D108" s="126">
        <v>10</v>
      </c>
      <c r="E108" s="141" t="s">
        <v>586</v>
      </c>
      <c r="F108" s="163" t="s">
        <v>587</v>
      </c>
      <c r="G108" s="162">
        <v>46180</v>
      </c>
      <c r="H108" s="131">
        <v>1</v>
      </c>
      <c r="I108" s="131">
        <v>1</v>
      </c>
      <c r="J108" s="141" t="s">
        <v>551</v>
      </c>
      <c r="K108" s="141">
        <v>1</v>
      </c>
      <c r="N108" s="141">
        <v>19</v>
      </c>
      <c r="U108" s="126">
        <v>-1</v>
      </c>
      <c r="V108" s="218">
        <v>14.85</v>
      </c>
      <c r="W108" s="218">
        <v>15</v>
      </c>
      <c r="X108" s="126">
        <v>1</v>
      </c>
      <c r="AA108" s="188">
        <v>46225.425000000003</v>
      </c>
      <c r="AB108" s="131">
        <v>1</v>
      </c>
      <c r="AC108" s="126">
        <v>6</v>
      </c>
      <c r="AD108" s="126">
        <v>2026</v>
      </c>
    </row>
    <row r="109" spans="3:30" ht="23.1" customHeight="1">
      <c r="C109" s="126">
        <v>102</v>
      </c>
      <c r="D109" s="126">
        <v>11</v>
      </c>
      <c r="E109" s="141" t="s">
        <v>690</v>
      </c>
      <c r="F109" s="163" t="s">
        <v>691</v>
      </c>
      <c r="G109" s="162">
        <v>46180</v>
      </c>
      <c r="H109" s="131">
        <v>1</v>
      </c>
      <c r="I109" s="131">
        <v>1</v>
      </c>
      <c r="J109" s="141" t="s">
        <v>551</v>
      </c>
      <c r="K109" s="141">
        <v>1</v>
      </c>
      <c r="N109" s="141">
        <v>19</v>
      </c>
      <c r="U109" s="126">
        <v>-5</v>
      </c>
      <c r="V109" s="218">
        <v>9.52</v>
      </c>
      <c r="W109" s="218">
        <v>10</v>
      </c>
      <c r="X109" s="126">
        <v>1</v>
      </c>
      <c r="AA109" s="188">
        <v>46225.425000000003</v>
      </c>
      <c r="AB109" s="131">
        <v>1</v>
      </c>
      <c r="AC109" s="126">
        <v>6</v>
      </c>
      <c r="AD109" s="126">
        <v>2026</v>
      </c>
    </row>
    <row r="110" spans="3:30" ht="23.1" customHeight="1">
      <c r="C110" s="126">
        <v>103</v>
      </c>
      <c r="D110" s="126">
        <v>19</v>
      </c>
      <c r="E110" s="141" t="s">
        <v>706</v>
      </c>
      <c r="F110" s="163" t="s">
        <v>707</v>
      </c>
      <c r="G110" s="162">
        <v>46181</v>
      </c>
      <c r="H110" s="131">
        <v>1</v>
      </c>
      <c r="I110" s="131">
        <v>1</v>
      </c>
      <c r="J110" s="141" t="s">
        <v>551</v>
      </c>
      <c r="K110" s="141">
        <v>1</v>
      </c>
      <c r="N110" s="141">
        <v>20</v>
      </c>
      <c r="U110" s="126">
        <v>-1</v>
      </c>
      <c r="V110" s="218">
        <v>7.49</v>
      </c>
      <c r="W110" s="218">
        <v>8</v>
      </c>
      <c r="X110" s="126">
        <v>1</v>
      </c>
      <c r="AA110" s="188">
        <v>46225.441111111111</v>
      </c>
      <c r="AB110" s="131">
        <v>2</v>
      </c>
      <c r="AC110" s="126">
        <v>6</v>
      </c>
      <c r="AD110" s="126">
        <v>2026</v>
      </c>
    </row>
    <row r="111" spans="3:30" ht="23.1" customHeight="1">
      <c r="C111" s="126">
        <v>104</v>
      </c>
      <c r="D111" s="126">
        <v>42</v>
      </c>
      <c r="E111" s="141" t="s">
        <v>975</v>
      </c>
      <c r="F111" s="163" t="s">
        <v>976</v>
      </c>
      <c r="G111" s="162">
        <v>46181</v>
      </c>
      <c r="H111" s="131">
        <v>1</v>
      </c>
      <c r="I111" s="131">
        <v>1</v>
      </c>
      <c r="J111" s="141" t="s">
        <v>551</v>
      </c>
      <c r="K111" s="141">
        <v>1</v>
      </c>
      <c r="N111" s="141">
        <v>20</v>
      </c>
      <c r="U111" s="126">
        <v>-1</v>
      </c>
      <c r="V111" s="218">
        <v>0.24</v>
      </c>
      <c r="W111" s="218">
        <v>0.5</v>
      </c>
      <c r="X111" s="126">
        <v>1</v>
      </c>
      <c r="AA111" s="188">
        <v>46225.441111111111</v>
      </c>
      <c r="AB111" s="131">
        <v>2</v>
      </c>
      <c r="AC111" s="126">
        <v>6</v>
      </c>
      <c r="AD111" s="126">
        <v>2026</v>
      </c>
    </row>
    <row r="112" spans="3:30" ht="23.1" customHeight="1">
      <c r="C112" s="126">
        <v>105</v>
      </c>
      <c r="D112" s="126">
        <v>45</v>
      </c>
      <c r="E112" s="141" t="s">
        <v>980</v>
      </c>
      <c r="F112" s="163" t="s">
        <v>981</v>
      </c>
      <c r="G112" s="162">
        <v>46181</v>
      </c>
      <c r="H112" s="131">
        <v>1</v>
      </c>
      <c r="I112" s="131">
        <v>1</v>
      </c>
      <c r="J112" s="141" t="s">
        <v>551</v>
      </c>
      <c r="K112" s="141">
        <v>1</v>
      </c>
      <c r="N112" s="141">
        <v>20</v>
      </c>
      <c r="U112" s="126">
        <v>-12</v>
      </c>
      <c r="V112" s="218">
        <v>0.34</v>
      </c>
      <c r="W112" s="218">
        <v>0.5</v>
      </c>
      <c r="X112" s="126">
        <v>1</v>
      </c>
      <c r="AA112" s="188">
        <v>46225.441111111111</v>
      </c>
      <c r="AB112" s="131">
        <v>2</v>
      </c>
      <c r="AC112" s="126">
        <v>6</v>
      </c>
      <c r="AD112" s="126">
        <v>2026</v>
      </c>
    </row>
    <row r="113" spans="3:30" ht="23.1" customHeight="1">
      <c r="C113" s="126">
        <v>106</v>
      </c>
      <c r="D113" s="126">
        <v>183</v>
      </c>
      <c r="E113" s="141" t="s">
        <v>766</v>
      </c>
      <c r="F113" s="163" t="s">
        <v>767</v>
      </c>
      <c r="G113" s="162">
        <v>46181</v>
      </c>
      <c r="H113" s="131">
        <v>1</v>
      </c>
      <c r="I113" s="131">
        <v>1</v>
      </c>
      <c r="J113" s="141" t="s">
        <v>551</v>
      </c>
      <c r="K113" s="141">
        <v>1</v>
      </c>
      <c r="N113" s="141">
        <v>20</v>
      </c>
      <c r="U113" s="126">
        <v>-120</v>
      </c>
      <c r="V113" s="218">
        <v>4</v>
      </c>
      <c r="W113" s="218">
        <v>5</v>
      </c>
      <c r="X113" s="126">
        <v>1</v>
      </c>
      <c r="AA113" s="188">
        <v>46225.441111111111</v>
      </c>
      <c r="AB113" s="131">
        <v>2</v>
      </c>
      <c r="AC113" s="126">
        <v>6</v>
      </c>
      <c r="AD113" s="126">
        <v>2026</v>
      </c>
    </row>
    <row r="114" spans="3:30" ht="23.1" customHeight="1">
      <c r="C114" s="126">
        <v>107</v>
      </c>
      <c r="D114" s="126">
        <v>16</v>
      </c>
      <c r="E114" s="141" t="s">
        <v>699</v>
      </c>
      <c r="F114" s="163" t="s">
        <v>700</v>
      </c>
      <c r="G114" s="162">
        <v>46181</v>
      </c>
      <c r="H114" s="131">
        <v>1</v>
      </c>
      <c r="I114" s="131">
        <v>1</v>
      </c>
      <c r="J114" s="141" t="s">
        <v>551</v>
      </c>
      <c r="K114" s="141">
        <v>1</v>
      </c>
      <c r="N114" s="141">
        <v>21</v>
      </c>
      <c r="U114" s="126">
        <v>-8</v>
      </c>
      <c r="V114" s="218">
        <v>2.1</v>
      </c>
      <c r="W114" s="218">
        <v>3</v>
      </c>
      <c r="X114" s="126">
        <v>1</v>
      </c>
      <c r="AA114" s="188">
        <v>46225.459583333337</v>
      </c>
      <c r="AB114" s="131">
        <v>2</v>
      </c>
      <c r="AC114" s="126">
        <v>6</v>
      </c>
      <c r="AD114" s="126">
        <v>2026</v>
      </c>
    </row>
    <row r="115" spans="3:30" ht="23.1" customHeight="1">
      <c r="C115" s="126">
        <v>108</v>
      </c>
      <c r="D115" s="126">
        <v>41</v>
      </c>
      <c r="E115" s="141" t="s">
        <v>808</v>
      </c>
      <c r="F115" s="163" t="s">
        <v>809</v>
      </c>
      <c r="G115" s="162">
        <v>46181</v>
      </c>
      <c r="H115" s="131">
        <v>1</v>
      </c>
      <c r="I115" s="131">
        <v>1</v>
      </c>
      <c r="J115" s="141" t="s">
        <v>551</v>
      </c>
      <c r="K115" s="141">
        <v>1</v>
      </c>
      <c r="N115" s="141">
        <v>21</v>
      </c>
      <c r="U115" s="126">
        <v>-2</v>
      </c>
      <c r="V115" s="218">
        <v>0.53</v>
      </c>
      <c r="W115" s="218">
        <v>0.8</v>
      </c>
      <c r="X115" s="126">
        <v>1</v>
      </c>
      <c r="AA115" s="188">
        <v>46225.459583333337</v>
      </c>
      <c r="AB115" s="131">
        <v>2</v>
      </c>
      <c r="AC115" s="126">
        <v>6</v>
      </c>
      <c r="AD115" s="126">
        <v>2026</v>
      </c>
    </row>
    <row r="116" spans="3:30" ht="23.1" customHeight="1">
      <c r="C116" s="126">
        <v>109</v>
      </c>
      <c r="D116" s="126">
        <v>144</v>
      </c>
      <c r="E116" s="141" t="s">
        <v>996</v>
      </c>
      <c r="F116" s="163" t="s">
        <v>997</v>
      </c>
      <c r="G116" s="162">
        <v>46181</v>
      </c>
      <c r="H116" s="131">
        <v>1</v>
      </c>
      <c r="I116" s="131">
        <v>1</v>
      </c>
      <c r="J116" s="141" t="s">
        <v>551</v>
      </c>
      <c r="K116" s="141">
        <v>1</v>
      </c>
      <c r="N116" s="141">
        <v>21</v>
      </c>
      <c r="U116" s="126">
        <v>-8</v>
      </c>
      <c r="V116" s="218">
        <v>0.3</v>
      </c>
      <c r="W116" s="218">
        <v>0.63</v>
      </c>
      <c r="X116" s="126">
        <v>1</v>
      </c>
      <c r="AA116" s="188">
        <v>46225.459583333337</v>
      </c>
      <c r="AB116" s="131">
        <v>2</v>
      </c>
      <c r="AC116" s="126">
        <v>6</v>
      </c>
      <c r="AD116" s="126">
        <v>2026</v>
      </c>
    </row>
    <row r="117" spans="3:30" ht="23.1" customHeight="1">
      <c r="C117" s="126">
        <v>110</v>
      </c>
      <c r="D117" s="126">
        <v>155</v>
      </c>
      <c r="E117" s="141" t="s">
        <v>667</v>
      </c>
      <c r="F117" s="163" t="s">
        <v>668</v>
      </c>
      <c r="G117" s="162">
        <v>46181</v>
      </c>
      <c r="H117" s="131">
        <v>1</v>
      </c>
      <c r="I117" s="131">
        <v>1</v>
      </c>
      <c r="J117" s="141" t="s">
        <v>551</v>
      </c>
      <c r="K117" s="141">
        <v>1</v>
      </c>
      <c r="N117" s="141">
        <v>21</v>
      </c>
      <c r="U117" s="126">
        <v>-2</v>
      </c>
      <c r="V117" s="218">
        <v>14.5</v>
      </c>
      <c r="W117" s="218">
        <v>15</v>
      </c>
      <c r="X117" s="126">
        <v>1</v>
      </c>
      <c r="AA117" s="188">
        <v>46225.459583333337</v>
      </c>
      <c r="AB117" s="131">
        <v>2</v>
      </c>
      <c r="AC117" s="126">
        <v>6</v>
      </c>
      <c r="AD117" s="126">
        <v>2026</v>
      </c>
    </row>
    <row r="118" spans="3:30" ht="23.1" customHeight="1">
      <c r="C118" s="126">
        <v>111</v>
      </c>
      <c r="D118" s="126">
        <v>189</v>
      </c>
      <c r="E118" s="141" t="s">
        <v>778</v>
      </c>
      <c r="F118" s="163" t="s">
        <v>779</v>
      </c>
      <c r="G118" s="162">
        <v>46181</v>
      </c>
      <c r="H118" s="131">
        <v>1</v>
      </c>
      <c r="I118" s="131">
        <v>1</v>
      </c>
      <c r="J118" s="141" t="s">
        <v>551</v>
      </c>
      <c r="K118" s="141">
        <v>1</v>
      </c>
      <c r="N118" s="141">
        <v>22</v>
      </c>
      <c r="U118" s="126">
        <v>-32</v>
      </c>
      <c r="V118" s="218">
        <v>4.09</v>
      </c>
      <c r="W118" s="218">
        <v>4.5</v>
      </c>
      <c r="X118" s="126">
        <v>1</v>
      </c>
      <c r="AA118" s="188">
        <v>46225.463854166665</v>
      </c>
      <c r="AB118" s="131">
        <v>2</v>
      </c>
      <c r="AC118" s="126">
        <v>6</v>
      </c>
      <c r="AD118" s="126">
        <v>2026</v>
      </c>
    </row>
    <row r="119" spans="3:30" ht="23.1" customHeight="1">
      <c r="C119" s="126">
        <v>112</v>
      </c>
      <c r="D119" s="126">
        <v>108</v>
      </c>
      <c r="E119" s="141" t="s">
        <v>1009</v>
      </c>
      <c r="F119" s="163" t="s">
        <v>1010</v>
      </c>
      <c r="G119" s="162">
        <v>46181</v>
      </c>
      <c r="H119" s="131">
        <v>1</v>
      </c>
      <c r="I119" s="131">
        <v>1</v>
      </c>
      <c r="J119" s="141" t="s">
        <v>551</v>
      </c>
      <c r="K119" s="141">
        <v>1</v>
      </c>
      <c r="N119" s="141">
        <v>22</v>
      </c>
      <c r="U119" s="126">
        <v>-4</v>
      </c>
      <c r="V119" s="218">
        <v>2.7</v>
      </c>
      <c r="W119" s="218">
        <v>3</v>
      </c>
      <c r="X119" s="126">
        <v>1</v>
      </c>
      <c r="AA119" s="188">
        <v>46225.463854166665</v>
      </c>
      <c r="AB119" s="131">
        <v>2</v>
      </c>
      <c r="AC119" s="126">
        <v>6</v>
      </c>
      <c r="AD119" s="126">
        <v>2026</v>
      </c>
    </row>
    <row r="120" spans="3:30" ht="23.1" customHeight="1">
      <c r="C120" s="126">
        <v>113</v>
      </c>
      <c r="D120" s="126">
        <v>177</v>
      </c>
      <c r="E120" s="141" t="s">
        <v>752</v>
      </c>
      <c r="F120" s="163" t="s">
        <v>753</v>
      </c>
      <c r="G120" s="162">
        <v>46182</v>
      </c>
      <c r="H120" s="131">
        <v>1</v>
      </c>
      <c r="I120" s="131">
        <v>1</v>
      </c>
      <c r="J120" s="141" t="s">
        <v>551</v>
      </c>
      <c r="K120" s="141">
        <v>1</v>
      </c>
      <c r="N120" s="141">
        <v>23</v>
      </c>
      <c r="U120" s="126">
        <v>-500</v>
      </c>
      <c r="V120" s="218">
        <v>4.1500000000000004</v>
      </c>
      <c r="W120" s="218">
        <v>4.5</v>
      </c>
      <c r="X120" s="126">
        <v>1</v>
      </c>
      <c r="AA120" s="188">
        <v>46225.630381944444</v>
      </c>
      <c r="AB120" s="131">
        <v>2</v>
      </c>
      <c r="AC120" s="126">
        <v>6</v>
      </c>
      <c r="AD120" s="126">
        <v>2026</v>
      </c>
    </row>
    <row r="121" spans="3:30" ht="23.1" customHeight="1">
      <c r="C121" s="126">
        <v>114</v>
      </c>
      <c r="D121" s="126">
        <v>193</v>
      </c>
      <c r="E121" s="141" t="s">
        <v>784</v>
      </c>
      <c r="F121" s="163" t="s">
        <v>785</v>
      </c>
      <c r="G121" s="162">
        <v>46182</v>
      </c>
      <c r="H121" s="131">
        <v>1</v>
      </c>
      <c r="I121" s="131">
        <v>1</v>
      </c>
      <c r="J121" s="141" t="s">
        <v>551</v>
      </c>
      <c r="K121" s="141">
        <v>1</v>
      </c>
      <c r="N121" s="141">
        <v>23</v>
      </c>
      <c r="U121" s="126">
        <v>-16</v>
      </c>
      <c r="V121" s="218">
        <v>3.88</v>
      </c>
      <c r="W121" s="218">
        <v>4.5</v>
      </c>
      <c r="X121" s="126">
        <v>1</v>
      </c>
      <c r="AA121" s="188">
        <v>46225.630381944444</v>
      </c>
      <c r="AB121" s="131">
        <v>2</v>
      </c>
      <c r="AC121" s="126">
        <v>6</v>
      </c>
      <c r="AD121" s="126">
        <v>2026</v>
      </c>
    </row>
    <row r="122" spans="3:30" ht="23.1" customHeight="1">
      <c r="C122" s="126">
        <v>115</v>
      </c>
      <c r="D122" s="126">
        <v>103</v>
      </c>
      <c r="E122" s="141" t="s">
        <v>1024</v>
      </c>
      <c r="F122" s="163" t="s">
        <v>1025</v>
      </c>
      <c r="G122" s="162">
        <v>46182</v>
      </c>
      <c r="H122" s="131">
        <v>1</v>
      </c>
      <c r="I122" s="131">
        <v>1</v>
      </c>
      <c r="J122" s="141" t="s">
        <v>551</v>
      </c>
      <c r="K122" s="141">
        <v>1</v>
      </c>
      <c r="N122" s="141">
        <v>23</v>
      </c>
      <c r="U122" s="126">
        <v>-2</v>
      </c>
      <c r="V122" s="218">
        <v>0.75</v>
      </c>
      <c r="W122" s="218">
        <v>1</v>
      </c>
      <c r="X122" s="126">
        <v>1</v>
      </c>
      <c r="AA122" s="188">
        <v>46225.630381944444</v>
      </c>
      <c r="AB122" s="131">
        <v>2</v>
      </c>
      <c r="AC122" s="126">
        <v>6</v>
      </c>
      <c r="AD122" s="126">
        <v>2026</v>
      </c>
    </row>
    <row r="123" spans="3:30" ht="23.1" customHeight="1">
      <c r="C123" s="126">
        <v>116</v>
      </c>
      <c r="D123" s="126">
        <v>167</v>
      </c>
      <c r="E123" s="141" t="s">
        <v>1029</v>
      </c>
      <c r="F123" s="163" t="s">
        <v>1030</v>
      </c>
      <c r="G123" s="162">
        <v>46182</v>
      </c>
      <c r="H123" s="131">
        <v>1</v>
      </c>
      <c r="I123" s="131">
        <v>1</v>
      </c>
      <c r="J123" s="141" t="s">
        <v>551</v>
      </c>
      <c r="K123" s="141">
        <v>1</v>
      </c>
      <c r="N123" s="141">
        <v>23</v>
      </c>
      <c r="U123" s="126">
        <v>-2</v>
      </c>
      <c r="V123" s="218">
        <v>0.85</v>
      </c>
      <c r="W123" s="218">
        <v>1</v>
      </c>
      <c r="X123" s="126">
        <v>1</v>
      </c>
      <c r="AA123" s="188">
        <v>46225.630381944444</v>
      </c>
      <c r="AB123" s="131">
        <v>2</v>
      </c>
      <c r="AC123" s="126">
        <v>6</v>
      </c>
      <c r="AD123" s="126">
        <v>2026</v>
      </c>
    </row>
    <row r="124" spans="3:30" ht="23.1" customHeight="1">
      <c r="C124" s="126">
        <v>117</v>
      </c>
      <c r="D124" s="126">
        <v>184</v>
      </c>
      <c r="E124" s="141" t="s">
        <v>769</v>
      </c>
      <c r="F124" s="163" t="s">
        <v>770</v>
      </c>
      <c r="G124" s="162">
        <v>46182</v>
      </c>
      <c r="H124" s="131">
        <v>1</v>
      </c>
      <c r="I124" s="131">
        <v>1</v>
      </c>
      <c r="J124" s="141" t="s">
        <v>551</v>
      </c>
      <c r="K124" s="141">
        <v>1</v>
      </c>
      <c r="N124" s="141">
        <v>23</v>
      </c>
      <c r="U124" s="126">
        <v>-24</v>
      </c>
      <c r="V124" s="218">
        <v>6</v>
      </c>
      <c r="W124" s="218">
        <v>6.5</v>
      </c>
      <c r="X124" s="126">
        <v>1</v>
      </c>
      <c r="AA124" s="188">
        <v>46225.630381944444</v>
      </c>
      <c r="AB124" s="131">
        <v>2</v>
      </c>
      <c r="AC124" s="126">
        <v>6</v>
      </c>
      <c r="AD124" s="126">
        <v>2026</v>
      </c>
    </row>
    <row r="125" spans="3:30" ht="23.1" customHeight="1">
      <c r="C125" s="126">
        <v>118</v>
      </c>
      <c r="D125" s="126">
        <v>63</v>
      </c>
      <c r="E125" s="141" t="s">
        <v>1037</v>
      </c>
      <c r="F125" s="163" t="s">
        <v>1038</v>
      </c>
      <c r="G125" s="162">
        <v>46182</v>
      </c>
      <c r="H125" s="131">
        <v>1</v>
      </c>
      <c r="I125" s="131">
        <v>1</v>
      </c>
      <c r="J125" s="141" t="s">
        <v>551</v>
      </c>
      <c r="K125" s="141">
        <v>1</v>
      </c>
      <c r="N125" s="141">
        <v>23</v>
      </c>
      <c r="U125" s="126">
        <v>-1</v>
      </c>
      <c r="V125" s="218">
        <v>4.33</v>
      </c>
      <c r="W125" s="218">
        <v>6</v>
      </c>
      <c r="X125" s="126">
        <v>1</v>
      </c>
      <c r="AA125" s="188">
        <v>46225.630381944444</v>
      </c>
      <c r="AB125" s="131">
        <v>2</v>
      </c>
      <c r="AC125" s="126">
        <v>6</v>
      </c>
      <c r="AD125" s="126">
        <v>2026</v>
      </c>
    </row>
    <row r="126" spans="3:30" ht="23.1" customHeight="1">
      <c r="C126" s="126">
        <v>119</v>
      </c>
      <c r="D126" s="126">
        <v>182</v>
      </c>
      <c r="E126" s="141" t="s">
        <v>627</v>
      </c>
      <c r="F126" s="163" t="s">
        <v>628</v>
      </c>
      <c r="G126" s="162">
        <v>46182</v>
      </c>
      <c r="H126" s="131">
        <v>1</v>
      </c>
      <c r="I126" s="131">
        <v>1</v>
      </c>
      <c r="J126" s="141" t="s">
        <v>551</v>
      </c>
      <c r="K126" s="141">
        <v>1</v>
      </c>
      <c r="N126" s="141">
        <v>23</v>
      </c>
      <c r="U126" s="126">
        <v>-24</v>
      </c>
      <c r="V126" s="218">
        <v>2</v>
      </c>
      <c r="W126" s="218">
        <v>2.5</v>
      </c>
      <c r="X126" s="126">
        <v>1</v>
      </c>
      <c r="AA126" s="188">
        <v>46225.630381944444</v>
      </c>
      <c r="AB126" s="131">
        <v>2</v>
      </c>
      <c r="AC126" s="126">
        <v>6</v>
      </c>
      <c r="AD126" s="126">
        <v>2026</v>
      </c>
    </row>
    <row r="127" spans="3:30" ht="23.1" customHeight="1">
      <c r="C127" s="126">
        <v>120</v>
      </c>
      <c r="D127" s="126">
        <v>187</v>
      </c>
      <c r="E127" s="141" t="s">
        <v>576</v>
      </c>
      <c r="F127" s="163" t="s">
        <v>577</v>
      </c>
      <c r="G127" s="162">
        <v>46182</v>
      </c>
      <c r="H127" s="131">
        <v>1</v>
      </c>
      <c r="I127" s="131">
        <v>1</v>
      </c>
      <c r="J127" s="141" t="s">
        <v>551</v>
      </c>
      <c r="K127" s="141">
        <v>1</v>
      </c>
      <c r="N127" s="141">
        <v>24</v>
      </c>
      <c r="U127" s="126">
        <v>-8</v>
      </c>
      <c r="V127" s="218">
        <v>3.37</v>
      </c>
      <c r="W127" s="218">
        <v>3.5</v>
      </c>
      <c r="X127" s="126">
        <v>1</v>
      </c>
      <c r="AA127" s="188">
        <v>46225.644062500003</v>
      </c>
      <c r="AB127" s="131">
        <v>2</v>
      </c>
      <c r="AC127" s="126">
        <v>6</v>
      </c>
      <c r="AD127" s="126">
        <v>2026</v>
      </c>
    </row>
    <row r="128" spans="3:30" ht="23.1" customHeight="1">
      <c r="C128" s="126">
        <v>121</v>
      </c>
      <c r="D128" s="126">
        <v>193</v>
      </c>
      <c r="E128" s="141" t="s">
        <v>784</v>
      </c>
      <c r="F128" s="163" t="s">
        <v>785</v>
      </c>
      <c r="G128" s="162">
        <v>46182</v>
      </c>
      <c r="H128" s="131">
        <v>1</v>
      </c>
      <c r="I128" s="131">
        <v>1</v>
      </c>
      <c r="J128" s="141" t="s">
        <v>551</v>
      </c>
      <c r="K128" s="141">
        <v>1</v>
      </c>
      <c r="N128" s="141">
        <v>24</v>
      </c>
      <c r="U128" s="126">
        <v>-4</v>
      </c>
      <c r="V128" s="218">
        <v>3.88</v>
      </c>
      <c r="W128" s="218">
        <v>4.3</v>
      </c>
      <c r="X128" s="126">
        <v>1</v>
      </c>
      <c r="AA128" s="188">
        <v>46225.644062500003</v>
      </c>
      <c r="AB128" s="131">
        <v>2</v>
      </c>
      <c r="AC128" s="126">
        <v>6</v>
      </c>
      <c r="AD128" s="126">
        <v>2026</v>
      </c>
    </row>
    <row r="129" spans="3:30" ht="23.1" customHeight="1">
      <c r="C129" s="126">
        <v>122</v>
      </c>
      <c r="D129" s="126">
        <v>195</v>
      </c>
      <c r="E129" s="141" t="s">
        <v>608</v>
      </c>
      <c r="F129" s="163" t="s">
        <v>609</v>
      </c>
      <c r="G129" s="162">
        <v>46182</v>
      </c>
      <c r="H129" s="131">
        <v>1</v>
      </c>
      <c r="I129" s="131">
        <v>1</v>
      </c>
      <c r="J129" s="141" t="s">
        <v>551</v>
      </c>
      <c r="K129" s="141">
        <v>1</v>
      </c>
      <c r="N129" s="141">
        <v>24</v>
      </c>
      <c r="U129" s="126">
        <v>-4</v>
      </c>
      <c r="V129" s="218">
        <v>6.28</v>
      </c>
      <c r="W129" s="218">
        <v>6.7</v>
      </c>
      <c r="X129" s="126">
        <v>1</v>
      </c>
      <c r="AA129" s="188">
        <v>46225.644062500003</v>
      </c>
      <c r="AB129" s="131">
        <v>2</v>
      </c>
      <c r="AC129" s="126">
        <v>6</v>
      </c>
      <c r="AD129" s="126">
        <v>2026</v>
      </c>
    </row>
    <row r="130" spans="3:30" ht="23.1" customHeight="1">
      <c r="C130" s="126">
        <v>123</v>
      </c>
      <c r="D130" s="126">
        <v>177</v>
      </c>
      <c r="E130" s="141" t="s">
        <v>752</v>
      </c>
      <c r="F130" s="163" t="s">
        <v>753</v>
      </c>
      <c r="G130" s="162">
        <v>46182</v>
      </c>
      <c r="H130" s="131">
        <v>1</v>
      </c>
      <c r="I130" s="131">
        <v>1</v>
      </c>
      <c r="J130" s="141" t="s">
        <v>551</v>
      </c>
      <c r="K130" s="141">
        <v>1</v>
      </c>
      <c r="N130" s="141">
        <v>24</v>
      </c>
      <c r="U130" s="126">
        <v>-700</v>
      </c>
      <c r="V130" s="218">
        <v>4.1500000000000004</v>
      </c>
      <c r="W130" s="218">
        <v>4.5</v>
      </c>
      <c r="X130" s="126">
        <v>1</v>
      </c>
      <c r="AA130" s="188">
        <v>46225.644062500003</v>
      </c>
      <c r="AB130" s="131">
        <v>2</v>
      </c>
      <c r="AC130" s="126">
        <v>6</v>
      </c>
      <c r="AD130" s="126">
        <v>2026</v>
      </c>
    </row>
    <row r="131" spans="3:30" ht="23.1" customHeight="1">
      <c r="C131" s="126">
        <v>124</v>
      </c>
      <c r="D131" s="126">
        <v>22</v>
      </c>
      <c r="E131" s="141" t="s">
        <v>642</v>
      </c>
      <c r="F131" s="163" t="s">
        <v>643</v>
      </c>
      <c r="G131" s="162">
        <v>46182</v>
      </c>
      <c r="H131" s="131">
        <v>1</v>
      </c>
      <c r="I131" s="131">
        <v>1</v>
      </c>
      <c r="J131" s="141" t="s">
        <v>551</v>
      </c>
      <c r="K131" s="141">
        <v>1</v>
      </c>
      <c r="N131" s="141">
        <v>24</v>
      </c>
      <c r="U131" s="126">
        <v>-1</v>
      </c>
      <c r="V131" s="218">
        <v>2.9</v>
      </c>
      <c r="W131" s="218">
        <v>3</v>
      </c>
      <c r="X131" s="126">
        <v>1</v>
      </c>
      <c r="AA131" s="188">
        <v>46225.644062500003</v>
      </c>
      <c r="AB131" s="131">
        <v>2</v>
      </c>
      <c r="AC131" s="126">
        <v>6</v>
      </c>
      <c r="AD131" s="126">
        <v>2026</v>
      </c>
    </row>
    <row r="132" spans="3:30" ht="23.1" customHeight="1">
      <c r="C132" s="126">
        <v>125</v>
      </c>
      <c r="D132" s="126">
        <v>177</v>
      </c>
      <c r="E132" s="141" t="s">
        <v>752</v>
      </c>
      <c r="F132" s="163" t="s">
        <v>753</v>
      </c>
      <c r="G132" s="162">
        <v>46183</v>
      </c>
      <c r="H132" s="131">
        <v>1</v>
      </c>
      <c r="I132" s="131">
        <v>1</v>
      </c>
      <c r="J132" s="141" t="s">
        <v>551</v>
      </c>
      <c r="K132" s="141">
        <v>1</v>
      </c>
      <c r="N132" s="141">
        <v>25</v>
      </c>
      <c r="U132" s="126">
        <v>-500</v>
      </c>
      <c r="V132" s="218">
        <v>4.1500000000000004</v>
      </c>
      <c r="W132" s="218">
        <v>4.75</v>
      </c>
      <c r="X132" s="126">
        <v>1</v>
      </c>
      <c r="AA132" s="188">
        <v>46225.651469907411</v>
      </c>
      <c r="AB132" s="131">
        <v>2</v>
      </c>
      <c r="AC132" s="126">
        <v>6</v>
      </c>
      <c r="AD132" s="126">
        <v>2026</v>
      </c>
    </row>
    <row r="133" spans="3:30" ht="23.1" customHeight="1">
      <c r="C133" s="126">
        <v>126</v>
      </c>
      <c r="D133" s="126">
        <v>178</v>
      </c>
      <c r="E133" s="141" t="s">
        <v>755</v>
      </c>
      <c r="F133" s="163" t="s">
        <v>756</v>
      </c>
      <c r="G133" s="162">
        <v>46183</v>
      </c>
      <c r="H133" s="131">
        <v>1</v>
      </c>
      <c r="I133" s="131">
        <v>1</v>
      </c>
      <c r="J133" s="141" t="s">
        <v>551</v>
      </c>
      <c r="K133" s="141">
        <v>1</v>
      </c>
      <c r="N133" s="141">
        <v>25</v>
      </c>
      <c r="U133" s="126">
        <v>-300</v>
      </c>
      <c r="V133" s="218">
        <v>4.75</v>
      </c>
      <c r="W133" s="218">
        <v>5</v>
      </c>
      <c r="X133" s="126">
        <v>1</v>
      </c>
      <c r="AA133" s="188">
        <v>46225.651469907411</v>
      </c>
      <c r="AB133" s="131">
        <v>2</v>
      </c>
      <c r="AC133" s="126">
        <v>6</v>
      </c>
      <c r="AD133" s="126">
        <v>2026</v>
      </c>
    </row>
    <row r="134" spans="3:30" ht="23.1" customHeight="1">
      <c r="C134" s="126">
        <v>127</v>
      </c>
      <c r="D134" s="126">
        <v>183</v>
      </c>
      <c r="E134" s="141" t="s">
        <v>766</v>
      </c>
      <c r="F134" s="163" t="s">
        <v>767</v>
      </c>
      <c r="G134" s="162">
        <v>46183</v>
      </c>
      <c r="H134" s="131">
        <v>1</v>
      </c>
      <c r="I134" s="131">
        <v>1</v>
      </c>
      <c r="J134" s="141" t="s">
        <v>551</v>
      </c>
      <c r="K134" s="141">
        <v>1</v>
      </c>
      <c r="N134" s="141">
        <v>26</v>
      </c>
      <c r="U134" s="126">
        <v>-24</v>
      </c>
      <c r="V134" s="218">
        <v>4</v>
      </c>
      <c r="W134" s="218">
        <v>5</v>
      </c>
      <c r="X134" s="126">
        <v>1</v>
      </c>
      <c r="AA134" s="188">
        <v>46225.658680555556</v>
      </c>
      <c r="AB134" s="131">
        <v>2</v>
      </c>
      <c r="AC134" s="126">
        <v>6</v>
      </c>
      <c r="AD134" s="126">
        <v>2026</v>
      </c>
    </row>
    <row r="135" spans="3:30" ht="23.1" customHeight="1">
      <c r="C135" s="126">
        <v>128</v>
      </c>
      <c r="D135" s="126">
        <v>184</v>
      </c>
      <c r="E135" s="141" t="s">
        <v>769</v>
      </c>
      <c r="F135" s="163" t="s">
        <v>770</v>
      </c>
      <c r="G135" s="162">
        <v>46183</v>
      </c>
      <c r="H135" s="131">
        <v>1</v>
      </c>
      <c r="I135" s="131">
        <v>1</v>
      </c>
      <c r="J135" s="141" t="s">
        <v>551</v>
      </c>
      <c r="K135" s="141">
        <v>1</v>
      </c>
      <c r="N135" s="141">
        <v>26</v>
      </c>
      <c r="U135" s="126">
        <v>-36</v>
      </c>
      <c r="V135" s="218">
        <v>6</v>
      </c>
      <c r="W135" s="218">
        <v>6.8</v>
      </c>
      <c r="X135" s="126">
        <v>1</v>
      </c>
      <c r="AA135" s="188">
        <v>46225.658680555556</v>
      </c>
      <c r="AB135" s="131">
        <v>2</v>
      </c>
      <c r="AC135" s="126">
        <v>6</v>
      </c>
      <c r="AD135" s="126">
        <v>2026</v>
      </c>
    </row>
    <row r="136" spans="3:30" ht="23.1" customHeight="1">
      <c r="C136" s="126">
        <v>129</v>
      </c>
      <c r="D136" s="126">
        <v>19</v>
      </c>
      <c r="E136" s="141" t="s">
        <v>706</v>
      </c>
      <c r="F136" s="163" t="s">
        <v>707</v>
      </c>
      <c r="G136" s="162">
        <v>46183</v>
      </c>
      <c r="H136" s="131">
        <v>1</v>
      </c>
      <c r="I136" s="131">
        <v>1</v>
      </c>
      <c r="J136" s="141" t="s">
        <v>551</v>
      </c>
      <c r="K136" s="141">
        <v>1</v>
      </c>
      <c r="N136" s="141">
        <v>27</v>
      </c>
      <c r="U136" s="126">
        <v>-2</v>
      </c>
      <c r="V136" s="218">
        <v>7.49</v>
      </c>
      <c r="W136" s="218">
        <v>8</v>
      </c>
      <c r="X136" s="126">
        <v>1</v>
      </c>
      <c r="AA136" s="188">
        <v>46225.670752314814</v>
      </c>
      <c r="AB136" s="131">
        <v>2</v>
      </c>
      <c r="AC136" s="126">
        <v>6</v>
      </c>
      <c r="AD136" s="126">
        <v>2026</v>
      </c>
    </row>
    <row r="137" spans="3:30" ht="23.1" customHeight="1">
      <c r="C137" s="126">
        <v>130</v>
      </c>
      <c r="D137" s="126">
        <v>14</v>
      </c>
      <c r="E137" s="141" t="s">
        <v>696</v>
      </c>
      <c r="F137" s="163" t="s">
        <v>697</v>
      </c>
      <c r="G137" s="162">
        <v>46183</v>
      </c>
      <c r="H137" s="131">
        <v>1</v>
      </c>
      <c r="I137" s="131">
        <v>1</v>
      </c>
      <c r="J137" s="141" t="s">
        <v>551</v>
      </c>
      <c r="K137" s="141">
        <v>1</v>
      </c>
      <c r="N137" s="141">
        <v>27</v>
      </c>
      <c r="U137" s="126">
        <v>-1</v>
      </c>
      <c r="V137" s="218">
        <v>3.3</v>
      </c>
      <c r="W137" s="218">
        <v>3.75</v>
      </c>
      <c r="X137" s="126">
        <v>1</v>
      </c>
      <c r="AA137" s="188">
        <v>46225.670752314814</v>
      </c>
      <c r="AB137" s="131">
        <v>2</v>
      </c>
      <c r="AC137" s="126">
        <v>6</v>
      </c>
      <c r="AD137" s="126">
        <v>2026</v>
      </c>
    </row>
    <row r="138" spans="3:30" ht="23.1" customHeight="1">
      <c r="C138" s="126">
        <v>131</v>
      </c>
      <c r="D138" s="126">
        <v>184</v>
      </c>
      <c r="E138" s="141" t="s">
        <v>769</v>
      </c>
      <c r="F138" s="163" t="s">
        <v>770</v>
      </c>
      <c r="G138" s="162">
        <v>46183</v>
      </c>
      <c r="H138" s="131">
        <v>1</v>
      </c>
      <c r="I138" s="131">
        <v>1</v>
      </c>
      <c r="J138" s="141" t="s">
        <v>551</v>
      </c>
      <c r="K138" s="141">
        <v>1</v>
      </c>
      <c r="N138" s="141">
        <v>27</v>
      </c>
      <c r="U138" s="126">
        <v>-84</v>
      </c>
      <c r="V138" s="218">
        <v>6</v>
      </c>
      <c r="W138" s="218">
        <v>7</v>
      </c>
      <c r="X138" s="126">
        <v>1</v>
      </c>
      <c r="AA138" s="188">
        <v>46225.670752314814</v>
      </c>
      <c r="AB138" s="131">
        <v>2</v>
      </c>
      <c r="AC138" s="126">
        <v>6</v>
      </c>
      <c r="AD138" s="126">
        <v>2026</v>
      </c>
    </row>
    <row r="139" spans="3:30" ht="23.1" customHeight="1">
      <c r="C139" s="126">
        <v>132</v>
      </c>
      <c r="D139" s="126">
        <v>178</v>
      </c>
      <c r="E139" s="141" t="s">
        <v>755</v>
      </c>
      <c r="F139" s="163" t="s">
        <v>756</v>
      </c>
      <c r="G139" s="162">
        <v>46184</v>
      </c>
      <c r="H139" s="131">
        <v>1</v>
      </c>
      <c r="I139" s="131">
        <v>1</v>
      </c>
      <c r="J139" s="141" t="s">
        <v>551</v>
      </c>
      <c r="K139" s="141">
        <v>1</v>
      </c>
      <c r="N139" s="141">
        <v>28</v>
      </c>
      <c r="U139" s="126">
        <v>-200</v>
      </c>
      <c r="V139" s="218">
        <v>4.75</v>
      </c>
      <c r="W139" s="218">
        <v>5.25</v>
      </c>
      <c r="X139" s="126">
        <v>1</v>
      </c>
      <c r="AA139" s="188">
        <v>46225.685636574075</v>
      </c>
      <c r="AB139" s="131">
        <v>2</v>
      </c>
      <c r="AC139" s="126">
        <v>6</v>
      </c>
      <c r="AD139" s="126">
        <v>2026</v>
      </c>
    </row>
    <row r="140" spans="3:30" ht="23.1" customHeight="1">
      <c r="C140" s="126">
        <v>133</v>
      </c>
      <c r="D140" s="126">
        <v>17</v>
      </c>
      <c r="E140" s="141" t="s">
        <v>662</v>
      </c>
      <c r="F140" s="163" t="s">
        <v>663</v>
      </c>
      <c r="G140" s="162">
        <v>46184</v>
      </c>
      <c r="H140" s="131">
        <v>1</v>
      </c>
      <c r="I140" s="131">
        <v>1</v>
      </c>
      <c r="J140" s="141" t="s">
        <v>551</v>
      </c>
      <c r="K140" s="141">
        <v>1</v>
      </c>
      <c r="N140" s="141">
        <v>28</v>
      </c>
      <c r="U140" s="126">
        <v>-3</v>
      </c>
      <c r="V140" s="218">
        <v>1.63</v>
      </c>
      <c r="W140" s="218">
        <v>2.25</v>
      </c>
      <c r="X140" s="126">
        <v>1</v>
      </c>
      <c r="AA140" s="188">
        <v>46225.685636574075</v>
      </c>
      <c r="AB140" s="131">
        <v>2</v>
      </c>
      <c r="AC140" s="126">
        <v>6</v>
      </c>
      <c r="AD140" s="126">
        <v>2026</v>
      </c>
    </row>
    <row r="141" spans="3:30" ht="23.1" customHeight="1">
      <c r="C141" s="126">
        <v>134</v>
      </c>
      <c r="D141" s="126">
        <v>70</v>
      </c>
      <c r="E141" s="141" t="s">
        <v>906</v>
      </c>
      <c r="F141" s="163" t="s">
        <v>907</v>
      </c>
      <c r="G141" s="162">
        <v>46184</v>
      </c>
      <c r="H141" s="131">
        <v>1</v>
      </c>
      <c r="I141" s="131">
        <v>1</v>
      </c>
      <c r="J141" s="141" t="s">
        <v>551</v>
      </c>
      <c r="K141" s="141">
        <v>1</v>
      </c>
      <c r="N141" s="141">
        <v>28</v>
      </c>
      <c r="U141" s="126">
        <v>-1</v>
      </c>
      <c r="V141" s="218">
        <v>0.15</v>
      </c>
      <c r="W141" s="218">
        <v>0.25</v>
      </c>
      <c r="X141" s="126">
        <v>1</v>
      </c>
      <c r="AA141" s="188">
        <v>46225.685636574075</v>
      </c>
      <c r="AB141" s="131">
        <v>2</v>
      </c>
      <c r="AC141" s="126">
        <v>6</v>
      </c>
      <c r="AD141" s="126">
        <v>2026</v>
      </c>
    </row>
    <row r="142" spans="3:30" ht="23.1" customHeight="1">
      <c r="C142" s="126">
        <v>135</v>
      </c>
      <c r="D142" s="126">
        <v>181</v>
      </c>
      <c r="E142" s="141" t="s">
        <v>761</v>
      </c>
      <c r="F142" s="163" t="s">
        <v>762</v>
      </c>
      <c r="G142" s="162">
        <v>46184</v>
      </c>
      <c r="H142" s="131">
        <v>1</v>
      </c>
      <c r="I142" s="131">
        <v>1</v>
      </c>
      <c r="J142" s="141" t="s">
        <v>551</v>
      </c>
      <c r="K142" s="141">
        <v>1</v>
      </c>
      <c r="N142" s="141">
        <v>28</v>
      </c>
      <c r="U142" s="126">
        <v>-36</v>
      </c>
      <c r="V142" s="218">
        <v>1</v>
      </c>
      <c r="W142" s="218">
        <v>1.5</v>
      </c>
      <c r="X142" s="126">
        <v>1</v>
      </c>
      <c r="AA142" s="188">
        <v>46225.685636574075</v>
      </c>
      <c r="AB142" s="131">
        <v>2</v>
      </c>
      <c r="AC142" s="126">
        <v>6</v>
      </c>
      <c r="AD142" s="126">
        <v>2026</v>
      </c>
    </row>
    <row r="143" spans="3:30" ht="23.1" customHeight="1">
      <c r="C143" s="126">
        <v>136</v>
      </c>
      <c r="D143" s="126">
        <v>40</v>
      </c>
      <c r="E143" s="141" t="s">
        <v>1108</v>
      </c>
      <c r="F143" s="163" t="s">
        <v>1109</v>
      </c>
      <c r="G143" s="162">
        <v>46184</v>
      </c>
      <c r="H143" s="131">
        <v>1</v>
      </c>
      <c r="I143" s="131">
        <v>1</v>
      </c>
      <c r="J143" s="141" t="s">
        <v>551</v>
      </c>
      <c r="K143" s="141">
        <v>1</v>
      </c>
      <c r="N143" s="141">
        <v>29</v>
      </c>
      <c r="U143" s="126">
        <v>-2</v>
      </c>
      <c r="V143" s="218">
        <v>0.23</v>
      </c>
      <c r="W143" s="218">
        <v>1</v>
      </c>
      <c r="X143" s="126">
        <v>1</v>
      </c>
      <c r="AA143" s="188">
        <v>46225.798460648148</v>
      </c>
      <c r="AB143" s="131">
        <v>2</v>
      </c>
      <c r="AC143" s="126">
        <v>6</v>
      </c>
      <c r="AD143" s="126">
        <v>2026</v>
      </c>
    </row>
    <row r="144" spans="3:30" ht="23.1" customHeight="1">
      <c r="C144" s="126">
        <v>137</v>
      </c>
      <c r="D144" s="126">
        <v>38</v>
      </c>
      <c r="E144" s="141" t="s">
        <v>1113</v>
      </c>
      <c r="F144" s="163" t="s">
        <v>1114</v>
      </c>
      <c r="G144" s="162">
        <v>46184</v>
      </c>
      <c r="H144" s="131">
        <v>1</v>
      </c>
      <c r="I144" s="131">
        <v>1</v>
      </c>
      <c r="J144" s="141" t="s">
        <v>551</v>
      </c>
      <c r="K144" s="141">
        <v>1</v>
      </c>
      <c r="N144" s="141">
        <v>29</v>
      </c>
      <c r="U144" s="126">
        <v>-2</v>
      </c>
      <c r="V144" s="218">
        <v>0.28999999999999998</v>
      </c>
      <c r="W144" s="218">
        <v>1</v>
      </c>
      <c r="X144" s="126">
        <v>1</v>
      </c>
      <c r="AA144" s="188">
        <v>46225.798460648148</v>
      </c>
      <c r="AB144" s="131">
        <v>2</v>
      </c>
      <c r="AC144" s="126">
        <v>6</v>
      </c>
      <c r="AD144" s="126">
        <v>2026</v>
      </c>
    </row>
    <row r="145" spans="3:30" ht="23.1" customHeight="1">
      <c r="C145" s="126">
        <v>138</v>
      </c>
      <c r="D145" s="126">
        <v>5</v>
      </c>
      <c r="E145" s="141" t="s">
        <v>686</v>
      </c>
      <c r="F145" s="163" t="s">
        <v>687</v>
      </c>
      <c r="G145" s="162">
        <v>46184</v>
      </c>
      <c r="H145" s="131">
        <v>1</v>
      </c>
      <c r="I145" s="131">
        <v>1</v>
      </c>
      <c r="J145" s="141" t="s">
        <v>551</v>
      </c>
      <c r="K145" s="141">
        <v>1</v>
      </c>
      <c r="N145" s="141">
        <v>29</v>
      </c>
      <c r="U145" s="126">
        <v>-1</v>
      </c>
      <c r="V145" s="218">
        <v>3.74</v>
      </c>
      <c r="W145" s="218">
        <v>1</v>
      </c>
      <c r="X145" s="126">
        <v>1</v>
      </c>
      <c r="AA145" s="188">
        <v>46225.798460648148</v>
      </c>
      <c r="AB145" s="131">
        <v>2</v>
      </c>
      <c r="AC145" s="126">
        <v>6</v>
      </c>
      <c r="AD145" s="126">
        <v>2026</v>
      </c>
    </row>
    <row r="146" spans="3:30" ht="23.1" customHeight="1">
      <c r="C146" s="126">
        <v>139</v>
      </c>
      <c r="D146" s="126">
        <v>182</v>
      </c>
      <c r="E146" s="141" t="s">
        <v>627</v>
      </c>
      <c r="F146" s="163" t="s">
        <v>628</v>
      </c>
      <c r="G146" s="162">
        <v>46184</v>
      </c>
      <c r="H146" s="131">
        <v>1</v>
      </c>
      <c r="I146" s="131">
        <v>1</v>
      </c>
      <c r="J146" s="141" t="s">
        <v>551</v>
      </c>
      <c r="K146" s="141">
        <v>1</v>
      </c>
      <c r="N146" s="141">
        <v>29</v>
      </c>
      <c r="U146" s="126">
        <v>-36</v>
      </c>
      <c r="V146" s="218">
        <v>2</v>
      </c>
      <c r="W146" s="218">
        <v>2.5</v>
      </c>
      <c r="X146" s="126">
        <v>1</v>
      </c>
      <c r="AA146" s="188">
        <v>46225.798460648148</v>
      </c>
      <c r="AB146" s="131">
        <v>2</v>
      </c>
      <c r="AC146" s="126">
        <v>6</v>
      </c>
      <c r="AD146" s="126">
        <v>2026</v>
      </c>
    </row>
    <row r="147" spans="3:30" ht="23.1" customHeight="1">
      <c r="C147" s="126">
        <v>140</v>
      </c>
      <c r="D147" s="126">
        <v>8</v>
      </c>
      <c r="E147" s="141" t="s">
        <v>1125</v>
      </c>
      <c r="F147" s="163" t="s">
        <v>1126</v>
      </c>
      <c r="G147" s="162">
        <v>46184</v>
      </c>
      <c r="H147" s="131">
        <v>1</v>
      </c>
      <c r="I147" s="131">
        <v>1</v>
      </c>
      <c r="J147" s="141" t="s">
        <v>551</v>
      </c>
      <c r="K147" s="141">
        <v>1</v>
      </c>
      <c r="N147" s="141">
        <v>29</v>
      </c>
      <c r="U147" s="126">
        <v>-1</v>
      </c>
      <c r="V147" s="218">
        <v>1.32</v>
      </c>
      <c r="W147" s="218">
        <v>1.75</v>
      </c>
      <c r="X147" s="126">
        <v>1</v>
      </c>
      <c r="AA147" s="188">
        <v>46225.798460648148</v>
      </c>
      <c r="AB147" s="131">
        <v>2</v>
      </c>
      <c r="AC147" s="126">
        <v>6</v>
      </c>
      <c r="AD147" s="126">
        <v>2026</v>
      </c>
    </row>
    <row r="148" spans="3:30" ht="23.1" customHeight="1">
      <c r="C148" s="126">
        <v>141</v>
      </c>
      <c r="D148" s="126">
        <v>26</v>
      </c>
      <c r="E148" s="141" t="s">
        <v>715</v>
      </c>
      <c r="F148" s="163" t="s">
        <v>716</v>
      </c>
      <c r="G148" s="162">
        <v>46184</v>
      </c>
      <c r="H148" s="131">
        <v>1</v>
      </c>
      <c r="I148" s="131">
        <v>1</v>
      </c>
      <c r="J148" s="141" t="s">
        <v>551</v>
      </c>
      <c r="K148" s="141">
        <v>1</v>
      </c>
      <c r="N148" s="141">
        <v>29</v>
      </c>
      <c r="U148" s="126">
        <v>-1</v>
      </c>
      <c r="V148" s="218">
        <v>3.01</v>
      </c>
      <c r="W148" s="218">
        <v>3.5</v>
      </c>
      <c r="X148" s="126">
        <v>1</v>
      </c>
      <c r="AA148" s="188">
        <v>46225.798460648148</v>
      </c>
      <c r="AB148" s="131">
        <v>2</v>
      </c>
      <c r="AC148" s="126">
        <v>6</v>
      </c>
      <c r="AD148" s="126">
        <v>2026</v>
      </c>
    </row>
    <row r="149" spans="3:30" ht="23.1" customHeight="1">
      <c r="C149" s="126">
        <v>142</v>
      </c>
      <c r="D149" s="126">
        <v>76</v>
      </c>
      <c r="E149" s="141" t="s">
        <v>1133</v>
      </c>
      <c r="F149" s="163" t="s">
        <v>1134</v>
      </c>
      <c r="G149" s="162">
        <v>46184</v>
      </c>
      <c r="H149" s="131">
        <v>1</v>
      </c>
      <c r="I149" s="131">
        <v>1</v>
      </c>
      <c r="J149" s="141" t="s">
        <v>551</v>
      </c>
      <c r="K149" s="141">
        <v>1</v>
      </c>
      <c r="N149" s="141">
        <v>29</v>
      </c>
      <c r="U149" s="126">
        <v>-5</v>
      </c>
      <c r="V149" s="218">
        <v>1.35</v>
      </c>
      <c r="W149" s="218">
        <v>1.75</v>
      </c>
      <c r="X149" s="126">
        <v>1</v>
      </c>
      <c r="AA149" s="188">
        <v>46225.798460648148</v>
      </c>
      <c r="AB149" s="131">
        <v>2</v>
      </c>
      <c r="AC149" s="126">
        <v>6</v>
      </c>
      <c r="AD149" s="126">
        <v>2026</v>
      </c>
    </row>
    <row r="150" spans="3:30" ht="23.1" customHeight="1">
      <c r="C150" s="126">
        <v>143</v>
      </c>
      <c r="D150" s="126">
        <v>90</v>
      </c>
      <c r="E150" s="141" t="s">
        <v>1139</v>
      </c>
      <c r="F150" s="163" t="s">
        <v>1140</v>
      </c>
      <c r="G150" s="162">
        <v>46184</v>
      </c>
      <c r="H150" s="131">
        <v>1</v>
      </c>
      <c r="I150" s="131">
        <v>1</v>
      </c>
      <c r="J150" s="141" t="s">
        <v>551</v>
      </c>
      <c r="K150" s="141">
        <v>1</v>
      </c>
      <c r="N150" s="141">
        <v>29</v>
      </c>
      <c r="U150" s="126">
        <v>-4</v>
      </c>
      <c r="V150" s="218">
        <v>0.18</v>
      </c>
      <c r="W150" s="218">
        <v>0.5</v>
      </c>
      <c r="X150" s="126">
        <v>1</v>
      </c>
      <c r="AA150" s="188">
        <v>46225.798460648148</v>
      </c>
      <c r="AB150" s="131">
        <v>2</v>
      </c>
      <c r="AC150" s="126">
        <v>6</v>
      </c>
      <c r="AD150" s="126">
        <v>2026</v>
      </c>
    </row>
    <row r="151" spans="3:30" ht="23.1" customHeight="1">
      <c r="C151" s="126">
        <v>144</v>
      </c>
      <c r="D151" s="126">
        <v>39</v>
      </c>
      <c r="E151" s="141" t="s">
        <v>1144</v>
      </c>
      <c r="F151" s="163" t="s">
        <v>1145</v>
      </c>
      <c r="G151" s="162">
        <v>46184</v>
      </c>
      <c r="H151" s="131">
        <v>1</v>
      </c>
      <c r="I151" s="131">
        <v>1</v>
      </c>
      <c r="J151" s="141" t="s">
        <v>551</v>
      </c>
      <c r="K151" s="141">
        <v>1</v>
      </c>
      <c r="N151" s="141">
        <v>29</v>
      </c>
      <c r="U151" s="126">
        <v>-3</v>
      </c>
      <c r="V151" s="218">
        <v>0.28999999999999998</v>
      </c>
      <c r="W151" s="218">
        <v>0.5</v>
      </c>
      <c r="X151" s="126">
        <v>1</v>
      </c>
      <c r="AA151" s="188">
        <v>46225.798460648148</v>
      </c>
      <c r="AB151" s="131">
        <v>2</v>
      </c>
      <c r="AC151" s="126">
        <v>6</v>
      </c>
      <c r="AD151" s="126">
        <v>2026</v>
      </c>
    </row>
    <row r="152" spans="3:30" ht="23.1" customHeight="1">
      <c r="C152" s="126">
        <v>145</v>
      </c>
      <c r="D152" s="126">
        <v>42</v>
      </c>
      <c r="E152" s="141" t="s">
        <v>975</v>
      </c>
      <c r="F152" s="163" t="s">
        <v>976</v>
      </c>
      <c r="G152" s="162">
        <v>46184</v>
      </c>
      <c r="H152" s="131">
        <v>1</v>
      </c>
      <c r="I152" s="131">
        <v>1</v>
      </c>
      <c r="J152" s="141" t="s">
        <v>551</v>
      </c>
      <c r="K152" s="141">
        <v>1</v>
      </c>
      <c r="N152" s="141">
        <v>29</v>
      </c>
      <c r="U152" s="126">
        <v>-3</v>
      </c>
      <c r="V152" s="218">
        <v>0.24</v>
      </c>
      <c r="W152" s="218">
        <v>0.5</v>
      </c>
      <c r="X152" s="126">
        <v>1</v>
      </c>
      <c r="AA152" s="188">
        <v>46225.798460648148</v>
      </c>
      <c r="AB152" s="131">
        <v>2</v>
      </c>
      <c r="AC152" s="126">
        <v>6</v>
      </c>
      <c r="AD152" s="126">
        <v>2026</v>
      </c>
    </row>
    <row r="153" spans="3:30" ht="23.1" customHeight="1">
      <c r="C153" s="126">
        <v>146</v>
      </c>
      <c r="D153" s="126">
        <v>169</v>
      </c>
      <c r="E153" s="141" t="s">
        <v>601</v>
      </c>
      <c r="F153" s="163" t="s">
        <v>602</v>
      </c>
      <c r="G153" s="162">
        <v>46184</v>
      </c>
      <c r="H153" s="131">
        <v>1</v>
      </c>
      <c r="I153" s="131">
        <v>1</v>
      </c>
      <c r="J153" s="141" t="s">
        <v>551</v>
      </c>
      <c r="K153" s="141">
        <v>1</v>
      </c>
      <c r="N153" s="141">
        <v>29</v>
      </c>
      <c r="U153" s="126">
        <v>-15</v>
      </c>
      <c r="V153" s="218">
        <v>0.5</v>
      </c>
      <c r="W153" s="218">
        <v>0.63</v>
      </c>
      <c r="X153" s="126">
        <v>1</v>
      </c>
      <c r="AA153" s="188">
        <v>46225.798460648148</v>
      </c>
      <c r="AB153" s="131">
        <v>2</v>
      </c>
      <c r="AC153" s="126">
        <v>6</v>
      </c>
      <c r="AD153" s="126">
        <v>2026</v>
      </c>
    </row>
    <row r="154" spans="3:30" ht="23.1" customHeight="1">
      <c r="C154" s="126">
        <v>147</v>
      </c>
      <c r="D154" s="126">
        <v>131</v>
      </c>
      <c r="E154" s="141" t="s">
        <v>1155</v>
      </c>
      <c r="F154" s="163" t="s">
        <v>1156</v>
      </c>
      <c r="G154" s="162">
        <v>46184</v>
      </c>
      <c r="H154" s="131">
        <v>1</v>
      </c>
      <c r="I154" s="131">
        <v>1</v>
      </c>
      <c r="J154" s="141" t="s">
        <v>551</v>
      </c>
      <c r="K154" s="141">
        <v>1</v>
      </c>
      <c r="N154" s="141">
        <v>29</v>
      </c>
      <c r="U154" s="126">
        <v>-1</v>
      </c>
      <c r="V154" s="218">
        <v>0.7</v>
      </c>
      <c r="W154" s="218">
        <v>1.25</v>
      </c>
      <c r="X154" s="126">
        <v>1</v>
      </c>
      <c r="AA154" s="188">
        <v>46225.798460648148</v>
      </c>
      <c r="AB154" s="131">
        <v>2</v>
      </c>
      <c r="AC154" s="126">
        <v>6</v>
      </c>
      <c r="AD154" s="126">
        <v>2026</v>
      </c>
    </row>
    <row r="155" spans="3:30" ht="23.1" customHeight="1">
      <c r="C155" s="126">
        <v>148</v>
      </c>
      <c r="D155" s="126">
        <v>177</v>
      </c>
      <c r="E155" s="141" t="s">
        <v>752</v>
      </c>
      <c r="F155" s="163" t="s">
        <v>753</v>
      </c>
      <c r="G155" s="162">
        <v>46184</v>
      </c>
      <c r="H155" s="131">
        <v>1</v>
      </c>
      <c r="I155" s="131">
        <v>1</v>
      </c>
      <c r="J155" s="141" t="s">
        <v>551</v>
      </c>
      <c r="K155" s="141">
        <v>1</v>
      </c>
      <c r="N155" s="141">
        <v>30</v>
      </c>
      <c r="U155" s="126">
        <v>-250</v>
      </c>
      <c r="V155" s="218">
        <v>4.1500000000000004</v>
      </c>
      <c r="W155" s="218">
        <v>4.75</v>
      </c>
      <c r="X155" s="126">
        <v>1</v>
      </c>
      <c r="AA155" s="188">
        <v>46226.015185185184</v>
      </c>
      <c r="AB155" s="131">
        <v>2</v>
      </c>
      <c r="AC155" s="126">
        <v>6</v>
      </c>
      <c r="AD155" s="126">
        <v>2026</v>
      </c>
    </row>
    <row r="156" spans="3:30" ht="23.1" customHeight="1">
      <c r="C156" s="126">
        <v>149</v>
      </c>
      <c r="D156" s="126">
        <v>197</v>
      </c>
      <c r="E156" s="141" t="s">
        <v>652</v>
      </c>
      <c r="F156" s="163" t="s">
        <v>653</v>
      </c>
      <c r="G156" s="162">
        <v>46184</v>
      </c>
      <c r="H156" s="131">
        <v>1</v>
      </c>
      <c r="I156" s="131">
        <v>1</v>
      </c>
      <c r="J156" s="141" t="s">
        <v>551</v>
      </c>
      <c r="K156" s="141">
        <v>1</v>
      </c>
      <c r="N156" s="141">
        <v>31</v>
      </c>
      <c r="U156" s="126">
        <v>-8</v>
      </c>
      <c r="V156" s="218">
        <v>8.36</v>
      </c>
      <c r="W156" s="218">
        <v>8.25</v>
      </c>
      <c r="X156" s="126">
        <v>1</v>
      </c>
      <c r="AA156" s="188">
        <v>46226.024560185186</v>
      </c>
      <c r="AB156" s="131">
        <v>2</v>
      </c>
      <c r="AC156" s="126">
        <v>6</v>
      </c>
      <c r="AD156" s="126">
        <v>2026</v>
      </c>
    </row>
    <row r="157" spans="3:30" ht="23.1" customHeight="1">
      <c r="C157" s="126">
        <v>150</v>
      </c>
      <c r="D157" s="126">
        <v>198</v>
      </c>
      <c r="E157" s="141" t="s">
        <v>1170</v>
      </c>
      <c r="F157" s="163" t="s">
        <v>1171</v>
      </c>
      <c r="G157" s="162">
        <v>46184</v>
      </c>
      <c r="H157" s="131">
        <v>1</v>
      </c>
      <c r="I157" s="131">
        <v>1</v>
      </c>
      <c r="J157" s="141" t="s">
        <v>551</v>
      </c>
      <c r="K157" s="141">
        <v>1</v>
      </c>
      <c r="N157" s="141">
        <v>31</v>
      </c>
      <c r="U157" s="126">
        <v>-16</v>
      </c>
      <c r="V157" s="218">
        <v>9.48</v>
      </c>
      <c r="W157" s="218">
        <v>10.5</v>
      </c>
      <c r="X157" s="126">
        <v>1</v>
      </c>
      <c r="AA157" s="188">
        <v>46226.024560185186</v>
      </c>
      <c r="AB157" s="131">
        <v>2</v>
      </c>
      <c r="AC157" s="126">
        <v>6</v>
      </c>
      <c r="AD157" s="126">
        <v>2026</v>
      </c>
    </row>
    <row r="158" spans="3:30" ht="23.1" customHeight="1">
      <c r="C158" s="126">
        <v>151</v>
      </c>
      <c r="D158" s="126">
        <v>178</v>
      </c>
      <c r="E158" s="141" t="s">
        <v>755</v>
      </c>
      <c r="F158" s="163" t="s">
        <v>756</v>
      </c>
      <c r="G158" s="162">
        <v>46184</v>
      </c>
      <c r="H158" s="131">
        <v>1</v>
      </c>
      <c r="I158" s="131">
        <v>1</v>
      </c>
      <c r="J158" s="141" t="s">
        <v>551</v>
      </c>
      <c r="K158" s="141">
        <v>1</v>
      </c>
      <c r="N158" s="141">
        <v>31</v>
      </c>
      <c r="U158" s="126">
        <v>-300</v>
      </c>
      <c r="V158" s="218">
        <v>4.75</v>
      </c>
      <c r="W158" s="218">
        <v>5</v>
      </c>
      <c r="X158" s="126">
        <v>1</v>
      </c>
      <c r="AA158" s="188">
        <v>46226.024560185186</v>
      </c>
      <c r="AB158" s="131">
        <v>2</v>
      </c>
      <c r="AC158" s="126">
        <v>6</v>
      </c>
      <c r="AD158" s="126">
        <v>2026</v>
      </c>
    </row>
    <row r="159" spans="3:30" ht="23.1" customHeight="1">
      <c r="C159" s="126">
        <v>152</v>
      </c>
      <c r="D159" s="126">
        <v>2</v>
      </c>
      <c r="E159" s="141" t="s">
        <v>682</v>
      </c>
      <c r="F159" s="163" t="s">
        <v>683</v>
      </c>
      <c r="G159" s="162">
        <v>46185</v>
      </c>
      <c r="H159" s="131">
        <v>1</v>
      </c>
      <c r="I159" s="131">
        <v>1</v>
      </c>
      <c r="J159" s="141" t="s">
        <v>551</v>
      </c>
      <c r="K159" s="141">
        <v>1</v>
      </c>
      <c r="N159" s="141">
        <v>32</v>
      </c>
      <c r="U159" s="126">
        <v>-2</v>
      </c>
      <c r="V159" s="218">
        <v>11.32</v>
      </c>
      <c r="W159" s="218">
        <v>10</v>
      </c>
      <c r="X159" s="126">
        <v>1</v>
      </c>
      <c r="AA159" s="188">
        <v>46226.247384259259</v>
      </c>
      <c r="AB159" s="131">
        <v>2</v>
      </c>
      <c r="AC159" s="126">
        <v>6</v>
      </c>
      <c r="AD159" s="126">
        <v>2026</v>
      </c>
    </row>
    <row r="160" spans="3:30" ht="23.1" customHeight="1">
      <c r="C160" s="126">
        <v>153</v>
      </c>
      <c r="D160" s="126">
        <v>7</v>
      </c>
      <c r="E160" s="141" t="s">
        <v>818</v>
      </c>
      <c r="F160" s="163" t="s">
        <v>819</v>
      </c>
      <c r="G160" s="162">
        <v>46185</v>
      </c>
      <c r="H160" s="131">
        <v>1</v>
      </c>
      <c r="I160" s="131">
        <v>1</v>
      </c>
      <c r="J160" s="141" t="s">
        <v>551</v>
      </c>
      <c r="K160" s="141">
        <v>1</v>
      </c>
      <c r="N160" s="141">
        <v>32</v>
      </c>
      <c r="U160" s="126">
        <v>-6</v>
      </c>
      <c r="V160" s="218">
        <v>1.79</v>
      </c>
      <c r="W160" s="218">
        <v>3.5</v>
      </c>
      <c r="X160" s="126">
        <v>1</v>
      </c>
      <c r="AA160" s="188">
        <v>46226.247384259259</v>
      </c>
      <c r="AB160" s="131">
        <v>2</v>
      </c>
      <c r="AC160" s="126">
        <v>6</v>
      </c>
      <c r="AD160" s="126">
        <v>2026</v>
      </c>
    </row>
    <row r="161" spans="3:30" ht="23.1" customHeight="1">
      <c r="C161" s="126">
        <v>154</v>
      </c>
      <c r="D161" s="126">
        <v>30</v>
      </c>
      <c r="E161" s="141" t="s">
        <v>1187</v>
      </c>
      <c r="F161" s="163" t="s">
        <v>1188</v>
      </c>
      <c r="G161" s="162">
        <v>46185</v>
      </c>
      <c r="H161" s="131">
        <v>1</v>
      </c>
      <c r="I161" s="131">
        <v>1</v>
      </c>
      <c r="J161" s="141" t="s">
        <v>551</v>
      </c>
      <c r="K161" s="141">
        <v>1</v>
      </c>
      <c r="N161" s="141">
        <v>32</v>
      </c>
      <c r="U161" s="126">
        <v>-3</v>
      </c>
      <c r="V161" s="218">
        <v>1.49</v>
      </c>
      <c r="W161" s="218">
        <v>2</v>
      </c>
      <c r="X161" s="126">
        <v>1</v>
      </c>
      <c r="AA161" s="188">
        <v>46226.247384259259</v>
      </c>
      <c r="AB161" s="131">
        <v>2</v>
      </c>
      <c r="AC161" s="126">
        <v>6</v>
      </c>
      <c r="AD161" s="126">
        <v>2026</v>
      </c>
    </row>
    <row r="162" spans="3:30" ht="23.1" customHeight="1">
      <c r="C162" s="126">
        <v>155</v>
      </c>
      <c r="D162" s="126">
        <v>34</v>
      </c>
      <c r="E162" s="141" t="s">
        <v>1193</v>
      </c>
      <c r="F162" s="163" t="s">
        <v>1194</v>
      </c>
      <c r="G162" s="162">
        <v>46185</v>
      </c>
      <c r="H162" s="131">
        <v>1</v>
      </c>
      <c r="I162" s="131">
        <v>1</v>
      </c>
      <c r="J162" s="141" t="s">
        <v>551</v>
      </c>
      <c r="K162" s="141">
        <v>1</v>
      </c>
      <c r="N162" s="141">
        <v>32</v>
      </c>
      <c r="U162" s="126">
        <v>-2</v>
      </c>
      <c r="V162" s="218">
        <v>0.5</v>
      </c>
      <c r="W162" s="218">
        <v>0.63</v>
      </c>
      <c r="X162" s="126">
        <v>1</v>
      </c>
      <c r="AA162" s="188">
        <v>46226.247384259259</v>
      </c>
      <c r="AB162" s="131">
        <v>2</v>
      </c>
      <c r="AC162" s="126">
        <v>6</v>
      </c>
      <c r="AD162" s="126">
        <v>2026</v>
      </c>
    </row>
    <row r="163" spans="3:30" ht="23.1" customHeight="1">
      <c r="C163" s="126">
        <v>156</v>
      </c>
      <c r="D163" s="126">
        <v>33</v>
      </c>
      <c r="E163" s="141" t="s">
        <v>1198</v>
      </c>
      <c r="F163" s="163" t="s">
        <v>1199</v>
      </c>
      <c r="G163" s="162">
        <v>46185</v>
      </c>
      <c r="H163" s="131">
        <v>1</v>
      </c>
      <c r="I163" s="131">
        <v>1</v>
      </c>
      <c r="J163" s="141" t="s">
        <v>551</v>
      </c>
      <c r="K163" s="141">
        <v>1</v>
      </c>
      <c r="N163" s="141">
        <v>32</v>
      </c>
      <c r="U163" s="126">
        <v>-1</v>
      </c>
      <c r="V163" s="218">
        <v>1.75</v>
      </c>
      <c r="W163" s="218">
        <v>2</v>
      </c>
      <c r="X163" s="126">
        <v>1</v>
      </c>
      <c r="AA163" s="188">
        <v>46226.247384259259</v>
      </c>
      <c r="AB163" s="131">
        <v>2</v>
      </c>
      <c r="AC163" s="126">
        <v>6</v>
      </c>
      <c r="AD163" s="126">
        <v>2026</v>
      </c>
    </row>
    <row r="164" spans="3:30" ht="23.1" customHeight="1">
      <c r="C164" s="126">
        <v>157</v>
      </c>
      <c r="D164" s="126">
        <v>56</v>
      </c>
      <c r="E164" s="141" t="s">
        <v>1203</v>
      </c>
      <c r="F164" s="163" t="s">
        <v>1204</v>
      </c>
      <c r="G164" s="162">
        <v>46185</v>
      </c>
      <c r="H164" s="131">
        <v>1</v>
      </c>
      <c r="I164" s="131">
        <v>1</v>
      </c>
      <c r="J164" s="141" t="s">
        <v>551</v>
      </c>
      <c r="K164" s="141">
        <v>1</v>
      </c>
      <c r="N164" s="141">
        <v>32</v>
      </c>
      <c r="U164" s="126">
        <v>-1</v>
      </c>
      <c r="V164" s="218">
        <v>0.55000000000000004</v>
      </c>
      <c r="W164" s="218">
        <v>1.1299999999999999</v>
      </c>
      <c r="X164" s="126">
        <v>1</v>
      </c>
      <c r="AA164" s="188">
        <v>46226.247384259259</v>
      </c>
      <c r="AB164" s="131">
        <v>2</v>
      </c>
      <c r="AC164" s="126">
        <v>6</v>
      </c>
      <c r="AD164" s="126">
        <v>2026</v>
      </c>
    </row>
    <row r="165" spans="3:30" ht="23.1" customHeight="1">
      <c r="C165" s="126">
        <v>158</v>
      </c>
      <c r="D165" s="126">
        <v>108</v>
      </c>
      <c r="E165" s="141" t="s">
        <v>1009</v>
      </c>
      <c r="F165" s="163" t="s">
        <v>1010</v>
      </c>
      <c r="G165" s="162">
        <v>46185</v>
      </c>
      <c r="H165" s="131">
        <v>1</v>
      </c>
      <c r="I165" s="131">
        <v>1</v>
      </c>
      <c r="J165" s="141" t="s">
        <v>551</v>
      </c>
      <c r="K165" s="141">
        <v>1</v>
      </c>
      <c r="N165" s="141">
        <v>32</v>
      </c>
      <c r="U165" s="126">
        <v>-1</v>
      </c>
      <c r="V165" s="218">
        <v>2.7</v>
      </c>
      <c r="W165" s="218">
        <v>3</v>
      </c>
      <c r="X165" s="126">
        <v>1</v>
      </c>
      <c r="AA165" s="188">
        <v>46226.247384259259</v>
      </c>
      <c r="AB165" s="131">
        <v>2</v>
      </c>
      <c r="AC165" s="126">
        <v>6</v>
      </c>
      <c r="AD165" s="126">
        <v>2026</v>
      </c>
    </row>
    <row r="166" spans="3:30" ht="23.1" customHeight="1">
      <c r="C166" s="126">
        <v>159</v>
      </c>
      <c r="D166" s="126">
        <v>53</v>
      </c>
      <c r="E166" s="141" t="s">
        <v>1211</v>
      </c>
      <c r="F166" s="163" t="s">
        <v>1212</v>
      </c>
      <c r="G166" s="162">
        <v>46185</v>
      </c>
      <c r="H166" s="131">
        <v>1</v>
      </c>
      <c r="I166" s="131">
        <v>1</v>
      </c>
      <c r="J166" s="141" t="s">
        <v>551</v>
      </c>
      <c r="K166" s="141">
        <v>1</v>
      </c>
      <c r="N166" s="141">
        <v>32</v>
      </c>
      <c r="U166" s="126">
        <v>-1</v>
      </c>
      <c r="V166" s="218">
        <v>0.95</v>
      </c>
      <c r="W166" s="218">
        <v>1.5</v>
      </c>
      <c r="X166" s="126">
        <v>1</v>
      </c>
      <c r="AA166" s="188">
        <v>46226.247384259259</v>
      </c>
      <c r="AB166" s="131">
        <v>2</v>
      </c>
      <c r="AC166" s="126">
        <v>6</v>
      </c>
      <c r="AD166" s="126">
        <v>2026</v>
      </c>
    </row>
    <row r="167" spans="3:30" ht="23.1" customHeight="1">
      <c r="C167" s="126">
        <v>160</v>
      </c>
      <c r="D167" s="126">
        <v>66</v>
      </c>
      <c r="E167" s="141" t="s">
        <v>1216</v>
      </c>
      <c r="F167" s="163" t="s">
        <v>1217</v>
      </c>
      <c r="G167" s="162">
        <v>46185</v>
      </c>
      <c r="H167" s="131">
        <v>1</v>
      </c>
      <c r="I167" s="131">
        <v>1</v>
      </c>
      <c r="J167" s="141" t="s">
        <v>551</v>
      </c>
      <c r="K167" s="141">
        <v>1</v>
      </c>
      <c r="N167" s="141">
        <v>32</v>
      </c>
      <c r="U167" s="126">
        <v>-1</v>
      </c>
      <c r="V167" s="218">
        <v>0.41</v>
      </c>
      <c r="W167" s="218">
        <v>0.75</v>
      </c>
      <c r="X167" s="126">
        <v>1</v>
      </c>
      <c r="AA167" s="188">
        <v>46226.247384259259</v>
      </c>
      <c r="AB167" s="131">
        <v>2</v>
      </c>
      <c r="AC167" s="126">
        <v>6</v>
      </c>
      <c r="AD167" s="126">
        <v>2026</v>
      </c>
    </row>
    <row r="168" spans="3:30" ht="23.1" customHeight="1">
      <c r="C168" s="126">
        <v>161</v>
      </c>
      <c r="D168" s="126">
        <v>64</v>
      </c>
      <c r="E168" s="141" t="s">
        <v>1221</v>
      </c>
      <c r="F168" s="163" t="s">
        <v>1222</v>
      </c>
      <c r="G168" s="162">
        <v>46185</v>
      </c>
      <c r="H168" s="131">
        <v>1</v>
      </c>
      <c r="I168" s="131">
        <v>1</v>
      </c>
      <c r="J168" s="141" t="s">
        <v>551</v>
      </c>
      <c r="K168" s="141">
        <v>1</v>
      </c>
      <c r="N168" s="141">
        <v>32</v>
      </c>
      <c r="U168" s="126">
        <v>-1</v>
      </c>
      <c r="V168" s="218">
        <v>1.9</v>
      </c>
      <c r="W168" s="218">
        <v>2.25</v>
      </c>
      <c r="X168" s="126">
        <v>1</v>
      </c>
      <c r="AA168" s="188">
        <v>46226.247384259259</v>
      </c>
      <c r="AB168" s="131">
        <v>2</v>
      </c>
      <c r="AC168" s="126">
        <v>6</v>
      </c>
      <c r="AD168" s="126">
        <v>2026</v>
      </c>
    </row>
    <row r="169" spans="3:30" ht="23.1" customHeight="1">
      <c r="C169" s="126">
        <v>162</v>
      </c>
      <c r="D169" s="126">
        <v>46</v>
      </c>
      <c r="E169" s="141" t="s">
        <v>647</v>
      </c>
      <c r="F169" s="163" t="s">
        <v>648</v>
      </c>
      <c r="G169" s="162">
        <v>46185</v>
      </c>
      <c r="H169" s="131">
        <v>1</v>
      </c>
      <c r="I169" s="131">
        <v>1</v>
      </c>
      <c r="J169" s="141" t="s">
        <v>551</v>
      </c>
      <c r="K169" s="141">
        <v>1</v>
      </c>
      <c r="N169" s="141">
        <v>32</v>
      </c>
      <c r="U169" s="126">
        <v>-7</v>
      </c>
      <c r="V169" s="218">
        <v>0.15</v>
      </c>
      <c r="W169" s="218">
        <v>0.38</v>
      </c>
      <c r="X169" s="126">
        <v>1</v>
      </c>
      <c r="AA169" s="188">
        <v>46226.247384259259</v>
      </c>
      <c r="AB169" s="131">
        <v>2</v>
      </c>
      <c r="AC169" s="126">
        <v>6</v>
      </c>
      <c r="AD169" s="126">
        <v>2026</v>
      </c>
    </row>
    <row r="170" spans="3:30" ht="23.1" customHeight="1">
      <c r="C170" s="126">
        <v>163</v>
      </c>
      <c r="D170" s="126">
        <v>44</v>
      </c>
      <c r="E170" s="141" t="s">
        <v>1229</v>
      </c>
      <c r="F170" s="163" t="s">
        <v>1230</v>
      </c>
      <c r="G170" s="162">
        <v>46185</v>
      </c>
      <c r="H170" s="131">
        <v>1</v>
      </c>
      <c r="I170" s="131">
        <v>1</v>
      </c>
      <c r="J170" s="141" t="s">
        <v>551</v>
      </c>
      <c r="K170" s="141">
        <v>1</v>
      </c>
      <c r="N170" s="141">
        <v>32</v>
      </c>
      <c r="U170" s="126">
        <v>-2</v>
      </c>
      <c r="V170" s="218">
        <v>0.22</v>
      </c>
      <c r="W170" s="218">
        <v>0.38</v>
      </c>
      <c r="X170" s="126">
        <v>1</v>
      </c>
      <c r="AA170" s="188">
        <v>46226.247384259259</v>
      </c>
      <c r="AB170" s="131">
        <v>2</v>
      </c>
      <c r="AC170" s="126">
        <v>6</v>
      </c>
      <c r="AD170" s="126">
        <v>2026</v>
      </c>
    </row>
    <row r="171" spans="3:30" ht="23.1" customHeight="1">
      <c r="C171" s="126">
        <v>164</v>
      </c>
      <c r="D171" s="126">
        <v>69</v>
      </c>
      <c r="E171" s="141" t="s">
        <v>1234</v>
      </c>
      <c r="F171" s="163" t="s">
        <v>1235</v>
      </c>
      <c r="G171" s="162">
        <v>46185</v>
      </c>
      <c r="H171" s="131">
        <v>1</v>
      </c>
      <c r="I171" s="131">
        <v>1</v>
      </c>
      <c r="J171" s="141" t="s">
        <v>551</v>
      </c>
      <c r="K171" s="141">
        <v>1</v>
      </c>
      <c r="N171" s="141">
        <v>32</v>
      </c>
      <c r="U171" s="126">
        <v>-2</v>
      </c>
      <c r="V171" s="218">
        <v>0.25</v>
      </c>
      <c r="W171" s="218">
        <v>0.5</v>
      </c>
      <c r="X171" s="126">
        <v>1</v>
      </c>
      <c r="AA171" s="188">
        <v>46226.247384259259</v>
      </c>
      <c r="AB171" s="131">
        <v>2</v>
      </c>
      <c r="AC171" s="126">
        <v>6</v>
      </c>
      <c r="AD171" s="126">
        <v>2026</v>
      </c>
    </row>
    <row r="172" spans="3:30" ht="23.1" customHeight="1">
      <c r="C172" s="126">
        <v>165</v>
      </c>
      <c r="D172" s="126">
        <v>70</v>
      </c>
      <c r="E172" s="141" t="s">
        <v>906</v>
      </c>
      <c r="F172" s="163" t="s">
        <v>907</v>
      </c>
      <c r="G172" s="162">
        <v>46185</v>
      </c>
      <c r="H172" s="131">
        <v>1</v>
      </c>
      <c r="I172" s="131">
        <v>1</v>
      </c>
      <c r="J172" s="141" t="s">
        <v>551</v>
      </c>
      <c r="K172" s="141">
        <v>1</v>
      </c>
      <c r="N172" s="141">
        <v>32</v>
      </c>
      <c r="U172" s="126">
        <v>-1</v>
      </c>
      <c r="V172" s="218">
        <v>0.15</v>
      </c>
      <c r="W172" s="218">
        <v>0.25</v>
      </c>
      <c r="X172" s="126">
        <v>1</v>
      </c>
      <c r="AA172" s="188">
        <v>46226.247384259259</v>
      </c>
      <c r="AB172" s="131">
        <v>2</v>
      </c>
      <c r="AC172" s="126">
        <v>6</v>
      </c>
      <c r="AD172" s="126">
        <v>2026</v>
      </c>
    </row>
    <row r="173" spans="3:30" ht="23.1" customHeight="1">
      <c r="C173" s="126">
        <v>166</v>
      </c>
      <c r="D173" s="126">
        <v>68</v>
      </c>
      <c r="E173" s="141" t="s">
        <v>1242</v>
      </c>
      <c r="F173" s="163" t="s">
        <v>1243</v>
      </c>
      <c r="G173" s="162">
        <v>46185</v>
      </c>
      <c r="H173" s="131">
        <v>1</v>
      </c>
      <c r="I173" s="131">
        <v>1</v>
      </c>
      <c r="J173" s="141" t="s">
        <v>551</v>
      </c>
      <c r="K173" s="141">
        <v>1</v>
      </c>
      <c r="N173" s="141">
        <v>32</v>
      </c>
      <c r="U173" s="126">
        <v>-1</v>
      </c>
      <c r="V173" s="218">
        <v>0.53</v>
      </c>
      <c r="W173" s="218">
        <v>1</v>
      </c>
      <c r="X173" s="126">
        <v>1</v>
      </c>
      <c r="AA173" s="188">
        <v>46226.247384259259</v>
      </c>
      <c r="AB173" s="131">
        <v>2</v>
      </c>
      <c r="AC173" s="126">
        <v>6</v>
      </c>
      <c r="AD173" s="126">
        <v>2026</v>
      </c>
    </row>
    <row r="174" spans="3:30" ht="23.1" customHeight="1">
      <c r="C174" s="126">
        <v>167</v>
      </c>
      <c r="D174" s="126">
        <v>156</v>
      </c>
      <c r="E174" s="141" t="s">
        <v>735</v>
      </c>
      <c r="F174" s="163" t="s">
        <v>736</v>
      </c>
      <c r="G174" s="162">
        <v>46185</v>
      </c>
      <c r="H174" s="131">
        <v>1</v>
      </c>
      <c r="I174" s="131">
        <v>1</v>
      </c>
      <c r="J174" s="141" t="s">
        <v>551</v>
      </c>
      <c r="K174" s="141">
        <v>1</v>
      </c>
      <c r="N174" s="141">
        <v>32</v>
      </c>
      <c r="U174" s="126">
        <v>-1</v>
      </c>
      <c r="V174" s="218">
        <v>4.41</v>
      </c>
      <c r="W174" s="218">
        <v>5</v>
      </c>
      <c r="X174" s="126">
        <v>1</v>
      </c>
      <c r="AA174" s="188">
        <v>46226.247384259259</v>
      </c>
      <c r="AB174" s="131">
        <v>2</v>
      </c>
      <c r="AC174" s="126">
        <v>6</v>
      </c>
      <c r="AD174" s="126">
        <v>2026</v>
      </c>
    </row>
    <row r="175" spans="3:30" ht="23.1" customHeight="1">
      <c r="C175" s="126">
        <v>168</v>
      </c>
      <c r="D175" s="126">
        <v>177</v>
      </c>
      <c r="E175" s="141" t="s">
        <v>752</v>
      </c>
      <c r="F175" s="163" t="s">
        <v>753</v>
      </c>
      <c r="G175" s="162">
        <v>46185</v>
      </c>
      <c r="H175" s="131">
        <v>1</v>
      </c>
      <c r="I175" s="131">
        <v>1</v>
      </c>
      <c r="J175" s="141" t="s">
        <v>551</v>
      </c>
      <c r="K175" s="141">
        <v>1</v>
      </c>
      <c r="N175" s="141">
        <v>33</v>
      </c>
      <c r="U175" s="126">
        <v>-500</v>
      </c>
      <c r="V175" s="218">
        <v>4.1500000000000004</v>
      </c>
      <c r="W175" s="218">
        <v>4.5</v>
      </c>
      <c r="X175" s="126">
        <v>1</v>
      </c>
      <c r="AA175" s="188">
        <v>46226.249699074076</v>
      </c>
      <c r="AB175" s="131">
        <v>2</v>
      </c>
      <c r="AC175" s="126">
        <v>6</v>
      </c>
      <c r="AD175" s="126">
        <v>2026</v>
      </c>
    </row>
    <row r="176" spans="3:30" ht="23.1" customHeight="1">
      <c r="C176" s="126">
        <v>169</v>
      </c>
      <c r="D176" s="126">
        <v>179</v>
      </c>
      <c r="E176" s="141" t="s">
        <v>564</v>
      </c>
      <c r="F176" s="163" t="s">
        <v>565</v>
      </c>
      <c r="G176" s="162">
        <v>46185</v>
      </c>
      <c r="H176" s="131">
        <v>1</v>
      </c>
      <c r="I176" s="131">
        <v>1</v>
      </c>
      <c r="J176" s="141" t="s">
        <v>551</v>
      </c>
      <c r="K176" s="141">
        <v>1</v>
      </c>
      <c r="N176" s="141">
        <v>34</v>
      </c>
      <c r="U176" s="126">
        <v>-1000</v>
      </c>
      <c r="V176" s="218">
        <v>95</v>
      </c>
      <c r="W176" s="218">
        <v>95</v>
      </c>
      <c r="X176" s="126">
        <v>1</v>
      </c>
      <c r="AA176" s="188">
        <v>46226.254780092589</v>
      </c>
      <c r="AB176" s="131">
        <v>2</v>
      </c>
      <c r="AC176" s="126">
        <v>6</v>
      </c>
      <c r="AD176" s="126">
        <v>2026</v>
      </c>
    </row>
    <row r="177" spans="3:30" ht="23.1" customHeight="1">
      <c r="C177" s="126">
        <v>170</v>
      </c>
      <c r="D177" s="126">
        <v>177</v>
      </c>
      <c r="E177" s="141" t="s">
        <v>752</v>
      </c>
      <c r="F177" s="163" t="s">
        <v>753</v>
      </c>
      <c r="G177" s="162">
        <v>46186</v>
      </c>
      <c r="H177" s="131">
        <v>1</v>
      </c>
      <c r="I177" s="131">
        <v>1</v>
      </c>
      <c r="J177" s="141" t="s">
        <v>551</v>
      </c>
      <c r="K177" s="141">
        <v>1</v>
      </c>
      <c r="N177" s="141">
        <v>35</v>
      </c>
      <c r="U177" s="126">
        <v>-250</v>
      </c>
      <c r="V177" s="218">
        <v>4.1500000000000004</v>
      </c>
      <c r="W177" s="218">
        <v>4.75</v>
      </c>
      <c r="X177" s="126">
        <v>1</v>
      </c>
      <c r="AA177" s="188">
        <v>46226.263368055559</v>
      </c>
      <c r="AB177" s="131">
        <v>2</v>
      </c>
      <c r="AC177" s="126">
        <v>6</v>
      </c>
      <c r="AD177" s="126">
        <v>2026</v>
      </c>
    </row>
    <row r="178" spans="3:30" ht="23.1" customHeight="1">
      <c r="C178" s="126">
        <v>171</v>
      </c>
      <c r="D178" s="126">
        <v>191</v>
      </c>
      <c r="E178" s="141" t="s">
        <v>781</v>
      </c>
      <c r="F178" s="163" t="s">
        <v>782</v>
      </c>
      <c r="G178" s="162">
        <v>46186</v>
      </c>
      <c r="H178" s="131">
        <v>1</v>
      </c>
      <c r="I178" s="131">
        <v>1</v>
      </c>
      <c r="J178" s="141" t="s">
        <v>551</v>
      </c>
      <c r="K178" s="141">
        <v>1</v>
      </c>
      <c r="N178" s="141">
        <v>35</v>
      </c>
      <c r="U178" s="126">
        <v>-20</v>
      </c>
      <c r="V178" s="218">
        <v>4.92</v>
      </c>
      <c r="W178" s="218">
        <v>5</v>
      </c>
      <c r="X178" s="126">
        <v>1</v>
      </c>
      <c r="AA178" s="188">
        <v>46226.263368055559</v>
      </c>
      <c r="AB178" s="131">
        <v>2</v>
      </c>
      <c r="AC178" s="126">
        <v>6</v>
      </c>
      <c r="AD178" s="126">
        <v>2026</v>
      </c>
    </row>
    <row r="179" spans="3:30" ht="23.1" customHeight="1">
      <c r="C179" s="126">
        <v>172</v>
      </c>
      <c r="D179" s="126">
        <v>41</v>
      </c>
      <c r="E179" s="141" t="s">
        <v>808</v>
      </c>
      <c r="F179" s="163" t="s">
        <v>809</v>
      </c>
      <c r="G179" s="162">
        <v>46186</v>
      </c>
      <c r="H179" s="131">
        <v>1</v>
      </c>
      <c r="I179" s="131">
        <v>1</v>
      </c>
      <c r="J179" s="141" t="s">
        <v>551</v>
      </c>
      <c r="K179" s="141">
        <v>1</v>
      </c>
      <c r="N179" s="141">
        <v>36</v>
      </c>
      <c r="U179" s="126">
        <v>-2</v>
      </c>
      <c r="V179" s="218">
        <v>0.53</v>
      </c>
      <c r="W179" s="218">
        <v>0.75</v>
      </c>
      <c r="X179" s="126">
        <v>1</v>
      </c>
      <c r="AA179" s="188">
        <v>46226.32471064815</v>
      </c>
      <c r="AB179" s="131">
        <v>2</v>
      </c>
      <c r="AC179" s="126">
        <v>6</v>
      </c>
      <c r="AD179" s="126">
        <v>2026</v>
      </c>
    </row>
    <row r="180" spans="3:30" ht="23.1" customHeight="1">
      <c r="C180" s="126">
        <v>173</v>
      </c>
      <c r="D180" s="126">
        <v>8</v>
      </c>
      <c r="E180" s="141" t="s">
        <v>1125</v>
      </c>
      <c r="F180" s="163" t="s">
        <v>1126</v>
      </c>
      <c r="G180" s="162">
        <v>46186</v>
      </c>
      <c r="H180" s="131">
        <v>1</v>
      </c>
      <c r="I180" s="131">
        <v>1</v>
      </c>
      <c r="J180" s="141" t="s">
        <v>551</v>
      </c>
      <c r="K180" s="141">
        <v>1</v>
      </c>
      <c r="N180" s="141">
        <v>36</v>
      </c>
      <c r="U180" s="126">
        <v>-2</v>
      </c>
      <c r="V180" s="218">
        <v>1.32</v>
      </c>
      <c r="W180" s="218">
        <v>1.75</v>
      </c>
      <c r="X180" s="126">
        <v>1</v>
      </c>
      <c r="AA180" s="188">
        <v>46226.32471064815</v>
      </c>
      <c r="AB180" s="131">
        <v>2</v>
      </c>
      <c r="AC180" s="126">
        <v>6</v>
      </c>
      <c r="AD180" s="126">
        <v>2026</v>
      </c>
    </row>
    <row r="181" spans="3:30" ht="23.1" customHeight="1">
      <c r="C181" s="126">
        <v>174</v>
      </c>
      <c r="D181" s="126">
        <v>45</v>
      </c>
      <c r="E181" s="141" t="s">
        <v>980</v>
      </c>
      <c r="F181" s="163" t="s">
        <v>981</v>
      </c>
      <c r="G181" s="162">
        <v>46186</v>
      </c>
      <c r="H181" s="131">
        <v>1</v>
      </c>
      <c r="I181" s="131">
        <v>1</v>
      </c>
      <c r="J181" s="141" t="s">
        <v>551</v>
      </c>
      <c r="K181" s="141">
        <v>1</v>
      </c>
      <c r="N181" s="141">
        <v>36</v>
      </c>
      <c r="U181" s="126">
        <v>-3</v>
      </c>
      <c r="V181" s="218">
        <v>0.34</v>
      </c>
      <c r="W181" s="218">
        <v>0.75</v>
      </c>
      <c r="X181" s="126">
        <v>1</v>
      </c>
      <c r="AA181" s="188">
        <v>46226.32471064815</v>
      </c>
      <c r="AB181" s="131">
        <v>2</v>
      </c>
      <c r="AC181" s="126">
        <v>6</v>
      </c>
      <c r="AD181" s="126">
        <v>2026</v>
      </c>
    </row>
    <row r="182" spans="3:30" ht="23.1" customHeight="1">
      <c r="C182" s="126">
        <v>175</v>
      </c>
      <c r="D182" s="126">
        <v>42</v>
      </c>
      <c r="E182" s="141" t="s">
        <v>975</v>
      </c>
      <c r="F182" s="163" t="s">
        <v>976</v>
      </c>
      <c r="G182" s="162">
        <v>46186</v>
      </c>
      <c r="H182" s="131">
        <v>1</v>
      </c>
      <c r="I182" s="131">
        <v>1</v>
      </c>
      <c r="J182" s="141" t="s">
        <v>551</v>
      </c>
      <c r="K182" s="141">
        <v>1</v>
      </c>
      <c r="N182" s="141">
        <v>36</v>
      </c>
      <c r="U182" s="126">
        <v>-2</v>
      </c>
      <c r="V182" s="218">
        <v>0.24</v>
      </c>
      <c r="W182" s="218">
        <v>0.5</v>
      </c>
      <c r="X182" s="126">
        <v>1</v>
      </c>
      <c r="AA182" s="188">
        <v>46226.32471064815</v>
      </c>
      <c r="AB182" s="131">
        <v>2</v>
      </c>
      <c r="AC182" s="126">
        <v>6</v>
      </c>
      <c r="AD182" s="126">
        <v>2026</v>
      </c>
    </row>
    <row r="183" spans="3:30" ht="23.1" customHeight="1">
      <c r="C183" s="126">
        <v>176</v>
      </c>
      <c r="D183" s="126">
        <v>56</v>
      </c>
      <c r="E183" s="141" t="s">
        <v>1203</v>
      </c>
      <c r="F183" s="163" t="s">
        <v>1204</v>
      </c>
      <c r="G183" s="162">
        <v>46186</v>
      </c>
      <c r="H183" s="131">
        <v>1</v>
      </c>
      <c r="I183" s="131">
        <v>1</v>
      </c>
      <c r="J183" s="141" t="s">
        <v>551</v>
      </c>
      <c r="K183" s="141">
        <v>1</v>
      </c>
      <c r="N183" s="141">
        <v>36</v>
      </c>
      <c r="U183" s="126">
        <v>-1</v>
      </c>
      <c r="V183" s="218">
        <v>0.55000000000000004</v>
      </c>
      <c r="W183" s="218">
        <v>0.75</v>
      </c>
      <c r="X183" s="126">
        <v>1</v>
      </c>
      <c r="AA183" s="188">
        <v>46226.32471064815</v>
      </c>
      <c r="AB183" s="131">
        <v>2</v>
      </c>
      <c r="AC183" s="126">
        <v>6</v>
      </c>
      <c r="AD183" s="126">
        <v>2026</v>
      </c>
    </row>
    <row r="184" spans="3:30" ht="23.1" customHeight="1">
      <c r="C184" s="126">
        <v>177</v>
      </c>
      <c r="D184" s="126">
        <v>68</v>
      </c>
      <c r="E184" s="141" t="s">
        <v>1242</v>
      </c>
      <c r="F184" s="163" t="s">
        <v>1243</v>
      </c>
      <c r="G184" s="162">
        <v>46186</v>
      </c>
      <c r="H184" s="131">
        <v>1</v>
      </c>
      <c r="I184" s="131">
        <v>1</v>
      </c>
      <c r="J184" s="141" t="s">
        <v>551</v>
      </c>
      <c r="K184" s="141">
        <v>1</v>
      </c>
      <c r="N184" s="141">
        <v>36</v>
      </c>
      <c r="U184" s="126">
        <v>-2</v>
      </c>
      <c r="V184" s="218">
        <v>0.53</v>
      </c>
      <c r="W184" s="218">
        <v>0.5</v>
      </c>
      <c r="X184" s="126">
        <v>1</v>
      </c>
      <c r="AA184" s="188">
        <v>46226.32471064815</v>
      </c>
      <c r="AB184" s="131">
        <v>2</v>
      </c>
      <c r="AC184" s="126">
        <v>6</v>
      </c>
      <c r="AD184" s="126">
        <v>2026</v>
      </c>
    </row>
    <row r="185" spans="3:30" ht="23.1" customHeight="1">
      <c r="C185" s="126">
        <v>178</v>
      </c>
      <c r="D185" s="126">
        <v>49</v>
      </c>
      <c r="E185" s="141" t="s">
        <v>813</v>
      </c>
      <c r="F185" s="163" t="s">
        <v>814</v>
      </c>
      <c r="G185" s="162">
        <v>46186</v>
      </c>
      <c r="H185" s="131">
        <v>1</v>
      </c>
      <c r="I185" s="131">
        <v>1</v>
      </c>
      <c r="J185" s="141" t="s">
        <v>551</v>
      </c>
      <c r="K185" s="141">
        <v>1</v>
      </c>
      <c r="N185" s="141">
        <v>36</v>
      </c>
      <c r="U185" s="126">
        <v>-1</v>
      </c>
      <c r="V185" s="218">
        <v>0.28000000000000003</v>
      </c>
      <c r="W185" s="218">
        <v>0.5</v>
      </c>
      <c r="X185" s="126">
        <v>1</v>
      </c>
      <c r="AA185" s="188">
        <v>46226.32471064815</v>
      </c>
      <c r="AB185" s="131">
        <v>2</v>
      </c>
      <c r="AC185" s="126">
        <v>6</v>
      </c>
      <c r="AD185" s="126">
        <v>2026</v>
      </c>
    </row>
    <row r="186" spans="3:30" ht="23.1" customHeight="1">
      <c r="C186" s="126">
        <v>179</v>
      </c>
      <c r="D186" s="126">
        <v>69</v>
      </c>
      <c r="E186" s="141" t="s">
        <v>1234</v>
      </c>
      <c r="F186" s="163" t="s">
        <v>1235</v>
      </c>
      <c r="G186" s="162">
        <v>46186</v>
      </c>
      <c r="H186" s="131">
        <v>1</v>
      </c>
      <c r="I186" s="131">
        <v>1</v>
      </c>
      <c r="J186" s="141" t="s">
        <v>551</v>
      </c>
      <c r="K186" s="141">
        <v>1</v>
      </c>
      <c r="N186" s="141">
        <v>36</v>
      </c>
      <c r="U186" s="126">
        <v>-1</v>
      </c>
      <c r="V186" s="218">
        <v>0.25</v>
      </c>
      <c r="W186" s="218">
        <v>0.5</v>
      </c>
      <c r="X186" s="126">
        <v>1</v>
      </c>
      <c r="AA186" s="188">
        <v>46226.32471064815</v>
      </c>
      <c r="AB186" s="131">
        <v>2</v>
      </c>
      <c r="AC186" s="126">
        <v>6</v>
      </c>
      <c r="AD186" s="126">
        <v>2026</v>
      </c>
    </row>
    <row r="187" spans="3:30" ht="23.1" customHeight="1">
      <c r="C187" s="126">
        <v>180</v>
      </c>
      <c r="D187" s="126">
        <v>25</v>
      </c>
      <c r="E187" s="141" t="s">
        <v>1295</v>
      </c>
      <c r="F187" s="163" t="s">
        <v>1296</v>
      </c>
      <c r="G187" s="162">
        <v>46186</v>
      </c>
      <c r="H187" s="131">
        <v>1</v>
      </c>
      <c r="I187" s="131">
        <v>1</v>
      </c>
      <c r="J187" s="141" t="s">
        <v>551</v>
      </c>
      <c r="K187" s="141">
        <v>1</v>
      </c>
      <c r="N187" s="141">
        <v>36</v>
      </c>
      <c r="U187" s="126">
        <v>-1</v>
      </c>
      <c r="V187" s="218">
        <v>1.51</v>
      </c>
      <c r="W187" s="218">
        <v>2</v>
      </c>
      <c r="X187" s="126">
        <v>1</v>
      </c>
      <c r="AA187" s="188">
        <v>46226.32471064815</v>
      </c>
      <c r="AB187" s="131">
        <v>2</v>
      </c>
      <c r="AC187" s="126">
        <v>6</v>
      </c>
      <c r="AD187" s="126">
        <v>2026</v>
      </c>
    </row>
    <row r="188" spans="3:30" ht="23.1" customHeight="1">
      <c r="C188" s="126">
        <v>181</v>
      </c>
      <c r="D188" s="126">
        <v>7</v>
      </c>
      <c r="E188" s="141" t="s">
        <v>818</v>
      </c>
      <c r="F188" s="163" t="s">
        <v>819</v>
      </c>
      <c r="G188" s="162">
        <v>46186</v>
      </c>
      <c r="H188" s="131">
        <v>1</v>
      </c>
      <c r="I188" s="131">
        <v>1</v>
      </c>
      <c r="J188" s="141" t="s">
        <v>551</v>
      </c>
      <c r="K188" s="141">
        <v>1</v>
      </c>
      <c r="N188" s="141">
        <v>36</v>
      </c>
      <c r="U188" s="126">
        <v>-1</v>
      </c>
      <c r="V188" s="218">
        <v>1.79</v>
      </c>
      <c r="W188" s="218">
        <v>2.5</v>
      </c>
      <c r="X188" s="126">
        <v>1</v>
      </c>
      <c r="AA188" s="188">
        <v>46226.32471064815</v>
      </c>
      <c r="AB188" s="131">
        <v>2</v>
      </c>
      <c r="AC188" s="126">
        <v>6</v>
      </c>
      <c r="AD188" s="126">
        <v>2026</v>
      </c>
    </row>
    <row r="189" spans="3:30" ht="23.1" customHeight="1">
      <c r="C189" s="126">
        <v>182</v>
      </c>
      <c r="D189" s="126">
        <v>73</v>
      </c>
      <c r="E189" s="141" t="s">
        <v>1303</v>
      </c>
      <c r="F189" s="163" t="s">
        <v>1304</v>
      </c>
      <c r="G189" s="162">
        <v>46186</v>
      </c>
      <c r="H189" s="131">
        <v>1</v>
      </c>
      <c r="I189" s="131">
        <v>1</v>
      </c>
      <c r="J189" s="141" t="s">
        <v>551</v>
      </c>
      <c r="K189" s="141">
        <v>1</v>
      </c>
      <c r="N189" s="141">
        <v>36</v>
      </c>
      <c r="U189" s="126">
        <v>-1</v>
      </c>
      <c r="V189" s="218">
        <v>0.34</v>
      </c>
      <c r="W189" s="218">
        <v>0.5</v>
      </c>
      <c r="X189" s="126">
        <v>1</v>
      </c>
      <c r="AA189" s="188">
        <v>46226.32471064815</v>
      </c>
      <c r="AB189" s="131">
        <v>2</v>
      </c>
      <c r="AC189" s="126">
        <v>6</v>
      </c>
      <c r="AD189" s="126">
        <v>2026</v>
      </c>
    </row>
    <row r="190" spans="3:30" ht="23.1" customHeight="1">
      <c r="C190" s="126">
        <v>183</v>
      </c>
      <c r="D190" s="126">
        <v>108</v>
      </c>
      <c r="E190" s="141" t="s">
        <v>1009</v>
      </c>
      <c r="F190" s="163" t="s">
        <v>1010</v>
      </c>
      <c r="G190" s="162">
        <v>46186</v>
      </c>
      <c r="H190" s="131">
        <v>1</v>
      </c>
      <c r="I190" s="131">
        <v>1</v>
      </c>
      <c r="J190" s="141" t="s">
        <v>551</v>
      </c>
      <c r="K190" s="141">
        <v>1</v>
      </c>
      <c r="N190" s="141">
        <v>36</v>
      </c>
      <c r="U190" s="126">
        <v>-1</v>
      </c>
      <c r="V190" s="218">
        <v>2.7</v>
      </c>
      <c r="W190" s="218">
        <v>3</v>
      </c>
      <c r="X190" s="126">
        <v>1</v>
      </c>
      <c r="AA190" s="188">
        <v>46226.32471064815</v>
      </c>
      <c r="AB190" s="131">
        <v>2</v>
      </c>
      <c r="AC190" s="126">
        <v>6</v>
      </c>
      <c r="AD190" s="126">
        <v>2026</v>
      </c>
    </row>
    <row r="191" spans="3:30" ht="23.1" customHeight="1">
      <c r="C191" s="126">
        <v>184</v>
      </c>
      <c r="D191" s="126">
        <v>92</v>
      </c>
      <c r="E191" s="141" t="s">
        <v>1313</v>
      </c>
      <c r="F191" s="163" t="s">
        <v>1314</v>
      </c>
      <c r="G191" s="162">
        <v>46186</v>
      </c>
      <c r="H191" s="131">
        <v>1</v>
      </c>
      <c r="I191" s="131">
        <v>1</v>
      </c>
      <c r="J191" s="141" t="s">
        <v>551</v>
      </c>
      <c r="K191" s="141">
        <v>1</v>
      </c>
      <c r="N191" s="141">
        <v>37</v>
      </c>
      <c r="U191" s="126">
        <v>-20</v>
      </c>
      <c r="V191" s="218">
        <v>0.78</v>
      </c>
      <c r="W191" s="218">
        <v>1.38</v>
      </c>
      <c r="X191" s="126">
        <v>1</v>
      </c>
      <c r="AA191" s="188">
        <v>46226.391192129631</v>
      </c>
      <c r="AB191" s="131">
        <v>2</v>
      </c>
      <c r="AC191" s="126">
        <v>6</v>
      </c>
      <c r="AD191" s="126">
        <v>2026</v>
      </c>
    </row>
    <row r="192" spans="3:30" ht="23.1" customHeight="1">
      <c r="C192" s="126">
        <v>185</v>
      </c>
      <c r="D192" s="126">
        <v>50</v>
      </c>
      <c r="E192" s="141" t="s">
        <v>803</v>
      </c>
      <c r="F192" s="163" t="s">
        <v>804</v>
      </c>
      <c r="G192" s="162">
        <v>46186</v>
      </c>
      <c r="H192" s="131">
        <v>1</v>
      </c>
      <c r="I192" s="131">
        <v>1</v>
      </c>
      <c r="J192" s="141" t="s">
        <v>551</v>
      </c>
      <c r="K192" s="141">
        <v>1</v>
      </c>
      <c r="N192" s="141">
        <v>37</v>
      </c>
      <c r="U192" s="126">
        <v>-30</v>
      </c>
      <c r="V192" s="218">
        <v>0.12</v>
      </c>
      <c r="W192" s="218">
        <v>0.25</v>
      </c>
      <c r="X192" s="126">
        <v>1</v>
      </c>
      <c r="AA192" s="188">
        <v>46226.391192129631</v>
      </c>
      <c r="AB192" s="131">
        <v>2</v>
      </c>
      <c r="AC192" s="126">
        <v>6</v>
      </c>
      <c r="AD192" s="126">
        <v>2026</v>
      </c>
    </row>
    <row r="193" spans="3:30" ht="23.1" customHeight="1">
      <c r="C193" s="126">
        <v>186</v>
      </c>
      <c r="D193" s="126">
        <v>101</v>
      </c>
      <c r="E193" s="141" t="s">
        <v>718</v>
      </c>
      <c r="F193" s="163" t="s">
        <v>719</v>
      </c>
      <c r="G193" s="162">
        <v>46186</v>
      </c>
      <c r="H193" s="131">
        <v>1</v>
      </c>
      <c r="I193" s="131">
        <v>1</v>
      </c>
      <c r="J193" s="141" t="s">
        <v>551</v>
      </c>
      <c r="K193" s="141">
        <v>1</v>
      </c>
      <c r="N193" s="141">
        <v>37</v>
      </c>
      <c r="U193" s="126">
        <v>-20</v>
      </c>
      <c r="V193" s="218">
        <v>0</v>
      </c>
      <c r="W193" s="218">
        <v>0.05</v>
      </c>
      <c r="X193" s="126">
        <v>1</v>
      </c>
      <c r="AA193" s="188">
        <v>46226.391192129631</v>
      </c>
      <c r="AB193" s="131">
        <v>2</v>
      </c>
      <c r="AC193" s="126">
        <v>6</v>
      </c>
      <c r="AD193" s="126">
        <v>2026</v>
      </c>
    </row>
    <row r="194" spans="3:30" ht="23.1" customHeight="1">
      <c r="C194" s="126">
        <v>187</v>
      </c>
      <c r="D194" s="126">
        <v>94</v>
      </c>
      <c r="E194" s="141" t="s">
        <v>1323</v>
      </c>
      <c r="F194" s="163" t="s">
        <v>1324</v>
      </c>
      <c r="G194" s="162">
        <v>46186</v>
      </c>
      <c r="H194" s="131">
        <v>1</v>
      </c>
      <c r="I194" s="131">
        <v>1</v>
      </c>
      <c r="J194" s="141" t="s">
        <v>551</v>
      </c>
      <c r="K194" s="141">
        <v>1</v>
      </c>
      <c r="N194" s="141">
        <v>37</v>
      </c>
      <c r="U194" s="126">
        <v>-40</v>
      </c>
      <c r="V194" s="218">
        <v>0.1</v>
      </c>
      <c r="W194" s="218">
        <v>0.13</v>
      </c>
      <c r="X194" s="126">
        <v>1</v>
      </c>
      <c r="AA194" s="188">
        <v>46226.391192129631</v>
      </c>
      <c r="AB194" s="131">
        <v>2</v>
      </c>
      <c r="AC194" s="126">
        <v>6</v>
      </c>
      <c r="AD194" s="126">
        <v>2026</v>
      </c>
    </row>
    <row r="195" spans="3:30" ht="23.1" customHeight="1">
      <c r="C195" s="126">
        <v>188</v>
      </c>
      <c r="D195" s="126">
        <v>177</v>
      </c>
      <c r="E195" s="141" t="s">
        <v>752</v>
      </c>
      <c r="F195" s="163" t="s">
        <v>753</v>
      </c>
      <c r="G195" s="162">
        <v>46187</v>
      </c>
      <c r="H195" s="131">
        <v>1</v>
      </c>
      <c r="I195" s="131">
        <v>1</v>
      </c>
      <c r="J195" s="141" t="s">
        <v>551</v>
      </c>
      <c r="K195" s="141">
        <v>1</v>
      </c>
      <c r="N195" s="141">
        <v>38</v>
      </c>
      <c r="U195" s="126">
        <v>-750</v>
      </c>
      <c r="V195" s="218">
        <v>4.1500000000000004</v>
      </c>
      <c r="W195" s="218">
        <v>4.5</v>
      </c>
      <c r="X195" s="126">
        <v>1</v>
      </c>
      <c r="AA195" s="188">
        <v>46226.400694444441</v>
      </c>
      <c r="AB195" s="131">
        <v>2</v>
      </c>
      <c r="AC195" s="126">
        <v>6</v>
      </c>
      <c r="AD195" s="126">
        <v>2026</v>
      </c>
    </row>
    <row r="196" spans="3:30" ht="23.1" customHeight="1">
      <c r="C196" s="126">
        <v>189</v>
      </c>
      <c r="D196" s="126">
        <v>177</v>
      </c>
      <c r="E196" s="141" t="s">
        <v>752</v>
      </c>
      <c r="F196" s="163" t="s">
        <v>753</v>
      </c>
      <c r="G196" s="162">
        <v>46187</v>
      </c>
      <c r="H196" s="131">
        <v>1</v>
      </c>
      <c r="I196" s="131">
        <v>1</v>
      </c>
      <c r="J196" s="141" t="s">
        <v>551</v>
      </c>
      <c r="K196" s="141">
        <v>1</v>
      </c>
      <c r="N196" s="141">
        <v>39</v>
      </c>
      <c r="U196" s="126">
        <v>-500</v>
      </c>
      <c r="V196" s="218">
        <v>4.1500000000000004</v>
      </c>
      <c r="W196" s="218">
        <v>4.75</v>
      </c>
      <c r="X196" s="126">
        <v>1</v>
      </c>
      <c r="AA196" s="188">
        <v>46226.454305555555</v>
      </c>
      <c r="AB196" s="131">
        <v>2</v>
      </c>
      <c r="AC196" s="126">
        <v>6</v>
      </c>
      <c r="AD196" s="126">
        <v>2026</v>
      </c>
    </row>
    <row r="197" spans="3:30" ht="23.1" customHeight="1">
      <c r="C197" s="126">
        <v>190</v>
      </c>
      <c r="D197" s="126">
        <v>51</v>
      </c>
      <c r="E197" s="141" t="s">
        <v>1339</v>
      </c>
      <c r="F197" s="163" t="s">
        <v>1340</v>
      </c>
      <c r="G197" s="162">
        <v>46187</v>
      </c>
      <c r="H197" s="131">
        <v>1</v>
      </c>
      <c r="I197" s="131">
        <v>1</v>
      </c>
      <c r="J197" s="141" t="s">
        <v>551</v>
      </c>
      <c r="K197" s="141">
        <v>1</v>
      </c>
      <c r="N197" s="141">
        <v>39</v>
      </c>
      <c r="U197" s="126">
        <v>-3</v>
      </c>
      <c r="V197" s="218">
        <v>4.49</v>
      </c>
      <c r="W197" s="218">
        <v>5</v>
      </c>
      <c r="X197" s="126">
        <v>1</v>
      </c>
      <c r="AA197" s="188">
        <v>46226.454305555555</v>
      </c>
      <c r="AB197" s="131">
        <v>2</v>
      </c>
      <c r="AC197" s="126">
        <v>6</v>
      </c>
      <c r="AD197" s="126">
        <v>2026</v>
      </c>
    </row>
    <row r="198" spans="3:30" ht="23.1" customHeight="1">
      <c r="C198" s="126">
        <v>191</v>
      </c>
      <c r="D198" s="126">
        <v>184</v>
      </c>
      <c r="E198" s="141" t="s">
        <v>769</v>
      </c>
      <c r="F198" s="163" t="s">
        <v>770</v>
      </c>
      <c r="G198" s="162">
        <v>46187</v>
      </c>
      <c r="H198" s="131">
        <v>1</v>
      </c>
      <c r="I198" s="131">
        <v>1</v>
      </c>
      <c r="J198" s="141" t="s">
        <v>551</v>
      </c>
      <c r="K198" s="141">
        <v>1</v>
      </c>
      <c r="N198" s="141">
        <v>39</v>
      </c>
      <c r="U198" s="126">
        <v>-120</v>
      </c>
      <c r="V198" s="218">
        <v>6</v>
      </c>
      <c r="W198" s="218">
        <v>6.5</v>
      </c>
      <c r="X198" s="126">
        <v>1</v>
      </c>
      <c r="AA198" s="188">
        <v>46226.454305555555</v>
      </c>
      <c r="AB198" s="131">
        <v>2</v>
      </c>
      <c r="AC198" s="126">
        <v>6</v>
      </c>
      <c r="AD198" s="126">
        <v>2026</v>
      </c>
    </row>
    <row r="199" spans="3:30" ht="23.1" customHeight="1">
      <c r="C199" s="126">
        <v>192</v>
      </c>
      <c r="D199" s="126">
        <v>177</v>
      </c>
      <c r="E199" s="141" t="s">
        <v>752</v>
      </c>
      <c r="F199" s="163" t="s">
        <v>753</v>
      </c>
      <c r="G199" s="162">
        <v>46188</v>
      </c>
      <c r="H199" s="131">
        <v>1</v>
      </c>
      <c r="I199" s="131">
        <v>1</v>
      </c>
      <c r="J199" s="141" t="s">
        <v>551</v>
      </c>
      <c r="K199" s="141">
        <v>1</v>
      </c>
      <c r="N199" s="141">
        <v>40</v>
      </c>
      <c r="U199" s="126">
        <v>-400</v>
      </c>
      <c r="V199" s="218">
        <v>4.1500000000000004</v>
      </c>
      <c r="W199" s="218">
        <v>4.75</v>
      </c>
      <c r="X199" s="126">
        <v>1</v>
      </c>
      <c r="AA199" s="188">
        <v>46226.458645833336</v>
      </c>
      <c r="AB199" s="131">
        <v>3</v>
      </c>
      <c r="AC199" s="126">
        <v>6</v>
      </c>
      <c r="AD199" s="126">
        <v>2026</v>
      </c>
    </row>
    <row r="200" spans="3:30" ht="23.1" customHeight="1">
      <c r="C200" s="126">
        <v>193</v>
      </c>
      <c r="D200" s="126">
        <v>179</v>
      </c>
      <c r="E200" s="141" t="s">
        <v>564</v>
      </c>
      <c r="F200" s="163" t="s">
        <v>565</v>
      </c>
      <c r="G200" s="162">
        <v>46188</v>
      </c>
      <c r="H200" s="131">
        <v>1</v>
      </c>
      <c r="I200" s="131">
        <v>1</v>
      </c>
      <c r="J200" s="141" t="s">
        <v>551</v>
      </c>
      <c r="K200" s="141">
        <v>1</v>
      </c>
      <c r="N200" s="141">
        <v>40</v>
      </c>
      <c r="U200" s="126">
        <v>-150</v>
      </c>
      <c r="V200" s="218">
        <v>4.75</v>
      </c>
      <c r="W200" s="218">
        <v>5</v>
      </c>
      <c r="X200" s="126">
        <v>1</v>
      </c>
      <c r="AA200" s="188">
        <v>46226.458645833336</v>
      </c>
      <c r="AB200" s="131">
        <v>3</v>
      </c>
      <c r="AC200" s="126">
        <v>6</v>
      </c>
      <c r="AD200" s="126">
        <v>2026</v>
      </c>
    </row>
    <row r="201" spans="3:30" ht="23.1" customHeight="1">
      <c r="C201" s="126">
        <v>194</v>
      </c>
      <c r="D201" s="126">
        <v>69</v>
      </c>
      <c r="E201" s="141" t="s">
        <v>1234</v>
      </c>
      <c r="F201" s="163" t="s">
        <v>1235</v>
      </c>
      <c r="G201" s="162">
        <v>46188</v>
      </c>
      <c r="H201" s="131">
        <v>1</v>
      </c>
      <c r="I201" s="131">
        <v>1</v>
      </c>
      <c r="J201" s="141" t="s">
        <v>551</v>
      </c>
      <c r="K201" s="141">
        <v>1</v>
      </c>
      <c r="N201" s="141">
        <v>41</v>
      </c>
      <c r="U201" s="126">
        <v>-4</v>
      </c>
      <c r="V201" s="218">
        <v>0.25</v>
      </c>
      <c r="W201" s="218">
        <v>0.5</v>
      </c>
      <c r="X201" s="126">
        <v>1</v>
      </c>
      <c r="AA201" s="188">
        <v>46226.472453703704</v>
      </c>
      <c r="AB201" s="131">
        <v>3</v>
      </c>
      <c r="AC201" s="126">
        <v>6</v>
      </c>
      <c r="AD201" s="126">
        <v>2026</v>
      </c>
    </row>
    <row r="202" spans="3:30" ht="23.1" customHeight="1">
      <c r="C202" s="126">
        <v>195</v>
      </c>
      <c r="D202" s="126">
        <v>181</v>
      </c>
      <c r="E202" s="141" t="s">
        <v>761</v>
      </c>
      <c r="F202" s="163" t="s">
        <v>762</v>
      </c>
      <c r="G202" s="162">
        <v>46188</v>
      </c>
      <c r="H202" s="131">
        <v>1</v>
      </c>
      <c r="I202" s="131">
        <v>1</v>
      </c>
      <c r="J202" s="141" t="s">
        <v>551</v>
      </c>
      <c r="K202" s="141">
        <v>1</v>
      </c>
      <c r="N202" s="141">
        <v>41</v>
      </c>
      <c r="U202" s="126">
        <v>-12</v>
      </c>
      <c r="V202" s="218">
        <v>1</v>
      </c>
      <c r="W202" s="218">
        <v>1.5</v>
      </c>
      <c r="X202" s="126">
        <v>1</v>
      </c>
      <c r="AA202" s="188">
        <v>46226.472453703704</v>
      </c>
      <c r="AB202" s="131">
        <v>3</v>
      </c>
      <c r="AC202" s="126">
        <v>6</v>
      </c>
      <c r="AD202" s="126">
        <v>2026</v>
      </c>
    </row>
    <row r="203" spans="3:30" ht="23.1" customHeight="1">
      <c r="C203" s="126">
        <v>196</v>
      </c>
      <c r="D203" s="126">
        <v>42</v>
      </c>
      <c r="E203" s="141" t="s">
        <v>975</v>
      </c>
      <c r="F203" s="163" t="s">
        <v>976</v>
      </c>
      <c r="G203" s="162">
        <v>46188</v>
      </c>
      <c r="H203" s="131">
        <v>1</v>
      </c>
      <c r="I203" s="131">
        <v>1</v>
      </c>
      <c r="J203" s="141" t="s">
        <v>551</v>
      </c>
      <c r="K203" s="141">
        <v>1</v>
      </c>
      <c r="N203" s="141">
        <v>41</v>
      </c>
      <c r="U203" s="126">
        <v>-4</v>
      </c>
      <c r="V203" s="218">
        <v>0.24</v>
      </c>
      <c r="W203" s="218">
        <v>0.5</v>
      </c>
      <c r="X203" s="126">
        <v>1</v>
      </c>
      <c r="AA203" s="188">
        <v>46226.472453703704</v>
      </c>
      <c r="AB203" s="131">
        <v>3</v>
      </c>
      <c r="AC203" s="126">
        <v>6</v>
      </c>
      <c r="AD203" s="126">
        <v>2026</v>
      </c>
    </row>
    <row r="204" spans="3:30" ht="23.1" customHeight="1">
      <c r="C204" s="126">
        <v>197</v>
      </c>
      <c r="D204" s="126">
        <v>74</v>
      </c>
      <c r="E204" s="141" t="s">
        <v>1367</v>
      </c>
      <c r="F204" s="163" t="s">
        <v>1368</v>
      </c>
      <c r="G204" s="162">
        <v>46188</v>
      </c>
      <c r="H204" s="131">
        <v>1</v>
      </c>
      <c r="I204" s="131">
        <v>1</v>
      </c>
      <c r="J204" s="141" t="s">
        <v>551</v>
      </c>
      <c r="K204" s="141">
        <v>1</v>
      </c>
      <c r="N204" s="141">
        <v>41</v>
      </c>
      <c r="U204" s="126">
        <v>-2</v>
      </c>
      <c r="V204" s="218">
        <v>0.19</v>
      </c>
      <c r="W204" s="218">
        <v>0.25</v>
      </c>
      <c r="X204" s="126">
        <v>1</v>
      </c>
      <c r="AA204" s="188">
        <v>46226.472453703704</v>
      </c>
      <c r="AB204" s="131">
        <v>3</v>
      </c>
      <c r="AC204" s="126">
        <v>6</v>
      </c>
      <c r="AD204" s="126">
        <v>2026</v>
      </c>
    </row>
    <row r="205" spans="3:30" ht="23.1" customHeight="1">
      <c r="C205" s="126">
        <v>198</v>
      </c>
      <c r="D205" s="126">
        <v>44</v>
      </c>
      <c r="E205" s="141" t="s">
        <v>1229</v>
      </c>
      <c r="F205" s="163" t="s">
        <v>1230</v>
      </c>
      <c r="G205" s="162">
        <v>46188</v>
      </c>
      <c r="H205" s="131">
        <v>1</v>
      </c>
      <c r="I205" s="131">
        <v>1</v>
      </c>
      <c r="J205" s="141" t="s">
        <v>551</v>
      </c>
      <c r="K205" s="141">
        <v>1</v>
      </c>
      <c r="N205" s="141">
        <v>41</v>
      </c>
      <c r="U205" s="126">
        <v>-2</v>
      </c>
      <c r="V205" s="218">
        <v>0.22</v>
      </c>
      <c r="W205" s="218">
        <v>0.38</v>
      </c>
      <c r="X205" s="126">
        <v>1</v>
      </c>
      <c r="AA205" s="188">
        <v>46226.472453703704</v>
      </c>
      <c r="AB205" s="131">
        <v>3</v>
      </c>
      <c r="AC205" s="126">
        <v>6</v>
      </c>
      <c r="AD205" s="126">
        <v>2026</v>
      </c>
    </row>
    <row r="206" spans="3:30" ht="23.1" customHeight="1">
      <c r="C206" s="126">
        <v>199</v>
      </c>
      <c r="D206" s="126">
        <v>46</v>
      </c>
      <c r="E206" s="141" t="s">
        <v>647</v>
      </c>
      <c r="F206" s="163" t="s">
        <v>648</v>
      </c>
      <c r="G206" s="162">
        <v>46188</v>
      </c>
      <c r="H206" s="131">
        <v>1</v>
      </c>
      <c r="I206" s="131">
        <v>1</v>
      </c>
      <c r="J206" s="141" t="s">
        <v>551</v>
      </c>
      <c r="K206" s="141">
        <v>1</v>
      </c>
      <c r="N206" s="141">
        <v>41</v>
      </c>
      <c r="U206" s="126">
        <v>-4</v>
      </c>
      <c r="V206" s="218">
        <v>0.15</v>
      </c>
      <c r="W206" s="218">
        <v>0.38</v>
      </c>
      <c r="X206" s="126">
        <v>1</v>
      </c>
      <c r="AA206" s="188">
        <v>46226.472453703704</v>
      </c>
      <c r="AB206" s="131">
        <v>3</v>
      </c>
      <c r="AC206" s="126">
        <v>6</v>
      </c>
      <c r="AD206" s="126">
        <v>2026</v>
      </c>
    </row>
    <row r="207" spans="3:30" ht="23.1" customHeight="1">
      <c r="C207" s="126">
        <v>200</v>
      </c>
      <c r="D207" s="126">
        <v>103</v>
      </c>
      <c r="E207" s="141" t="s">
        <v>1024</v>
      </c>
      <c r="F207" s="163" t="s">
        <v>1025</v>
      </c>
      <c r="G207" s="162">
        <v>46188</v>
      </c>
      <c r="H207" s="131">
        <v>1</v>
      </c>
      <c r="I207" s="131">
        <v>1</v>
      </c>
      <c r="J207" s="141" t="s">
        <v>551</v>
      </c>
      <c r="K207" s="141">
        <v>1</v>
      </c>
      <c r="N207" s="141">
        <v>41</v>
      </c>
      <c r="U207" s="126">
        <v>-1</v>
      </c>
      <c r="V207" s="218">
        <v>0.75</v>
      </c>
      <c r="W207" s="218">
        <v>1</v>
      </c>
      <c r="X207" s="126">
        <v>1</v>
      </c>
      <c r="AA207" s="188">
        <v>46226.472453703704</v>
      </c>
      <c r="AB207" s="131">
        <v>3</v>
      </c>
      <c r="AC207" s="126">
        <v>6</v>
      </c>
      <c r="AD207" s="126">
        <v>2026</v>
      </c>
    </row>
    <row r="208" spans="3:30" ht="23.1" customHeight="1">
      <c r="C208" s="126">
        <v>201</v>
      </c>
      <c r="D208" s="126">
        <v>75</v>
      </c>
      <c r="E208" s="141" t="s">
        <v>1381</v>
      </c>
      <c r="F208" s="163" t="s">
        <v>1382</v>
      </c>
      <c r="G208" s="162">
        <v>46188</v>
      </c>
      <c r="H208" s="131">
        <v>1</v>
      </c>
      <c r="I208" s="131">
        <v>1</v>
      </c>
      <c r="J208" s="141" t="s">
        <v>551</v>
      </c>
      <c r="K208" s="141">
        <v>1</v>
      </c>
      <c r="N208" s="141">
        <v>41</v>
      </c>
      <c r="U208" s="126">
        <v>-1</v>
      </c>
      <c r="V208" s="218">
        <v>0.13</v>
      </c>
      <c r="W208" s="218">
        <v>0.5</v>
      </c>
      <c r="X208" s="126">
        <v>1</v>
      </c>
      <c r="AA208" s="188">
        <v>46226.472453703704</v>
      </c>
      <c r="AB208" s="131">
        <v>3</v>
      </c>
      <c r="AC208" s="126">
        <v>6</v>
      </c>
      <c r="AD208" s="126">
        <v>2026</v>
      </c>
    </row>
    <row r="209" spans="3:30" ht="23.1" customHeight="1">
      <c r="C209" s="126">
        <v>202</v>
      </c>
      <c r="D209" s="126">
        <v>68</v>
      </c>
      <c r="E209" s="141" t="s">
        <v>1242</v>
      </c>
      <c r="F209" s="163" t="s">
        <v>1243</v>
      </c>
      <c r="G209" s="162">
        <v>46188</v>
      </c>
      <c r="H209" s="131">
        <v>1</v>
      </c>
      <c r="I209" s="131">
        <v>1</v>
      </c>
      <c r="J209" s="141" t="s">
        <v>551</v>
      </c>
      <c r="K209" s="141">
        <v>1</v>
      </c>
      <c r="N209" s="141">
        <v>41</v>
      </c>
      <c r="U209" s="126">
        <v>-1</v>
      </c>
      <c r="V209" s="218">
        <v>0.53</v>
      </c>
      <c r="W209" s="218">
        <v>0.75</v>
      </c>
      <c r="X209" s="126">
        <v>1</v>
      </c>
      <c r="AA209" s="188">
        <v>46226.472453703704</v>
      </c>
      <c r="AB209" s="131">
        <v>3</v>
      </c>
      <c r="AC209" s="126">
        <v>6</v>
      </c>
      <c r="AD209" s="126">
        <v>2026</v>
      </c>
    </row>
    <row r="210" spans="3:30" ht="23.1" customHeight="1">
      <c r="C210" s="126">
        <v>203</v>
      </c>
      <c r="D210" s="126">
        <v>177</v>
      </c>
      <c r="E210" s="141" t="s">
        <v>752</v>
      </c>
      <c r="F210" s="163" t="s">
        <v>753</v>
      </c>
      <c r="G210" s="162">
        <v>46188</v>
      </c>
      <c r="H210" s="131">
        <v>1</v>
      </c>
      <c r="I210" s="131">
        <v>1</v>
      </c>
      <c r="J210" s="141" t="s">
        <v>551</v>
      </c>
      <c r="K210" s="141">
        <v>1</v>
      </c>
      <c r="N210" s="141">
        <v>42</v>
      </c>
      <c r="U210" s="126">
        <v>-250</v>
      </c>
      <c r="V210" s="218">
        <v>4.1500000000000004</v>
      </c>
      <c r="W210" s="218">
        <v>4.75</v>
      </c>
      <c r="X210" s="126">
        <v>1</v>
      </c>
      <c r="AA210" s="188">
        <v>46226.481585648151</v>
      </c>
      <c r="AB210" s="131">
        <v>3</v>
      </c>
      <c r="AC210" s="126">
        <v>6</v>
      </c>
      <c r="AD210" s="126">
        <v>2026</v>
      </c>
    </row>
    <row r="211" spans="3:30" ht="23.1" customHeight="1">
      <c r="C211" s="126">
        <v>204</v>
      </c>
      <c r="D211" s="126">
        <v>179</v>
      </c>
      <c r="E211" s="141" t="s">
        <v>564</v>
      </c>
      <c r="F211" s="163" t="s">
        <v>565</v>
      </c>
      <c r="G211" s="162">
        <v>46188</v>
      </c>
      <c r="H211" s="131">
        <v>1</v>
      </c>
      <c r="I211" s="131">
        <v>1</v>
      </c>
      <c r="J211" s="141" t="s">
        <v>551</v>
      </c>
      <c r="K211" s="141">
        <v>1</v>
      </c>
      <c r="N211" s="141">
        <v>42</v>
      </c>
      <c r="U211" s="126">
        <v>-300</v>
      </c>
      <c r="V211" s="218">
        <v>4.75</v>
      </c>
      <c r="W211" s="218">
        <v>5</v>
      </c>
      <c r="X211" s="126">
        <v>1</v>
      </c>
      <c r="AA211" s="188">
        <v>46226.481585648151</v>
      </c>
      <c r="AB211" s="131">
        <v>3</v>
      </c>
      <c r="AC211" s="126">
        <v>6</v>
      </c>
      <c r="AD211" s="126">
        <v>2026</v>
      </c>
    </row>
    <row r="212" spans="3:30" ht="23.1" customHeight="1">
      <c r="C212" s="126">
        <v>205</v>
      </c>
      <c r="D212" s="126">
        <v>179</v>
      </c>
      <c r="E212" s="141" t="s">
        <v>564</v>
      </c>
      <c r="F212" s="163" t="s">
        <v>565</v>
      </c>
      <c r="G212" s="162">
        <v>46188</v>
      </c>
      <c r="H212" s="131">
        <v>1</v>
      </c>
      <c r="I212" s="131">
        <v>1</v>
      </c>
      <c r="J212" s="141" t="s">
        <v>551</v>
      </c>
      <c r="K212" s="141">
        <v>1</v>
      </c>
      <c r="N212" s="141">
        <v>43</v>
      </c>
      <c r="U212" s="126">
        <v>-300</v>
      </c>
      <c r="V212" s="218">
        <v>4.75</v>
      </c>
      <c r="W212" s="218">
        <v>5</v>
      </c>
      <c r="X212" s="126">
        <v>1</v>
      </c>
      <c r="AA212" s="188">
        <v>46226.53361111111</v>
      </c>
      <c r="AB212" s="131">
        <v>3</v>
      </c>
      <c r="AC212" s="126">
        <v>6</v>
      </c>
      <c r="AD212" s="126">
        <v>2026</v>
      </c>
    </row>
    <row r="213" spans="3:30" ht="23.1" customHeight="1">
      <c r="C213" s="126">
        <v>206</v>
      </c>
      <c r="D213" s="126">
        <v>177</v>
      </c>
      <c r="E213" s="141" t="s">
        <v>752</v>
      </c>
      <c r="F213" s="163" t="s">
        <v>753</v>
      </c>
      <c r="G213" s="162">
        <v>46188</v>
      </c>
      <c r="H213" s="131">
        <v>1</v>
      </c>
      <c r="I213" s="131">
        <v>1</v>
      </c>
      <c r="J213" s="141" t="s">
        <v>551</v>
      </c>
      <c r="K213" s="141">
        <v>1</v>
      </c>
      <c r="N213" s="141">
        <v>43</v>
      </c>
      <c r="U213" s="126">
        <v>-150</v>
      </c>
      <c r="V213" s="218">
        <v>4.1500000000000004</v>
      </c>
      <c r="W213" s="218">
        <v>4.75</v>
      </c>
      <c r="X213" s="126">
        <v>1</v>
      </c>
      <c r="AA213" s="188">
        <v>46226.53361111111</v>
      </c>
      <c r="AB213" s="131">
        <v>3</v>
      </c>
      <c r="AC213" s="126">
        <v>6</v>
      </c>
      <c r="AD213" s="126">
        <v>2026</v>
      </c>
    </row>
    <row r="214" spans="3:30" ht="23.1" customHeight="1">
      <c r="C214" s="126">
        <v>207</v>
      </c>
      <c r="D214" s="126">
        <v>150</v>
      </c>
      <c r="E214" s="141" t="s">
        <v>1405</v>
      </c>
      <c r="F214" s="163" t="s">
        <v>1406</v>
      </c>
      <c r="G214" s="162">
        <v>46188</v>
      </c>
      <c r="H214" s="131">
        <v>1</v>
      </c>
      <c r="I214" s="131">
        <v>1</v>
      </c>
      <c r="J214" s="141" t="s">
        <v>551</v>
      </c>
      <c r="K214" s="141">
        <v>1</v>
      </c>
      <c r="N214" s="141">
        <v>43</v>
      </c>
      <c r="U214" s="126">
        <v>-24</v>
      </c>
      <c r="V214" s="218">
        <v>1.56</v>
      </c>
      <c r="W214" s="218">
        <v>3</v>
      </c>
      <c r="X214" s="126">
        <v>1</v>
      </c>
      <c r="AA214" s="188">
        <v>46226.53361111111</v>
      </c>
      <c r="AB214" s="131">
        <v>3</v>
      </c>
      <c r="AC214" s="126">
        <v>6</v>
      </c>
      <c r="AD214" s="126">
        <v>2026</v>
      </c>
    </row>
    <row r="215" spans="3:30" ht="23.1" customHeight="1">
      <c r="C215" s="126">
        <v>208</v>
      </c>
      <c r="D215" s="126">
        <v>18</v>
      </c>
      <c r="E215" s="141" t="s">
        <v>703</v>
      </c>
      <c r="F215" s="163" t="s">
        <v>704</v>
      </c>
      <c r="G215" s="162">
        <v>46188</v>
      </c>
      <c r="H215" s="131">
        <v>1</v>
      </c>
      <c r="I215" s="131">
        <v>1</v>
      </c>
      <c r="J215" s="141" t="s">
        <v>551</v>
      </c>
      <c r="K215" s="141">
        <v>1</v>
      </c>
      <c r="N215" s="141">
        <v>43</v>
      </c>
      <c r="U215" s="126">
        <v>-2</v>
      </c>
      <c r="V215" s="218">
        <v>1.35</v>
      </c>
      <c r="W215" s="218">
        <v>2</v>
      </c>
      <c r="X215" s="126">
        <v>1</v>
      </c>
      <c r="AA215" s="188">
        <v>46226.53361111111</v>
      </c>
      <c r="AB215" s="131">
        <v>3</v>
      </c>
      <c r="AC215" s="126">
        <v>6</v>
      </c>
      <c r="AD215" s="126">
        <v>2026</v>
      </c>
    </row>
    <row r="216" spans="3:30" ht="23.1" customHeight="1">
      <c r="C216" s="126">
        <v>209</v>
      </c>
      <c r="D216" s="126">
        <v>108</v>
      </c>
      <c r="E216" s="141" t="s">
        <v>1009</v>
      </c>
      <c r="F216" s="163" t="s">
        <v>1010</v>
      </c>
      <c r="G216" s="162">
        <v>46188</v>
      </c>
      <c r="H216" s="131">
        <v>1</v>
      </c>
      <c r="I216" s="131">
        <v>1</v>
      </c>
      <c r="J216" s="141" t="s">
        <v>551</v>
      </c>
      <c r="K216" s="141">
        <v>1</v>
      </c>
      <c r="N216" s="141">
        <v>43</v>
      </c>
      <c r="U216" s="126">
        <v>-1</v>
      </c>
      <c r="V216" s="218">
        <v>2.7</v>
      </c>
      <c r="W216" s="218">
        <v>3</v>
      </c>
      <c r="X216" s="126">
        <v>1</v>
      </c>
      <c r="AA216" s="188">
        <v>46226.53361111111</v>
      </c>
      <c r="AB216" s="131">
        <v>3</v>
      </c>
      <c r="AC216" s="126">
        <v>6</v>
      </c>
      <c r="AD216" s="126">
        <v>2026</v>
      </c>
    </row>
    <row r="217" spans="3:30" ht="23.1" customHeight="1">
      <c r="C217" s="126">
        <v>210</v>
      </c>
      <c r="D217" s="126">
        <v>22</v>
      </c>
      <c r="E217" s="141" t="s">
        <v>642</v>
      </c>
      <c r="F217" s="163" t="s">
        <v>643</v>
      </c>
      <c r="G217" s="162">
        <v>46188</v>
      </c>
      <c r="H217" s="131">
        <v>1</v>
      </c>
      <c r="I217" s="131">
        <v>1</v>
      </c>
      <c r="J217" s="141" t="s">
        <v>551</v>
      </c>
      <c r="K217" s="141">
        <v>1</v>
      </c>
      <c r="N217" s="141">
        <v>43</v>
      </c>
      <c r="U217" s="126">
        <v>-2</v>
      </c>
      <c r="V217" s="218">
        <v>2.9</v>
      </c>
      <c r="W217" s="218">
        <v>3.5</v>
      </c>
      <c r="X217" s="126">
        <v>1</v>
      </c>
      <c r="AA217" s="188">
        <v>46226.53361111111</v>
      </c>
      <c r="AB217" s="131">
        <v>3</v>
      </c>
      <c r="AC217" s="126">
        <v>6</v>
      </c>
      <c r="AD217" s="126">
        <v>2026</v>
      </c>
    </row>
    <row r="218" spans="3:30" ht="23.1" customHeight="1">
      <c r="C218" s="126">
        <v>211</v>
      </c>
      <c r="D218" s="126">
        <v>14</v>
      </c>
      <c r="E218" s="141" t="s">
        <v>696</v>
      </c>
      <c r="F218" s="163" t="s">
        <v>697</v>
      </c>
      <c r="G218" s="162">
        <v>46188</v>
      </c>
      <c r="H218" s="131">
        <v>1</v>
      </c>
      <c r="I218" s="131">
        <v>1</v>
      </c>
      <c r="J218" s="141" t="s">
        <v>551</v>
      </c>
      <c r="K218" s="141">
        <v>1</v>
      </c>
      <c r="N218" s="141">
        <v>43</v>
      </c>
      <c r="U218" s="126">
        <v>-1</v>
      </c>
      <c r="V218" s="218">
        <v>3.3</v>
      </c>
      <c r="W218" s="218">
        <v>4</v>
      </c>
      <c r="X218" s="126">
        <v>1</v>
      </c>
      <c r="AA218" s="188">
        <v>46226.53361111111</v>
      </c>
      <c r="AB218" s="131">
        <v>3</v>
      </c>
      <c r="AC218" s="126">
        <v>6</v>
      </c>
      <c r="AD218" s="126">
        <v>2026</v>
      </c>
    </row>
    <row r="219" spans="3:30" ht="23.1" customHeight="1">
      <c r="C219" s="126">
        <v>212</v>
      </c>
      <c r="D219" s="126">
        <v>16</v>
      </c>
      <c r="E219" s="141" t="s">
        <v>699</v>
      </c>
      <c r="F219" s="163" t="s">
        <v>700</v>
      </c>
      <c r="G219" s="162">
        <v>46188</v>
      </c>
      <c r="H219" s="131">
        <v>1</v>
      </c>
      <c r="I219" s="131">
        <v>1</v>
      </c>
      <c r="J219" s="141" t="s">
        <v>551</v>
      </c>
      <c r="K219" s="141">
        <v>1</v>
      </c>
      <c r="N219" s="141">
        <v>43</v>
      </c>
      <c r="U219" s="126">
        <v>-1</v>
      </c>
      <c r="V219" s="218">
        <v>2.1</v>
      </c>
      <c r="W219" s="218">
        <v>3</v>
      </c>
      <c r="X219" s="126">
        <v>1</v>
      </c>
      <c r="AA219" s="188">
        <v>46226.53361111111</v>
      </c>
      <c r="AB219" s="131">
        <v>3</v>
      </c>
      <c r="AC219" s="126">
        <v>6</v>
      </c>
      <c r="AD219" s="126">
        <v>2026</v>
      </c>
    </row>
    <row r="220" spans="3:30" ht="23.1" customHeight="1">
      <c r="C220" s="126">
        <v>213</v>
      </c>
      <c r="D220" s="126">
        <v>50</v>
      </c>
      <c r="E220" s="141" t="s">
        <v>803</v>
      </c>
      <c r="F220" s="163" t="s">
        <v>804</v>
      </c>
      <c r="G220" s="162">
        <v>46188</v>
      </c>
      <c r="H220" s="131">
        <v>1</v>
      </c>
      <c r="I220" s="131">
        <v>1</v>
      </c>
      <c r="J220" s="141" t="s">
        <v>551</v>
      </c>
      <c r="K220" s="141">
        <v>1</v>
      </c>
      <c r="N220" s="141">
        <v>43</v>
      </c>
      <c r="U220" s="126">
        <v>-3</v>
      </c>
      <c r="V220" s="218">
        <v>0.12</v>
      </c>
      <c r="W220" s="218">
        <v>0.25</v>
      </c>
      <c r="X220" s="126">
        <v>1</v>
      </c>
      <c r="AA220" s="188">
        <v>46226.53361111111</v>
      </c>
      <c r="AB220" s="131">
        <v>3</v>
      </c>
      <c r="AC220" s="126">
        <v>6</v>
      </c>
      <c r="AD220" s="126">
        <v>2026</v>
      </c>
    </row>
    <row r="221" spans="3:30" ht="23.1" customHeight="1">
      <c r="C221" s="126">
        <v>214</v>
      </c>
      <c r="D221" s="126">
        <v>177</v>
      </c>
      <c r="E221" s="141" t="s">
        <v>752</v>
      </c>
      <c r="F221" s="163" t="s">
        <v>753</v>
      </c>
      <c r="G221" s="162">
        <v>46189</v>
      </c>
      <c r="H221" s="131">
        <v>1</v>
      </c>
      <c r="I221" s="131">
        <v>1</v>
      </c>
      <c r="J221" s="141" t="s">
        <v>551</v>
      </c>
      <c r="K221" s="141">
        <v>1</v>
      </c>
      <c r="N221" s="141">
        <v>44</v>
      </c>
      <c r="U221" s="126">
        <v>-500</v>
      </c>
      <c r="V221" s="218">
        <v>4.1500000000000004</v>
      </c>
      <c r="W221" s="218">
        <v>4.75</v>
      </c>
      <c r="X221" s="126">
        <v>1</v>
      </c>
      <c r="AA221" s="188">
        <v>46226.670694444445</v>
      </c>
      <c r="AB221" s="131">
        <v>3</v>
      </c>
      <c r="AC221" s="126">
        <v>6</v>
      </c>
      <c r="AD221" s="126">
        <v>2026</v>
      </c>
    </row>
    <row r="222" spans="3:30" ht="23.1" customHeight="1">
      <c r="C222" s="126">
        <v>215</v>
      </c>
      <c r="D222" s="126">
        <v>177</v>
      </c>
      <c r="E222" s="141" t="s">
        <v>752</v>
      </c>
      <c r="F222" s="163" t="s">
        <v>753</v>
      </c>
      <c r="G222" s="162">
        <v>46189</v>
      </c>
      <c r="H222" s="131">
        <v>1</v>
      </c>
      <c r="I222" s="131">
        <v>1</v>
      </c>
      <c r="J222" s="141" t="s">
        <v>551</v>
      </c>
      <c r="K222" s="141">
        <v>1</v>
      </c>
      <c r="N222" s="141">
        <v>45</v>
      </c>
      <c r="U222" s="126">
        <v>-150</v>
      </c>
      <c r="V222" s="218">
        <v>4.1500000000000004</v>
      </c>
      <c r="W222" s="218">
        <v>4.75</v>
      </c>
      <c r="X222" s="126">
        <v>1</v>
      </c>
      <c r="AA222" s="188">
        <v>46226.673831018517</v>
      </c>
      <c r="AB222" s="131">
        <v>3</v>
      </c>
      <c r="AC222" s="126">
        <v>6</v>
      </c>
      <c r="AD222" s="126">
        <v>2026</v>
      </c>
    </row>
    <row r="223" spans="3:30" ht="23.1" customHeight="1">
      <c r="C223" s="126">
        <v>216</v>
      </c>
      <c r="D223" s="126">
        <v>179</v>
      </c>
      <c r="E223" s="141" t="s">
        <v>564</v>
      </c>
      <c r="F223" s="163" t="s">
        <v>565</v>
      </c>
      <c r="G223" s="162">
        <v>46189</v>
      </c>
      <c r="H223" s="131">
        <v>1</v>
      </c>
      <c r="I223" s="131">
        <v>1</v>
      </c>
      <c r="J223" s="141" t="s">
        <v>551</v>
      </c>
      <c r="K223" s="141">
        <v>1</v>
      </c>
      <c r="N223" s="141">
        <v>45</v>
      </c>
      <c r="U223" s="126">
        <v>-300</v>
      </c>
      <c r="V223" s="218">
        <v>4.75</v>
      </c>
      <c r="W223" s="218">
        <v>5</v>
      </c>
      <c r="X223" s="126">
        <v>1</v>
      </c>
      <c r="AA223" s="188">
        <v>46226.673831018517</v>
      </c>
      <c r="AB223" s="131">
        <v>3</v>
      </c>
      <c r="AC223" s="126">
        <v>6</v>
      </c>
      <c r="AD223" s="126">
        <v>2026</v>
      </c>
    </row>
    <row r="224" spans="3:30" ht="23.1" customHeight="1">
      <c r="C224" s="126">
        <v>217</v>
      </c>
      <c r="D224" s="126">
        <v>187</v>
      </c>
      <c r="E224" s="141" t="s">
        <v>576</v>
      </c>
      <c r="F224" s="163" t="s">
        <v>577</v>
      </c>
      <c r="G224" s="162">
        <v>46189</v>
      </c>
      <c r="H224" s="131">
        <v>1</v>
      </c>
      <c r="I224" s="131">
        <v>1</v>
      </c>
      <c r="J224" s="141" t="s">
        <v>551</v>
      </c>
      <c r="K224" s="141">
        <v>1</v>
      </c>
      <c r="N224" s="141">
        <v>46</v>
      </c>
      <c r="U224" s="126">
        <v>-40</v>
      </c>
      <c r="V224" s="218">
        <v>3.37</v>
      </c>
      <c r="W224" s="218">
        <v>3.5</v>
      </c>
      <c r="X224" s="126">
        <v>1</v>
      </c>
      <c r="AA224" s="188">
        <v>46226.685115740744</v>
      </c>
      <c r="AB224" s="131">
        <v>3</v>
      </c>
      <c r="AC224" s="126">
        <v>6</v>
      </c>
      <c r="AD224" s="126">
        <v>2026</v>
      </c>
    </row>
    <row r="225" spans="3:30" ht="23.1" customHeight="1">
      <c r="C225" s="126">
        <v>218</v>
      </c>
      <c r="D225" s="126">
        <v>195</v>
      </c>
      <c r="E225" s="141" t="s">
        <v>608</v>
      </c>
      <c r="F225" s="163" t="s">
        <v>609</v>
      </c>
      <c r="G225" s="162">
        <v>46189</v>
      </c>
      <c r="H225" s="131">
        <v>1</v>
      </c>
      <c r="I225" s="131">
        <v>1</v>
      </c>
      <c r="J225" s="141" t="s">
        <v>551</v>
      </c>
      <c r="K225" s="141">
        <v>1</v>
      </c>
      <c r="N225" s="141">
        <v>46</v>
      </c>
      <c r="U225" s="126">
        <v>-12</v>
      </c>
      <c r="V225" s="218">
        <v>6.28</v>
      </c>
      <c r="W225" s="218">
        <v>6</v>
      </c>
      <c r="X225" s="126">
        <v>1</v>
      </c>
      <c r="AA225" s="188">
        <v>46226.685115740744</v>
      </c>
      <c r="AB225" s="131">
        <v>3</v>
      </c>
      <c r="AC225" s="126">
        <v>6</v>
      </c>
      <c r="AD225" s="126">
        <v>2026</v>
      </c>
    </row>
    <row r="226" spans="3:30" ht="23.1" customHeight="1">
      <c r="C226" s="126">
        <v>219</v>
      </c>
      <c r="D226" s="126">
        <v>16</v>
      </c>
      <c r="E226" s="141" t="s">
        <v>699</v>
      </c>
      <c r="F226" s="163" t="s">
        <v>700</v>
      </c>
      <c r="G226" s="162">
        <v>46189</v>
      </c>
      <c r="H226" s="131">
        <v>1</v>
      </c>
      <c r="I226" s="131">
        <v>1</v>
      </c>
      <c r="J226" s="141" t="s">
        <v>551</v>
      </c>
      <c r="K226" s="141">
        <v>1</v>
      </c>
      <c r="N226" s="141">
        <v>46</v>
      </c>
      <c r="U226" s="126">
        <v>-10</v>
      </c>
      <c r="V226" s="218">
        <v>2.1</v>
      </c>
      <c r="W226" s="218">
        <v>3.25</v>
      </c>
      <c r="X226" s="126">
        <v>1</v>
      </c>
      <c r="AA226" s="188">
        <v>46226.685115740744</v>
      </c>
      <c r="AB226" s="131">
        <v>3</v>
      </c>
      <c r="AC226" s="126">
        <v>6</v>
      </c>
      <c r="AD226" s="126">
        <v>2026</v>
      </c>
    </row>
    <row r="227" spans="3:30" ht="23.1" customHeight="1">
      <c r="C227" s="126">
        <v>220</v>
      </c>
      <c r="D227" s="126">
        <v>10</v>
      </c>
      <c r="E227" s="141" t="s">
        <v>586</v>
      </c>
      <c r="F227" s="163" t="s">
        <v>587</v>
      </c>
      <c r="G227" s="162">
        <v>46189</v>
      </c>
      <c r="H227" s="131">
        <v>1</v>
      </c>
      <c r="I227" s="131">
        <v>1</v>
      </c>
      <c r="J227" s="141" t="s">
        <v>551</v>
      </c>
      <c r="K227" s="141">
        <v>1</v>
      </c>
      <c r="N227" s="141">
        <v>46</v>
      </c>
      <c r="U227" s="126">
        <v>-1</v>
      </c>
      <c r="V227" s="218">
        <v>14.85</v>
      </c>
      <c r="W227" s="218">
        <v>15</v>
      </c>
      <c r="X227" s="126">
        <v>1</v>
      </c>
      <c r="AA227" s="188">
        <v>46226.685115740744</v>
      </c>
      <c r="AB227" s="131">
        <v>3</v>
      </c>
      <c r="AC227" s="126">
        <v>6</v>
      </c>
      <c r="AD227" s="126">
        <v>2026</v>
      </c>
    </row>
    <row r="228" spans="3:30" ht="23.1" customHeight="1">
      <c r="C228" s="126">
        <v>221</v>
      </c>
      <c r="D228" s="126">
        <v>178</v>
      </c>
      <c r="E228" s="141" t="s">
        <v>755</v>
      </c>
      <c r="F228" s="163" t="s">
        <v>756</v>
      </c>
      <c r="G228" s="162">
        <v>46189</v>
      </c>
      <c r="H228" s="131">
        <v>1</v>
      </c>
      <c r="I228" s="131">
        <v>1</v>
      </c>
      <c r="J228" s="141" t="s">
        <v>551</v>
      </c>
      <c r="K228" s="141">
        <v>1</v>
      </c>
      <c r="N228" s="141">
        <v>46</v>
      </c>
      <c r="U228" s="126">
        <v>-200</v>
      </c>
      <c r="V228" s="218">
        <v>4.75</v>
      </c>
      <c r="W228" s="218">
        <v>5</v>
      </c>
      <c r="X228" s="126">
        <v>1</v>
      </c>
      <c r="AA228" s="188">
        <v>46226.685115740744</v>
      </c>
      <c r="AB228" s="131">
        <v>3</v>
      </c>
      <c r="AC228" s="126">
        <v>6</v>
      </c>
      <c r="AD228" s="126">
        <v>2026</v>
      </c>
    </row>
    <row r="229" spans="3:30" ht="23.1" customHeight="1">
      <c r="C229" s="126">
        <v>222</v>
      </c>
      <c r="D229" s="126">
        <v>197</v>
      </c>
      <c r="E229" s="141" t="s">
        <v>652</v>
      </c>
      <c r="F229" s="163" t="s">
        <v>653</v>
      </c>
      <c r="G229" s="162">
        <v>46190</v>
      </c>
      <c r="H229" s="131">
        <v>1</v>
      </c>
      <c r="I229" s="131">
        <v>1</v>
      </c>
      <c r="J229" s="141" t="s">
        <v>551</v>
      </c>
      <c r="K229" s="141">
        <v>1</v>
      </c>
      <c r="N229" s="141">
        <v>47</v>
      </c>
      <c r="U229" s="126">
        <v>-8</v>
      </c>
      <c r="V229" s="218">
        <v>8.36</v>
      </c>
      <c r="W229" s="218">
        <v>8.25</v>
      </c>
      <c r="X229" s="126">
        <v>1</v>
      </c>
      <c r="AA229" s="188">
        <v>46226.695104166669</v>
      </c>
      <c r="AB229" s="131">
        <v>3</v>
      </c>
      <c r="AC229" s="126">
        <v>6</v>
      </c>
      <c r="AD229" s="126">
        <v>2026</v>
      </c>
    </row>
    <row r="230" spans="3:30" ht="23.1" customHeight="1">
      <c r="C230" s="126">
        <v>223</v>
      </c>
      <c r="D230" s="126">
        <v>181</v>
      </c>
      <c r="E230" s="141" t="s">
        <v>761</v>
      </c>
      <c r="F230" s="163" t="s">
        <v>762</v>
      </c>
      <c r="G230" s="162">
        <v>46190</v>
      </c>
      <c r="H230" s="131">
        <v>1</v>
      </c>
      <c r="I230" s="131">
        <v>1</v>
      </c>
      <c r="J230" s="141" t="s">
        <v>551</v>
      </c>
      <c r="K230" s="141">
        <v>1</v>
      </c>
      <c r="N230" s="141">
        <v>47</v>
      </c>
      <c r="U230" s="126">
        <v>-120</v>
      </c>
      <c r="V230" s="218">
        <v>1</v>
      </c>
      <c r="W230" s="218">
        <v>1.5</v>
      </c>
      <c r="X230" s="126">
        <v>1</v>
      </c>
      <c r="AA230" s="188">
        <v>46226.695104166669</v>
      </c>
      <c r="AB230" s="131">
        <v>3</v>
      </c>
      <c r="AC230" s="126">
        <v>6</v>
      </c>
      <c r="AD230" s="126">
        <v>2026</v>
      </c>
    </row>
    <row r="231" spans="3:30" ht="23.1" customHeight="1">
      <c r="C231" s="126">
        <v>224</v>
      </c>
      <c r="D231" s="126">
        <v>178</v>
      </c>
      <c r="E231" s="141" t="s">
        <v>755</v>
      </c>
      <c r="F231" s="163" t="s">
        <v>756</v>
      </c>
      <c r="G231" s="162">
        <v>46190</v>
      </c>
      <c r="H231" s="131">
        <v>1</v>
      </c>
      <c r="I231" s="131">
        <v>1</v>
      </c>
      <c r="J231" s="141" t="s">
        <v>551</v>
      </c>
      <c r="K231" s="141">
        <v>1</v>
      </c>
      <c r="N231" s="141">
        <v>47</v>
      </c>
      <c r="U231" s="126">
        <v>-300</v>
      </c>
      <c r="V231" s="218">
        <v>4.75</v>
      </c>
      <c r="W231" s="218">
        <v>5</v>
      </c>
      <c r="X231" s="126">
        <v>1</v>
      </c>
      <c r="AA231" s="188">
        <v>46226.695104166669</v>
      </c>
      <c r="AB231" s="131">
        <v>3</v>
      </c>
      <c r="AC231" s="126">
        <v>6</v>
      </c>
      <c r="AD231" s="126">
        <v>2026</v>
      </c>
    </row>
    <row r="232" spans="3:30" ht="23.1" customHeight="1">
      <c r="C232" s="126">
        <v>225</v>
      </c>
      <c r="D232" s="126">
        <v>178</v>
      </c>
      <c r="E232" s="141" t="s">
        <v>755</v>
      </c>
      <c r="F232" s="163" t="s">
        <v>756</v>
      </c>
      <c r="G232" s="162">
        <v>46190</v>
      </c>
      <c r="H232" s="131">
        <v>1</v>
      </c>
      <c r="I232" s="131">
        <v>1</v>
      </c>
      <c r="J232" s="141" t="s">
        <v>551</v>
      </c>
      <c r="K232" s="141">
        <v>1</v>
      </c>
      <c r="N232" s="141">
        <v>47</v>
      </c>
      <c r="U232" s="126">
        <v>-400</v>
      </c>
      <c r="V232" s="218">
        <v>4.75</v>
      </c>
      <c r="W232" s="218">
        <v>5</v>
      </c>
      <c r="X232" s="126">
        <v>1</v>
      </c>
      <c r="AA232" s="188">
        <v>46226.695104166669</v>
      </c>
      <c r="AB232" s="131">
        <v>3</v>
      </c>
      <c r="AC232" s="126">
        <v>6</v>
      </c>
      <c r="AD232" s="126">
        <v>2026</v>
      </c>
    </row>
    <row r="233" spans="3:30" ht="23.1" customHeight="1">
      <c r="C233" s="126">
        <v>226</v>
      </c>
      <c r="D233" s="126">
        <v>177</v>
      </c>
      <c r="E233" s="141" t="s">
        <v>752</v>
      </c>
      <c r="F233" s="163" t="s">
        <v>753</v>
      </c>
      <c r="G233" s="162">
        <v>46190</v>
      </c>
      <c r="H233" s="131">
        <v>1</v>
      </c>
      <c r="I233" s="131">
        <v>1</v>
      </c>
      <c r="J233" s="141" t="s">
        <v>551</v>
      </c>
      <c r="K233" s="141">
        <v>1</v>
      </c>
      <c r="N233" s="141">
        <v>48</v>
      </c>
      <c r="U233" s="126">
        <v>-150</v>
      </c>
      <c r="V233" s="218">
        <v>4.1500000000000004</v>
      </c>
      <c r="W233" s="218">
        <v>4.75</v>
      </c>
      <c r="X233" s="126">
        <v>1</v>
      </c>
      <c r="AA233" s="188">
        <v>46226.702476851853</v>
      </c>
      <c r="AB233" s="131">
        <v>3</v>
      </c>
      <c r="AC233" s="126">
        <v>6</v>
      </c>
      <c r="AD233" s="126">
        <v>2026</v>
      </c>
    </row>
    <row r="234" spans="3:30" ht="23.1" customHeight="1">
      <c r="C234" s="126">
        <v>227</v>
      </c>
      <c r="D234" s="126">
        <v>178</v>
      </c>
      <c r="E234" s="141" t="s">
        <v>755</v>
      </c>
      <c r="F234" s="163" t="s">
        <v>756</v>
      </c>
      <c r="G234" s="162">
        <v>46190</v>
      </c>
      <c r="H234" s="131">
        <v>1</v>
      </c>
      <c r="I234" s="131">
        <v>1</v>
      </c>
      <c r="J234" s="141" t="s">
        <v>551</v>
      </c>
      <c r="K234" s="141">
        <v>1</v>
      </c>
      <c r="N234" s="141">
        <v>48</v>
      </c>
      <c r="U234" s="126">
        <v>-600</v>
      </c>
      <c r="V234" s="218">
        <v>4.75</v>
      </c>
      <c r="W234" s="218">
        <v>5</v>
      </c>
      <c r="X234" s="126">
        <v>1</v>
      </c>
      <c r="AA234" s="188">
        <v>46226.702476851853</v>
      </c>
      <c r="AB234" s="131">
        <v>3</v>
      </c>
      <c r="AC234" s="126">
        <v>6</v>
      </c>
      <c r="AD234" s="126">
        <v>2026</v>
      </c>
    </row>
    <row r="235" spans="3:30" ht="23.1" customHeight="1">
      <c r="C235" s="126">
        <v>228</v>
      </c>
      <c r="D235" s="126">
        <v>183</v>
      </c>
      <c r="E235" s="141" t="s">
        <v>766</v>
      </c>
      <c r="F235" s="163" t="s">
        <v>767</v>
      </c>
      <c r="G235" s="162">
        <v>46190</v>
      </c>
      <c r="H235" s="131">
        <v>1</v>
      </c>
      <c r="I235" s="131">
        <v>1</v>
      </c>
      <c r="J235" s="141" t="s">
        <v>551</v>
      </c>
      <c r="K235" s="141">
        <v>1</v>
      </c>
      <c r="N235" s="141">
        <v>48</v>
      </c>
      <c r="U235" s="126">
        <v>-60</v>
      </c>
      <c r="V235" s="218">
        <v>4</v>
      </c>
      <c r="W235" s="218">
        <v>5</v>
      </c>
      <c r="X235" s="126">
        <v>1</v>
      </c>
      <c r="AA235" s="188">
        <v>46226.702476851853</v>
      </c>
      <c r="AB235" s="131">
        <v>3</v>
      </c>
      <c r="AC235" s="126">
        <v>6</v>
      </c>
      <c r="AD235" s="126">
        <v>2026</v>
      </c>
    </row>
    <row r="236" spans="3:30" ht="23.1" customHeight="1">
      <c r="C236" s="126">
        <v>229</v>
      </c>
      <c r="D236" s="126">
        <v>167</v>
      </c>
      <c r="E236" s="141" t="s">
        <v>1029</v>
      </c>
      <c r="F236" s="163" t="s">
        <v>1030</v>
      </c>
      <c r="G236" s="162">
        <v>46190</v>
      </c>
      <c r="H236" s="131">
        <v>1</v>
      </c>
      <c r="I236" s="131">
        <v>1</v>
      </c>
      <c r="J236" s="141" t="s">
        <v>551</v>
      </c>
      <c r="K236" s="141">
        <v>1</v>
      </c>
      <c r="N236" s="141">
        <v>49</v>
      </c>
      <c r="U236" s="126">
        <v>-7</v>
      </c>
      <c r="V236" s="218">
        <v>0.85</v>
      </c>
      <c r="W236" s="218">
        <v>1</v>
      </c>
      <c r="X236" s="126">
        <v>1</v>
      </c>
      <c r="AA236" s="188">
        <v>46226.759652777779</v>
      </c>
      <c r="AB236" s="131">
        <v>3</v>
      </c>
      <c r="AC236" s="126">
        <v>6</v>
      </c>
      <c r="AD236" s="126">
        <v>2026</v>
      </c>
    </row>
    <row r="237" spans="3:30" ht="23.1" customHeight="1">
      <c r="C237" s="126">
        <v>230</v>
      </c>
      <c r="D237" s="126">
        <v>144</v>
      </c>
      <c r="E237" s="141" t="s">
        <v>996</v>
      </c>
      <c r="F237" s="163" t="s">
        <v>997</v>
      </c>
      <c r="G237" s="162">
        <v>46190</v>
      </c>
      <c r="H237" s="131">
        <v>1</v>
      </c>
      <c r="I237" s="131">
        <v>1</v>
      </c>
      <c r="J237" s="141" t="s">
        <v>551</v>
      </c>
      <c r="K237" s="141">
        <v>1</v>
      </c>
      <c r="N237" s="141">
        <v>49</v>
      </c>
      <c r="U237" s="126">
        <v>-4</v>
      </c>
      <c r="V237" s="218">
        <v>0.3</v>
      </c>
      <c r="W237" s="218">
        <v>0.63</v>
      </c>
      <c r="X237" s="126">
        <v>1</v>
      </c>
      <c r="AA237" s="188">
        <v>46226.759652777779</v>
      </c>
      <c r="AB237" s="131">
        <v>3</v>
      </c>
      <c r="AC237" s="126">
        <v>6</v>
      </c>
      <c r="AD237" s="126">
        <v>2026</v>
      </c>
    </row>
    <row r="238" spans="3:30" ht="23.1" customHeight="1">
      <c r="C238" s="126">
        <v>231</v>
      </c>
      <c r="D238" s="126">
        <v>74</v>
      </c>
      <c r="E238" s="141" t="s">
        <v>1367</v>
      </c>
      <c r="F238" s="163" t="s">
        <v>1368</v>
      </c>
      <c r="G238" s="162">
        <v>46190</v>
      </c>
      <c r="H238" s="131">
        <v>1</v>
      </c>
      <c r="I238" s="131">
        <v>1</v>
      </c>
      <c r="J238" s="141" t="s">
        <v>551</v>
      </c>
      <c r="K238" s="141">
        <v>1</v>
      </c>
      <c r="N238" s="141">
        <v>49</v>
      </c>
      <c r="U238" s="126">
        <v>-4</v>
      </c>
      <c r="V238" s="218">
        <v>0.19</v>
      </c>
      <c r="W238" s="218">
        <v>0.25</v>
      </c>
      <c r="X238" s="126">
        <v>1</v>
      </c>
      <c r="AA238" s="188">
        <v>46226.759652777779</v>
      </c>
      <c r="AB238" s="131">
        <v>3</v>
      </c>
      <c r="AC238" s="126">
        <v>6</v>
      </c>
      <c r="AD238" s="126">
        <v>2026</v>
      </c>
    </row>
    <row r="239" spans="3:30" ht="23.1" customHeight="1">
      <c r="C239" s="126">
        <v>232</v>
      </c>
      <c r="D239" s="126">
        <v>90</v>
      </c>
      <c r="E239" s="141" t="s">
        <v>1139</v>
      </c>
      <c r="F239" s="163" t="s">
        <v>1140</v>
      </c>
      <c r="G239" s="162">
        <v>46190</v>
      </c>
      <c r="H239" s="131">
        <v>1</v>
      </c>
      <c r="I239" s="131">
        <v>1</v>
      </c>
      <c r="J239" s="141" t="s">
        <v>551</v>
      </c>
      <c r="K239" s="141">
        <v>1</v>
      </c>
      <c r="N239" s="141">
        <v>49</v>
      </c>
      <c r="U239" s="126">
        <v>-4</v>
      </c>
      <c r="V239" s="218">
        <v>0.18</v>
      </c>
      <c r="W239" s="218">
        <v>0.5</v>
      </c>
      <c r="X239" s="126">
        <v>1</v>
      </c>
      <c r="AA239" s="188">
        <v>46226.759652777779</v>
      </c>
      <c r="AB239" s="131">
        <v>3</v>
      </c>
      <c r="AC239" s="126">
        <v>6</v>
      </c>
      <c r="AD239" s="126">
        <v>2026</v>
      </c>
    </row>
    <row r="240" spans="3:30" ht="23.1" customHeight="1">
      <c r="C240" s="126">
        <v>233</v>
      </c>
      <c r="D240" s="126">
        <v>49</v>
      </c>
      <c r="E240" s="141" t="s">
        <v>813</v>
      </c>
      <c r="F240" s="163" t="s">
        <v>814</v>
      </c>
      <c r="G240" s="162">
        <v>46190</v>
      </c>
      <c r="H240" s="131">
        <v>1</v>
      </c>
      <c r="I240" s="131">
        <v>1</v>
      </c>
      <c r="J240" s="141" t="s">
        <v>551</v>
      </c>
      <c r="K240" s="141">
        <v>1</v>
      </c>
      <c r="N240" s="141">
        <v>49</v>
      </c>
      <c r="U240" s="126">
        <v>-2</v>
      </c>
      <c r="V240" s="218">
        <v>0.28000000000000003</v>
      </c>
      <c r="W240" s="218">
        <v>0.38</v>
      </c>
      <c r="X240" s="126">
        <v>1</v>
      </c>
      <c r="AA240" s="188">
        <v>46226.759652777779</v>
      </c>
      <c r="AB240" s="131">
        <v>3</v>
      </c>
      <c r="AC240" s="126">
        <v>6</v>
      </c>
      <c r="AD240" s="126">
        <v>2026</v>
      </c>
    </row>
    <row r="241" spans="3:30" ht="23.1" customHeight="1">
      <c r="C241" s="126">
        <v>234</v>
      </c>
      <c r="D241" s="126">
        <v>94</v>
      </c>
      <c r="E241" s="141" t="s">
        <v>1323</v>
      </c>
      <c r="F241" s="163" t="s">
        <v>1324</v>
      </c>
      <c r="G241" s="162">
        <v>46190</v>
      </c>
      <c r="H241" s="131">
        <v>1</v>
      </c>
      <c r="I241" s="131">
        <v>1</v>
      </c>
      <c r="J241" s="141" t="s">
        <v>551</v>
      </c>
      <c r="K241" s="141">
        <v>1</v>
      </c>
      <c r="N241" s="141">
        <v>49</v>
      </c>
      <c r="U241" s="126">
        <v>-1</v>
      </c>
      <c r="V241" s="218">
        <v>0.1</v>
      </c>
      <c r="W241" s="218">
        <v>0.13</v>
      </c>
      <c r="X241" s="126">
        <v>1</v>
      </c>
      <c r="AA241" s="188">
        <v>46226.759652777779</v>
      </c>
      <c r="AB241" s="131">
        <v>3</v>
      </c>
      <c r="AC241" s="126">
        <v>6</v>
      </c>
      <c r="AD241" s="126">
        <v>2026</v>
      </c>
    </row>
    <row r="242" spans="3:30" ht="23.1" customHeight="1">
      <c r="C242" s="126">
        <v>235</v>
      </c>
      <c r="D242" s="126">
        <v>19</v>
      </c>
      <c r="E242" s="141" t="s">
        <v>706</v>
      </c>
      <c r="F242" s="163" t="s">
        <v>707</v>
      </c>
      <c r="G242" s="162">
        <v>46191</v>
      </c>
      <c r="H242" s="131">
        <v>1</v>
      </c>
      <c r="I242" s="131">
        <v>1</v>
      </c>
      <c r="J242" s="141" t="s">
        <v>551</v>
      </c>
      <c r="K242" s="141">
        <v>1</v>
      </c>
      <c r="N242" s="141">
        <v>50</v>
      </c>
      <c r="U242" s="126">
        <v>-1</v>
      </c>
      <c r="V242" s="218">
        <v>7.49</v>
      </c>
      <c r="W242" s="218">
        <v>8</v>
      </c>
      <c r="X242" s="126">
        <v>1</v>
      </c>
      <c r="AA242" s="188">
        <v>46226.767488425925</v>
      </c>
      <c r="AB242" s="131">
        <v>3</v>
      </c>
      <c r="AC242" s="126">
        <v>6</v>
      </c>
      <c r="AD242" s="126">
        <v>2026</v>
      </c>
    </row>
    <row r="243" spans="3:30" ht="23.1" customHeight="1">
      <c r="C243" s="126">
        <v>236</v>
      </c>
      <c r="D243" s="126">
        <v>22</v>
      </c>
      <c r="E243" s="141" t="s">
        <v>642</v>
      </c>
      <c r="F243" s="163" t="s">
        <v>643</v>
      </c>
      <c r="G243" s="162">
        <v>46191</v>
      </c>
      <c r="H243" s="131">
        <v>1</v>
      </c>
      <c r="I243" s="131">
        <v>1</v>
      </c>
      <c r="J243" s="141" t="s">
        <v>551</v>
      </c>
      <c r="K243" s="141">
        <v>1</v>
      </c>
      <c r="N243" s="141">
        <v>50</v>
      </c>
      <c r="U243" s="126">
        <v>-1</v>
      </c>
      <c r="V243" s="218">
        <v>2.9</v>
      </c>
      <c r="W243" s="218">
        <v>3</v>
      </c>
      <c r="X243" s="126">
        <v>1</v>
      </c>
      <c r="AA243" s="188">
        <v>46226.767488425925</v>
      </c>
      <c r="AB243" s="131">
        <v>3</v>
      </c>
      <c r="AC243" s="126">
        <v>6</v>
      </c>
      <c r="AD243" s="126">
        <v>2026</v>
      </c>
    </row>
    <row r="244" spans="3:30" ht="23.1" customHeight="1">
      <c r="C244" s="126">
        <v>237</v>
      </c>
      <c r="D244" s="126">
        <v>34</v>
      </c>
      <c r="E244" s="141" t="s">
        <v>1193</v>
      </c>
      <c r="F244" s="163" t="s">
        <v>1194</v>
      </c>
      <c r="G244" s="162">
        <v>46191</v>
      </c>
      <c r="H244" s="131">
        <v>1</v>
      </c>
      <c r="I244" s="131">
        <v>1</v>
      </c>
      <c r="J244" s="141" t="s">
        <v>551</v>
      </c>
      <c r="K244" s="141">
        <v>1</v>
      </c>
      <c r="N244" s="141">
        <v>50</v>
      </c>
      <c r="U244" s="126">
        <v>-3</v>
      </c>
      <c r="V244" s="218">
        <v>0.5</v>
      </c>
      <c r="W244" s="218">
        <v>0.88</v>
      </c>
      <c r="X244" s="126">
        <v>1</v>
      </c>
      <c r="AA244" s="188">
        <v>46226.767488425925</v>
      </c>
      <c r="AB244" s="131">
        <v>3</v>
      </c>
      <c r="AC244" s="126">
        <v>6</v>
      </c>
      <c r="AD244" s="126">
        <v>2026</v>
      </c>
    </row>
    <row r="245" spans="3:30" ht="23.1" customHeight="1">
      <c r="C245" s="126">
        <v>238</v>
      </c>
      <c r="D245" s="126">
        <v>37</v>
      </c>
      <c r="E245" s="141" t="s">
        <v>1515</v>
      </c>
      <c r="F245" s="163" t="s">
        <v>1516</v>
      </c>
      <c r="G245" s="162">
        <v>46191</v>
      </c>
      <c r="H245" s="131">
        <v>1</v>
      </c>
      <c r="I245" s="131">
        <v>1</v>
      </c>
      <c r="J245" s="141" t="s">
        <v>551</v>
      </c>
      <c r="K245" s="141">
        <v>1</v>
      </c>
      <c r="N245" s="141">
        <v>50</v>
      </c>
      <c r="U245" s="126">
        <v>-1</v>
      </c>
      <c r="V245" s="218">
        <v>0.66</v>
      </c>
      <c r="W245" s="218">
        <v>1.25</v>
      </c>
      <c r="X245" s="126">
        <v>1</v>
      </c>
      <c r="AA245" s="188">
        <v>46226.767488425925</v>
      </c>
      <c r="AB245" s="131">
        <v>3</v>
      </c>
      <c r="AC245" s="126">
        <v>6</v>
      </c>
      <c r="AD245" s="126">
        <v>2026</v>
      </c>
    </row>
    <row r="246" spans="3:30" ht="23.1" customHeight="1">
      <c r="C246" s="126">
        <v>239</v>
      </c>
      <c r="D246" s="126">
        <v>26</v>
      </c>
      <c r="E246" s="141" t="s">
        <v>715</v>
      </c>
      <c r="F246" s="163" t="s">
        <v>716</v>
      </c>
      <c r="G246" s="162">
        <v>46191</v>
      </c>
      <c r="H246" s="131">
        <v>1</v>
      </c>
      <c r="I246" s="131">
        <v>1</v>
      </c>
      <c r="J246" s="141" t="s">
        <v>551</v>
      </c>
      <c r="K246" s="141">
        <v>1</v>
      </c>
      <c r="N246" s="141">
        <v>50</v>
      </c>
      <c r="U246" s="126">
        <v>-2</v>
      </c>
      <c r="V246" s="218">
        <v>3.01</v>
      </c>
      <c r="W246" s="218">
        <v>2</v>
      </c>
      <c r="X246" s="126">
        <v>1</v>
      </c>
      <c r="AA246" s="188">
        <v>46226.767488425925</v>
      </c>
      <c r="AB246" s="131">
        <v>3</v>
      </c>
      <c r="AC246" s="126">
        <v>6</v>
      </c>
      <c r="AD246" s="126">
        <v>2026</v>
      </c>
    </row>
    <row r="247" spans="3:30" ht="23.1" customHeight="1">
      <c r="C247" s="126">
        <v>240</v>
      </c>
      <c r="D247" s="126">
        <v>29</v>
      </c>
      <c r="E247" s="141" t="s">
        <v>1523</v>
      </c>
      <c r="F247" s="163" t="s">
        <v>1524</v>
      </c>
      <c r="G247" s="162">
        <v>46191</v>
      </c>
      <c r="H247" s="131">
        <v>1</v>
      </c>
      <c r="I247" s="131">
        <v>1</v>
      </c>
      <c r="J247" s="141" t="s">
        <v>551</v>
      </c>
      <c r="K247" s="141">
        <v>1</v>
      </c>
      <c r="N247" s="141">
        <v>50</v>
      </c>
      <c r="U247" s="126">
        <v>-1</v>
      </c>
      <c r="V247" s="218">
        <v>4.2300000000000004</v>
      </c>
      <c r="W247" s="218">
        <v>3.5</v>
      </c>
      <c r="X247" s="126">
        <v>1</v>
      </c>
      <c r="AA247" s="188">
        <v>46226.767488425925</v>
      </c>
      <c r="AB247" s="131">
        <v>3</v>
      </c>
      <c r="AC247" s="126">
        <v>6</v>
      </c>
      <c r="AD247" s="126">
        <v>2026</v>
      </c>
    </row>
    <row r="248" spans="3:30" ht="23.1" customHeight="1">
      <c r="C248" s="126">
        <v>241</v>
      </c>
      <c r="D248" s="126">
        <v>183</v>
      </c>
      <c r="E248" s="141" t="s">
        <v>766</v>
      </c>
      <c r="F248" s="163" t="s">
        <v>767</v>
      </c>
      <c r="G248" s="162">
        <v>46191</v>
      </c>
      <c r="H248" s="131">
        <v>1</v>
      </c>
      <c r="I248" s="131">
        <v>1</v>
      </c>
      <c r="J248" s="141" t="s">
        <v>551</v>
      </c>
      <c r="K248" s="141">
        <v>1</v>
      </c>
      <c r="N248" s="141">
        <v>50</v>
      </c>
      <c r="U248" s="126">
        <v>-120</v>
      </c>
      <c r="V248" s="218">
        <v>4</v>
      </c>
      <c r="W248" s="218">
        <v>4.25</v>
      </c>
      <c r="X248" s="126">
        <v>1</v>
      </c>
      <c r="AA248" s="188">
        <v>46226.767488425925</v>
      </c>
      <c r="AB248" s="131">
        <v>3</v>
      </c>
      <c r="AC248" s="126">
        <v>6</v>
      </c>
      <c r="AD248" s="126">
        <v>2026</v>
      </c>
    </row>
    <row r="249" spans="3:30" ht="23.1" customHeight="1">
      <c r="C249" s="126">
        <v>242</v>
      </c>
      <c r="D249" s="126">
        <v>181</v>
      </c>
      <c r="E249" s="141" t="s">
        <v>761</v>
      </c>
      <c r="F249" s="163" t="s">
        <v>762</v>
      </c>
      <c r="G249" s="162">
        <v>46191</v>
      </c>
      <c r="H249" s="131">
        <v>1</v>
      </c>
      <c r="I249" s="131">
        <v>1</v>
      </c>
      <c r="J249" s="141" t="s">
        <v>551</v>
      </c>
      <c r="K249" s="141">
        <v>1</v>
      </c>
      <c r="N249" s="141">
        <v>50</v>
      </c>
      <c r="U249" s="126">
        <v>-12</v>
      </c>
      <c r="V249" s="218">
        <v>1</v>
      </c>
      <c r="W249" s="218">
        <v>1.5</v>
      </c>
      <c r="X249" s="126">
        <v>1</v>
      </c>
      <c r="AA249" s="188">
        <v>46226.767488425925</v>
      </c>
      <c r="AB249" s="131">
        <v>3</v>
      </c>
      <c r="AC249" s="126">
        <v>6</v>
      </c>
      <c r="AD249" s="126">
        <v>2026</v>
      </c>
    </row>
    <row r="250" spans="3:30" ht="23.1" customHeight="1">
      <c r="C250" s="126">
        <v>243</v>
      </c>
      <c r="D250" s="126">
        <v>102</v>
      </c>
      <c r="E250" s="141" t="s">
        <v>722</v>
      </c>
      <c r="F250" s="163" t="s">
        <v>723</v>
      </c>
      <c r="G250" s="162">
        <v>46191</v>
      </c>
      <c r="H250" s="131">
        <v>1</v>
      </c>
      <c r="I250" s="131">
        <v>1</v>
      </c>
      <c r="J250" s="141" t="s">
        <v>551</v>
      </c>
      <c r="K250" s="141">
        <v>1</v>
      </c>
      <c r="N250" s="141">
        <v>50</v>
      </c>
      <c r="U250" s="126">
        <v>-1</v>
      </c>
      <c r="V250" s="218">
        <v>4.5</v>
      </c>
      <c r="W250" s="218">
        <v>5</v>
      </c>
      <c r="X250" s="126">
        <v>1</v>
      </c>
      <c r="AA250" s="188">
        <v>46226.767488425925</v>
      </c>
      <c r="AB250" s="131">
        <v>3</v>
      </c>
      <c r="AC250" s="126">
        <v>6</v>
      </c>
      <c r="AD250" s="126">
        <v>2026</v>
      </c>
    </row>
    <row r="251" spans="3:30" ht="23.1" customHeight="1">
      <c r="C251" s="126">
        <v>244</v>
      </c>
      <c r="D251" s="126">
        <v>177</v>
      </c>
      <c r="E251" s="141" t="s">
        <v>752</v>
      </c>
      <c r="F251" s="163" t="s">
        <v>753</v>
      </c>
      <c r="G251" s="162">
        <v>46191</v>
      </c>
      <c r="H251" s="131">
        <v>1</v>
      </c>
      <c r="I251" s="131">
        <v>1</v>
      </c>
      <c r="J251" s="141" t="s">
        <v>551</v>
      </c>
      <c r="K251" s="141">
        <v>1</v>
      </c>
      <c r="N251" s="141">
        <v>51</v>
      </c>
      <c r="U251" s="126">
        <v>-500</v>
      </c>
      <c r="V251" s="218">
        <v>4.1500000000000004</v>
      </c>
      <c r="W251" s="218">
        <v>4.75</v>
      </c>
      <c r="X251" s="126">
        <v>1</v>
      </c>
      <c r="AA251" s="188">
        <v>46226.775509259256</v>
      </c>
      <c r="AB251" s="131">
        <v>3</v>
      </c>
      <c r="AC251" s="126">
        <v>6</v>
      </c>
      <c r="AD251" s="126">
        <v>2026</v>
      </c>
    </row>
    <row r="252" spans="3:30" ht="23.1" customHeight="1">
      <c r="C252" s="126">
        <v>245</v>
      </c>
      <c r="D252" s="126">
        <v>179</v>
      </c>
      <c r="E252" s="141" t="s">
        <v>564</v>
      </c>
      <c r="F252" s="163" t="s">
        <v>565</v>
      </c>
      <c r="G252" s="162">
        <v>46191</v>
      </c>
      <c r="H252" s="131">
        <v>1</v>
      </c>
      <c r="I252" s="131">
        <v>1</v>
      </c>
      <c r="J252" s="141" t="s">
        <v>551</v>
      </c>
      <c r="K252" s="141">
        <v>1</v>
      </c>
      <c r="N252" s="141">
        <v>52</v>
      </c>
      <c r="U252" s="126">
        <v>-300</v>
      </c>
      <c r="V252" s="218">
        <v>4.75</v>
      </c>
      <c r="W252" s="218">
        <v>5</v>
      </c>
      <c r="X252" s="126">
        <v>1</v>
      </c>
      <c r="AA252" s="188">
        <v>46226.782534722224</v>
      </c>
      <c r="AB252" s="131">
        <v>3</v>
      </c>
      <c r="AC252" s="126">
        <v>6</v>
      </c>
      <c r="AD252" s="126">
        <v>2026</v>
      </c>
    </row>
    <row r="253" spans="3:30" ht="23.1" customHeight="1">
      <c r="C253" s="126">
        <v>246</v>
      </c>
      <c r="D253" s="126">
        <v>195</v>
      </c>
      <c r="E253" s="141" t="s">
        <v>608</v>
      </c>
      <c r="F253" s="163" t="s">
        <v>609</v>
      </c>
      <c r="G253" s="162">
        <v>46191</v>
      </c>
      <c r="H253" s="131">
        <v>1</v>
      </c>
      <c r="I253" s="131">
        <v>1</v>
      </c>
      <c r="J253" s="141" t="s">
        <v>551</v>
      </c>
      <c r="K253" s="141">
        <v>1</v>
      </c>
      <c r="N253" s="141">
        <v>52</v>
      </c>
      <c r="U253" s="126">
        <v>-8</v>
      </c>
      <c r="V253" s="218">
        <v>6.28</v>
      </c>
      <c r="W253" s="218">
        <v>6.25</v>
      </c>
      <c r="X253" s="126">
        <v>1</v>
      </c>
      <c r="AA253" s="188">
        <v>46226.782534722224</v>
      </c>
      <c r="AB253" s="131">
        <v>3</v>
      </c>
      <c r="AC253" s="126">
        <v>6</v>
      </c>
      <c r="AD253" s="126">
        <v>2026</v>
      </c>
    </row>
    <row r="254" spans="3:30" ht="23.1" customHeight="1">
      <c r="C254" s="126">
        <v>247</v>
      </c>
      <c r="D254" s="126">
        <v>187</v>
      </c>
      <c r="E254" s="141" t="s">
        <v>576</v>
      </c>
      <c r="F254" s="163" t="s">
        <v>577</v>
      </c>
      <c r="G254" s="162">
        <v>46191</v>
      </c>
      <c r="H254" s="131">
        <v>1</v>
      </c>
      <c r="I254" s="131">
        <v>1</v>
      </c>
      <c r="J254" s="141" t="s">
        <v>551</v>
      </c>
      <c r="K254" s="141">
        <v>1</v>
      </c>
      <c r="N254" s="141">
        <v>52</v>
      </c>
      <c r="U254" s="126">
        <v>-16</v>
      </c>
      <c r="V254" s="218">
        <v>3.37</v>
      </c>
      <c r="W254" s="218">
        <v>3.5</v>
      </c>
      <c r="X254" s="126">
        <v>1</v>
      </c>
      <c r="AA254" s="188">
        <v>46226.782534722224</v>
      </c>
      <c r="AB254" s="131">
        <v>3</v>
      </c>
      <c r="AC254" s="126">
        <v>6</v>
      </c>
      <c r="AD254" s="126">
        <v>2026</v>
      </c>
    </row>
    <row r="255" spans="3:30" ht="23.1" customHeight="1">
      <c r="C255" s="126">
        <v>248</v>
      </c>
      <c r="D255" s="126">
        <v>177</v>
      </c>
      <c r="E255" s="141" t="s">
        <v>752</v>
      </c>
      <c r="F255" s="163" t="s">
        <v>753</v>
      </c>
      <c r="G255" s="162">
        <v>46191</v>
      </c>
      <c r="H255" s="131">
        <v>1</v>
      </c>
      <c r="I255" s="131">
        <v>1</v>
      </c>
      <c r="J255" s="141" t="s">
        <v>551</v>
      </c>
      <c r="K255" s="141">
        <v>1</v>
      </c>
      <c r="N255" s="141">
        <v>52</v>
      </c>
      <c r="U255" s="126">
        <v>-100</v>
      </c>
      <c r="V255" s="218">
        <v>4.1500000000000004</v>
      </c>
      <c r="W255" s="218">
        <v>4.75</v>
      </c>
      <c r="X255" s="126">
        <v>1</v>
      </c>
      <c r="AA255" s="188">
        <v>46226.782534722224</v>
      </c>
      <c r="AB255" s="131">
        <v>3</v>
      </c>
      <c r="AC255" s="126">
        <v>6</v>
      </c>
      <c r="AD255" s="126">
        <v>2026</v>
      </c>
    </row>
    <row r="256" spans="3:30" ht="23.1" customHeight="1">
      <c r="C256" s="126">
        <v>249</v>
      </c>
      <c r="D256" s="126">
        <v>189</v>
      </c>
      <c r="E256" s="141" t="s">
        <v>778</v>
      </c>
      <c r="F256" s="163" t="s">
        <v>779</v>
      </c>
      <c r="G256" s="162">
        <v>46191</v>
      </c>
      <c r="H256" s="131">
        <v>1</v>
      </c>
      <c r="I256" s="131">
        <v>1</v>
      </c>
      <c r="J256" s="141" t="s">
        <v>551</v>
      </c>
      <c r="K256" s="141">
        <v>1</v>
      </c>
      <c r="N256" s="141">
        <v>52</v>
      </c>
      <c r="U256" s="126">
        <v>-12</v>
      </c>
      <c r="V256" s="218">
        <v>4.09</v>
      </c>
      <c r="W256" s="218">
        <v>5</v>
      </c>
      <c r="X256" s="126">
        <v>1</v>
      </c>
      <c r="AA256" s="188">
        <v>46226.782534722224</v>
      </c>
      <c r="AB256" s="131">
        <v>3</v>
      </c>
      <c r="AC256" s="126">
        <v>6</v>
      </c>
      <c r="AD256" s="126">
        <v>2026</v>
      </c>
    </row>
    <row r="257" spans="3:30" ht="23.1" customHeight="1">
      <c r="C257" s="126">
        <v>250</v>
      </c>
      <c r="D257" s="126">
        <v>14</v>
      </c>
      <c r="E257" s="141" t="s">
        <v>696</v>
      </c>
      <c r="F257" s="163" t="s">
        <v>697</v>
      </c>
      <c r="G257" s="162">
        <v>46191</v>
      </c>
      <c r="H257" s="131">
        <v>1</v>
      </c>
      <c r="I257" s="131">
        <v>1</v>
      </c>
      <c r="J257" s="141" t="s">
        <v>551</v>
      </c>
      <c r="K257" s="141">
        <v>1</v>
      </c>
      <c r="N257" s="141">
        <v>52</v>
      </c>
      <c r="U257" s="126">
        <v>-5</v>
      </c>
      <c r="V257" s="218">
        <v>3.3</v>
      </c>
      <c r="W257" s="218">
        <v>4</v>
      </c>
      <c r="X257" s="126">
        <v>1</v>
      </c>
      <c r="AA257" s="188">
        <v>46226.782534722224</v>
      </c>
      <c r="AB257" s="131">
        <v>3</v>
      </c>
      <c r="AC257" s="126">
        <v>6</v>
      </c>
      <c r="AD257" s="126">
        <v>2026</v>
      </c>
    </row>
    <row r="258" spans="3:30" ht="23.1" customHeight="1">
      <c r="C258" s="126">
        <v>251</v>
      </c>
      <c r="D258" s="126">
        <v>183</v>
      </c>
      <c r="E258" s="141" t="s">
        <v>766</v>
      </c>
      <c r="F258" s="163" t="s">
        <v>767</v>
      </c>
      <c r="G258" s="162">
        <v>46192</v>
      </c>
      <c r="H258" s="131">
        <v>1</v>
      </c>
      <c r="I258" s="131">
        <v>1</v>
      </c>
      <c r="J258" s="141" t="s">
        <v>551</v>
      </c>
      <c r="K258" s="141">
        <v>1</v>
      </c>
      <c r="N258" s="141">
        <v>53</v>
      </c>
      <c r="U258" s="126">
        <v>-60</v>
      </c>
      <c r="V258" s="218">
        <v>4</v>
      </c>
      <c r="W258" s="218">
        <v>4.25</v>
      </c>
      <c r="X258" s="126">
        <v>1</v>
      </c>
      <c r="AA258" s="188">
        <v>46226.786620370367</v>
      </c>
      <c r="AB258" s="131">
        <v>3</v>
      </c>
      <c r="AC258" s="126">
        <v>6</v>
      </c>
      <c r="AD258" s="126">
        <v>2026</v>
      </c>
    </row>
    <row r="259" spans="3:30" ht="23.1" customHeight="1">
      <c r="C259" s="126">
        <v>252</v>
      </c>
      <c r="D259" s="126">
        <v>195</v>
      </c>
      <c r="E259" s="141" t="s">
        <v>608</v>
      </c>
      <c r="F259" s="163" t="s">
        <v>609</v>
      </c>
      <c r="G259" s="162">
        <v>46192</v>
      </c>
      <c r="H259" s="131">
        <v>1</v>
      </c>
      <c r="I259" s="131">
        <v>1</v>
      </c>
      <c r="J259" s="141" t="s">
        <v>551</v>
      </c>
      <c r="K259" s="141">
        <v>1</v>
      </c>
      <c r="N259" s="141">
        <v>53</v>
      </c>
      <c r="U259" s="126">
        <v>-4</v>
      </c>
      <c r="V259" s="218">
        <v>6.28</v>
      </c>
      <c r="W259" s="218">
        <v>6</v>
      </c>
      <c r="X259" s="126">
        <v>1</v>
      </c>
      <c r="AA259" s="188">
        <v>46226.786620370367</v>
      </c>
      <c r="AB259" s="131">
        <v>3</v>
      </c>
      <c r="AC259" s="126">
        <v>6</v>
      </c>
      <c r="AD259" s="126">
        <v>2026</v>
      </c>
    </row>
    <row r="260" spans="3:30" ht="23.1" customHeight="1">
      <c r="C260" s="126">
        <v>253</v>
      </c>
      <c r="D260" s="126">
        <v>66</v>
      </c>
      <c r="E260" s="141" t="s">
        <v>1216</v>
      </c>
      <c r="F260" s="163" t="s">
        <v>1217</v>
      </c>
      <c r="G260" s="162">
        <v>46192</v>
      </c>
      <c r="H260" s="131">
        <v>1</v>
      </c>
      <c r="I260" s="131">
        <v>1</v>
      </c>
      <c r="J260" s="141" t="s">
        <v>551</v>
      </c>
      <c r="K260" s="141">
        <v>1</v>
      </c>
      <c r="N260" s="141">
        <v>53</v>
      </c>
      <c r="U260" s="126">
        <v>-1</v>
      </c>
      <c r="V260" s="218">
        <v>0.41</v>
      </c>
      <c r="W260" s="218">
        <v>0.88</v>
      </c>
      <c r="X260" s="126">
        <v>1</v>
      </c>
      <c r="AA260" s="188">
        <v>46226.786620370367</v>
      </c>
      <c r="AB260" s="131">
        <v>3</v>
      </c>
      <c r="AC260" s="126">
        <v>6</v>
      </c>
      <c r="AD260" s="126">
        <v>2026</v>
      </c>
    </row>
    <row r="261" spans="3:30" ht="23.1" customHeight="1">
      <c r="C261" s="126">
        <v>254</v>
      </c>
      <c r="D261" s="126">
        <v>178</v>
      </c>
      <c r="E261" s="141" t="s">
        <v>755</v>
      </c>
      <c r="F261" s="163" t="s">
        <v>756</v>
      </c>
      <c r="G261" s="162">
        <v>46192</v>
      </c>
      <c r="H261" s="131">
        <v>1</v>
      </c>
      <c r="I261" s="131">
        <v>1</v>
      </c>
      <c r="J261" s="141" t="s">
        <v>551</v>
      </c>
      <c r="K261" s="141">
        <v>1</v>
      </c>
      <c r="N261" s="141">
        <v>54</v>
      </c>
      <c r="U261" s="126">
        <v>-150</v>
      </c>
      <c r="V261" s="218">
        <v>4.75</v>
      </c>
      <c r="W261" s="218">
        <v>5</v>
      </c>
      <c r="X261" s="126">
        <v>1</v>
      </c>
      <c r="AA261" s="188">
        <v>46226.787731481483</v>
      </c>
      <c r="AB261" s="131">
        <v>3</v>
      </c>
      <c r="AC261" s="126">
        <v>6</v>
      </c>
      <c r="AD261" s="126">
        <v>2026</v>
      </c>
    </row>
    <row r="262" spans="3:30" ht="23.1" customHeight="1">
      <c r="C262" s="126">
        <v>255</v>
      </c>
      <c r="D262" s="126">
        <v>181</v>
      </c>
      <c r="E262" s="141" t="s">
        <v>761</v>
      </c>
      <c r="F262" s="163" t="s">
        <v>762</v>
      </c>
      <c r="G262" s="162">
        <v>46192</v>
      </c>
      <c r="H262" s="131">
        <v>1</v>
      </c>
      <c r="I262" s="131">
        <v>1</v>
      </c>
      <c r="J262" s="141" t="s">
        <v>551</v>
      </c>
      <c r="K262" s="141">
        <v>1</v>
      </c>
      <c r="N262" s="141">
        <v>54</v>
      </c>
      <c r="U262" s="126">
        <v>-24</v>
      </c>
      <c r="V262" s="218">
        <v>1</v>
      </c>
      <c r="W262" s="218">
        <v>1.5</v>
      </c>
      <c r="X262" s="126">
        <v>1</v>
      </c>
      <c r="AA262" s="188">
        <v>46226.787731481483</v>
      </c>
      <c r="AB262" s="131">
        <v>3</v>
      </c>
      <c r="AC262" s="126">
        <v>6</v>
      </c>
      <c r="AD262" s="126">
        <v>2026</v>
      </c>
    </row>
    <row r="263" spans="3:30" ht="23.1" customHeight="1">
      <c r="C263" s="126">
        <v>256</v>
      </c>
      <c r="D263" s="126">
        <v>176</v>
      </c>
      <c r="E263" s="141" t="s">
        <v>748</v>
      </c>
      <c r="F263" s="163" t="s">
        <v>749</v>
      </c>
      <c r="G263" s="162">
        <v>46192</v>
      </c>
      <c r="H263" s="131">
        <v>1</v>
      </c>
      <c r="I263" s="131">
        <v>1</v>
      </c>
      <c r="J263" s="141" t="s">
        <v>551</v>
      </c>
      <c r="K263" s="141">
        <v>1</v>
      </c>
      <c r="N263" s="141">
        <v>55</v>
      </c>
      <c r="U263" s="126">
        <v>-1000</v>
      </c>
      <c r="V263" s="218">
        <v>85</v>
      </c>
      <c r="W263" s="218">
        <v>90</v>
      </c>
      <c r="X263" s="126">
        <v>1</v>
      </c>
      <c r="AA263" s="188">
        <v>46226.809293981481</v>
      </c>
      <c r="AB263" s="131">
        <v>3</v>
      </c>
      <c r="AC263" s="126">
        <v>6</v>
      </c>
      <c r="AD263" s="126">
        <v>2026</v>
      </c>
    </row>
    <row r="264" spans="3:30" ht="23.1" customHeight="1">
      <c r="C264" s="126">
        <v>257</v>
      </c>
      <c r="D264" s="126">
        <v>4</v>
      </c>
      <c r="E264" s="141" t="s">
        <v>581</v>
      </c>
      <c r="F264" s="163" t="s">
        <v>582</v>
      </c>
      <c r="G264" s="162">
        <v>46192</v>
      </c>
      <c r="H264" s="131">
        <v>1</v>
      </c>
      <c r="I264" s="131">
        <v>1</v>
      </c>
      <c r="J264" s="141" t="s">
        <v>551</v>
      </c>
      <c r="K264" s="141">
        <v>1</v>
      </c>
      <c r="N264" s="141">
        <v>55</v>
      </c>
      <c r="U264" s="126">
        <v>-2</v>
      </c>
      <c r="V264" s="218">
        <v>5.8</v>
      </c>
      <c r="W264" s="218">
        <v>5</v>
      </c>
      <c r="X264" s="126">
        <v>1</v>
      </c>
      <c r="AA264" s="188">
        <v>46226.809293981481</v>
      </c>
      <c r="AB264" s="131">
        <v>3</v>
      </c>
      <c r="AC264" s="126">
        <v>6</v>
      </c>
      <c r="AD264" s="126">
        <v>2026</v>
      </c>
    </row>
    <row r="265" spans="3:30" ht="23.1" customHeight="1">
      <c r="C265" s="126">
        <v>258</v>
      </c>
      <c r="D265" s="126">
        <v>34</v>
      </c>
      <c r="E265" s="141" t="s">
        <v>1193</v>
      </c>
      <c r="F265" s="163" t="s">
        <v>1194</v>
      </c>
      <c r="G265" s="162">
        <v>46192</v>
      </c>
      <c r="H265" s="131">
        <v>1</v>
      </c>
      <c r="I265" s="131">
        <v>1</v>
      </c>
      <c r="J265" s="141" t="s">
        <v>551</v>
      </c>
      <c r="K265" s="141">
        <v>1</v>
      </c>
      <c r="N265" s="141">
        <v>55</v>
      </c>
      <c r="U265" s="126">
        <v>-2</v>
      </c>
      <c r="V265" s="218">
        <v>0.5</v>
      </c>
      <c r="W265" s="218">
        <v>1.75</v>
      </c>
      <c r="X265" s="126">
        <v>1</v>
      </c>
      <c r="AA265" s="188">
        <v>46226.809293981481</v>
      </c>
      <c r="AB265" s="131">
        <v>3</v>
      </c>
      <c r="AC265" s="126">
        <v>6</v>
      </c>
      <c r="AD265" s="126">
        <v>2026</v>
      </c>
    </row>
    <row r="266" spans="3:30" ht="23.1" customHeight="1">
      <c r="C266" s="126">
        <v>259</v>
      </c>
      <c r="D266" s="126">
        <v>178</v>
      </c>
      <c r="E266" s="141" t="s">
        <v>755</v>
      </c>
      <c r="F266" s="163" t="s">
        <v>756</v>
      </c>
      <c r="G266" s="162">
        <v>46193</v>
      </c>
      <c r="H266" s="131">
        <v>1</v>
      </c>
      <c r="I266" s="131">
        <v>1</v>
      </c>
      <c r="J266" s="141" t="s">
        <v>551</v>
      </c>
      <c r="K266" s="141">
        <v>1</v>
      </c>
      <c r="N266" s="141">
        <v>56</v>
      </c>
      <c r="U266" s="126">
        <v>-600</v>
      </c>
      <c r="V266" s="218">
        <v>4.75</v>
      </c>
      <c r="W266" s="218">
        <v>5</v>
      </c>
      <c r="X266" s="126">
        <v>1</v>
      </c>
      <c r="AA266" s="188">
        <v>46226.811782407407</v>
      </c>
      <c r="AB266" s="131">
        <v>3</v>
      </c>
      <c r="AC266" s="126">
        <v>6</v>
      </c>
      <c r="AD266" s="126">
        <v>2026</v>
      </c>
    </row>
    <row r="267" spans="3:30" ht="23.1" customHeight="1">
      <c r="C267" s="126">
        <v>260</v>
      </c>
      <c r="D267" s="126">
        <v>197</v>
      </c>
      <c r="E267" s="141" t="s">
        <v>652</v>
      </c>
      <c r="F267" s="163" t="s">
        <v>653</v>
      </c>
      <c r="G267" s="162">
        <v>46193</v>
      </c>
      <c r="H267" s="131">
        <v>1</v>
      </c>
      <c r="I267" s="131">
        <v>1</v>
      </c>
      <c r="J267" s="141" t="s">
        <v>551</v>
      </c>
      <c r="K267" s="141">
        <v>1</v>
      </c>
      <c r="N267" s="141">
        <v>57</v>
      </c>
      <c r="U267" s="126">
        <v>-12</v>
      </c>
      <c r="V267" s="218">
        <v>8.36</v>
      </c>
      <c r="W267" s="218">
        <v>9</v>
      </c>
      <c r="X267" s="126">
        <v>1</v>
      </c>
      <c r="AA267" s="188">
        <v>46226.869756944441</v>
      </c>
      <c r="AB267" s="131">
        <v>3</v>
      </c>
      <c r="AC267" s="126">
        <v>6</v>
      </c>
      <c r="AD267" s="126">
        <v>2026</v>
      </c>
    </row>
    <row r="268" spans="3:30" ht="23.1" customHeight="1">
      <c r="C268" s="126">
        <v>261</v>
      </c>
      <c r="D268" s="126">
        <v>189</v>
      </c>
      <c r="E268" s="141" t="s">
        <v>778</v>
      </c>
      <c r="F268" s="163" t="s">
        <v>779</v>
      </c>
      <c r="G268" s="162">
        <v>46193</v>
      </c>
      <c r="H268" s="131">
        <v>1</v>
      </c>
      <c r="I268" s="131">
        <v>1</v>
      </c>
      <c r="J268" s="141" t="s">
        <v>551</v>
      </c>
      <c r="K268" s="141">
        <v>1</v>
      </c>
      <c r="N268" s="141">
        <v>57</v>
      </c>
      <c r="U268" s="126">
        <v>-24</v>
      </c>
      <c r="V268" s="218">
        <v>4.09</v>
      </c>
      <c r="W268" s="218">
        <v>4.5</v>
      </c>
      <c r="X268" s="126">
        <v>1</v>
      </c>
      <c r="AA268" s="188">
        <v>46226.869756944441</v>
      </c>
      <c r="AB268" s="131">
        <v>3</v>
      </c>
      <c r="AC268" s="126">
        <v>6</v>
      </c>
      <c r="AD268" s="126">
        <v>2026</v>
      </c>
    </row>
    <row r="269" spans="3:30" ht="23.1" customHeight="1">
      <c r="C269" s="126">
        <v>262</v>
      </c>
      <c r="D269" s="126">
        <v>16</v>
      </c>
      <c r="E269" s="141" t="s">
        <v>699</v>
      </c>
      <c r="F269" s="163" t="s">
        <v>700</v>
      </c>
      <c r="G269" s="162">
        <v>46193</v>
      </c>
      <c r="H269" s="131">
        <v>1</v>
      </c>
      <c r="I269" s="131">
        <v>1</v>
      </c>
      <c r="J269" s="141" t="s">
        <v>551</v>
      </c>
      <c r="K269" s="141">
        <v>1</v>
      </c>
      <c r="N269" s="141">
        <v>57</v>
      </c>
      <c r="U269" s="126">
        <v>-2</v>
      </c>
      <c r="V269" s="218">
        <v>2.1</v>
      </c>
      <c r="W269" s="218">
        <v>2.75</v>
      </c>
      <c r="X269" s="126">
        <v>1</v>
      </c>
      <c r="AA269" s="188">
        <v>46226.869756944441</v>
      </c>
      <c r="AB269" s="131">
        <v>3</v>
      </c>
      <c r="AC269" s="126">
        <v>6</v>
      </c>
      <c r="AD269" s="126">
        <v>2026</v>
      </c>
    </row>
    <row r="270" spans="3:30" ht="23.1" customHeight="1">
      <c r="C270" s="126">
        <v>263</v>
      </c>
      <c r="D270" s="126">
        <v>99</v>
      </c>
      <c r="E270" s="141" t="s">
        <v>883</v>
      </c>
      <c r="F270" s="163" t="s">
        <v>884</v>
      </c>
      <c r="G270" s="162">
        <v>46193</v>
      </c>
      <c r="H270" s="131">
        <v>1</v>
      </c>
      <c r="I270" s="131">
        <v>1</v>
      </c>
      <c r="J270" s="141" t="s">
        <v>551</v>
      </c>
      <c r="K270" s="141">
        <v>1</v>
      </c>
      <c r="N270" s="141">
        <v>57</v>
      </c>
      <c r="U270" s="126">
        <v>-4</v>
      </c>
      <c r="V270" s="218">
        <v>0.24</v>
      </c>
      <c r="W270" s="218">
        <v>0.5</v>
      </c>
      <c r="X270" s="126">
        <v>1</v>
      </c>
      <c r="AA270" s="188">
        <v>46226.869756944441</v>
      </c>
      <c r="AB270" s="131">
        <v>3</v>
      </c>
      <c r="AC270" s="126">
        <v>6</v>
      </c>
      <c r="AD270" s="126">
        <v>2026</v>
      </c>
    </row>
    <row r="271" spans="3:30" ht="23.1" customHeight="1">
      <c r="C271" s="126">
        <v>264</v>
      </c>
      <c r="D271" s="126">
        <v>8</v>
      </c>
      <c r="E271" s="141" t="s">
        <v>1125</v>
      </c>
      <c r="F271" s="163" t="s">
        <v>1126</v>
      </c>
      <c r="G271" s="162">
        <v>46193</v>
      </c>
      <c r="H271" s="131">
        <v>1</v>
      </c>
      <c r="I271" s="131">
        <v>1</v>
      </c>
      <c r="J271" s="141" t="s">
        <v>551</v>
      </c>
      <c r="K271" s="141">
        <v>1</v>
      </c>
      <c r="N271" s="141">
        <v>57</v>
      </c>
      <c r="U271" s="126">
        <v>-1</v>
      </c>
      <c r="V271" s="218">
        <v>1.32</v>
      </c>
      <c r="W271" s="218">
        <v>1.75</v>
      </c>
      <c r="X271" s="126">
        <v>1</v>
      </c>
      <c r="AA271" s="188">
        <v>46226.869756944441</v>
      </c>
      <c r="AB271" s="131">
        <v>3</v>
      </c>
      <c r="AC271" s="126">
        <v>6</v>
      </c>
      <c r="AD271" s="126">
        <v>2026</v>
      </c>
    </row>
    <row r="272" spans="3:30" ht="23.1" customHeight="1">
      <c r="C272" s="126">
        <v>265</v>
      </c>
      <c r="D272" s="126">
        <v>142</v>
      </c>
      <c r="E272" s="141" t="s">
        <v>798</v>
      </c>
      <c r="F272" s="163" t="s">
        <v>799</v>
      </c>
      <c r="G272" s="162">
        <v>46193</v>
      </c>
      <c r="H272" s="131">
        <v>1</v>
      </c>
      <c r="I272" s="131">
        <v>1</v>
      </c>
      <c r="J272" s="141" t="s">
        <v>551</v>
      </c>
      <c r="K272" s="141">
        <v>1</v>
      </c>
      <c r="N272" s="141">
        <v>57</v>
      </c>
      <c r="U272" s="126">
        <v>-1</v>
      </c>
      <c r="V272" s="218">
        <v>0.34</v>
      </c>
      <c r="W272" s="218">
        <v>0.75</v>
      </c>
      <c r="X272" s="126">
        <v>1</v>
      </c>
      <c r="AA272" s="188">
        <v>46226.869756944441</v>
      </c>
      <c r="AB272" s="131">
        <v>3</v>
      </c>
      <c r="AC272" s="126">
        <v>6</v>
      </c>
      <c r="AD272" s="126">
        <v>2026</v>
      </c>
    </row>
    <row r="273" spans="3:30" ht="23.1" customHeight="1">
      <c r="C273" s="126">
        <v>266</v>
      </c>
      <c r="D273" s="126">
        <v>177</v>
      </c>
      <c r="E273" s="141" t="s">
        <v>752</v>
      </c>
      <c r="F273" s="163" t="s">
        <v>753</v>
      </c>
      <c r="G273" s="162">
        <v>46193</v>
      </c>
      <c r="H273" s="131">
        <v>1</v>
      </c>
      <c r="I273" s="131">
        <v>1</v>
      </c>
      <c r="J273" s="141" t="s">
        <v>551</v>
      </c>
      <c r="K273" s="141">
        <v>1</v>
      </c>
      <c r="N273" s="141">
        <v>58</v>
      </c>
      <c r="U273" s="126">
        <v>-500</v>
      </c>
      <c r="V273" s="218">
        <v>4.1500000000000004</v>
      </c>
      <c r="W273" s="218">
        <v>4.5</v>
      </c>
      <c r="X273" s="126">
        <v>1</v>
      </c>
      <c r="AA273" s="188">
        <v>46226.870567129627</v>
      </c>
      <c r="AB273" s="131">
        <v>3</v>
      </c>
      <c r="AC273" s="126">
        <v>6</v>
      </c>
      <c r="AD273" s="126">
        <v>2026</v>
      </c>
    </row>
    <row r="274" spans="3:30" ht="23.1" customHeight="1">
      <c r="C274" s="126">
        <v>267</v>
      </c>
      <c r="D274" s="126">
        <v>187</v>
      </c>
      <c r="E274" s="141" t="s">
        <v>576</v>
      </c>
      <c r="F274" s="163" t="s">
        <v>577</v>
      </c>
      <c r="G274" s="162">
        <v>46194</v>
      </c>
      <c r="H274" s="131">
        <v>1</v>
      </c>
      <c r="I274" s="131">
        <v>1</v>
      </c>
      <c r="J274" s="141" t="s">
        <v>551</v>
      </c>
      <c r="K274" s="141">
        <v>1</v>
      </c>
      <c r="N274" s="141">
        <v>59</v>
      </c>
      <c r="U274" s="126">
        <v>-32</v>
      </c>
      <c r="V274" s="218">
        <v>3.37</v>
      </c>
      <c r="W274" s="218">
        <v>3.5</v>
      </c>
      <c r="X274" s="126">
        <v>1</v>
      </c>
      <c r="AA274" s="188">
        <v>46226.878495370373</v>
      </c>
      <c r="AB274" s="131">
        <v>3</v>
      </c>
      <c r="AC274" s="126">
        <v>6</v>
      </c>
      <c r="AD274" s="126">
        <v>2026</v>
      </c>
    </row>
    <row r="275" spans="3:30" ht="23.1" customHeight="1">
      <c r="C275" s="126">
        <v>268</v>
      </c>
      <c r="D275" s="126">
        <v>191</v>
      </c>
      <c r="E275" s="141" t="s">
        <v>781</v>
      </c>
      <c r="F275" s="163" t="s">
        <v>782</v>
      </c>
      <c r="G275" s="162">
        <v>46194</v>
      </c>
      <c r="H275" s="131">
        <v>1</v>
      </c>
      <c r="I275" s="131">
        <v>1</v>
      </c>
      <c r="J275" s="141" t="s">
        <v>551</v>
      </c>
      <c r="K275" s="141">
        <v>1</v>
      </c>
      <c r="N275" s="141">
        <v>59</v>
      </c>
      <c r="U275" s="126">
        <v>-16</v>
      </c>
      <c r="V275" s="218">
        <v>4.92</v>
      </c>
      <c r="W275" s="218">
        <v>5.7</v>
      </c>
      <c r="X275" s="126">
        <v>1</v>
      </c>
      <c r="AA275" s="188">
        <v>46226.878495370373</v>
      </c>
      <c r="AB275" s="131">
        <v>3</v>
      </c>
      <c r="AC275" s="126">
        <v>6</v>
      </c>
      <c r="AD275" s="126">
        <v>2026</v>
      </c>
    </row>
    <row r="276" spans="3:30" ht="23.1" customHeight="1">
      <c r="C276" s="126">
        <v>269</v>
      </c>
      <c r="D276" s="126">
        <v>189</v>
      </c>
      <c r="E276" s="141" t="s">
        <v>778</v>
      </c>
      <c r="F276" s="163" t="s">
        <v>779</v>
      </c>
      <c r="G276" s="162">
        <v>46194</v>
      </c>
      <c r="H276" s="131">
        <v>1</v>
      </c>
      <c r="I276" s="131">
        <v>1</v>
      </c>
      <c r="J276" s="141" t="s">
        <v>551</v>
      </c>
      <c r="K276" s="141">
        <v>1</v>
      </c>
      <c r="N276" s="141">
        <v>60</v>
      </c>
      <c r="U276" s="126">
        <v>-20</v>
      </c>
      <c r="V276" s="218">
        <v>4.09</v>
      </c>
      <c r="W276" s="218">
        <v>4.5</v>
      </c>
      <c r="X276" s="126">
        <v>1</v>
      </c>
      <c r="AA276" s="188">
        <v>46226.879999999997</v>
      </c>
      <c r="AB276" s="131">
        <v>3</v>
      </c>
      <c r="AC276" s="126">
        <v>6</v>
      </c>
      <c r="AD276" s="126">
        <v>2026</v>
      </c>
    </row>
    <row r="277" spans="3:30" ht="23.1" customHeight="1">
      <c r="C277" s="126">
        <v>270</v>
      </c>
      <c r="D277" s="126">
        <v>197</v>
      </c>
      <c r="E277" s="141" t="s">
        <v>652</v>
      </c>
      <c r="F277" s="163" t="s">
        <v>653</v>
      </c>
      <c r="G277" s="162">
        <v>46194</v>
      </c>
      <c r="H277" s="131">
        <v>1</v>
      </c>
      <c r="I277" s="131">
        <v>1</v>
      </c>
      <c r="J277" s="141" t="s">
        <v>551</v>
      </c>
      <c r="K277" s="141">
        <v>1</v>
      </c>
      <c r="N277" s="141">
        <v>60</v>
      </c>
      <c r="U277" s="126">
        <v>-8</v>
      </c>
      <c r="V277" s="218">
        <v>8.36</v>
      </c>
      <c r="W277" s="218">
        <v>8.25</v>
      </c>
      <c r="X277" s="126">
        <v>1</v>
      </c>
      <c r="AA277" s="188">
        <v>46226.879999999997</v>
      </c>
      <c r="AB277" s="131">
        <v>3</v>
      </c>
      <c r="AC277" s="126">
        <v>6</v>
      </c>
      <c r="AD277" s="126">
        <v>2026</v>
      </c>
    </row>
    <row r="278" spans="3:30" ht="23.1" customHeight="1">
      <c r="C278" s="126">
        <v>271</v>
      </c>
      <c r="D278" s="126">
        <v>160</v>
      </c>
      <c r="E278" s="141" t="s">
        <v>738</v>
      </c>
      <c r="F278" s="163" t="s">
        <v>739</v>
      </c>
      <c r="G278" s="162">
        <v>46194</v>
      </c>
      <c r="H278" s="131">
        <v>1</v>
      </c>
      <c r="I278" s="131">
        <v>1</v>
      </c>
      <c r="J278" s="141" t="s">
        <v>551</v>
      </c>
      <c r="K278" s="141">
        <v>1</v>
      </c>
      <c r="N278" s="141">
        <v>61</v>
      </c>
      <c r="U278" s="126">
        <v>-4</v>
      </c>
      <c r="V278" s="218">
        <v>47</v>
      </c>
      <c r="W278" s="218">
        <v>50</v>
      </c>
      <c r="X278" s="126">
        <v>1</v>
      </c>
      <c r="AA278" s="188">
        <v>46226.885972222219</v>
      </c>
      <c r="AB278" s="131">
        <v>3</v>
      </c>
      <c r="AC278" s="126">
        <v>6</v>
      </c>
      <c r="AD278" s="126">
        <v>2026</v>
      </c>
    </row>
    <row r="279" spans="3:30" ht="23.1" customHeight="1">
      <c r="C279" s="126">
        <v>272</v>
      </c>
      <c r="D279" s="126">
        <v>170</v>
      </c>
      <c r="E279" s="141" t="s">
        <v>1647</v>
      </c>
      <c r="F279" s="163" t="s">
        <v>1648</v>
      </c>
      <c r="G279" s="162">
        <v>46194</v>
      </c>
      <c r="H279" s="131">
        <v>1</v>
      </c>
      <c r="I279" s="131">
        <v>1</v>
      </c>
      <c r="J279" s="141" t="s">
        <v>551</v>
      </c>
      <c r="K279" s="141">
        <v>1</v>
      </c>
      <c r="N279" s="141">
        <v>61</v>
      </c>
      <c r="U279" s="126">
        <v>-10</v>
      </c>
      <c r="V279" s="218">
        <v>0.4</v>
      </c>
      <c r="W279" s="218">
        <v>0.15</v>
      </c>
      <c r="X279" s="126">
        <v>1</v>
      </c>
      <c r="AA279" s="188">
        <v>46226.885972222219</v>
      </c>
      <c r="AB279" s="131">
        <v>3</v>
      </c>
      <c r="AC279" s="126">
        <v>6</v>
      </c>
      <c r="AD279" s="126">
        <v>2026</v>
      </c>
    </row>
    <row r="280" spans="3:30" ht="23.1" customHeight="1">
      <c r="C280" s="126">
        <v>273</v>
      </c>
      <c r="D280" s="126">
        <v>176</v>
      </c>
      <c r="E280" s="141" t="s">
        <v>748</v>
      </c>
      <c r="F280" s="163" t="s">
        <v>749</v>
      </c>
      <c r="G280" s="162">
        <v>46195</v>
      </c>
      <c r="H280" s="131">
        <v>1</v>
      </c>
      <c r="I280" s="131">
        <v>1</v>
      </c>
      <c r="J280" s="141" t="s">
        <v>551</v>
      </c>
      <c r="K280" s="141">
        <v>1</v>
      </c>
      <c r="N280" s="141">
        <v>62</v>
      </c>
      <c r="U280" s="126">
        <v>-500</v>
      </c>
      <c r="V280" s="218">
        <v>4.25</v>
      </c>
      <c r="W280" s="218">
        <v>4.75</v>
      </c>
      <c r="X280" s="126">
        <v>1</v>
      </c>
      <c r="AA280" s="188">
        <v>46226.899259259262</v>
      </c>
      <c r="AB280" s="131">
        <v>4</v>
      </c>
      <c r="AC280" s="126">
        <v>6</v>
      </c>
      <c r="AD280" s="126">
        <v>2026</v>
      </c>
    </row>
    <row r="281" spans="3:30" ht="23.1" customHeight="1">
      <c r="C281" s="126">
        <v>274</v>
      </c>
      <c r="D281" s="126">
        <v>177</v>
      </c>
      <c r="E281" s="141" t="s">
        <v>752</v>
      </c>
      <c r="F281" s="163" t="s">
        <v>753</v>
      </c>
      <c r="G281" s="162">
        <v>46195</v>
      </c>
      <c r="H281" s="131">
        <v>1</v>
      </c>
      <c r="I281" s="131">
        <v>1</v>
      </c>
      <c r="J281" s="141" t="s">
        <v>551</v>
      </c>
      <c r="K281" s="141">
        <v>1</v>
      </c>
      <c r="N281" s="141">
        <v>62</v>
      </c>
      <c r="U281" s="126">
        <v>-250</v>
      </c>
      <c r="V281" s="218">
        <v>4.1500000000000004</v>
      </c>
      <c r="W281" s="218">
        <v>4.75</v>
      </c>
      <c r="X281" s="126">
        <v>1</v>
      </c>
      <c r="AA281" s="188">
        <v>46226.899259259262</v>
      </c>
      <c r="AB281" s="131">
        <v>4</v>
      </c>
      <c r="AC281" s="126">
        <v>6</v>
      </c>
      <c r="AD281" s="126">
        <v>2026</v>
      </c>
    </row>
    <row r="282" spans="3:30" ht="23.1" customHeight="1">
      <c r="C282" s="126">
        <v>275</v>
      </c>
      <c r="D282" s="126">
        <v>195</v>
      </c>
      <c r="E282" s="141" t="s">
        <v>608</v>
      </c>
      <c r="F282" s="163" t="s">
        <v>609</v>
      </c>
      <c r="G282" s="162">
        <v>46195</v>
      </c>
      <c r="H282" s="131">
        <v>1</v>
      </c>
      <c r="I282" s="131">
        <v>1</v>
      </c>
      <c r="J282" s="141" t="s">
        <v>551</v>
      </c>
      <c r="K282" s="141">
        <v>1</v>
      </c>
      <c r="N282" s="141">
        <v>63</v>
      </c>
      <c r="U282" s="126">
        <v>-12</v>
      </c>
      <c r="V282" s="218">
        <v>6.28</v>
      </c>
      <c r="W282" s="218">
        <v>7</v>
      </c>
      <c r="X282" s="126">
        <v>1</v>
      </c>
      <c r="AA282" s="188">
        <v>46226.902592592596</v>
      </c>
      <c r="AB282" s="131">
        <v>4</v>
      </c>
      <c r="AC282" s="126">
        <v>6</v>
      </c>
      <c r="AD282" s="126">
        <v>2026</v>
      </c>
    </row>
    <row r="283" spans="3:30" ht="23.1" customHeight="1">
      <c r="C283" s="126">
        <v>276</v>
      </c>
      <c r="D283" s="126">
        <v>177</v>
      </c>
      <c r="E283" s="141" t="s">
        <v>752</v>
      </c>
      <c r="F283" s="163" t="s">
        <v>753</v>
      </c>
      <c r="G283" s="162">
        <v>46195</v>
      </c>
      <c r="H283" s="131">
        <v>1</v>
      </c>
      <c r="I283" s="131">
        <v>1</v>
      </c>
      <c r="J283" s="141" t="s">
        <v>551</v>
      </c>
      <c r="K283" s="141">
        <v>1</v>
      </c>
      <c r="N283" s="141">
        <v>63</v>
      </c>
      <c r="U283" s="126">
        <v>-150</v>
      </c>
      <c r="V283" s="218">
        <v>4.1500000000000004</v>
      </c>
      <c r="W283" s="218">
        <v>4.75</v>
      </c>
      <c r="X283" s="126">
        <v>1</v>
      </c>
      <c r="AA283" s="188">
        <v>46226.902592592596</v>
      </c>
      <c r="AB283" s="131">
        <v>4</v>
      </c>
      <c r="AC283" s="126">
        <v>6</v>
      </c>
      <c r="AD283" s="126">
        <v>2026</v>
      </c>
    </row>
    <row r="284" spans="3:30" ht="23.1" customHeight="1">
      <c r="C284" s="126">
        <v>277</v>
      </c>
      <c r="D284" s="126">
        <v>177</v>
      </c>
      <c r="E284" s="141" t="s">
        <v>752</v>
      </c>
      <c r="F284" s="163" t="s">
        <v>753</v>
      </c>
      <c r="G284" s="162">
        <v>46195</v>
      </c>
      <c r="H284" s="131">
        <v>1</v>
      </c>
      <c r="I284" s="131">
        <v>1</v>
      </c>
      <c r="J284" s="141" t="s">
        <v>551</v>
      </c>
      <c r="K284" s="141">
        <v>1</v>
      </c>
      <c r="N284" s="141">
        <v>64</v>
      </c>
      <c r="U284" s="126">
        <v>-250</v>
      </c>
      <c r="V284" s="218">
        <v>4.1500000000000004</v>
      </c>
      <c r="W284" s="218">
        <v>4.75</v>
      </c>
      <c r="X284" s="126">
        <v>1</v>
      </c>
      <c r="AA284" s="188">
        <v>46226.922083333331</v>
      </c>
      <c r="AB284" s="131">
        <v>4</v>
      </c>
      <c r="AC284" s="126">
        <v>6</v>
      </c>
      <c r="AD284" s="126">
        <v>2026</v>
      </c>
    </row>
    <row r="285" spans="3:30" ht="23.1" customHeight="1">
      <c r="C285" s="126">
        <v>278</v>
      </c>
      <c r="D285" s="126">
        <v>14</v>
      </c>
      <c r="E285" s="141" t="s">
        <v>696</v>
      </c>
      <c r="F285" s="163" t="s">
        <v>697</v>
      </c>
      <c r="G285" s="162">
        <v>46195</v>
      </c>
      <c r="H285" s="131">
        <v>1</v>
      </c>
      <c r="I285" s="131">
        <v>1</v>
      </c>
      <c r="J285" s="141" t="s">
        <v>551</v>
      </c>
      <c r="K285" s="141">
        <v>1</v>
      </c>
      <c r="N285" s="141">
        <v>64</v>
      </c>
      <c r="U285" s="126">
        <v>-2</v>
      </c>
      <c r="V285" s="218">
        <v>3.3</v>
      </c>
      <c r="W285" s="218">
        <v>3.75</v>
      </c>
      <c r="X285" s="126">
        <v>1</v>
      </c>
      <c r="AA285" s="188">
        <v>46226.922083333331</v>
      </c>
      <c r="AB285" s="131">
        <v>4</v>
      </c>
      <c r="AC285" s="126">
        <v>6</v>
      </c>
      <c r="AD285" s="126">
        <v>2026</v>
      </c>
    </row>
    <row r="286" spans="3:30" ht="23.1" customHeight="1">
      <c r="C286" s="126">
        <v>279</v>
      </c>
      <c r="D286" s="126">
        <v>102</v>
      </c>
      <c r="E286" s="141" t="s">
        <v>722</v>
      </c>
      <c r="F286" s="163" t="s">
        <v>723</v>
      </c>
      <c r="G286" s="162">
        <v>46195</v>
      </c>
      <c r="H286" s="131">
        <v>1</v>
      </c>
      <c r="I286" s="131">
        <v>1</v>
      </c>
      <c r="J286" s="141" t="s">
        <v>551</v>
      </c>
      <c r="K286" s="141">
        <v>1</v>
      </c>
      <c r="N286" s="141">
        <v>64</v>
      </c>
      <c r="U286" s="126">
        <v>-2</v>
      </c>
      <c r="V286" s="218">
        <v>4.5</v>
      </c>
      <c r="W286" s="218">
        <v>5</v>
      </c>
      <c r="X286" s="126">
        <v>1</v>
      </c>
      <c r="AA286" s="188">
        <v>46226.922083333331</v>
      </c>
      <c r="AB286" s="131">
        <v>4</v>
      </c>
      <c r="AC286" s="126">
        <v>6</v>
      </c>
      <c r="AD286" s="126">
        <v>2026</v>
      </c>
    </row>
    <row r="287" spans="3:30" ht="23.1" customHeight="1">
      <c r="C287" s="126">
        <v>280</v>
      </c>
      <c r="D287" s="126">
        <v>18</v>
      </c>
      <c r="E287" s="141" t="s">
        <v>703</v>
      </c>
      <c r="F287" s="163" t="s">
        <v>704</v>
      </c>
      <c r="G287" s="162">
        <v>46195</v>
      </c>
      <c r="H287" s="131">
        <v>1</v>
      </c>
      <c r="I287" s="131">
        <v>1</v>
      </c>
      <c r="J287" s="141" t="s">
        <v>551</v>
      </c>
      <c r="K287" s="141">
        <v>1</v>
      </c>
      <c r="N287" s="141">
        <v>64</v>
      </c>
      <c r="U287" s="126">
        <v>-5</v>
      </c>
      <c r="V287" s="218">
        <v>1.35</v>
      </c>
      <c r="W287" s="218">
        <v>2</v>
      </c>
      <c r="X287" s="126">
        <v>1</v>
      </c>
      <c r="AA287" s="188">
        <v>46226.922083333331</v>
      </c>
      <c r="AB287" s="131">
        <v>4</v>
      </c>
      <c r="AC287" s="126">
        <v>6</v>
      </c>
      <c r="AD287" s="126">
        <v>2026</v>
      </c>
    </row>
    <row r="288" spans="3:30" ht="23.1" customHeight="1">
      <c r="C288" s="126">
        <v>281</v>
      </c>
      <c r="D288" s="126">
        <v>176</v>
      </c>
      <c r="E288" s="141" t="s">
        <v>748</v>
      </c>
      <c r="F288" s="163" t="s">
        <v>749</v>
      </c>
      <c r="G288" s="162">
        <v>46195</v>
      </c>
      <c r="H288" s="131">
        <v>1</v>
      </c>
      <c r="I288" s="131">
        <v>1</v>
      </c>
      <c r="J288" s="141" t="s">
        <v>551</v>
      </c>
      <c r="K288" s="141">
        <v>1</v>
      </c>
      <c r="N288" s="141">
        <v>65</v>
      </c>
      <c r="U288" s="126">
        <v>-500</v>
      </c>
      <c r="V288" s="218">
        <v>4.25</v>
      </c>
      <c r="W288" s="218">
        <v>4.5</v>
      </c>
      <c r="X288" s="126">
        <v>1</v>
      </c>
      <c r="AA288" s="188">
        <v>46226.923055555555</v>
      </c>
      <c r="AB288" s="131">
        <v>4</v>
      </c>
      <c r="AC288" s="126">
        <v>6</v>
      </c>
      <c r="AD288" s="126">
        <v>2026</v>
      </c>
    </row>
    <row r="289" spans="3:30" ht="23.1" customHeight="1">
      <c r="C289" s="126">
        <v>282</v>
      </c>
      <c r="D289" s="126">
        <v>29</v>
      </c>
      <c r="E289" s="141" t="s">
        <v>1523</v>
      </c>
      <c r="F289" s="163" t="s">
        <v>1524</v>
      </c>
      <c r="G289" s="162">
        <v>46195</v>
      </c>
      <c r="H289" s="131">
        <v>1</v>
      </c>
      <c r="I289" s="131">
        <v>1</v>
      </c>
      <c r="J289" s="141" t="s">
        <v>551</v>
      </c>
      <c r="K289" s="141">
        <v>1</v>
      </c>
      <c r="N289" s="141">
        <v>66</v>
      </c>
      <c r="U289" s="126">
        <v>-3</v>
      </c>
      <c r="V289" s="218">
        <v>4.2300000000000004</v>
      </c>
      <c r="W289" s="218">
        <v>5</v>
      </c>
      <c r="X289" s="126">
        <v>1</v>
      </c>
      <c r="AA289" s="188">
        <v>46226.932488425926</v>
      </c>
      <c r="AB289" s="131">
        <v>4</v>
      </c>
      <c r="AC289" s="126">
        <v>6</v>
      </c>
      <c r="AD289" s="126">
        <v>2026</v>
      </c>
    </row>
    <row r="290" spans="3:30" ht="23.1" customHeight="1">
      <c r="C290" s="126">
        <v>283</v>
      </c>
      <c r="D290" s="126">
        <v>63</v>
      </c>
      <c r="E290" s="141" t="s">
        <v>1037</v>
      </c>
      <c r="F290" s="163" t="s">
        <v>1038</v>
      </c>
      <c r="G290" s="162">
        <v>46195</v>
      </c>
      <c r="H290" s="131">
        <v>1</v>
      </c>
      <c r="I290" s="131">
        <v>1</v>
      </c>
      <c r="J290" s="141" t="s">
        <v>551</v>
      </c>
      <c r="K290" s="141">
        <v>1</v>
      </c>
      <c r="N290" s="141">
        <v>66</v>
      </c>
      <c r="U290" s="126">
        <v>-5</v>
      </c>
      <c r="V290" s="218">
        <v>4.33</v>
      </c>
      <c r="W290" s="218">
        <v>5</v>
      </c>
      <c r="X290" s="126">
        <v>1</v>
      </c>
      <c r="AA290" s="188">
        <v>46226.932488425926</v>
      </c>
      <c r="AB290" s="131">
        <v>4</v>
      </c>
      <c r="AC290" s="126">
        <v>6</v>
      </c>
      <c r="AD290" s="126">
        <v>2026</v>
      </c>
    </row>
    <row r="291" spans="3:30" ht="23.1" customHeight="1">
      <c r="C291" s="126">
        <v>284</v>
      </c>
      <c r="D291" s="126">
        <v>177</v>
      </c>
      <c r="E291" s="141" t="s">
        <v>752</v>
      </c>
      <c r="F291" s="163" t="s">
        <v>753</v>
      </c>
      <c r="G291" s="162">
        <v>46195</v>
      </c>
      <c r="H291" s="131">
        <v>1</v>
      </c>
      <c r="I291" s="131">
        <v>1</v>
      </c>
      <c r="J291" s="141" t="s">
        <v>551</v>
      </c>
      <c r="K291" s="141">
        <v>1</v>
      </c>
      <c r="N291" s="141">
        <v>66</v>
      </c>
      <c r="U291" s="126">
        <v>-250</v>
      </c>
      <c r="V291" s="218">
        <v>4.1500000000000004</v>
      </c>
      <c r="W291" s="218">
        <v>4.75</v>
      </c>
      <c r="X291" s="126">
        <v>1</v>
      </c>
      <c r="AA291" s="188">
        <v>46226.932488425926</v>
      </c>
      <c r="AB291" s="131">
        <v>4</v>
      </c>
      <c r="AC291" s="126">
        <v>6</v>
      </c>
      <c r="AD291" s="126">
        <v>2026</v>
      </c>
    </row>
    <row r="292" spans="3:30" ht="23.1" customHeight="1">
      <c r="C292" s="126">
        <v>285</v>
      </c>
      <c r="D292" s="126">
        <v>158</v>
      </c>
      <c r="E292" s="141" t="s">
        <v>1702</v>
      </c>
      <c r="F292" s="163" t="s">
        <v>1703</v>
      </c>
      <c r="G292" s="162">
        <v>46196</v>
      </c>
      <c r="H292" s="131">
        <v>1</v>
      </c>
      <c r="I292" s="131">
        <v>1</v>
      </c>
      <c r="J292" s="141" t="s">
        <v>551</v>
      </c>
      <c r="K292" s="141">
        <v>1</v>
      </c>
      <c r="N292" s="141">
        <v>67</v>
      </c>
      <c r="U292" s="126">
        <v>-1</v>
      </c>
      <c r="V292" s="218">
        <v>53</v>
      </c>
      <c r="W292" s="218">
        <v>60</v>
      </c>
      <c r="X292" s="126">
        <v>1</v>
      </c>
      <c r="AA292" s="188">
        <v>46226.942037037035</v>
      </c>
      <c r="AB292" s="131">
        <v>4</v>
      </c>
      <c r="AC292" s="126">
        <v>6</v>
      </c>
      <c r="AD292" s="126">
        <v>2026</v>
      </c>
    </row>
    <row r="293" spans="3:30" ht="23.1" customHeight="1">
      <c r="C293" s="126">
        <v>286</v>
      </c>
      <c r="D293" s="126">
        <v>165</v>
      </c>
      <c r="E293" s="141" t="s">
        <v>1708</v>
      </c>
      <c r="F293" s="163" t="s">
        <v>1709</v>
      </c>
      <c r="G293" s="162">
        <v>46196</v>
      </c>
      <c r="H293" s="131">
        <v>1</v>
      </c>
      <c r="I293" s="131">
        <v>1</v>
      </c>
      <c r="J293" s="141" t="s">
        <v>551</v>
      </c>
      <c r="K293" s="141">
        <v>1</v>
      </c>
      <c r="N293" s="141">
        <v>67</v>
      </c>
      <c r="U293" s="126">
        <v>-1</v>
      </c>
      <c r="V293" s="218">
        <v>20.25</v>
      </c>
      <c r="W293" s="218">
        <v>26</v>
      </c>
      <c r="X293" s="126">
        <v>1</v>
      </c>
      <c r="AA293" s="188">
        <v>46226.942037037035</v>
      </c>
      <c r="AB293" s="131">
        <v>4</v>
      </c>
      <c r="AC293" s="126">
        <v>6</v>
      </c>
      <c r="AD293" s="126">
        <v>2026</v>
      </c>
    </row>
    <row r="294" spans="3:30" ht="23.1" customHeight="1">
      <c r="C294" s="126">
        <v>287</v>
      </c>
      <c r="D294" s="126">
        <v>191</v>
      </c>
      <c r="E294" s="141" t="s">
        <v>781</v>
      </c>
      <c r="F294" s="163" t="s">
        <v>782</v>
      </c>
      <c r="G294" s="162">
        <v>46196</v>
      </c>
      <c r="H294" s="131">
        <v>1</v>
      </c>
      <c r="I294" s="131">
        <v>1</v>
      </c>
      <c r="J294" s="141" t="s">
        <v>551</v>
      </c>
      <c r="K294" s="141">
        <v>1</v>
      </c>
      <c r="N294" s="141">
        <v>67</v>
      </c>
      <c r="U294" s="126">
        <v>-20</v>
      </c>
      <c r="V294" s="218">
        <v>4.92</v>
      </c>
      <c r="W294" s="218">
        <v>6</v>
      </c>
      <c r="X294" s="126">
        <v>1</v>
      </c>
      <c r="AA294" s="188">
        <v>46226.942037037035</v>
      </c>
      <c r="AB294" s="131">
        <v>4</v>
      </c>
      <c r="AC294" s="126">
        <v>6</v>
      </c>
      <c r="AD294" s="126">
        <v>2026</v>
      </c>
    </row>
    <row r="295" spans="3:30" ht="23.1" customHeight="1">
      <c r="C295" s="126">
        <v>288</v>
      </c>
      <c r="D295" s="126">
        <v>178</v>
      </c>
      <c r="E295" s="141" t="s">
        <v>755</v>
      </c>
      <c r="F295" s="163" t="s">
        <v>756</v>
      </c>
      <c r="G295" s="162">
        <v>46196</v>
      </c>
      <c r="H295" s="131">
        <v>1</v>
      </c>
      <c r="I295" s="131">
        <v>1</v>
      </c>
      <c r="J295" s="141" t="s">
        <v>551</v>
      </c>
      <c r="K295" s="141">
        <v>1</v>
      </c>
      <c r="N295" s="141">
        <v>68</v>
      </c>
      <c r="U295" s="126">
        <v>-600</v>
      </c>
      <c r="V295" s="218">
        <v>4.75</v>
      </c>
      <c r="W295" s="218">
        <v>5</v>
      </c>
      <c r="X295" s="126">
        <v>1</v>
      </c>
      <c r="AA295" s="188">
        <v>46226.947048611109</v>
      </c>
      <c r="AB295" s="131">
        <v>4</v>
      </c>
      <c r="AC295" s="126">
        <v>6</v>
      </c>
      <c r="AD295" s="126">
        <v>2026</v>
      </c>
    </row>
    <row r="296" spans="3:30" ht="23.1" customHeight="1">
      <c r="C296" s="126">
        <v>289</v>
      </c>
      <c r="D296" s="126">
        <v>178</v>
      </c>
      <c r="E296" s="141" t="s">
        <v>755</v>
      </c>
      <c r="F296" s="163" t="s">
        <v>756</v>
      </c>
      <c r="G296" s="162">
        <v>46197</v>
      </c>
      <c r="H296" s="131">
        <v>1</v>
      </c>
      <c r="I296" s="131">
        <v>1</v>
      </c>
      <c r="J296" s="141" t="s">
        <v>551</v>
      </c>
      <c r="K296" s="141">
        <v>1</v>
      </c>
      <c r="N296" s="141">
        <v>69</v>
      </c>
      <c r="U296" s="126">
        <v>-150</v>
      </c>
      <c r="V296" s="218">
        <v>4.75</v>
      </c>
      <c r="W296" s="218">
        <v>5</v>
      </c>
      <c r="X296" s="126">
        <v>1</v>
      </c>
      <c r="AA296" s="188">
        <v>46226.956666666665</v>
      </c>
      <c r="AB296" s="131">
        <v>4</v>
      </c>
      <c r="AC296" s="126">
        <v>6</v>
      </c>
      <c r="AD296" s="126">
        <v>2026</v>
      </c>
    </row>
    <row r="297" spans="3:30" ht="23.1" customHeight="1">
      <c r="C297" s="126">
        <v>290</v>
      </c>
      <c r="D297" s="126">
        <v>181</v>
      </c>
      <c r="E297" s="141" t="s">
        <v>761</v>
      </c>
      <c r="F297" s="163" t="s">
        <v>762</v>
      </c>
      <c r="G297" s="162">
        <v>46197</v>
      </c>
      <c r="H297" s="131">
        <v>1</v>
      </c>
      <c r="I297" s="131">
        <v>1</v>
      </c>
      <c r="J297" s="141" t="s">
        <v>551</v>
      </c>
      <c r="K297" s="141">
        <v>1</v>
      </c>
      <c r="N297" s="141">
        <v>69</v>
      </c>
      <c r="U297" s="126">
        <v>-12</v>
      </c>
      <c r="V297" s="218">
        <v>1</v>
      </c>
      <c r="W297" s="218">
        <v>1.5</v>
      </c>
      <c r="X297" s="126">
        <v>1</v>
      </c>
      <c r="AA297" s="188">
        <v>46226.956666666665</v>
      </c>
      <c r="AB297" s="131">
        <v>4</v>
      </c>
      <c r="AC297" s="126">
        <v>6</v>
      </c>
      <c r="AD297" s="126">
        <v>2026</v>
      </c>
    </row>
    <row r="298" spans="3:30" ht="23.1" customHeight="1">
      <c r="C298" s="126">
        <v>291</v>
      </c>
      <c r="D298" s="126">
        <v>195</v>
      </c>
      <c r="E298" s="141" t="s">
        <v>608</v>
      </c>
      <c r="F298" s="163" t="s">
        <v>609</v>
      </c>
      <c r="G298" s="162">
        <v>46197</v>
      </c>
      <c r="H298" s="131">
        <v>1</v>
      </c>
      <c r="I298" s="131">
        <v>1</v>
      </c>
      <c r="J298" s="141" t="s">
        <v>551</v>
      </c>
      <c r="K298" s="141">
        <v>1</v>
      </c>
      <c r="N298" s="141">
        <v>70</v>
      </c>
      <c r="U298" s="126">
        <v>-28</v>
      </c>
      <c r="V298" s="218">
        <v>6.28</v>
      </c>
      <c r="W298" s="218">
        <v>6.25</v>
      </c>
      <c r="X298" s="126">
        <v>1</v>
      </c>
      <c r="AA298" s="188">
        <v>46226.960601851853</v>
      </c>
      <c r="AB298" s="131">
        <v>4</v>
      </c>
      <c r="AC298" s="126">
        <v>6</v>
      </c>
      <c r="AD298" s="126">
        <v>2026</v>
      </c>
    </row>
    <row r="299" spans="3:30" ht="23.1" customHeight="1">
      <c r="C299" s="126">
        <v>292</v>
      </c>
      <c r="D299" s="126">
        <v>197</v>
      </c>
      <c r="E299" s="141" t="s">
        <v>652</v>
      </c>
      <c r="F299" s="163" t="s">
        <v>653</v>
      </c>
      <c r="G299" s="162">
        <v>46197</v>
      </c>
      <c r="H299" s="131">
        <v>1</v>
      </c>
      <c r="I299" s="131">
        <v>1</v>
      </c>
      <c r="J299" s="141" t="s">
        <v>551</v>
      </c>
      <c r="K299" s="141">
        <v>1</v>
      </c>
      <c r="N299" s="141">
        <v>70</v>
      </c>
      <c r="U299" s="126">
        <v>-8</v>
      </c>
      <c r="V299" s="218">
        <v>8.36</v>
      </c>
      <c r="W299" s="218">
        <v>8.25</v>
      </c>
      <c r="X299" s="126">
        <v>1</v>
      </c>
      <c r="AA299" s="188">
        <v>46226.960601851853</v>
      </c>
      <c r="AB299" s="131">
        <v>4</v>
      </c>
      <c r="AC299" s="126">
        <v>6</v>
      </c>
      <c r="AD299" s="126">
        <v>2026</v>
      </c>
    </row>
    <row r="300" spans="3:30" ht="23.1" customHeight="1">
      <c r="C300" s="126">
        <v>293</v>
      </c>
      <c r="D300" s="126">
        <v>177</v>
      </c>
      <c r="E300" s="141" t="s">
        <v>752</v>
      </c>
      <c r="F300" s="163" t="s">
        <v>753</v>
      </c>
      <c r="G300" s="162">
        <v>46197</v>
      </c>
      <c r="H300" s="131">
        <v>1</v>
      </c>
      <c r="I300" s="131">
        <v>1</v>
      </c>
      <c r="J300" s="141" t="s">
        <v>551</v>
      </c>
      <c r="K300" s="141">
        <v>1</v>
      </c>
      <c r="N300" s="141">
        <v>71</v>
      </c>
      <c r="U300" s="126">
        <v>-250</v>
      </c>
      <c r="V300" s="218">
        <v>4.1500000000000004</v>
      </c>
      <c r="W300" s="218">
        <v>4.5</v>
      </c>
      <c r="X300" s="126">
        <v>1</v>
      </c>
      <c r="AA300" s="188">
        <v>46226.967905092592</v>
      </c>
      <c r="AB300" s="131">
        <v>4</v>
      </c>
      <c r="AC300" s="126">
        <v>6</v>
      </c>
      <c r="AD300" s="126">
        <v>2026</v>
      </c>
    </row>
    <row r="301" spans="3:30" ht="23.1" customHeight="1">
      <c r="C301" s="126">
        <v>294</v>
      </c>
      <c r="D301" s="126">
        <v>54</v>
      </c>
      <c r="E301" s="141" t="s">
        <v>1743</v>
      </c>
      <c r="F301" s="163" t="s">
        <v>1744</v>
      </c>
      <c r="G301" s="162">
        <v>46197</v>
      </c>
      <c r="H301" s="131">
        <v>1</v>
      </c>
      <c r="I301" s="131">
        <v>1</v>
      </c>
      <c r="J301" s="141" t="s">
        <v>551</v>
      </c>
      <c r="K301" s="141">
        <v>1</v>
      </c>
      <c r="N301" s="141">
        <v>71</v>
      </c>
      <c r="U301" s="126">
        <v>-1</v>
      </c>
      <c r="V301" s="218">
        <v>2.12</v>
      </c>
      <c r="W301" s="218">
        <v>2.25</v>
      </c>
      <c r="X301" s="126">
        <v>1</v>
      </c>
      <c r="AA301" s="188">
        <v>46226.967905092592</v>
      </c>
      <c r="AB301" s="131">
        <v>4</v>
      </c>
      <c r="AC301" s="126">
        <v>6</v>
      </c>
      <c r="AD301" s="126">
        <v>2026</v>
      </c>
    </row>
    <row r="302" spans="3:30" ht="23.1" customHeight="1">
      <c r="C302" s="126">
        <v>295</v>
      </c>
      <c r="D302" s="126">
        <v>32</v>
      </c>
      <c r="E302" s="141" t="s">
        <v>1748</v>
      </c>
      <c r="F302" s="163" t="s">
        <v>1749</v>
      </c>
      <c r="G302" s="162">
        <v>46197</v>
      </c>
      <c r="H302" s="131">
        <v>1</v>
      </c>
      <c r="I302" s="131">
        <v>1</v>
      </c>
      <c r="J302" s="141" t="s">
        <v>551</v>
      </c>
      <c r="K302" s="141">
        <v>1</v>
      </c>
      <c r="N302" s="141">
        <v>71</v>
      </c>
      <c r="U302" s="126">
        <v>-1</v>
      </c>
      <c r="V302" s="218">
        <v>1.04</v>
      </c>
      <c r="W302" s="218">
        <v>2.5</v>
      </c>
      <c r="X302" s="126">
        <v>1</v>
      </c>
      <c r="AA302" s="188">
        <v>46226.967905092592</v>
      </c>
      <c r="AB302" s="131">
        <v>4</v>
      </c>
      <c r="AC302" s="126">
        <v>6</v>
      </c>
      <c r="AD302" s="126">
        <v>2026</v>
      </c>
    </row>
    <row r="303" spans="3:30" ht="23.1" customHeight="1">
      <c r="C303" s="126">
        <v>296</v>
      </c>
      <c r="D303" s="126">
        <v>162</v>
      </c>
      <c r="E303" s="141" t="s">
        <v>741</v>
      </c>
      <c r="F303" s="163" t="s">
        <v>742</v>
      </c>
      <c r="G303" s="162">
        <v>46197</v>
      </c>
      <c r="H303" s="131">
        <v>1</v>
      </c>
      <c r="I303" s="131">
        <v>1</v>
      </c>
      <c r="J303" s="141" t="s">
        <v>551</v>
      </c>
      <c r="K303" s="141">
        <v>1</v>
      </c>
      <c r="N303" s="141">
        <v>71</v>
      </c>
      <c r="U303" s="126">
        <v>-1</v>
      </c>
      <c r="V303" s="218">
        <v>53</v>
      </c>
      <c r="W303" s="218">
        <v>54.5</v>
      </c>
      <c r="X303" s="126">
        <v>1</v>
      </c>
      <c r="AA303" s="188">
        <v>46226.967905092592</v>
      </c>
      <c r="AB303" s="131">
        <v>4</v>
      </c>
      <c r="AC303" s="126">
        <v>6</v>
      </c>
      <c r="AD303" s="126">
        <v>2026</v>
      </c>
    </row>
    <row r="304" spans="3:30" ht="23.1" customHeight="1">
      <c r="C304" s="126">
        <v>297</v>
      </c>
      <c r="D304" s="126">
        <v>179</v>
      </c>
      <c r="E304" s="141" t="s">
        <v>564</v>
      </c>
      <c r="F304" s="163" t="s">
        <v>565</v>
      </c>
      <c r="G304" s="162">
        <v>46197</v>
      </c>
      <c r="H304" s="131">
        <v>1</v>
      </c>
      <c r="I304" s="131">
        <v>1</v>
      </c>
      <c r="J304" s="141" t="s">
        <v>551</v>
      </c>
      <c r="K304" s="141">
        <v>1</v>
      </c>
      <c r="N304" s="141">
        <v>72</v>
      </c>
      <c r="U304" s="126">
        <v>-250</v>
      </c>
      <c r="V304" s="218">
        <v>4.75</v>
      </c>
      <c r="W304" s="218">
        <v>5.25</v>
      </c>
      <c r="X304" s="126">
        <v>1</v>
      </c>
      <c r="AA304" s="188">
        <v>46226.975428240738</v>
      </c>
      <c r="AB304" s="131">
        <v>4</v>
      </c>
      <c r="AC304" s="126">
        <v>6</v>
      </c>
      <c r="AD304" s="126">
        <v>2026</v>
      </c>
    </row>
    <row r="305" spans="3:30" ht="23.1" customHeight="1">
      <c r="C305" s="126">
        <v>298</v>
      </c>
      <c r="D305" s="126">
        <v>54</v>
      </c>
      <c r="E305" s="141" t="s">
        <v>1743</v>
      </c>
      <c r="F305" s="163" t="s">
        <v>1744</v>
      </c>
      <c r="G305" s="162">
        <v>46197</v>
      </c>
      <c r="H305" s="131">
        <v>1</v>
      </c>
      <c r="I305" s="131">
        <v>1</v>
      </c>
      <c r="J305" s="141" t="s">
        <v>551</v>
      </c>
      <c r="K305" s="141">
        <v>1</v>
      </c>
      <c r="N305" s="141">
        <v>72</v>
      </c>
      <c r="U305" s="126">
        <v>-7</v>
      </c>
      <c r="V305" s="218">
        <v>2.12</v>
      </c>
      <c r="W305" s="218">
        <v>3</v>
      </c>
      <c r="X305" s="126">
        <v>1</v>
      </c>
      <c r="AA305" s="188">
        <v>46226.975428240738</v>
      </c>
      <c r="AB305" s="131">
        <v>4</v>
      </c>
      <c r="AC305" s="126">
        <v>6</v>
      </c>
      <c r="AD305" s="126">
        <v>2026</v>
      </c>
    </row>
    <row r="306" spans="3:30" ht="23.1" customHeight="1">
      <c r="C306" s="126">
        <v>299</v>
      </c>
      <c r="D306" s="126">
        <v>16</v>
      </c>
      <c r="E306" s="141" t="s">
        <v>699</v>
      </c>
      <c r="F306" s="163" t="s">
        <v>700</v>
      </c>
      <c r="G306" s="162">
        <v>46197</v>
      </c>
      <c r="H306" s="131">
        <v>1</v>
      </c>
      <c r="I306" s="131">
        <v>1</v>
      </c>
      <c r="J306" s="141" t="s">
        <v>551</v>
      </c>
      <c r="K306" s="141">
        <v>1</v>
      </c>
      <c r="N306" s="141">
        <v>72</v>
      </c>
      <c r="U306" s="126">
        <v>-7</v>
      </c>
      <c r="V306" s="218">
        <v>2.1</v>
      </c>
      <c r="W306" s="218">
        <v>3</v>
      </c>
      <c r="X306" s="126">
        <v>1</v>
      </c>
      <c r="AA306" s="188">
        <v>46226.975428240738</v>
      </c>
      <c r="AB306" s="131">
        <v>4</v>
      </c>
      <c r="AC306" s="126">
        <v>6</v>
      </c>
      <c r="AD306" s="126">
        <v>2026</v>
      </c>
    </row>
    <row r="307" spans="3:30" ht="23.1" customHeight="1">
      <c r="C307" s="126">
        <v>300</v>
      </c>
      <c r="D307" s="126">
        <v>182</v>
      </c>
      <c r="E307" s="141" t="s">
        <v>627</v>
      </c>
      <c r="F307" s="163" t="s">
        <v>628</v>
      </c>
      <c r="G307" s="162">
        <v>46197</v>
      </c>
      <c r="H307" s="131">
        <v>1</v>
      </c>
      <c r="I307" s="131">
        <v>1</v>
      </c>
      <c r="J307" s="141" t="s">
        <v>551</v>
      </c>
      <c r="K307" s="141">
        <v>1</v>
      </c>
      <c r="N307" s="141">
        <v>72</v>
      </c>
      <c r="U307" s="126">
        <v>-84</v>
      </c>
      <c r="V307" s="218">
        <v>2</v>
      </c>
      <c r="W307" s="218">
        <v>3</v>
      </c>
      <c r="X307" s="126">
        <v>1</v>
      </c>
      <c r="AA307" s="188">
        <v>46226.975428240738</v>
      </c>
      <c r="AB307" s="131">
        <v>4</v>
      </c>
      <c r="AC307" s="126">
        <v>6</v>
      </c>
      <c r="AD307" s="126">
        <v>2026</v>
      </c>
    </row>
    <row r="308" spans="3:30" ht="23.1" customHeight="1">
      <c r="C308" s="126">
        <v>301</v>
      </c>
      <c r="D308" s="126">
        <v>177</v>
      </c>
      <c r="E308" s="141" t="s">
        <v>752</v>
      </c>
      <c r="F308" s="163" t="s">
        <v>753</v>
      </c>
      <c r="G308" s="162">
        <v>46198</v>
      </c>
      <c r="H308" s="131">
        <v>1</v>
      </c>
      <c r="I308" s="131">
        <v>1</v>
      </c>
      <c r="J308" s="141" t="s">
        <v>551</v>
      </c>
      <c r="K308" s="141">
        <v>1</v>
      </c>
      <c r="N308" s="141">
        <v>73</v>
      </c>
      <c r="U308" s="126">
        <v>-300</v>
      </c>
      <c r="V308" s="218">
        <v>4.1500000000000004</v>
      </c>
      <c r="W308" s="218">
        <v>4.75</v>
      </c>
      <c r="X308" s="126">
        <v>1</v>
      </c>
      <c r="AA308" s="188">
        <v>46226.983715277776</v>
      </c>
      <c r="AB308" s="131">
        <v>4</v>
      </c>
      <c r="AC308" s="126">
        <v>6</v>
      </c>
      <c r="AD308" s="126">
        <v>2026</v>
      </c>
    </row>
    <row r="309" spans="3:30" ht="23.1" customHeight="1">
      <c r="C309" s="126">
        <v>302</v>
      </c>
      <c r="D309" s="126">
        <v>189</v>
      </c>
      <c r="E309" s="141" t="s">
        <v>778</v>
      </c>
      <c r="F309" s="163" t="s">
        <v>779</v>
      </c>
      <c r="G309" s="162">
        <v>46198</v>
      </c>
      <c r="H309" s="131">
        <v>1</v>
      </c>
      <c r="I309" s="131">
        <v>1</v>
      </c>
      <c r="J309" s="141" t="s">
        <v>551</v>
      </c>
      <c r="K309" s="141">
        <v>1</v>
      </c>
      <c r="N309" s="141">
        <v>73</v>
      </c>
      <c r="U309" s="126">
        <v>-8</v>
      </c>
      <c r="V309" s="218">
        <v>4.09</v>
      </c>
      <c r="W309" s="218">
        <v>4.5</v>
      </c>
      <c r="X309" s="126">
        <v>1</v>
      </c>
      <c r="AA309" s="188">
        <v>46226.983715277776</v>
      </c>
      <c r="AB309" s="131">
        <v>4</v>
      </c>
      <c r="AC309" s="126">
        <v>6</v>
      </c>
      <c r="AD309" s="126">
        <v>2026</v>
      </c>
    </row>
    <row r="310" spans="3:30" ht="23.1" customHeight="1">
      <c r="C310" s="126">
        <v>303</v>
      </c>
      <c r="D310" s="126">
        <v>51</v>
      </c>
      <c r="E310" s="141" t="s">
        <v>1339</v>
      </c>
      <c r="F310" s="163" t="s">
        <v>1340</v>
      </c>
      <c r="G310" s="162">
        <v>46198</v>
      </c>
      <c r="H310" s="131">
        <v>1</v>
      </c>
      <c r="I310" s="131">
        <v>1</v>
      </c>
      <c r="J310" s="141" t="s">
        <v>551</v>
      </c>
      <c r="K310" s="141">
        <v>1</v>
      </c>
      <c r="N310" s="141">
        <v>73</v>
      </c>
      <c r="U310" s="126">
        <v>-5</v>
      </c>
      <c r="V310" s="218">
        <v>4.49</v>
      </c>
      <c r="W310" s="218">
        <v>5</v>
      </c>
      <c r="X310" s="126">
        <v>1</v>
      </c>
      <c r="AA310" s="188">
        <v>46226.983715277776</v>
      </c>
      <c r="AB310" s="131">
        <v>4</v>
      </c>
      <c r="AC310" s="126">
        <v>6</v>
      </c>
      <c r="AD310" s="126">
        <v>2026</v>
      </c>
    </row>
    <row r="311" spans="3:30" ht="23.1" customHeight="1">
      <c r="C311" s="126">
        <v>304</v>
      </c>
      <c r="D311" s="126">
        <v>195</v>
      </c>
      <c r="E311" s="141" t="s">
        <v>608</v>
      </c>
      <c r="F311" s="163" t="s">
        <v>609</v>
      </c>
      <c r="G311" s="162">
        <v>46198</v>
      </c>
      <c r="H311" s="131">
        <v>1</v>
      </c>
      <c r="I311" s="131">
        <v>1</v>
      </c>
      <c r="J311" s="141" t="s">
        <v>551</v>
      </c>
      <c r="K311" s="141">
        <v>1</v>
      </c>
      <c r="N311" s="141">
        <v>74</v>
      </c>
      <c r="U311" s="126">
        <v>-12</v>
      </c>
      <c r="V311" s="218">
        <v>6.28</v>
      </c>
      <c r="W311" s="218">
        <v>6</v>
      </c>
      <c r="X311" s="126">
        <v>1</v>
      </c>
      <c r="AA311" s="188">
        <v>46227.027627314812</v>
      </c>
      <c r="AB311" s="131">
        <v>4</v>
      </c>
      <c r="AC311" s="126">
        <v>6</v>
      </c>
      <c r="AD311" s="126">
        <v>2026</v>
      </c>
    </row>
    <row r="312" spans="3:30" ht="23.1" customHeight="1">
      <c r="C312" s="126">
        <v>305</v>
      </c>
      <c r="D312" s="126">
        <v>187</v>
      </c>
      <c r="E312" s="141" t="s">
        <v>576</v>
      </c>
      <c r="F312" s="163" t="s">
        <v>577</v>
      </c>
      <c r="G312" s="162">
        <v>46198</v>
      </c>
      <c r="H312" s="131">
        <v>1</v>
      </c>
      <c r="I312" s="131">
        <v>1</v>
      </c>
      <c r="J312" s="141" t="s">
        <v>551</v>
      </c>
      <c r="K312" s="141">
        <v>1</v>
      </c>
      <c r="N312" s="141">
        <v>74</v>
      </c>
      <c r="U312" s="126">
        <v>-24</v>
      </c>
      <c r="V312" s="218">
        <v>3.37</v>
      </c>
      <c r="W312" s="218">
        <v>3.5</v>
      </c>
      <c r="X312" s="126">
        <v>1</v>
      </c>
      <c r="AA312" s="188">
        <v>46227.027627314812</v>
      </c>
      <c r="AB312" s="131">
        <v>4</v>
      </c>
      <c r="AC312" s="126">
        <v>6</v>
      </c>
      <c r="AD312" s="126">
        <v>2026</v>
      </c>
    </row>
    <row r="313" spans="3:30" ht="23.1" customHeight="1">
      <c r="C313" s="126">
        <v>306</v>
      </c>
      <c r="D313" s="126">
        <v>153</v>
      </c>
      <c r="E313" s="141" t="s">
        <v>554</v>
      </c>
      <c r="F313" s="163" t="s">
        <v>555</v>
      </c>
      <c r="G313" s="162">
        <v>46198</v>
      </c>
      <c r="H313" s="131">
        <v>1</v>
      </c>
      <c r="I313" s="131">
        <v>1</v>
      </c>
      <c r="J313" s="141" t="s">
        <v>551</v>
      </c>
      <c r="K313" s="141">
        <v>1</v>
      </c>
      <c r="N313" s="141">
        <v>74</v>
      </c>
      <c r="U313" s="126">
        <v>-4</v>
      </c>
      <c r="V313" s="218">
        <v>3.3</v>
      </c>
      <c r="W313" s="218">
        <v>3.8</v>
      </c>
      <c r="X313" s="126">
        <v>1</v>
      </c>
      <c r="AA313" s="188">
        <v>46227.027627314812</v>
      </c>
      <c r="AB313" s="131">
        <v>4</v>
      </c>
      <c r="AC313" s="126">
        <v>6</v>
      </c>
      <c r="AD313" s="126">
        <v>2026</v>
      </c>
    </row>
    <row r="314" spans="3:30" ht="23.1" customHeight="1">
      <c r="C314" s="126">
        <v>307</v>
      </c>
      <c r="D314" s="126">
        <v>182</v>
      </c>
      <c r="E314" s="141" t="s">
        <v>627</v>
      </c>
      <c r="F314" s="163" t="s">
        <v>628</v>
      </c>
      <c r="G314" s="162">
        <v>46198</v>
      </c>
      <c r="H314" s="131">
        <v>1</v>
      </c>
      <c r="I314" s="131">
        <v>1</v>
      </c>
      <c r="J314" s="141" t="s">
        <v>551</v>
      </c>
      <c r="K314" s="141">
        <v>1</v>
      </c>
      <c r="N314" s="141">
        <v>74</v>
      </c>
      <c r="U314" s="126">
        <v>-24</v>
      </c>
      <c r="V314" s="218">
        <v>2</v>
      </c>
      <c r="W314" s="218">
        <v>2.5</v>
      </c>
      <c r="X314" s="126">
        <v>1</v>
      </c>
      <c r="AA314" s="188">
        <v>46227.027627314812</v>
      </c>
      <c r="AB314" s="131">
        <v>4</v>
      </c>
      <c r="AC314" s="126">
        <v>6</v>
      </c>
      <c r="AD314" s="126">
        <v>2026</v>
      </c>
    </row>
    <row r="315" spans="3:30" ht="23.1" customHeight="1">
      <c r="C315" s="126">
        <v>308</v>
      </c>
      <c r="D315" s="126">
        <v>49</v>
      </c>
      <c r="E315" s="141" t="s">
        <v>813</v>
      </c>
      <c r="F315" s="163" t="s">
        <v>814</v>
      </c>
      <c r="G315" s="162">
        <v>46198</v>
      </c>
      <c r="H315" s="131">
        <v>1</v>
      </c>
      <c r="I315" s="131">
        <v>1</v>
      </c>
      <c r="J315" s="141" t="s">
        <v>551</v>
      </c>
      <c r="K315" s="141">
        <v>1</v>
      </c>
      <c r="N315" s="141">
        <v>74</v>
      </c>
      <c r="U315" s="126">
        <v>-1</v>
      </c>
      <c r="V315" s="218">
        <v>0.28000000000000003</v>
      </c>
      <c r="W315" s="218">
        <v>0.38</v>
      </c>
      <c r="X315" s="126">
        <v>1</v>
      </c>
      <c r="AA315" s="188">
        <v>46227.027627314812</v>
      </c>
      <c r="AB315" s="131">
        <v>4</v>
      </c>
      <c r="AC315" s="126">
        <v>6</v>
      </c>
      <c r="AD315" s="126">
        <v>2026</v>
      </c>
    </row>
    <row r="316" spans="3:30" ht="23.1" customHeight="1">
      <c r="C316" s="126">
        <v>309</v>
      </c>
      <c r="D316" s="126">
        <v>48</v>
      </c>
      <c r="E316" s="141" t="s">
        <v>596</v>
      </c>
      <c r="F316" s="163" t="s">
        <v>597</v>
      </c>
      <c r="G316" s="162">
        <v>46198</v>
      </c>
      <c r="H316" s="131">
        <v>1</v>
      </c>
      <c r="I316" s="131">
        <v>1</v>
      </c>
      <c r="J316" s="141" t="s">
        <v>551</v>
      </c>
      <c r="K316" s="141">
        <v>1</v>
      </c>
      <c r="N316" s="141">
        <v>75</v>
      </c>
      <c r="U316" s="126">
        <v>-4</v>
      </c>
      <c r="V316" s="218">
        <v>0.12</v>
      </c>
      <c r="W316" s="218">
        <v>0.25</v>
      </c>
      <c r="X316" s="126">
        <v>1</v>
      </c>
      <c r="AA316" s="188">
        <v>46227.038923611108</v>
      </c>
      <c r="AB316" s="131">
        <v>4</v>
      </c>
      <c r="AC316" s="126">
        <v>6</v>
      </c>
      <c r="AD316" s="126">
        <v>2026</v>
      </c>
    </row>
    <row r="317" spans="3:30" ht="23.1" customHeight="1">
      <c r="C317" s="126">
        <v>310</v>
      </c>
      <c r="D317" s="126">
        <v>46</v>
      </c>
      <c r="E317" s="141" t="s">
        <v>647</v>
      </c>
      <c r="F317" s="163" t="s">
        <v>648</v>
      </c>
      <c r="G317" s="162">
        <v>46198</v>
      </c>
      <c r="H317" s="131">
        <v>1</v>
      </c>
      <c r="I317" s="131">
        <v>1</v>
      </c>
      <c r="J317" s="141" t="s">
        <v>551</v>
      </c>
      <c r="K317" s="141">
        <v>1</v>
      </c>
      <c r="N317" s="141">
        <v>75</v>
      </c>
      <c r="U317" s="126">
        <v>-6</v>
      </c>
      <c r="V317" s="218">
        <v>0.15</v>
      </c>
      <c r="W317" s="218">
        <v>0.38</v>
      </c>
      <c r="X317" s="126">
        <v>1</v>
      </c>
      <c r="AA317" s="188">
        <v>46227.038923611108</v>
      </c>
      <c r="AB317" s="131">
        <v>4</v>
      </c>
      <c r="AC317" s="126">
        <v>6</v>
      </c>
      <c r="AD317" s="126">
        <v>2026</v>
      </c>
    </row>
    <row r="318" spans="3:30" ht="23.1" customHeight="1">
      <c r="C318" s="126">
        <v>311</v>
      </c>
      <c r="D318" s="126">
        <v>42</v>
      </c>
      <c r="E318" s="141" t="s">
        <v>975</v>
      </c>
      <c r="F318" s="163" t="s">
        <v>976</v>
      </c>
      <c r="G318" s="162">
        <v>46198</v>
      </c>
      <c r="H318" s="131">
        <v>1</v>
      </c>
      <c r="I318" s="131">
        <v>1</v>
      </c>
      <c r="J318" s="141" t="s">
        <v>551</v>
      </c>
      <c r="K318" s="141">
        <v>1</v>
      </c>
      <c r="N318" s="141">
        <v>75</v>
      </c>
      <c r="U318" s="126">
        <v>-6</v>
      </c>
      <c r="V318" s="218">
        <v>0.24</v>
      </c>
      <c r="W318" s="218">
        <v>0.5</v>
      </c>
      <c r="X318" s="126">
        <v>1</v>
      </c>
      <c r="AA318" s="188">
        <v>46227.038923611108</v>
      </c>
      <c r="AB318" s="131">
        <v>4</v>
      </c>
      <c r="AC318" s="126">
        <v>6</v>
      </c>
      <c r="AD318" s="126">
        <v>2026</v>
      </c>
    </row>
    <row r="319" spans="3:30" ht="23.1" customHeight="1">
      <c r="C319" s="126">
        <v>312</v>
      </c>
      <c r="D319" s="126">
        <v>50</v>
      </c>
      <c r="E319" s="141" t="s">
        <v>803</v>
      </c>
      <c r="F319" s="163" t="s">
        <v>804</v>
      </c>
      <c r="G319" s="162">
        <v>46198</v>
      </c>
      <c r="H319" s="131">
        <v>1</v>
      </c>
      <c r="I319" s="131">
        <v>1</v>
      </c>
      <c r="J319" s="141" t="s">
        <v>551</v>
      </c>
      <c r="K319" s="141">
        <v>1</v>
      </c>
      <c r="N319" s="141">
        <v>75</v>
      </c>
      <c r="U319" s="126">
        <v>-6</v>
      </c>
      <c r="V319" s="218">
        <v>0.12</v>
      </c>
      <c r="W319" s="218">
        <v>0.25</v>
      </c>
      <c r="X319" s="126">
        <v>1</v>
      </c>
      <c r="AA319" s="188">
        <v>46227.038923611108</v>
      </c>
      <c r="AB319" s="131">
        <v>4</v>
      </c>
      <c r="AC319" s="126">
        <v>6</v>
      </c>
      <c r="AD319" s="126">
        <v>2026</v>
      </c>
    </row>
    <row r="320" spans="3:30" ht="23.1" customHeight="1">
      <c r="C320" s="126">
        <v>313</v>
      </c>
      <c r="D320" s="126">
        <v>9</v>
      </c>
      <c r="E320" s="141" t="s">
        <v>1813</v>
      </c>
      <c r="F320" s="163" t="s">
        <v>1814</v>
      </c>
      <c r="G320" s="162">
        <v>46198</v>
      </c>
      <c r="H320" s="131">
        <v>1</v>
      </c>
      <c r="I320" s="131">
        <v>1</v>
      </c>
      <c r="J320" s="141" t="s">
        <v>551</v>
      </c>
      <c r="K320" s="141">
        <v>1</v>
      </c>
      <c r="N320" s="141">
        <v>75</v>
      </c>
      <c r="U320" s="126">
        <v>-7</v>
      </c>
      <c r="V320" s="218">
        <v>1.1499999999999999</v>
      </c>
      <c r="W320" s="218">
        <v>1.5</v>
      </c>
      <c r="X320" s="126">
        <v>1</v>
      </c>
      <c r="AA320" s="188">
        <v>46227.038923611108</v>
      </c>
      <c r="AB320" s="131">
        <v>4</v>
      </c>
      <c r="AC320" s="126">
        <v>6</v>
      </c>
      <c r="AD320" s="126">
        <v>2026</v>
      </c>
    </row>
    <row r="321" spans="3:30" ht="23.1" customHeight="1">
      <c r="C321" s="126">
        <v>314</v>
      </c>
      <c r="D321" s="126">
        <v>8</v>
      </c>
      <c r="E321" s="141" t="s">
        <v>1125</v>
      </c>
      <c r="F321" s="163" t="s">
        <v>1126</v>
      </c>
      <c r="G321" s="162">
        <v>46198</v>
      </c>
      <c r="H321" s="131">
        <v>1</v>
      </c>
      <c r="I321" s="131">
        <v>1</v>
      </c>
      <c r="J321" s="141" t="s">
        <v>551</v>
      </c>
      <c r="K321" s="141">
        <v>1</v>
      </c>
      <c r="N321" s="141">
        <v>75</v>
      </c>
      <c r="U321" s="126">
        <v>-2</v>
      </c>
      <c r="V321" s="218">
        <v>1.32</v>
      </c>
      <c r="W321" s="218">
        <v>1.88</v>
      </c>
      <c r="X321" s="126">
        <v>1</v>
      </c>
      <c r="AA321" s="188">
        <v>46227.038923611108</v>
      </c>
      <c r="AB321" s="131">
        <v>4</v>
      </c>
      <c r="AC321" s="126">
        <v>6</v>
      </c>
      <c r="AD321" s="126">
        <v>2026</v>
      </c>
    </row>
    <row r="322" spans="3:30" ht="23.1" customHeight="1">
      <c r="C322" s="126">
        <v>315</v>
      </c>
      <c r="D322" s="126">
        <v>75</v>
      </c>
      <c r="E322" s="141" t="s">
        <v>1381</v>
      </c>
      <c r="F322" s="163" t="s">
        <v>1382</v>
      </c>
      <c r="G322" s="162">
        <v>46198</v>
      </c>
      <c r="H322" s="131">
        <v>1</v>
      </c>
      <c r="I322" s="131">
        <v>1</v>
      </c>
      <c r="J322" s="141" t="s">
        <v>551</v>
      </c>
      <c r="K322" s="141">
        <v>1</v>
      </c>
      <c r="N322" s="141">
        <v>75</v>
      </c>
      <c r="U322" s="126">
        <v>-1</v>
      </c>
      <c r="V322" s="218">
        <v>0.13</v>
      </c>
      <c r="W322" s="218">
        <v>0.25</v>
      </c>
      <c r="X322" s="126">
        <v>1</v>
      </c>
      <c r="AA322" s="188">
        <v>46227.038923611108</v>
      </c>
      <c r="AB322" s="131">
        <v>4</v>
      </c>
      <c r="AC322" s="126">
        <v>6</v>
      </c>
      <c r="AD322" s="126">
        <v>2026</v>
      </c>
    </row>
    <row r="323" spans="3:30" ht="23.1" customHeight="1">
      <c r="C323" s="126">
        <v>316</v>
      </c>
      <c r="D323" s="126">
        <v>56</v>
      </c>
      <c r="E323" s="141" t="s">
        <v>1203</v>
      </c>
      <c r="F323" s="163" t="s">
        <v>1204</v>
      </c>
      <c r="G323" s="162">
        <v>46198</v>
      </c>
      <c r="H323" s="131">
        <v>1</v>
      </c>
      <c r="I323" s="131">
        <v>1</v>
      </c>
      <c r="J323" s="141" t="s">
        <v>551</v>
      </c>
      <c r="K323" s="141">
        <v>1</v>
      </c>
      <c r="N323" s="141">
        <v>75</v>
      </c>
      <c r="U323" s="126">
        <v>-1</v>
      </c>
      <c r="V323" s="218">
        <v>0.55000000000000004</v>
      </c>
      <c r="W323" s="218">
        <v>0.75</v>
      </c>
      <c r="X323" s="126">
        <v>1</v>
      </c>
      <c r="AA323" s="188">
        <v>46227.038923611108</v>
      </c>
      <c r="AB323" s="131">
        <v>4</v>
      </c>
      <c r="AC323" s="126">
        <v>6</v>
      </c>
      <c r="AD323" s="126">
        <v>2026</v>
      </c>
    </row>
    <row r="324" spans="3:30" ht="23.1" customHeight="1">
      <c r="C324" s="126">
        <v>317</v>
      </c>
      <c r="D324" s="126">
        <v>46</v>
      </c>
      <c r="E324" s="141" t="s">
        <v>647</v>
      </c>
      <c r="F324" s="163" t="s">
        <v>648</v>
      </c>
      <c r="G324" s="162">
        <v>46198</v>
      </c>
      <c r="H324" s="131">
        <v>1</v>
      </c>
      <c r="I324" s="131">
        <v>1</v>
      </c>
      <c r="J324" s="141" t="s">
        <v>551</v>
      </c>
      <c r="K324" s="141">
        <v>1</v>
      </c>
      <c r="N324" s="141">
        <v>76</v>
      </c>
      <c r="U324" s="126">
        <v>-2</v>
      </c>
      <c r="V324" s="218">
        <v>0.15</v>
      </c>
      <c r="W324" s="218">
        <v>0.38</v>
      </c>
      <c r="X324" s="126">
        <v>1</v>
      </c>
      <c r="AA324" s="188">
        <v>46227.066759259258</v>
      </c>
      <c r="AB324" s="131">
        <v>4</v>
      </c>
      <c r="AC324" s="126">
        <v>6</v>
      </c>
      <c r="AD324" s="126">
        <v>2026</v>
      </c>
    </row>
    <row r="325" spans="3:30" ht="23.1" customHeight="1">
      <c r="C325" s="126">
        <v>318</v>
      </c>
      <c r="D325" s="126">
        <v>41</v>
      </c>
      <c r="E325" s="141" t="s">
        <v>808</v>
      </c>
      <c r="F325" s="163" t="s">
        <v>809</v>
      </c>
      <c r="G325" s="162">
        <v>46198</v>
      </c>
      <c r="H325" s="131">
        <v>1</v>
      </c>
      <c r="I325" s="131">
        <v>1</v>
      </c>
      <c r="J325" s="141" t="s">
        <v>551</v>
      </c>
      <c r="K325" s="141">
        <v>1</v>
      </c>
      <c r="N325" s="141">
        <v>76</v>
      </c>
      <c r="U325" s="126">
        <v>-2</v>
      </c>
      <c r="V325" s="218">
        <v>0.53</v>
      </c>
      <c r="W325" s="218">
        <v>1.5</v>
      </c>
      <c r="X325" s="126">
        <v>1</v>
      </c>
      <c r="AA325" s="188">
        <v>46227.066759259258</v>
      </c>
      <c r="AB325" s="131">
        <v>4</v>
      </c>
      <c r="AC325" s="126">
        <v>6</v>
      </c>
      <c r="AD325" s="126">
        <v>2026</v>
      </c>
    </row>
    <row r="326" spans="3:30" ht="23.1" customHeight="1">
      <c r="C326" s="126">
        <v>319</v>
      </c>
      <c r="D326" s="126">
        <v>68</v>
      </c>
      <c r="E326" s="141" t="s">
        <v>1242</v>
      </c>
      <c r="F326" s="163" t="s">
        <v>1243</v>
      </c>
      <c r="G326" s="162">
        <v>46198</v>
      </c>
      <c r="H326" s="131">
        <v>1</v>
      </c>
      <c r="I326" s="131">
        <v>1</v>
      </c>
      <c r="J326" s="141" t="s">
        <v>551</v>
      </c>
      <c r="K326" s="141">
        <v>1</v>
      </c>
      <c r="N326" s="141">
        <v>76</v>
      </c>
      <c r="U326" s="126">
        <v>-2</v>
      </c>
      <c r="V326" s="218">
        <v>0.53</v>
      </c>
      <c r="W326" s="218">
        <v>1</v>
      </c>
      <c r="X326" s="126">
        <v>1</v>
      </c>
      <c r="AA326" s="188">
        <v>46227.066759259258</v>
      </c>
      <c r="AB326" s="131">
        <v>4</v>
      </c>
      <c r="AC326" s="126">
        <v>6</v>
      </c>
      <c r="AD326" s="126">
        <v>2026</v>
      </c>
    </row>
    <row r="327" spans="3:30" ht="23.1" customHeight="1">
      <c r="C327" s="126">
        <v>320</v>
      </c>
      <c r="D327" s="126">
        <v>177</v>
      </c>
      <c r="E327" s="141" t="s">
        <v>752</v>
      </c>
      <c r="F327" s="163" t="s">
        <v>753</v>
      </c>
      <c r="G327" s="162">
        <v>46198</v>
      </c>
      <c r="H327" s="131">
        <v>1</v>
      </c>
      <c r="I327" s="131">
        <v>1</v>
      </c>
      <c r="J327" s="141" t="s">
        <v>551</v>
      </c>
      <c r="K327" s="141">
        <v>1</v>
      </c>
      <c r="N327" s="141">
        <v>76</v>
      </c>
      <c r="U327" s="126">
        <v>-250</v>
      </c>
      <c r="V327" s="218">
        <v>4.1500000000000004</v>
      </c>
      <c r="W327" s="218">
        <v>4.5</v>
      </c>
      <c r="X327" s="126">
        <v>1</v>
      </c>
      <c r="AA327" s="188">
        <v>46227.066759259258</v>
      </c>
      <c r="AB327" s="131">
        <v>4</v>
      </c>
      <c r="AC327" s="126">
        <v>6</v>
      </c>
      <c r="AD327" s="126">
        <v>2026</v>
      </c>
    </row>
    <row r="328" spans="3:30" ht="23.1" customHeight="1">
      <c r="C328" s="126">
        <v>321</v>
      </c>
      <c r="D328" s="126">
        <v>108</v>
      </c>
      <c r="E328" s="141" t="s">
        <v>1009</v>
      </c>
      <c r="F328" s="163" t="s">
        <v>1010</v>
      </c>
      <c r="G328" s="162">
        <v>46198</v>
      </c>
      <c r="H328" s="131">
        <v>1</v>
      </c>
      <c r="I328" s="131">
        <v>1</v>
      </c>
      <c r="J328" s="141" t="s">
        <v>551</v>
      </c>
      <c r="K328" s="141">
        <v>1</v>
      </c>
      <c r="N328" s="141">
        <v>76</v>
      </c>
      <c r="U328" s="126">
        <v>-1</v>
      </c>
      <c r="V328" s="218">
        <v>2.7</v>
      </c>
      <c r="W328" s="218">
        <v>3</v>
      </c>
      <c r="X328" s="126">
        <v>1</v>
      </c>
      <c r="AA328" s="188">
        <v>46227.066759259258</v>
      </c>
      <c r="AB328" s="131">
        <v>4</v>
      </c>
      <c r="AC328" s="126">
        <v>6</v>
      </c>
      <c r="AD328" s="126">
        <v>2026</v>
      </c>
    </row>
    <row r="329" spans="3:30" ht="23.1" customHeight="1">
      <c r="C329" s="126">
        <v>322</v>
      </c>
      <c r="D329" s="126">
        <v>14</v>
      </c>
      <c r="E329" s="141" t="s">
        <v>696</v>
      </c>
      <c r="F329" s="163" t="s">
        <v>697</v>
      </c>
      <c r="G329" s="162">
        <v>46198</v>
      </c>
      <c r="H329" s="131">
        <v>1</v>
      </c>
      <c r="I329" s="131">
        <v>1</v>
      </c>
      <c r="J329" s="141" t="s">
        <v>551</v>
      </c>
      <c r="K329" s="141">
        <v>1</v>
      </c>
      <c r="N329" s="141">
        <v>76</v>
      </c>
      <c r="U329" s="126">
        <v>-1</v>
      </c>
      <c r="V329" s="218">
        <v>3.3</v>
      </c>
      <c r="W329" s="218">
        <v>3.75</v>
      </c>
      <c r="X329" s="126">
        <v>1</v>
      </c>
      <c r="AA329" s="188">
        <v>46227.066759259258</v>
      </c>
      <c r="AB329" s="131">
        <v>4</v>
      </c>
      <c r="AC329" s="126">
        <v>6</v>
      </c>
      <c r="AD329" s="126">
        <v>2026</v>
      </c>
    </row>
    <row r="330" spans="3:30" ht="23.1" customHeight="1">
      <c r="C330" s="126">
        <v>323</v>
      </c>
      <c r="D330" s="126">
        <v>56</v>
      </c>
      <c r="E330" s="141" t="s">
        <v>1203</v>
      </c>
      <c r="F330" s="163" t="s">
        <v>1204</v>
      </c>
      <c r="G330" s="162">
        <v>46198</v>
      </c>
      <c r="H330" s="131">
        <v>1</v>
      </c>
      <c r="I330" s="131">
        <v>1</v>
      </c>
      <c r="J330" s="141" t="s">
        <v>551</v>
      </c>
      <c r="K330" s="141">
        <v>1</v>
      </c>
      <c r="N330" s="141">
        <v>76</v>
      </c>
      <c r="U330" s="126">
        <v>-2</v>
      </c>
      <c r="V330" s="218">
        <v>0.55000000000000004</v>
      </c>
      <c r="W330" s="218">
        <v>0.75</v>
      </c>
      <c r="X330" s="126">
        <v>1</v>
      </c>
      <c r="AA330" s="188">
        <v>46227.066759259258</v>
      </c>
      <c r="AB330" s="131">
        <v>4</v>
      </c>
      <c r="AC330" s="126">
        <v>6</v>
      </c>
      <c r="AD330" s="126">
        <v>2026</v>
      </c>
    </row>
    <row r="331" spans="3:30" ht="23.1" customHeight="1">
      <c r="C331" s="126">
        <v>324</v>
      </c>
      <c r="D331" s="126">
        <v>18</v>
      </c>
      <c r="E331" s="141" t="s">
        <v>703</v>
      </c>
      <c r="F331" s="163" t="s">
        <v>704</v>
      </c>
      <c r="G331" s="162">
        <v>46198</v>
      </c>
      <c r="H331" s="131">
        <v>1</v>
      </c>
      <c r="I331" s="131">
        <v>1</v>
      </c>
      <c r="J331" s="141" t="s">
        <v>551</v>
      </c>
      <c r="K331" s="141">
        <v>1</v>
      </c>
      <c r="N331" s="141">
        <v>76</v>
      </c>
      <c r="U331" s="126">
        <v>-2</v>
      </c>
      <c r="V331" s="218">
        <v>1.35</v>
      </c>
      <c r="W331" s="218">
        <v>2</v>
      </c>
      <c r="X331" s="126">
        <v>1</v>
      </c>
      <c r="AA331" s="188">
        <v>46227.066759259258</v>
      </c>
      <c r="AB331" s="131">
        <v>4</v>
      </c>
      <c r="AC331" s="126">
        <v>6</v>
      </c>
      <c r="AD331" s="126">
        <v>2026</v>
      </c>
    </row>
    <row r="332" spans="3:30" ht="23.1" customHeight="1">
      <c r="C332" s="126">
        <v>325</v>
      </c>
      <c r="D332" s="126">
        <v>29</v>
      </c>
      <c r="E332" s="141" t="s">
        <v>1523</v>
      </c>
      <c r="F332" s="163" t="s">
        <v>1524</v>
      </c>
      <c r="G332" s="162">
        <v>46198</v>
      </c>
      <c r="H332" s="131">
        <v>1</v>
      </c>
      <c r="I332" s="131">
        <v>1</v>
      </c>
      <c r="J332" s="141" t="s">
        <v>551</v>
      </c>
      <c r="K332" s="141">
        <v>1</v>
      </c>
      <c r="N332" s="141">
        <v>76</v>
      </c>
      <c r="U332" s="126">
        <v>-2</v>
      </c>
      <c r="V332" s="218">
        <v>4.2300000000000004</v>
      </c>
      <c r="W332" s="218">
        <v>5</v>
      </c>
      <c r="X332" s="126">
        <v>1</v>
      </c>
      <c r="AA332" s="188">
        <v>46227.066759259258</v>
      </c>
      <c r="AB332" s="131">
        <v>4</v>
      </c>
      <c r="AC332" s="126">
        <v>6</v>
      </c>
      <c r="AD332" s="126">
        <v>2026</v>
      </c>
    </row>
    <row r="333" spans="3:30" ht="23.1" customHeight="1">
      <c r="C333" s="126">
        <v>326</v>
      </c>
      <c r="D333" s="126">
        <v>11</v>
      </c>
      <c r="E333" s="141" t="s">
        <v>690</v>
      </c>
      <c r="F333" s="163" t="s">
        <v>691</v>
      </c>
      <c r="G333" s="162">
        <v>46199</v>
      </c>
      <c r="H333" s="131">
        <v>1</v>
      </c>
      <c r="I333" s="131">
        <v>1</v>
      </c>
      <c r="J333" s="141" t="s">
        <v>551</v>
      </c>
      <c r="K333" s="141">
        <v>1</v>
      </c>
      <c r="N333" s="141">
        <v>77</v>
      </c>
      <c r="U333" s="126">
        <v>-2</v>
      </c>
      <c r="V333" s="218">
        <v>9.52</v>
      </c>
      <c r="W333" s="218">
        <v>10</v>
      </c>
      <c r="X333" s="126">
        <v>1</v>
      </c>
      <c r="AA333" s="188">
        <v>46227.073946759258</v>
      </c>
      <c r="AB333" s="131">
        <v>4</v>
      </c>
      <c r="AC333" s="126">
        <v>6</v>
      </c>
      <c r="AD333" s="126">
        <v>2026</v>
      </c>
    </row>
    <row r="334" spans="3:30" ht="23.1" customHeight="1">
      <c r="C334" s="126">
        <v>327</v>
      </c>
      <c r="D334" s="126">
        <v>9</v>
      </c>
      <c r="E334" s="141" t="s">
        <v>1813</v>
      </c>
      <c r="F334" s="163" t="s">
        <v>1814</v>
      </c>
      <c r="G334" s="162">
        <v>46199</v>
      </c>
      <c r="H334" s="131">
        <v>1</v>
      </c>
      <c r="I334" s="131">
        <v>1</v>
      </c>
      <c r="J334" s="141" t="s">
        <v>551</v>
      </c>
      <c r="K334" s="141">
        <v>1</v>
      </c>
      <c r="N334" s="141">
        <v>77</v>
      </c>
      <c r="U334" s="126">
        <v>-8</v>
      </c>
      <c r="V334" s="218">
        <v>1.1499999999999999</v>
      </c>
      <c r="W334" s="218">
        <v>2</v>
      </c>
      <c r="X334" s="126">
        <v>1</v>
      </c>
      <c r="AA334" s="188">
        <v>46227.073946759258</v>
      </c>
      <c r="AB334" s="131">
        <v>4</v>
      </c>
      <c r="AC334" s="126">
        <v>6</v>
      </c>
      <c r="AD334" s="126">
        <v>2026</v>
      </c>
    </row>
    <row r="335" spans="3:30" ht="23.1" customHeight="1">
      <c r="C335" s="126">
        <v>328</v>
      </c>
      <c r="D335" s="126">
        <v>50</v>
      </c>
      <c r="E335" s="141" t="s">
        <v>803</v>
      </c>
      <c r="F335" s="163" t="s">
        <v>804</v>
      </c>
      <c r="G335" s="162">
        <v>46199</v>
      </c>
      <c r="H335" s="131">
        <v>1</v>
      </c>
      <c r="I335" s="131">
        <v>1</v>
      </c>
      <c r="J335" s="141" t="s">
        <v>551</v>
      </c>
      <c r="K335" s="141">
        <v>1</v>
      </c>
      <c r="N335" s="141">
        <v>77</v>
      </c>
      <c r="U335" s="126">
        <v>-5</v>
      </c>
      <c r="V335" s="218">
        <v>0.12</v>
      </c>
      <c r="W335" s="218">
        <v>0.25</v>
      </c>
      <c r="X335" s="126">
        <v>1</v>
      </c>
      <c r="AA335" s="188">
        <v>46227.073946759258</v>
      </c>
      <c r="AB335" s="131">
        <v>4</v>
      </c>
      <c r="AC335" s="126">
        <v>6</v>
      </c>
      <c r="AD335" s="126">
        <v>2026</v>
      </c>
    </row>
    <row r="336" spans="3:30" ht="23.1" customHeight="1">
      <c r="C336" s="126">
        <v>329</v>
      </c>
      <c r="D336" s="126">
        <v>49</v>
      </c>
      <c r="E336" s="141" t="s">
        <v>813</v>
      </c>
      <c r="F336" s="163" t="s">
        <v>814</v>
      </c>
      <c r="G336" s="162">
        <v>46199</v>
      </c>
      <c r="H336" s="131">
        <v>1</v>
      </c>
      <c r="I336" s="131">
        <v>1</v>
      </c>
      <c r="J336" s="141" t="s">
        <v>551</v>
      </c>
      <c r="K336" s="141">
        <v>1</v>
      </c>
      <c r="N336" s="141">
        <v>77</v>
      </c>
      <c r="U336" s="126">
        <v>-2</v>
      </c>
      <c r="V336" s="218">
        <v>0.28000000000000003</v>
      </c>
      <c r="W336" s="218">
        <v>0.38</v>
      </c>
      <c r="X336" s="126">
        <v>1</v>
      </c>
      <c r="AA336" s="188">
        <v>46227.073946759258</v>
      </c>
      <c r="AB336" s="131">
        <v>4</v>
      </c>
      <c r="AC336" s="126">
        <v>6</v>
      </c>
      <c r="AD336" s="126">
        <v>2026</v>
      </c>
    </row>
    <row r="337" spans="3:30" ht="23.1" customHeight="1">
      <c r="C337" s="126">
        <v>330</v>
      </c>
      <c r="D337" s="126">
        <v>66</v>
      </c>
      <c r="E337" s="141" t="s">
        <v>1216</v>
      </c>
      <c r="F337" s="163" t="s">
        <v>1217</v>
      </c>
      <c r="G337" s="162">
        <v>46199</v>
      </c>
      <c r="H337" s="131">
        <v>1</v>
      </c>
      <c r="I337" s="131">
        <v>1</v>
      </c>
      <c r="J337" s="141" t="s">
        <v>551</v>
      </c>
      <c r="K337" s="141">
        <v>1</v>
      </c>
      <c r="N337" s="141">
        <v>77</v>
      </c>
      <c r="U337" s="126">
        <v>-2</v>
      </c>
      <c r="V337" s="218">
        <v>0.41</v>
      </c>
      <c r="W337" s="218">
        <v>0.75</v>
      </c>
      <c r="X337" s="126">
        <v>1</v>
      </c>
      <c r="AA337" s="188">
        <v>46227.073946759258</v>
      </c>
      <c r="AB337" s="131">
        <v>4</v>
      </c>
      <c r="AC337" s="126">
        <v>6</v>
      </c>
      <c r="AD337" s="126">
        <v>2026</v>
      </c>
    </row>
    <row r="338" spans="3:30" ht="23.1" customHeight="1">
      <c r="C338" s="126">
        <v>331</v>
      </c>
      <c r="D338" s="126">
        <v>177</v>
      </c>
      <c r="E338" s="141" t="s">
        <v>752</v>
      </c>
      <c r="F338" s="163" t="s">
        <v>753</v>
      </c>
      <c r="G338" s="162">
        <v>46199</v>
      </c>
      <c r="H338" s="131">
        <v>1</v>
      </c>
      <c r="I338" s="131">
        <v>1</v>
      </c>
      <c r="J338" s="141" t="s">
        <v>551</v>
      </c>
      <c r="K338" s="141">
        <v>1</v>
      </c>
      <c r="N338" s="141">
        <v>78</v>
      </c>
      <c r="U338" s="126">
        <v>-500</v>
      </c>
      <c r="V338" s="218">
        <v>4.1500000000000004</v>
      </c>
      <c r="W338" s="218">
        <v>4.5</v>
      </c>
      <c r="X338" s="126">
        <v>1</v>
      </c>
      <c r="AA338" s="188">
        <v>46227.075613425928</v>
      </c>
      <c r="AB338" s="131">
        <v>4</v>
      </c>
      <c r="AC338" s="126">
        <v>6</v>
      </c>
      <c r="AD338" s="126">
        <v>2026</v>
      </c>
    </row>
    <row r="339" spans="3:30" ht="23.1" customHeight="1">
      <c r="C339" s="126">
        <v>332</v>
      </c>
      <c r="D339" s="126">
        <v>177</v>
      </c>
      <c r="E339" s="141" t="s">
        <v>752</v>
      </c>
      <c r="F339" s="163" t="s">
        <v>753</v>
      </c>
      <c r="G339" s="162">
        <v>46199</v>
      </c>
      <c r="H339" s="131">
        <v>1</v>
      </c>
      <c r="I339" s="131">
        <v>1</v>
      </c>
      <c r="J339" s="141" t="s">
        <v>551</v>
      </c>
      <c r="K339" s="141">
        <v>1</v>
      </c>
      <c r="N339" s="141">
        <v>79</v>
      </c>
      <c r="U339" s="126">
        <v>-250</v>
      </c>
      <c r="V339" s="218">
        <v>4.1500000000000004</v>
      </c>
      <c r="W339" s="218">
        <v>4.5</v>
      </c>
      <c r="X339" s="126">
        <v>1</v>
      </c>
      <c r="AA339" s="188">
        <v>46227.084236111114</v>
      </c>
      <c r="AB339" s="131">
        <v>4</v>
      </c>
      <c r="AC339" s="126">
        <v>6</v>
      </c>
      <c r="AD339" s="126">
        <v>2026</v>
      </c>
    </row>
    <row r="340" spans="3:30" ht="23.1" customHeight="1">
      <c r="C340" s="126">
        <v>333</v>
      </c>
      <c r="D340" s="126">
        <v>108</v>
      </c>
      <c r="E340" s="141" t="s">
        <v>1009</v>
      </c>
      <c r="F340" s="163" t="s">
        <v>1010</v>
      </c>
      <c r="G340" s="162">
        <v>46199</v>
      </c>
      <c r="H340" s="131">
        <v>1</v>
      </c>
      <c r="I340" s="131">
        <v>1</v>
      </c>
      <c r="J340" s="141" t="s">
        <v>551</v>
      </c>
      <c r="K340" s="130">
        <v>1</v>
      </c>
      <c r="N340" s="141">
        <v>79</v>
      </c>
      <c r="U340" s="126">
        <v>-5</v>
      </c>
      <c r="V340" s="218">
        <v>2.7</v>
      </c>
      <c r="W340" s="218">
        <v>3</v>
      </c>
      <c r="X340" s="126">
        <v>1</v>
      </c>
      <c r="AA340" s="188">
        <v>46227.084236111114</v>
      </c>
      <c r="AB340" s="131">
        <v>4</v>
      </c>
      <c r="AC340" s="126">
        <v>6</v>
      </c>
      <c r="AD340" s="126">
        <v>2026</v>
      </c>
    </row>
    <row r="341" spans="3:30" ht="23.1" customHeight="1">
      <c r="C341" s="126">
        <v>334</v>
      </c>
      <c r="D341" s="126">
        <v>29</v>
      </c>
      <c r="E341" s="141" t="s">
        <v>1523</v>
      </c>
      <c r="F341" s="163" t="s">
        <v>1524</v>
      </c>
      <c r="G341" s="162">
        <v>46199</v>
      </c>
      <c r="H341" s="131">
        <v>1</v>
      </c>
      <c r="I341" s="131">
        <v>1</v>
      </c>
      <c r="J341" s="141" t="s">
        <v>551</v>
      </c>
      <c r="K341" s="130">
        <v>1</v>
      </c>
      <c r="N341" s="141">
        <v>79</v>
      </c>
      <c r="U341" s="126">
        <v>-4</v>
      </c>
      <c r="V341" s="218">
        <v>4.2300000000000004</v>
      </c>
      <c r="W341" s="218">
        <v>5</v>
      </c>
      <c r="X341" s="126">
        <v>1</v>
      </c>
      <c r="AA341" s="188">
        <v>46227.084236111114</v>
      </c>
      <c r="AB341" s="131">
        <v>4</v>
      </c>
      <c r="AC341" s="126">
        <v>6</v>
      </c>
      <c r="AD341" s="126">
        <v>2026</v>
      </c>
    </row>
    <row r="342" spans="3:30" ht="23.1" customHeight="1">
      <c r="C342" s="126">
        <v>335</v>
      </c>
      <c r="D342" s="126">
        <v>51</v>
      </c>
      <c r="E342" s="141" t="s">
        <v>1339</v>
      </c>
      <c r="F342" s="163" t="s">
        <v>1340</v>
      </c>
      <c r="G342" s="162">
        <v>46200</v>
      </c>
      <c r="H342" s="131">
        <v>1</v>
      </c>
      <c r="I342" s="131">
        <v>1</v>
      </c>
      <c r="J342" s="141" t="s">
        <v>551</v>
      </c>
      <c r="K342" s="130">
        <v>1</v>
      </c>
      <c r="N342" s="141">
        <v>80</v>
      </c>
      <c r="U342" s="126">
        <v>-9</v>
      </c>
      <c r="V342" s="218">
        <v>4.49</v>
      </c>
      <c r="W342" s="218">
        <v>5</v>
      </c>
      <c r="X342" s="126">
        <v>1</v>
      </c>
      <c r="AA342" s="188">
        <v>46227.27244212963</v>
      </c>
      <c r="AB342" s="131">
        <v>4</v>
      </c>
      <c r="AC342" s="126">
        <v>6</v>
      </c>
      <c r="AD342" s="126">
        <v>2026</v>
      </c>
    </row>
    <row r="343" spans="3:30" ht="23.1" customHeight="1">
      <c r="C343" s="126">
        <v>336</v>
      </c>
      <c r="D343" s="126">
        <v>183</v>
      </c>
      <c r="E343" s="141" t="s">
        <v>766</v>
      </c>
      <c r="F343" s="163" t="s">
        <v>767</v>
      </c>
      <c r="G343" s="162">
        <v>46200</v>
      </c>
      <c r="H343" s="131">
        <v>1</v>
      </c>
      <c r="I343" s="131">
        <v>1</v>
      </c>
      <c r="J343" s="141" t="s">
        <v>551</v>
      </c>
      <c r="K343" s="130">
        <v>1</v>
      </c>
      <c r="N343" s="141">
        <v>81</v>
      </c>
      <c r="U343" s="126">
        <v>-192</v>
      </c>
      <c r="V343" s="218">
        <v>4</v>
      </c>
      <c r="W343" s="218">
        <v>4</v>
      </c>
      <c r="X343" s="126">
        <v>1</v>
      </c>
      <c r="AA343" s="188">
        <v>46227.276273148149</v>
      </c>
      <c r="AB343" s="131">
        <v>4</v>
      </c>
      <c r="AC343" s="126">
        <v>6</v>
      </c>
      <c r="AD343" s="126">
        <v>2026</v>
      </c>
    </row>
    <row r="344" spans="3:30" ht="23.1" customHeight="1">
      <c r="C344" s="126">
        <v>337</v>
      </c>
      <c r="D344" s="126">
        <v>181</v>
      </c>
      <c r="E344" s="141" t="s">
        <v>761</v>
      </c>
      <c r="F344" s="163" t="s">
        <v>762</v>
      </c>
      <c r="G344" s="162">
        <v>46200</v>
      </c>
      <c r="H344" s="131">
        <v>1</v>
      </c>
      <c r="I344" s="131">
        <v>1</v>
      </c>
      <c r="J344" s="141" t="s">
        <v>551</v>
      </c>
      <c r="K344" s="130">
        <v>1</v>
      </c>
      <c r="N344" s="141">
        <v>81</v>
      </c>
      <c r="U344" s="126">
        <v>-120</v>
      </c>
      <c r="V344" s="218">
        <v>1</v>
      </c>
      <c r="W344" s="218">
        <v>1.5</v>
      </c>
      <c r="X344" s="126">
        <v>1</v>
      </c>
      <c r="AA344" s="188">
        <v>46227.276273148149</v>
      </c>
      <c r="AB344" s="131">
        <v>4</v>
      </c>
      <c r="AC344" s="126">
        <v>6</v>
      </c>
      <c r="AD344" s="126">
        <v>2026</v>
      </c>
    </row>
    <row r="345" spans="3:30" ht="23.1" customHeight="1">
      <c r="C345" s="126">
        <v>338</v>
      </c>
      <c r="D345" s="126">
        <v>195</v>
      </c>
      <c r="E345" s="141" t="s">
        <v>608</v>
      </c>
      <c r="F345" s="163" t="s">
        <v>609</v>
      </c>
      <c r="G345" s="162">
        <v>46200</v>
      </c>
      <c r="H345" s="131">
        <v>1</v>
      </c>
      <c r="I345" s="131">
        <v>1</v>
      </c>
      <c r="J345" s="141" t="s">
        <v>551</v>
      </c>
      <c r="K345" s="141">
        <v>1</v>
      </c>
      <c r="N345" s="141">
        <v>81</v>
      </c>
      <c r="U345" s="126">
        <v>-8</v>
      </c>
      <c r="V345" s="218">
        <v>6.28</v>
      </c>
      <c r="W345" s="218">
        <v>6</v>
      </c>
      <c r="X345" s="126">
        <v>1</v>
      </c>
      <c r="AA345" s="188">
        <v>46227.276273148149</v>
      </c>
      <c r="AB345" s="131">
        <v>4</v>
      </c>
      <c r="AC345" s="126">
        <v>6</v>
      </c>
      <c r="AD345" s="126">
        <v>2026</v>
      </c>
    </row>
    <row r="346" spans="3:30" ht="23.1" customHeight="1">
      <c r="C346" s="126">
        <v>339</v>
      </c>
      <c r="D346" s="126">
        <v>16</v>
      </c>
      <c r="E346" s="141" t="s">
        <v>699</v>
      </c>
      <c r="F346" s="163" t="s">
        <v>700</v>
      </c>
      <c r="G346" s="162">
        <v>46200</v>
      </c>
      <c r="H346" s="131">
        <v>1</v>
      </c>
      <c r="I346" s="131">
        <v>1</v>
      </c>
      <c r="J346" s="141" t="s">
        <v>551</v>
      </c>
      <c r="K346" s="141">
        <v>1</v>
      </c>
      <c r="N346" s="141">
        <v>81</v>
      </c>
      <c r="U346" s="126">
        <v>-2</v>
      </c>
      <c r="V346" s="218">
        <v>2.1</v>
      </c>
      <c r="W346" s="218">
        <v>2.75</v>
      </c>
      <c r="X346" s="126">
        <v>1</v>
      </c>
      <c r="AA346" s="188">
        <v>46227.276273148149</v>
      </c>
      <c r="AB346" s="131">
        <v>4</v>
      </c>
      <c r="AC346" s="126">
        <v>6</v>
      </c>
      <c r="AD346" s="126">
        <v>2026</v>
      </c>
    </row>
    <row r="347" spans="3:30" ht="23.1" customHeight="1">
      <c r="C347" s="126">
        <v>340</v>
      </c>
      <c r="D347" s="126">
        <v>177</v>
      </c>
      <c r="E347" s="141" t="s">
        <v>752</v>
      </c>
      <c r="F347" s="163" t="s">
        <v>753</v>
      </c>
      <c r="G347" s="162">
        <v>46200</v>
      </c>
      <c r="H347" s="131">
        <v>1</v>
      </c>
      <c r="I347" s="131">
        <v>1</v>
      </c>
      <c r="J347" s="141" t="s">
        <v>551</v>
      </c>
      <c r="K347" s="141">
        <v>1</v>
      </c>
      <c r="N347" s="141">
        <v>82</v>
      </c>
      <c r="U347" s="126">
        <v>-250</v>
      </c>
      <c r="V347" s="218">
        <v>4.1500000000000004</v>
      </c>
      <c r="W347" s="218">
        <v>4.75</v>
      </c>
      <c r="X347" s="126">
        <v>1</v>
      </c>
      <c r="AA347" s="188">
        <v>46227.278680555559</v>
      </c>
      <c r="AB347" s="131">
        <v>4</v>
      </c>
      <c r="AC347" s="126">
        <v>6</v>
      </c>
      <c r="AD347" s="126">
        <v>2026</v>
      </c>
    </row>
    <row r="348" spans="3:30" ht="23.1" customHeight="1">
      <c r="C348" s="126">
        <v>341</v>
      </c>
      <c r="D348" s="126">
        <v>4</v>
      </c>
      <c r="E348" s="141" t="s">
        <v>581</v>
      </c>
      <c r="F348" s="163" t="s">
        <v>582</v>
      </c>
      <c r="G348" s="162">
        <v>46200</v>
      </c>
      <c r="H348" s="131">
        <v>1</v>
      </c>
      <c r="I348" s="131">
        <v>1</v>
      </c>
      <c r="J348" s="141" t="s">
        <v>551</v>
      </c>
      <c r="K348" s="141">
        <v>1</v>
      </c>
      <c r="N348" s="141">
        <v>82</v>
      </c>
      <c r="U348" s="126">
        <v>-7</v>
      </c>
      <c r="V348" s="218">
        <v>5.8</v>
      </c>
      <c r="W348" s="218">
        <v>6.25</v>
      </c>
      <c r="X348" s="126">
        <v>1</v>
      </c>
      <c r="AA348" s="188">
        <v>46227.278680555559</v>
      </c>
      <c r="AB348" s="131">
        <v>4</v>
      </c>
      <c r="AC348" s="126">
        <v>6</v>
      </c>
      <c r="AD348" s="126">
        <v>2026</v>
      </c>
    </row>
    <row r="349" spans="3:30" ht="23.1" customHeight="1">
      <c r="C349" s="126">
        <v>342</v>
      </c>
      <c r="D349" s="126">
        <v>177</v>
      </c>
      <c r="E349" s="141" t="s">
        <v>752</v>
      </c>
      <c r="F349" s="163" t="s">
        <v>753</v>
      </c>
      <c r="G349" s="162">
        <v>46201</v>
      </c>
      <c r="H349" s="131">
        <v>1</v>
      </c>
      <c r="I349" s="131">
        <v>1</v>
      </c>
      <c r="J349" s="141" t="s">
        <v>551</v>
      </c>
      <c r="K349" s="141">
        <v>1</v>
      </c>
      <c r="N349" s="141">
        <v>83</v>
      </c>
      <c r="U349" s="126">
        <v>-500</v>
      </c>
      <c r="V349" s="218">
        <v>4.1500000000000004</v>
      </c>
      <c r="W349" s="218">
        <v>4.5</v>
      </c>
      <c r="X349" s="126">
        <v>1</v>
      </c>
      <c r="AA349" s="188">
        <v>46227.298263888886</v>
      </c>
      <c r="AB349" s="131">
        <v>4</v>
      </c>
      <c r="AC349" s="126">
        <v>6</v>
      </c>
      <c r="AD349" s="126">
        <v>2026</v>
      </c>
    </row>
    <row r="350" spans="3:30" ht="23.1" customHeight="1">
      <c r="C350" s="126">
        <v>343</v>
      </c>
      <c r="D350" s="126">
        <v>61</v>
      </c>
      <c r="E350" s="141" t="s">
        <v>1924</v>
      </c>
      <c r="F350" s="163" t="s">
        <v>1925</v>
      </c>
      <c r="G350" s="162">
        <v>46201</v>
      </c>
      <c r="H350" s="131">
        <v>1</v>
      </c>
      <c r="I350" s="131">
        <v>1</v>
      </c>
      <c r="J350" s="141" t="s">
        <v>551</v>
      </c>
      <c r="K350" s="141">
        <v>1</v>
      </c>
      <c r="N350" s="141">
        <v>83</v>
      </c>
      <c r="U350" s="126">
        <v>-1</v>
      </c>
      <c r="V350" s="218">
        <v>6.41</v>
      </c>
      <c r="W350" s="218">
        <v>7</v>
      </c>
      <c r="X350" s="126">
        <v>1</v>
      </c>
      <c r="AA350" s="188">
        <v>46227.298263888886</v>
      </c>
      <c r="AB350" s="131">
        <v>4</v>
      </c>
      <c r="AC350" s="126">
        <v>6</v>
      </c>
      <c r="AD350" s="126">
        <v>2026</v>
      </c>
    </row>
    <row r="351" spans="3:30" ht="23.1" customHeight="1">
      <c r="C351" s="126">
        <v>344</v>
      </c>
      <c r="D351" s="126">
        <v>146</v>
      </c>
      <c r="E351" s="141" t="s">
        <v>1929</v>
      </c>
      <c r="F351" s="163" t="s">
        <v>1930</v>
      </c>
      <c r="G351" s="162">
        <v>46201</v>
      </c>
      <c r="H351" s="131">
        <v>1</v>
      </c>
      <c r="I351" s="131">
        <v>1</v>
      </c>
      <c r="J351" s="141" t="s">
        <v>551</v>
      </c>
      <c r="K351" s="141">
        <v>1</v>
      </c>
      <c r="N351" s="141">
        <v>83</v>
      </c>
      <c r="U351" s="126">
        <v>-5</v>
      </c>
      <c r="V351" s="218">
        <v>0.04</v>
      </c>
      <c r="W351" s="218">
        <v>0.25</v>
      </c>
      <c r="X351" s="126">
        <v>1</v>
      </c>
      <c r="AA351" s="188">
        <v>46227.298263888886</v>
      </c>
      <c r="AB351" s="131">
        <v>4</v>
      </c>
      <c r="AC351" s="126">
        <v>6</v>
      </c>
      <c r="AD351" s="126">
        <v>2026</v>
      </c>
    </row>
    <row r="352" spans="3:30" ht="23.1" customHeight="1">
      <c r="C352" s="126">
        <v>345</v>
      </c>
      <c r="D352" s="126">
        <v>176</v>
      </c>
      <c r="E352" s="141" t="s">
        <v>748</v>
      </c>
      <c r="F352" s="163" t="s">
        <v>749</v>
      </c>
      <c r="G352" s="162">
        <v>46201</v>
      </c>
      <c r="H352" s="131">
        <v>1</v>
      </c>
      <c r="I352" s="131">
        <v>1</v>
      </c>
      <c r="J352" s="141" t="s">
        <v>551</v>
      </c>
      <c r="K352" s="141">
        <v>1</v>
      </c>
      <c r="N352" s="141">
        <v>84</v>
      </c>
      <c r="U352" s="126">
        <v>-50</v>
      </c>
      <c r="V352" s="218">
        <v>4.25</v>
      </c>
      <c r="W352" s="218">
        <v>4.75</v>
      </c>
      <c r="X352" s="126">
        <v>1</v>
      </c>
      <c r="AA352" s="188">
        <v>46227.418321759258</v>
      </c>
      <c r="AB352" s="131">
        <v>4</v>
      </c>
      <c r="AC352" s="126">
        <v>6</v>
      </c>
      <c r="AD352" s="126">
        <v>2026</v>
      </c>
    </row>
    <row r="353" spans="3:30" ht="23.1" customHeight="1">
      <c r="C353" s="126">
        <v>346</v>
      </c>
      <c r="D353" s="126">
        <v>66</v>
      </c>
      <c r="E353" s="141" t="s">
        <v>1216</v>
      </c>
      <c r="F353" s="163" t="s">
        <v>1217</v>
      </c>
      <c r="G353" s="162">
        <v>46201</v>
      </c>
      <c r="H353" s="131">
        <v>1</v>
      </c>
      <c r="I353" s="131">
        <v>1</v>
      </c>
      <c r="J353" s="141" t="s">
        <v>551</v>
      </c>
      <c r="K353" s="141">
        <v>1</v>
      </c>
      <c r="N353" s="141">
        <v>84</v>
      </c>
      <c r="U353" s="126">
        <v>-2</v>
      </c>
      <c r="V353" s="218">
        <v>0.41</v>
      </c>
      <c r="W353" s="218">
        <v>0.75</v>
      </c>
      <c r="X353" s="126">
        <v>1</v>
      </c>
      <c r="AA353" s="188">
        <v>46227.418321759258</v>
      </c>
      <c r="AB353" s="131">
        <v>4</v>
      </c>
      <c r="AC353" s="126">
        <v>6</v>
      </c>
      <c r="AD353" s="126">
        <v>2026</v>
      </c>
    </row>
    <row r="354" spans="3:30" ht="23.1" customHeight="1">
      <c r="C354" s="126">
        <v>347</v>
      </c>
      <c r="D354" s="126">
        <v>75</v>
      </c>
      <c r="E354" s="141" t="s">
        <v>1381</v>
      </c>
      <c r="F354" s="163" t="s">
        <v>1382</v>
      </c>
      <c r="G354" s="162">
        <v>46201</v>
      </c>
      <c r="H354" s="131">
        <v>1</v>
      </c>
      <c r="I354" s="131">
        <v>1</v>
      </c>
      <c r="J354" s="141" t="s">
        <v>551</v>
      </c>
      <c r="K354" s="141">
        <v>1</v>
      </c>
      <c r="N354" s="141">
        <v>84</v>
      </c>
      <c r="U354" s="126">
        <v>-2</v>
      </c>
      <c r="V354" s="218">
        <v>0.13</v>
      </c>
      <c r="W354" s="218">
        <v>0.25</v>
      </c>
      <c r="X354" s="126">
        <v>1</v>
      </c>
      <c r="AA354" s="188">
        <v>46227.418321759258</v>
      </c>
      <c r="AB354" s="131">
        <v>4</v>
      </c>
      <c r="AC354" s="126">
        <v>6</v>
      </c>
      <c r="AD354" s="126">
        <v>2026</v>
      </c>
    </row>
    <row r="355" spans="3:30" ht="23.1" customHeight="1">
      <c r="C355" s="126">
        <v>348</v>
      </c>
      <c r="D355" s="126">
        <v>182</v>
      </c>
      <c r="E355" s="141" t="s">
        <v>627</v>
      </c>
      <c r="F355" s="163" t="s">
        <v>628</v>
      </c>
      <c r="G355" s="162">
        <v>46201</v>
      </c>
      <c r="H355" s="131">
        <v>1</v>
      </c>
      <c r="I355" s="131">
        <v>1</v>
      </c>
      <c r="J355" s="141" t="s">
        <v>551</v>
      </c>
      <c r="K355" s="141">
        <v>1</v>
      </c>
      <c r="N355" s="141">
        <v>84</v>
      </c>
      <c r="U355" s="126">
        <v>-12</v>
      </c>
      <c r="V355" s="218">
        <v>2</v>
      </c>
      <c r="W355" s="218">
        <v>2.5</v>
      </c>
      <c r="X355" s="126">
        <v>1</v>
      </c>
      <c r="AA355" s="188">
        <v>46227.418321759258</v>
      </c>
      <c r="AB355" s="131">
        <v>4</v>
      </c>
      <c r="AC355" s="126">
        <v>6</v>
      </c>
      <c r="AD355" s="126">
        <v>2026</v>
      </c>
    </row>
    <row r="356" spans="3:30" ht="23.1" customHeight="1">
      <c r="C356" s="126">
        <v>349</v>
      </c>
      <c r="D356" s="126">
        <v>105</v>
      </c>
      <c r="E356" s="141" t="s">
        <v>591</v>
      </c>
      <c r="F356" s="163" t="s">
        <v>592</v>
      </c>
      <c r="G356" s="162">
        <v>46201</v>
      </c>
      <c r="H356" s="131">
        <v>1</v>
      </c>
      <c r="I356" s="131">
        <v>1</v>
      </c>
      <c r="J356" s="141" t="s">
        <v>551</v>
      </c>
      <c r="K356" s="141">
        <v>1</v>
      </c>
      <c r="N356" s="141">
        <v>84</v>
      </c>
      <c r="U356" s="126">
        <v>-1</v>
      </c>
      <c r="V356" s="218">
        <v>1.1000000000000001</v>
      </c>
      <c r="W356" s="218">
        <v>1.5</v>
      </c>
      <c r="X356" s="126">
        <v>1</v>
      </c>
      <c r="AA356" s="188">
        <v>46227.418321759258</v>
      </c>
      <c r="AB356" s="131">
        <v>4</v>
      </c>
      <c r="AC356" s="126">
        <v>6</v>
      </c>
      <c r="AD356" s="126">
        <v>2026</v>
      </c>
    </row>
    <row r="357" spans="3:30" ht="23.1" customHeight="1">
      <c r="C357" s="126">
        <v>350</v>
      </c>
      <c r="D357" s="126">
        <v>34</v>
      </c>
      <c r="E357" s="141" t="s">
        <v>1193</v>
      </c>
      <c r="F357" s="163" t="s">
        <v>1194</v>
      </c>
      <c r="G357" s="162">
        <v>46201</v>
      </c>
      <c r="H357" s="131">
        <v>1</v>
      </c>
      <c r="I357" s="131">
        <v>1</v>
      </c>
      <c r="J357" s="141" t="s">
        <v>551</v>
      </c>
      <c r="K357" s="141">
        <v>1</v>
      </c>
      <c r="N357" s="141">
        <v>84</v>
      </c>
      <c r="U357" s="126">
        <v>-1</v>
      </c>
      <c r="V357" s="218">
        <v>0.5</v>
      </c>
      <c r="W357" s="218">
        <v>1</v>
      </c>
      <c r="X357" s="126">
        <v>1</v>
      </c>
      <c r="AA357" s="188">
        <v>46227.418321759258</v>
      </c>
      <c r="AB357" s="131">
        <v>4</v>
      </c>
      <c r="AC357" s="126">
        <v>6</v>
      </c>
      <c r="AD357" s="126">
        <v>2026</v>
      </c>
    </row>
    <row r="358" spans="3:30" ht="23.1" customHeight="1">
      <c r="C358" s="126">
        <v>351</v>
      </c>
      <c r="D358" s="126">
        <v>50</v>
      </c>
      <c r="E358" s="141" t="s">
        <v>803</v>
      </c>
      <c r="F358" s="163" t="s">
        <v>804</v>
      </c>
      <c r="G358" s="162">
        <v>46201</v>
      </c>
      <c r="H358" s="131">
        <v>1</v>
      </c>
      <c r="I358" s="131">
        <v>1</v>
      </c>
      <c r="J358" s="141" t="s">
        <v>551</v>
      </c>
      <c r="K358" s="141">
        <v>1</v>
      </c>
      <c r="N358" s="141">
        <v>84</v>
      </c>
      <c r="U358" s="126">
        <v>-4</v>
      </c>
      <c r="V358" s="218">
        <v>0.12</v>
      </c>
      <c r="W358" s="218">
        <v>0.25</v>
      </c>
      <c r="X358" s="126">
        <v>1</v>
      </c>
      <c r="AA358" s="188">
        <v>46227.418321759258</v>
      </c>
      <c r="AB358" s="131">
        <v>4</v>
      </c>
      <c r="AC358" s="126">
        <v>6</v>
      </c>
      <c r="AD358" s="126">
        <v>2026</v>
      </c>
    </row>
    <row r="359" spans="3:30" ht="23.1" customHeight="1">
      <c r="C359" s="126">
        <v>352</v>
      </c>
      <c r="D359" s="126">
        <v>142</v>
      </c>
      <c r="E359" s="141" t="s">
        <v>798</v>
      </c>
      <c r="F359" s="163" t="s">
        <v>799</v>
      </c>
      <c r="G359" s="162">
        <v>46201</v>
      </c>
      <c r="H359" s="131">
        <v>1</v>
      </c>
      <c r="I359" s="131">
        <v>1</v>
      </c>
      <c r="J359" s="141" t="s">
        <v>551</v>
      </c>
      <c r="K359" s="141">
        <v>1</v>
      </c>
      <c r="N359" s="141">
        <v>84</v>
      </c>
      <c r="U359" s="126">
        <v>-3</v>
      </c>
      <c r="V359" s="218">
        <v>0.34</v>
      </c>
      <c r="W359" s="218">
        <v>0.63</v>
      </c>
      <c r="X359" s="126">
        <v>1</v>
      </c>
      <c r="AA359" s="188">
        <v>46227.418321759258</v>
      </c>
      <c r="AB359" s="131">
        <v>4</v>
      </c>
      <c r="AC359" s="126">
        <v>6</v>
      </c>
      <c r="AD359" s="126">
        <v>2026</v>
      </c>
    </row>
    <row r="360" spans="3:30" ht="23.1" customHeight="1">
      <c r="C360" s="126">
        <v>353</v>
      </c>
      <c r="D360" s="126">
        <v>144</v>
      </c>
      <c r="E360" s="141" t="s">
        <v>996</v>
      </c>
      <c r="F360" s="163" t="s">
        <v>997</v>
      </c>
      <c r="G360" s="162">
        <v>46201</v>
      </c>
      <c r="H360" s="131">
        <v>1</v>
      </c>
      <c r="I360" s="131">
        <v>1</v>
      </c>
      <c r="J360" s="141" t="s">
        <v>551</v>
      </c>
      <c r="K360" s="141">
        <v>1</v>
      </c>
      <c r="N360" s="141">
        <v>84</v>
      </c>
      <c r="U360" s="126">
        <v>-2</v>
      </c>
      <c r="V360" s="218">
        <v>0.3</v>
      </c>
      <c r="W360" s="218">
        <v>0.75</v>
      </c>
      <c r="X360" s="126">
        <v>1</v>
      </c>
      <c r="AA360" s="188">
        <v>46227.418321759258</v>
      </c>
      <c r="AB360" s="131">
        <v>4</v>
      </c>
      <c r="AC360" s="126">
        <v>6</v>
      </c>
      <c r="AD360" s="126">
        <v>2026</v>
      </c>
    </row>
    <row r="361" spans="3:30" ht="23.1" customHeight="1">
      <c r="C361" s="126">
        <v>354</v>
      </c>
      <c r="D361" s="126">
        <v>29</v>
      </c>
      <c r="E361" s="141" t="s">
        <v>1523</v>
      </c>
      <c r="F361" s="163" t="s">
        <v>1524</v>
      </c>
      <c r="G361" s="162">
        <v>46201</v>
      </c>
      <c r="H361" s="131">
        <v>1</v>
      </c>
      <c r="I361" s="131">
        <v>1</v>
      </c>
      <c r="J361" s="141" t="s">
        <v>551</v>
      </c>
      <c r="K361" s="141">
        <v>1</v>
      </c>
      <c r="N361" s="141">
        <v>84</v>
      </c>
      <c r="U361" s="126">
        <v>-2</v>
      </c>
      <c r="V361" s="218">
        <v>4.2300000000000004</v>
      </c>
      <c r="W361" s="218">
        <v>5</v>
      </c>
      <c r="X361" s="126">
        <v>1</v>
      </c>
      <c r="AA361" s="188">
        <v>46227.418321759258</v>
      </c>
      <c r="AB361" s="131">
        <v>4</v>
      </c>
      <c r="AC361" s="126">
        <v>6</v>
      </c>
      <c r="AD361" s="126">
        <v>2026</v>
      </c>
    </row>
    <row r="362" spans="3:30" ht="23.1" customHeight="1">
      <c r="C362" s="126">
        <v>355</v>
      </c>
      <c r="D362" s="126">
        <v>37</v>
      </c>
      <c r="E362" s="141" t="s">
        <v>1515</v>
      </c>
      <c r="F362" s="163" t="s">
        <v>1516</v>
      </c>
      <c r="G362" s="162">
        <v>46201</v>
      </c>
      <c r="H362" s="131">
        <v>1</v>
      </c>
      <c r="I362" s="131">
        <v>1</v>
      </c>
      <c r="J362" s="141" t="s">
        <v>551</v>
      </c>
      <c r="K362" s="141">
        <v>1</v>
      </c>
      <c r="N362" s="141">
        <v>84</v>
      </c>
      <c r="U362" s="126">
        <v>-1</v>
      </c>
      <c r="V362" s="218">
        <v>0.66</v>
      </c>
      <c r="W362" s="218">
        <v>2</v>
      </c>
      <c r="X362" s="126">
        <v>1</v>
      </c>
      <c r="AA362" s="188">
        <v>46227.418321759258</v>
      </c>
      <c r="AB362" s="131">
        <v>4</v>
      </c>
      <c r="AC362" s="126">
        <v>6</v>
      </c>
      <c r="AD362" s="126">
        <v>2026</v>
      </c>
    </row>
    <row r="363" spans="3:30" ht="23.1" customHeight="1">
      <c r="C363" s="126">
        <v>356</v>
      </c>
      <c r="D363" s="126">
        <v>49</v>
      </c>
      <c r="E363" s="141" t="s">
        <v>813</v>
      </c>
      <c r="F363" s="163" t="s">
        <v>814</v>
      </c>
      <c r="G363" s="162">
        <v>46201</v>
      </c>
      <c r="H363" s="131">
        <v>1</v>
      </c>
      <c r="I363" s="131">
        <v>1</v>
      </c>
      <c r="J363" s="141" t="s">
        <v>551</v>
      </c>
      <c r="K363" s="141">
        <v>1</v>
      </c>
      <c r="N363" s="141">
        <v>84</v>
      </c>
      <c r="U363" s="126">
        <v>-3</v>
      </c>
      <c r="V363" s="218">
        <v>0.28000000000000003</v>
      </c>
      <c r="W363" s="218">
        <v>0.38</v>
      </c>
      <c r="X363" s="126">
        <v>1</v>
      </c>
      <c r="AA363" s="188">
        <v>46227.418321759258</v>
      </c>
      <c r="AB363" s="131">
        <v>4</v>
      </c>
      <c r="AC363" s="126">
        <v>6</v>
      </c>
      <c r="AD363" s="126">
        <v>2026</v>
      </c>
    </row>
    <row r="364" spans="3:30" ht="23.1" customHeight="1">
      <c r="C364" s="126">
        <v>357</v>
      </c>
      <c r="D364" s="126">
        <v>108</v>
      </c>
      <c r="E364" s="141" t="s">
        <v>1009</v>
      </c>
      <c r="F364" s="163" t="s">
        <v>1010</v>
      </c>
      <c r="G364" s="162">
        <v>46201</v>
      </c>
      <c r="H364" s="131">
        <v>1</v>
      </c>
      <c r="I364" s="131">
        <v>1</v>
      </c>
      <c r="J364" s="141" t="s">
        <v>551</v>
      </c>
      <c r="K364" s="141">
        <v>1</v>
      </c>
      <c r="N364" s="141">
        <v>84</v>
      </c>
      <c r="U364" s="126">
        <v>-1</v>
      </c>
      <c r="V364" s="218">
        <v>2.7</v>
      </c>
      <c r="W364" s="218">
        <v>3</v>
      </c>
      <c r="X364" s="126">
        <v>1</v>
      </c>
      <c r="AA364" s="188">
        <v>46227.418321759258</v>
      </c>
      <c r="AB364" s="131">
        <v>4</v>
      </c>
      <c r="AC364" s="126">
        <v>6</v>
      </c>
      <c r="AD364" s="126">
        <v>2026</v>
      </c>
    </row>
    <row r="365" spans="3:30" ht="23.1" customHeight="1">
      <c r="C365" s="126">
        <v>358</v>
      </c>
      <c r="D365" s="126">
        <v>153</v>
      </c>
      <c r="E365" s="141" t="s">
        <v>554</v>
      </c>
      <c r="F365" s="163" t="s">
        <v>555</v>
      </c>
      <c r="G365" s="162">
        <v>46201</v>
      </c>
      <c r="H365" s="131">
        <v>1</v>
      </c>
      <c r="I365" s="131">
        <v>1</v>
      </c>
      <c r="J365" s="141" t="s">
        <v>551</v>
      </c>
      <c r="K365" s="141">
        <v>1</v>
      </c>
      <c r="N365" s="141">
        <v>84</v>
      </c>
      <c r="U365" s="126">
        <v>-2</v>
      </c>
      <c r="V365" s="218">
        <v>3.3</v>
      </c>
      <c r="W365" s="218">
        <v>3.75</v>
      </c>
      <c r="X365" s="126">
        <v>1</v>
      </c>
      <c r="AA365" s="188">
        <v>46227.418321759258</v>
      </c>
      <c r="AB365" s="131">
        <v>4</v>
      </c>
      <c r="AC365" s="126">
        <v>6</v>
      </c>
      <c r="AD365" s="126">
        <v>2026</v>
      </c>
    </row>
    <row r="366" spans="3:30" ht="23.1" customHeight="1">
      <c r="C366" s="126">
        <v>359</v>
      </c>
      <c r="D366" s="126">
        <v>181</v>
      </c>
      <c r="E366" s="141" t="s">
        <v>761</v>
      </c>
      <c r="F366" s="163" t="s">
        <v>762</v>
      </c>
      <c r="G366" s="162">
        <v>46201</v>
      </c>
      <c r="H366" s="131">
        <v>1</v>
      </c>
      <c r="I366" s="131">
        <v>1</v>
      </c>
      <c r="J366" s="141" t="s">
        <v>551</v>
      </c>
      <c r="K366" s="141">
        <v>1</v>
      </c>
      <c r="N366" s="141">
        <v>84</v>
      </c>
      <c r="U366" s="126">
        <v>-12</v>
      </c>
      <c r="V366" s="218">
        <v>1</v>
      </c>
      <c r="W366" s="218">
        <v>1.5</v>
      </c>
      <c r="X366" s="126">
        <v>1</v>
      </c>
      <c r="AA366" s="188">
        <v>46227.418321759258</v>
      </c>
      <c r="AB366" s="131">
        <v>4</v>
      </c>
      <c r="AC366" s="126">
        <v>6</v>
      </c>
      <c r="AD366" s="126">
        <v>2026</v>
      </c>
    </row>
    <row r="367" spans="3:30" ht="23.1" customHeight="1">
      <c r="C367" s="126">
        <v>360</v>
      </c>
      <c r="D367" s="126">
        <v>101</v>
      </c>
      <c r="E367" s="141" t="s">
        <v>718</v>
      </c>
      <c r="F367" s="163" t="s">
        <v>719</v>
      </c>
      <c r="G367" s="162">
        <v>46201</v>
      </c>
      <c r="H367" s="131">
        <v>1</v>
      </c>
      <c r="I367" s="131">
        <v>1</v>
      </c>
      <c r="J367" s="141" t="s">
        <v>551</v>
      </c>
      <c r="K367" s="141">
        <v>1</v>
      </c>
      <c r="N367" s="141">
        <v>84</v>
      </c>
      <c r="U367" s="126">
        <v>-500</v>
      </c>
      <c r="V367" s="218">
        <v>0</v>
      </c>
      <c r="W367" s="218">
        <v>0</v>
      </c>
      <c r="X367" s="126">
        <v>1</v>
      </c>
      <c r="AA367" s="188">
        <v>46227.418321759258</v>
      </c>
      <c r="AB367" s="131">
        <v>4</v>
      </c>
      <c r="AC367" s="126">
        <v>6</v>
      </c>
      <c r="AD367" s="126">
        <v>2026</v>
      </c>
    </row>
    <row r="368" spans="3:30" ht="23.1" customHeight="1">
      <c r="C368" s="126">
        <v>361</v>
      </c>
      <c r="D368" s="126">
        <v>7</v>
      </c>
      <c r="E368" s="141" t="s">
        <v>818</v>
      </c>
      <c r="F368" s="163" t="s">
        <v>819</v>
      </c>
      <c r="G368" s="162">
        <v>46201</v>
      </c>
      <c r="H368" s="131">
        <v>1</v>
      </c>
      <c r="I368" s="131">
        <v>1</v>
      </c>
      <c r="J368" s="141" t="s">
        <v>551</v>
      </c>
      <c r="K368" s="141">
        <v>1</v>
      </c>
      <c r="N368" s="141">
        <v>84</v>
      </c>
      <c r="U368" s="126">
        <v>-1</v>
      </c>
      <c r="V368" s="218">
        <v>1.79</v>
      </c>
      <c r="W368" s="218">
        <v>2.5</v>
      </c>
      <c r="X368" s="126">
        <v>1</v>
      </c>
      <c r="AA368" s="188">
        <v>46227.418321759258</v>
      </c>
      <c r="AB368" s="131">
        <v>4</v>
      </c>
      <c r="AC368" s="126">
        <v>6</v>
      </c>
      <c r="AD368" s="126">
        <v>2026</v>
      </c>
    </row>
    <row r="369" spans="3:30" ht="23.1" customHeight="1">
      <c r="C369" s="126">
        <v>362</v>
      </c>
      <c r="D369" s="126">
        <v>13</v>
      </c>
      <c r="E369" s="141" t="s">
        <v>693</v>
      </c>
      <c r="F369" s="163" t="s">
        <v>694</v>
      </c>
      <c r="G369" s="162">
        <v>46201</v>
      </c>
      <c r="H369" s="131">
        <v>1</v>
      </c>
      <c r="I369" s="131">
        <v>1</v>
      </c>
      <c r="J369" s="141" t="s">
        <v>551</v>
      </c>
      <c r="K369" s="141">
        <v>1</v>
      </c>
      <c r="N369" s="141">
        <v>84</v>
      </c>
      <c r="U369" s="126">
        <v>-1</v>
      </c>
      <c r="V369" s="218">
        <v>5.3</v>
      </c>
      <c r="W369" s="218">
        <v>5</v>
      </c>
      <c r="X369" s="126">
        <v>1</v>
      </c>
      <c r="AA369" s="188">
        <v>46227.418321759258</v>
      </c>
      <c r="AB369" s="131">
        <v>4</v>
      </c>
      <c r="AC369" s="126">
        <v>6</v>
      </c>
      <c r="AD369" s="126">
        <v>2026</v>
      </c>
    </row>
    <row r="370" spans="3:30" ht="23.1" customHeight="1">
      <c r="C370" s="126">
        <v>363</v>
      </c>
      <c r="D370" s="126">
        <v>1</v>
      </c>
      <c r="E370" s="141" t="s">
        <v>677</v>
      </c>
      <c r="F370" s="163" t="s">
        <v>678</v>
      </c>
      <c r="G370" s="162">
        <v>46201</v>
      </c>
      <c r="H370" s="131">
        <v>1</v>
      </c>
      <c r="I370" s="131">
        <v>1</v>
      </c>
      <c r="J370" s="141" t="s">
        <v>551</v>
      </c>
      <c r="K370" s="141">
        <v>1</v>
      </c>
      <c r="N370" s="141">
        <v>85</v>
      </c>
      <c r="U370" s="126">
        <v>-1</v>
      </c>
      <c r="V370" s="218">
        <v>27.34</v>
      </c>
      <c r="W370" s="218">
        <v>16</v>
      </c>
      <c r="X370" s="126">
        <v>1</v>
      </c>
      <c r="AA370" s="188">
        <v>46227.447060185186</v>
      </c>
      <c r="AB370" s="131">
        <v>4</v>
      </c>
      <c r="AC370" s="126">
        <v>6</v>
      </c>
      <c r="AD370" s="126">
        <v>2026</v>
      </c>
    </row>
    <row r="371" spans="3:30" ht="23.1" customHeight="1">
      <c r="C371" s="126">
        <v>364</v>
      </c>
      <c r="D371" s="126">
        <v>26</v>
      </c>
      <c r="E371" s="141" t="s">
        <v>715</v>
      </c>
      <c r="F371" s="163" t="s">
        <v>716</v>
      </c>
      <c r="G371" s="162">
        <v>46201</v>
      </c>
      <c r="H371" s="131">
        <v>1</v>
      </c>
      <c r="I371" s="131">
        <v>1</v>
      </c>
      <c r="J371" s="141" t="s">
        <v>551</v>
      </c>
      <c r="K371" s="141">
        <v>1</v>
      </c>
      <c r="N371" s="141">
        <v>85</v>
      </c>
      <c r="U371" s="126">
        <v>-1</v>
      </c>
      <c r="V371" s="218">
        <v>3.01</v>
      </c>
      <c r="W371" s="218">
        <v>3.5</v>
      </c>
      <c r="X371" s="126">
        <v>1</v>
      </c>
      <c r="AA371" s="188">
        <v>46227.447060185186</v>
      </c>
      <c r="AB371" s="131">
        <v>4</v>
      </c>
      <c r="AC371" s="126">
        <v>6</v>
      </c>
      <c r="AD371" s="126">
        <v>2026</v>
      </c>
    </row>
    <row r="372" spans="3:30" ht="23.1" customHeight="1">
      <c r="C372" s="126">
        <v>365</v>
      </c>
      <c r="D372" s="126">
        <v>4</v>
      </c>
      <c r="E372" s="141" t="s">
        <v>581</v>
      </c>
      <c r="F372" s="163" t="s">
        <v>582</v>
      </c>
      <c r="G372" s="162">
        <v>46201</v>
      </c>
      <c r="H372" s="131">
        <v>1</v>
      </c>
      <c r="I372" s="131">
        <v>1</v>
      </c>
      <c r="J372" s="141" t="s">
        <v>551</v>
      </c>
      <c r="K372" s="141">
        <v>1</v>
      </c>
      <c r="N372" s="141">
        <v>85</v>
      </c>
      <c r="U372" s="126">
        <v>-1</v>
      </c>
      <c r="V372" s="218">
        <v>5.8</v>
      </c>
      <c r="W372" s="218">
        <v>5</v>
      </c>
      <c r="X372" s="126">
        <v>1</v>
      </c>
      <c r="AA372" s="188">
        <v>46227.447060185186</v>
      </c>
      <c r="AB372" s="131">
        <v>4</v>
      </c>
      <c r="AC372" s="126">
        <v>6</v>
      </c>
      <c r="AD372" s="126">
        <v>2026</v>
      </c>
    </row>
    <row r="373" spans="3:30" ht="23.1" customHeight="1">
      <c r="C373" s="126">
        <v>366</v>
      </c>
      <c r="D373" s="126">
        <v>34</v>
      </c>
      <c r="E373" s="141" t="s">
        <v>1193</v>
      </c>
      <c r="F373" s="163" t="s">
        <v>1194</v>
      </c>
      <c r="G373" s="162">
        <v>46201</v>
      </c>
      <c r="H373" s="131">
        <v>1</v>
      </c>
      <c r="I373" s="131">
        <v>1</v>
      </c>
      <c r="J373" s="141" t="s">
        <v>551</v>
      </c>
      <c r="K373" s="141">
        <v>1</v>
      </c>
      <c r="N373" s="141">
        <v>85</v>
      </c>
      <c r="U373" s="126">
        <v>-1</v>
      </c>
      <c r="V373" s="218">
        <v>0.5</v>
      </c>
      <c r="W373" s="218">
        <v>1</v>
      </c>
      <c r="X373" s="126">
        <v>1</v>
      </c>
      <c r="AA373" s="188">
        <v>46227.447060185186</v>
      </c>
      <c r="AB373" s="131">
        <v>4</v>
      </c>
      <c r="AC373" s="126">
        <v>6</v>
      </c>
      <c r="AD373" s="126">
        <v>2026</v>
      </c>
    </row>
    <row r="374" spans="3:30" ht="23.1" customHeight="1">
      <c r="C374" s="126">
        <v>367</v>
      </c>
      <c r="D374" s="126">
        <v>20</v>
      </c>
      <c r="E374" s="141" t="s">
        <v>709</v>
      </c>
      <c r="F374" s="163" t="s">
        <v>710</v>
      </c>
      <c r="G374" s="162">
        <v>46201</v>
      </c>
      <c r="H374" s="131">
        <v>1</v>
      </c>
      <c r="I374" s="131">
        <v>1</v>
      </c>
      <c r="J374" s="141" t="s">
        <v>551</v>
      </c>
      <c r="K374" s="141">
        <v>1</v>
      </c>
      <c r="N374" s="141">
        <v>85</v>
      </c>
      <c r="U374" s="126">
        <v>-10</v>
      </c>
      <c r="V374" s="218">
        <v>5.03</v>
      </c>
      <c r="W374" s="218">
        <v>5.25</v>
      </c>
      <c r="X374" s="126">
        <v>1</v>
      </c>
      <c r="AA374" s="188">
        <v>46227.447060185186</v>
      </c>
      <c r="AB374" s="131">
        <v>4</v>
      </c>
      <c r="AC374" s="126">
        <v>6</v>
      </c>
      <c r="AD374" s="126">
        <v>2026</v>
      </c>
    </row>
    <row r="375" spans="3:30" ht="23.1" customHeight="1">
      <c r="C375" s="126">
        <v>368</v>
      </c>
      <c r="D375" s="126">
        <v>49</v>
      </c>
      <c r="E375" s="141" t="s">
        <v>813</v>
      </c>
      <c r="F375" s="163" t="s">
        <v>814</v>
      </c>
      <c r="G375" s="162">
        <v>46201</v>
      </c>
      <c r="H375" s="131">
        <v>1</v>
      </c>
      <c r="I375" s="131">
        <v>1</v>
      </c>
      <c r="J375" s="141" t="s">
        <v>551</v>
      </c>
      <c r="K375" s="141">
        <v>1</v>
      </c>
      <c r="N375" s="141">
        <v>85</v>
      </c>
      <c r="U375" s="126">
        <v>-5</v>
      </c>
      <c r="V375" s="218">
        <v>0.28000000000000003</v>
      </c>
      <c r="W375" s="218">
        <v>0.38</v>
      </c>
      <c r="X375" s="126">
        <v>1</v>
      </c>
      <c r="AA375" s="188">
        <v>46227.447060185186</v>
      </c>
      <c r="AB375" s="131">
        <v>4</v>
      </c>
      <c r="AC375" s="126">
        <v>6</v>
      </c>
      <c r="AD375" s="126">
        <v>2026</v>
      </c>
    </row>
    <row r="376" spans="3:30" ht="23.1" customHeight="1">
      <c r="C376" s="126">
        <v>369</v>
      </c>
      <c r="D376" s="126">
        <v>50</v>
      </c>
      <c r="E376" s="141" t="s">
        <v>803</v>
      </c>
      <c r="F376" s="163" t="s">
        <v>804</v>
      </c>
      <c r="G376" s="162">
        <v>46201</v>
      </c>
      <c r="H376" s="131">
        <v>1</v>
      </c>
      <c r="I376" s="131">
        <v>1</v>
      </c>
      <c r="J376" s="141" t="s">
        <v>551</v>
      </c>
      <c r="K376" s="141">
        <v>1</v>
      </c>
      <c r="N376" s="141">
        <v>85</v>
      </c>
      <c r="U376" s="126">
        <v>-5</v>
      </c>
      <c r="V376" s="218">
        <v>0.12</v>
      </c>
      <c r="W376" s="218">
        <v>0.25</v>
      </c>
      <c r="X376" s="126">
        <v>1</v>
      </c>
      <c r="AA376" s="188">
        <v>46227.447060185186</v>
      </c>
      <c r="AB376" s="131">
        <v>4</v>
      </c>
      <c r="AC376" s="126">
        <v>6</v>
      </c>
      <c r="AD376" s="126">
        <v>2026</v>
      </c>
    </row>
    <row r="377" spans="3:30" ht="23.1" customHeight="1">
      <c r="C377" s="126">
        <v>370</v>
      </c>
      <c r="D377" s="126">
        <v>71</v>
      </c>
      <c r="E377" s="141" t="s">
        <v>2010</v>
      </c>
      <c r="F377" s="163" t="s">
        <v>2011</v>
      </c>
      <c r="G377" s="162">
        <v>46201</v>
      </c>
      <c r="H377" s="131">
        <v>1</v>
      </c>
      <c r="I377" s="131">
        <v>1</v>
      </c>
      <c r="J377" s="141" t="s">
        <v>551</v>
      </c>
      <c r="K377" s="141">
        <v>1</v>
      </c>
      <c r="N377" s="141">
        <v>85</v>
      </c>
      <c r="U377" s="126">
        <v>-2</v>
      </c>
      <c r="V377" s="218">
        <v>0.11</v>
      </c>
      <c r="W377" s="218">
        <v>0.25</v>
      </c>
      <c r="X377" s="126">
        <v>1</v>
      </c>
      <c r="AA377" s="188">
        <v>46227.447060185186</v>
      </c>
      <c r="AB377" s="131">
        <v>4</v>
      </c>
      <c r="AC377" s="126">
        <v>6</v>
      </c>
      <c r="AD377" s="126">
        <v>2026</v>
      </c>
    </row>
    <row r="378" spans="3:30" ht="23.1" customHeight="1">
      <c r="C378" s="126">
        <v>371</v>
      </c>
      <c r="D378" s="126">
        <v>9</v>
      </c>
      <c r="E378" s="141" t="s">
        <v>1813</v>
      </c>
      <c r="F378" s="163" t="s">
        <v>1814</v>
      </c>
      <c r="G378" s="162">
        <v>46201</v>
      </c>
      <c r="H378" s="131">
        <v>1</v>
      </c>
      <c r="I378" s="131">
        <v>1</v>
      </c>
      <c r="J378" s="141" t="s">
        <v>551</v>
      </c>
      <c r="K378" s="141">
        <v>1</v>
      </c>
      <c r="N378" s="141">
        <v>85</v>
      </c>
      <c r="U378" s="126">
        <v>-3</v>
      </c>
      <c r="V378" s="218">
        <v>1.1499999999999999</v>
      </c>
      <c r="W378" s="218">
        <v>2.5</v>
      </c>
      <c r="X378" s="126">
        <v>1</v>
      </c>
      <c r="AA378" s="188">
        <v>46227.447060185186</v>
      </c>
      <c r="AB378" s="131">
        <v>4</v>
      </c>
      <c r="AC378" s="126">
        <v>6</v>
      </c>
      <c r="AD378" s="126">
        <v>2026</v>
      </c>
    </row>
    <row r="379" spans="3:30" ht="23.1" customHeight="1">
      <c r="C379" s="126">
        <v>372</v>
      </c>
      <c r="D379" s="126">
        <v>70</v>
      </c>
      <c r="E379" s="141" t="s">
        <v>906</v>
      </c>
      <c r="F379" s="163" t="s">
        <v>907</v>
      </c>
      <c r="G379" s="162">
        <v>46201</v>
      </c>
      <c r="H379" s="131">
        <v>1</v>
      </c>
      <c r="I379" s="131">
        <v>1</v>
      </c>
      <c r="J379" s="141" t="s">
        <v>551</v>
      </c>
      <c r="K379" s="141">
        <v>1</v>
      </c>
      <c r="N379" s="141">
        <v>85</v>
      </c>
      <c r="U379" s="126">
        <v>-1</v>
      </c>
      <c r="V379" s="218">
        <v>0.15</v>
      </c>
      <c r="W379" s="218">
        <v>0.25</v>
      </c>
      <c r="X379" s="126">
        <v>1</v>
      </c>
      <c r="AA379" s="188">
        <v>46227.447060185186</v>
      </c>
      <c r="AB379" s="131">
        <v>4</v>
      </c>
      <c r="AC379" s="126">
        <v>6</v>
      </c>
      <c r="AD379" s="126">
        <v>2026</v>
      </c>
    </row>
    <row r="380" spans="3:30" ht="23.1" customHeight="1">
      <c r="C380" s="126">
        <v>373</v>
      </c>
      <c r="D380" s="126">
        <v>108</v>
      </c>
      <c r="E380" s="141" t="s">
        <v>1009</v>
      </c>
      <c r="F380" s="163" t="s">
        <v>1010</v>
      </c>
      <c r="G380" s="162">
        <v>46201</v>
      </c>
      <c r="H380" s="131">
        <v>1</v>
      </c>
      <c r="I380" s="131">
        <v>1</v>
      </c>
      <c r="J380" s="141" t="s">
        <v>551</v>
      </c>
      <c r="K380" s="141">
        <v>1</v>
      </c>
      <c r="N380" s="141">
        <v>85</v>
      </c>
      <c r="U380" s="126">
        <v>-1</v>
      </c>
      <c r="V380" s="218">
        <v>2.7</v>
      </c>
      <c r="W380" s="218">
        <v>3</v>
      </c>
      <c r="X380" s="126">
        <v>1</v>
      </c>
      <c r="AA380" s="188">
        <v>46227.447060185186</v>
      </c>
      <c r="AB380" s="131">
        <v>4</v>
      </c>
      <c r="AC380" s="126">
        <v>6</v>
      </c>
      <c r="AD380" s="126">
        <v>2026</v>
      </c>
    </row>
    <row r="381" spans="3:30" ht="23.1" customHeight="1">
      <c r="C381" s="126">
        <v>374</v>
      </c>
      <c r="D381" s="126">
        <v>17</v>
      </c>
      <c r="E381" s="141" t="s">
        <v>662</v>
      </c>
      <c r="F381" s="163" t="s">
        <v>663</v>
      </c>
      <c r="G381" s="162">
        <v>46201</v>
      </c>
      <c r="H381" s="131">
        <v>1</v>
      </c>
      <c r="I381" s="131">
        <v>1</v>
      </c>
      <c r="J381" s="141" t="s">
        <v>551</v>
      </c>
      <c r="K381" s="141">
        <v>1</v>
      </c>
      <c r="N381" s="141">
        <v>85</v>
      </c>
      <c r="U381" s="126">
        <v>-1</v>
      </c>
      <c r="V381" s="218">
        <v>1.63</v>
      </c>
      <c r="W381" s="218">
        <v>2.5</v>
      </c>
      <c r="X381" s="126">
        <v>1</v>
      </c>
      <c r="AA381" s="188">
        <v>46227.447060185186</v>
      </c>
      <c r="AB381" s="131">
        <v>4</v>
      </c>
      <c r="AC381" s="126">
        <v>6</v>
      </c>
      <c r="AD381" s="126">
        <v>2026</v>
      </c>
    </row>
    <row r="382" spans="3:30" ht="23.1" customHeight="1">
      <c r="C382" s="126">
        <v>375</v>
      </c>
      <c r="D382" s="126">
        <v>79</v>
      </c>
      <c r="E382" s="141" t="s">
        <v>2027</v>
      </c>
      <c r="F382" s="163" t="s">
        <v>2028</v>
      </c>
      <c r="G382" s="162">
        <v>46201</v>
      </c>
      <c r="H382" s="131">
        <v>1</v>
      </c>
      <c r="I382" s="131">
        <v>1</v>
      </c>
      <c r="J382" s="141" t="s">
        <v>551</v>
      </c>
      <c r="K382" s="141">
        <v>1</v>
      </c>
      <c r="N382" s="141">
        <v>85</v>
      </c>
      <c r="U382" s="126">
        <v>-50</v>
      </c>
      <c r="V382" s="218">
        <v>5</v>
      </c>
      <c r="W382" s="218">
        <v>7.5</v>
      </c>
      <c r="X382" s="126">
        <v>1</v>
      </c>
      <c r="AA382" s="188">
        <v>46227.447060185186</v>
      </c>
      <c r="AB382" s="131">
        <v>4</v>
      </c>
      <c r="AC382" s="126">
        <v>6</v>
      </c>
      <c r="AD382" s="126">
        <v>2026</v>
      </c>
    </row>
    <row r="383" spans="3:30" ht="23.1" customHeight="1">
      <c r="C383" s="126">
        <v>376</v>
      </c>
      <c r="D383" s="126">
        <v>77</v>
      </c>
      <c r="E383" s="141" t="s">
        <v>2033</v>
      </c>
      <c r="F383" s="163" t="s">
        <v>2034</v>
      </c>
      <c r="G383" s="162">
        <v>46201</v>
      </c>
      <c r="H383" s="131">
        <v>1</v>
      </c>
      <c r="I383" s="131">
        <v>1</v>
      </c>
      <c r="J383" s="141" t="s">
        <v>551</v>
      </c>
      <c r="K383" s="141">
        <v>1</v>
      </c>
      <c r="N383" s="141">
        <v>85</v>
      </c>
      <c r="U383" s="126">
        <v>-50</v>
      </c>
      <c r="V383" s="218">
        <v>8.8000000000000007</v>
      </c>
      <c r="W383" s="218">
        <v>9.5</v>
      </c>
      <c r="X383" s="126">
        <v>1</v>
      </c>
      <c r="AA383" s="188">
        <v>46227.447060185186</v>
      </c>
      <c r="AB383" s="131">
        <v>4</v>
      </c>
      <c r="AC383" s="126">
        <v>6</v>
      </c>
      <c r="AD383" s="126">
        <v>2026</v>
      </c>
    </row>
    <row r="384" spans="3:30" ht="23.1" customHeight="1">
      <c r="C384" s="126">
        <v>377</v>
      </c>
      <c r="D384" s="126">
        <v>32</v>
      </c>
      <c r="E384" s="141" t="s">
        <v>1748</v>
      </c>
      <c r="F384" s="163" t="s">
        <v>1749</v>
      </c>
      <c r="G384" s="162">
        <v>46201</v>
      </c>
      <c r="H384" s="131">
        <v>1</v>
      </c>
      <c r="I384" s="131">
        <v>1</v>
      </c>
      <c r="J384" s="141" t="s">
        <v>551</v>
      </c>
      <c r="K384" s="141">
        <v>1</v>
      </c>
      <c r="N384" s="141">
        <v>85</v>
      </c>
      <c r="U384" s="126">
        <v>-1</v>
      </c>
      <c r="V384" s="218">
        <v>1.04</v>
      </c>
      <c r="W384" s="218">
        <v>1.5</v>
      </c>
      <c r="X384" s="126">
        <v>1</v>
      </c>
      <c r="AA384" s="188">
        <v>46227.447060185186</v>
      </c>
      <c r="AB384" s="131">
        <v>4</v>
      </c>
      <c r="AC384" s="126">
        <v>6</v>
      </c>
      <c r="AD384" s="126">
        <v>2026</v>
      </c>
    </row>
    <row r="385" spans="3:30" ht="23.1" customHeight="1">
      <c r="C385" s="126">
        <v>378</v>
      </c>
      <c r="D385" s="126">
        <v>176</v>
      </c>
      <c r="E385" s="141" t="s">
        <v>748</v>
      </c>
      <c r="F385" s="163" t="s">
        <v>749</v>
      </c>
      <c r="G385" s="162">
        <v>46202</v>
      </c>
      <c r="H385" s="131">
        <v>1</v>
      </c>
      <c r="I385" s="131">
        <v>1</v>
      </c>
      <c r="J385" s="141" t="s">
        <v>551</v>
      </c>
      <c r="K385" s="141">
        <v>1</v>
      </c>
      <c r="N385" s="141">
        <v>86</v>
      </c>
      <c r="U385" s="126">
        <v>-500</v>
      </c>
      <c r="V385" s="218">
        <v>4.25</v>
      </c>
      <c r="W385" s="218">
        <v>4.5</v>
      </c>
      <c r="X385" s="126">
        <v>1</v>
      </c>
      <c r="AA385" s="188">
        <v>46227.454108796293</v>
      </c>
      <c r="AB385" s="131">
        <v>4</v>
      </c>
      <c r="AC385" s="126">
        <v>6</v>
      </c>
      <c r="AD385" s="126">
        <v>2026</v>
      </c>
    </row>
    <row r="386" spans="3:30" ht="23.1" customHeight="1">
      <c r="C386" s="126">
        <v>379</v>
      </c>
      <c r="D386" s="126">
        <v>176</v>
      </c>
      <c r="E386" s="141" t="s">
        <v>748</v>
      </c>
      <c r="F386" s="163" t="s">
        <v>749</v>
      </c>
      <c r="G386" s="162">
        <v>46202</v>
      </c>
      <c r="H386" s="131">
        <v>1</v>
      </c>
      <c r="I386" s="131">
        <v>1</v>
      </c>
      <c r="J386" s="141" t="s">
        <v>551</v>
      </c>
      <c r="K386" s="141">
        <v>1</v>
      </c>
      <c r="N386" s="141">
        <v>87</v>
      </c>
      <c r="U386" s="126">
        <v>-250</v>
      </c>
      <c r="V386" s="218">
        <v>4.25</v>
      </c>
      <c r="W386" s="218">
        <v>4.5</v>
      </c>
      <c r="X386" s="126">
        <v>1</v>
      </c>
      <c r="AA386" s="188">
        <v>46227.458807870367</v>
      </c>
      <c r="AB386" s="131">
        <v>4</v>
      </c>
      <c r="AC386" s="126">
        <v>6</v>
      </c>
      <c r="AD386" s="126">
        <v>2026</v>
      </c>
    </row>
    <row r="387" spans="3:30" ht="23.1" customHeight="1">
      <c r="C387" s="126">
        <v>380</v>
      </c>
      <c r="D387" s="126">
        <v>156</v>
      </c>
      <c r="E387" s="141" t="s">
        <v>735</v>
      </c>
      <c r="F387" s="163" t="s">
        <v>736</v>
      </c>
      <c r="G387" s="162">
        <v>46202</v>
      </c>
      <c r="H387" s="131">
        <v>1</v>
      </c>
      <c r="I387" s="131">
        <v>1</v>
      </c>
      <c r="J387" s="141" t="s">
        <v>551</v>
      </c>
      <c r="K387" s="141">
        <v>1</v>
      </c>
      <c r="N387" s="141">
        <v>87</v>
      </c>
      <c r="U387" s="126">
        <v>-6</v>
      </c>
      <c r="V387" s="218">
        <v>4.41</v>
      </c>
      <c r="W387" s="218">
        <v>5</v>
      </c>
      <c r="X387" s="126">
        <v>1</v>
      </c>
      <c r="AA387" s="188">
        <v>46227.458807870367</v>
      </c>
      <c r="AB387" s="131">
        <v>4</v>
      </c>
      <c r="AC387" s="126">
        <v>6</v>
      </c>
      <c r="AD387" s="126">
        <v>2026</v>
      </c>
    </row>
    <row r="388" spans="3:30" ht="23.1" customHeight="1">
      <c r="C388" s="126">
        <v>381</v>
      </c>
      <c r="D388" s="126">
        <v>162</v>
      </c>
      <c r="E388" s="141" t="s">
        <v>741</v>
      </c>
      <c r="F388" s="163" t="s">
        <v>742</v>
      </c>
      <c r="G388" s="162">
        <v>46202</v>
      </c>
      <c r="H388" s="131">
        <v>1</v>
      </c>
      <c r="I388" s="131">
        <v>1</v>
      </c>
      <c r="J388" s="141" t="s">
        <v>551</v>
      </c>
      <c r="K388" s="141">
        <v>1</v>
      </c>
      <c r="N388" s="141">
        <v>87</v>
      </c>
      <c r="U388" s="126">
        <v>-1</v>
      </c>
      <c r="V388" s="218">
        <v>53</v>
      </c>
      <c r="W388" s="218">
        <v>57</v>
      </c>
      <c r="X388" s="126">
        <v>1</v>
      </c>
      <c r="AA388" s="188">
        <v>46227.458807870367</v>
      </c>
      <c r="AB388" s="131">
        <v>4</v>
      </c>
      <c r="AC388" s="126">
        <v>6</v>
      </c>
      <c r="AD388" s="126">
        <v>2026</v>
      </c>
    </row>
    <row r="389" spans="3:30" ht="23.1" customHeight="1">
      <c r="C389" s="126">
        <v>382</v>
      </c>
      <c r="D389" s="126">
        <v>108</v>
      </c>
      <c r="E389" s="141" t="s">
        <v>1009</v>
      </c>
      <c r="F389" s="163" t="s">
        <v>1010</v>
      </c>
      <c r="G389" s="162">
        <v>46202</v>
      </c>
      <c r="H389" s="131">
        <v>1</v>
      </c>
      <c r="I389" s="131">
        <v>1</v>
      </c>
      <c r="J389" s="141" t="s">
        <v>551</v>
      </c>
      <c r="K389" s="141">
        <v>1</v>
      </c>
      <c r="N389" s="141">
        <v>88</v>
      </c>
      <c r="U389" s="126">
        <v>-7</v>
      </c>
      <c r="V389" s="218">
        <v>2.7</v>
      </c>
      <c r="W389" s="218">
        <v>3</v>
      </c>
      <c r="X389" s="126">
        <v>1</v>
      </c>
      <c r="AA389" s="188">
        <v>46227.464999999997</v>
      </c>
      <c r="AB389" s="131">
        <v>4</v>
      </c>
      <c r="AC389" s="126">
        <v>6</v>
      </c>
      <c r="AD389" s="126">
        <v>2026</v>
      </c>
    </row>
    <row r="390" spans="3:30" ht="23.1" customHeight="1">
      <c r="C390" s="126">
        <v>383</v>
      </c>
      <c r="D390" s="126">
        <v>150</v>
      </c>
      <c r="E390" s="141" t="s">
        <v>1405</v>
      </c>
      <c r="F390" s="163" t="s">
        <v>1406</v>
      </c>
      <c r="G390" s="162">
        <v>46202</v>
      </c>
      <c r="H390" s="131">
        <v>1</v>
      </c>
      <c r="I390" s="131">
        <v>1</v>
      </c>
      <c r="J390" s="141" t="s">
        <v>551</v>
      </c>
      <c r="K390" s="141">
        <v>1</v>
      </c>
      <c r="N390" s="141">
        <v>88</v>
      </c>
      <c r="U390" s="126">
        <v>-20</v>
      </c>
      <c r="V390" s="218">
        <v>0.13</v>
      </c>
      <c r="W390" s="218">
        <v>0.25</v>
      </c>
      <c r="X390" s="126">
        <v>1</v>
      </c>
      <c r="AA390" s="188">
        <v>46227.464999999997</v>
      </c>
      <c r="AB390" s="131">
        <v>4</v>
      </c>
      <c r="AC390" s="126">
        <v>6</v>
      </c>
      <c r="AD390" s="126">
        <v>2026</v>
      </c>
    </row>
    <row r="391" spans="3:30" ht="23.1" customHeight="1">
      <c r="C391" s="126">
        <v>384</v>
      </c>
      <c r="D391" s="126">
        <v>112</v>
      </c>
      <c r="E391" s="141" t="s">
        <v>2067</v>
      </c>
      <c r="F391" s="163" t="s">
        <v>2068</v>
      </c>
      <c r="G391" s="162">
        <v>46202</v>
      </c>
      <c r="H391" s="131">
        <v>1</v>
      </c>
      <c r="I391" s="131">
        <v>1</v>
      </c>
      <c r="J391" s="141" t="s">
        <v>551</v>
      </c>
      <c r="K391" s="141">
        <v>1</v>
      </c>
      <c r="N391" s="141">
        <v>88</v>
      </c>
      <c r="U391" s="126">
        <v>-1</v>
      </c>
      <c r="V391" s="218">
        <v>2.6</v>
      </c>
      <c r="W391" s="218">
        <v>3</v>
      </c>
      <c r="X391" s="126">
        <v>1</v>
      </c>
      <c r="AA391" s="188">
        <v>46227.464999999997</v>
      </c>
      <c r="AB391" s="131">
        <v>4</v>
      </c>
      <c r="AC391" s="126">
        <v>6</v>
      </c>
      <c r="AD391" s="126">
        <v>2026</v>
      </c>
    </row>
    <row r="392" spans="3:30" ht="23.1" customHeight="1">
      <c r="C392" s="126">
        <v>385</v>
      </c>
      <c r="D392" s="126">
        <v>76</v>
      </c>
      <c r="E392" s="141" t="s">
        <v>1133</v>
      </c>
      <c r="F392" s="163" t="s">
        <v>1134</v>
      </c>
      <c r="G392" s="162">
        <v>46202</v>
      </c>
      <c r="H392" s="131">
        <v>1</v>
      </c>
      <c r="I392" s="131">
        <v>1</v>
      </c>
      <c r="J392" s="141" t="s">
        <v>551</v>
      </c>
      <c r="K392" s="141">
        <v>1</v>
      </c>
      <c r="N392" s="141">
        <v>88</v>
      </c>
      <c r="U392" s="126">
        <v>-1</v>
      </c>
      <c r="V392" s="218">
        <v>1.35</v>
      </c>
      <c r="W392" s="218">
        <v>1.75</v>
      </c>
      <c r="X392" s="126">
        <v>1</v>
      </c>
      <c r="AA392" s="188">
        <v>46227.464999999997</v>
      </c>
      <c r="AB392" s="131">
        <v>4</v>
      </c>
      <c r="AC392" s="126">
        <v>6</v>
      </c>
      <c r="AD392" s="126">
        <v>2026</v>
      </c>
    </row>
    <row r="393" spans="3:30" ht="23.1" customHeight="1">
      <c r="C393" s="126">
        <v>386</v>
      </c>
      <c r="D393" s="126">
        <v>142</v>
      </c>
      <c r="E393" s="141" t="s">
        <v>798</v>
      </c>
      <c r="F393" s="163" t="s">
        <v>799</v>
      </c>
      <c r="G393" s="162">
        <v>46202</v>
      </c>
      <c r="H393" s="131">
        <v>1</v>
      </c>
      <c r="I393" s="131">
        <v>1</v>
      </c>
      <c r="J393" s="141" t="s">
        <v>551</v>
      </c>
      <c r="K393" s="141">
        <v>1</v>
      </c>
      <c r="N393" s="141">
        <v>88</v>
      </c>
      <c r="U393" s="126">
        <v>-1</v>
      </c>
      <c r="V393" s="218">
        <v>0.34</v>
      </c>
      <c r="W393" s="218">
        <v>0.88</v>
      </c>
      <c r="X393" s="126">
        <v>1</v>
      </c>
      <c r="AA393" s="188">
        <v>46227.464999999997</v>
      </c>
      <c r="AB393" s="131">
        <v>4</v>
      </c>
      <c r="AC393" s="126">
        <v>6</v>
      </c>
      <c r="AD393" s="126">
        <v>2026</v>
      </c>
    </row>
    <row r="394" spans="3:30" ht="23.1" customHeight="1">
      <c r="C394" s="126">
        <v>387</v>
      </c>
      <c r="D394" s="126">
        <v>187</v>
      </c>
      <c r="E394" s="141" t="s">
        <v>576</v>
      </c>
      <c r="F394" s="163" t="s">
        <v>577</v>
      </c>
      <c r="G394" s="162">
        <v>46202</v>
      </c>
      <c r="H394" s="131">
        <v>1</v>
      </c>
      <c r="I394" s="131">
        <v>1</v>
      </c>
      <c r="J394" s="141" t="s">
        <v>551</v>
      </c>
      <c r="K394" s="141">
        <v>1</v>
      </c>
      <c r="N394" s="141">
        <v>88</v>
      </c>
      <c r="U394" s="126">
        <v>-16</v>
      </c>
      <c r="V394" s="218">
        <v>3.37</v>
      </c>
      <c r="W394" s="218">
        <v>3.4</v>
      </c>
      <c r="X394" s="126">
        <v>1</v>
      </c>
      <c r="AA394" s="188">
        <v>46227.464999999997</v>
      </c>
      <c r="AB394" s="131">
        <v>4</v>
      </c>
      <c r="AC394" s="126">
        <v>6</v>
      </c>
      <c r="AD394" s="126">
        <v>2026</v>
      </c>
    </row>
    <row r="395" spans="3:30" ht="23.1" customHeight="1">
      <c r="C395" s="126">
        <v>388</v>
      </c>
      <c r="D395" s="126">
        <v>145</v>
      </c>
      <c r="E395" s="141" t="s">
        <v>823</v>
      </c>
      <c r="F395" s="163" t="s">
        <v>824</v>
      </c>
      <c r="G395" s="162">
        <v>46202</v>
      </c>
      <c r="H395" s="131">
        <v>1</v>
      </c>
      <c r="I395" s="131">
        <v>1</v>
      </c>
      <c r="J395" s="141" t="s">
        <v>551</v>
      </c>
      <c r="K395" s="141">
        <v>1</v>
      </c>
      <c r="N395" s="141">
        <v>88</v>
      </c>
      <c r="U395" s="126">
        <v>-8</v>
      </c>
      <c r="V395" s="218">
        <v>0.28999999999999998</v>
      </c>
      <c r="W395" s="218">
        <v>0.5</v>
      </c>
      <c r="X395" s="126">
        <v>1</v>
      </c>
      <c r="AA395" s="188">
        <v>46227.464999999997</v>
      </c>
      <c r="AB395" s="131">
        <v>4</v>
      </c>
      <c r="AC395" s="126">
        <v>6</v>
      </c>
      <c r="AD395" s="126">
        <v>2026</v>
      </c>
    </row>
    <row r="396" spans="3:30" ht="23.1" customHeight="1">
      <c r="C396" s="126">
        <v>389</v>
      </c>
      <c r="D396" s="126">
        <v>144</v>
      </c>
      <c r="E396" s="141" t="s">
        <v>996</v>
      </c>
      <c r="F396" s="163" t="s">
        <v>997</v>
      </c>
      <c r="G396" s="162">
        <v>46202</v>
      </c>
      <c r="H396" s="131">
        <v>1</v>
      </c>
      <c r="I396" s="131">
        <v>1</v>
      </c>
      <c r="J396" s="141" t="s">
        <v>551</v>
      </c>
      <c r="K396" s="141">
        <v>1</v>
      </c>
      <c r="N396" s="141">
        <v>88</v>
      </c>
      <c r="U396" s="126">
        <v>-1</v>
      </c>
      <c r="V396" s="218">
        <v>0.3</v>
      </c>
      <c r="W396" s="218">
        <v>0.63</v>
      </c>
      <c r="X396" s="126">
        <v>1</v>
      </c>
      <c r="AA396" s="188">
        <v>46227.464999999997</v>
      </c>
      <c r="AB396" s="131">
        <v>4</v>
      </c>
      <c r="AC396" s="126">
        <v>6</v>
      </c>
      <c r="AD396" s="126">
        <v>2026</v>
      </c>
    </row>
    <row r="397" spans="3:30" ht="23.1" customHeight="1">
      <c r="C397" s="126">
        <v>390</v>
      </c>
      <c r="D397" s="126">
        <v>8</v>
      </c>
      <c r="E397" s="141" t="s">
        <v>1125</v>
      </c>
      <c r="F397" s="163" t="s">
        <v>1126</v>
      </c>
      <c r="G397" s="162">
        <v>46202</v>
      </c>
      <c r="H397" s="131">
        <v>1</v>
      </c>
      <c r="I397" s="131">
        <v>1</v>
      </c>
      <c r="J397" s="141" t="s">
        <v>551</v>
      </c>
      <c r="K397" s="141">
        <v>1</v>
      </c>
      <c r="N397" s="141">
        <v>88</v>
      </c>
      <c r="U397" s="126">
        <v>-1</v>
      </c>
      <c r="V397" s="218">
        <v>1.32</v>
      </c>
      <c r="W397" s="218">
        <v>1.75</v>
      </c>
      <c r="X397" s="126">
        <v>1</v>
      </c>
      <c r="AA397" s="188">
        <v>46227.464999999997</v>
      </c>
      <c r="AB397" s="131">
        <v>4</v>
      </c>
      <c r="AC397" s="126">
        <v>6</v>
      </c>
      <c r="AD397" s="126">
        <v>2026</v>
      </c>
    </row>
    <row r="398" spans="3:30" ht="23.1" customHeight="1">
      <c r="C398" s="126">
        <v>391</v>
      </c>
      <c r="D398" s="126">
        <v>1</v>
      </c>
      <c r="E398" s="141" t="s">
        <v>677</v>
      </c>
      <c r="F398" s="163" t="s">
        <v>678</v>
      </c>
      <c r="G398" s="162">
        <v>46203</v>
      </c>
      <c r="H398" s="131">
        <v>1</v>
      </c>
      <c r="I398" s="131">
        <v>1</v>
      </c>
      <c r="J398" s="141" t="s">
        <v>551</v>
      </c>
      <c r="K398" s="141">
        <v>1</v>
      </c>
      <c r="N398" s="141">
        <v>89</v>
      </c>
      <c r="U398" s="126">
        <v>-1</v>
      </c>
      <c r="V398" s="218">
        <v>27.34</v>
      </c>
      <c r="W398" s="218">
        <v>28.5</v>
      </c>
      <c r="X398" s="126">
        <v>1</v>
      </c>
      <c r="AA398" s="188">
        <v>46227.474745370368</v>
      </c>
      <c r="AB398" s="131">
        <v>4</v>
      </c>
      <c r="AC398" s="126">
        <v>6</v>
      </c>
      <c r="AD398" s="126">
        <v>2026</v>
      </c>
    </row>
    <row r="399" spans="3:30" ht="23.1" customHeight="1">
      <c r="C399" s="126">
        <v>392</v>
      </c>
      <c r="D399" s="126">
        <v>174</v>
      </c>
      <c r="E399" s="141" t="s">
        <v>2096</v>
      </c>
      <c r="F399" s="163" t="s">
        <v>2097</v>
      </c>
      <c r="G399" s="162">
        <v>46203</v>
      </c>
      <c r="H399" s="131">
        <v>1</v>
      </c>
      <c r="I399" s="131">
        <v>1</v>
      </c>
      <c r="J399" s="141" t="s">
        <v>551</v>
      </c>
      <c r="K399" s="141">
        <v>1</v>
      </c>
      <c r="N399" s="141">
        <v>89</v>
      </c>
      <c r="U399" s="126">
        <v>-2</v>
      </c>
      <c r="V399" s="218">
        <v>0.2</v>
      </c>
      <c r="W399" s="218">
        <v>0.75</v>
      </c>
      <c r="X399" s="126">
        <v>1</v>
      </c>
      <c r="AA399" s="188">
        <v>46227.474745370368</v>
      </c>
      <c r="AB399" s="131">
        <v>4</v>
      </c>
      <c r="AC399" s="126">
        <v>6</v>
      </c>
      <c r="AD399" s="126">
        <v>2026</v>
      </c>
    </row>
    <row r="400" spans="3:30" ht="23.1" customHeight="1">
      <c r="C400" s="126">
        <v>393</v>
      </c>
      <c r="D400" s="126">
        <v>168</v>
      </c>
      <c r="E400" s="141" t="s">
        <v>2101</v>
      </c>
      <c r="F400" s="163" t="s">
        <v>2102</v>
      </c>
      <c r="G400" s="162">
        <v>46203</v>
      </c>
      <c r="H400" s="131">
        <v>1</v>
      </c>
      <c r="I400" s="131">
        <v>1</v>
      </c>
      <c r="J400" s="141" t="s">
        <v>551</v>
      </c>
      <c r="K400" s="141">
        <v>1</v>
      </c>
      <c r="N400" s="141">
        <v>89</v>
      </c>
      <c r="U400" s="126">
        <v>-2</v>
      </c>
      <c r="V400" s="218">
        <v>1.2</v>
      </c>
      <c r="W400" s="218">
        <v>1.5</v>
      </c>
      <c r="X400" s="126">
        <v>1</v>
      </c>
      <c r="AA400" s="188">
        <v>46227.474745370368</v>
      </c>
      <c r="AB400" s="131">
        <v>4</v>
      </c>
      <c r="AC400" s="126">
        <v>6</v>
      </c>
      <c r="AD400" s="126">
        <v>2026</v>
      </c>
    </row>
    <row r="401" spans="3:30" ht="23.1" customHeight="1">
      <c r="C401" s="126">
        <v>394</v>
      </c>
      <c r="D401" s="126">
        <v>172</v>
      </c>
      <c r="E401" s="141" t="s">
        <v>2106</v>
      </c>
      <c r="F401" s="163" t="s">
        <v>2107</v>
      </c>
      <c r="G401" s="162">
        <v>46203</v>
      </c>
      <c r="H401" s="131">
        <v>1</v>
      </c>
      <c r="I401" s="131">
        <v>1</v>
      </c>
      <c r="J401" s="141" t="s">
        <v>551</v>
      </c>
      <c r="K401" s="141">
        <v>1</v>
      </c>
      <c r="N401" s="141">
        <v>89</v>
      </c>
      <c r="U401" s="126">
        <v>-2</v>
      </c>
      <c r="V401" s="218">
        <v>0.1</v>
      </c>
      <c r="W401" s="218">
        <v>0.25</v>
      </c>
      <c r="X401" s="126">
        <v>1</v>
      </c>
      <c r="AA401" s="188">
        <v>46227.474745370368</v>
      </c>
      <c r="AB401" s="131">
        <v>4</v>
      </c>
      <c r="AC401" s="126">
        <v>6</v>
      </c>
      <c r="AD401" s="126">
        <v>2026</v>
      </c>
    </row>
    <row r="402" spans="3:30" ht="23.1" customHeight="1">
      <c r="C402" s="126">
        <v>395</v>
      </c>
      <c r="D402" s="126">
        <v>10</v>
      </c>
      <c r="E402" s="141" t="s">
        <v>586</v>
      </c>
      <c r="F402" s="163" t="s">
        <v>587</v>
      </c>
      <c r="G402" s="162">
        <v>46203</v>
      </c>
      <c r="H402" s="131">
        <v>1</v>
      </c>
      <c r="I402" s="131">
        <v>1</v>
      </c>
      <c r="J402" s="141" t="s">
        <v>551</v>
      </c>
      <c r="K402" s="141">
        <v>1</v>
      </c>
      <c r="N402" s="141">
        <v>89</v>
      </c>
      <c r="U402" s="126">
        <v>-2</v>
      </c>
      <c r="V402" s="218">
        <v>14.85</v>
      </c>
      <c r="W402" s="218">
        <v>15.5</v>
      </c>
      <c r="X402" s="126">
        <v>1</v>
      </c>
      <c r="AA402" s="188">
        <v>46227.474745370368</v>
      </c>
      <c r="AB402" s="131">
        <v>4</v>
      </c>
      <c r="AC402" s="126">
        <v>6</v>
      </c>
      <c r="AD402" s="126">
        <v>2026</v>
      </c>
    </row>
    <row r="403" spans="3:30" ht="23.1" customHeight="1">
      <c r="C403" s="126">
        <v>396</v>
      </c>
      <c r="D403" s="126">
        <v>189</v>
      </c>
      <c r="E403" s="141" t="s">
        <v>778</v>
      </c>
      <c r="F403" s="163" t="s">
        <v>779</v>
      </c>
      <c r="G403" s="162">
        <v>46203</v>
      </c>
      <c r="H403" s="131">
        <v>1</v>
      </c>
      <c r="I403" s="131">
        <v>1</v>
      </c>
      <c r="J403" s="141" t="s">
        <v>551</v>
      </c>
      <c r="K403" s="141">
        <v>1</v>
      </c>
      <c r="N403" s="141">
        <v>90</v>
      </c>
      <c r="U403" s="126">
        <v>-20</v>
      </c>
      <c r="V403" s="218">
        <v>4.09</v>
      </c>
      <c r="W403" s="218">
        <v>4.5</v>
      </c>
      <c r="X403" s="126">
        <v>1</v>
      </c>
      <c r="AA403" s="188">
        <v>46227.47934027778</v>
      </c>
      <c r="AB403" s="131">
        <v>4</v>
      </c>
      <c r="AC403" s="126">
        <v>6</v>
      </c>
      <c r="AD403" s="126">
        <v>2026</v>
      </c>
    </row>
    <row r="404" spans="3:30" ht="23.1" customHeight="1">
      <c r="C404" s="126">
        <v>397</v>
      </c>
      <c r="D404" s="126">
        <v>183</v>
      </c>
      <c r="E404" s="141" t="s">
        <v>766</v>
      </c>
      <c r="F404" s="163" t="s">
        <v>767</v>
      </c>
      <c r="G404" s="162">
        <v>46203</v>
      </c>
      <c r="H404" s="131">
        <v>1</v>
      </c>
      <c r="I404" s="131">
        <v>1</v>
      </c>
      <c r="J404" s="141" t="s">
        <v>551</v>
      </c>
      <c r="K404" s="141">
        <v>1</v>
      </c>
      <c r="N404" s="141">
        <v>90</v>
      </c>
      <c r="U404" s="126">
        <v>-24</v>
      </c>
      <c r="V404" s="218">
        <v>4</v>
      </c>
      <c r="W404" s="218">
        <v>4.5</v>
      </c>
      <c r="X404" s="126">
        <v>1</v>
      </c>
      <c r="AA404" s="188">
        <v>46227.47934027778</v>
      </c>
      <c r="AB404" s="131">
        <v>4</v>
      </c>
      <c r="AC404" s="126">
        <v>6</v>
      </c>
      <c r="AD404" s="126">
        <v>2026</v>
      </c>
    </row>
    <row r="405" spans="3:30" ht="23.1" customHeight="1">
      <c r="C405" s="126">
        <v>398</v>
      </c>
      <c r="D405" s="126">
        <v>136</v>
      </c>
      <c r="E405" s="141" t="s">
        <v>2122</v>
      </c>
      <c r="F405" s="163" t="s">
        <v>2123</v>
      </c>
      <c r="G405" s="162">
        <v>46203</v>
      </c>
      <c r="H405" s="131">
        <v>1</v>
      </c>
      <c r="I405" s="131">
        <v>1</v>
      </c>
      <c r="J405" s="141" t="s">
        <v>551</v>
      </c>
      <c r="K405" s="141">
        <v>1</v>
      </c>
      <c r="N405" s="141">
        <v>90</v>
      </c>
      <c r="U405" s="126">
        <v>-2</v>
      </c>
      <c r="V405" s="218">
        <v>0.38</v>
      </c>
      <c r="W405" s="218">
        <v>0.5</v>
      </c>
      <c r="X405" s="126">
        <v>1</v>
      </c>
      <c r="AA405" s="188">
        <v>46227.47934027778</v>
      </c>
      <c r="AB405" s="131">
        <v>4</v>
      </c>
      <c r="AC405" s="126">
        <v>6</v>
      </c>
      <c r="AD405" s="126">
        <v>2026</v>
      </c>
    </row>
    <row r="406" spans="3:30" ht="23.1" customHeight="1">
      <c r="C406" s="126">
        <v>399</v>
      </c>
      <c r="D406" s="126">
        <v>142</v>
      </c>
      <c r="E406" s="141" t="s">
        <v>798</v>
      </c>
      <c r="F406" s="163" t="s">
        <v>799</v>
      </c>
      <c r="G406" s="162">
        <v>46203</v>
      </c>
      <c r="H406" s="131">
        <v>1</v>
      </c>
      <c r="I406" s="131">
        <v>1</v>
      </c>
      <c r="J406" s="141" t="s">
        <v>551</v>
      </c>
      <c r="K406" s="141">
        <v>1</v>
      </c>
      <c r="N406" s="141">
        <v>90</v>
      </c>
      <c r="U406" s="126">
        <v>-1</v>
      </c>
      <c r="V406" s="218">
        <v>0.34</v>
      </c>
      <c r="W406" s="218">
        <v>0.88</v>
      </c>
      <c r="X406" s="126">
        <v>1</v>
      </c>
      <c r="AA406" s="188">
        <v>46227.47934027778</v>
      </c>
      <c r="AB406" s="131">
        <v>4</v>
      </c>
      <c r="AC406" s="126">
        <v>6</v>
      </c>
      <c r="AD406" s="126">
        <v>2026</v>
      </c>
    </row>
    <row r="407" spans="3:30" ht="23.1" customHeight="1">
      <c r="C407" s="126">
        <v>400</v>
      </c>
      <c r="D407" s="126">
        <v>53</v>
      </c>
      <c r="E407" s="141" t="s">
        <v>1211</v>
      </c>
      <c r="F407" s="163" t="s">
        <v>1212</v>
      </c>
      <c r="G407" s="162">
        <v>46203</v>
      </c>
      <c r="H407" s="131">
        <v>1</v>
      </c>
      <c r="I407" s="131">
        <v>1</v>
      </c>
      <c r="J407" s="141" t="s">
        <v>551</v>
      </c>
      <c r="K407" s="141">
        <v>1</v>
      </c>
      <c r="N407" s="141">
        <v>90</v>
      </c>
      <c r="U407" s="126">
        <v>-1</v>
      </c>
      <c r="V407" s="218">
        <v>0.95</v>
      </c>
      <c r="W407" s="218">
        <v>1.5</v>
      </c>
      <c r="X407" s="126">
        <v>1</v>
      </c>
      <c r="AA407" s="188">
        <v>46227.47934027778</v>
      </c>
      <c r="AB407" s="131">
        <v>4</v>
      </c>
      <c r="AC407" s="126">
        <v>6</v>
      </c>
      <c r="AD407" s="126">
        <v>2026</v>
      </c>
    </row>
    <row r="408" spans="3:30" ht="23.1" customHeight="1">
      <c r="C408" s="126">
        <v>401</v>
      </c>
      <c r="D408" s="126">
        <v>50</v>
      </c>
      <c r="E408" s="141" t="s">
        <v>803</v>
      </c>
      <c r="F408" s="163" t="s">
        <v>804</v>
      </c>
      <c r="G408" s="162">
        <v>46203</v>
      </c>
      <c r="H408" s="131">
        <v>1</v>
      </c>
      <c r="I408" s="131">
        <v>1</v>
      </c>
      <c r="J408" s="141" t="s">
        <v>551</v>
      </c>
      <c r="K408" s="141">
        <v>1</v>
      </c>
      <c r="N408" s="141">
        <v>90</v>
      </c>
      <c r="U408" s="126">
        <v>-2</v>
      </c>
      <c r="V408" s="218">
        <v>0.12</v>
      </c>
      <c r="W408" s="218">
        <v>0.25</v>
      </c>
      <c r="X408" s="126">
        <v>1</v>
      </c>
      <c r="AA408" s="188">
        <v>46227.47934027778</v>
      </c>
      <c r="AB408" s="131">
        <v>4</v>
      </c>
      <c r="AC408" s="126">
        <v>6</v>
      </c>
      <c r="AD408" s="126">
        <v>2026</v>
      </c>
    </row>
    <row r="409" spans="3:30" ht="23.1" customHeight="1">
      <c r="C409" s="126">
        <v>402</v>
      </c>
      <c r="D409" s="126">
        <v>56</v>
      </c>
      <c r="E409" s="141" t="s">
        <v>1203</v>
      </c>
      <c r="F409" s="163" t="s">
        <v>1204</v>
      </c>
      <c r="G409" s="162">
        <v>46203</v>
      </c>
      <c r="H409" s="131">
        <v>1</v>
      </c>
      <c r="I409" s="131">
        <v>1</v>
      </c>
      <c r="J409" s="141" t="s">
        <v>551</v>
      </c>
      <c r="K409" s="141">
        <v>1</v>
      </c>
      <c r="N409" s="141">
        <v>90</v>
      </c>
      <c r="U409" s="126">
        <v>-2</v>
      </c>
      <c r="V409" s="218">
        <v>0.55000000000000004</v>
      </c>
      <c r="W409" s="218">
        <v>0.75</v>
      </c>
      <c r="X409" s="126">
        <v>1</v>
      </c>
      <c r="AA409" s="188">
        <v>46227.47934027778</v>
      </c>
      <c r="AB409" s="131">
        <v>4</v>
      </c>
      <c r="AC409" s="126">
        <v>6</v>
      </c>
      <c r="AD409" s="126">
        <v>2026</v>
      </c>
    </row>
    <row r="410" spans="3:30" ht="23.1" customHeight="1">
      <c r="C410" s="126">
        <v>403</v>
      </c>
      <c r="D410" s="126">
        <v>34</v>
      </c>
      <c r="E410" s="141" t="s">
        <v>1193</v>
      </c>
      <c r="F410" s="163" t="s">
        <v>1194</v>
      </c>
      <c r="G410" s="162">
        <v>46203</v>
      </c>
      <c r="H410" s="131">
        <v>1</v>
      </c>
      <c r="I410" s="131">
        <v>1</v>
      </c>
      <c r="J410" s="141" t="s">
        <v>551</v>
      </c>
      <c r="K410" s="141">
        <v>1</v>
      </c>
      <c r="N410" s="141">
        <v>90</v>
      </c>
      <c r="U410" s="126">
        <v>-1</v>
      </c>
      <c r="V410" s="218">
        <v>0.5</v>
      </c>
      <c r="W410" s="218">
        <v>0.75</v>
      </c>
      <c r="X410" s="126">
        <v>1</v>
      </c>
      <c r="AA410" s="188">
        <v>46227.47934027778</v>
      </c>
      <c r="AB410" s="131">
        <v>4</v>
      </c>
      <c r="AC410" s="126">
        <v>6</v>
      </c>
      <c r="AD410" s="126">
        <v>2026</v>
      </c>
    </row>
    <row r="411" spans="3:30" ht="23.1" customHeight="1">
      <c r="C411" s="126">
        <v>404</v>
      </c>
      <c r="D411" s="126">
        <v>4</v>
      </c>
      <c r="E411" s="141" t="s">
        <v>581</v>
      </c>
      <c r="F411" s="163" t="s">
        <v>582</v>
      </c>
      <c r="G411" s="162">
        <v>46174</v>
      </c>
      <c r="H411" s="131">
        <v>1</v>
      </c>
      <c r="I411" s="131">
        <v>1</v>
      </c>
      <c r="J411" s="141" t="s">
        <v>681</v>
      </c>
      <c r="L411" s="141">
        <v>2</v>
      </c>
      <c r="Q411" s="141">
        <v>4</v>
      </c>
      <c r="U411" s="126">
        <v>8</v>
      </c>
      <c r="V411" s="218">
        <v>5.8</v>
      </c>
      <c r="W411" s="218">
        <v>0</v>
      </c>
      <c r="X411" s="126">
        <v>1</v>
      </c>
      <c r="AA411" s="188">
        <v>46227.616331018522</v>
      </c>
      <c r="AB411" s="131">
        <v>1</v>
      </c>
      <c r="AC411" s="126">
        <v>6</v>
      </c>
      <c r="AD411" s="126">
        <v>2026</v>
      </c>
    </row>
    <row r="412" spans="3:30" ht="23.1" customHeight="1">
      <c r="C412" s="126">
        <v>405</v>
      </c>
      <c r="D412" s="126">
        <v>6</v>
      </c>
      <c r="E412" s="141" t="s">
        <v>559</v>
      </c>
      <c r="F412" s="163" t="s">
        <v>560</v>
      </c>
      <c r="G412" s="162">
        <v>46174</v>
      </c>
      <c r="H412" s="131">
        <v>1</v>
      </c>
      <c r="I412" s="131">
        <v>1</v>
      </c>
      <c r="J412" s="141" t="s">
        <v>681</v>
      </c>
      <c r="L412" s="141">
        <v>2</v>
      </c>
      <c r="Q412" s="141">
        <v>4</v>
      </c>
      <c r="U412" s="126">
        <v>20</v>
      </c>
      <c r="V412" s="218">
        <v>2.89</v>
      </c>
      <c r="W412" s="218">
        <v>0</v>
      </c>
      <c r="X412" s="126">
        <v>1</v>
      </c>
      <c r="AA412" s="188">
        <v>46227.616331018522</v>
      </c>
      <c r="AB412" s="131">
        <v>1</v>
      </c>
      <c r="AC412" s="126">
        <v>6</v>
      </c>
      <c r="AD412" s="126">
        <v>2026</v>
      </c>
    </row>
    <row r="413" spans="3:30" ht="23.1" customHeight="1">
      <c r="C413" s="126">
        <v>406</v>
      </c>
      <c r="D413" s="126">
        <v>7</v>
      </c>
      <c r="E413" s="141" t="s">
        <v>818</v>
      </c>
      <c r="F413" s="163" t="s">
        <v>819</v>
      </c>
      <c r="G413" s="162">
        <v>46174</v>
      </c>
      <c r="H413" s="131">
        <v>1</v>
      </c>
      <c r="I413" s="131">
        <v>1</v>
      </c>
      <c r="J413" s="141" t="s">
        <v>681</v>
      </c>
      <c r="L413" s="141">
        <v>2</v>
      </c>
      <c r="Q413" s="141">
        <v>4</v>
      </c>
      <c r="U413" s="126">
        <v>18</v>
      </c>
      <c r="V413" s="218">
        <v>1.79</v>
      </c>
      <c r="W413" s="218">
        <v>0</v>
      </c>
      <c r="X413" s="126">
        <v>1</v>
      </c>
      <c r="AA413" s="188">
        <v>46227.616331018522</v>
      </c>
      <c r="AB413" s="131">
        <v>1</v>
      </c>
      <c r="AC413" s="126">
        <v>6</v>
      </c>
      <c r="AD413" s="126">
        <v>2026</v>
      </c>
    </row>
    <row r="414" spans="3:30" ht="23.1" customHeight="1">
      <c r="C414" s="126">
        <v>407</v>
      </c>
      <c r="D414" s="126">
        <v>8</v>
      </c>
      <c r="E414" s="141" t="s">
        <v>1125</v>
      </c>
      <c r="F414" s="163" t="s">
        <v>1126</v>
      </c>
      <c r="G414" s="162">
        <v>46174</v>
      </c>
      <c r="H414" s="131">
        <v>1</v>
      </c>
      <c r="I414" s="131">
        <v>1</v>
      </c>
      <c r="J414" s="141" t="s">
        <v>681</v>
      </c>
      <c r="L414" s="141">
        <v>2</v>
      </c>
      <c r="Q414" s="141">
        <v>4</v>
      </c>
      <c r="U414" s="126">
        <v>14</v>
      </c>
      <c r="V414" s="218">
        <v>1.32</v>
      </c>
      <c r="W414" s="218">
        <v>0</v>
      </c>
      <c r="X414" s="126">
        <v>1</v>
      </c>
      <c r="AA414" s="188">
        <v>46227.616331018522</v>
      </c>
      <c r="AB414" s="131">
        <v>1</v>
      </c>
      <c r="AC414" s="126">
        <v>6</v>
      </c>
      <c r="AD414" s="126">
        <v>2026</v>
      </c>
    </row>
    <row r="415" spans="3:30" ht="23.1" customHeight="1">
      <c r="C415" s="126">
        <v>408</v>
      </c>
      <c r="D415" s="126">
        <v>9</v>
      </c>
      <c r="E415" s="141" t="s">
        <v>1813</v>
      </c>
      <c r="F415" s="163" t="s">
        <v>1814</v>
      </c>
      <c r="G415" s="162">
        <v>46174</v>
      </c>
      <c r="H415" s="131">
        <v>1</v>
      </c>
      <c r="I415" s="131">
        <v>1</v>
      </c>
      <c r="J415" s="141" t="s">
        <v>681</v>
      </c>
      <c r="L415" s="141">
        <v>2</v>
      </c>
      <c r="Q415" s="141">
        <v>4</v>
      </c>
      <c r="U415" s="126">
        <v>36</v>
      </c>
      <c r="V415" s="218">
        <v>1.1499999999999999</v>
      </c>
      <c r="W415" s="218">
        <v>0</v>
      </c>
      <c r="X415" s="126">
        <v>1</v>
      </c>
      <c r="AA415" s="188">
        <v>46227.616331018522</v>
      </c>
      <c r="AB415" s="131">
        <v>1</v>
      </c>
      <c r="AC415" s="126">
        <v>6</v>
      </c>
      <c r="AD415" s="126">
        <v>2026</v>
      </c>
    </row>
    <row r="416" spans="3:30" ht="23.1" customHeight="1">
      <c r="C416" s="126">
        <v>409</v>
      </c>
      <c r="D416" s="126">
        <v>11</v>
      </c>
      <c r="E416" s="141" t="s">
        <v>690</v>
      </c>
      <c r="F416" s="163" t="s">
        <v>691</v>
      </c>
      <c r="G416" s="162">
        <v>46174</v>
      </c>
      <c r="H416" s="131">
        <v>1</v>
      </c>
      <c r="I416" s="131">
        <v>1</v>
      </c>
      <c r="J416" s="141" t="s">
        <v>681</v>
      </c>
      <c r="L416" s="141">
        <v>2</v>
      </c>
      <c r="Q416" s="141">
        <v>4</v>
      </c>
      <c r="U416" s="126">
        <v>6</v>
      </c>
      <c r="V416" s="218">
        <v>9.52</v>
      </c>
      <c r="W416" s="218">
        <v>0</v>
      </c>
      <c r="X416" s="126">
        <v>1</v>
      </c>
      <c r="AA416" s="188">
        <v>46227.616331018522</v>
      </c>
      <c r="AB416" s="131">
        <v>1</v>
      </c>
      <c r="AC416" s="126">
        <v>6</v>
      </c>
      <c r="AD416" s="126">
        <v>2026</v>
      </c>
    </row>
    <row r="417" spans="3:30" ht="23.1" customHeight="1">
      <c r="C417" s="126">
        <v>410</v>
      </c>
      <c r="D417" s="126">
        <v>16</v>
      </c>
      <c r="E417" s="141" t="s">
        <v>699</v>
      </c>
      <c r="F417" s="163" t="s">
        <v>700</v>
      </c>
      <c r="G417" s="162">
        <v>46174</v>
      </c>
      <c r="H417" s="131">
        <v>1</v>
      </c>
      <c r="I417" s="131">
        <v>1</v>
      </c>
      <c r="J417" s="141" t="s">
        <v>681</v>
      </c>
      <c r="L417" s="141">
        <v>2</v>
      </c>
      <c r="Q417" s="141">
        <v>4</v>
      </c>
      <c r="U417" s="126">
        <v>30</v>
      </c>
      <c r="V417" s="218">
        <v>2.1</v>
      </c>
      <c r="W417" s="218">
        <v>0</v>
      </c>
      <c r="X417" s="126">
        <v>1</v>
      </c>
      <c r="AA417" s="188">
        <v>46227.616331018522</v>
      </c>
      <c r="AB417" s="131">
        <v>1</v>
      </c>
      <c r="AC417" s="126">
        <v>6</v>
      </c>
      <c r="AD417" s="126">
        <v>2026</v>
      </c>
    </row>
    <row r="418" spans="3:30" ht="23.1" customHeight="1">
      <c r="C418" s="126">
        <v>411</v>
      </c>
      <c r="D418" s="126">
        <v>18</v>
      </c>
      <c r="E418" s="141" t="s">
        <v>703</v>
      </c>
      <c r="F418" s="163" t="s">
        <v>704</v>
      </c>
      <c r="G418" s="162">
        <v>46174</v>
      </c>
      <c r="H418" s="131">
        <v>1</v>
      </c>
      <c r="I418" s="131">
        <v>1</v>
      </c>
      <c r="J418" s="141" t="s">
        <v>681</v>
      </c>
      <c r="L418" s="141">
        <v>2</v>
      </c>
      <c r="Q418" s="141">
        <v>4</v>
      </c>
      <c r="U418" s="126">
        <v>2</v>
      </c>
      <c r="V418" s="218">
        <v>1.35</v>
      </c>
      <c r="W418" s="218">
        <v>0</v>
      </c>
      <c r="X418" s="126">
        <v>1</v>
      </c>
      <c r="AA418" s="188">
        <v>46227.616331018522</v>
      </c>
      <c r="AB418" s="131">
        <v>1</v>
      </c>
      <c r="AC418" s="126">
        <v>6</v>
      </c>
      <c r="AD418" s="126">
        <v>2026</v>
      </c>
    </row>
    <row r="419" spans="3:30" ht="23.1" customHeight="1">
      <c r="C419" s="126">
        <v>412</v>
      </c>
      <c r="D419" s="126">
        <v>20</v>
      </c>
      <c r="E419" s="141" t="s">
        <v>709</v>
      </c>
      <c r="F419" s="163" t="s">
        <v>710</v>
      </c>
      <c r="G419" s="162">
        <v>46174</v>
      </c>
      <c r="H419" s="131">
        <v>1</v>
      </c>
      <c r="I419" s="131">
        <v>1</v>
      </c>
      <c r="J419" s="141" t="s">
        <v>681</v>
      </c>
      <c r="L419" s="141">
        <v>2</v>
      </c>
      <c r="Q419" s="141">
        <v>4</v>
      </c>
      <c r="U419" s="126">
        <v>14</v>
      </c>
      <c r="V419" s="218">
        <v>5.03</v>
      </c>
      <c r="W419" s="218">
        <v>0</v>
      </c>
      <c r="X419" s="126">
        <v>1</v>
      </c>
      <c r="AA419" s="188">
        <v>46227.616331018522</v>
      </c>
      <c r="AB419" s="131">
        <v>1</v>
      </c>
      <c r="AC419" s="126">
        <v>6</v>
      </c>
      <c r="AD419" s="126">
        <v>2026</v>
      </c>
    </row>
    <row r="420" spans="3:30" ht="23.1" customHeight="1">
      <c r="C420" s="126">
        <v>413</v>
      </c>
      <c r="D420" s="126">
        <v>25</v>
      </c>
      <c r="E420" s="141" t="s">
        <v>1295</v>
      </c>
      <c r="F420" s="163" t="s">
        <v>1296</v>
      </c>
      <c r="G420" s="162">
        <v>46174</v>
      </c>
      <c r="H420" s="131">
        <v>1</v>
      </c>
      <c r="I420" s="131">
        <v>1</v>
      </c>
      <c r="J420" s="141" t="s">
        <v>681</v>
      </c>
      <c r="L420" s="141">
        <v>2</v>
      </c>
      <c r="Q420" s="141">
        <v>4</v>
      </c>
      <c r="U420" s="126">
        <v>2</v>
      </c>
      <c r="V420" s="218">
        <v>1.51</v>
      </c>
      <c r="W420" s="218">
        <v>0</v>
      </c>
      <c r="X420" s="126">
        <v>1</v>
      </c>
      <c r="AA420" s="188">
        <v>46227.616331018522</v>
      </c>
      <c r="AB420" s="131">
        <v>1</v>
      </c>
      <c r="AC420" s="126">
        <v>6</v>
      </c>
      <c r="AD420" s="126">
        <v>2026</v>
      </c>
    </row>
    <row r="421" spans="3:30" ht="23.1" customHeight="1">
      <c r="C421" s="126">
        <v>414</v>
      </c>
      <c r="D421" s="126">
        <v>29</v>
      </c>
      <c r="E421" s="141" t="s">
        <v>1523</v>
      </c>
      <c r="F421" s="163" t="s">
        <v>1524</v>
      </c>
      <c r="G421" s="162">
        <v>46174</v>
      </c>
      <c r="H421" s="131">
        <v>1</v>
      </c>
      <c r="I421" s="131">
        <v>1</v>
      </c>
      <c r="J421" s="141" t="s">
        <v>681</v>
      </c>
      <c r="L421" s="141">
        <v>2</v>
      </c>
      <c r="Q421" s="141">
        <v>4</v>
      </c>
      <c r="U421" s="126">
        <v>24</v>
      </c>
      <c r="V421" s="218">
        <v>4.2300000000000004</v>
      </c>
      <c r="W421" s="218">
        <v>0</v>
      </c>
      <c r="X421" s="126">
        <v>1</v>
      </c>
      <c r="AA421" s="188">
        <v>46227.616331018522</v>
      </c>
      <c r="AB421" s="131">
        <v>1</v>
      </c>
      <c r="AC421" s="126">
        <v>6</v>
      </c>
      <c r="AD421" s="126">
        <v>2026</v>
      </c>
    </row>
    <row r="422" spans="3:30" ht="23.1" customHeight="1">
      <c r="C422" s="126">
        <v>415</v>
      </c>
      <c r="D422" s="126">
        <v>30</v>
      </c>
      <c r="E422" s="141" t="s">
        <v>1187</v>
      </c>
      <c r="F422" s="163" t="s">
        <v>1188</v>
      </c>
      <c r="G422" s="162">
        <v>46174</v>
      </c>
      <c r="H422" s="131">
        <v>1</v>
      </c>
      <c r="I422" s="131">
        <v>1</v>
      </c>
      <c r="J422" s="141" t="s">
        <v>681</v>
      </c>
      <c r="L422" s="141">
        <v>2</v>
      </c>
      <c r="Q422" s="141">
        <v>4</v>
      </c>
      <c r="U422" s="126">
        <v>6</v>
      </c>
      <c r="V422" s="218">
        <v>1.49</v>
      </c>
      <c r="W422" s="218">
        <v>0</v>
      </c>
      <c r="X422" s="126">
        <v>1</v>
      </c>
      <c r="AA422" s="188">
        <v>46227.616331018522</v>
      </c>
      <c r="AB422" s="131">
        <v>1</v>
      </c>
      <c r="AC422" s="126">
        <v>6</v>
      </c>
      <c r="AD422" s="126">
        <v>2026</v>
      </c>
    </row>
    <row r="423" spans="3:30" ht="23.1" customHeight="1">
      <c r="C423" s="126">
        <v>416</v>
      </c>
      <c r="D423" s="126">
        <v>32</v>
      </c>
      <c r="E423" s="141" t="s">
        <v>1748</v>
      </c>
      <c r="F423" s="163" t="s">
        <v>1749</v>
      </c>
      <c r="G423" s="162">
        <v>46174</v>
      </c>
      <c r="H423" s="131">
        <v>1</v>
      </c>
      <c r="I423" s="131">
        <v>1</v>
      </c>
      <c r="J423" s="141" t="s">
        <v>681</v>
      </c>
      <c r="L423" s="141">
        <v>2</v>
      </c>
      <c r="Q423" s="141">
        <v>4</v>
      </c>
      <c r="U423" s="126">
        <v>4</v>
      </c>
      <c r="V423" s="218">
        <v>1.04</v>
      </c>
      <c r="W423" s="218">
        <v>0</v>
      </c>
      <c r="X423" s="126">
        <v>1</v>
      </c>
      <c r="AA423" s="188">
        <v>46227.616331018522</v>
      </c>
      <c r="AB423" s="131">
        <v>1</v>
      </c>
      <c r="AC423" s="126">
        <v>6</v>
      </c>
      <c r="AD423" s="126">
        <v>2026</v>
      </c>
    </row>
    <row r="424" spans="3:30" ht="23.1" customHeight="1">
      <c r="C424" s="126">
        <v>417</v>
      </c>
      <c r="D424" s="126">
        <v>33</v>
      </c>
      <c r="E424" s="141" t="s">
        <v>1198</v>
      </c>
      <c r="F424" s="163" t="s">
        <v>1199</v>
      </c>
      <c r="G424" s="162">
        <v>46174</v>
      </c>
      <c r="H424" s="131">
        <v>1</v>
      </c>
      <c r="I424" s="131">
        <v>1</v>
      </c>
      <c r="J424" s="141" t="s">
        <v>681</v>
      </c>
      <c r="L424" s="141">
        <v>2</v>
      </c>
      <c r="Q424" s="141">
        <v>4</v>
      </c>
      <c r="U424" s="126">
        <v>2</v>
      </c>
      <c r="V424" s="218">
        <v>1.75</v>
      </c>
      <c r="W424" s="218">
        <v>0</v>
      </c>
      <c r="X424" s="126">
        <v>1</v>
      </c>
      <c r="AA424" s="188">
        <v>46227.616331018522</v>
      </c>
      <c r="AB424" s="131">
        <v>1</v>
      </c>
      <c r="AC424" s="126">
        <v>6</v>
      </c>
      <c r="AD424" s="126">
        <v>2026</v>
      </c>
    </row>
    <row r="425" spans="3:30" ht="23.1" customHeight="1">
      <c r="C425" s="126">
        <v>418</v>
      </c>
      <c r="D425" s="126">
        <v>34</v>
      </c>
      <c r="E425" s="141" t="s">
        <v>1193</v>
      </c>
      <c r="F425" s="163" t="s">
        <v>1194</v>
      </c>
      <c r="G425" s="162">
        <v>46174</v>
      </c>
      <c r="H425" s="131">
        <v>1</v>
      </c>
      <c r="I425" s="131">
        <v>1</v>
      </c>
      <c r="J425" s="141" t="s">
        <v>681</v>
      </c>
      <c r="L425" s="141">
        <v>2</v>
      </c>
      <c r="Q425" s="141">
        <v>5</v>
      </c>
      <c r="U425" s="126">
        <v>20</v>
      </c>
      <c r="V425" s="218">
        <v>0.5</v>
      </c>
      <c r="W425" s="218">
        <v>0</v>
      </c>
      <c r="X425" s="126">
        <v>1</v>
      </c>
      <c r="AA425" s="188">
        <v>46227.645428240743</v>
      </c>
      <c r="AB425" s="131">
        <v>1</v>
      </c>
      <c r="AC425" s="126">
        <v>6</v>
      </c>
      <c r="AD425" s="126">
        <v>2026</v>
      </c>
    </row>
    <row r="426" spans="3:30" ht="23.1" customHeight="1">
      <c r="C426" s="126">
        <v>419</v>
      </c>
      <c r="D426" s="126">
        <v>37</v>
      </c>
      <c r="E426" s="141" t="s">
        <v>1515</v>
      </c>
      <c r="F426" s="163" t="s">
        <v>1516</v>
      </c>
      <c r="G426" s="162">
        <v>46174</v>
      </c>
      <c r="H426" s="131">
        <v>1</v>
      </c>
      <c r="I426" s="131">
        <v>1</v>
      </c>
      <c r="J426" s="141" t="s">
        <v>681</v>
      </c>
      <c r="L426" s="141">
        <v>2</v>
      </c>
      <c r="Q426" s="141">
        <v>5</v>
      </c>
      <c r="U426" s="126">
        <v>4</v>
      </c>
      <c r="V426" s="218">
        <v>0.66</v>
      </c>
      <c r="W426" s="218">
        <v>0</v>
      </c>
      <c r="X426" s="126">
        <v>1</v>
      </c>
      <c r="AA426" s="188">
        <v>46227.645428240743</v>
      </c>
      <c r="AB426" s="131">
        <v>1</v>
      </c>
      <c r="AC426" s="126">
        <v>6</v>
      </c>
      <c r="AD426" s="126">
        <v>2026</v>
      </c>
    </row>
    <row r="427" spans="3:30" ht="23.1" customHeight="1">
      <c r="C427" s="126">
        <v>420</v>
      </c>
      <c r="D427" s="126">
        <v>38</v>
      </c>
      <c r="E427" s="141" t="s">
        <v>1113</v>
      </c>
      <c r="F427" s="163" t="s">
        <v>1114</v>
      </c>
      <c r="G427" s="162">
        <v>46174</v>
      </c>
      <c r="H427" s="131">
        <v>1</v>
      </c>
      <c r="I427" s="131">
        <v>1</v>
      </c>
      <c r="J427" s="141" t="s">
        <v>681</v>
      </c>
      <c r="L427" s="141">
        <v>2</v>
      </c>
      <c r="Q427" s="141">
        <v>5</v>
      </c>
      <c r="U427" s="126">
        <v>4</v>
      </c>
      <c r="V427" s="218">
        <v>0.28999999999999998</v>
      </c>
      <c r="W427" s="218">
        <v>0</v>
      </c>
      <c r="X427" s="126">
        <v>1</v>
      </c>
      <c r="AA427" s="188">
        <v>46227.645428240743</v>
      </c>
      <c r="AB427" s="131">
        <v>1</v>
      </c>
      <c r="AC427" s="126">
        <v>6</v>
      </c>
      <c r="AD427" s="126">
        <v>2026</v>
      </c>
    </row>
    <row r="428" spans="3:30" ht="23.1" customHeight="1">
      <c r="C428" s="126">
        <v>421</v>
      </c>
      <c r="D428" s="126">
        <v>39</v>
      </c>
      <c r="E428" s="141" t="s">
        <v>1144</v>
      </c>
      <c r="F428" s="163" t="s">
        <v>1145</v>
      </c>
      <c r="G428" s="162">
        <v>46174</v>
      </c>
      <c r="H428" s="131">
        <v>1</v>
      </c>
      <c r="I428" s="131">
        <v>1</v>
      </c>
      <c r="J428" s="141" t="s">
        <v>681</v>
      </c>
      <c r="L428" s="141">
        <v>2</v>
      </c>
      <c r="Q428" s="141">
        <v>5</v>
      </c>
      <c r="U428" s="126">
        <v>6</v>
      </c>
      <c r="V428" s="218">
        <v>0.28999999999999998</v>
      </c>
      <c r="W428" s="218">
        <v>0</v>
      </c>
      <c r="X428" s="126">
        <v>1</v>
      </c>
      <c r="AA428" s="188">
        <v>46227.645428240743</v>
      </c>
      <c r="AB428" s="131">
        <v>1</v>
      </c>
      <c r="AC428" s="126">
        <v>6</v>
      </c>
      <c r="AD428" s="126">
        <v>2026</v>
      </c>
    </row>
    <row r="429" spans="3:30" ht="23.1" customHeight="1">
      <c r="C429" s="126">
        <v>422</v>
      </c>
      <c r="D429" s="126">
        <v>40</v>
      </c>
      <c r="E429" s="141" t="s">
        <v>1108</v>
      </c>
      <c r="F429" s="163" t="s">
        <v>1109</v>
      </c>
      <c r="G429" s="162">
        <v>46174</v>
      </c>
      <c r="H429" s="131">
        <v>1</v>
      </c>
      <c r="I429" s="131">
        <v>1</v>
      </c>
      <c r="J429" s="141" t="s">
        <v>681</v>
      </c>
      <c r="L429" s="141">
        <v>2</v>
      </c>
      <c r="Q429" s="141">
        <v>5</v>
      </c>
      <c r="U429" s="126">
        <v>4</v>
      </c>
      <c r="V429" s="218">
        <v>0.23</v>
      </c>
      <c r="W429" s="218">
        <v>0</v>
      </c>
      <c r="X429" s="126">
        <v>1</v>
      </c>
      <c r="AA429" s="188">
        <v>46227.645428240743</v>
      </c>
      <c r="AB429" s="131">
        <v>1</v>
      </c>
      <c r="AC429" s="126">
        <v>6</v>
      </c>
      <c r="AD429" s="126">
        <v>2026</v>
      </c>
    </row>
    <row r="430" spans="3:30" ht="23.1" customHeight="1">
      <c r="C430" s="126">
        <v>423</v>
      </c>
      <c r="D430" s="126">
        <v>41</v>
      </c>
      <c r="E430" s="141" t="s">
        <v>808</v>
      </c>
      <c r="F430" s="163" t="s">
        <v>809</v>
      </c>
      <c r="G430" s="162">
        <v>46174</v>
      </c>
      <c r="H430" s="131">
        <v>1</v>
      </c>
      <c r="I430" s="131">
        <v>1</v>
      </c>
      <c r="J430" s="141" t="s">
        <v>681</v>
      </c>
      <c r="L430" s="141">
        <v>2</v>
      </c>
      <c r="Q430" s="141">
        <v>5</v>
      </c>
      <c r="U430" s="126">
        <v>16</v>
      </c>
      <c r="V430" s="218">
        <v>0.53</v>
      </c>
      <c r="W430" s="218">
        <v>0</v>
      </c>
      <c r="X430" s="126">
        <v>1</v>
      </c>
      <c r="AA430" s="188">
        <v>46227.645428240743</v>
      </c>
      <c r="AB430" s="131">
        <v>1</v>
      </c>
      <c r="AC430" s="126">
        <v>6</v>
      </c>
      <c r="AD430" s="126">
        <v>2026</v>
      </c>
    </row>
    <row r="431" spans="3:30" ht="23.1" customHeight="1">
      <c r="C431" s="126">
        <v>424</v>
      </c>
      <c r="D431" s="126">
        <v>42</v>
      </c>
      <c r="E431" s="141" t="s">
        <v>975</v>
      </c>
      <c r="F431" s="163" t="s">
        <v>976</v>
      </c>
      <c r="G431" s="162">
        <v>46174</v>
      </c>
      <c r="H431" s="131">
        <v>1</v>
      </c>
      <c r="I431" s="131">
        <v>1</v>
      </c>
      <c r="J431" s="141" t="s">
        <v>681</v>
      </c>
      <c r="L431" s="141">
        <v>2</v>
      </c>
      <c r="Q431" s="141">
        <v>5</v>
      </c>
      <c r="U431" s="126">
        <v>32</v>
      </c>
      <c r="V431" s="218">
        <v>0.24</v>
      </c>
      <c r="W431" s="218">
        <v>0</v>
      </c>
      <c r="X431" s="126">
        <v>1</v>
      </c>
      <c r="AA431" s="188">
        <v>46227.645428240743</v>
      </c>
      <c r="AB431" s="131">
        <v>1</v>
      </c>
      <c r="AC431" s="126">
        <v>6</v>
      </c>
      <c r="AD431" s="126">
        <v>2026</v>
      </c>
    </row>
    <row r="432" spans="3:30" ht="23.1" customHeight="1">
      <c r="C432" s="126">
        <v>425</v>
      </c>
      <c r="D432" s="126">
        <v>44</v>
      </c>
      <c r="E432" s="141" t="s">
        <v>1229</v>
      </c>
      <c r="F432" s="163" t="s">
        <v>1230</v>
      </c>
      <c r="G432" s="162">
        <v>46174</v>
      </c>
      <c r="H432" s="131">
        <v>1</v>
      </c>
      <c r="I432" s="131">
        <v>1</v>
      </c>
      <c r="J432" s="141" t="s">
        <v>681</v>
      </c>
      <c r="L432" s="141">
        <v>2</v>
      </c>
      <c r="Q432" s="141">
        <v>5</v>
      </c>
      <c r="U432" s="126">
        <v>8</v>
      </c>
      <c r="V432" s="218">
        <v>0.22</v>
      </c>
      <c r="W432" s="218">
        <v>0</v>
      </c>
      <c r="X432" s="126">
        <v>1</v>
      </c>
      <c r="AA432" s="188">
        <v>46227.645428240743</v>
      </c>
      <c r="AB432" s="131">
        <v>1</v>
      </c>
      <c r="AC432" s="126">
        <v>6</v>
      </c>
      <c r="AD432" s="126">
        <v>2026</v>
      </c>
    </row>
    <row r="433" spans="3:30" ht="23.1" customHeight="1">
      <c r="C433" s="126">
        <v>426</v>
      </c>
      <c r="D433" s="126">
        <v>45</v>
      </c>
      <c r="E433" s="141" t="s">
        <v>980</v>
      </c>
      <c r="F433" s="163" t="s">
        <v>981</v>
      </c>
      <c r="G433" s="162">
        <v>46174</v>
      </c>
      <c r="H433" s="131">
        <v>1</v>
      </c>
      <c r="I433" s="131">
        <v>1</v>
      </c>
      <c r="J433" s="141" t="s">
        <v>681</v>
      </c>
      <c r="L433" s="141">
        <v>2</v>
      </c>
      <c r="Q433" s="141">
        <v>5</v>
      </c>
      <c r="U433" s="126">
        <v>30</v>
      </c>
      <c r="V433" s="218">
        <v>0.34</v>
      </c>
      <c r="W433" s="218">
        <v>0</v>
      </c>
      <c r="X433" s="126">
        <v>1</v>
      </c>
      <c r="AA433" s="188">
        <v>46227.645428240743</v>
      </c>
      <c r="AB433" s="131">
        <v>1</v>
      </c>
      <c r="AC433" s="126">
        <v>6</v>
      </c>
      <c r="AD433" s="126">
        <v>2026</v>
      </c>
    </row>
    <row r="434" spans="3:30" ht="23.1" customHeight="1">
      <c r="C434" s="126">
        <v>427</v>
      </c>
      <c r="D434" s="126">
        <v>46</v>
      </c>
      <c r="E434" s="141" t="s">
        <v>647</v>
      </c>
      <c r="F434" s="163" t="s">
        <v>648</v>
      </c>
      <c r="G434" s="162">
        <v>46174</v>
      </c>
      <c r="H434" s="131">
        <v>1</v>
      </c>
      <c r="I434" s="131">
        <v>1</v>
      </c>
      <c r="J434" s="141" t="s">
        <v>681</v>
      </c>
      <c r="L434" s="141">
        <v>2</v>
      </c>
      <c r="Q434" s="141">
        <v>5</v>
      </c>
      <c r="U434" s="126">
        <v>60</v>
      </c>
      <c r="V434" s="218">
        <v>0.15</v>
      </c>
      <c r="W434" s="218">
        <v>0</v>
      </c>
      <c r="X434" s="126">
        <v>1</v>
      </c>
      <c r="AA434" s="188">
        <v>46227.645428240743</v>
      </c>
      <c r="AB434" s="131">
        <v>1</v>
      </c>
      <c r="AC434" s="126">
        <v>6</v>
      </c>
      <c r="AD434" s="126">
        <v>2026</v>
      </c>
    </row>
    <row r="435" spans="3:30" ht="23.1" customHeight="1">
      <c r="C435" s="126">
        <v>428</v>
      </c>
      <c r="D435" s="126">
        <v>48</v>
      </c>
      <c r="E435" s="141" t="s">
        <v>596</v>
      </c>
      <c r="F435" s="163" t="s">
        <v>597</v>
      </c>
      <c r="G435" s="162">
        <v>46174</v>
      </c>
      <c r="H435" s="131">
        <v>1</v>
      </c>
      <c r="I435" s="131">
        <v>1</v>
      </c>
      <c r="J435" s="141" t="s">
        <v>681</v>
      </c>
      <c r="L435" s="141">
        <v>2</v>
      </c>
      <c r="Q435" s="141">
        <v>5</v>
      </c>
      <c r="U435" s="126">
        <v>14</v>
      </c>
      <c r="V435" s="218">
        <v>0.12</v>
      </c>
      <c r="W435" s="218">
        <v>0</v>
      </c>
      <c r="X435" s="126">
        <v>1</v>
      </c>
      <c r="AA435" s="188">
        <v>46227.645428240743</v>
      </c>
      <c r="AB435" s="131">
        <v>1</v>
      </c>
      <c r="AC435" s="126">
        <v>6</v>
      </c>
      <c r="AD435" s="126">
        <v>2026</v>
      </c>
    </row>
    <row r="436" spans="3:30" ht="23.1" customHeight="1">
      <c r="C436" s="126">
        <v>429</v>
      </c>
      <c r="D436" s="126">
        <v>49</v>
      </c>
      <c r="E436" s="141" t="s">
        <v>813</v>
      </c>
      <c r="F436" s="163" t="s">
        <v>814</v>
      </c>
      <c r="G436" s="162">
        <v>46174</v>
      </c>
      <c r="H436" s="131">
        <v>1</v>
      </c>
      <c r="I436" s="131">
        <v>1</v>
      </c>
      <c r="J436" s="141" t="s">
        <v>681</v>
      </c>
      <c r="L436" s="141">
        <v>2</v>
      </c>
      <c r="Q436" s="141">
        <v>5</v>
      </c>
      <c r="U436" s="126">
        <v>30</v>
      </c>
      <c r="V436" s="218">
        <v>0.28000000000000003</v>
      </c>
      <c r="W436" s="218">
        <v>0</v>
      </c>
      <c r="X436" s="126">
        <v>1</v>
      </c>
      <c r="AA436" s="188">
        <v>46227.645428240743</v>
      </c>
      <c r="AB436" s="131">
        <v>1</v>
      </c>
      <c r="AC436" s="126">
        <v>6</v>
      </c>
      <c r="AD436" s="126">
        <v>2026</v>
      </c>
    </row>
    <row r="437" spans="3:30" ht="23.1" customHeight="1">
      <c r="C437" s="126">
        <v>430</v>
      </c>
      <c r="D437" s="126">
        <v>50</v>
      </c>
      <c r="E437" s="141" t="s">
        <v>803</v>
      </c>
      <c r="F437" s="163" t="s">
        <v>804</v>
      </c>
      <c r="G437" s="162">
        <v>46174</v>
      </c>
      <c r="H437" s="131">
        <v>1</v>
      </c>
      <c r="I437" s="131">
        <v>1</v>
      </c>
      <c r="J437" s="141" t="s">
        <v>681</v>
      </c>
      <c r="L437" s="141">
        <v>2</v>
      </c>
      <c r="Q437" s="141">
        <v>5</v>
      </c>
      <c r="U437" s="126">
        <v>118</v>
      </c>
      <c r="V437" s="218">
        <v>0.12</v>
      </c>
      <c r="W437" s="218">
        <v>0</v>
      </c>
      <c r="X437" s="126">
        <v>1</v>
      </c>
      <c r="AA437" s="188">
        <v>46227.645428240743</v>
      </c>
      <c r="AB437" s="131">
        <v>1</v>
      </c>
      <c r="AC437" s="126">
        <v>6</v>
      </c>
      <c r="AD437" s="126">
        <v>2026</v>
      </c>
    </row>
    <row r="438" spans="3:30" ht="23.1" customHeight="1">
      <c r="C438" s="126">
        <v>431</v>
      </c>
      <c r="D438" s="126">
        <v>51</v>
      </c>
      <c r="E438" s="141" t="s">
        <v>1339</v>
      </c>
      <c r="F438" s="163" t="s">
        <v>1340</v>
      </c>
      <c r="G438" s="162">
        <v>46174</v>
      </c>
      <c r="H438" s="131">
        <v>1</v>
      </c>
      <c r="I438" s="131">
        <v>1</v>
      </c>
      <c r="J438" s="141" t="s">
        <v>681</v>
      </c>
      <c r="L438" s="141">
        <v>2</v>
      </c>
      <c r="Q438" s="141">
        <v>5</v>
      </c>
      <c r="U438" s="126">
        <v>34</v>
      </c>
      <c r="V438" s="218">
        <v>4.49</v>
      </c>
      <c r="W438" s="218">
        <v>0</v>
      </c>
      <c r="X438" s="126">
        <v>1</v>
      </c>
      <c r="AA438" s="188">
        <v>46227.645428240743</v>
      </c>
      <c r="AB438" s="131">
        <v>1</v>
      </c>
      <c r="AC438" s="126">
        <v>6</v>
      </c>
      <c r="AD438" s="126">
        <v>2026</v>
      </c>
    </row>
    <row r="439" spans="3:30" ht="23.1" customHeight="1">
      <c r="C439" s="126">
        <v>432</v>
      </c>
      <c r="D439" s="126">
        <v>52</v>
      </c>
      <c r="E439" s="141" t="s">
        <v>933</v>
      </c>
      <c r="F439" s="163" t="s">
        <v>934</v>
      </c>
      <c r="G439" s="162">
        <v>46176</v>
      </c>
      <c r="H439" s="131">
        <v>1</v>
      </c>
      <c r="I439" s="131">
        <v>1</v>
      </c>
      <c r="J439" s="141" t="s">
        <v>681</v>
      </c>
      <c r="L439" s="141">
        <v>2</v>
      </c>
      <c r="Q439" s="141">
        <v>6</v>
      </c>
      <c r="U439" s="126">
        <v>22</v>
      </c>
      <c r="V439" s="218">
        <v>1.91</v>
      </c>
      <c r="W439" s="218">
        <v>0</v>
      </c>
      <c r="X439" s="126">
        <v>1</v>
      </c>
      <c r="AA439" s="188">
        <v>46227.67759259259</v>
      </c>
      <c r="AB439" s="131">
        <v>1</v>
      </c>
      <c r="AC439" s="126">
        <v>6</v>
      </c>
      <c r="AD439" s="126">
        <v>2026</v>
      </c>
    </row>
    <row r="440" spans="3:30" ht="23.1" customHeight="1">
      <c r="C440" s="126">
        <v>433</v>
      </c>
      <c r="D440" s="126">
        <v>53</v>
      </c>
      <c r="E440" s="141" t="s">
        <v>1211</v>
      </c>
      <c r="F440" s="163" t="s">
        <v>1212</v>
      </c>
      <c r="G440" s="162">
        <v>46176</v>
      </c>
      <c r="H440" s="131">
        <v>1</v>
      </c>
      <c r="I440" s="131">
        <v>1</v>
      </c>
      <c r="J440" s="141" t="s">
        <v>681</v>
      </c>
      <c r="L440" s="141">
        <v>2</v>
      </c>
      <c r="Q440" s="141">
        <v>6</v>
      </c>
      <c r="U440" s="126">
        <v>4</v>
      </c>
      <c r="V440" s="218">
        <v>0.95</v>
      </c>
      <c r="W440" s="218">
        <v>0</v>
      </c>
      <c r="X440" s="126">
        <v>1</v>
      </c>
      <c r="AA440" s="188">
        <v>46227.67759259259</v>
      </c>
      <c r="AB440" s="131">
        <v>1</v>
      </c>
      <c r="AC440" s="126">
        <v>6</v>
      </c>
      <c r="AD440" s="126">
        <v>2026</v>
      </c>
    </row>
    <row r="441" spans="3:30" ht="23.1" customHeight="1">
      <c r="C441" s="126">
        <v>434</v>
      </c>
      <c r="D441" s="126">
        <v>54</v>
      </c>
      <c r="E441" s="141" t="s">
        <v>1743</v>
      </c>
      <c r="F441" s="163" t="s">
        <v>1744</v>
      </c>
      <c r="G441" s="162">
        <v>46176</v>
      </c>
      <c r="H441" s="131">
        <v>1</v>
      </c>
      <c r="I441" s="131">
        <v>1</v>
      </c>
      <c r="J441" s="141" t="s">
        <v>681</v>
      </c>
      <c r="L441" s="141">
        <v>2</v>
      </c>
      <c r="Q441" s="141">
        <v>6</v>
      </c>
      <c r="U441" s="126">
        <v>16</v>
      </c>
      <c r="V441" s="218">
        <v>2.12</v>
      </c>
      <c r="W441" s="218">
        <v>0</v>
      </c>
      <c r="X441" s="126">
        <v>1</v>
      </c>
      <c r="AA441" s="188">
        <v>46227.67759259259</v>
      </c>
      <c r="AB441" s="131">
        <v>1</v>
      </c>
      <c r="AC441" s="126">
        <v>6</v>
      </c>
      <c r="AD441" s="126">
        <v>2026</v>
      </c>
    </row>
    <row r="442" spans="3:30" ht="23.1" customHeight="1">
      <c r="C442" s="126">
        <v>435</v>
      </c>
      <c r="D442" s="126">
        <v>56</v>
      </c>
      <c r="E442" s="141" t="s">
        <v>1203</v>
      </c>
      <c r="F442" s="163" t="s">
        <v>1204</v>
      </c>
      <c r="G442" s="162">
        <v>46176</v>
      </c>
      <c r="H442" s="131">
        <v>1</v>
      </c>
      <c r="I442" s="131">
        <v>1</v>
      </c>
      <c r="J442" s="141" t="s">
        <v>681</v>
      </c>
      <c r="L442" s="141">
        <v>2</v>
      </c>
      <c r="Q442" s="141">
        <v>6</v>
      </c>
      <c r="U442" s="126">
        <v>14</v>
      </c>
      <c r="V442" s="218">
        <v>0.55000000000000004</v>
      </c>
      <c r="W442" s="218">
        <v>0</v>
      </c>
      <c r="X442" s="126">
        <v>1</v>
      </c>
      <c r="AA442" s="188">
        <v>46227.67759259259</v>
      </c>
      <c r="AB442" s="131">
        <v>1</v>
      </c>
      <c r="AC442" s="126">
        <v>6</v>
      </c>
      <c r="AD442" s="126">
        <v>2026</v>
      </c>
    </row>
    <row r="443" spans="3:30" ht="23.1" customHeight="1">
      <c r="C443" s="126">
        <v>436</v>
      </c>
      <c r="D443" s="126">
        <v>61</v>
      </c>
      <c r="E443" s="141" t="s">
        <v>1924</v>
      </c>
      <c r="F443" s="163" t="s">
        <v>1925</v>
      </c>
      <c r="G443" s="162">
        <v>46176</v>
      </c>
      <c r="H443" s="131">
        <v>1</v>
      </c>
      <c r="I443" s="131">
        <v>1</v>
      </c>
      <c r="J443" s="141" t="s">
        <v>681</v>
      </c>
      <c r="L443" s="141">
        <v>2</v>
      </c>
      <c r="Q443" s="141">
        <v>6</v>
      </c>
      <c r="U443" s="126">
        <v>2</v>
      </c>
      <c r="V443" s="218">
        <v>6.41</v>
      </c>
      <c r="W443" s="218">
        <v>0</v>
      </c>
      <c r="X443" s="126">
        <v>1</v>
      </c>
      <c r="AA443" s="188">
        <v>46227.67759259259</v>
      </c>
      <c r="AB443" s="131">
        <v>1</v>
      </c>
      <c r="AC443" s="126">
        <v>6</v>
      </c>
      <c r="AD443" s="126">
        <v>2026</v>
      </c>
    </row>
    <row r="444" spans="3:30" ht="23.1" customHeight="1">
      <c r="C444" s="126">
        <v>437</v>
      </c>
      <c r="D444" s="126">
        <v>63</v>
      </c>
      <c r="E444" s="141" t="s">
        <v>1037</v>
      </c>
      <c r="F444" s="163" t="s">
        <v>1038</v>
      </c>
      <c r="G444" s="162">
        <v>46176</v>
      </c>
      <c r="H444" s="131">
        <v>1</v>
      </c>
      <c r="I444" s="131">
        <v>1</v>
      </c>
      <c r="J444" s="141" t="s">
        <v>681</v>
      </c>
      <c r="L444" s="141">
        <v>2</v>
      </c>
      <c r="Q444" s="141">
        <v>6</v>
      </c>
      <c r="U444" s="126">
        <v>12</v>
      </c>
      <c r="V444" s="218">
        <v>4.33</v>
      </c>
      <c r="W444" s="218">
        <v>0</v>
      </c>
      <c r="X444" s="126">
        <v>1</v>
      </c>
      <c r="AA444" s="188">
        <v>46227.67759259259</v>
      </c>
      <c r="AB444" s="131">
        <v>1</v>
      </c>
      <c r="AC444" s="126">
        <v>6</v>
      </c>
      <c r="AD444" s="126">
        <v>2026</v>
      </c>
    </row>
    <row r="445" spans="3:30" ht="23.1" customHeight="1">
      <c r="C445" s="126">
        <v>438</v>
      </c>
      <c r="D445" s="126">
        <v>64</v>
      </c>
      <c r="E445" s="141" t="s">
        <v>1221</v>
      </c>
      <c r="F445" s="163" t="s">
        <v>1222</v>
      </c>
      <c r="G445" s="162">
        <v>46176</v>
      </c>
      <c r="H445" s="131">
        <v>1</v>
      </c>
      <c r="I445" s="131">
        <v>1</v>
      </c>
      <c r="J445" s="141" t="s">
        <v>681</v>
      </c>
      <c r="L445" s="141">
        <v>2</v>
      </c>
      <c r="Q445" s="141">
        <v>6</v>
      </c>
      <c r="U445" s="126">
        <v>2</v>
      </c>
      <c r="V445" s="218">
        <v>1.9</v>
      </c>
      <c r="W445" s="218">
        <v>0</v>
      </c>
      <c r="X445" s="126">
        <v>1</v>
      </c>
      <c r="AA445" s="188">
        <v>46227.67759259259</v>
      </c>
      <c r="AB445" s="131">
        <v>1</v>
      </c>
      <c r="AC445" s="126">
        <v>6</v>
      </c>
      <c r="AD445" s="126">
        <v>2026</v>
      </c>
    </row>
    <row r="446" spans="3:30" ht="23.1" customHeight="1">
      <c r="C446" s="126">
        <v>439</v>
      </c>
      <c r="D446" s="126">
        <v>66</v>
      </c>
      <c r="E446" s="141" t="s">
        <v>1216</v>
      </c>
      <c r="F446" s="163" t="s">
        <v>1217</v>
      </c>
      <c r="G446" s="162">
        <v>46176</v>
      </c>
      <c r="H446" s="131">
        <v>1</v>
      </c>
      <c r="I446" s="131">
        <v>1</v>
      </c>
      <c r="J446" s="141" t="s">
        <v>681</v>
      </c>
      <c r="L446" s="141">
        <v>2</v>
      </c>
      <c r="Q446" s="141">
        <v>6</v>
      </c>
      <c r="U446" s="126">
        <v>12</v>
      </c>
      <c r="V446" s="218">
        <v>0.41</v>
      </c>
      <c r="W446" s="218">
        <v>0</v>
      </c>
      <c r="X446" s="126">
        <v>1</v>
      </c>
      <c r="AA446" s="188">
        <v>46227.67759259259</v>
      </c>
      <c r="AB446" s="131">
        <v>1</v>
      </c>
      <c r="AC446" s="126">
        <v>6</v>
      </c>
      <c r="AD446" s="126">
        <v>2026</v>
      </c>
    </row>
    <row r="447" spans="3:30" ht="23.1" customHeight="1">
      <c r="C447" s="126">
        <v>440</v>
      </c>
      <c r="D447" s="126">
        <v>68</v>
      </c>
      <c r="E447" s="141" t="s">
        <v>1242</v>
      </c>
      <c r="F447" s="163" t="s">
        <v>1243</v>
      </c>
      <c r="G447" s="162">
        <v>46176</v>
      </c>
      <c r="H447" s="131">
        <v>1</v>
      </c>
      <c r="I447" s="131">
        <v>1</v>
      </c>
      <c r="J447" s="141" t="s">
        <v>681</v>
      </c>
      <c r="L447" s="141">
        <v>2</v>
      </c>
      <c r="Q447" s="141">
        <v>6</v>
      </c>
      <c r="U447" s="126">
        <v>12</v>
      </c>
      <c r="V447" s="218">
        <v>0.53</v>
      </c>
      <c r="W447" s="218">
        <v>0</v>
      </c>
      <c r="X447" s="126">
        <v>1</v>
      </c>
      <c r="AA447" s="188">
        <v>46227.67759259259</v>
      </c>
      <c r="AB447" s="131">
        <v>1</v>
      </c>
      <c r="AC447" s="126">
        <v>6</v>
      </c>
      <c r="AD447" s="126">
        <v>2026</v>
      </c>
    </row>
    <row r="448" spans="3:30" ht="23.1" customHeight="1">
      <c r="C448" s="126">
        <v>441</v>
      </c>
      <c r="D448" s="126">
        <v>69</v>
      </c>
      <c r="E448" s="141" t="s">
        <v>1234</v>
      </c>
      <c r="F448" s="163" t="s">
        <v>1235</v>
      </c>
      <c r="G448" s="162">
        <v>46176</v>
      </c>
      <c r="H448" s="131">
        <v>1</v>
      </c>
      <c r="I448" s="131">
        <v>1</v>
      </c>
      <c r="J448" s="141" t="s">
        <v>681</v>
      </c>
      <c r="L448" s="141">
        <v>2</v>
      </c>
      <c r="Q448" s="141">
        <v>6</v>
      </c>
      <c r="U448" s="126">
        <v>14</v>
      </c>
      <c r="V448" s="218">
        <v>0.25</v>
      </c>
      <c r="W448" s="218">
        <v>0</v>
      </c>
      <c r="X448" s="126">
        <v>1</v>
      </c>
      <c r="AA448" s="188">
        <v>46227.67759259259</v>
      </c>
      <c r="AB448" s="131">
        <v>1</v>
      </c>
      <c r="AC448" s="126">
        <v>6</v>
      </c>
      <c r="AD448" s="126">
        <v>2026</v>
      </c>
    </row>
    <row r="449" spans="3:30" ht="23.1" customHeight="1">
      <c r="C449" s="126">
        <v>442</v>
      </c>
      <c r="D449" s="126">
        <v>70</v>
      </c>
      <c r="E449" s="141" t="s">
        <v>906</v>
      </c>
      <c r="F449" s="163" t="s">
        <v>907</v>
      </c>
      <c r="G449" s="162">
        <v>46176</v>
      </c>
      <c r="H449" s="131">
        <v>1</v>
      </c>
      <c r="I449" s="131">
        <v>1</v>
      </c>
      <c r="J449" s="141" t="s">
        <v>681</v>
      </c>
      <c r="L449" s="141">
        <v>2</v>
      </c>
      <c r="Q449" s="141">
        <v>6</v>
      </c>
      <c r="U449" s="126">
        <v>8</v>
      </c>
      <c r="V449" s="218">
        <v>0.15</v>
      </c>
      <c r="W449" s="218">
        <v>0</v>
      </c>
      <c r="X449" s="126">
        <v>1</v>
      </c>
      <c r="AA449" s="188">
        <v>46227.67759259259</v>
      </c>
      <c r="AB449" s="131">
        <v>1</v>
      </c>
      <c r="AC449" s="126">
        <v>6</v>
      </c>
      <c r="AD449" s="126">
        <v>2026</v>
      </c>
    </row>
    <row r="450" spans="3:30" ht="23.1" customHeight="1">
      <c r="C450" s="126">
        <v>443</v>
      </c>
      <c r="D450" s="126">
        <v>71</v>
      </c>
      <c r="E450" s="141" t="s">
        <v>2010</v>
      </c>
      <c r="F450" s="163" t="s">
        <v>2011</v>
      </c>
      <c r="G450" s="162">
        <v>46176</v>
      </c>
      <c r="H450" s="131">
        <v>1</v>
      </c>
      <c r="I450" s="131">
        <v>1</v>
      </c>
      <c r="J450" s="141" t="s">
        <v>681</v>
      </c>
      <c r="L450" s="141">
        <v>2</v>
      </c>
      <c r="Q450" s="141">
        <v>6</v>
      </c>
      <c r="U450" s="126">
        <v>4</v>
      </c>
      <c r="V450" s="218">
        <v>0.11</v>
      </c>
      <c r="W450" s="218">
        <v>0</v>
      </c>
      <c r="X450" s="126">
        <v>1</v>
      </c>
      <c r="AA450" s="188">
        <v>46227.67759259259</v>
      </c>
      <c r="AB450" s="131">
        <v>1</v>
      </c>
      <c r="AC450" s="126">
        <v>6</v>
      </c>
      <c r="AD450" s="126">
        <v>2026</v>
      </c>
    </row>
    <row r="451" spans="3:30" ht="23.1" customHeight="1">
      <c r="C451" s="126">
        <v>444</v>
      </c>
      <c r="D451" s="126">
        <v>73</v>
      </c>
      <c r="E451" s="141" t="s">
        <v>1303</v>
      </c>
      <c r="F451" s="163" t="s">
        <v>1304</v>
      </c>
      <c r="G451" s="162">
        <v>46176</v>
      </c>
      <c r="H451" s="131">
        <v>1</v>
      </c>
      <c r="I451" s="131">
        <v>1</v>
      </c>
      <c r="J451" s="141" t="s">
        <v>681</v>
      </c>
      <c r="L451" s="141">
        <v>2</v>
      </c>
      <c r="Q451" s="141">
        <v>6</v>
      </c>
      <c r="U451" s="126">
        <v>2</v>
      </c>
      <c r="V451" s="218">
        <v>0.34</v>
      </c>
      <c r="W451" s="218">
        <v>0</v>
      </c>
      <c r="X451" s="126">
        <v>1</v>
      </c>
      <c r="AA451" s="188">
        <v>46227.67759259259</v>
      </c>
      <c r="AB451" s="131">
        <v>1</v>
      </c>
      <c r="AC451" s="126">
        <v>6</v>
      </c>
      <c r="AD451" s="126">
        <v>2026</v>
      </c>
    </row>
    <row r="452" spans="3:30" ht="23.1" customHeight="1">
      <c r="C452" s="126">
        <v>445</v>
      </c>
      <c r="D452" s="126">
        <v>74</v>
      </c>
      <c r="E452" s="141" t="s">
        <v>1367</v>
      </c>
      <c r="F452" s="163" t="s">
        <v>1368</v>
      </c>
      <c r="G452" s="162">
        <v>46176</v>
      </c>
      <c r="H452" s="131">
        <v>1</v>
      </c>
      <c r="I452" s="131">
        <v>1</v>
      </c>
      <c r="J452" s="141" t="s">
        <v>681</v>
      </c>
      <c r="L452" s="141">
        <v>2</v>
      </c>
      <c r="Q452" s="141">
        <v>6</v>
      </c>
      <c r="U452" s="126">
        <v>12</v>
      </c>
      <c r="V452" s="218">
        <v>0.19</v>
      </c>
      <c r="W452" s="218">
        <v>0</v>
      </c>
      <c r="X452" s="126">
        <v>1</v>
      </c>
      <c r="AA452" s="188">
        <v>46227.67759259259</v>
      </c>
      <c r="AB452" s="131">
        <v>1</v>
      </c>
      <c r="AC452" s="126">
        <v>6</v>
      </c>
      <c r="AD452" s="126">
        <v>2026</v>
      </c>
    </row>
    <row r="453" spans="3:30" ht="23.1" customHeight="1">
      <c r="C453" s="126">
        <v>446</v>
      </c>
      <c r="D453" s="126">
        <v>75</v>
      </c>
      <c r="E453" s="141" t="s">
        <v>1381</v>
      </c>
      <c r="F453" s="163" t="s">
        <v>1382</v>
      </c>
      <c r="G453" s="162">
        <v>46176</v>
      </c>
      <c r="H453" s="131">
        <v>1</v>
      </c>
      <c r="I453" s="131">
        <v>1</v>
      </c>
      <c r="J453" s="141" t="s">
        <v>681</v>
      </c>
      <c r="L453" s="141">
        <v>2</v>
      </c>
      <c r="Q453" s="141">
        <v>7</v>
      </c>
      <c r="U453" s="126">
        <v>8</v>
      </c>
      <c r="V453" s="218">
        <v>0.13</v>
      </c>
      <c r="W453" s="218">
        <v>0</v>
      </c>
      <c r="X453" s="126">
        <v>1</v>
      </c>
      <c r="AA453" s="188">
        <v>46227.690370370372</v>
      </c>
      <c r="AB453" s="131">
        <v>1</v>
      </c>
      <c r="AC453" s="126">
        <v>6</v>
      </c>
      <c r="AD453" s="126">
        <v>2026</v>
      </c>
    </row>
    <row r="454" spans="3:30" ht="23.1" customHeight="1">
      <c r="C454" s="126">
        <v>447</v>
      </c>
      <c r="D454" s="126">
        <v>76</v>
      </c>
      <c r="E454" s="141" t="s">
        <v>1133</v>
      </c>
      <c r="F454" s="163" t="s">
        <v>1134</v>
      </c>
      <c r="G454" s="162">
        <v>46176</v>
      </c>
      <c r="H454" s="131">
        <v>1</v>
      </c>
      <c r="I454" s="131">
        <v>1</v>
      </c>
      <c r="J454" s="141" t="s">
        <v>681</v>
      </c>
      <c r="L454" s="141">
        <v>2</v>
      </c>
      <c r="Q454" s="141">
        <v>7</v>
      </c>
      <c r="U454" s="126">
        <v>12</v>
      </c>
      <c r="V454" s="218">
        <v>1.35</v>
      </c>
      <c r="W454" s="218">
        <v>0</v>
      </c>
      <c r="X454" s="126">
        <v>1</v>
      </c>
      <c r="AA454" s="188">
        <v>46227.690370370372</v>
      </c>
      <c r="AB454" s="131">
        <v>1</v>
      </c>
      <c r="AC454" s="126">
        <v>6</v>
      </c>
      <c r="AD454" s="126">
        <v>2026</v>
      </c>
    </row>
    <row r="455" spans="3:30" ht="23.1" customHeight="1">
      <c r="C455" s="126">
        <v>448</v>
      </c>
      <c r="D455" s="126">
        <v>77</v>
      </c>
      <c r="E455" s="141" t="s">
        <v>2033</v>
      </c>
      <c r="F455" s="163" t="s">
        <v>2034</v>
      </c>
      <c r="G455" s="162">
        <v>46176</v>
      </c>
      <c r="H455" s="131">
        <v>1</v>
      </c>
      <c r="I455" s="131">
        <v>1</v>
      </c>
      <c r="J455" s="141" t="s">
        <v>681</v>
      </c>
      <c r="L455" s="141">
        <v>2</v>
      </c>
      <c r="Q455" s="141">
        <v>7</v>
      </c>
      <c r="U455" s="126">
        <v>100</v>
      </c>
      <c r="V455" s="218">
        <v>8.8000000000000007</v>
      </c>
      <c r="W455" s="218">
        <v>0</v>
      </c>
      <c r="X455" s="126">
        <v>1</v>
      </c>
      <c r="AA455" s="188">
        <v>46227.690370370372</v>
      </c>
      <c r="AB455" s="131">
        <v>1</v>
      </c>
      <c r="AC455" s="126">
        <v>6</v>
      </c>
      <c r="AD455" s="126">
        <v>2026</v>
      </c>
    </row>
    <row r="456" spans="3:30" ht="23.1" customHeight="1">
      <c r="C456" s="126">
        <v>449</v>
      </c>
      <c r="D456" s="126">
        <v>79</v>
      </c>
      <c r="E456" s="141" t="s">
        <v>2027</v>
      </c>
      <c r="F456" s="163" t="s">
        <v>2028</v>
      </c>
      <c r="G456" s="162">
        <v>46176</v>
      </c>
      <c r="H456" s="131">
        <v>1</v>
      </c>
      <c r="I456" s="131">
        <v>1</v>
      </c>
      <c r="J456" s="141" t="s">
        <v>681</v>
      </c>
      <c r="L456" s="141">
        <v>2</v>
      </c>
      <c r="Q456" s="141">
        <v>7</v>
      </c>
      <c r="U456" s="126">
        <v>100</v>
      </c>
      <c r="V456" s="218">
        <v>5</v>
      </c>
      <c r="W456" s="218">
        <v>0</v>
      </c>
      <c r="X456" s="126">
        <v>1</v>
      </c>
      <c r="AA456" s="188">
        <v>46227.690370370372</v>
      </c>
      <c r="AB456" s="131">
        <v>1</v>
      </c>
      <c r="AC456" s="126">
        <v>6</v>
      </c>
      <c r="AD456" s="126">
        <v>2026</v>
      </c>
    </row>
    <row r="457" spans="3:30" ht="23.1" customHeight="1">
      <c r="C457" s="126">
        <v>450</v>
      </c>
      <c r="D457" s="126">
        <v>90</v>
      </c>
      <c r="E457" s="141" t="s">
        <v>1139</v>
      </c>
      <c r="F457" s="163" t="s">
        <v>1140</v>
      </c>
      <c r="G457" s="162">
        <v>46176</v>
      </c>
      <c r="H457" s="131">
        <v>1</v>
      </c>
      <c r="I457" s="131">
        <v>1</v>
      </c>
      <c r="J457" s="141" t="s">
        <v>681</v>
      </c>
      <c r="L457" s="141">
        <v>2</v>
      </c>
      <c r="Q457" s="141">
        <v>7</v>
      </c>
      <c r="U457" s="126">
        <v>16</v>
      </c>
      <c r="V457" s="218">
        <v>0.18</v>
      </c>
      <c r="W457" s="218">
        <v>0</v>
      </c>
      <c r="X457" s="126">
        <v>1</v>
      </c>
      <c r="AA457" s="188">
        <v>46227.690370370372</v>
      </c>
      <c r="AB457" s="131">
        <v>1</v>
      </c>
      <c r="AC457" s="126">
        <v>6</v>
      </c>
      <c r="AD457" s="126">
        <v>2026</v>
      </c>
    </row>
    <row r="458" spans="3:30" ht="23.1" customHeight="1">
      <c r="C458" s="126">
        <v>451</v>
      </c>
      <c r="D458" s="126">
        <v>92</v>
      </c>
      <c r="E458" s="141" t="s">
        <v>1313</v>
      </c>
      <c r="F458" s="163" t="s">
        <v>1314</v>
      </c>
      <c r="G458" s="162">
        <v>46176</v>
      </c>
      <c r="H458" s="131">
        <v>1</v>
      </c>
      <c r="I458" s="131">
        <v>1</v>
      </c>
      <c r="J458" s="141" t="s">
        <v>681</v>
      </c>
      <c r="L458" s="141">
        <v>2</v>
      </c>
      <c r="Q458" s="141">
        <v>7</v>
      </c>
      <c r="U458" s="126">
        <v>40</v>
      </c>
      <c r="V458" s="218">
        <v>0.78</v>
      </c>
      <c r="W458" s="218">
        <v>0</v>
      </c>
      <c r="X458" s="126">
        <v>1</v>
      </c>
      <c r="AA458" s="188">
        <v>46227.690370370372</v>
      </c>
      <c r="AB458" s="131">
        <v>1</v>
      </c>
      <c r="AC458" s="126">
        <v>6</v>
      </c>
      <c r="AD458" s="126">
        <v>2026</v>
      </c>
    </row>
    <row r="459" spans="3:30" ht="23.1" customHeight="1">
      <c r="C459" s="126">
        <v>452</v>
      </c>
      <c r="D459" s="126">
        <v>94</v>
      </c>
      <c r="E459" s="141" t="s">
        <v>1323</v>
      </c>
      <c r="F459" s="163" t="s">
        <v>1324</v>
      </c>
      <c r="G459" s="162">
        <v>46176</v>
      </c>
      <c r="H459" s="131">
        <v>1</v>
      </c>
      <c r="I459" s="131">
        <v>1</v>
      </c>
      <c r="J459" s="141" t="s">
        <v>681</v>
      </c>
      <c r="L459" s="141">
        <v>2</v>
      </c>
      <c r="Q459" s="141">
        <v>7</v>
      </c>
      <c r="U459" s="126">
        <v>82</v>
      </c>
      <c r="V459" s="218">
        <v>0.1</v>
      </c>
      <c r="W459" s="218">
        <v>0</v>
      </c>
      <c r="X459" s="126">
        <v>1</v>
      </c>
      <c r="AA459" s="188">
        <v>46227.690370370372</v>
      </c>
      <c r="AB459" s="131">
        <v>1</v>
      </c>
      <c r="AC459" s="126">
        <v>6</v>
      </c>
      <c r="AD459" s="126">
        <v>2026</v>
      </c>
    </row>
    <row r="460" spans="3:30" ht="23.1" customHeight="1">
      <c r="C460" s="126">
        <v>453</v>
      </c>
      <c r="D460" s="126">
        <v>96</v>
      </c>
      <c r="E460" s="141" t="s">
        <v>632</v>
      </c>
      <c r="F460" s="163" t="s">
        <v>633</v>
      </c>
      <c r="G460" s="162">
        <v>46176</v>
      </c>
      <c r="H460" s="131">
        <v>1</v>
      </c>
      <c r="I460" s="131">
        <v>1</v>
      </c>
      <c r="J460" s="141" t="s">
        <v>681</v>
      </c>
      <c r="L460" s="141">
        <v>2</v>
      </c>
      <c r="Q460" s="141">
        <v>7</v>
      </c>
      <c r="U460" s="126">
        <v>34</v>
      </c>
      <c r="V460" s="218">
        <v>0.27</v>
      </c>
      <c r="W460" s="218">
        <v>0</v>
      </c>
      <c r="X460" s="126">
        <v>1</v>
      </c>
      <c r="AA460" s="188">
        <v>46227.690370370372</v>
      </c>
      <c r="AB460" s="131">
        <v>1</v>
      </c>
      <c r="AC460" s="126">
        <v>6</v>
      </c>
      <c r="AD460" s="126">
        <v>2026</v>
      </c>
    </row>
    <row r="461" spans="3:30" ht="23.1" customHeight="1">
      <c r="C461" s="126">
        <v>454</v>
      </c>
      <c r="D461" s="126">
        <v>97</v>
      </c>
      <c r="E461" s="141" t="s">
        <v>637</v>
      </c>
      <c r="F461" s="163" t="s">
        <v>638</v>
      </c>
      <c r="G461" s="162">
        <v>46176</v>
      </c>
      <c r="H461" s="131">
        <v>1</v>
      </c>
      <c r="I461" s="131">
        <v>1</v>
      </c>
      <c r="J461" s="141" t="s">
        <v>681</v>
      </c>
      <c r="L461" s="141">
        <v>2</v>
      </c>
      <c r="Q461" s="141">
        <v>7</v>
      </c>
      <c r="U461" s="126">
        <v>8</v>
      </c>
      <c r="V461" s="218">
        <v>0.3</v>
      </c>
      <c r="W461" s="218">
        <v>0</v>
      </c>
      <c r="X461" s="126">
        <v>1</v>
      </c>
      <c r="AA461" s="188">
        <v>46227.690370370372</v>
      </c>
      <c r="AB461" s="131">
        <v>1</v>
      </c>
      <c r="AC461" s="126">
        <v>6</v>
      </c>
      <c r="AD461" s="126">
        <v>2026</v>
      </c>
    </row>
    <row r="462" spans="3:30" ht="23.1" customHeight="1">
      <c r="C462" s="126">
        <v>455</v>
      </c>
      <c r="D462" s="126">
        <v>99</v>
      </c>
      <c r="E462" s="141" t="s">
        <v>883</v>
      </c>
      <c r="F462" s="163" t="s">
        <v>884</v>
      </c>
      <c r="G462" s="162">
        <v>46176</v>
      </c>
      <c r="H462" s="131">
        <v>1</v>
      </c>
      <c r="I462" s="131">
        <v>1</v>
      </c>
      <c r="J462" s="141" t="s">
        <v>681</v>
      </c>
      <c r="L462" s="141">
        <v>2</v>
      </c>
      <c r="Q462" s="141">
        <v>7</v>
      </c>
      <c r="U462" s="126">
        <v>10</v>
      </c>
      <c r="V462" s="218">
        <v>0.24</v>
      </c>
      <c r="W462" s="218">
        <v>0</v>
      </c>
      <c r="X462" s="126">
        <v>1</v>
      </c>
      <c r="AA462" s="188">
        <v>46227.690370370372</v>
      </c>
      <c r="AB462" s="131">
        <v>1</v>
      </c>
      <c r="AC462" s="126">
        <v>6</v>
      </c>
      <c r="AD462" s="126">
        <v>2026</v>
      </c>
    </row>
    <row r="463" spans="3:30" ht="23.1" customHeight="1">
      <c r="C463" s="126">
        <v>456</v>
      </c>
      <c r="D463" s="126">
        <v>103</v>
      </c>
      <c r="E463" s="141" t="s">
        <v>1024</v>
      </c>
      <c r="F463" s="163" t="s">
        <v>1025</v>
      </c>
      <c r="G463" s="162">
        <v>46176</v>
      </c>
      <c r="H463" s="131">
        <v>1</v>
      </c>
      <c r="I463" s="131">
        <v>1</v>
      </c>
      <c r="J463" s="141" t="s">
        <v>681</v>
      </c>
      <c r="L463" s="141">
        <v>2</v>
      </c>
      <c r="Q463" s="141">
        <v>7</v>
      </c>
      <c r="U463" s="126">
        <v>6</v>
      </c>
      <c r="V463" s="218">
        <v>0.75</v>
      </c>
      <c r="W463" s="218">
        <v>0</v>
      </c>
      <c r="X463" s="126">
        <v>1</v>
      </c>
      <c r="AA463" s="188">
        <v>46227.690370370372</v>
      </c>
      <c r="AB463" s="131">
        <v>1</v>
      </c>
      <c r="AC463" s="126">
        <v>6</v>
      </c>
      <c r="AD463" s="126">
        <v>2026</v>
      </c>
    </row>
    <row r="464" spans="3:30" ht="23.1" customHeight="1">
      <c r="C464" s="126">
        <v>457</v>
      </c>
      <c r="D464" s="126">
        <v>105</v>
      </c>
      <c r="E464" s="141" t="s">
        <v>591</v>
      </c>
      <c r="F464" s="163" t="s">
        <v>592</v>
      </c>
      <c r="G464" s="162">
        <v>46176</v>
      </c>
      <c r="H464" s="131">
        <v>1</v>
      </c>
      <c r="I464" s="131">
        <v>1</v>
      </c>
      <c r="J464" s="141" t="s">
        <v>681</v>
      </c>
      <c r="L464" s="141">
        <v>2</v>
      </c>
      <c r="Q464" s="141">
        <v>7</v>
      </c>
      <c r="U464" s="126">
        <v>4</v>
      </c>
      <c r="V464" s="218">
        <v>1.1000000000000001</v>
      </c>
      <c r="W464" s="218">
        <v>0</v>
      </c>
      <c r="X464" s="126">
        <v>1</v>
      </c>
      <c r="AA464" s="188">
        <v>46227.690370370372</v>
      </c>
      <c r="AB464" s="131">
        <v>1</v>
      </c>
      <c r="AC464" s="126">
        <v>6</v>
      </c>
      <c r="AD464" s="126">
        <v>2026</v>
      </c>
    </row>
    <row r="465" spans="3:30" ht="23.1" customHeight="1">
      <c r="C465" s="126">
        <v>458</v>
      </c>
      <c r="D465" s="126">
        <v>108</v>
      </c>
      <c r="E465" s="141" t="s">
        <v>1009</v>
      </c>
      <c r="F465" s="163" t="s">
        <v>1010</v>
      </c>
      <c r="G465" s="162">
        <v>46176</v>
      </c>
      <c r="H465" s="131">
        <v>1</v>
      </c>
      <c r="I465" s="131">
        <v>1</v>
      </c>
      <c r="J465" s="141" t="s">
        <v>681</v>
      </c>
      <c r="L465" s="141">
        <v>2</v>
      </c>
      <c r="Q465" s="141">
        <v>7</v>
      </c>
      <c r="U465" s="126">
        <v>44</v>
      </c>
      <c r="V465" s="218">
        <v>2.7</v>
      </c>
      <c r="W465" s="218">
        <v>0</v>
      </c>
      <c r="X465" s="126">
        <v>1</v>
      </c>
      <c r="AA465" s="188">
        <v>46227.690370370372</v>
      </c>
      <c r="AB465" s="131">
        <v>1</v>
      </c>
      <c r="AC465" s="126">
        <v>6</v>
      </c>
      <c r="AD465" s="126">
        <v>2026</v>
      </c>
    </row>
    <row r="466" spans="3:30" ht="23.1" customHeight="1">
      <c r="C466" s="126">
        <v>459</v>
      </c>
      <c r="D466" s="126">
        <v>112</v>
      </c>
      <c r="E466" s="141" t="s">
        <v>2067</v>
      </c>
      <c r="F466" s="163" t="s">
        <v>2068</v>
      </c>
      <c r="G466" s="162">
        <v>46176</v>
      </c>
      <c r="H466" s="131">
        <v>1</v>
      </c>
      <c r="I466" s="131">
        <v>1</v>
      </c>
      <c r="J466" s="141" t="s">
        <v>681</v>
      </c>
      <c r="L466" s="141">
        <v>2</v>
      </c>
      <c r="Q466" s="141">
        <v>7</v>
      </c>
      <c r="U466" s="126">
        <v>2</v>
      </c>
      <c r="V466" s="218">
        <v>2.6</v>
      </c>
      <c r="W466" s="218">
        <v>0</v>
      </c>
      <c r="X466" s="126">
        <v>1</v>
      </c>
      <c r="AA466" s="188">
        <v>46227.690370370372</v>
      </c>
      <c r="AB466" s="131">
        <v>1</v>
      </c>
      <c r="AC466" s="126">
        <v>6</v>
      </c>
      <c r="AD466" s="126">
        <v>2026</v>
      </c>
    </row>
    <row r="467" spans="3:30" ht="23.1" customHeight="1">
      <c r="C467" s="126">
        <v>460</v>
      </c>
      <c r="D467" s="126">
        <v>131</v>
      </c>
      <c r="E467" s="141" t="s">
        <v>1155</v>
      </c>
      <c r="F467" s="163" t="s">
        <v>1156</v>
      </c>
      <c r="G467" s="162">
        <v>46179</v>
      </c>
      <c r="H467" s="131">
        <v>1</v>
      </c>
      <c r="I467" s="131">
        <v>1</v>
      </c>
      <c r="J467" s="141" t="s">
        <v>681</v>
      </c>
      <c r="L467" s="141">
        <v>2</v>
      </c>
      <c r="Q467" s="141">
        <v>8</v>
      </c>
      <c r="U467" s="126">
        <v>2</v>
      </c>
      <c r="V467" s="218">
        <v>0.7</v>
      </c>
      <c r="W467" s="218">
        <v>0</v>
      </c>
      <c r="X467" s="126">
        <v>1</v>
      </c>
      <c r="AA467" s="188">
        <v>46227.702025462961</v>
      </c>
      <c r="AB467" s="131">
        <v>1</v>
      </c>
      <c r="AC467" s="126">
        <v>6</v>
      </c>
      <c r="AD467" s="126">
        <v>2026</v>
      </c>
    </row>
    <row r="468" spans="3:30" ht="23.1" customHeight="1">
      <c r="C468" s="126">
        <v>461</v>
      </c>
      <c r="D468" s="126">
        <v>136</v>
      </c>
      <c r="E468" s="141" t="s">
        <v>2122</v>
      </c>
      <c r="F468" s="163" t="s">
        <v>2123</v>
      </c>
      <c r="G468" s="162">
        <v>46179</v>
      </c>
      <c r="H468" s="131">
        <v>1</v>
      </c>
      <c r="I468" s="131">
        <v>1</v>
      </c>
      <c r="J468" s="141" t="s">
        <v>681</v>
      </c>
      <c r="L468" s="141">
        <v>2</v>
      </c>
      <c r="Q468" s="141">
        <v>8</v>
      </c>
      <c r="U468" s="126">
        <v>4</v>
      </c>
      <c r="V468" s="218">
        <v>0.38</v>
      </c>
      <c r="W468" s="218">
        <v>0</v>
      </c>
      <c r="X468" s="126">
        <v>1</v>
      </c>
      <c r="AA468" s="188">
        <v>46227.702025462961</v>
      </c>
      <c r="AB468" s="131">
        <v>1</v>
      </c>
      <c r="AC468" s="126">
        <v>6</v>
      </c>
      <c r="AD468" s="126">
        <v>2026</v>
      </c>
    </row>
    <row r="469" spans="3:30" ht="23.1" customHeight="1">
      <c r="C469" s="126">
        <v>462</v>
      </c>
      <c r="D469" s="126">
        <v>142</v>
      </c>
      <c r="E469" s="141" t="s">
        <v>798</v>
      </c>
      <c r="F469" s="163" t="s">
        <v>799</v>
      </c>
      <c r="G469" s="162">
        <v>46179</v>
      </c>
      <c r="H469" s="131">
        <v>1</v>
      </c>
      <c r="I469" s="131">
        <v>1</v>
      </c>
      <c r="J469" s="141" t="s">
        <v>681</v>
      </c>
      <c r="L469" s="141">
        <v>2</v>
      </c>
      <c r="Q469" s="141">
        <v>8</v>
      </c>
      <c r="U469" s="126">
        <v>14</v>
      </c>
      <c r="V469" s="218">
        <v>0.34</v>
      </c>
      <c r="W469" s="218">
        <v>0</v>
      </c>
      <c r="X469" s="126">
        <v>1</v>
      </c>
      <c r="AA469" s="188">
        <v>46227.702025462961</v>
      </c>
      <c r="AB469" s="131">
        <v>1</v>
      </c>
      <c r="AC469" s="126">
        <v>6</v>
      </c>
      <c r="AD469" s="126">
        <v>2026</v>
      </c>
    </row>
    <row r="470" spans="3:30" ht="23.1" customHeight="1">
      <c r="C470" s="126">
        <v>463</v>
      </c>
      <c r="D470" s="126">
        <v>144</v>
      </c>
      <c r="E470" s="141" t="s">
        <v>996</v>
      </c>
      <c r="F470" s="163" t="s">
        <v>997</v>
      </c>
      <c r="G470" s="162">
        <v>46179</v>
      </c>
      <c r="H470" s="131">
        <v>1</v>
      </c>
      <c r="I470" s="131">
        <v>1</v>
      </c>
      <c r="J470" s="141" t="s">
        <v>681</v>
      </c>
      <c r="L470" s="141">
        <v>2</v>
      </c>
      <c r="Q470" s="141">
        <v>8</v>
      </c>
      <c r="U470" s="126">
        <v>30</v>
      </c>
      <c r="V470" s="218">
        <v>0.3</v>
      </c>
      <c r="W470" s="218">
        <v>0</v>
      </c>
      <c r="X470" s="126">
        <v>1</v>
      </c>
      <c r="AA470" s="188">
        <v>46227.702025462961</v>
      </c>
      <c r="AB470" s="131">
        <v>1</v>
      </c>
      <c r="AC470" s="126">
        <v>6</v>
      </c>
      <c r="AD470" s="126">
        <v>2026</v>
      </c>
    </row>
    <row r="471" spans="3:30" ht="23.1" customHeight="1">
      <c r="C471" s="126">
        <v>464</v>
      </c>
      <c r="D471" s="126">
        <v>145</v>
      </c>
      <c r="E471" s="141" t="s">
        <v>823</v>
      </c>
      <c r="F471" s="163" t="s">
        <v>824</v>
      </c>
      <c r="G471" s="162">
        <v>46179</v>
      </c>
      <c r="H471" s="131">
        <v>1</v>
      </c>
      <c r="I471" s="131">
        <v>1</v>
      </c>
      <c r="J471" s="141" t="s">
        <v>681</v>
      </c>
      <c r="L471" s="141">
        <v>2</v>
      </c>
      <c r="Q471" s="141">
        <v>8</v>
      </c>
      <c r="U471" s="126">
        <v>20</v>
      </c>
      <c r="V471" s="218">
        <v>0.28999999999999998</v>
      </c>
      <c r="W471" s="218">
        <v>0</v>
      </c>
      <c r="X471" s="126">
        <v>1</v>
      </c>
      <c r="AA471" s="188">
        <v>46227.702025462961</v>
      </c>
      <c r="AB471" s="131">
        <v>1</v>
      </c>
      <c r="AC471" s="126">
        <v>6</v>
      </c>
      <c r="AD471" s="126">
        <v>2026</v>
      </c>
    </row>
    <row r="472" spans="3:30" ht="23.1" customHeight="1">
      <c r="C472" s="126">
        <v>465</v>
      </c>
      <c r="D472" s="126">
        <v>146</v>
      </c>
      <c r="E472" s="141" t="s">
        <v>1929</v>
      </c>
      <c r="F472" s="163" t="s">
        <v>1930</v>
      </c>
      <c r="G472" s="162">
        <v>46179</v>
      </c>
      <c r="H472" s="131">
        <v>1</v>
      </c>
      <c r="I472" s="131">
        <v>1</v>
      </c>
      <c r="J472" s="141" t="s">
        <v>681</v>
      </c>
      <c r="L472" s="141">
        <v>2</v>
      </c>
      <c r="Q472" s="141">
        <v>8</v>
      </c>
      <c r="U472" s="126">
        <v>10</v>
      </c>
      <c r="V472" s="218">
        <v>0.04</v>
      </c>
      <c r="W472" s="218">
        <v>0</v>
      </c>
      <c r="X472" s="126">
        <v>1</v>
      </c>
      <c r="AA472" s="188">
        <v>46227.702025462961</v>
      </c>
      <c r="AB472" s="131">
        <v>1</v>
      </c>
      <c r="AC472" s="126">
        <v>6</v>
      </c>
      <c r="AD472" s="126">
        <v>2026</v>
      </c>
    </row>
    <row r="473" spans="3:30" ht="23.1" customHeight="1">
      <c r="C473" s="126">
        <v>466</v>
      </c>
      <c r="D473" s="126">
        <v>150</v>
      </c>
      <c r="E473" s="141" t="s">
        <v>1405</v>
      </c>
      <c r="F473" s="163" t="s">
        <v>1406</v>
      </c>
      <c r="G473" s="162">
        <v>46179</v>
      </c>
      <c r="H473" s="131">
        <v>1</v>
      </c>
      <c r="I473" s="131">
        <v>1</v>
      </c>
      <c r="J473" s="141" t="s">
        <v>681</v>
      </c>
      <c r="L473" s="141">
        <v>2</v>
      </c>
      <c r="Q473" s="141">
        <v>8</v>
      </c>
      <c r="U473" s="126">
        <v>88</v>
      </c>
      <c r="V473" s="218">
        <v>0.13</v>
      </c>
      <c r="W473" s="218">
        <v>0</v>
      </c>
      <c r="X473" s="126">
        <v>1</v>
      </c>
      <c r="AA473" s="188">
        <v>46227.702025462961</v>
      </c>
      <c r="AB473" s="131">
        <v>1</v>
      </c>
      <c r="AC473" s="126">
        <v>6</v>
      </c>
      <c r="AD473" s="126">
        <v>2026</v>
      </c>
    </row>
    <row r="474" spans="3:30" ht="23.1" customHeight="1">
      <c r="C474" s="126">
        <v>467</v>
      </c>
      <c r="D474" s="126">
        <v>153</v>
      </c>
      <c r="E474" s="141" t="s">
        <v>554</v>
      </c>
      <c r="F474" s="163" t="s">
        <v>2218</v>
      </c>
      <c r="G474" s="162">
        <v>46179</v>
      </c>
      <c r="H474" s="131">
        <v>1</v>
      </c>
      <c r="I474" s="131">
        <v>1</v>
      </c>
      <c r="J474" s="141" t="s">
        <v>681</v>
      </c>
      <c r="L474" s="141">
        <v>2</v>
      </c>
      <c r="Q474" s="141">
        <v>8</v>
      </c>
      <c r="U474" s="126">
        <v>14</v>
      </c>
      <c r="V474" s="218">
        <v>3.3</v>
      </c>
      <c r="W474" s="218">
        <v>0</v>
      </c>
      <c r="X474" s="126">
        <v>1</v>
      </c>
      <c r="AA474" s="188">
        <v>46227.702025462961</v>
      </c>
      <c r="AB474" s="131">
        <v>1</v>
      </c>
      <c r="AC474" s="126">
        <v>6</v>
      </c>
      <c r="AD474" s="126">
        <v>2026</v>
      </c>
    </row>
    <row r="475" spans="3:30" ht="23.1" customHeight="1">
      <c r="C475" s="126">
        <v>468</v>
      </c>
      <c r="D475" s="126">
        <v>156</v>
      </c>
      <c r="E475" s="141" t="s">
        <v>735</v>
      </c>
      <c r="F475" s="163" t="s">
        <v>2220</v>
      </c>
      <c r="G475" s="162">
        <v>46179</v>
      </c>
      <c r="H475" s="131">
        <v>1</v>
      </c>
      <c r="I475" s="131">
        <v>1</v>
      </c>
      <c r="J475" s="141" t="s">
        <v>681</v>
      </c>
      <c r="L475" s="141">
        <v>2</v>
      </c>
      <c r="Q475" s="141">
        <v>8</v>
      </c>
      <c r="U475" s="126">
        <v>4</v>
      </c>
      <c r="V475" s="218">
        <v>4.41</v>
      </c>
      <c r="W475" s="218">
        <v>0</v>
      </c>
      <c r="X475" s="126">
        <v>1</v>
      </c>
      <c r="AA475" s="188">
        <v>46227.702025462961</v>
      </c>
      <c r="AB475" s="131">
        <v>1</v>
      </c>
      <c r="AC475" s="126">
        <v>6</v>
      </c>
      <c r="AD475" s="126">
        <v>2026</v>
      </c>
    </row>
    <row r="476" spans="3:30" ht="23.1" customHeight="1">
      <c r="C476" s="126">
        <v>469</v>
      </c>
      <c r="D476" s="126">
        <v>158</v>
      </c>
      <c r="E476" s="141" t="s">
        <v>1702</v>
      </c>
      <c r="F476" s="163" t="s">
        <v>2222</v>
      </c>
      <c r="G476" s="162">
        <v>46179</v>
      </c>
      <c r="H476" s="131">
        <v>1</v>
      </c>
      <c r="I476" s="131">
        <v>1</v>
      </c>
      <c r="J476" s="141" t="s">
        <v>681</v>
      </c>
      <c r="L476" s="141">
        <v>2</v>
      </c>
      <c r="Q476" s="141">
        <v>8</v>
      </c>
      <c r="U476" s="126">
        <v>2</v>
      </c>
      <c r="V476" s="218">
        <v>53</v>
      </c>
      <c r="W476" s="218">
        <v>0</v>
      </c>
      <c r="X476" s="126">
        <v>1</v>
      </c>
      <c r="AA476" s="188">
        <v>46227.702025462961</v>
      </c>
      <c r="AB476" s="131">
        <v>1</v>
      </c>
      <c r="AC476" s="126">
        <v>6</v>
      </c>
      <c r="AD476" s="126">
        <v>2026</v>
      </c>
    </row>
    <row r="477" spans="3:30" ht="23.1" customHeight="1">
      <c r="C477" s="126">
        <v>470</v>
      </c>
      <c r="D477" s="126">
        <v>160</v>
      </c>
      <c r="E477" s="141" t="s">
        <v>738</v>
      </c>
      <c r="F477" s="163" t="s">
        <v>2224</v>
      </c>
      <c r="G477" s="162">
        <v>46179</v>
      </c>
      <c r="H477" s="131">
        <v>1</v>
      </c>
      <c r="I477" s="131">
        <v>1</v>
      </c>
      <c r="J477" s="141" t="s">
        <v>681</v>
      </c>
      <c r="L477" s="141">
        <v>2</v>
      </c>
      <c r="Q477" s="141">
        <v>8</v>
      </c>
      <c r="U477" s="126">
        <v>8</v>
      </c>
      <c r="V477" s="218">
        <v>47</v>
      </c>
      <c r="W477" s="218">
        <v>0</v>
      </c>
      <c r="X477" s="126">
        <v>1</v>
      </c>
      <c r="AA477" s="188">
        <v>46227.702025462961</v>
      </c>
      <c r="AB477" s="131">
        <v>1</v>
      </c>
      <c r="AC477" s="126">
        <v>6</v>
      </c>
      <c r="AD477" s="126">
        <v>2026</v>
      </c>
    </row>
    <row r="478" spans="3:30" ht="23.1" customHeight="1">
      <c r="C478" s="126">
        <v>471</v>
      </c>
      <c r="D478" s="126">
        <v>163</v>
      </c>
      <c r="E478" s="141" t="s">
        <v>745</v>
      </c>
      <c r="F478" s="163" t="s">
        <v>2227</v>
      </c>
      <c r="G478" s="162">
        <v>46179</v>
      </c>
      <c r="H478" s="131">
        <v>1</v>
      </c>
      <c r="I478" s="131">
        <v>1</v>
      </c>
      <c r="J478" s="141" t="s">
        <v>681</v>
      </c>
      <c r="L478" s="141">
        <v>2</v>
      </c>
      <c r="Q478" s="141">
        <v>8</v>
      </c>
      <c r="U478" s="126">
        <v>4</v>
      </c>
      <c r="V478" s="218">
        <v>51</v>
      </c>
      <c r="W478" s="218">
        <v>0</v>
      </c>
      <c r="X478" s="126">
        <v>1</v>
      </c>
      <c r="AA478" s="188">
        <v>46227.702025462961</v>
      </c>
      <c r="AB478" s="131">
        <v>1</v>
      </c>
      <c r="AC478" s="126">
        <v>6</v>
      </c>
      <c r="AD478" s="126">
        <v>2026</v>
      </c>
    </row>
    <row r="479" spans="3:30" ht="23.1" customHeight="1">
      <c r="C479" s="126">
        <v>472</v>
      </c>
      <c r="D479" s="126">
        <v>165</v>
      </c>
      <c r="E479" s="141" t="s">
        <v>1708</v>
      </c>
      <c r="F479" s="163" t="s">
        <v>2229</v>
      </c>
      <c r="G479" s="162">
        <v>46179</v>
      </c>
      <c r="H479" s="131">
        <v>1</v>
      </c>
      <c r="I479" s="131">
        <v>1</v>
      </c>
      <c r="J479" s="141" t="s">
        <v>681</v>
      </c>
      <c r="L479" s="141">
        <v>2</v>
      </c>
      <c r="Q479" s="141">
        <v>8</v>
      </c>
      <c r="U479" s="126">
        <v>2</v>
      </c>
      <c r="V479" s="218">
        <v>20.25</v>
      </c>
      <c r="W479" s="218">
        <v>0</v>
      </c>
      <c r="X479" s="126">
        <v>1</v>
      </c>
      <c r="AA479" s="188">
        <v>46227.702025462961</v>
      </c>
      <c r="AB479" s="131">
        <v>1</v>
      </c>
      <c r="AC479" s="126">
        <v>6</v>
      </c>
      <c r="AD479" s="126">
        <v>2026</v>
      </c>
    </row>
    <row r="480" spans="3:30" ht="23.1" customHeight="1">
      <c r="C480" s="126">
        <v>473</v>
      </c>
      <c r="D480" s="126">
        <v>167</v>
      </c>
      <c r="E480" s="141" t="s">
        <v>1029</v>
      </c>
      <c r="F480" s="163" t="s">
        <v>1030</v>
      </c>
      <c r="G480" s="162">
        <v>46179</v>
      </c>
      <c r="H480" s="131">
        <v>1</v>
      </c>
      <c r="I480" s="131">
        <v>1</v>
      </c>
      <c r="J480" s="141" t="s">
        <v>681</v>
      </c>
      <c r="L480" s="141">
        <v>2</v>
      </c>
      <c r="Q480" s="141">
        <v>8</v>
      </c>
      <c r="U480" s="126">
        <v>18</v>
      </c>
      <c r="V480" s="218">
        <v>0.85</v>
      </c>
      <c r="W480" s="218">
        <v>0</v>
      </c>
      <c r="X480" s="126">
        <v>1</v>
      </c>
      <c r="AA480" s="188">
        <v>46227.702025462961</v>
      </c>
      <c r="AB480" s="131">
        <v>1</v>
      </c>
      <c r="AC480" s="126">
        <v>6</v>
      </c>
      <c r="AD480" s="126">
        <v>2026</v>
      </c>
    </row>
    <row r="481" spans="3:30" ht="23.1" customHeight="1">
      <c r="C481" s="126">
        <v>474</v>
      </c>
      <c r="D481" s="126">
        <v>168</v>
      </c>
      <c r="E481" s="141" t="s">
        <v>2101</v>
      </c>
      <c r="F481" s="163" t="s">
        <v>2102</v>
      </c>
      <c r="G481" s="162">
        <v>46179</v>
      </c>
      <c r="H481" s="131">
        <v>1</v>
      </c>
      <c r="I481" s="131">
        <v>1</v>
      </c>
      <c r="J481" s="141" t="s">
        <v>681</v>
      </c>
      <c r="L481" s="141">
        <v>2</v>
      </c>
      <c r="Q481" s="141">
        <v>9</v>
      </c>
      <c r="U481" s="126">
        <v>4</v>
      </c>
      <c r="V481" s="218">
        <v>1.2</v>
      </c>
      <c r="W481" s="218">
        <v>0</v>
      </c>
      <c r="X481" s="126">
        <v>1</v>
      </c>
      <c r="AA481" s="188">
        <v>46227.724502314813</v>
      </c>
      <c r="AB481" s="131">
        <v>1</v>
      </c>
      <c r="AC481" s="126">
        <v>6</v>
      </c>
      <c r="AD481" s="126">
        <v>2026</v>
      </c>
    </row>
    <row r="482" spans="3:30" ht="23.1" customHeight="1">
      <c r="C482" s="126">
        <v>475</v>
      </c>
      <c r="D482" s="126">
        <v>169</v>
      </c>
      <c r="E482" s="141" t="s">
        <v>601</v>
      </c>
      <c r="F482" s="163" t="s">
        <v>602</v>
      </c>
      <c r="G482" s="162">
        <v>46179</v>
      </c>
      <c r="H482" s="131">
        <v>1</v>
      </c>
      <c r="I482" s="131">
        <v>1</v>
      </c>
      <c r="J482" s="141" t="s">
        <v>681</v>
      </c>
      <c r="L482" s="141">
        <v>2</v>
      </c>
      <c r="Q482" s="141">
        <v>9</v>
      </c>
      <c r="U482" s="126">
        <v>32</v>
      </c>
      <c r="V482" s="218">
        <v>0.5</v>
      </c>
      <c r="W482" s="218">
        <v>0</v>
      </c>
      <c r="X482" s="126">
        <v>1</v>
      </c>
      <c r="AA482" s="188">
        <v>46227.724502314813</v>
      </c>
      <c r="AB482" s="131">
        <v>1</v>
      </c>
      <c r="AC482" s="126">
        <v>6</v>
      </c>
      <c r="AD482" s="126">
        <v>2026</v>
      </c>
    </row>
    <row r="483" spans="3:30" ht="23.1" customHeight="1">
      <c r="C483" s="126">
        <v>476</v>
      </c>
      <c r="D483" s="126">
        <v>170</v>
      </c>
      <c r="E483" s="141" t="s">
        <v>1647</v>
      </c>
      <c r="F483" s="163" t="s">
        <v>1648</v>
      </c>
      <c r="G483" s="162">
        <v>46179</v>
      </c>
      <c r="H483" s="131">
        <v>1</v>
      </c>
      <c r="I483" s="131">
        <v>1</v>
      </c>
      <c r="J483" s="141" t="s">
        <v>681</v>
      </c>
      <c r="L483" s="141">
        <v>2</v>
      </c>
      <c r="Q483" s="141">
        <v>9</v>
      </c>
      <c r="U483" s="126">
        <v>20</v>
      </c>
      <c r="V483" s="218">
        <v>0.4</v>
      </c>
      <c r="W483" s="218">
        <v>0</v>
      </c>
      <c r="X483" s="126">
        <v>1</v>
      </c>
      <c r="AA483" s="188">
        <v>46227.724502314813</v>
      </c>
      <c r="AB483" s="131">
        <v>1</v>
      </c>
      <c r="AC483" s="126">
        <v>6</v>
      </c>
      <c r="AD483" s="126">
        <v>2026</v>
      </c>
    </row>
    <row r="484" spans="3:30" ht="23.1" customHeight="1">
      <c r="C484" s="126">
        <v>477</v>
      </c>
      <c r="D484" s="126">
        <v>172</v>
      </c>
      <c r="E484" s="141" t="s">
        <v>2106</v>
      </c>
      <c r="F484" s="163" t="s">
        <v>2107</v>
      </c>
      <c r="G484" s="162">
        <v>46179</v>
      </c>
      <c r="H484" s="131">
        <v>1</v>
      </c>
      <c r="I484" s="131">
        <v>1</v>
      </c>
      <c r="J484" s="141" t="s">
        <v>681</v>
      </c>
      <c r="L484" s="141">
        <v>2</v>
      </c>
      <c r="Q484" s="141">
        <v>9</v>
      </c>
      <c r="U484" s="126">
        <v>4</v>
      </c>
      <c r="V484" s="218">
        <v>0.1</v>
      </c>
      <c r="W484" s="218">
        <v>0</v>
      </c>
      <c r="X484" s="126">
        <v>1</v>
      </c>
      <c r="AA484" s="188">
        <v>46227.724502314813</v>
      </c>
      <c r="AB484" s="131">
        <v>1</v>
      </c>
      <c r="AC484" s="126">
        <v>6</v>
      </c>
      <c r="AD484" s="126">
        <v>2026</v>
      </c>
    </row>
    <row r="485" spans="3:30" ht="23.1" customHeight="1">
      <c r="C485" s="126">
        <v>478</v>
      </c>
      <c r="D485" s="126">
        <v>174</v>
      </c>
      <c r="E485" s="141" t="s">
        <v>2096</v>
      </c>
      <c r="F485" s="163" t="s">
        <v>2097</v>
      </c>
      <c r="G485" s="162">
        <v>46179</v>
      </c>
      <c r="H485" s="131">
        <v>1</v>
      </c>
      <c r="I485" s="131">
        <v>1</v>
      </c>
      <c r="J485" s="141" t="s">
        <v>681</v>
      </c>
      <c r="L485" s="141">
        <v>2</v>
      </c>
      <c r="Q485" s="141">
        <v>9</v>
      </c>
      <c r="U485" s="126">
        <v>4</v>
      </c>
      <c r="V485" s="218">
        <v>0.2</v>
      </c>
      <c r="W485" s="218">
        <v>0</v>
      </c>
      <c r="X485" s="126">
        <v>1</v>
      </c>
      <c r="AA485" s="188">
        <v>46227.724502314813</v>
      </c>
      <c r="AB485" s="131">
        <v>1</v>
      </c>
      <c r="AC485" s="126">
        <v>6</v>
      </c>
      <c r="AD485" s="126">
        <v>2026</v>
      </c>
    </row>
    <row r="486" spans="3:30" ht="23.1" customHeight="1">
      <c r="C486" s="126">
        <v>479</v>
      </c>
      <c r="D486" s="126">
        <v>181</v>
      </c>
      <c r="E486" s="141" t="s">
        <v>761</v>
      </c>
      <c r="F486" s="163" t="s">
        <v>762</v>
      </c>
      <c r="G486" s="162">
        <v>46179</v>
      </c>
      <c r="H486" s="131">
        <v>1</v>
      </c>
      <c r="I486" s="131">
        <v>1</v>
      </c>
      <c r="J486" s="141" t="s">
        <v>681</v>
      </c>
      <c r="L486" s="141">
        <v>2</v>
      </c>
      <c r="Q486" s="141">
        <v>9</v>
      </c>
      <c r="U486" s="126">
        <v>336</v>
      </c>
      <c r="V486" s="218">
        <v>1</v>
      </c>
      <c r="W486" s="218">
        <v>0</v>
      </c>
      <c r="X486" s="126">
        <v>1</v>
      </c>
      <c r="AA486" s="188">
        <v>46227.724502314813</v>
      </c>
      <c r="AB486" s="131">
        <v>1</v>
      </c>
      <c r="AC486" s="126">
        <v>6</v>
      </c>
      <c r="AD486" s="126">
        <v>2026</v>
      </c>
    </row>
    <row r="487" spans="3:30" ht="23.1" customHeight="1">
      <c r="C487" s="126">
        <v>480</v>
      </c>
      <c r="D487" s="126">
        <v>182</v>
      </c>
      <c r="E487" s="141" t="s">
        <v>627</v>
      </c>
      <c r="F487" s="163" t="s">
        <v>628</v>
      </c>
      <c r="G487" s="162">
        <v>46179</v>
      </c>
      <c r="H487" s="131">
        <v>1</v>
      </c>
      <c r="I487" s="131">
        <v>1</v>
      </c>
      <c r="J487" s="141" t="s">
        <v>681</v>
      </c>
      <c r="L487" s="141">
        <v>2</v>
      </c>
      <c r="Q487" s="141">
        <v>9</v>
      </c>
      <c r="U487" s="126">
        <v>264</v>
      </c>
      <c r="V487" s="218">
        <v>2</v>
      </c>
      <c r="W487" s="218">
        <v>0</v>
      </c>
      <c r="X487" s="126">
        <v>1</v>
      </c>
      <c r="AA487" s="188">
        <v>46227.724502314813</v>
      </c>
      <c r="AB487" s="131">
        <v>1</v>
      </c>
      <c r="AC487" s="126">
        <v>6</v>
      </c>
      <c r="AD487" s="126">
        <v>2026</v>
      </c>
    </row>
    <row r="488" spans="3:30" ht="23.1" customHeight="1">
      <c r="C488" s="126">
        <v>481</v>
      </c>
      <c r="D488" s="126">
        <v>183</v>
      </c>
      <c r="E488" s="141" t="s">
        <v>766</v>
      </c>
      <c r="F488" s="163" t="s">
        <v>767</v>
      </c>
      <c r="G488" s="162">
        <v>46179</v>
      </c>
      <c r="H488" s="131">
        <v>1</v>
      </c>
      <c r="I488" s="131">
        <v>1</v>
      </c>
      <c r="J488" s="141" t="s">
        <v>681</v>
      </c>
      <c r="L488" s="141">
        <v>2</v>
      </c>
      <c r="Q488" s="141">
        <v>9</v>
      </c>
      <c r="U488" s="126">
        <v>840</v>
      </c>
      <c r="V488" s="218">
        <v>4</v>
      </c>
      <c r="W488" s="218">
        <v>0</v>
      </c>
      <c r="X488" s="126">
        <v>1</v>
      </c>
      <c r="AA488" s="188">
        <v>46227.724502314813</v>
      </c>
      <c r="AB488" s="131">
        <v>1</v>
      </c>
      <c r="AC488" s="126">
        <v>6</v>
      </c>
      <c r="AD488" s="126">
        <v>2026</v>
      </c>
    </row>
    <row r="489" spans="3:30" ht="23.1" customHeight="1">
      <c r="C489" s="126">
        <v>482</v>
      </c>
      <c r="D489" s="126">
        <v>184</v>
      </c>
      <c r="E489" s="141" t="s">
        <v>769</v>
      </c>
      <c r="F489" s="163" t="s">
        <v>770</v>
      </c>
      <c r="G489" s="162">
        <v>46179</v>
      </c>
      <c r="H489" s="131">
        <v>1</v>
      </c>
      <c r="I489" s="131">
        <v>1</v>
      </c>
      <c r="J489" s="141" t="s">
        <v>681</v>
      </c>
      <c r="L489" s="141">
        <v>2</v>
      </c>
      <c r="Q489" s="141">
        <v>9</v>
      </c>
      <c r="U489" s="126">
        <v>192</v>
      </c>
      <c r="V489" s="218">
        <v>6</v>
      </c>
      <c r="W489" s="218">
        <v>0</v>
      </c>
      <c r="X489" s="126">
        <v>1</v>
      </c>
      <c r="AA489" s="188">
        <v>46227.724502314813</v>
      </c>
      <c r="AB489" s="131">
        <v>1</v>
      </c>
      <c r="AC489" s="126">
        <v>6</v>
      </c>
      <c r="AD489" s="126">
        <v>2026</v>
      </c>
    </row>
    <row r="490" spans="3:30" ht="23.1" customHeight="1">
      <c r="C490" s="126">
        <v>483</v>
      </c>
      <c r="D490" s="126">
        <v>185</v>
      </c>
      <c r="E490" s="141" t="s">
        <v>772</v>
      </c>
      <c r="F490" s="163" t="s">
        <v>773</v>
      </c>
      <c r="G490" s="162">
        <v>46179</v>
      </c>
      <c r="H490" s="131">
        <v>1</v>
      </c>
      <c r="I490" s="131">
        <v>1</v>
      </c>
      <c r="J490" s="141" t="s">
        <v>681</v>
      </c>
      <c r="L490" s="141">
        <v>2</v>
      </c>
      <c r="Q490" s="141">
        <v>9</v>
      </c>
      <c r="U490" s="126">
        <v>24</v>
      </c>
      <c r="V490" s="218">
        <v>8</v>
      </c>
      <c r="W490" s="218">
        <v>0</v>
      </c>
      <c r="X490" s="126">
        <v>1</v>
      </c>
      <c r="AA490" s="188">
        <v>46227.724502314813</v>
      </c>
      <c r="AB490" s="131">
        <v>1</v>
      </c>
      <c r="AC490" s="126">
        <v>6</v>
      </c>
      <c r="AD490" s="126">
        <v>2026</v>
      </c>
    </row>
    <row r="491" spans="3:30" ht="23.1" customHeight="1">
      <c r="C491" s="126">
        <v>484</v>
      </c>
      <c r="D491" s="126">
        <v>187</v>
      </c>
      <c r="E491" s="141" t="s">
        <v>576</v>
      </c>
      <c r="F491" s="163" t="s">
        <v>577</v>
      </c>
      <c r="G491" s="162">
        <v>46179</v>
      </c>
      <c r="H491" s="131">
        <v>1</v>
      </c>
      <c r="I491" s="131">
        <v>1</v>
      </c>
      <c r="J491" s="141" t="s">
        <v>681</v>
      </c>
      <c r="L491" s="141">
        <v>2</v>
      </c>
      <c r="Q491" s="141">
        <v>9</v>
      </c>
      <c r="U491" s="126">
        <v>128</v>
      </c>
      <c r="V491" s="218">
        <v>3.37</v>
      </c>
      <c r="W491" s="218">
        <v>0</v>
      </c>
      <c r="X491" s="126">
        <v>1</v>
      </c>
      <c r="AA491" s="188">
        <v>46227.724502314813</v>
      </c>
      <c r="AB491" s="131">
        <v>1</v>
      </c>
      <c r="AC491" s="126">
        <v>6</v>
      </c>
      <c r="AD491" s="126">
        <v>2026</v>
      </c>
    </row>
    <row r="492" spans="3:30" ht="23.1" customHeight="1">
      <c r="C492" s="126">
        <v>485</v>
      </c>
      <c r="D492" s="126">
        <v>189</v>
      </c>
      <c r="E492" s="141" t="s">
        <v>778</v>
      </c>
      <c r="F492" s="163" t="s">
        <v>779</v>
      </c>
      <c r="G492" s="162">
        <v>46179</v>
      </c>
      <c r="H492" s="131">
        <v>1</v>
      </c>
      <c r="I492" s="131">
        <v>1</v>
      </c>
      <c r="J492" s="141" t="s">
        <v>681</v>
      </c>
      <c r="L492" s="141">
        <v>2</v>
      </c>
      <c r="Q492" s="141">
        <v>9</v>
      </c>
      <c r="U492" s="126">
        <v>128</v>
      </c>
      <c r="V492" s="218">
        <v>4.09</v>
      </c>
      <c r="W492" s="218">
        <v>0</v>
      </c>
      <c r="X492" s="126">
        <v>1</v>
      </c>
      <c r="AA492" s="188">
        <v>46227.724502314813</v>
      </c>
      <c r="AB492" s="131">
        <v>1</v>
      </c>
      <c r="AC492" s="126">
        <v>6</v>
      </c>
      <c r="AD492" s="126">
        <v>2026</v>
      </c>
    </row>
    <row r="493" spans="3:30" ht="23.1" customHeight="1">
      <c r="C493" s="126">
        <v>486</v>
      </c>
      <c r="D493" s="126">
        <v>192</v>
      </c>
      <c r="E493" s="141" t="s">
        <v>570</v>
      </c>
      <c r="F493" s="163" t="s">
        <v>571</v>
      </c>
      <c r="G493" s="162">
        <v>46179</v>
      </c>
      <c r="H493" s="131">
        <v>1</v>
      </c>
      <c r="I493" s="131">
        <v>1</v>
      </c>
      <c r="J493" s="141" t="s">
        <v>681</v>
      </c>
      <c r="L493" s="141">
        <v>2</v>
      </c>
      <c r="Q493" s="141">
        <v>9</v>
      </c>
      <c r="U493" s="126">
        <v>8</v>
      </c>
      <c r="V493" s="218">
        <v>6.03</v>
      </c>
      <c r="W493" s="218">
        <v>0</v>
      </c>
      <c r="X493" s="126">
        <v>1</v>
      </c>
      <c r="AA493" s="188">
        <v>46227.724502314813</v>
      </c>
      <c r="AB493" s="131">
        <v>1</v>
      </c>
      <c r="AC493" s="126">
        <v>6</v>
      </c>
      <c r="AD493" s="126">
        <v>2026</v>
      </c>
    </row>
    <row r="494" spans="3:30" ht="23.1" customHeight="1">
      <c r="C494" s="126">
        <v>487</v>
      </c>
      <c r="D494" s="126">
        <v>195</v>
      </c>
      <c r="E494" s="141" t="s">
        <v>608</v>
      </c>
      <c r="F494" s="163" t="s">
        <v>609</v>
      </c>
      <c r="G494" s="162">
        <v>46179</v>
      </c>
      <c r="H494" s="131">
        <v>1</v>
      </c>
      <c r="I494" s="131">
        <v>1</v>
      </c>
      <c r="J494" s="141" t="s">
        <v>681</v>
      </c>
      <c r="L494" s="141">
        <v>2</v>
      </c>
      <c r="Q494" s="141">
        <v>9</v>
      </c>
      <c r="U494" s="126">
        <v>40</v>
      </c>
      <c r="V494" s="218">
        <v>6.28</v>
      </c>
      <c r="W494" s="218">
        <v>0</v>
      </c>
      <c r="X494" s="126">
        <v>1</v>
      </c>
      <c r="AA494" s="188">
        <v>46227.724502314813</v>
      </c>
      <c r="AB494" s="131">
        <v>1</v>
      </c>
      <c r="AC494" s="126">
        <v>6</v>
      </c>
      <c r="AD494" s="126">
        <v>2026</v>
      </c>
    </row>
    <row r="495" spans="3:30" ht="23.1" customHeight="1">
      <c r="C495" s="126">
        <v>488</v>
      </c>
      <c r="D495" s="126">
        <v>198</v>
      </c>
      <c r="E495" s="141" t="s">
        <v>1170</v>
      </c>
      <c r="F495" s="163" t="s">
        <v>1171</v>
      </c>
      <c r="G495" s="162">
        <v>46179</v>
      </c>
      <c r="H495" s="131">
        <v>1</v>
      </c>
      <c r="I495" s="131">
        <v>1</v>
      </c>
      <c r="J495" s="141" t="s">
        <v>681</v>
      </c>
      <c r="L495" s="141">
        <v>2</v>
      </c>
      <c r="Q495" s="141">
        <v>9</v>
      </c>
      <c r="U495" s="126">
        <v>32</v>
      </c>
      <c r="V495" s="218">
        <v>9.48</v>
      </c>
      <c r="W495" s="218">
        <v>0</v>
      </c>
      <c r="X495" s="126">
        <v>1</v>
      </c>
      <c r="AA495" s="188">
        <v>46227.724502314813</v>
      </c>
      <c r="AB495" s="131">
        <v>1</v>
      </c>
      <c r="AC495" s="126">
        <v>6</v>
      </c>
      <c r="AD495" s="126">
        <v>2026</v>
      </c>
    </row>
    <row r="496" spans="3:30" ht="23.1" customHeight="1">
      <c r="C496" s="126">
        <v>489</v>
      </c>
      <c r="D496" s="126">
        <v>187</v>
      </c>
      <c r="E496" s="141" t="s">
        <v>576</v>
      </c>
      <c r="F496" s="163" t="s">
        <v>577</v>
      </c>
      <c r="G496" s="162">
        <v>46204</v>
      </c>
      <c r="H496" s="131">
        <v>1</v>
      </c>
      <c r="I496" s="131">
        <v>1</v>
      </c>
      <c r="J496" s="141" t="s">
        <v>551</v>
      </c>
      <c r="K496" s="141">
        <v>1</v>
      </c>
      <c r="N496" s="141">
        <v>91</v>
      </c>
      <c r="U496" s="126">
        <v>-20</v>
      </c>
      <c r="V496" s="218">
        <v>3.37</v>
      </c>
      <c r="W496" s="218">
        <v>3.5</v>
      </c>
      <c r="X496" s="126">
        <v>1</v>
      </c>
      <c r="AA496" s="188">
        <v>46255.4297337963</v>
      </c>
      <c r="AB496" s="131">
        <v>1</v>
      </c>
      <c r="AC496" s="126">
        <v>7</v>
      </c>
      <c r="AD496" s="126">
        <v>2026</v>
      </c>
    </row>
    <row r="497" spans="3:30" ht="23.1" customHeight="1">
      <c r="C497" s="126">
        <v>490</v>
      </c>
      <c r="D497" s="126">
        <v>193</v>
      </c>
      <c r="E497" s="141" t="s">
        <v>784</v>
      </c>
      <c r="F497" s="163" t="s">
        <v>785</v>
      </c>
      <c r="G497" s="162">
        <v>46204</v>
      </c>
      <c r="H497" s="131">
        <v>1</v>
      </c>
      <c r="I497" s="131">
        <v>1</v>
      </c>
      <c r="J497" s="141" t="s">
        <v>551</v>
      </c>
      <c r="K497" s="141">
        <v>1</v>
      </c>
      <c r="N497" s="141">
        <v>91</v>
      </c>
      <c r="U497" s="126">
        <v>-8</v>
      </c>
      <c r="V497" s="218">
        <v>3.88</v>
      </c>
      <c r="W497" s="218">
        <v>4.5</v>
      </c>
      <c r="X497" s="126">
        <v>1</v>
      </c>
      <c r="AA497" s="188">
        <v>46255.4297337963</v>
      </c>
      <c r="AB497" s="131">
        <v>1</v>
      </c>
      <c r="AC497" s="126">
        <v>7</v>
      </c>
      <c r="AD497" s="126">
        <v>2026</v>
      </c>
    </row>
    <row r="498" spans="3:30" ht="23.1" customHeight="1">
      <c r="C498" s="126">
        <v>491</v>
      </c>
      <c r="D498" s="126">
        <v>235</v>
      </c>
      <c r="E498" s="141" t="s">
        <v>2292</v>
      </c>
      <c r="F498" s="163" t="s">
        <v>2293</v>
      </c>
      <c r="G498" s="162">
        <v>46204</v>
      </c>
      <c r="H498" s="131">
        <v>1</v>
      </c>
      <c r="I498" s="131">
        <v>1</v>
      </c>
      <c r="J498" s="141" t="s">
        <v>551</v>
      </c>
      <c r="K498" s="141">
        <v>1</v>
      </c>
      <c r="N498" s="141">
        <v>91</v>
      </c>
      <c r="U498" s="126">
        <v>-6</v>
      </c>
      <c r="V498" s="218">
        <v>11</v>
      </c>
      <c r="W498" s="218">
        <v>11.5</v>
      </c>
      <c r="X498" s="126">
        <v>1</v>
      </c>
      <c r="AA498" s="188">
        <v>46255.4297337963</v>
      </c>
      <c r="AB498" s="131">
        <v>1</v>
      </c>
      <c r="AC498" s="126">
        <v>7</v>
      </c>
      <c r="AD498" s="126">
        <v>2026</v>
      </c>
    </row>
    <row r="499" spans="3:30" ht="23.1" customHeight="1">
      <c r="C499" s="126">
        <v>492</v>
      </c>
      <c r="D499" s="126">
        <v>178</v>
      </c>
      <c r="E499" s="141" t="s">
        <v>755</v>
      </c>
      <c r="F499" s="163" t="s">
        <v>756</v>
      </c>
      <c r="G499" s="162">
        <v>46204</v>
      </c>
      <c r="H499" s="131">
        <v>1</v>
      </c>
      <c r="I499" s="131">
        <v>1</v>
      </c>
      <c r="J499" s="141" t="s">
        <v>551</v>
      </c>
      <c r="K499" s="141">
        <v>1</v>
      </c>
      <c r="N499" s="141">
        <v>91</v>
      </c>
      <c r="U499" s="126">
        <v>-350</v>
      </c>
      <c r="V499" s="218">
        <v>4.75</v>
      </c>
      <c r="W499" s="218">
        <v>5</v>
      </c>
      <c r="X499" s="126">
        <v>1</v>
      </c>
      <c r="AA499" s="188">
        <v>46255.4297337963</v>
      </c>
      <c r="AB499" s="131">
        <v>1</v>
      </c>
      <c r="AC499" s="126">
        <v>7</v>
      </c>
      <c r="AD499" s="126">
        <v>2026</v>
      </c>
    </row>
    <row r="500" spans="3:30" ht="23.1" customHeight="1">
      <c r="C500" s="126">
        <v>493</v>
      </c>
      <c r="D500" s="126">
        <v>241</v>
      </c>
      <c r="E500" s="141" t="s">
        <v>2301</v>
      </c>
      <c r="F500" s="163" t="s">
        <v>2302</v>
      </c>
      <c r="G500" s="162">
        <v>46204</v>
      </c>
      <c r="H500" s="131">
        <v>1</v>
      </c>
      <c r="I500" s="131">
        <v>1</v>
      </c>
      <c r="J500" s="141" t="s">
        <v>551</v>
      </c>
      <c r="K500" s="141">
        <v>1</v>
      </c>
      <c r="N500" s="141">
        <v>91</v>
      </c>
      <c r="U500" s="126">
        <v>-1</v>
      </c>
      <c r="V500" s="218">
        <v>1</v>
      </c>
      <c r="W500" s="218">
        <v>1.5</v>
      </c>
      <c r="X500" s="126">
        <v>1</v>
      </c>
      <c r="AA500" s="188">
        <v>46255.4297337963</v>
      </c>
      <c r="AB500" s="131">
        <v>1</v>
      </c>
      <c r="AC500" s="126">
        <v>7</v>
      </c>
      <c r="AD500" s="126">
        <v>2026</v>
      </c>
    </row>
    <row r="501" spans="3:30" ht="23.1" customHeight="1">
      <c r="C501" s="126">
        <v>494</v>
      </c>
      <c r="D501" s="126">
        <v>287</v>
      </c>
      <c r="E501" s="141" t="s">
        <v>2306</v>
      </c>
      <c r="F501" s="163" t="s">
        <v>2307</v>
      </c>
      <c r="G501" s="162">
        <v>46204</v>
      </c>
      <c r="H501" s="131">
        <v>1</v>
      </c>
      <c r="I501" s="131">
        <v>1</v>
      </c>
      <c r="J501" s="141" t="s">
        <v>551</v>
      </c>
      <c r="K501" s="141">
        <v>1</v>
      </c>
      <c r="N501" s="141">
        <v>91</v>
      </c>
      <c r="U501" s="126">
        <v>-75</v>
      </c>
      <c r="V501" s="218">
        <v>0.09</v>
      </c>
      <c r="W501" s="218">
        <v>0.1</v>
      </c>
      <c r="X501" s="126">
        <v>1</v>
      </c>
      <c r="AA501" s="188">
        <v>46255.4297337963</v>
      </c>
      <c r="AB501" s="131">
        <v>1</v>
      </c>
      <c r="AC501" s="126">
        <v>7</v>
      </c>
      <c r="AD501" s="126">
        <v>2026</v>
      </c>
    </row>
    <row r="502" spans="3:30" ht="23.1" customHeight="1">
      <c r="C502" s="126">
        <v>495</v>
      </c>
      <c r="D502" s="126">
        <v>177</v>
      </c>
      <c r="E502" s="141" t="s">
        <v>752</v>
      </c>
      <c r="F502" s="163" t="s">
        <v>753</v>
      </c>
      <c r="G502" s="162">
        <v>46204</v>
      </c>
      <c r="H502" s="131">
        <v>1</v>
      </c>
      <c r="I502" s="131">
        <v>1</v>
      </c>
      <c r="J502" s="141" t="s">
        <v>551</v>
      </c>
      <c r="K502" s="141">
        <v>1</v>
      </c>
      <c r="N502" s="141">
        <v>92</v>
      </c>
      <c r="U502" s="126">
        <v>-250</v>
      </c>
      <c r="V502" s="218">
        <v>4.1500000000000004</v>
      </c>
      <c r="W502" s="218">
        <v>4.5</v>
      </c>
      <c r="X502" s="126">
        <v>1</v>
      </c>
      <c r="AA502" s="188">
        <v>46255.443240740744</v>
      </c>
      <c r="AB502" s="131">
        <v>1</v>
      </c>
      <c r="AC502" s="126">
        <v>7</v>
      </c>
      <c r="AD502" s="126">
        <v>2026</v>
      </c>
    </row>
    <row r="503" spans="3:30" ht="23.1" customHeight="1">
      <c r="C503" s="126">
        <v>496</v>
      </c>
      <c r="D503" s="126">
        <v>298</v>
      </c>
      <c r="E503" s="141" t="s">
        <v>2318</v>
      </c>
      <c r="F503" s="163" t="s">
        <v>2319</v>
      </c>
      <c r="G503" s="162">
        <v>46204</v>
      </c>
      <c r="H503" s="131">
        <v>1</v>
      </c>
      <c r="I503" s="131">
        <v>1</v>
      </c>
      <c r="J503" s="141" t="s">
        <v>551</v>
      </c>
      <c r="K503" s="141">
        <v>1</v>
      </c>
      <c r="N503" s="141">
        <v>92</v>
      </c>
      <c r="U503" s="126">
        <v>-60</v>
      </c>
      <c r="V503" s="218">
        <v>3.8</v>
      </c>
      <c r="W503" s="218">
        <v>5</v>
      </c>
      <c r="X503" s="126">
        <v>1</v>
      </c>
      <c r="AA503" s="188">
        <v>46255.443240740744</v>
      </c>
      <c r="AB503" s="131">
        <v>1</v>
      </c>
      <c r="AC503" s="126">
        <v>7</v>
      </c>
      <c r="AD503" s="126">
        <v>2026</v>
      </c>
    </row>
    <row r="504" spans="3:30" ht="23.1" customHeight="1">
      <c r="C504" s="126">
        <v>497</v>
      </c>
      <c r="D504" s="126">
        <v>295</v>
      </c>
      <c r="E504" s="141" t="s">
        <v>2326</v>
      </c>
      <c r="F504" s="163" t="s">
        <v>2327</v>
      </c>
      <c r="G504" s="162">
        <v>46204</v>
      </c>
      <c r="H504" s="131">
        <v>1</v>
      </c>
      <c r="I504" s="131">
        <v>1</v>
      </c>
      <c r="J504" s="141" t="s">
        <v>551</v>
      </c>
      <c r="K504" s="141">
        <v>1</v>
      </c>
      <c r="N504" s="141">
        <v>93</v>
      </c>
      <c r="U504" s="126">
        <v>-2</v>
      </c>
      <c r="V504" s="218">
        <v>16</v>
      </c>
      <c r="W504" s="218">
        <v>19</v>
      </c>
      <c r="X504" s="126">
        <v>1</v>
      </c>
      <c r="AA504" s="188">
        <v>46255.458796296298</v>
      </c>
      <c r="AB504" s="131">
        <v>1</v>
      </c>
      <c r="AC504" s="126">
        <v>7</v>
      </c>
      <c r="AD504" s="126">
        <v>2026</v>
      </c>
    </row>
    <row r="505" spans="3:30" ht="23.1" customHeight="1">
      <c r="C505" s="126">
        <v>498</v>
      </c>
      <c r="D505" s="126">
        <v>177</v>
      </c>
      <c r="E505" s="141" t="s">
        <v>752</v>
      </c>
      <c r="F505" s="163" t="s">
        <v>753</v>
      </c>
      <c r="G505" s="162">
        <v>46204</v>
      </c>
      <c r="H505" s="131">
        <v>1</v>
      </c>
      <c r="I505" s="131">
        <v>1</v>
      </c>
      <c r="J505" s="141" t="s">
        <v>551</v>
      </c>
      <c r="K505" s="141">
        <v>1</v>
      </c>
      <c r="N505" s="141">
        <v>93</v>
      </c>
      <c r="U505" s="126">
        <v>-50</v>
      </c>
      <c r="V505" s="218">
        <v>4.1500000000000004</v>
      </c>
      <c r="W505" s="218">
        <v>4.5</v>
      </c>
      <c r="X505" s="126">
        <v>1</v>
      </c>
      <c r="AA505" s="188">
        <v>46255.458796296298</v>
      </c>
      <c r="AB505" s="131">
        <v>1</v>
      </c>
      <c r="AC505" s="126">
        <v>7</v>
      </c>
      <c r="AD505" s="126">
        <v>2026</v>
      </c>
    </row>
    <row r="506" spans="3:30" ht="23.1" customHeight="1">
      <c r="C506" s="126">
        <v>499</v>
      </c>
      <c r="D506" s="126">
        <v>327</v>
      </c>
      <c r="E506" s="141" t="s">
        <v>2337</v>
      </c>
      <c r="F506" s="163" t="s">
        <v>2338</v>
      </c>
      <c r="G506" s="162">
        <v>46204</v>
      </c>
      <c r="H506" s="131">
        <v>1</v>
      </c>
      <c r="I506" s="131">
        <v>1</v>
      </c>
      <c r="J506" s="141" t="s">
        <v>551</v>
      </c>
      <c r="K506" s="141">
        <v>1</v>
      </c>
      <c r="N506" s="141">
        <v>94</v>
      </c>
      <c r="U506" s="126">
        <v>-1</v>
      </c>
      <c r="V506" s="218">
        <v>24</v>
      </c>
      <c r="W506" s="218">
        <v>35</v>
      </c>
      <c r="X506" s="126">
        <v>1</v>
      </c>
      <c r="AA506" s="188">
        <v>46255.46361111111</v>
      </c>
      <c r="AB506" s="131">
        <v>1</v>
      </c>
      <c r="AC506" s="126">
        <v>7</v>
      </c>
      <c r="AD506" s="126">
        <v>2026</v>
      </c>
    </row>
    <row r="507" spans="3:30" ht="23.1" customHeight="1">
      <c r="C507" s="126">
        <v>500</v>
      </c>
      <c r="D507" s="126">
        <v>213</v>
      </c>
      <c r="E507" s="141" t="s">
        <v>2342</v>
      </c>
      <c r="F507" s="163" t="s">
        <v>2343</v>
      </c>
      <c r="G507" s="162">
        <v>46204</v>
      </c>
      <c r="H507" s="131">
        <v>1</v>
      </c>
      <c r="I507" s="131">
        <v>1</v>
      </c>
      <c r="J507" s="141" t="s">
        <v>551</v>
      </c>
      <c r="K507" s="141">
        <v>1</v>
      </c>
      <c r="N507" s="141">
        <v>94</v>
      </c>
      <c r="U507" s="126">
        <v>-3</v>
      </c>
      <c r="V507" s="218">
        <v>0.25</v>
      </c>
      <c r="W507" s="218">
        <v>0.5</v>
      </c>
      <c r="X507" s="126">
        <v>1</v>
      </c>
      <c r="AA507" s="188">
        <v>46255.46361111111</v>
      </c>
      <c r="AB507" s="131">
        <v>1</v>
      </c>
      <c r="AC507" s="126">
        <v>7</v>
      </c>
      <c r="AD507" s="126">
        <v>2026</v>
      </c>
    </row>
    <row r="508" spans="3:30" ht="23.1" customHeight="1">
      <c r="C508" s="126">
        <v>501</v>
      </c>
      <c r="D508" s="126">
        <v>228</v>
      </c>
      <c r="E508" s="141" t="s">
        <v>2347</v>
      </c>
      <c r="F508" s="163" t="s">
        <v>2348</v>
      </c>
      <c r="G508" s="162">
        <v>46204</v>
      </c>
      <c r="H508" s="131">
        <v>1</v>
      </c>
      <c r="I508" s="131">
        <v>1</v>
      </c>
      <c r="J508" s="141" t="s">
        <v>551</v>
      </c>
      <c r="K508" s="141">
        <v>1</v>
      </c>
      <c r="N508" s="141">
        <v>94</v>
      </c>
      <c r="U508" s="126">
        <v>-1</v>
      </c>
      <c r="V508" s="218">
        <v>0.4</v>
      </c>
      <c r="W508" s="218">
        <v>0.5</v>
      </c>
      <c r="X508" s="126">
        <v>1</v>
      </c>
      <c r="AA508" s="188">
        <v>46255.46361111111</v>
      </c>
      <c r="AB508" s="131">
        <v>1</v>
      </c>
      <c r="AC508" s="126">
        <v>7</v>
      </c>
      <c r="AD508" s="126">
        <v>2026</v>
      </c>
    </row>
    <row r="509" spans="3:30" ht="23.1" customHeight="1">
      <c r="C509" s="126">
        <v>502</v>
      </c>
      <c r="D509" s="126">
        <v>195</v>
      </c>
      <c r="E509" s="141" t="s">
        <v>608</v>
      </c>
      <c r="F509" s="163" t="s">
        <v>609</v>
      </c>
      <c r="G509" s="162">
        <v>46205</v>
      </c>
      <c r="H509" s="131">
        <v>1</v>
      </c>
      <c r="I509" s="131">
        <v>1</v>
      </c>
      <c r="J509" s="141" t="s">
        <v>551</v>
      </c>
      <c r="K509" s="141">
        <v>1</v>
      </c>
      <c r="N509" s="141">
        <v>95</v>
      </c>
      <c r="U509" s="126">
        <v>-24</v>
      </c>
      <c r="V509" s="218">
        <v>6.28</v>
      </c>
      <c r="W509" s="218">
        <v>5.9</v>
      </c>
      <c r="X509" s="126">
        <v>1</v>
      </c>
      <c r="AA509" s="188">
        <v>46255.482870370368</v>
      </c>
      <c r="AB509" s="131">
        <v>1</v>
      </c>
      <c r="AC509" s="126">
        <v>7</v>
      </c>
      <c r="AD509" s="126">
        <v>2026</v>
      </c>
    </row>
    <row r="510" spans="3:30" ht="23.1" customHeight="1">
      <c r="C510" s="126">
        <v>503</v>
      </c>
      <c r="D510" s="126">
        <v>187</v>
      </c>
      <c r="E510" s="141" t="s">
        <v>576</v>
      </c>
      <c r="F510" s="163" t="s">
        <v>577</v>
      </c>
      <c r="G510" s="162">
        <v>46205</v>
      </c>
      <c r="H510" s="131">
        <v>1</v>
      </c>
      <c r="I510" s="131">
        <v>1</v>
      </c>
      <c r="J510" s="141" t="s">
        <v>551</v>
      </c>
      <c r="K510" s="141">
        <v>1</v>
      </c>
      <c r="N510" s="141">
        <v>95</v>
      </c>
      <c r="U510" s="126">
        <v>-28</v>
      </c>
      <c r="V510" s="218">
        <v>3.37</v>
      </c>
      <c r="W510" s="218">
        <v>3.5</v>
      </c>
      <c r="X510" s="126">
        <v>1</v>
      </c>
      <c r="AA510" s="188">
        <v>46255.482870370368</v>
      </c>
      <c r="AB510" s="131">
        <v>1</v>
      </c>
      <c r="AC510" s="126">
        <v>7</v>
      </c>
      <c r="AD510" s="126">
        <v>2026</v>
      </c>
    </row>
    <row r="511" spans="3:30" ht="23.1" customHeight="1">
      <c r="C511" s="126">
        <v>504</v>
      </c>
      <c r="D511" s="126">
        <v>197</v>
      </c>
      <c r="E511" s="141" t="s">
        <v>652</v>
      </c>
      <c r="F511" s="163" t="s">
        <v>653</v>
      </c>
      <c r="G511" s="162">
        <v>46205</v>
      </c>
      <c r="H511" s="131">
        <v>1</v>
      </c>
      <c r="I511" s="131">
        <v>1</v>
      </c>
      <c r="J511" s="141" t="s">
        <v>551</v>
      </c>
      <c r="K511" s="141">
        <v>1</v>
      </c>
      <c r="N511" s="141">
        <v>95</v>
      </c>
      <c r="U511" s="126">
        <v>-8</v>
      </c>
      <c r="V511" s="218">
        <v>8.36</v>
      </c>
      <c r="W511" s="218">
        <v>8</v>
      </c>
      <c r="X511" s="126">
        <v>1</v>
      </c>
      <c r="AA511" s="188">
        <v>46255.482870370368</v>
      </c>
      <c r="AB511" s="131">
        <v>1</v>
      </c>
      <c r="AC511" s="126">
        <v>7</v>
      </c>
      <c r="AD511" s="126">
        <v>2026</v>
      </c>
    </row>
    <row r="1122" spans="21:26" ht="23.1" customHeight="1">
      <c r="U1122" s="137"/>
      <c r="X1122" s="137"/>
      <c r="Y1122" s="137"/>
      <c r="Z1122" s="229"/>
    </row>
    <row r="1186" spans="6:6" ht="23.1" customHeight="1">
      <c r="F1186" s="127"/>
    </row>
    <row r="1746" spans="11:21" ht="23.1" customHeight="1">
      <c r="K1746" s="178"/>
      <c r="U1746" s="141"/>
    </row>
    <row r="1747" spans="11:21" ht="23.1" customHeight="1">
      <c r="K1747" s="178"/>
      <c r="U1747" s="141"/>
    </row>
    <row r="1748" spans="11:21" ht="23.1" customHeight="1">
      <c r="U1748" s="141"/>
    </row>
    <row r="1749" spans="11:21" ht="23.1" customHeight="1">
      <c r="U1749" s="141"/>
    </row>
    <row r="1750" spans="11:21" ht="23.1" customHeight="1">
      <c r="U1750" s="141"/>
    </row>
    <row r="1751" spans="11:21" ht="23.1" customHeight="1">
      <c r="U1751" s="141"/>
    </row>
    <row r="1800" spans="21:21" ht="23.1" customHeight="1">
      <c r="U1800" s="137"/>
    </row>
  </sheetData>
  <autoFilter ref="C7:AD495" xr:uid="{AFFE7F01-1A65-41C9-973F-35C1A88204D8}"/>
  <pageMargins left="0.2" right="0.2" top="0.2" bottom="0.2" header="0.2" footer="0.2"/>
  <pageSetup paperSize="9" scale="70" orientation="portrait" r:id="rId1"/>
  <colBreaks count="1" manualBreakCount="1">
    <brk id="27" max="1048575" man="1"/>
  </col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5C2E1-0692-4C8C-813A-73380BFFC7DE}">
  <sheetPr codeName="Sheet19"/>
  <dimension ref="C1:AC124"/>
  <sheetViews>
    <sheetView showGridLines="0" zoomScale="90" zoomScaleNormal="90" workbookViewId="0">
      <pane ySplit="7" topLeftCell="A30" activePane="bottomLeft" state="frozen"/>
      <selection activeCell="L28" sqref="L28"/>
      <selection pane="bottomLeft" activeCell="H124" sqref="H124"/>
    </sheetView>
  </sheetViews>
  <sheetFormatPr defaultColWidth="12.5703125" defaultRowHeight="23.1" customHeight="1"/>
  <cols>
    <col min="1" max="1" width="3.5703125" style="126" customWidth="1"/>
    <col min="2" max="2" width="3.28515625" style="126" customWidth="1"/>
    <col min="3" max="3" width="15.7109375" style="126" bestFit="1" customWidth="1"/>
    <col min="4" max="4" width="19.7109375" style="141" customWidth="1"/>
    <col min="5" max="5" width="26.28515625" style="163" customWidth="1"/>
    <col min="6" max="6" width="13.28515625" style="159" customWidth="1"/>
    <col min="7" max="7" width="13" style="226" customWidth="1"/>
    <col min="8" max="8" width="15.7109375" style="126" customWidth="1"/>
    <col min="9" max="9" width="14.5703125" style="126" customWidth="1"/>
    <col min="10" max="11" width="13" style="126" customWidth="1"/>
    <col min="12" max="12" width="18" style="126" hidden="1" customWidth="1"/>
    <col min="13" max="13" width="18.28515625" style="126" hidden="1" customWidth="1"/>
    <col min="14" max="14" width="14.5703125" style="126" customWidth="1"/>
    <col min="15" max="15" width="19.28515625" style="126" hidden="1" customWidth="1"/>
    <col min="16" max="17" width="19.5703125" style="126" hidden="1" customWidth="1"/>
    <col min="18" max="18" width="16.28515625" style="126" hidden="1" customWidth="1"/>
    <col min="19" max="19" width="13.7109375" style="126" hidden="1" customWidth="1"/>
    <col min="20" max="20" width="12.5703125" style="126" hidden="1" customWidth="1"/>
    <col min="21" max="16384" width="12.5703125" style="126"/>
  </cols>
  <sheetData>
    <row r="1" spans="3:29" s="13" customFormat="1" ht="23.25" hidden="1">
      <c r="C1" s="126"/>
      <c r="D1" s="140"/>
      <c r="E1" s="163"/>
      <c r="F1" s="159"/>
      <c r="G1" s="226"/>
    </row>
    <row r="2" spans="3:29" s="13" customFormat="1" ht="23.25" hidden="1">
      <c r="C2" s="126"/>
      <c r="D2" s="140"/>
      <c r="E2" s="163"/>
      <c r="F2" s="159"/>
      <c r="G2" s="226"/>
    </row>
    <row r="3" spans="3:29" s="13" customFormat="1" ht="23.25">
      <c r="C3" s="126"/>
      <c r="D3" s="140"/>
      <c r="E3" s="163"/>
      <c r="F3" s="159"/>
      <c r="G3" s="226"/>
    </row>
    <row r="4" spans="3:29" s="13" customFormat="1" ht="32.25" customHeight="1">
      <c r="C4" s="126"/>
      <c r="D4" s="140"/>
      <c r="E4" s="167"/>
      <c r="F4" s="190"/>
      <c r="G4" s="227"/>
    </row>
    <row r="5" spans="3:29" s="13" customFormat="1" ht="26.25" customHeight="1">
      <c r="C5" s="126"/>
      <c r="D5" s="140"/>
      <c r="E5" s="163"/>
      <c r="F5" s="159"/>
      <c r="G5" s="226"/>
    </row>
    <row r="6" spans="3:29" s="13" customFormat="1" ht="25.5">
      <c r="C6" s="264" t="s">
        <v>173</v>
      </c>
      <c r="D6" s="265" t="s">
        <v>213</v>
      </c>
      <c r="E6" s="265" t="s">
        <v>12</v>
      </c>
      <c r="F6" s="264" t="s">
        <v>214</v>
      </c>
      <c r="G6" s="266" t="s">
        <v>211</v>
      </c>
      <c r="H6" s="264" t="s">
        <v>174</v>
      </c>
      <c r="I6" s="264" t="s">
        <v>175</v>
      </c>
      <c r="J6" s="264" t="s">
        <v>119</v>
      </c>
      <c r="K6" s="264" t="s">
        <v>119</v>
      </c>
      <c r="L6" s="264" t="s">
        <v>176</v>
      </c>
      <c r="M6" s="264" t="s">
        <v>176</v>
      </c>
      <c r="N6" s="264" t="s">
        <v>177</v>
      </c>
      <c r="O6" s="151" t="s">
        <v>178</v>
      </c>
      <c r="P6" s="151" t="s">
        <v>179</v>
      </c>
      <c r="Q6" s="151" t="s">
        <v>179</v>
      </c>
      <c r="R6" s="151" t="s">
        <v>180</v>
      </c>
      <c r="S6" s="151" t="s">
        <v>181</v>
      </c>
      <c r="T6" s="151" t="s">
        <v>182</v>
      </c>
      <c r="W6" s="352"/>
      <c r="X6" s="352"/>
      <c r="Y6" s="352"/>
      <c r="Z6" s="352"/>
      <c r="AA6" s="352"/>
      <c r="AB6" s="352"/>
      <c r="AC6" s="352"/>
    </row>
    <row r="7" spans="3:29" ht="20.25" customHeight="1">
      <c r="C7" s="267" t="s">
        <v>162</v>
      </c>
      <c r="D7" s="268" t="s">
        <v>207</v>
      </c>
      <c r="E7" s="268" t="s">
        <v>17</v>
      </c>
      <c r="F7" s="267" t="s">
        <v>210</v>
      </c>
      <c r="G7" s="269" t="s">
        <v>202</v>
      </c>
      <c r="H7" s="267" t="s">
        <v>164</v>
      </c>
      <c r="I7" s="267" t="s">
        <v>165</v>
      </c>
      <c r="J7" s="267" t="s">
        <v>172</v>
      </c>
      <c r="K7" s="267" t="s">
        <v>367</v>
      </c>
      <c r="L7" s="267" t="s">
        <v>166</v>
      </c>
      <c r="M7" s="267" t="s">
        <v>368</v>
      </c>
      <c r="N7" s="267" t="s">
        <v>167</v>
      </c>
      <c r="O7" s="148" t="s">
        <v>168</v>
      </c>
      <c r="P7" s="148" t="s">
        <v>169</v>
      </c>
      <c r="Q7" s="148" t="s">
        <v>369</v>
      </c>
      <c r="R7" s="148" t="s">
        <v>170</v>
      </c>
      <c r="S7" s="148" t="s">
        <v>171</v>
      </c>
      <c r="T7" s="148" t="s">
        <v>183</v>
      </c>
      <c r="W7" s="353"/>
      <c r="X7" s="353"/>
      <c r="Y7" s="353"/>
      <c r="Z7" s="353"/>
      <c r="AA7" s="353"/>
      <c r="AB7" s="353"/>
      <c r="AC7" s="353"/>
    </row>
    <row r="8" spans="3:29" ht="23.1" customHeight="1">
      <c r="C8" s="126">
        <v>6</v>
      </c>
      <c r="D8" s="141" t="s">
        <v>559</v>
      </c>
      <c r="E8" s="163" t="s">
        <v>560</v>
      </c>
      <c r="H8" s="126">
        <v>10</v>
      </c>
      <c r="I8" s="126">
        <v>0</v>
      </c>
      <c r="J8" s="126">
        <v>10</v>
      </c>
      <c r="K8" s="126">
        <v>0</v>
      </c>
      <c r="L8" s="126">
        <v>0</v>
      </c>
      <c r="M8" s="126">
        <v>0</v>
      </c>
      <c r="N8" s="126">
        <v>20</v>
      </c>
      <c r="O8" s="126">
        <v>0</v>
      </c>
      <c r="P8" s="126">
        <v>0</v>
      </c>
      <c r="Q8" s="126">
        <v>0</v>
      </c>
      <c r="R8" s="126">
        <v>0</v>
      </c>
      <c r="S8" s="126">
        <v>0</v>
      </c>
      <c r="T8" s="126">
        <v>0</v>
      </c>
    </row>
    <row r="9" spans="3:29" ht="23.1" customHeight="1">
      <c r="C9" s="126">
        <v>153</v>
      </c>
      <c r="D9" s="141" t="s">
        <v>554</v>
      </c>
      <c r="E9" s="163" t="s">
        <v>555</v>
      </c>
      <c r="H9" s="126">
        <v>7</v>
      </c>
      <c r="I9" s="126">
        <v>0</v>
      </c>
      <c r="J9" s="126">
        <v>7</v>
      </c>
      <c r="K9" s="126">
        <v>0</v>
      </c>
      <c r="L9" s="126">
        <v>0</v>
      </c>
      <c r="M9" s="126">
        <v>0</v>
      </c>
      <c r="N9" s="126">
        <v>14</v>
      </c>
      <c r="O9" s="126">
        <v>0</v>
      </c>
      <c r="P9" s="126">
        <v>0</v>
      </c>
      <c r="Q9" s="126">
        <v>0</v>
      </c>
      <c r="R9" s="126">
        <v>0</v>
      </c>
      <c r="S9" s="126">
        <v>0</v>
      </c>
      <c r="T9" s="126">
        <v>0</v>
      </c>
    </row>
    <row r="10" spans="3:29" ht="23.1" customHeight="1">
      <c r="C10" s="126">
        <v>179</v>
      </c>
      <c r="D10" s="141" t="s">
        <v>564</v>
      </c>
      <c r="E10" s="163" t="s">
        <v>565</v>
      </c>
      <c r="H10" s="126">
        <v>835</v>
      </c>
      <c r="I10" s="126">
        <v>0</v>
      </c>
      <c r="J10" s="126">
        <v>3165</v>
      </c>
      <c r="K10" s="126">
        <v>0</v>
      </c>
      <c r="L10" s="126">
        <v>0</v>
      </c>
      <c r="M10" s="126">
        <v>0</v>
      </c>
      <c r="N10" s="126">
        <v>4000</v>
      </c>
      <c r="O10" s="126">
        <v>0</v>
      </c>
      <c r="P10" s="126">
        <v>0</v>
      </c>
      <c r="Q10" s="126">
        <v>0</v>
      </c>
      <c r="R10" s="126">
        <v>0</v>
      </c>
      <c r="S10" s="126">
        <v>0</v>
      </c>
      <c r="T10" s="126">
        <v>0</v>
      </c>
    </row>
    <row r="11" spans="3:29" ht="23.1" customHeight="1">
      <c r="C11" s="126">
        <v>192</v>
      </c>
      <c r="D11" s="141" t="s">
        <v>570</v>
      </c>
      <c r="E11" s="163" t="s">
        <v>571</v>
      </c>
      <c r="H11" s="126">
        <v>4</v>
      </c>
      <c r="I11" s="126">
        <v>0</v>
      </c>
      <c r="J11" s="126">
        <v>4</v>
      </c>
      <c r="K11" s="126">
        <v>0</v>
      </c>
      <c r="L11" s="126">
        <v>0</v>
      </c>
      <c r="M11" s="126">
        <v>0</v>
      </c>
      <c r="N11" s="126">
        <v>8</v>
      </c>
      <c r="O11" s="126">
        <v>0</v>
      </c>
      <c r="P11" s="126">
        <v>0</v>
      </c>
      <c r="Q11" s="126">
        <v>0</v>
      </c>
      <c r="R11" s="126">
        <v>0</v>
      </c>
      <c r="S11" s="126">
        <v>0</v>
      </c>
      <c r="T11" s="126">
        <v>0</v>
      </c>
    </row>
    <row r="12" spans="3:29" ht="23.1" customHeight="1">
      <c r="C12" s="126">
        <v>187</v>
      </c>
      <c r="D12" s="141" t="s">
        <v>576</v>
      </c>
      <c r="E12" s="163" t="s">
        <v>577</v>
      </c>
      <c r="H12" s="126">
        <v>16</v>
      </c>
      <c r="I12" s="126">
        <v>0</v>
      </c>
      <c r="J12" s="126">
        <v>240</v>
      </c>
      <c r="K12" s="126">
        <v>0</v>
      </c>
      <c r="L12" s="126">
        <v>0</v>
      </c>
      <c r="M12" s="126">
        <v>0</v>
      </c>
      <c r="N12" s="126">
        <v>256</v>
      </c>
      <c r="O12" s="126">
        <v>0</v>
      </c>
      <c r="P12" s="126">
        <v>0</v>
      </c>
      <c r="Q12" s="126">
        <v>0</v>
      </c>
      <c r="R12" s="126">
        <v>0</v>
      </c>
      <c r="S12" s="126">
        <v>0</v>
      </c>
      <c r="T12" s="126">
        <v>0</v>
      </c>
    </row>
    <row r="13" spans="3:29" ht="23.1" customHeight="1">
      <c r="C13" s="126">
        <v>4</v>
      </c>
      <c r="D13" s="141" t="s">
        <v>581</v>
      </c>
      <c r="E13" s="163" t="s">
        <v>582</v>
      </c>
      <c r="H13" s="126">
        <v>4</v>
      </c>
      <c r="I13" s="126">
        <v>0</v>
      </c>
      <c r="J13" s="126">
        <v>11</v>
      </c>
      <c r="K13" s="126">
        <v>0</v>
      </c>
      <c r="L13" s="126">
        <v>0</v>
      </c>
      <c r="M13" s="126">
        <v>0</v>
      </c>
      <c r="N13" s="126">
        <v>15</v>
      </c>
      <c r="O13" s="126">
        <v>0</v>
      </c>
      <c r="P13" s="126">
        <v>0</v>
      </c>
      <c r="Q13" s="126">
        <v>0</v>
      </c>
      <c r="R13" s="126">
        <v>0</v>
      </c>
      <c r="S13" s="126">
        <v>0</v>
      </c>
      <c r="T13" s="126">
        <v>0</v>
      </c>
    </row>
    <row r="14" spans="3:29" ht="23.1" customHeight="1">
      <c r="C14" s="126">
        <v>10</v>
      </c>
      <c r="D14" s="141" t="s">
        <v>586</v>
      </c>
      <c r="E14" s="163" t="s">
        <v>587</v>
      </c>
      <c r="H14" s="126">
        <v>5</v>
      </c>
      <c r="I14" s="126">
        <v>0</v>
      </c>
      <c r="J14" s="126">
        <v>5</v>
      </c>
      <c r="K14" s="126">
        <v>0</v>
      </c>
      <c r="L14" s="126">
        <v>0</v>
      </c>
      <c r="M14" s="126">
        <v>0</v>
      </c>
      <c r="N14" s="126">
        <v>10</v>
      </c>
      <c r="O14" s="126">
        <v>0</v>
      </c>
      <c r="P14" s="126">
        <v>0</v>
      </c>
      <c r="Q14" s="126">
        <v>0</v>
      </c>
      <c r="R14" s="126">
        <v>0</v>
      </c>
      <c r="S14" s="126">
        <v>0</v>
      </c>
      <c r="T14" s="126">
        <v>0</v>
      </c>
    </row>
    <row r="15" spans="3:29" ht="23.1" customHeight="1">
      <c r="C15" s="126">
        <v>105</v>
      </c>
      <c r="D15" s="141" t="s">
        <v>591</v>
      </c>
      <c r="E15" s="163" t="s">
        <v>592</v>
      </c>
      <c r="H15" s="126">
        <v>2</v>
      </c>
      <c r="I15" s="126">
        <v>0</v>
      </c>
      <c r="J15" s="126">
        <v>2</v>
      </c>
      <c r="K15" s="126">
        <v>0</v>
      </c>
      <c r="L15" s="126">
        <v>0</v>
      </c>
      <c r="M15" s="126">
        <v>0</v>
      </c>
      <c r="N15" s="126">
        <v>4</v>
      </c>
      <c r="O15" s="126">
        <v>0</v>
      </c>
      <c r="P15" s="126">
        <v>0</v>
      </c>
      <c r="Q15" s="126">
        <v>0</v>
      </c>
      <c r="R15" s="126">
        <v>0</v>
      </c>
      <c r="S15" s="126">
        <v>0</v>
      </c>
      <c r="T15" s="126">
        <v>0</v>
      </c>
    </row>
    <row r="16" spans="3:29" ht="23.1" customHeight="1">
      <c r="C16" s="126">
        <v>48</v>
      </c>
      <c r="D16" s="141" t="s">
        <v>596</v>
      </c>
      <c r="E16" s="163" t="s">
        <v>597</v>
      </c>
      <c r="H16" s="126">
        <v>7</v>
      </c>
      <c r="I16" s="126">
        <v>0</v>
      </c>
      <c r="J16" s="126">
        <v>7</v>
      </c>
      <c r="K16" s="126">
        <v>0</v>
      </c>
      <c r="L16" s="126">
        <v>0</v>
      </c>
      <c r="M16" s="126">
        <v>0</v>
      </c>
      <c r="N16" s="126">
        <v>14</v>
      </c>
      <c r="O16" s="126">
        <v>0</v>
      </c>
      <c r="P16" s="126">
        <v>0</v>
      </c>
      <c r="Q16" s="126">
        <v>0</v>
      </c>
      <c r="R16" s="126">
        <v>0</v>
      </c>
      <c r="S16" s="126">
        <v>0</v>
      </c>
      <c r="T16" s="126">
        <v>0</v>
      </c>
    </row>
    <row r="17" spans="3:20" ht="23.1" customHeight="1">
      <c r="C17" s="126">
        <v>169</v>
      </c>
      <c r="D17" s="141" t="s">
        <v>601</v>
      </c>
      <c r="E17" s="163" t="s">
        <v>602</v>
      </c>
      <c r="H17" s="126">
        <v>16</v>
      </c>
      <c r="I17" s="126">
        <v>0</v>
      </c>
      <c r="J17" s="126">
        <v>16</v>
      </c>
      <c r="K17" s="126">
        <v>0</v>
      </c>
      <c r="L17" s="126">
        <v>0</v>
      </c>
      <c r="M17" s="126">
        <v>0</v>
      </c>
      <c r="N17" s="126">
        <v>32</v>
      </c>
      <c r="O17" s="126">
        <v>0</v>
      </c>
      <c r="P17" s="126">
        <v>0</v>
      </c>
      <c r="Q17" s="126">
        <v>0</v>
      </c>
      <c r="R17" s="126">
        <v>0</v>
      </c>
      <c r="S17" s="126">
        <v>0</v>
      </c>
      <c r="T17" s="126">
        <v>0</v>
      </c>
    </row>
    <row r="18" spans="3:20" ht="23.1" customHeight="1">
      <c r="C18" s="126">
        <v>195</v>
      </c>
      <c r="D18" s="141" t="s">
        <v>608</v>
      </c>
      <c r="E18" s="163" t="s">
        <v>609</v>
      </c>
      <c r="H18" s="126">
        <v>-4</v>
      </c>
      <c r="I18" s="126">
        <v>0</v>
      </c>
      <c r="J18" s="126">
        <v>144</v>
      </c>
      <c r="K18" s="126">
        <v>0</v>
      </c>
      <c r="L18" s="126">
        <v>0</v>
      </c>
      <c r="M18" s="126">
        <v>0</v>
      </c>
      <c r="N18" s="126">
        <v>140</v>
      </c>
      <c r="O18" s="126">
        <v>0</v>
      </c>
      <c r="P18" s="126">
        <v>0</v>
      </c>
      <c r="Q18" s="126">
        <v>0</v>
      </c>
      <c r="R18" s="126">
        <v>0</v>
      </c>
      <c r="S18" s="126">
        <v>0</v>
      </c>
      <c r="T18" s="126">
        <v>0</v>
      </c>
    </row>
    <row r="19" spans="3:20" ht="23.1" customHeight="1">
      <c r="C19" s="126">
        <v>186</v>
      </c>
      <c r="D19" s="141" t="s">
        <v>616</v>
      </c>
      <c r="E19" s="163" t="s">
        <v>617</v>
      </c>
      <c r="H19" s="126">
        <v>24</v>
      </c>
      <c r="I19" s="126">
        <v>0</v>
      </c>
      <c r="J19" s="126">
        <v>12</v>
      </c>
      <c r="K19" s="126">
        <v>0</v>
      </c>
      <c r="L19" s="126">
        <v>0</v>
      </c>
      <c r="M19" s="126">
        <v>0</v>
      </c>
      <c r="N19" s="126">
        <v>36</v>
      </c>
      <c r="O19" s="126">
        <v>0</v>
      </c>
      <c r="P19" s="126">
        <v>0</v>
      </c>
      <c r="Q19" s="126">
        <v>0</v>
      </c>
      <c r="R19" s="126">
        <v>0</v>
      </c>
      <c r="S19" s="126">
        <v>0</v>
      </c>
      <c r="T19" s="126">
        <v>0</v>
      </c>
    </row>
    <row r="20" spans="3:20" ht="23.1" customHeight="1">
      <c r="C20" s="126">
        <v>182</v>
      </c>
      <c r="D20" s="141" t="s">
        <v>627</v>
      </c>
      <c r="E20" s="163" t="s">
        <v>628</v>
      </c>
      <c r="H20" s="126">
        <v>132</v>
      </c>
      <c r="I20" s="126">
        <v>0</v>
      </c>
      <c r="J20" s="126">
        <v>252</v>
      </c>
      <c r="K20" s="126">
        <v>0</v>
      </c>
      <c r="L20" s="126">
        <v>0</v>
      </c>
      <c r="M20" s="126">
        <v>0</v>
      </c>
      <c r="N20" s="126">
        <v>384</v>
      </c>
      <c r="O20" s="126">
        <v>0</v>
      </c>
      <c r="P20" s="126">
        <v>0</v>
      </c>
      <c r="Q20" s="126">
        <v>0</v>
      </c>
      <c r="R20" s="126">
        <v>0</v>
      </c>
      <c r="S20" s="126">
        <v>0</v>
      </c>
      <c r="T20" s="126">
        <v>0</v>
      </c>
    </row>
    <row r="21" spans="3:20" ht="23.1" customHeight="1">
      <c r="C21" s="126">
        <v>96</v>
      </c>
      <c r="D21" s="141" t="s">
        <v>632</v>
      </c>
      <c r="E21" s="163" t="s">
        <v>633</v>
      </c>
      <c r="H21" s="126">
        <v>17</v>
      </c>
      <c r="I21" s="126">
        <v>0</v>
      </c>
      <c r="J21" s="126">
        <v>17</v>
      </c>
      <c r="K21" s="126">
        <v>0</v>
      </c>
      <c r="L21" s="126">
        <v>0</v>
      </c>
      <c r="M21" s="126">
        <v>0</v>
      </c>
      <c r="N21" s="126">
        <v>34</v>
      </c>
      <c r="O21" s="126">
        <v>0</v>
      </c>
      <c r="P21" s="126">
        <v>0</v>
      </c>
      <c r="Q21" s="126">
        <v>0</v>
      </c>
      <c r="R21" s="126">
        <v>0</v>
      </c>
      <c r="S21" s="126">
        <v>0</v>
      </c>
      <c r="T21" s="126">
        <v>0</v>
      </c>
    </row>
    <row r="22" spans="3:20" ht="23.1" customHeight="1">
      <c r="C22" s="126">
        <v>97</v>
      </c>
      <c r="D22" s="141" t="s">
        <v>637</v>
      </c>
      <c r="E22" s="163" t="s">
        <v>638</v>
      </c>
      <c r="H22" s="126">
        <v>4</v>
      </c>
      <c r="I22" s="126">
        <v>0</v>
      </c>
      <c r="J22" s="126">
        <v>4</v>
      </c>
      <c r="K22" s="126">
        <v>0</v>
      </c>
      <c r="L22" s="126">
        <v>0</v>
      </c>
      <c r="M22" s="126">
        <v>0</v>
      </c>
      <c r="N22" s="126">
        <v>8</v>
      </c>
      <c r="O22" s="126">
        <v>0</v>
      </c>
      <c r="P22" s="126">
        <v>0</v>
      </c>
      <c r="Q22" s="126">
        <v>0</v>
      </c>
      <c r="R22" s="126">
        <v>0</v>
      </c>
      <c r="S22" s="126">
        <v>0</v>
      </c>
      <c r="T22" s="126">
        <v>0</v>
      </c>
    </row>
    <row r="23" spans="3:20" ht="23.1" customHeight="1">
      <c r="C23" s="126">
        <v>22</v>
      </c>
      <c r="D23" s="141" t="s">
        <v>642</v>
      </c>
      <c r="E23" s="163" t="s">
        <v>643</v>
      </c>
      <c r="H23" s="126">
        <v>2</v>
      </c>
      <c r="I23" s="126">
        <v>0</v>
      </c>
      <c r="J23" s="126">
        <v>5</v>
      </c>
      <c r="K23" s="126">
        <v>0</v>
      </c>
      <c r="L23" s="126">
        <v>0</v>
      </c>
      <c r="M23" s="126">
        <v>0</v>
      </c>
      <c r="N23" s="126">
        <v>7</v>
      </c>
      <c r="O23" s="126">
        <v>0</v>
      </c>
      <c r="P23" s="126">
        <v>0</v>
      </c>
      <c r="Q23" s="126">
        <v>0</v>
      </c>
      <c r="R23" s="126">
        <v>0</v>
      </c>
      <c r="S23" s="126">
        <v>0</v>
      </c>
      <c r="T23" s="126">
        <v>0</v>
      </c>
    </row>
    <row r="24" spans="3:20" ht="23.1" customHeight="1">
      <c r="C24" s="126">
        <v>46</v>
      </c>
      <c r="D24" s="141" t="s">
        <v>647</v>
      </c>
      <c r="E24" s="163" t="s">
        <v>648</v>
      </c>
      <c r="H24" s="126">
        <v>30</v>
      </c>
      <c r="I24" s="126">
        <v>0</v>
      </c>
      <c r="J24" s="126">
        <v>30</v>
      </c>
      <c r="K24" s="126">
        <v>0</v>
      </c>
      <c r="L24" s="126">
        <v>0</v>
      </c>
      <c r="M24" s="126">
        <v>0</v>
      </c>
      <c r="N24" s="126">
        <v>60</v>
      </c>
      <c r="O24" s="126">
        <v>0</v>
      </c>
      <c r="P24" s="126">
        <v>0</v>
      </c>
      <c r="Q24" s="126">
        <v>0</v>
      </c>
      <c r="R24" s="126">
        <v>0</v>
      </c>
      <c r="S24" s="126">
        <v>0</v>
      </c>
      <c r="T24" s="126">
        <v>0</v>
      </c>
    </row>
    <row r="25" spans="3:20" ht="23.1" customHeight="1">
      <c r="C25" s="126">
        <v>197</v>
      </c>
      <c r="D25" s="141" t="s">
        <v>652</v>
      </c>
      <c r="E25" s="163" t="s">
        <v>653</v>
      </c>
      <c r="H25" s="126">
        <v>4</v>
      </c>
      <c r="I25" s="126">
        <v>0</v>
      </c>
      <c r="J25" s="126">
        <v>68</v>
      </c>
      <c r="K25" s="126">
        <v>0</v>
      </c>
      <c r="L25" s="126">
        <v>0</v>
      </c>
      <c r="M25" s="126">
        <v>0</v>
      </c>
      <c r="N25" s="126">
        <v>72</v>
      </c>
      <c r="O25" s="126">
        <v>0</v>
      </c>
      <c r="P25" s="126">
        <v>0</v>
      </c>
      <c r="Q25" s="126">
        <v>0</v>
      </c>
      <c r="R25" s="126">
        <v>0</v>
      </c>
      <c r="S25" s="126">
        <v>0</v>
      </c>
      <c r="T25" s="126">
        <v>0</v>
      </c>
    </row>
    <row r="26" spans="3:20" ht="23.1" customHeight="1">
      <c r="C26" s="126">
        <v>17</v>
      </c>
      <c r="D26" s="141" t="s">
        <v>662</v>
      </c>
      <c r="E26" s="163" t="s">
        <v>663</v>
      </c>
      <c r="H26" s="126">
        <v>15</v>
      </c>
      <c r="I26" s="126">
        <v>0</v>
      </c>
      <c r="J26" s="126">
        <v>5</v>
      </c>
      <c r="K26" s="126">
        <v>0</v>
      </c>
      <c r="L26" s="126">
        <v>0</v>
      </c>
      <c r="M26" s="126">
        <v>0</v>
      </c>
      <c r="N26" s="126">
        <v>20</v>
      </c>
      <c r="O26" s="126">
        <v>0</v>
      </c>
      <c r="P26" s="126">
        <v>0</v>
      </c>
      <c r="Q26" s="126">
        <v>0</v>
      </c>
      <c r="R26" s="126">
        <v>0</v>
      </c>
      <c r="S26" s="126">
        <v>0</v>
      </c>
      <c r="T26" s="126">
        <v>0</v>
      </c>
    </row>
    <row r="27" spans="3:20" ht="23.1" customHeight="1">
      <c r="C27" s="126">
        <v>155</v>
      </c>
      <c r="D27" s="141" t="s">
        <v>667</v>
      </c>
      <c r="E27" s="163" t="s">
        <v>668</v>
      </c>
      <c r="H27" s="126">
        <v>0</v>
      </c>
      <c r="I27" s="126">
        <v>0</v>
      </c>
      <c r="J27" s="126">
        <v>3</v>
      </c>
      <c r="K27" s="126">
        <v>0</v>
      </c>
      <c r="L27" s="126">
        <v>0</v>
      </c>
      <c r="M27" s="126">
        <v>0</v>
      </c>
      <c r="N27" s="126">
        <v>3</v>
      </c>
      <c r="O27" s="126">
        <v>0</v>
      </c>
      <c r="P27" s="126">
        <v>0</v>
      </c>
      <c r="Q27" s="126">
        <v>0</v>
      </c>
      <c r="R27" s="126">
        <v>0</v>
      </c>
      <c r="S27" s="126">
        <v>0</v>
      </c>
      <c r="T27" s="126">
        <v>0</v>
      </c>
    </row>
    <row r="28" spans="3:20" ht="23.1" customHeight="1">
      <c r="C28" s="126">
        <v>1</v>
      </c>
      <c r="D28" s="141" t="s">
        <v>677</v>
      </c>
      <c r="E28" s="163" t="s">
        <v>678</v>
      </c>
      <c r="H28" s="126">
        <v>2</v>
      </c>
      <c r="I28" s="126">
        <v>0</v>
      </c>
      <c r="J28" s="126">
        <v>2</v>
      </c>
      <c r="K28" s="126">
        <v>0</v>
      </c>
      <c r="L28" s="126">
        <v>0</v>
      </c>
      <c r="M28" s="126">
        <v>0</v>
      </c>
      <c r="N28" s="126">
        <v>4</v>
      </c>
      <c r="O28" s="126">
        <v>0</v>
      </c>
      <c r="P28" s="126">
        <v>0</v>
      </c>
      <c r="Q28" s="126">
        <v>0</v>
      </c>
      <c r="R28" s="126">
        <v>0</v>
      </c>
      <c r="S28" s="126">
        <v>0</v>
      </c>
      <c r="T28" s="126">
        <v>0</v>
      </c>
    </row>
    <row r="29" spans="3:20" ht="23.1" customHeight="1">
      <c r="C29" s="126">
        <v>2</v>
      </c>
      <c r="D29" s="141" t="s">
        <v>682</v>
      </c>
      <c r="E29" s="163" t="s">
        <v>683</v>
      </c>
      <c r="H29" s="126">
        <v>3</v>
      </c>
      <c r="I29" s="126">
        <v>0</v>
      </c>
      <c r="J29" s="126">
        <v>2</v>
      </c>
      <c r="K29" s="126">
        <v>0</v>
      </c>
      <c r="L29" s="126">
        <v>0</v>
      </c>
      <c r="M29" s="126">
        <v>0</v>
      </c>
      <c r="N29" s="126">
        <v>5</v>
      </c>
      <c r="O29" s="126">
        <v>0</v>
      </c>
      <c r="P29" s="126">
        <v>0</v>
      </c>
      <c r="Q29" s="126">
        <v>0</v>
      </c>
      <c r="R29" s="126">
        <v>0</v>
      </c>
      <c r="S29" s="126">
        <v>0</v>
      </c>
      <c r="T29" s="126">
        <v>0</v>
      </c>
    </row>
    <row r="30" spans="3:20" ht="23.1" customHeight="1">
      <c r="C30" s="126">
        <v>5</v>
      </c>
      <c r="D30" s="141" t="s">
        <v>686</v>
      </c>
      <c r="E30" s="163" t="s">
        <v>687</v>
      </c>
      <c r="H30" s="126">
        <v>5</v>
      </c>
      <c r="I30" s="126">
        <v>0</v>
      </c>
      <c r="J30" s="126">
        <v>1</v>
      </c>
      <c r="K30" s="126">
        <v>0</v>
      </c>
      <c r="L30" s="126">
        <v>0</v>
      </c>
      <c r="M30" s="126">
        <v>0</v>
      </c>
      <c r="N30" s="126">
        <v>6</v>
      </c>
      <c r="O30" s="126">
        <v>0</v>
      </c>
      <c r="P30" s="126">
        <v>0</v>
      </c>
      <c r="Q30" s="126">
        <v>0</v>
      </c>
      <c r="R30" s="126">
        <v>0</v>
      </c>
      <c r="S30" s="126">
        <v>0</v>
      </c>
      <c r="T30" s="126">
        <v>0</v>
      </c>
    </row>
    <row r="31" spans="3:20" ht="23.1" customHeight="1">
      <c r="C31" s="126">
        <v>11</v>
      </c>
      <c r="D31" s="141" t="s">
        <v>690</v>
      </c>
      <c r="E31" s="163" t="s">
        <v>691</v>
      </c>
      <c r="H31" s="126">
        <v>3</v>
      </c>
      <c r="I31" s="126">
        <v>0</v>
      </c>
      <c r="J31" s="126">
        <v>13</v>
      </c>
      <c r="K31" s="126">
        <v>0</v>
      </c>
      <c r="L31" s="126">
        <v>0</v>
      </c>
      <c r="M31" s="126">
        <v>0</v>
      </c>
      <c r="N31" s="126">
        <v>16</v>
      </c>
      <c r="O31" s="126">
        <v>0</v>
      </c>
      <c r="P31" s="126">
        <v>0</v>
      </c>
      <c r="Q31" s="126">
        <v>0</v>
      </c>
      <c r="R31" s="126">
        <v>0</v>
      </c>
      <c r="S31" s="126">
        <v>0</v>
      </c>
      <c r="T31" s="126">
        <v>0</v>
      </c>
    </row>
    <row r="32" spans="3:20" ht="23.1" customHeight="1">
      <c r="C32" s="126">
        <v>13</v>
      </c>
      <c r="D32" s="141" t="s">
        <v>693</v>
      </c>
      <c r="E32" s="163" t="s">
        <v>694</v>
      </c>
      <c r="H32" s="126">
        <v>7</v>
      </c>
      <c r="I32" s="126">
        <v>0</v>
      </c>
      <c r="J32" s="126">
        <v>1</v>
      </c>
      <c r="K32" s="126">
        <v>0</v>
      </c>
      <c r="L32" s="126">
        <v>0</v>
      </c>
      <c r="M32" s="126">
        <v>0</v>
      </c>
      <c r="N32" s="126">
        <v>8</v>
      </c>
      <c r="O32" s="126">
        <v>0</v>
      </c>
      <c r="P32" s="126">
        <v>0</v>
      </c>
      <c r="Q32" s="126">
        <v>0</v>
      </c>
      <c r="R32" s="126">
        <v>0</v>
      </c>
      <c r="S32" s="126">
        <v>0</v>
      </c>
      <c r="T32" s="126">
        <v>0</v>
      </c>
    </row>
    <row r="33" spans="3:20" ht="23.1" customHeight="1">
      <c r="C33" s="126">
        <v>14</v>
      </c>
      <c r="D33" s="141" t="s">
        <v>696</v>
      </c>
      <c r="E33" s="163" t="s">
        <v>697</v>
      </c>
      <c r="H33" s="126">
        <v>1</v>
      </c>
      <c r="I33" s="126">
        <v>0</v>
      </c>
      <c r="J33" s="126">
        <v>11</v>
      </c>
      <c r="K33" s="126">
        <v>0</v>
      </c>
      <c r="L33" s="126">
        <v>0</v>
      </c>
      <c r="M33" s="126">
        <v>0</v>
      </c>
      <c r="N33" s="126">
        <v>12</v>
      </c>
      <c r="O33" s="126">
        <v>0</v>
      </c>
      <c r="P33" s="126">
        <v>0</v>
      </c>
      <c r="Q33" s="126">
        <v>0</v>
      </c>
      <c r="R33" s="126">
        <v>0</v>
      </c>
      <c r="S33" s="126">
        <v>0</v>
      </c>
      <c r="T33" s="126">
        <v>0</v>
      </c>
    </row>
    <row r="34" spans="3:20" ht="23.1" customHeight="1">
      <c r="C34" s="126">
        <v>16</v>
      </c>
      <c r="D34" s="141" t="s">
        <v>699</v>
      </c>
      <c r="E34" s="163" t="s">
        <v>700</v>
      </c>
      <c r="H34" s="126">
        <v>15</v>
      </c>
      <c r="I34" s="126">
        <v>0</v>
      </c>
      <c r="J34" s="126">
        <v>30</v>
      </c>
      <c r="K34" s="126">
        <v>0</v>
      </c>
      <c r="L34" s="126">
        <v>0</v>
      </c>
      <c r="M34" s="126">
        <v>0</v>
      </c>
      <c r="N34" s="126">
        <v>45</v>
      </c>
      <c r="O34" s="126">
        <v>0</v>
      </c>
      <c r="P34" s="126">
        <v>0</v>
      </c>
      <c r="Q34" s="126">
        <v>0</v>
      </c>
      <c r="R34" s="126">
        <v>0</v>
      </c>
      <c r="S34" s="126">
        <v>0</v>
      </c>
      <c r="T34" s="126">
        <v>0</v>
      </c>
    </row>
    <row r="35" spans="3:20" ht="23.1" customHeight="1">
      <c r="C35" s="126">
        <v>18</v>
      </c>
      <c r="D35" s="141" t="s">
        <v>703</v>
      </c>
      <c r="E35" s="163" t="s">
        <v>704</v>
      </c>
      <c r="H35" s="126">
        <v>1</v>
      </c>
      <c r="I35" s="126">
        <v>0</v>
      </c>
      <c r="J35" s="126">
        <v>19</v>
      </c>
      <c r="K35" s="126">
        <v>0</v>
      </c>
      <c r="L35" s="126">
        <v>0</v>
      </c>
      <c r="M35" s="126">
        <v>0</v>
      </c>
      <c r="N35" s="126">
        <v>20</v>
      </c>
      <c r="O35" s="126">
        <v>0</v>
      </c>
      <c r="P35" s="126">
        <v>0</v>
      </c>
      <c r="Q35" s="126">
        <v>0</v>
      </c>
      <c r="R35" s="126">
        <v>0</v>
      </c>
      <c r="S35" s="126">
        <v>0</v>
      </c>
      <c r="T35" s="126">
        <v>0</v>
      </c>
    </row>
    <row r="36" spans="3:20" ht="23.1" customHeight="1">
      <c r="C36" s="126">
        <v>19</v>
      </c>
      <c r="D36" s="141" t="s">
        <v>706</v>
      </c>
      <c r="E36" s="163" t="s">
        <v>707</v>
      </c>
      <c r="H36" s="126">
        <v>1</v>
      </c>
      <c r="I36" s="126">
        <v>0</v>
      </c>
      <c r="J36" s="126">
        <v>4</v>
      </c>
      <c r="K36" s="126">
        <v>0</v>
      </c>
      <c r="L36" s="126">
        <v>0</v>
      </c>
      <c r="M36" s="126">
        <v>0</v>
      </c>
      <c r="N36" s="126">
        <v>5</v>
      </c>
      <c r="O36" s="126">
        <v>0</v>
      </c>
      <c r="P36" s="126">
        <v>0</v>
      </c>
      <c r="Q36" s="126">
        <v>0</v>
      </c>
      <c r="R36" s="126">
        <v>0</v>
      </c>
      <c r="S36" s="126">
        <v>0</v>
      </c>
      <c r="T36" s="126">
        <v>0</v>
      </c>
    </row>
    <row r="37" spans="3:20" ht="23.1" customHeight="1">
      <c r="C37" s="126">
        <v>20</v>
      </c>
      <c r="D37" s="141" t="s">
        <v>709</v>
      </c>
      <c r="E37" s="163" t="s">
        <v>710</v>
      </c>
      <c r="H37" s="126">
        <v>7</v>
      </c>
      <c r="I37" s="126">
        <v>0</v>
      </c>
      <c r="J37" s="126">
        <v>10</v>
      </c>
      <c r="K37" s="126">
        <v>0</v>
      </c>
      <c r="L37" s="126">
        <v>0</v>
      </c>
      <c r="M37" s="126">
        <v>0</v>
      </c>
      <c r="N37" s="126">
        <v>17</v>
      </c>
      <c r="O37" s="126">
        <v>0</v>
      </c>
      <c r="P37" s="126">
        <v>0</v>
      </c>
      <c r="Q37" s="126">
        <v>0</v>
      </c>
      <c r="R37" s="126">
        <v>0</v>
      </c>
      <c r="S37" s="126">
        <v>0</v>
      </c>
      <c r="T37" s="126">
        <v>0</v>
      </c>
    </row>
    <row r="38" spans="3:20" ht="23.1" customHeight="1">
      <c r="C38" s="126">
        <v>26</v>
      </c>
      <c r="D38" s="141" t="s">
        <v>715</v>
      </c>
      <c r="E38" s="163" t="s">
        <v>716</v>
      </c>
      <c r="H38" s="126">
        <v>1</v>
      </c>
      <c r="I38" s="126">
        <v>0</v>
      </c>
      <c r="J38" s="126">
        <v>4</v>
      </c>
      <c r="K38" s="126">
        <v>0</v>
      </c>
      <c r="L38" s="126">
        <v>0</v>
      </c>
      <c r="M38" s="126">
        <v>0</v>
      </c>
      <c r="N38" s="126">
        <v>5</v>
      </c>
      <c r="O38" s="126">
        <v>0</v>
      </c>
      <c r="P38" s="126">
        <v>0</v>
      </c>
      <c r="Q38" s="126">
        <v>0</v>
      </c>
      <c r="R38" s="126">
        <v>0</v>
      </c>
      <c r="S38" s="126">
        <v>0</v>
      </c>
      <c r="T38" s="126">
        <v>0</v>
      </c>
    </row>
    <row r="39" spans="3:20" ht="23.1" customHeight="1">
      <c r="C39" s="126">
        <v>101</v>
      </c>
      <c r="D39" s="141" t="s">
        <v>718</v>
      </c>
      <c r="E39" s="163" t="s">
        <v>719</v>
      </c>
      <c r="H39" s="126">
        <v>21980</v>
      </c>
      <c r="I39" s="126">
        <v>0</v>
      </c>
      <c r="J39" s="126">
        <v>520</v>
      </c>
      <c r="K39" s="126">
        <v>0</v>
      </c>
      <c r="L39" s="126">
        <v>0</v>
      </c>
      <c r="M39" s="126">
        <v>0</v>
      </c>
      <c r="N39" s="126">
        <v>22500</v>
      </c>
      <c r="O39" s="126">
        <v>0</v>
      </c>
      <c r="P39" s="126">
        <v>0</v>
      </c>
      <c r="Q39" s="126">
        <v>0</v>
      </c>
      <c r="R39" s="126">
        <v>0</v>
      </c>
      <c r="S39" s="126">
        <v>0</v>
      </c>
      <c r="T39" s="126">
        <v>0</v>
      </c>
    </row>
    <row r="40" spans="3:20" ht="23.1" customHeight="1">
      <c r="C40" s="126">
        <v>102</v>
      </c>
      <c r="D40" s="141" t="s">
        <v>722</v>
      </c>
      <c r="E40" s="163" t="s">
        <v>723</v>
      </c>
      <c r="H40" s="126">
        <v>0</v>
      </c>
      <c r="I40" s="126">
        <v>0</v>
      </c>
      <c r="J40" s="126">
        <v>4</v>
      </c>
      <c r="K40" s="126">
        <v>0</v>
      </c>
      <c r="L40" s="126">
        <v>0</v>
      </c>
      <c r="M40" s="126">
        <v>0</v>
      </c>
      <c r="N40" s="126">
        <v>4</v>
      </c>
      <c r="O40" s="126">
        <v>0</v>
      </c>
      <c r="P40" s="126">
        <v>0</v>
      </c>
      <c r="Q40" s="126">
        <v>0</v>
      </c>
      <c r="R40" s="126">
        <v>0</v>
      </c>
      <c r="S40" s="126">
        <v>0</v>
      </c>
      <c r="T40" s="126">
        <v>0</v>
      </c>
    </row>
    <row r="41" spans="3:20" ht="23.1" customHeight="1">
      <c r="C41" s="126">
        <v>125</v>
      </c>
      <c r="D41" s="141" t="s">
        <v>726</v>
      </c>
      <c r="E41" s="163" t="s">
        <v>727</v>
      </c>
      <c r="H41" s="126">
        <v>700</v>
      </c>
      <c r="I41" s="126">
        <v>0</v>
      </c>
      <c r="J41" s="126">
        <v>0</v>
      </c>
      <c r="K41" s="126">
        <v>0</v>
      </c>
      <c r="L41" s="126">
        <v>0</v>
      </c>
      <c r="M41" s="126">
        <v>0</v>
      </c>
      <c r="N41" s="126">
        <v>700</v>
      </c>
      <c r="O41" s="126">
        <v>0</v>
      </c>
      <c r="P41" s="126">
        <v>0</v>
      </c>
      <c r="Q41" s="126">
        <v>0</v>
      </c>
      <c r="R41" s="126">
        <v>0</v>
      </c>
      <c r="S41" s="126">
        <v>0</v>
      </c>
      <c r="T41" s="126">
        <v>0</v>
      </c>
    </row>
    <row r="42" spans="3:20" ht="23.1" customHeight="1">
      <c r="C42" s="126">
        <v>152</v>
      </c>
      <c r="D42" s="141" t="s">
        <v>730</v>
      </c>
      <c r="E42" s="163" t="s">
        <v>731</v>
      </c>
      <c r="H42" s="126">
        <v>3</v>
      </c>
      <c r="I42" s="126">
        <v>0</v>
      </c>
      <c r="J42" s="126">
        <v>0</v>
      </c>
      <c r="K42" s="126">
        <v>0</v>
      </c>
      <c r="L42" s="126">
        <v>0</v>
      </c>
      <c r="M42" s="126">
        <v>0</v>
      </c>
      <c r="N42" s="126">
        <v>3</v>
      </c>
      <c r="O42" s="126">
        <v>0</v>
      </c>
      <c r="P42" s="126">
        <v>0</v>
      </c>
      <c r="Q42" s="126">
        <v>0</v>
      </c>
      <c r="R42" s="126">
        <v>0</v>
      </c>
      <c r="S42" s="126">
        <v>0</v>
      </c>
      <c r="T42" s="126">
        <v>0</v>
      </c>
    </row>
    <row r="43" spans="3:20" ht="23.1" customHeight="1">
      <c r="C43" s="126">
        <v>156</v>
      </c>
      <c r="D43" s="141" t="s">
        <v>735</v>
      </c>
      <c r="E43" s="163" t="s">
        <v>736</v>
      </c>
      <c r="H43" s="126">
        <v>2</v>
      </c>
      <c r="I43" s="126">
        <v>0</v>
      </c>
      <c r="J43" s="126">
        <v>7</v>
      </c>
      <c r="K43" s="126">
        <v>0</v>
      </c>
      <c r="L43" s="126">
        <v>0</v>
      </c>
      <c r="M43" s="126">
        <v>0</v>
      </c>
      <c r="N43" s="126">
        <v>9</v>
      </c>
      <c r="O43" s="126">
        <v>0</v>
      </c>
      <c r="P43" s="126">
        <v>0</v>
      </c>
      <c r="Q43" s="126">
        <v>0</v>
      </c>
      <c r="R43" s="126">
        <v>0</v>
      </c>
      <c r="S43" s="126">
        <v>0</v>
      </c>
      <c r="T43" s="126">
        <v>0</v>
      </c>
    </row>
    <row r="44" spans="3:20" ht="23.1" customHeight="1">
      <c r="C44" s="126">
        <v>160</v>
      </c>
      <c r="D44" s="141" t="s">
        <v>738</v>
      </c>
      <c r="E44" s="163" t="s">
        <v>739</v>
      </c>
      <c r="H44" s="126">
        <v>4</v>
      </c>
      <c r="I44" s="126">
        <v>0</v>
      </c>
      <c r="J44" s="126">
        <v>6</v>
      </c>
      <c r="K44" s="126">
        <v>0</v>
      </c>
      <c r="L44" s="126">
        <v>0</v>
      </c>
      <c r="M44" s="126">
        <v>0</v>
      </c>
      <c r="N44" s="126">
        <v>10</v>
      </c>
      <c r="O44" s="126">
        <v>0</v>
      </c>
      <c r="P44" s="126">
        <v>0</v>
      </c>
      <c r="Q44" s="126">
        <v>0</v>
      </c>
      <c r="R44" s="126">
        <v>0</v>
      </c>
      <c r="S44" s="126">
        <v>0</v>
      </c>
      <c r="T44" s="126">
        <v>0</v>
      </c>
    </row>
    <row r="45" spans="3:20" ht="23.1" customHeight="1">
      <c r="C45" s="126">
        <v>162</v>
      </c>
      <c r="D45" s="141" t="s">
        <v>741</v>
      </c>
      <c r="E45" s="163" t="s">
        <v>742</v>
      </c>
      <c r="H45" s="126">
        <v>0</v>
      </c>
      <c r="I45" s="126">
        <v>0</v>
      </c>
      <c r="J45" s="126">
        <v>2</v>
      </c>
      <c r="K45" s="126">
        <v>0</v>
      </c>
      <c r="L45" s="126">
        <v>0</v>
      </c>
      <c r="M45" s="126">
        <v>0</v>
      </c>
      <c r="N45" s="126">
        <v>2</v>
      </c>
      <c r="O45" s="126">
        <v>0</v>
      </c>
      <c r="P45" s="126">
        <v>0</v>
      </c>
      <c r="Q45" s="126">
        <v>0</v>
      </c>
      <c r="R45" s="126">
        <v>0</v>
      </c>
      <c r="S45" s="126">
        <v>0</v>
      </c>
      <c r="T45" s="126">
        <v>0</v>
      </c>
    </row>
    <row r="46" spans="3:20" ht="23.1" customHeight="1">
      <c r="C46" s="126">
        <v>163</v>
      </c>
      <c r="D46" s="141" t="s">
        <v>745</v>
      </c>
      <c r="E46" s="163" t="s">
        <v>746</v>
      </c>
      <c r="H46" s="126">
        <v>2</v>
      </c>
      <c r="I46" s="126">
        <v>0</v>
      </c>
      <c r="J46" s="126">
        <v>4</v>
      </c>
      <c r="K46" s="126">
        <v>0</v>
      </c>
      <c r="L46" s="126">
        <v>0</v>
      </c>
      <c r="M46" s="126">
        <v>0</v>
      </c>
      <c r="N46" s="126">
        <v>6</v>
      </c>
      <c r="O46" s="126">
        <v>0</v>
      </c>
      <c r="P46" s="126">
        <v>0</v>
      </c>
      <c r="Q46" s="126">
        <v>0</v>
      </c>
      <c r="R46" s="126">
        <v>0</v>
      </c>
      <c r="S46" s="126">
        <v>0</v>
      </c>
      <c r="T46" s="126">
        <v>0</v>
      </c>
    </row>
    <row r="47" spans="3:20" ht="23.1" customHeight="1">
      <c r="C47" s="126">
        <v>176</v>
      </c>
      <c r="D47" s="141" t="s">
        <v>748</v>
      </c>
      <c r="E47" s="163" t="s">
        <v>749</v>
      </c>
      <c r="H47" s="126">
        <v>1200</v>
      </c>
      <c r="I47" s="126">
        <v>0</v>
      </c>
      <c r="J47" s="126">
        <v>3800</v>
      </c>
      <c r="K47" s="126">
        <v>0</v>
      </c>
      <c r="L47" s="126">
        <v>0</v>
      </c>
      <c r="M47" s="126">
        <v>0</v>
      </c>
      <c r="N47" s="126">
        <v>5000</v>
      </c>
      <c r="O47" s="126">
        <v>0</v>
      </c>
      <c r="P47" s="126">
        <v>0</v>
      </c>
      <c r="Q47" s="126">
        <v>0</v>
      </c>
      <c r="R47" s="126">
        <v>0</v>
      </c>
      <c r="S47" s="126">
        <v>0</v>
      </c>
      <c r="T47" s="126">
        <v>0</v>
      </c>
    </row>
    <row r="48" spans="3:20" ht="23.1" customHeight="1">
      <c r="C48" s="126">
        <v>177</v>
      </c>
      <c r="D48" s="141" t="s">
        <v>752</v>
      </c>
      <c r="E48" s="163" t="s">
        <v>753</v>
      </c>
      <c r="H48" s="126">
        <v>-300</v>
      </c>
      <c r="I48" s="126">
        <v>0</v>
      </c>
      <c r="J48" s="126">
        <v>12300</v>
      </c>
      <c r="K48" s="126">
        <v>0</v>
      </c>
      <c r="L48" s="126">
        <v>0</v>
      </c>
      <c r="M48" s="126">
        <v>0</v>
      </c>
      <c r="N48" s="126">
        <v>12000</v>
      </c>
      <c r="O48" s="126">
        <v>0</v>
      </c>
      <c r="P48" s="126">
        <v>0</v>
      </c>
      <c r="Q48" s="126">
        <v>0</v>
      </c>
      <c r="R48" s="126">
        <v>0</v>
      </c>
      <c r="S48" s="126">
        <v>0</v>
      </c>
      <c r="T48" s="126">
        <v>0</v>
      </c>
    </row>
    <row r="49" spans="3:20" ht="23.1" customHeight="1">
      <c r="C49" s="126">
        <v>178</v>
      </c>
      <c r="D49" s="141" t="s">
        <v>755</v>
      </c>
      <c r="E49" s="163" t="s">
        <v>756</v>
      </c>
      <c r="H49" s="126">
        <v>1150</v>
      </c>
      <c r="I49" s="126">
        <v>0</v>
      </c>
      <c r="J49" s="126">
        <v>4850</v>
      </c>
      <c r="K49" s="126">
        <v>0</v>
      </c>
      <c r="L49" s="126">
        <v>0</v>
      </c>
      <c r="M49" s="126">
        <v>0</v>
      </c>
      <c r="N49" s="126">
        <v>6000</v>
      </c>
      <c r="O49" s="126">
        <v>0</v>
      </c>
      <c r="P49" s="126">
        <v>0</v>
      </c>
      <c r="Q49" s="126">
        <v>0</v>
      </c>
      <c r="R49" s="126">
        <v>0</v>
      </c>
      <c r="S49" s="126">
        <v>0</v>
      </c>
      <c r="T49" s="126">
        <v>0</v>
      </c>
    </row>
    <row r="50" spans="3:20" ht="23.1" customHeight="1">
      <c r="C50" s="126">
        <v>181</v>
      </c>
      <c r="D50" s="141" t="s">
        <v>761</v>
      </c>
      <c r="E50" s="163" t="s">
        <v>762</v>
      </c>
      <c r="H50" s="126">
        <v>168</v>
      </c>
      <c r="I50" s="126">
        <v>0</v>
      </c>
      <c r="J50" s="126">
        <v>348</v>
      </c>
      <c r="K50" s="126">
        <v>0</v>
      </c>
      <c r="L50" s="126">
        <v>0</v>
      </c>
      <c r="M50" s="126">
        <v>0</v>
      </c>
      <c r="N50" s="126">
        <v>516</v>
      </c>
      <c r="O50" s="126">
        <v>0</v>
      </c>
      <c r="P50" s="126">
        <v>0</v>
      </c>
      <c r="Q50" s="126">
        <v>0</v>
      </c>
      <c r="R50" s="126">
        <v>0</v>
      </c>
      <c r="S50" s="126">
        <v>0</v>
      </c>
      <c r="T50" s="126">
        <v>0</v>
      </c>
    </row>
    <row r="51" spans="3:20" ht="23.1" customHeight="1">
      <c r="C51" s="126">
        <v>183</v>
      </c>
      <c r="D51" s="141" t="s">
        <v>766</v>
      </c>
      <c r="E51" s="163" t="s">
        <v>767</v>
      </c>
      <c r="H51" s="126">
        <v>420</v>
      </c>
      <c r="I51" s="126">
        <v>0</v>
      </c>
      <c r="J51" s="126">
        <v>660</v>
      </c>
      <c r="K51" s="126">
        <v>0</v>
      </c>
      <c r="L51" s="126">
        <v>0</v>
      </c>
      <c r="M51" s="126">
        <v>0</v>
      </c>
      <c r="N51" s="126">
        <v>1080</v>
      </c>
      <c r="O51" s="126">
        <v>0</v>
      </c>
      <c r="P51" s="126">
        <v>0</v>
      </c>
      <c r="Q51" s="126">
        <v>0</v>
      </c>
      <c r="R51" s="126">
        <v>0</v>
      </c>
      <c r="S51" s="126">
        <v>0</v>
      </c>
      <c r="T51" s="126">
        <v>0</v>
      </c>
    </row>
    <row r="52" spans="3:20" ht="23.1" customHeight="1">
      <c r="C52" s="126">
        <v>184</v>
      </c>
      <c r="D52" s="141" t="s">
        <v>769</v>
      </c>
      <c r="E52" s="163" t="s">
        <v>770</v>
      </c>
      <c r="H52" s="126">
        <v>96</v>
      </c>
      <c r="I52" s="126">
        <v>0</v>
      </c>
      <c r="J52" s="126">
        <v>264</v>
      </c>
      <c r="K52" s="126">
        <v>0</v>
      </c>
      <c r="L52" s="126">
        <v>0</v>
      </c>
      <c r="M52" s="126">
        <v>0</v>
      </c>
      <c r="N52" s="126">
        <v>360</v>
      </c>
      <c r="O52" s="126">
        <v>0</v>
      </c>
      <c r="P52" s="126">
        <v>0</v>
      </c>
      <c r="Q52" s="126">
        <v>0</v>
      </c>
      <c r="R52" s="126">
        <v>0</v>
      </c>
      <c r="S52" s="126">
        <v>0</v>
      </c>
      <c r="T52" s="126">
        <v>0</v>
      </c>
    </row>
    <row r="53" spans="3:20" ht="23.1" customHeight="1">
      <c r="C53" s="126">
        <v>185</v>
      </c>
      <c r="D53" s="141" t="s">
        <v>772</v>
      </c>
      <c r="E53" s="163" t="s">
        <v>773</v>
      </c>
      <c r="H53" s="126">
        <v>12</v>
      </c>
      <c r="I53" s="126">
        <v>0</v>
      </c>
      <c r="J53" s="126">
        <v>72</v>
      </c>
      <c r="K53" s="126">
        <v>0</v>
      </c>
      <c r="L53" s="126">
        <v>0</v>
      </c>
      <c r="M53" s="126">
        <v>0</v>
      </c>
      <c r="N53" s="126">
        <v>84</v>
      </c>
      <c r="O53" s="126">
        <v>0</v>
      </c>
      <c r="P53" s="126">
        <v>0</v>
      </c>
      <c r="Q53" s="126">
        <v>0</v>
      </c>
      <c r="R53" s="126">
        <v>0</v>
      </c>
      <c r="S53" s="126">
        <v>0</v>
      </c>
      <c r="T53" s="126">
        <v>0</v>
      </c>
    </row>
    <row r="54" spans="3:20" ht="23.1" customHeight="1">
      <c r="C54" s="126">
        <v>189</v>
      </c>
      <c r="D54" s="141" t="s">
        <v>778</v>
      </c>
      <c r="E54" s="163" t="s">
        <v>779</v>
      </c>
      <c r="H54" s="126">
        <v>64</v>
      </c>
      <c r="I54" s="126">
        <v>0</v>
      </c>
      <c r="J54" s="126">
        <v>116</v>
      </c>
      <c r="K54" s="126">
        <v>0</v>
      </c>
      <c r="L54" s="126">
        <v>0</v>
      </c>
      <c r="M54" s="126">
        <v>0</v>
      </c>
      <c r="N54" s="126">
        <v>180</v>
      </c>
      <c r="O54" s="126">
        <v>0</v>
      </c>
      <c r="P54" s="126">
        <v>0</v>
      </c>
      <c r="Q54" s="126">
        <v>0</v>
      </c>
      <c r="R54" s="126">
        <v>0</v>
      </c>
      <c r="S54" s="126">
        <v>0</v>
      </c>
      <c r="T54" s="126">
        <v>0</v>
      </c>
    </row>
    <row r="55" spans="3:20" ht="23.1" customHeight="1">
      <c r="C55" s="126">
        <v>191</v>
      </c>
      <c r="D55" s="141" t="s">
        <v>781</v>
      </c>
      <c r="E55" s="163" t="s">
        <v>782</v>
      </c>
      <c r="H55" s="126">
        <v>8</v>
      </c>
      <c r="I55" s="126">
        <v>0</v>
      </c>
      <c r="J55" s="126">
        <v>56</v>
      </c>
      <c r="K55" s="126">
        <v>0</v>
      </c>
      <c r="L55" s="126">
        <v>0</v>
      </c>
      <c r="M55" s="126">
        <v>0</v>
      </c>
      <c r="N55" s="126">
        <v>64</v>
      </c>
      <c r="O55" s="126">
        <v>0</v>
      </c>
      <c r="P55" s="126">
        <v>0</v>
      </c>
      <c r="Q55" s="126">
        <v>0</v>
      </c>
      <c r="R55" s="126">
        <v>0</v>
      </c>
      <c r="S55" s="126">
        <v>0</v>
      </c>
      <c r="T55" s="126">
        <v>0</v>
      </c>
    </row>
    <row r="56" spans="3:20" ht="23.1" customHeight="1">
      <c r="C56" s="126">
        <v>193</v>
      </c>
      <c r="D56" s="141" t="s">
        <v>784</v>
      </c>
      <c r="E56" s="163" t="s">
        <v>785</v>
      </c>
      <c r="H56" s="126">
        <v>32</v>
      </c>
      <c r="I56" s="126">
        <v>0</v>
      </c>
      <c r="J56" s="126">
        <v>28</v>
      </c>
      <c r="K56" s="126">
        <v>0</v>
      </c>
      <c r="L56" s="126">
        <v>0</v>
      </c>
      <c r="M56" s="126">
        <v>0</v>
      </c>
      <c r="N56" s="126">
        <v>60</v>
      </c>
      <c r="O56" s="126">
        <v>0</v>
      </c>
      <c r="P56" s="126">
        <v>0</v>
      </c>
      <c r="Q56" s="126">
        <v>0</v>
      </c>
      <c r="R56" s="126">
        <v>0</v>
      </c>
      <c r="S56" s="126">
        <v>0</v>
      </c>
      <c r="T56" s="126">
        <v>0</v>
      </c>
    </row>
    <row r="57" spans="3:20" ht="23.1" customHeight="1">
      <c r="C57" s="126">
        <v>142</v>
      </c>
      <c r="D57" s="141" t="s">
        <v>798</v>
      </c>
      <c r="E57" s="163" t="s">
        <v>799</v>
      </c>
      <c r="H57" s="126">
        <v>7</v>
      </c>
      <c r="I57" s="126">
        <v>0</v>
      </c>
      <c r="J57" s="126">
        <v>7</v>
      </c>
      <c r="K57" s="126">
        <v>0</v>
      </c>
      <c r="L57" s="126">
        <v>0</v>
      </c>
      <c r="M57" s="126">
        <v>0</v>
      </c>
      <c r="N57" s="126">
        <v>14</v>
      </c>
      <c r="O57" s="126">
        <v>0</v>
      </c>
      <c r="P57" s="126">
        <v>0</v>
      </c>
      <c r="Q57" s="126">
        <v>0</v>
      </c>
      <c r="R57" s="126">
        <v>0</v>
      </c>
      <c r="S57" s="126">
        <v>0</v>
      </c>
      <c r="T57" s="126">
        <v>0</v>
      </c>
    </row>
    <row r="58" spans="3:20" ht="23.1" customHeight="1">
      <c r="C58" s="126">
        <v>50</v>
      </c>
      <c r="D58" s="141" t="s">
        <v>803</v>
      </c>
      <c r="E58" s="163" t="s">
        <v>804</v>
      </c>
      <c r="H58" s="126">
        <v>59</v>
      </c>
      <c r="I58" s="126">
        <v>0</v>
      </c>
      <c r="J58" s="126">
        <v>59</v>
      </c>
      <c r="K58" s="126">
        <v>0</v>
      </c>
      <c r="L58" s="126">
        <v>0</v>
      </c>
      <c r="M58" s="126">
        <v>0</v>
      </c>
      <c r="N58" s="126">
        <v>118</v>
      </c>
      <c r="O58" s="126">
        <v>0</v>
      </c>
      <c r="P58" s="126">
        <v>0</v>
      </c>
      <c r="Q58" s="126">
        <v>0</v>
      </c>
      <c r="R58" s="126">
        <v>0</v>
      </c>
      <c r="S58" s="126">
        <v>0</v>
      </c>
      <c r="T58" s="126">
        <v>0</v>
      </c>
    </row>
    <row r="59" spans="3:20" ht="23.1" customHeight="1">
      <c r="C59" s="126">
        <v>41</v>
      </c>
      <c r="D59" s="141" t="s">
        <v>808</v>
      </c>
      <c r="E59" s="163" t="s">
        <v>809</v>
      </c>
      <c r="H59" s="126">
        <v>8</v>
      </c>
      <c r="I59" s="126">
        <v>0</v>
      </c>
      <c r="J59" s="126">
        <v>8</v>
      </c>
      <c r="K59" s="126">
        <v>0</v>
      </c>
      <c r="L59" s="126">
        <v>0</v>
      </c>
      <c r="M59" s="126">
        <v>0</v>
      </c>
      <c r="N59" s="126">
        <v>16</v>
      </c>
      <c r="O59" s="126">
        <v>0</v>
      </c>
      <c r="P59" s="126">
        <v>0</v>
      </c>
      <c r="Q59" s="126">
        <v>0</v>
      </c>
      <c r="R59" s="126">
        <v>0</v>
      </c>
      <c r="S59" s="126">
        <v>0</v>
      </c>
      <c r="T59" s="126">
        <v>0</v>
      </c>
    </row>
    <row r="60" spans="3:20" ht="23.1" customHeight="1">
      <c r="C60" s="126">
        <v>49</v>
      </c>
      <c r="D60" s="141" t="s">
        <v>813</v>
      </c>
      <c r="E60" s="163" t="s">
        <v>814</v>
      </c>
      <c r="H60" s="126">
        <v>15</v>
      </c>
      <c r="I60" s="126">
        <v>0</v>
      </c>
      <c r="J60" s="126">
        <v>15</v>
      </c>
      <c r="K60" s="126">
        <v>0</v>
      </c>
      <c r="L60" s="126">
        <v>0</v>
      </c>
      <c r="M60" s="126">
        <v>0</v>
      </c>
      <c r="N60" s="126">
        <v>30</v>
      </c>
      <c r="O60" s="126">
        <v>0</v>
      </c>
      <c r="P60" s="126">
        <v>0</v>
      </c>
      <c r="Q60" s="126">
        <v>0</v>
      </c>
      <c r="R60" s="126">
        <v>0</v>
      </c>
      <c r="S60" s="126">
        <v>0</v>
      </c>
      <c r="T60" s="126">
        <v>0</v>
      </c>
    </row>
    <row r="61" spans="3:20" ht="23.1" customHeight="1">
      <c r="C61" s="126">
        <v>7</v>
      </c>
      <c r="D61" s="141" t="s">
        <v>818</v>
      </c>
      <c r="E61" s="163" t="s">
        <v>819</v>
      </c>
      <c r="H61" s="126">
        <v>9</v>
      </c>
      <c r="I61" s="126">
        <v>0</v>
      </c>
      <c r="J61" s="126">
        <v>9</v>
      </c>
      <c r="K61" s="126">
        <v>0</v>
      </c>
      <c r="L61" s="126">
        <v>0</v>
      </c>
      <c r="M61" s="126">
        <v>0</v>
      </c>
      <c r="N61" s="126">
        <v>18</v>
      </c>
      <c r="O61" s="126">
        <v>0</v>
      </c>
      <c r="P61" s="126">
        <v>0</v>
      </c>
      <c r="Q61" s="126">
        <v>0</v>
      </c>
      <c r="R61" s="126">
        <v>0</v>
      </c>
      <c r="S61" s="126">
        <v>0</v>
      </c>
      <c r="T61" s="126">
        <v>0</v>
      </c>
    </row>
    <row r="62" spans="3:20" ht="23.1" customHeight="1">
      <c r="C62" s="126">
        <v>145</v>
      </c>
      <c r="D62" s="141" t="s">
        <v>823</v>
      </c>
      <c r="E62" s="163" t="s">
        <v>824</v>
      </c>
      <c r="H62" s="126">
        <v>10</v>
      </c>
      <c r="I62" s="126">
        <v>0</v>
      </c>
      <c r="J62" s="126">
        <v>10</v>
      </c>
      <c r="K62" s="126">
        <v>0</v>
      </c>
      <c r="L62" s="126">
        <v>0</v>
      </c>
      <c r="M62" s="126">
        <v>0</v>
      </c>
      <c r="N62" s="126">
        <v>20</v>
      </c>
      <c r="O62" s="126">
        <v>0</v>
      </c>
      <c r="P62" s="126">
        <v>0</v>
      </c>
      <c r="Q62" s="126">
        <v>0</v>
      </c>
      <c r="R62" s="126">
        <v>0</v>
      </c>
      <c r="S62" s="126">
        <v>0</v>
      </c>
      <c r="T62" s="126">
        <v>0</v>
      </c>
    </row>
    <row r="63" spans="3:20" ht="23.1" customHeight="1">
      <c r="C63" s="126">
        <v>99</v>
      </c>
      <c r="D63" s="141" t="s">
        <v>883</v>
      </c>
      <c r="E63" s="163" t="s">
        <v>884</v>
      </c>
      <c r="H63" s="126">
        <v>5</v>
      </c>
      <c r="I63" s="126">
        <v>0</v>
      </c>
      <c r="J63" s="126">
        <v>5</v>
      </c>
      <c r="K63" s="126">
        <v>0</v>
      </c>
      <c r="L63" s="126">
        <v>0</v>
      </c>
      <c r="M63" s="126">
        <v>0</v>
      </c>
      <c r="N63" s="126">
        <v>10</v>
      </c>
      <c r="O63" s="126">
        <v>0</v>
      </c>
      <c r="P63" s="126">
        <v>0</v>
      </c>
      <c r="Q63" s="126">
        <v>0</v>
      </c>
      <c r="R63" s="126">
        <v>0</v>
      </c>
      <c r="S63" s="126">
        <v>0</v>
      </c>
      <c r="T63" s="126">
        <v>0</v>
      </c>
    </row>
    <row r="64" spans="3:20" ht="23.1" customHeight="1">
      <c r="C64" s="126">
        <v>70</v>
      </c>
      <c r="D64" s="141" t="s">
        <v>906</v>
      </c>
      <c r="E64" s="163" t="s">
        <v>907</v>
      </c>
      <c r="H64" s="126">
        <v>4</v>
      </c>
      <c r="I64" s="126">
        <v>0</v>
      </c>
      <c r="J64" s="126">
        <v>4</v>
      </c>
      <c r="K64" s="126">
        <v>0</v>
      </c>
      <c r="L64" s="126">
        <v>0</v>
      </c>
      <c r="M64" s="126">
        <v>0</v>
      </c>
      <c r="N64" s="126">
        <v>8</v>
      </c>
      <c r="O64" s="126">
        <v>0</v>
      </c>
      <c r="P64" s="126">
        <v>0</v>
      </c>
      <c r="Q64" s="126">
        <v>0</v>
      </c>
      <c r="R64" s="126">
        <v>0</v>
      </c>
      <c r="S64" s="126">
        <v>0</v>
      </c>
      <c r="T64" s="126">
        <v>0</v>
      </c>
    </row>
    <row r="65" spans="3:20" ht="23.1" customHeight="1">
      <c r="C65" s="126">
        <v>52</v>
      </c>
      <c r="D65" s="141" t="s">
        <v>933</v>
      </c>
      <c r="E65" s="163" t="s">
        <v>934</v>
      </c>
      <c r="H65" s="126">
        <v>11</v>
      </c>
      <c r="I65" s="126">
        <v>0</v>
      </c>
      <c r="J65" s="126">
        <v>11</v>
      </c>
      <c r="K65" s="126">
        <v>0</v>
      </c>
      <c r="L65" s="126">
        <v>0</v>
      </c>
      <c r="M65" s="126">
        <v>0</v>
      </c>
      <c r="N65" s="126">
        <v>22</v>
      </c>
      <c r="O65" s="126">
        <v>0</v>
      </c>
      <c r="P65" s="126">
        <v>0</v>
      </c>
      <c r="Q65" s="126">
        <v>0</v>
      </c>
      <c r="R65" s="126">
        <v>0</v>
      </c>
      <c r="S65" s="126">
        <v>0</v>
      </c>
      <c r="T65" s="126">
        <v>0</v>
      </c>
    </row>
    <row r="66" spans="3:20" ht="23.1" customHeight="1">
      <c r="C66" s="126">
        <v>42</v>
      </c>
      <c r="D66" s="141" t="s">
        <v>975</v>
      </c>
      <c r="E66" s="163" t="s">
        <v>976</v>
      </c>
      <c r="H66" s="126">
        <v>16</v>
      </c>
      <c r="I66" s="126">
        <v>0</v>
      </c>
      <c r="J66" s="126">
        <v>16</v>
      </c>
      <c r="K66" s="126">
        <v>0</v>
      </c>
      <c r="L66" s="126">
        <v>0</v>
      </c>
      <c r="M66" s="126">
        <v>0</v>
      </c>
      <c r="N66" s="126">
        <v>32</v>
      </c>
      <c r="O66" s="126">
        <v>0</v>
      </c>
      <c r="P66" s="126">
        <v>0</v>
      </c>
      <c r="Q66" s="126">
        <v>0</v>
      </c>
      <c r="R66" s="126">
        <v>0</v>
      </c>
      <c r="S66" s="126">
        <v>0</v>
      </c>
      <c r="T66" s="126">
        <v>0</v>
      </c>
    </row>
    <row r="67" spans="3:20" ht="23.1" customHeight="1">
      <c r="C67" s="126">
        <v>45</v>
      </c>
      <c r="D67" s="141" t="s">
        <v>980</v>
      </c>
      <c r="E67" s="163" t="s">
        <v>981</v>
      </c>
      <c r="H67" s="126">
        <v>15</v>
      </c>
      <c r="I67" s="126">
        <v>0</v>
      </c>
      <c r="J67" s="126">
        <v>15</v>
      </c>
      <c r="K67" s="126">
        <v>0</v>
      </c>
      <c r="L67" s="126">
        <v>0</v>
      </c>
      <c r="M67" s="126">
        <v>0</v>
      </c>
      <c r="N67" s="126">
        <v>30</v>
      </c>
      <c r="O67" s="126">
        <v>0</v>
      </c>
      <c r="P67" s="126">
        <v>0</v>
      </c>
      <c r="Q67" s="126">
        <v>0</v>
      </c>
      <c r="R67" s="126">
        <v>0</v>
      </c>
      <c r="S67" s="126">
        <v>0</v>
      </c>
      <c r="T67" s="126">
        <v>0</v>
      </c>
    </row>
    <row r="68" spans="3:20" ht="23.1" customHeight="1">
      <c r="C68" s="126">
        <v>144</v>
      </c>
      <c r="D68" s="141" t="s">
        <v>996</v>
      </c>
      <c r="E68" s="163" t="s">
        <v>997</v>
      </c>
      <c r="H68" s="126">
        <v>15</v>
      </c>
      <c r="I68" s="126">
        <v>0</v>
      </c>
      <c r="J68" s="126">
        <v>15</v>
      </c>
      <c r="K68" s="126">
        <v>0</v>
      </c>
      <c r="L68" s="126">
        <v>0</v>
      </c>
      <c r="M68" s="126">
        <v>0</v>
      </c>
      <c r="N68" s="126">
        <v>30</v>
      </c>
      <c r="O68" s="126">
        <v>0</v>
      </c>
      <c r="P68" s="126">
        <v>0</v>
      </c>
      <c r="Q68" s="126">
        <v>0</v>
      </c>
      <c r="R68" s="126">
        <v>0</v>
      </c>
      <c r="S68" s="126">
        <v>0</v>
      </c>
      <c r="T68" s="126">
        <v>0</v>
      </c>
    </row>
    <row r="69" spans="3:20" ht="23.1" customHeight="1">
      <c r="C69" s="126">
        <v>108</v>
      </c>
      <c r="D69" s="141" t="s">
        <v>1009</v>
      </c>
      <c r="E69" s="163" t="s">
        <v>1010</v>
      </c>
      <c r="H69" s="126">
        <v>22</v>
      </c>
      <c r="I69" s="126">
        <v>0</v>
      </c>
      <c r="J69" s="126">
        <v>22</v>
      </c>
      <c r="K69" s="126">
        <v>0</v>
      </c>
      <c r="L69" s="126">
        <v>0</v>
      </c>
      <c r="M69" s="126">
        <v>0</v>
      </c>
      <c r="N69" s="126">
        <v>44</v>
      </c>
      <c r="O69" s="126">
        <v>0</v>
      </c>
      <c r="P69" s="126">
        <v>0</v>
      </c>
      <c r="Q69" s="126">
        <v>0</v>
      </c>
      <c r="R69" s="126">
        <v>0</v>
      </c>
      <c r="S69" s="126">
        <v>0</v>
      </c>
      <c r="T69" s="126">
        <v>0</v>
      </c>
    </row>
    <row r="70" spans="3:20" ht="23.1" customHeight="1">
      <c r="C70" s="126">
        <v>103</v>
      </c>
      <c r="D70" s="141" t="s">
        <v>1024</v>
      </c>
      <c r="E70" s="163" t="s">
        <v>1025</v>
      </c>
      <c r="H70" s="126">
        <v>3</v>
      </c>
      <c r="I70" s="126">
        <v>0</v>
      </c>
      <c r="J70" s="126">
        <v>3</v>
      </c>
      <c r="K70" s="126">
        <v>0</v>
      </c>
      <c r="L70" s="126">
        <v>0</v>
      </c>
      <c r="M70" s="126">
        <v>0</v>
      </c>
      <c r="N70" s="126">
        <v>6</v>
      </c>
      <c r="O70" s="126">
        <v>0</v>
      </c>
      <c r="P70" s="126">
        <v>0</v>
      </c>
      <c r="Q70" s="126">
        <v>0</v>
      </c>
      <c r="R70" s="126">
        <v>0</v>
      </c>
      <c r="S70" s="126">
        <v>0</v>
      </c>
      <c r="T70" s="126">
        <v>0</v>
      </c>
    </row>
    <row r="71" spans="3:20" ht="23.1" customHeight="1">
      <c r="C71" s="126">
        <v>167</v>
      </c>
      <c r="D71" s="141" t="s">
        <v>1029</v>
      </c>
      <c r="E71" s="163" t="s">
        <v>1030</v>
      </c>
      <c r="H71" s="126">
        <v>9</v>
      </c>
      <c r="I71" s="126">
        <v>0</v>
      </c>
      <c r="J71" s="126">
        <v>9</v>
      </c>
      <c r="K71" s="126">
        <v>0</v>
      </c>
      <c r="L71" s="126">
        <v>0</v>
      </c>
      <c r="M71" s="126">
        <v>0</v>
      </c>
      <c r="N71" s="126">
        <v>18</v>
      </c>
      <c r="O71" s="126">
        <v>0</v>
      </c>
      <c r="P71" s="126">
        <v>0</v>
      </c>
      <c r="Q71" s="126">
        <v>0</v>
      </c>
      <c r="R71" s="126">
        <v>0</v>
      </c>
      <c r="S71" s="126">
        <v>0</v>
      </c>
      <c r="T71" s="126">
        <v>0</v>
      </c>
    </row>
    <row r="72" spans="3:20" ht="23.1" customHeight="1">
      <c r="C72" s="126">
        <v>63</v>
      </c>
      <c r="D72" s="141" t="s">
        <v>1037</v>
      </c>
      <c r="E72" s="163" t="s">
        <v>1038</v>
      </c>
      <c r="H72" s="126">
        <v>6</v>
      </c>
      <c r="I72" s="126">
        <v>0</v>
      </c>
      <c r="J72" s="126">
        <v>6</v>
      </c>
      <c r="K72" s="126">
        <v>0</v>
      </c>
      <c r="L72" s="126">
        <v>0</v>
      </c>
      <c r="M72" s="126">
        <v>0</v>
      </c>
      <c r="N72" s="126">
        <v>12</v>
      </c>
      <c r="O72" s="126">
        <v>0</v>
      </c>
      <c r="P72" s="126">
        <v>0</v>
      </c>
      <c r="Q72" s="126">
        <v>0</v>
      </c>
      <c r="R72" s="126">
        <v>0</v>
      </c>
      <c r="S72" s="126">
        <v>0</v>
      </c>
      <c r="T72" s="126">
        <v>0</v>
      </c>
    </row>
    <row r="73" spans="3:20" ht="23.1" customHeight="1">
      <c r="C73" s="126">
        <v>40</v>
      </c>
      <c r="D73" s="141" t="s">
        <v>1108</v>
      </c>
      <c r="E73" s="163" t="s">
        <v>1109</v>
      </c>
      <c r="H73" s="126">
        <v>2</v>
      </c>
      <c r="I73" s="126">
        <v>0</v>
      </c>
      <c r="J73" s="126">
        <v>2</v>
      </c>
      <c r="K73" s="126">
        <v>0</v>
      </c>
      <c r="L73" s="126">
        <v>0</v>
      </c>
      <c r="M73" s="126">
        <v>0</v>
      </c>
      <c r="N73" s="126">
        <v>4</v>
      </c>
      <c r="O73" s="126">
        <v>0</v>
      </c>
      <c r="P73" s="126">
        <v>0</v>
      </c>
      <c r="Q73" s="126">
        <v>0</v>
      </c>
      <c r="R73" s="126">
        <v>0</v>
      </c>
      <c r="S73" s="126">
        <v>0</v>
      </c>
      <c r="T73" s="126">
        <v>0</v>
      </c>
    </row>
    <row r="74" spans="3:20" ht="23.1" customHeight="1">
      <c r="C74" s="126">
        <v>38</v>
      </c>
      <c r="D74" s="141" t="s">
        <v>1113</v>
      </c>
      <c r="E74" s="163" t="s">
        <v>1114</v>
      </c>
      <c r="H74" s="126">
        <v>2</v>
      </c>
      <c r="I74" s="126">
        <v>0</v>
      </c>
      <c r="J74" s="126">
        <v>2</v>
      </c>
      <c r="K74" s="126">
        <v>0</v>
      </c>
      <c r="L74" s="126">
        <v>0</v>
      </c>
      <c r="M74" s="126">
        <v>0</v>
      </c>
      <c r="N74" s="126">
        <v>4</v>
      </c>
      <c r="O74" s="126">
        <v>0</v>
      </c>
      <c r="P74" s="126">
        <v>0</v>
      </c>
      <c r="Q74" s="126">
        <v>0</v>
      </c>
      <c r="R74" s="126">
        <v>0</v>
      </c>
      <c r="S74" s="126">
        <v>0</v>
      </c>
      <c r="T74" s="126">
        <v>0</v>
      </c>
    </row>
    <row r="75" spans="3:20" ht="23.1" customHeight="1">
      <c r="C75" s="126">
        <v>8</v>
      </c>
      <c r="D75" s="141" t="s">
        <v>1125</v>
      </c>
      <c r="E75" s="163" t="s">
        <v>1126</v>
      </c>
      <c r="H75" s="126">
        <v>7</v>
      </c>
      <c r="I75" s="126">
        <v>0</v>
      </c>
      <c r="J75" s="126">
        <v>7</v>
      </c>
      <c r="K75" s="126">
        <v>0</v>
      </c>
      <c r="L75" s="126">
        <v>0</v>
      </c>
      <c r="M75" s="126">
        <v>0</v>
      </c>
      <c r="N75" s="126">
        <v>14</v>
      </c>
      <c r="O75" s="126">
        <v>0</v>
      </c>
      <c r="P75" s="126">
        <v>0</v>
      </c>
      <c r="Q75" s="126">
        <v>0</v>
      </c>
      <c r="R75" s="126">
        <v>0</v>
      </c>
      <c r="S75" s="126">
        <v>0</v>
      </c>
      <c r="T75" s="126">
        <v>0</v>
      </c>
    </row>
    <row r="76" spans="3:20" ht="23.1" customHeight="1">
      <c r="C76" s="126">
        <v>76</v>
      </c>
      <c r="D76" s="141" t="s">
        <v>1133</v>
      </c>
      <c r="E76" s="163" t="s">
        <v>1134</v>
      </c>
      <c r="H76" s="126">
        <v>6</v>
      </c>
      <c r="I76" s="126">
        <v>0</v>
      </c>
      <c r="J76" s="126">
        <v>6</v>
      </c>
      <c r="K76" s="126">
        <v>0</v>
      </c>
      <c r="L76" s="126">
        <v>0</v>
      </c>
      <c r="M76" s="126">
        <v>0</v>
      </c>
      <c r="N76" s="126">
        <v>12</v>
      </c>
      <c r="O76" s="126">
        <v>0</v>
      </c>
      <c r="P76" s="126">
        <v>0</v>
      </c>
      <c r="Q76" s="126">
        <v>0</v>
      </c>
      <c r="R76" s="126">
        <v>0</v>
      </c>
      <c r="S76" s="126">
        <v>0</v>
      </c>
      <c r="T76" s="126">
        <v>0</v>
      </c>
    </row>
    <row r="77" spans="3:20" ht="23.1" customHeight="1">
      <c r="C77" s="126">
        <v>90</v>
      </c>
      <c r="D77" s="141" t="s">
        <v>1139</v>
      </c>
      <c r="E77" s="163" t="s">
        <v>1140</v>
      </c>
      <c r="H77" s="126">
        <v>8</v>
      </c>
      <c r="I77" s="126">
        <v>0</v>
      </c>
      <c r="J77" s="126">
        <v>8</v>
      </c>
      <c r="K77" s="126">
        <v>0</v>
      </c>
      <c r="L77" s="126">
        <v>0</v>
      </c>
      <c r="M77" s="126">
        <v>0</v>
      </c>
      <c r="N77" s="126">
        <v>16</v>
      </c>
      <c r="O77" s="126">
        <v>0</v>
      </c>
      <c r="P77" s="126">
        <v>0</v>
      </c>
      <c r="Q77" s="126">
        <v>0</v>
      </c>
      <c r="R77" s="126">
        <v>0</v>
      </c>
      <c r="S77" s="126">
        <v>0</v>
      </c>
      <c r="T77" s="126">
        <v>0</v>
      </c>
    </row>
    <row r="78" spans="3:20" ht="23.1" customHeight="1">
      <c r="C78" s="126">
        <v>39</v>
      </c>
      <c r="D78" s="141" t="s">
        <v>1144</v>
      </c>
      <c r="E78" s="163" t="s">
        <v>1145</v>
      </c>
      <c r="H78" s="126">
        <v>3</v>
      </c>
      <c r="I78" s="126">
        <v>0</v>
      </c>
      <c r="J78" s="126">
        <v>3</v>
      </c>
      <c r="K78" s="126">
        <v>0</v>
      </c>
      <c r="L78" s="126">
        <v>0</v>
      </c>
      <c r="M78" s="126">
        <v>0</v>
      </c>
      <c r="N78" s="126">
        <v>6</v>
      </c>
      <c r="O78" s="126">
        <v>0</v>
      </c>
      <c r="P78" s="126">
        <v>0</v>
      </c>
      <c r="Q78" s="126">
        <v>0</v>
      </c>
      <c r="R78" s="126">
        <v>0</v>
      </c>
      <c r="S78" s="126">
        <v>0</v>
      </c>
      <c r="T78" s="126">
        <v>0</v>
      </c>
    </row>
    <row r="79" spans="3:20" ht="23.1" customHeight="1">
      <c r="C79" s="126">
        <v>131</v>
      </c>
      <c r="D79" s="141" t="s">
        <v>1155</v>
      </c>
      <c r="E79" s="163" t="s">
        <v>1156</v>
      </c>
      <c r="H79" s="126">
        <v>1</v>
      </c>
      <c r="I79" s="126">
        <v>0</v>
      </c>
      <c r="J79" s="126">
        <v>1</v>
      </c>
      <c r="K79" s="126">
        <v>0</v>
      </c>
      <c r="L79" s="126">
        <v>0</v>
      </c>
      <c r="M79" s="126">
        <v>0</v>
      </c>
      <c r="N79" s="126">
        <v>2</v>
      </c>
      <c r="O79" s="126">
        <v>0</v>
      </c>
      <c r="P79" s="126">
        <v>0</v>
      </c>
      <c r="Q79" s="126">
        <v>0</v>
      </c>
      <c r="R79" s="126">
        <v>0</v>
      </c>
      <c r="S79" s="126">
        <v>0</v>
      </c>
      <c r="T79" s="126">
        <v>0</v>
      </c>
    </row>
    <row r="80" spans="3:20" ht="23.1" customHeight="1">
      <c r="C80" s="126">
        <v>198</v>
      </c>
      <c r="D80" s="141" t="s">
        <v>1170</v>
      </c>
      <c r="E80" s="163" t="s">
        <v>1171</v>
      </c>
      <c r="H80" s="126">
        <v>16</v>
      </c>
      <c r="I80" s="126">
        <v>0</v>
      </c>
      <c r="J80" s="126">
        <v>16</v>
      </c>
      <c r="K80" s="126">
        <v>0</v>
      </c>
      <c r="L80" s="126">
        <v>0</v>
      </c>
      <c r="M80" s="126">
        <v>0</v>
      </c>
      <c r="N80" s="126">
        <v>32</v>
      </c>
      <c r="O80" s="126">
        <v>0</v>
      </c>
      <c r="P80" s="126">
        <v>0</v>
      </c>
      <c r="Q80" s="126">
        <v>0</v>
      </c>
      <c r="R80" s="126">
        <v>0</v>
      </c>
      <c r="S80" s="126">
        <v>0</v>
      </c>
      <c r="T80" s="126">
        <v>0</v>
      </c>
    </row>
    <row r="81" spans="3:20" ht="23.1" customHeight="1">
      <c r="C81" s="126">
        <v>30</v>
      </c>
      <c r="D81" s="141" t="s">
        <v>1187</v>
      </c>
      <c r="E81" s="163" t="s">
        <v>1188</v>
      </c>
      <c r="H81" s="126">
        <v>3</v>
      </c>
      <c r="I81" s="126">
        <v>0</v>
      </c>
      <c r="J81" s="126">
        <v>3</v>
      </c>
      <c r="K81" s="126">
        <v>0</v>
      </c>
      <c r="L81" s="126">
        <v>0</v>
      </c>
      <c r="M81" s="126">
        <v>0</v>
      </c>
      <c r="N81" s="126">
        <v>6</v>
      </c>
      <c r="O81" s="126">
        <v>0</v>
      </c>
      <c r="P81" s="126">
        <v>0</v>
      </c>
      <c r="Q81" s="126">
        <v>0</v>
      </c>
      <c r="R81" s="126">
        <v>0</v>
      </c>
      <c r="S81" s="126">
        <v>0</v>
      </c>
      <c r="T81" s="126">
        <v>0</v>
      </c>
    </row>
    <row r="82" spans="3:20" ht="23.1" customHeight="1">
      <c r="C82" s="126">
        <v>34</v>
      </c>
      <c r="D82" s="141" t="s">
        <v>1193</v>
      </c>
      <c r="E82" s="163" t="s">
        <v>1194</v>
      </c>
      <c r="H82" s="126">
        <v>10</v>
      </c>
      <c r="I82" s="126">
        <v>0</v>
      </c>
      <c r="J82" s="126">
        <v>10</v>
      </c>
      <c r="K82" s="126">
        <v>0</v>
      </c>
      <c r="L82" s="126">
        <v>0</v>
      </c>
      <c r="M82" s="126">
        <v>0</v>
      </c>
      <c r="N82" s="126">
        <v>20</v>
      </c>
      <c r="O82" s="126">
        <v>0</v>
      </c>
      <c r="P82" s="126">
        <v>0</v>
      </c>
      <c r="Q82" s="126">
        <v>0</v>
      </c>
      <c r="R82" s="126">
        <v>0</v>
      </c>
      <c r="S82" s="126">
        <v>0</v>
      </c>
      <c r="T82" s="126">
        <v>0</v>
      </c>
    </row>
    <row r="83" spans="3:20" ht="23.1" customHeight="1">
      <c r="C83" s="126">
        <v>33</v>
      </c>
      <c r="D83" s="141" t="s">
        <v>1198</v>
      </c>
      <c r="E83" s="163" t="s">
        <v>1199</v>
      </c>
      <c r="H83" s="126">
        <v>1</v>
      </c>
      <c r="I83" s="126">
        <v>0</v>
      </c>
      <c r="J83" s="126">
        <v>1</v>
      </c>
      <c r="K83" s="126">
        <v>0</v>
      </c>
      <c r="L83" s="126">
        <v>0</v>
      </c>
      <c r="M83" s="126">
        <v>0</v>
      </c>
      <c r="N83" s="126">
        <v>2</v>
      </c>
      <c r="O83" s="126">
        <v>0</v>
      </c>
      <c r="P83" s="126">
        <v>0</v>
      </c>
      <c r="Q83" s="126">
        <v>0</v>
      </c>
      <c r="R83" s="126">
        <v>0</v>
      </c>
      <c r="S83" s="126">
        <v>0</v>
      </c>
      <c r="T83" s="126">
        <v>0</v>
      </c>
    </row>
    <row r="84" spans="3:20" ht="23.1" customHeight="1">
      <c r="C84" s="126">
        <v>56</v>
      </c>
      <c r="D84" s="141" t="s">
        <v>1203</v>
      </c>
      <c r="E84" s="163" t="s">
        <v>1204</v>
      </c>
      <c r="H84" s="126">
        <v>7</v>
      </c>
      <c r="I84" s="126">
        <v>0</v>
      </c>
      <c r="J84" s="126">
        <v>7</v>
      </c>
      <c r="K84" s="126">
        <v>0</v>
      </c>
      <c r="L84" s="126">
        <v>0</v>
      </c>
      <c r="M84" s="126">
        <v>0</v>
      </c>
      <c r="N84" s="126">
        <v>14</v>
      </c>
      <c r="O84" s="126">
        <v>0</v>
      </c>
      <c r="P84" s="126">
        <v>0</v>
      </c>
      <c r="Q84" s="126">
        <v>0</v>
      </c>
      <c r="R84" s="126">
        <v>0</v>
      </c>
      <c r="S84" s="126">
        <v>0</v>
      </c>
      <c r="T84" s="126">
        <v>0</v>
      </c>
    </row>
    <row r="85" spans="3:20" ht="23.1" customHeight="1">
      <c r="C85" s="126">
        <v>53</v>
      </c>
      <c r="D85" s="141" t="s">
        <v>1211</v>
      </c>
      <c r="E85" s="163" t="s">
        <v>1212</v>
      </c>
      <c r="H85" s="126">
        <v>2</v>
      </c>
      <c r="I85" s="126">
        <v>0</v>
      </c>
      <c r="J85" s="126">
        <v>2</v>
      </c>
      <c r="K85" s="126">
        <v>0</v>
      </c>
      <c r="L85" s="126">
        <v>0</v>
      </c>
      <c r="M85" s="126">
        <v>0</v>
      </c>
      <c r="N85" s="126">
        <v>4</v>
      </c>
      <c r="O85" s="126">
        <v>0</v>
      </c>
      <c r="P85" s="126">
        <v>0</v>
      </c>
      <c r="Q85" s="126">
        <v>0</v>
      </c>
      <c r="R85" s="126">
        <v>0</v>
      </c>
      <c r="S85" s="126">
        <v>0</v>
      </c>
      <c r="T85" s="126">
        <v>0</v>
      </c>
    </row>
    <row r="86" spans="3:20" ht="23.1" customHeight="1">
      <c r="C86" s="126">
        <v>66</v>
      </c>
      <c r="D86" s="141" t="s">
        <v>1216</v>
      </c>
      <c r="E86" s="163" t="s">
        <v>1217</v>
      </c>
      <c r="H86" s="126">
        <v>6</v>
      </c>
      <c r="I86" s="126">
        <v>0</v>
      </c>
      <c r="J86" s="126">
        <v>6</v>
      </c>
      <c r="K86" s="126">
        <v>0</v>
      </c>
      <c r="L86" s="126">
        <v>0</v>
      </c>
      <c r="M86" s="126">
        <v>0</v>
      </c>
      <c r="N86" s="126">
        <v>12</v>
      </c>
      <c r="O86" s="126">
        <v>0</v>
      </c>
      <c r="P86" s="126">
        <v>0</v>
      </c>
      <c r="Q86" s="126">
        <v>0</v>
      </c>
      <c r="R86" s="126">
        <v>0</v>
      </c>
      <c r="S86" s="126">
        <v>0</v>
      </c>
      <c r="T86" s="126">
        <v>0</v>
      </c>
    </row>
    <row r="87" spans="3:20" ht="23.1" customHeight="1">
      <c r="C87" s="126">
        <v>64</v>
      </c>
      <c r="D87" s="141" t="s">
        <v>1221</v>
      </c>
      <c r="E87" s="163" t="s">
        <v>1222</v>
      </c>
      <c r="H87" s="126">
        <v>1</v>
      </c>
      <c r="I87" s="126">
        <v>0</v>
      </c>
      <c r="J87" s="126">
        <v>1</v>
      </c>
      <c r="K87" s="126">
        <v>0</v>
      </c>
      <c r="L87" s="126">
        <v>0</v>
      </c>
      <c r="M87" s="126">
        <v>0</v>
      </c>
      <c r="N87" s="126">
        <v>2</v>
      </c>
      <c r="O87" s="126">
        <v>0</v>
      </c>
      <c r="P87" s="126">
        <v>0</v>
      </c>
      <c r="Q87" s="126">
        <v>0</v>
      </c>
      <c r="R87" s="126">
        <v>0</v>
      </c>
      <c r="S87" s="126">
        <v>0</v>
      </c>
      <c r="T87" s="126">
        <v>0</v>
      </c>
    </row>
    <row r="88" spans="3:20" ht="23.1" customHeight="1">
      <c r="C88" s="126">
        <v>44</v>
      </c>
      <c r="D88" s="141" t="s">
        <v>1229</v>
      </c>
      <c r="E88" s="163" t="s">
        <v>1230</v>
      </c>
      <c r="H88" s="126">
        <v>4</v>
      </c>
      <c r="I88" s="126">
        <v>0</v>
      </c>
      <c r="J88" s="126">
        <v>4</v>
      </c>
      <c r="K88" s="126">
        <v>0</v>
      </c>
      <c r="L88" s="126">
        <v>0</v>
      </c>
      <c r="M88" s="126">
        <v>0</v>
      </c>
      <c r="N88" s="126">
        <v>8</v>
      </c>
      <c r="O88" s="126">
        <v>0</v>
      </c>
      <c r="P88" s="126">
        <v>0</v>
      </c>
      <c r="Q88" s="126">
        <v>0</v>
      </c>
      <c r="R88" s="126">
        <v>0</v>
      </c>
      <c r="S88" s="126">
        <v>0</v>
      </c>
      <c r="T88" s="126">
        <v>0</v>
      </c>
    </row>
    <row r="89" spans="3:20" ht="23.1" customHeight="1">
      <c r="C89" s="126">
        <v>69</v>
      </c>
      <c r="D89" s="141" t="s">
        <v>1234</v>
      </c>
      <c r="E89" s="163" t="s">
        <v>1235</v>
      </c>
      <c r="H89" s="126">
        <v>7</v>
      </c>
      <c r="I89" s="126">
        <v>0</v>
      </c>
      <c r="J89" s="126">
        <v>7</v>
      </c>
      <c r="K89" s="126">
        <v>0</v>
      </c>
      <c r="L89" s="126">
        <v>0</v>
      </c>
      <c r="M89" s="126">
        <v>0</v>
      </c>
      <c r="N89" s="126">
        <v>14</v>
      </c>
      <c r="O89" s="126">
        <v>0</v>
      </c>
      <c r="P89" s="126">
        <v>0</v>
      </c>
      <c r="Q89" s="126">
        <v>0</v>
      </c>
      <c r="R89" s="126">
        <v>0</v>
      </c>
      <c r="S89" s="126">
        <v>0</v>
      </c>
      <c r="T89" s="126">
        <v>0</v>
      </c>
    </row>
    <row r="90" spans="3:20" ht="23.1" customHeight="1">
      <c r="C90" s="126">
        <v>68</v>
      </c>
      <c r="D90" s="141" t="s">
        <v>1242</v>
      </c>
      <c r="E90" s="163" t="s">
        <v>1243</v>
      </c>
      <c r="H90" s="126">
        <v>6</v>
      </c>
      <c r="I90" s="126">
        <v>0</v>
      </c>
      <c r="J90" s="126">
        <v>6</v>
      </c>
      <c r="K90" s="126">
        <v>0</v>
      </c>
      <c r="L90" s="126">
        <v>0</v>
      </c>
      <c r="M90" s="126">
        <v>0</v>
      </c>
      <c r="N90" s="126">
        <v>12</v>
      </c>
      <c r="O90" s="126">
        <v>0</v>
      </c>
      <c r="P90" s="126">
        <v>0</v>
      </c>
      <c r="Q90" s="126">
        <v>0</v>
      </c>
      <c r="R90" s="126">
        <v>0</v>
      </c>
      <c r="S90" s="126">
        <v>0</v>
      </c>
      <c r="T90" s="126">
        <v>0</v>
      </c>
    </row>
    <row r="91" spans="3:20" ht="23.1" customHeight="1">
      <c r="C91" s="126">
        <v>25</v>
      </c>
      <c r="D91" s="141" t="s">
        <v>1295</v>
      </c>
      <c r="E91" s="163" t="s">
        <v>1296</v>
      </c>
      <c r="H91" s="126">
        <v>1</v>
      </c>
      <c r="I91" s="126">
        <v>0</v>
      </c>
      <c r="J91" s="126">
        <v>1</v>
      </c>
      <c r="K91" s="126">
        <v>0</v>
      </c>
      <c r="L91" s="126">
        <v>0</v>
      </c>
      <c r="M91" s="126">
        <v>0</v>
      </c>
      <c r="N91" s="126">
        <v>2</v>
      </c>
      <c r="O91" s="126">
        <v>0</v>
      </c>
      <c r="P91" s="126">
        <v>0</v>
      </c>
      <c r="Q91" s="126">
        <v>0</v>
      </c>
      <c r="R91" s="126">
        <v>0</v>
      </c>
      <c r="S91" s="126">
        <v>0</v>
      </c>
      <c r="T91" s="126">
        <v>0</v>
      </c>
    </row>
    <row r="92" spans="3:20" ht="23.1" customHeight="1">
      <c r="C92" s="126">
        <v>73</v>
      </c>
      <c r="D92" s="141" t="s">
        <v>1303</v>
      </c>
      <c r="E92" s="163" t="s">
        <v>1304</v>
      </c>
      <c r="H92" s="126">
        <v>1</v>
      </c>
      <c r="I92" s="126">
        <v>0</v>
      </c>
      <c r="J92" s="126">
        <v>1</v>
      </c>
      <c r="K92" s="126">
        <v>0</v>
      </c>
      <c r="L92" s="126">
        <v>0</v>
      </c>
      <c r="M92" s="126">
        <v>0</v>
      </c>
      <c r="N92" s="126">
        <v>2</v>
      </c>
      <c r="O92" s="126">
        <v>0</v>
      </c>
      <c r="P92" s="126">
        <v>0</v>
      </c>
      <c r="Q92" s="126">
        <v>0</v>
      </c>
      <c r="R92" s="126">
        <v>0</v>
      </c>
      <c r="S92" s="126">
        <v>0</v>
      </c>
      <c r="T92" s="126">
        <v>0</v>
      </c>
    </row>
    <row r="93" spans="3:20" ht="23.1" customHeight="1">
      <c r="C93" s="126">
        <v>92</v>
      </c>
      <c r="D93" s="141" t="s">
        <v>1313</v>
      </c>
      <c r="E93" s="163" t="s">
        <v>1314</v>
      </c>
      <c r="H93" s="126">
        <v>20</v>
      </c>
      <c r="I93" s="126">
        <v>0</v>
      </c>
      <c r="J93" s="126">
        <v>20</v>
      </c>
      <c r="K93" s="126">
        <v>0</v>
      </c>
      <c r="L93" s="126">
        <v>0</v>
      </c>
      <c r="M93" s="126">
        <v>0</v>
      </c>
      <c r="N93" s="126">
        <v>40</v>
      </c>
      <c r="O93" s="126">
        <v>0</v>
      </c>
      <c r="P93" s="126">
        <v>0</v>
      </c>
      <c r="Q93" s="126">
        <v>0</v>
      </c>
      <c r="R93" s="126">
        <v>0</v>
      </c>
      <c r="S93" s="126">
        <v>0</v>
      </c>
      <c r="T93" s="126">
        <v>0</v>
      </c>
    </row>
    <row r="94" spans="3:20" ht="23.1" customHeight="1">
      <c r="C94" s="126">
        <v>94</v>
      </c>
      <c r="D94" s="141" t="s">
        <v>1323</v>
      </c>
      <c r="E94" s="163" t="s">
        <v>1324</v>
      </c>
      <c r="H94" s="126">
        <v>41</v>
      </c>
      <c r="I94" s="126">
        <v>0</v>
      </c>
      <c r="J94" s="126">
        <v>41</v>
      </c>
      <c r="K94" s="126">
        <v>0</v>
      </c>
      <c r="L94" s="126">
        <v>0</v>
      </c>
      <c r="M94" s="126">
        <v>0</v>
      </c>
      <c r="N94" s="126">
        <v>82</v>
      </c>
      <c r="O94" s="126">
        <v>0</v>
      </c>
      <c r="P94" s="126">
        <v>0</v>
      </c>
      <c r="Q94" s="126">
        <v>0</v>
      </c>
      <c r="R94" s="126">
        <v>0</v>
      </c>
      <c r="S94" s="126">
        <v>0</v>
      </c>
      <c r="T94" s="126">
        <v>0</v>
      </c>
    </row>
    <row r="95" spans="3:20" ht="23.1" customHeight="1">
      <c r="C95" s="126">
        <v>51</v>
      </c>
      <c r="D95" s="141" t="s">
        <v>1339</v>
      </c>
      <c r="E95" s="163" t="s">
        <v>1340</v>
      </c>
      <c r="H95" s="126">
        <v>17</v>
      </c>
      <c r="I95" s="126">
        <v>0</v>
      </c>
      <c r="J95" s="126">
        <v>17</v>
      </c>
      <c r="K95" s="126">
        <v>0</v>
      </c>
      <c r="L95" s="126">
        <v>0</v>
      </c>
      <c r="M95" s="126">
        <v>0</v>
      </c>
      <c r="N95" s="126">
        <v>34</v>
      </c>
      <c r="O95" s="126">
        <v>0</v>
      </c>
      <c r="P95" s="126">
        <v>0</v>
      </c>
      <c r="Q95" s="126">
        <v>0</v>
      </c>
      <c r="R95" s="126">
        <v>0</v>
      </c>
      <c r="S95" s="126">
        <v>0</v>
      </c>
      <c r="T95" s="126">
        <v>0</v>
      </c>
    </row>
    <row r="96" spans="3:20" ht="23.1" customHeight="1">
      <c r="C96" s="126">
        <v>74</v>
      </c>
      <c r="D96" s="141" t="s">
        <v>1367</v>
      </c>
      <c r="E96" s="163" t="s">
        <v>1368</v>
      </c>
      <c r="H96" s="126">
        <v>6</v>
      </c>
      <c r="I96" s="126">
        <v>0</v>
      </c>
      <c r="J96" s="126">
        <v>6</v>
      </c>
      <c r="K96" s="126">
        <v>0</v>
      </c>
      <c r="L96" s="126">
        <v>0</v>
      </c>
      <c r="M96" s="126">
        <v>0</v>
      </c>
      <c r="N96" s="126">
        <v>12</v>
      </c>
      <c r="O96" s="126">
        <v>0</v>
      </c>
      <c r="P96" s="126">
        <v>0</v>
      </c>
      <c r="Q96" s="126">
        <v>0</v>
      </c>
      <c r="R96" s="126">
        <v>0</v>
      </c>
      <c r="S96" s="126">
        <v>0</v>
      </c>
      <c r="T96" s="126">
        <v>0</v>
      </c>
    </row>
    <row r="97" spans="3:20" ht="23.1" customHeight="1">
      <c r="C97" s="126">
        <v>75</v>
      </c>
      <c r="D97" s="141" t="s">
        <v>1381</v>
      </c>
      <c r="E97" s="163" t="s">
        <v>1382</v>
      </c>
      <c r="H97" s="126">
        <v>4</v>
      </c>
      <c r="I97" s="126">
        <v>0</v>
      </c>
      <c r="J97" s="126">
        <v>4</v>
      </c>
      <c r="K97" s="126">
        <v>0</v>
      </c>
      <c r="L97" s="126">
        <v>0</v>
      </c>
      <c r="M97" s="126">
        <v>0</v>
      </c>
      <c r="N97" s="126">
        <v>8</v>
      </c>
      <c r="O97" s="126">
        <v>0</v>
      </c>
      <c r="P97" s="126">
        <v>0</v>
      </c>
      <c r="Q97" s="126">
        <v>0</v>
      </c>
      <c r="R97" s="126">
        <v>0</v>
      </c>
      <c r="S97" s="126">
        <v>0</v>
      </c>
      <c r="T97" s="126">
        <v>0</v>
      </c>
    </row>
    <row r="98" spans="3:20" ht="23.1" customHeight="1">
      <c r="C98" s="126">
        <v>150</v>
      </c>
      <c r="D98" s="141" t="s">
        <v>1405</v>
      </c>
      <c r="E98" s="163" t="s">
        <v>1406</v>
      </c>
      <c r="H98" s="126">
        <v>44</v>
      </c>
      <c r="I98" s="126">
        <v>0</v>
      </c>
      <c r="J98" s="126">
        <v>44</v>
      </c>
      <c r="K98" s="126">
        <v>0</v>
      </c>
      <c r="L98" s="126">
        <v>0</v>
      </c>
      <c r="M98" s="126">
        <v>0</v>
      </c>
      <c r="N98" s="126">
        <v>88</v>
      </c>
      <c r="O98" s="126">
        <v>0</v>
      </c>
      <c r="P98" s="126">
        <v>0</v>
      </c>
      <c r="Q98" s="126">
        <v>0</v>
      </c>
      <c r="R98" s="126">
        <v>0</v>
      </c>
      <c r="S98" s="126">
        <v>0</v>
      </c>
      <c r="T98" s="126">
        <v>0</v>
      </c>
    </row>
    <row r="99" spans="3:20" ht="23.1" customHeight="1">
      <c r="C99" s="126">
        <v>37</v>
      </c>
      <c r="D99" s="141" t="s">
        <v>1515</v>
      </c>
      <c r="E99" s="163" t="s">
        <v>1516</v>
      </c>
      <c r="H99" s="126">
        <v>2</v>
      </c>
      <c r="I99" s="126">
        <v>0</v>
      </c>
      <c r="J99" s="126">
        <v>2</v>
      </c>
      <c r="K99" s="126">
        <v>0</v>
      </c>
      <c r="L99" s="126">
        <v>0</v>
      </c>
      <c r="M99" s="126">
        <v>0</v>
      </c>
      <c r="N99" s="126">
        <v>4</v>
      </c>
      <c r="O99" s="126">
        <v>0</v>
      </c>
      <c r="P99" s="126">
        <v>0</v>
      </c>
      <c r="Q99" s="126">
        <v>0</v>
      </c>
      <c r="R99" s="126">
        <v>0</v>
      </c>
      <c r="S99" s="126">
        <v>0</v>
      </c>
      <c r="T99" s="126">
        <v>0</v>
      </c>
    </row>
    <row r="100" spans="3:20" ht="23.1" customHeight="1">
      <c r="C100" s="126">
        <v>29</v>
      </c>
      <c r="D100" s="141" t="s">
        <v>1523</v>
      </c>
      <c r="E100" s="163" t="s">
        <v>1524</v>
      </c>
      <c r="H100" s="126">
        <v>12</v>
      </c>
      <c r="I100" s="126">
        <v>0</v>
      </c>
      <c r="J100" s="126">
        <v>12</v>
      </c>
      <c r="K100" s="126">
        <v>0</v>
      </c>
      <c r="L100" s="126">
        <v>0</v>
      </c>
      <c r="M100" s="126">
        <v>0</v>
      </c>
      <c r="N100" s="126">
        <v>24</v>
      </c>
      <c r="O100" s="126">
        <v>0</v>
      </c>
      <c r="P100" s="126">
        <v>0</v>
      </c>
      <c r="Q100" s="126">
        <v>0</v>
      </c>
      <c r="R100" s="126">
        <v>0</v>
      </c>
      <c r="S100" s="126">
        <v>0</v>
      </c>
      <c r="T100" s="126">
        <v>0</v>
      </c>
    </row>
    <row r="101" spans="3:20" ht="23.1" customHeight="1">
      <c r="C101" s="126">
        <v>170</v>
      </c>
      <c r="D101" s="141" t="s">
        <v>1647</v>
      </c>
      <c r="E101" s="163" t="s">
        <v>1648</v>
      </c>
      <c r="H101" s="126">
        <v>10</v>
      </c>
      <c r="I101" s="126">
        <v>0</v>
      </c>
      <c r="J101" s="126">
        <v>10</v>
      </c>
      <c r="K101" s="126">
        <v>0</v>
      </c>
      <c r="L101" s="126">
        <v>0</v>
      </c>
      <c r="M101" s="126">
        <v>0</v>
      </c>
      <c r="N101" s="126">
        <v>20</v>
      </c>
      <c r="O101" s="126">
        <v>0</v>
      </c>
      <c r="P101" s="126">
        <v>0</v>
      </c>
      <c r="Q101" s="126">
        <v>0</v>
      </c>
      <c r="R101" s="126">
        <v>0</v>
      </c>
      <c r="S101" s="126">
        <v>0</v>
      </c>
      <c r="T101" s="126">
        <v>0</v>
      </c>
    </row>
    <row r="102" spans="3:20" ht="23.1" customHeight="1">
      <c r="C102" s="126">
        <v>158</v>
      </c>
      <c r="D102" s="141" t="s">
        <v>1702</v>
      </c>
      <c r="E102" s="163" t="s">
        <v>1703</v>
      </c>
      <c r="H102" s="126">
        <v>1</v>
      </c>
      <c r="I102" s="126">
        <v>0</v>
      </c>
      <c r="J102" s="126">
        <v>1</v>
      </c>
      <c r="K102" s="126">
        <v>0</v>
      </c>
      <c r="L102" s="126">
        <v>0</v>
      </c>
      <c r="M102" s="126">
        <v>0</v>
      </c>
      <c r="N102" s="126">
        <v>2</v>
      </c>
      <c r="O102" s="126">
        <v>0</v>
      </c>
      <c r="P102" s="126">
        <v>0</v>
      </c>
      <c r="Q102" s="126">
        <v>0</v>
      </c>
      <c r="R102" s="126">
        <v>0</v>
      </c>
      <c r="S102" s="126">
        <v>0</v>
      </c>
      <c r="T102" s="126">
        <v>0</v>
      </c>
    </row>
    <row r="103" spans="3:20" ht="23.1" customHeight="1">
      <c r="C103" s="126">
        <v>165</v>
      </c>
      <c r="D103" s="141" t="s">
        <v>1708</v>
      </c>
      <c r="E103" s="163" t="s">
        <v>1709</v>
      </c>
      <c r="H103" s="126">
        <v>1</v>
      </c>
      <c r="I103" s="126">
        <v>0</v>
      </c>
      <c r="J103" s="126">
        <v>1</v>
      </c>
      <c r="K103" s="126">
        <v>0</v>
      </c>
      <c r="L103" s="126">
        <v>0</v>
      </c>
      <c r="M103" s="126">
        <v>0</v>
      </c>
      <c r="N103" s="126">
        <v>2</v>
      </c>
      <c r="O103" s="126">
        <v>0</v>
      </c>
      <c r="P103" s="126">
        <v>0</v>
      </c>
      <c r="Q103" s="126">
        <v>0</v>
      </c>
      <c r="R103" s="126">
        <v>0</v>
      </c>
      <c r="S103" s="126">
        <v>0</v>
      </c>
      <c r="T103" s="126">
        <v>0</v>
      </c>
    </row>
    <row r="104" spans="3:20" ht="23.1" customHeight="1">
      <c r="C104" s="126">
        <v>54</v>
      </c>
      <c r="D104" s="141" t="s">
        <v>1743</v>
      </c>
      <c r="E104" s="163" t="s">
        <v>1744</v>
      </c>
      <c r="H104" s="126">
        <v>8</v>
      </c>
      <c r="I104" s="126">
        <v>0</v>
      </c>
      <c r="J104" s="126">
        <v>8</v>
      </c>
      <c r="K104" s="126">
        <v>0</v>
      </c>
      <c r="L104" s="126">
        <v>0</v>
      </c>
      <c r="M104" s="126">
        <v>0</v>
      </c>
      <c r="N104" s="126">
        <v>16</v>
      </c>
      <c r="O104" s="126">
        <v>0</v>
      </c>
      <c r="P104" s="126">
        <v>0</v>
      </c>
      <c r="Q104" s="126">
        <v>0</v>
      </c>
      <c r="R104" s="126">
        <v>0</v>
      </c>
      <c r="S104" s="126">
        <v>0</v>
      </c>
      <c r="T104" s="126">
        <v>0</v>
      </c>
    </row>
    <row r="105" spans="3:20" ht="23.1" customHeight="1">
      <c r="C105" s="126">
        <v>32</v>
      </c>
      <c r="D105" s="141" t="s">
        <v>1748</v>
      </c>
      <c r="E105" s="163" t="s">
        <v>1749</v>
      </c>
      <c r="H105" s="126">
        <v>2</v>
      </c>
      <c r="I105" s="126">
        <v>0</v>
      </c>
      <c r="J105" s="126">
        <v>2</v>
      </c>
      <c r="K105" s="126">
        <v>0</v>
      </c>
      <c r="L105" s="126">
        <v>0</v>
      </c>
      <c r="M105" s="126">
        <v>0</v>
      </c>
      <c r="N105" s="126">
        <v>4</v>
      </c>
      <c r="O105" s="126">
        <v>0</v>
      </c>
      <c r="P105" s="126">
        <v>0</v>
      </c>
      <c r="Q105" s="126">
        <v>0</v>
      </c>
      <c r="R105" s="126">
        <v>0</v>
      </c>
      <c r="S105" s="126">
        <v>0</v>
      </c>
      <c r="T105" s="126">
        <v>0</v>
      </c>
    </row>
    <row r="106" spans="3:20" ht="23.1" customHeight="1">
      <c r="C106" s="126">
        <v>9</v>
      </c>
      <c r="D106" s="141" t="s">
        <v>1813</v>
      </c>
      <c r="E106" s="163" t="s">
        <v>1814</v>
      </c>
      <c r="H106" s="126">
        <v>18</v>
      </c>
      <c r="I106" s="126">
        <v>0</v>
      </c>
      <c r="J106" s="126">
        <v>18</v>
      </c>
      <c r="K106" s="126">
        <v>0</v>
      </c>
      <c r="L106" s="126">
        <v>0</v>
      </c>
      <c r="M106" s="126">
        <v>0</v>
      </c>
      <c r="N106" s="126">
        <v>36</v>
      </c>
      <c r="O106" s="126">
        <v>0</v>
      </c>
      <c r="P106" s="126">
        <v>0</v>
      </c>
      <c r="Q106" s="126">
        <v>0</v>
      </c>
      <c r="R106" s="126">
        <v>0</v>
      </c>
      <c r="S106" s="126">
        <v>0</v>
      </c>
      <c r="T106" s="126">
        <v>0</v>
      </c>
    </row>
    <row r="107" spans="3:20" ht="23.1" customHeight="1">
      <c r="C107" s="126">
        <v>61</v>
      </c>
      <c r="D107" s="141" t="s">
        <v>1924</v>
      </c>
      <c r="E107" s="163" t="s">
        <v>1925</v>
      </c>
      <c r="H107" s="126">
        <v>1</v>
      </c>
      <c r="I107" s="126">
        <v>0</v>
      </c>
      <c r="J107" s="126">
        <v>1</v>
      </c>
      <c r="K107" s="126">
        <v>0</v>
      </c>
      <c r="L107" s="126">
        <v>0</v>
      </c>
      <c r="M107" s="126">
        <v>0</v>
      </c>
      <c r="N107" s="126">
        <v>2</v>
      </c>
      <c r="O107" s="126">
        <v>0</v>
      </c>
      <c r="P107" s="126">
        <v>0</v>
      </c>
      <c r="Q107" s="126">
        <v>0</v>
      </c>
      <c r="R107" s="126">
        <v>0</v>
      </c>
      <c r="S107" s="126">
        <v>0</v>
      </c>
      <c r="T107" s="126">
        <v>0</v>
      </c>
    </row>
    <row r="108" spans="3:20" ht="23.1" customHeight="1">
      <c r="C108" s="126">
        <v>146</v>
      </c>
      <c r="D108" s="141" t="s">
        <v>1929</v>
      </c>
      <c r="E108" s="163" t="s">
        <v>1930</v>
      </c>
      <c r="H108" s="126">
        <v>5</v>
      </c>
      <c r="I108" s="126">
        <v>0</v>
      </c>
      <c r="J108" s="126">
        <v>5</v>
      </c>
      <c r="K108" s="126">
        <v>0</v>
      </c>
      <c r="L108" s="126">
        <v>0</v>
      </c>
      <c r="M108" s="126">
        <v>0</v>
      </c>
      <c r="N108" s="126">
        <v>10</v>
      </c>
      <c r="O108" s="126">
        <v>0</v>
      </c>
      <c r="P108" s="126">
        <v>0</v>
      </c>
      <c r="Q108" s="126">
        <v>0</v>
      </c>
      <c r="R108" s="126">
        <v>0</v>
      </c>
      <c r="S108" s="126">
        <v>0</v>
      </c>
      <c r="T108" s="126">
        <v>0</v>
      </c>
    </row>
    <row r="109" spans="3:20" ht="23.1" customHeight="1">
      <c r="C109" s="126">
        <v>71</v>
      </c>
      <c r="D109" s="141" t="s">
        <v>2010</v>
      </c>
      <c r="E109" s="163" t="s">
        <v>2011</v>
      </c>
      <c r="H109" s="126">
        <v>2</v>
      </c>
      <c r="I109" s="126">
        <v>0</v>
      </c>
      <c r="J109" s="126">
        <v>2</v>
      </c>
      <c r="K109" s="126">
        <v>0</v>
      </c>
      <c r="L109" s="126">
        <v>0</v>
      </c>
      <c r="M109" s="126">
        <v>0</v>
      </c>
      <c r="N109" s="126">
        <v>4</v>
      </c>
      <c r="O109" s="126">
        <v>0</v>
      </c>
      <c r="P109" s="126">
        <v>0</v>
      </c>
      <c r="Q109" s="126">
        <v>0</v>
      </c>
      <c r="R109" s="126">
        <v>0</v>
      </c>
      <c r="S109" s="126">
        <v>0</v>
      </c>
      <c r="T109" s="126">
        <v>0</v>
      </c>
    </row>
    <row r="110" spans="3:20" ht="23.1" customHeight="1">
      <c r="C110" s="126">
        <v>79</v>
      </c>
      <c r="D110" s="141" t="s">
        <v>2027</v>
      </c>
      <c r="E110" s="163" t="s">
        <v>2028</v>
      </c>
      <c r="H110" s="126">
        <v>50</v>
      </c>
      <c r="I110" s="126">
        <v>0</v>
      </c>
      <c r="J110" s="126">
        <v>50</v>
      </c>
      <c r="K110" s="126">
        <v>0</v>
      </c>
      <c r="L110" s="126">
        <v>0</v>
      </c>
      <c r="M110" s="126">
        <v>0</v>
      </c>
      <c r="N110" s="126">
        <v>100</v>
      </c>
      <c r="O110" s="126">
        <v>0</v>
      </c>
      <c r="P110" s="126">
        <v>0</v>
      </c>
      <c r="Q110" s="126">
        <v>0</v>
      </c>
      <c r="R110" s="126">
        <v>0</v>
      </c>
      <c r="S110" s="126">
        <v>0</v>
      </c>
      <c r="T110" s="126">
        <v>0</v>
      </c>
    </row>
    <row r="111" spans="3:20" ht="23.1" customHeight="1">
      <c r="C111" s="126">
        <v>77</v>
      </c>
      <c r="D111" s="141" t="s">
        <v>2033</v>
      </c>
      <c r="E111" s="163" t="s">
        <v>2034</v>
      </c>
      <c r="H111" s="126">
        <v>50</v>
      </c>
      <c r="I111" s="126">
        <v>0</v>
      </c>
      <c r="J111" s="126">
        <v>50</v>
      </c>
      <c r="K111" s="126">
        <v>0</v>
      </c>
      <c r="L111" s="126">
        <v>0</v>
      </c>
      <c r="M111" s="126">
        <v>0</v>
      </c>
      <c r="N111" s="126">
        <v>100</v>
      </c>
      <c r="O111" s="126">
        <v>0</v>
      </c>
      <c r="P111" s="126">
        <v>0</v>
      </c>
      <c r="Q111" s="126">
        <v>0</v>
      </c>
      <c r="R111" s="126">
        <v>0</v>
      </c>
      <c r="S111" s="126">
        <v>0</v>
      </c>
      <c r="T111" s="126">
        <v>0</v>
      </c>
    </row>
    <row r="112" spans="3:20" ht="23.1" customHeight="1">
      <c r="C112" s="126">
        <v>112</v>
      </c>
      <c r="D112" s="141" t="s">
        <v>2067</v>
      </c>
      <c r="E112" s="163" t="s">
        <v>2068</v>
      </c>
      <c r="H112" s="126">
        <v>1</v>
      </c>
      <c r="I112" s="126">
        <v>0</v>
      </c>
      <c r="J112" s="126">
        <v>1</v>
      </c>
      <c r="K112" s="126">
        <v>0</v>
      </c>
      <c r="L112" s="126">
        <v>0</v>
      </c>
      <c r="M112" s="126">
        <v>0</v>
      </c>
      <c r="N112" s="126">
        <v>2</v>
      </c>
      <c r="O112" s="126">
        <v>0</v>
      </c>
      <c r="P112" s="126">
        <v>0</v>
      </c>
      <c r="Q112" s="126">
        <v>0</v>
      </c>
      <c r="R112" s="126">
        <v>0</v>
      </c>
      <c r="S112" s="126">
        <v>0</v>
      </c>
      <c r="T112" s="126">
        <v>0</v>
      </c>
    </row>
    <row r="113" spans="3:20" ht="23.1" customHeight="1">
      <c r="C113" s="126">
        <v>174</v>
      </c>
      <c r="D113" s="141" t="s">
        <v>2096</v>
      </c>
      <c r="E113" s="163" t="s">
        <v>2097</v>
      </c>
      <c r="H113" s="126">
        <v>2</v>
      </c>
      <c r="I113" s="126">
        <v>0</v>
      </c>
      <c r="J113" s="126">
        <v>2</v>
      </c>
      <c r="K113" s="126">
        <v>0</v>
      </c>
      <c r="L113" s="126">
        <v>0</v>
      </c>
      <c r="M113" s="126">
        <v>0</v>
      </c>
      <c r="N113" s="126">
        <v>4</v>
      </c>
      <c r="O113" s="126">
        <v>0</v>
      </c>
      <c r="P113" s="126">
        <v>0</v>
      </c>
      <c r="Q113" s="126">
        <v>0</v>
      </c>
      <c r="R113" s="126">
        <v>0</v>
      </c>
      <c r="S113" s="126">
        <v>0</v>
      </c>
      <c r="T113" s="126">
        <v>0</v>
      </c>
    </row>
    <row r="114" spans="3:20" ht="23.1" customHeight="1">
      <c r="C114" s="126">
        <v>168</v>
      </c>
      <c r="D114" s="141" t="s">
        <v>2101</v>
      </c>
      <c r="E114" s="163" t="s">
        <v>2102</v>
      </c>
      <c r="H114" s="126">
        <v>2</v>
      </c>
      <c r="I114" s="126">
        <v>0</v>
      </c>
      <c r="J114" s="126">
        <v>2</v>
      </c>
      <c r="K114" s="126">
        <v>0</v>
      </c>
      <c r="L114" s="126">
        <v>0</v>
      </c>
      <c r="M114" s="126">
        <v>0</v>
      </c>
      <c r="N114" s="126">
        <v>4</v>
      </c>
      <c r="O114" s="126">
        <v>0</v>
      </c>
      <c r="P114" s="126">
        <v>0</v>
      </c>
      <c r="Q114" s="126">
        <v>0</v>
      </c>
      <c r="R114" s="126">
        <v>0</v>
      </c>
      <c r="S114" s="126">
        <v>0</v>
      </c>
      <c r="T114" s="126">
        <v>0</v>
      </c>
    </row>
    <row r="115" spans="3:20" ht="23.1" customHeight="1">
      <c r="C115" s="126">
        <v>172</v>
      </c>
      <c r="D115" s="141" t="s">
        <v>2106</v>
      </c>
      <c r="E115" s="163" t="s">
        <v>2107</v>
      </c>
      <c r="H115" s="126">
        <v>2</v>
      </c>
      <c r="I115" s="126">
        <v>0</v>
      </c>
      <c r="J115" s="126">
        <v>2</v>
      </c>
      <c r="K115" s="126">
        <v>0</v>
      </c>
      <c r="L115" s="126">
        <v>0</v>
      </c>
      <c r="M115" s="126">
        <v>0</v>
      </c>
      <c r="N115" s="126">
        <v>4</v>
      </c>
      <c r="O115" s="126">
        <v>0</v>
      </c>
      <c r="P115" s="126">
        <v>0</v>
      </c>
      <c r="Q115" s="126">
        <v>0</v>
      </c>
      <c r="R115" s="126">
        <v>0</v>
      </c>
      <c r="S115" s="126">
        <v>0</v>
      </c>
      <c r="T115" s="126">
        <v>0</v>
      </c>
    </row>
    <row r="116" spans="3:20" ht="23.1" customHeight="1">
      <c r="C116" s="126">
        <v>136</v>
      </c>
      <c r="D116" s="141" t="s">
        <v>2122</v>
      </c>
      <c r="E116" s="163" t="s">
        <v>2123</v>
      </c>
      <c r="H116" s="126">
        <v>2</v>
      </c>
      <c r="I116" s="126">
        <v>0</v>
      </c>
      <c r="J116" s="126">
        <v>2</v>
      </c>
      <c r="K116" s="126">
        <v>0</v>
      </c>
      <c r="L116" s="126">
        <v>0</v>
      </c>
      <c r="M116" s="126">
        <v>0</v>
      </c>
      <c r="N116" s="126">
        <v>4</v>
      </c>
      <c r="O116" s="126">
        <v>0</v>
      </c>
      <c r="P116" s="126">
        <v>0</v>
      </c>
      <c r="Q116" s="126">
        <v>0</v>
      </c>
      <c r="R116" s="126">
        <v>0</v>
      </c>
      <c r="S116" s="126">
        <v>0</v>
      </c>
      <c r="T116" s="126">
        <v>0</v>
      </c>
    </row>
    <row r="117" spans="3:20" ht="23.1" customHeight="1">
      <c r="C117" s="126">
        <v>235</v>
      </c>
      <c r="D117" s="141" t="s">
        <v>2292</v>
      </c>
      <c r="E117" s="163" t="s">
        <v>2293</v>
      </c>
      <c r="H117" s="126">
        <v>-6</v>
      </c>
      <c r="I117" s="126">
        <v>0</v>
      </c>
      <c r="J117" s="126">
        <v>6</v>
      </c>
      <c r="K117" s="126">
        <v>0</v>
      </c>
      <c r="L117" s="126">
        <v>0</v>
      </c>
      <c r="M117" s="126">
        <v>0</v>
      </c>
      <c r="N117" s="126">
        <v>0</v>
      </c>
      <c r="O117" s="126">
        <v>0</v>
      </c>
      <c r="P117" s="126">
        <v>0</v>
      </c>
      <c r="Q117" s="126">
        <v>0</v>
      </c>
      <c r="R117" s="126">
        <v>0</v>
      </c>
      <c r="S117" s="126">
        <v>0</v>
      </c>
      <c r="T117" s="126">
        <v>0</v>
      </c>
    </row>
    <row r="118" spans="3:20" ht="23.1" customHeight="1">
      <c r="C118" s="126">
        <v>241</v>
      </c>
      <c r="D118" s="141" t="s">
        <v>2301</v>
      </c>
      <c r="E118" s="163" t="s">
        <v>2302</v>
      </c>
      <c r="H118" s="126">
        <v>-1</v>
      </c>
      <c r="I118" s="126">
        <v>0</v>
      </c>
      <c r="J118" s="126">
        <v>1</v>
      </c>
      <c r="K118" s="126">
        <v>0</v>
      </c>
      <c r="L118" s="126">
        <v>0</v>
      </c>
      <c r="M118" s="126">
        <v>0</v>
      </c>
      <c r="N118" s="126">
        <v>0</v>
      </c>
      <c r="O118" s="126">
        <v>0</v>
      </c>
      <c r="P118" s="126">
        <v>0</v>
      </c>
      <c r="Q118" s="126">
        <v>0</v>
      </c>
      <c r="R118" s="126">
        <v>0</v>
      </c>
      <c r="S118" s="126">
        <v>0</v>
      </c>
      <c r="T118" s="126">
        <v>0</v>
      </c>
    </row>
    <row r="119" spans="3:20" ht="23.1" customHeight="1">
      <c r="C119" s="126">
        <v>287</v>
      </c>
      <c r="D119" s="141" t="s">
        <v>2306</v>
      </c>
      <c r="E119" s="163" t="s">
        <v>2307</v>
      </c>
      <c r="H119" s="126">
        <v>-75</v>
      </c>
      <c r="I119" s="126">
        <v>0</v>
      </c>
      <c r="J119" s="126">
        <v>75</v>
      </c>
      <c r="K119" s="126">
        <v>0</v>
      </c>
      <c r="L119" s="126">
        <v>0</v>
      </c>
      <c r="M119" s="126">
        <v>0</v>
      </c>
      <c r="N119" s="126">
        <v>0</v>
      </c>
      <c r="O119" s="126">
        <v>0</v>
      </c>
      <c r="P119" s="126">
        <v>0</v>
      </c>
      <c r="Q119" s="126">
        <v>0</v>
      </c>
      <c r="R119" s="126">
        <v>0</v>
      </c>
      <c r="S119" s="126">
        <v>0</v>
      </c>
      <c r="T119" s="126">
        <v>0</v>
      </c>
    </row>
    <row r="120" spans="3:20" ht="23.1" customHeight="1">
      <c r="C120" s="126">
        <v>298</v>
      </c>
      <c r="D120" s="141" t="s">
        <v>2318</v>
      </c>
      <c r="E120" s="163" t="s">
        <v>2319</v>
      </c>
      <c r="H120" s="126">
        <v>-60</v>
      </c>
      <c r="I120" s="126">
        <v>0</v>
      </c>
      <c r="J120" s="126">
        <v>60</v>
      </c>
      <c r="K120" s="126">
        <v>0</v>
      </c>
      <c r="L120" s="126">
        <v>0</v>
      </c>
      <c r="M120" s="126">
        <v>0</v>
      </c>
      <c r="N120" s="126">
        <v>0</v>
      </c>
      <c r="O120" s="126">
        <v>0</v>
      </c>
      <c r="P120" s="126">
        <v>0</v>
      </c>
      <c r="Q120" s="126">
        <v>0</v>
      </c>
      <c r="R120" s="126">
        <v>0</v>
      </c>
      <c r="S120" s="126">
        <v>0</v>
      </c>
      <c r="T120" s="126">
        <v>0</v>
      </c>
    </row>
    <row r="121" spans="3:20" ht="23.1" customHeight="1">
      <c r="C121" s="126">
        <v>295</v>
      </c>
      <c r="D121" s="141" t="s">
        <v>2326</v>
      </c>
      <c r="E121" s="163" t="s">
        <v>2327</v>
      </c>
      <c r="H121" s="126">
        <v>-2</v>
      </c>
      <c r="I121" s="126">
        <v>0</v>
      </c>
      <c r="J121" s="126">
        <v>2</v>
      </c>
      <c r="K121" s="126">
        <v>0</v>
      </c>
      <c r="L121" s="126">
        <v>0</v>
      </c>
      <c r="M121" s="126">
        <v>0</v>
      </c>
      <c r="N121" s="126">
        <v>0</v>
      </c>
      <c r="O121" s="126">
        <v>0</v>
      </c>
      <c r="P121" s="126">
        <v>0</v>
      </c>
      <c r="Q121" s="126">
        <v>0</v>
      </c>
      <c r="R121" s="126">
        <v>0</v>
      </c>
      <c r="S121" s="126">
        <v>0</v>
      </c>
      <c r="T121" s="126">
        <v>0</v>
      </c>
    </row>
    <row r="122" spans="3:20" ht="23.1" customHeight="1">
      <c r="C122" s="126">
        <v>327</v>
      </c>
      <c r="D122" s="141" t="s">
        <v>2337</v>
      </c>
      <c r="E122" s="163" t="s">
        <v>2338</v>
      </c>
      <c r="H122" s="126">
        <v>-1</v>
      </c>
      <c r="I122" s="126">
        <v>0</v>
      </c>
      <c r="J122" s="126">
        <v>1</v>
      </c>
      <c r="K122" s="126">
        <v>0</v>
      </c>
      <c r="L122" s="126">
        <v>0</v>
      </c>
      <c r="M122" s="126">
        <v>0</v>
      </c>
      <c r="N122" s="126">
        <v>0</v>
      </c>
      <c r="O122" s="126">
        <v>0</v>
      </c>
      <c r="P122" s="126">
        <v>0</v>
      </c>
      <c r="Q122" s="126">
        <v>0</v>
      </c>
      <c r="R122" s="126">
        <v>0</v>
      </c>
      <c r="S122" s="126">
        <v>0</v>
      </c>
      <c r="T122" s="126">
        <v>0</v>
      </c>
    </row>
    <row r="123" spans="3:20" ht="23.1" customHeight="1">
      <c r="C123" s="126">
        <v>213</v>
      </c>
      <c r="D123" s="141" t="s">
        <v>2342</v>
      </c>
      <c r="E123" s="163" t="s">
        <v>2343</v>
      </c>
      <c r="H123" s="126">
        <v>-3</v>
      </c>
      <c r="I123" s="126">
        <v>0</v>
      </c>
      <c r="J123" s="126">
        <v>3</v>
      </c>
      <c r="K123" s="126">
        <v>0</v>
      </c>
      <c r="L123" s="126">
        <v>0</v>
      </c>
      <c r="M123" s="126">
        <v>0</v>
      </c>
      <c r="N123" s="126">
        <v>0</v>
      </c>
      <c r="O123" s="126">
        <v>0</v>
      </c>
      <c r="P123" s="126">
        <v>0</v>
      </c>
      <c r="Q123" s="126">
        <v>0</v>
      </c>
      <c r="R123" s="126">
        <v>0</v>
      </c>
      <c r="S123" s="126">
        <v>0</v>
      </c>
      <c r="T123" s="126">
        <v>0</v>
      </c>
    </row>
    <row r="124" spans="3:20" ht="23.1" customHeight="1">
      <c r="C124" s="126">
        <v>228</v>
      </c>
      <c r="D124" s="141" t="s">
        <v>2347</v>
      </c>
      <c r="E124" s="163" t="s">
        <v>2348</v>
      </c>
      <c r="H124" s="126">
        <v>-1</v>
      </c>
      <c r="I124" s="126">
        <v>0</v>
      </c>
      <c r="J124" s="126">
        <v>1</v>
      </c>
      <c r="K124" s="126">
        <v>0</v>
      </c>
      <c r="L124" s="126">
        <v>0</v>
      </c>
      <c r="M124" s="126">
        <v>0</v>
      </c>
      <c r="N124" s="126">
        <v>0</v>
      </c>
      <c r="O124" s="126">
        <v>0</v>
      </c>
      <c r="P124" s="126">
        <v>0</v>
      </c>
      <c r="Q124" s="126">
        <v>0</v>
      </c>
      <c r="R124" s="126">
        <v>0</v>
      </c>
      <c r="S124" s="126">
        <v>0</v>
      </c>
      <c r="T124" s="126">
        <v>0</v>
      </c>
    </row>
  </sheetData>
  <autoFilter ref="C7:N116" xr:uid="{CE75C2E1-0692-4C8C-813A-73380BFFC7DE}"/>
  <phoneticPr fontId="34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8AD8A-256B-4396-9F66-1BA99FE5AFBF}">
  <sheetPr codeName="Sheet30"/>
  <dimension ref="C1:Z474"/>
  <sheetViews>
    <sheetView showGridLines="0" zoomScale="90" zoomScaleNormal="90" workbookViewId="0">
      <pane ySplit="7" topLeftCell="A8" activePane="bottomLeft" state="frozen"/>
      <selection activeCell="L28" sqref="L28"/>
      <selection pane="bottomLeft" activeCell="M20" sqref="M20"/>
    </sheetView>
  </sheetViews>
  <sheetFormatPr defaultColWidth="12.5703125" defaultRowHeight="23.1" customHeight="1"/>
  <cols>
    <col min="1" max="1" width="2.5703125" style="130" customWidth="1"/>
    <col min="2" max="2" width="3.7109375" style="130" customWidth="1"/>
    <col min="3" max="3" width="13.140625" style="126" customWidth="1"/>
    <col min="4" max="4" width="19.140625" style="141" customWidth="1"/>
    <col min="5" max="5" width="36.140625" style="159" customWidth="1"/>
    <col min="6" max="6" width="15.85546875" style="127" bestFit="1" customWidth="1"/>
    <col min="7" max="7" width="16.5703125" style="126" bestFit="1" customWidth="1"/>
    <col min="8" max="8" width="17.7109375" style="162" customWidth="1"/>
    <col min="9" max="9" width="12" style="162" bestFit="1" customWidth="1"/>
    <col min="10" max="10" width="14.5703125" style="126" customWidth="1"/>
    <col min="11" max="11" width="13" style="126" customWidth="1"/>
    <col min="12" max="12" width="12.5703125" style="126" hidden="1" customWidth="1"/>
    <col min="13" max="13" width="14.5703125" style="126" customWidth="1"/>
    <col min="14" max="14" width="19.28515625" style="126" hidden="1" customWidth="1"/>
    <col min="15" max="15" width="19.5703125" style="126" hidden="1" customWidth="1"/>
    <col min="16" max="16" width="16.28515625" style="126" hidden="1" customWidth="1"/>
    <col min="17" max="17" width="13.7109375" style="126" hidden="1" customWidth="1"/>
    <col min="18" max="18" width="12.5703125" style="126" hidden="1" customWidth="1"/>
    <col min="19" max="19" width="27.7109375" style="171" customWidth="1"/>
    <col min="20" max="16384" width="12.5703125" style="130"/>
  </cols>
  <sheetData>
    <row r="1" spans="3:26" customFormat="1" ht="23.25" hidden="1">
      <c r="C1" s="13"/>
      <c r="D1" s="13"/>
      <c r="E1" s="127"/>
      <c r="F1" s="127"/>
      <c r="G1" s="13"/>
      <c r="H1" s="13"/>
      <c r="I1" s="3"/>
      <c r="J1" s="13"/>
      <c r="K1" s="13"/>
      <c r="L1" s="13"/>
      <c r="M1" s="13"/>
      <c r="N1" s="13"/>
      <c r="O1" s="13"/>
      <c r="P1" s="13"/>
      <c r="Q1" s="13"/>
      <c r="R1" s="13"/>
      <c r="S1" s="132"/>
    </row>
    <row r="2" spans="3:26" customFormat="1" ht="23.25" hidden="1">
      <c r="C2" s="13"/>
      <c r="D2" s="13"/>
      <c r="E2" s="127"/>
      <c r="F2" s="127"/>
      <c r="G2" s="13"/>
      <c r="H2" s="13"/>
      <c r="I2" s="3"/>
      <c r="J2" s="13"/>
      <c r="K2" s="13"/>
      <c r="L2" s="13"/>
      <c r="M2" s="13"/>
      <c r="N2" s="13"/>
      <c r="O2" s="13"/>
      <c r="P2" s="13"/>
      <c r="Q2" s="13"/>
      <c r="R2" s="13"/>
      <c r="S2" s="132"/>
    </row>
    <row r="3" spans="3:26" customFormat="1" ht="23.25">
      <c r="C3" s="13"/>
      <c r="D3" s="126"/>
      <c r="E3" s="127"/>
      <c r="F3" s="127"/>
      <c r="G3" s="13"/>
      <c r="H3" s="13"/>
      <c r="I3" s="3"/>
      <c r="J3" s="13"/>
      <c r="K3" s="13"/>
      <c r="L3" s="13"/>
      <c r="M3" s="13"/>
      <c r="N3" s="13"/>
      <c r="O3" s="13"/>
      <c r="P3" s="13"/>
      <c r="Q3" s="13"/>
      <c r="R3" s="13"/>
      <c r="S3" s="132"/>
    </row>
    <row r="4" spans="3:26" customFormat="1" ht="32.25" customHeight="1">
      <c r="C4" s="13"/>
      <c r="D4" s="13"/>
      <c r="E4" s="127"/>
      <c r="F4" s="127"/>
      <c r="G4" s="13"/>
      <c r="H4" s="13"/>
      <c r="I4" s="3"/>
      <c r="J4" s="13"/>
      <c r="K4" s="13"/>
      <c r="L4" s="13"/>
      <c r="M4" s="13"/>
      <c r="N4" s="13"/>
      <c r="O4" s="13"/>
      <c r="P4" s="13"/>
      <c r="Q4" s="13"/>
      <c r="R4" s="13"/>
      <c r="S4" s="132">
        <f>400/50</f>
        <v>8</v>
      </c>
      <c r="U4" s="126"/>
      <c r="V4" s="126"/>
      <c r="W4" s="158"/>
      <c r="X4" s="127"/>
    </row>
    <row r="5" spans="3:26" customFormat="1" ht="8.25" customHeight="1">
      <c r="C5" s="13"/>
      <c r="D5" s="13"/>
      <c r="E5" s="127"/>
      <c r="F5" s="127"/>
      <c r="G5" s="13"/>
      <c r="H5" s="13"/>
      <c r="I5" s="3"/>
      <c r="J5" s="13"/>
      <c r="K5" s="13"/>
      <c r="L5" s="13"/>
      <c r="M5" s="13"/>
      <c r="N5" s="13"/>
      <c r="O5" s="13"/>
      <c r="P5" s="13"/>
      <c r="Q5" s="13"/>
      <c r="R5" s="13"/>
      <c r="S5" s="132"/>
    </row>
    <row r="6" spans="3:26" customFormat="1" ht="25.5">
      <c r="C6" s="264" t="s">
        <v>173</v>
      </c>
      <c r="D6" s="264" t="s">
        <v>213</v>
      </c>
      <c r="E6" s="264" t="s">
        <v>12</v>
      </c>
      <c r="F6" s="264" t="s">
        <v>186</v>
      </c>
      <c r="G6" s="264" t="s">
        <v>212</v>
      </c>
      <c r="H6" s="264" t="s">
        <v>211</v>
      </c>
      <c r="I6" s="264" t="s">
        <v>24</v>
      </c>
      <c r="J6" s="264" t="s">
        <v>118</v>
      </c>
      <c r="K6" s="264" t="s">
        <v>119</v>
      </c>
      <c r="L6" s="264" t="s">
        <v>176</v>
      </c>
      <c r="M6" s="264" t="s">
        <v>177</v>
      </c>
      <c r="N6" s="151" t="s">
        <v>178</v>
      </c>
      <c r="O6" s="151" t="s">
        <v>179</v>
      </c>
      <c r="P6" s="151" t="s">
        <v>180</v>
      </c>
      <c r="Q6" s="151" t="s">
        <v>181</v>
      </c>
      <c r="R6" s="151" t="s">
        <v>182</v>
      </c>
      <c r="S6" s="132"/>
      <c r="T6" s="13"/>
      <c r="U6" s="13"/>
      <c r="V6" s="13"/>
      <c r="W6" s="13"/>
      <c r="X6" s="13"/>
      <c r="Y6" s="13"/>
      <c r="Z6" s="13"/>
    </row>
    <row r="7" spans="3:26" s="126" customFormat="1" ht="20.25" customHeight="1">
      <c r="C7" s="267" t="s">
        <v>162</v>
      </c>
      <c r="D7" s="267" t="s">
        <v>207</v>
      </c>
      <c r="E7" s="267" t="s">
        <v>17</v>
      </c>
      <c r="F7" s="267" t="s">
        <v>110</v>
      </c>
      <c r="G7" s="267" t="s">
        <v>210</v>
      </c>
      <c r="H7" s="267" t="s">
        <v>202</v>
      </c>
      <c r="I7" s="267" t="s">
        <v>21</v>
      </c>
      <c r="J7" s="267" t="s">
        <v>165</v>
      </c>
      <c r="K7" s="267" t="s">
        <v>172</v>
      </c>
      <c r="L7" s="267" t="s">
        <v>166</v>
      </c>
      <c r="M7" s="267" t="s">
        <v>167</v>
      </c>
      <c r="N7" s="148" t="s">
        <v>168</v>
      </c>
      <c r="O7" s="148" t="s">
        <v>169</v>
      </c>
      <c r="P7" s="148" t="s">
        <v>170</v>
      </c>
      <c r="Q7" s="148" t="s">
        <v>171</v>
      </c>
      <c r="R7" s="148" t="s">
        <v>183</v>
      </c>
      <c r="S7" s="128"/>
    </row>
    <row r="8" spans="3:26" ht="23.1" customHeight="1">
      <c r="C8" s="126">
        <v>6</v>
      </c>
      <c r="D8" s="141" t="s">
        <v>559</v>
      </c>
      <c r="E8" s="159" t="s">
        <v>560</v>
      </c>
      <c r="F8" s="127">
        <v>1</v>
      </c>
      <c r="I8" s="162">
        <v>46174</v>
      </c>
      <c r="J8" s="126">
        <v>0</v>
      </c>
      <c r="K8" s="126">
        <v>10</v>
      </c>
      <c r="L8" s="126">
        <v>0</v>
      </c>
      <c r="M8" s="126">
        <v>20</v>
      </c>
      <c r="N8" s="126">
        <v>0</v>
      </c>
      <c r="O8" s="126">
        <v>0</v>
      </c>
      <c r="P8" s="126">
        <v>0</v>
      </c>
      <c r="Q8" s="126">
        <v>0</v>
      </c>
      <c r="R8" s="126">
        <v>0</v>
      </c>
    </row>
    <row r="9" spans="3:26" ht="23.1" customHeight="1">
      <c r="C9" s="126">
        <v>153</v>
      </c>
      <c r="D9" s="141" t="s">
        <v>554</v>
      </c>
      <c r="E9" s="159" t="s">
        <v>555</v>
      </c>
      <c r="F9" s="127">
        <v>1</v>
      </c>
      <c r="I9" s="162">
        <v>46174</v>
      </c>
      <c r="J9" s="126">
        <v>0</v>
      </c>
      <c r="K9" s="126">
        <v>1</v>
      </c>
      <c r="L9" s="126">
        <v>0</v>
      </c>
      <c r="M9" s="126">
        <v>0</v>
      </c>
      <c r="N9" s="126">
        <v>0</v>
      </c>
      <c r="O9" s="126">
        <v>0</v>
      </c>
      <c r="P9" s="126">
        <v>0</v>
      </c>
      <c r="Q9" s="126">
        <v>0</v>
      </c>
      <c r="R9" s="126">
        <v>0</v>
      </c>
    </row>
    <row r="10" spans="3:26" ht="23.1" customHeight="1">
      <c r="C10" s="126">
        <v>179</v>
      </c>
      <c r="D10" s="141" t="s">
        <v>564</v>
      </c>
      <c r="E10" s="159" t="s">
        <v>565</v>
      </c>
      <c r="F10" s="127">
        <v>1</v>
      </c>
      <c r="I10" s="162">
        <v>46174</v>
      </c>
      <c r="J10" s="126">
        <v>0</v>
      </c>
      <c r="K10" s="126">
        <v>15</v>
      </c>
      <c r="L10" s="126">
        <v>0</v>
      </c>
      <c r="M10" s="126">
        <v>0</v>
      </c>
      <c r="N10" s="126">
        <v>0</v>
      </c>
      <c r="O10" s="126">
        <v>0</v>
      </c>
      <c r="P10" s="126">
        <v>0</v>
      </c>
      <c r="Q10" s="126">
        <v>0</v>
      </c>
      <c r="R10" s="126">
        <v>0</v>
      </c>
    </row>
    <row r="11" spans="3:26" ht="23.1" customHeight="1">
      <c r="C11" s="126">
        <v>192</v>
      </c>
      <c r="D11" s="141" t="s">
        <v>570</v>
      </c>
      <c r="E11" s="159" t="s">
        <v>571</v>
      </c>
      <c r="F11" s="127">
        <v>1</v>
      </c>
      <c r="I11" s="162">
        <v>46174</v>
      </c>
      <c r="J11" s="126">
        <v>0</v>
      </c>
      <c r="K11" s="126">
        <v>4</v>
      </c>
      <c r="L11" s="126">
        <v>0</v>
      </c>
      <c r="M11" s="126">
        <v>0</v>
      </c>
      <c r="N11" s="126">
        <v>0</v>
      </c>
      <c r="O11" s="126">
        <v>0</v>
      </c>
      <c r="P11" s="126">
        <v>0</v>
      </c>
      <c r="Q11" s="126">
        <v>0</v>
      </c>
      <c r="R11" s="126">
        <v>0</v>
      </c>
    </row>
    <row r="12" spans="3:26" ht="23.1" customHeight="1">
      <c r="C12" s="126">
        <v>187</v>
      </c>
      <c r="D12" s="141" t="s">
        <v>576</v>
      </c>
      <c r="E12" s="159" t="s">
        <v>577</v>
      </c>
      <c r="F12" s="127">
        <v>1</v>
      </c>
      <c r="I12" s="162">
        <v>46174</v>
      </c>
      <c r="J12" s="126">
        <v>0</v>
      </c>
      <c r="K12" s="126">
        <v>12</v>
      </c>
      <c r="L12" s="126">
        <v>0</v>
      </c>
      <c r="M12" s="126">
        <v>0</v>
      </c>
      <c r="N12" s="126">
        <v>0</v>
      </c>
      <c r="O12" s="126">
        <v>0</v>
      </c>
      <c r="P12" s="126">
        <v>0</v>
      </c>
      <c r="Q12" s="126">
        <v>0</v>
      </c>
      <c r="R12" s="126">
        <v>0</v>
      </c>
    </row>
    <row r="13" spans="3:26" ht="23.1" customHeight="1">
      <c r="C13" s="126">
        <v>4</v>
      </c>
      <c r="D13" s="141" t="s">
        <v>581</v>
      </c>
      <c r="E13" s="159" t="s">
        <v>582</v>
      </c>
      <c r="F13" s="127">
        <v>1</v>
      </c>
      <c r="I13" s="162">
        <v>46174</v>
      </c>
      <c r="J13" s="126">
        <v>0</v>
      </c>
      <c r="K13" s="126">
        <v>1</v>
      </c>
      <c r="L13" s="126">
        <v>0</v>
      </c>
      <c r="M13" s="126">
        <v>8</v>
      </c>
      <c r="N13" s="126">
        <v>0</v>
      </c>
      <c r="O13" s="126">
        <v>0</v>
      </c>
      <c r="P13" s="126">
        <v>0</v>
      </c>
      <c r="Q13" s="126">
        <v>0</v>
      </c>
      <c r="R13" s="126">
        <v>0</v>
      </c>
    </row>
    <row r="14" spans="3:26" ht="23.1" customHeight="1">
      <c r="C14" s="126">
        <v>10</v>
      </c>
      <c r="D14" s="141" t="s">
        <v>586</v>
      </c>
      <c r="E14" s="159" t="s">
        <v>587</v>
      </c>
      <c r="F14" s="127">
        <v>1</v>
      </c>
      <c r="I14" s="162">
        <v>46174</v>
      </c>
      <c r="J14" s="126">
        <v>0</v>
      </c>
      <c r="K14" s="126">
        <v>1</v>
      </c>
      <c r="L14" s="126">
        <v>0</v>
      </c>
      <c r="M14" s="126">
        <v>0</v>
      </c>
      <c r="N14" s="126">
        <v>0</v>
      </c>
      <c r="O14" s="126">
        <v>0</v>
      </c>
      <c r="P14" s="126">
        <v>0</v>
      </c>
      <c r="Q14" s="126">
        <v>0</v>
      </c>
      <c r="R14" s="126">
        <v>0</v>
      </c>
    </row>
    <row r="15" spans="3:26" ht="23.1" customHeight="1">
      <c r="C15" s="126">
        <v>105</v>
      </c>
      <c r="D15" s="141" t="s">
        <v>591</v>
      </c>
      <c r="E15" s="159" t="s">
        <v>592</v>
      </c>
      <c r="F15" s="127">
        <v>1</v>
      </c>
      <c r="I15" s="162">
        <v>46174</v>
      </c>
      <c r="J15" s="126">
        <v>0</v>
      </c>
      <c r="K15" s="126">
        <v>1</v>
      </c>
      <c r="L15" s="126">
        <v>0</v>
      </c>
      <c r="M15" s="126">
        <v>0</v>
      </c>
      <c r="N15" s="126">
        <v>0</v>
      </c>
      <c r="O15" s="126">
        <v>0</v>
      </c>
      <c r="P15" s="126">
        <v>0</v>
      </c>
      <c r="Q15" s="126">
        <v>0</v>
      </c>
      <c r="R15" s="126">
        <v>0</v>
      </c>
    </row>
    <row r="16" spans="3:26" ht="23.1" customHeight="1">
      <c r="C16" s="126">
        <v>48</v>
      </c>
      <c r="D16" s="141" t="s">
        <v>596</v>
      </c>
      <c r="E16" s="159" t="s">
        <v>597</v>
      </c>
      <c r="F16" s="127">
        <v>1</v>
      </c>
      <c r="I16" s="162">
        <v>46174</v>
      </c>
      <c r="J16" s="126">
        <v>0</v>
      </c>
      <c r="K16" s="126">
        <v>3</v>
      </c>
      <c r="L16" s="126">
        <v>0</v>
      </c>
      <c r="M16" s="126">
        <v>14</v>
      </c>
      <c r="N16" s="126">
        <v>0</v>
      </c>
      <c r="O16" s="126">
        <v>0</v>
      </c>
      <c r="P16" s="126">
        <v>0</v>
      </c>
      <c r="Q16" s="126">
        <v>0</v>
      </c>
      <c r="R16" s="126">
        <v>0</v>
      </c>
    </row>
    <row r="17" spans="3:18" ht="23.1" customHeight="1">
      <c r="C17" s="126">
        <v>169</v>
      </c>
      <c r="D17" s="141" t="s">
        <v>601</v>
      </c>
      <c r="E17" s="159" t="s">
        <v>602</v>
      </c>
      <c r="F17" s="127">
        <v>1</v>
      </c>
      <c r="I17" s="162">
        <v>46174</v>
      </c>
      <c r="J17" s="126">
        <v>0</v>
      </c>
      <c r="K17" s="126">
        <v>1</v>
      </c>
      <c r="L17" s="126">
        <v>0</v>
      </c>
      <c r="M17" s="126">
        <v>0</v>
      </c>
      <c r="N17" s="126">
        <v>0</v>
      </c>
      <c r="O17" s="126">
        <v>0</v>
      </c>
      <c r="P17" s="126">
        <v>0</v>
      </c>
      <c r="Q17" s="126">
        <v>0</v>
      </c>
      <c r="R17" s="126">
        <v>0</v>
      </c>
    </row>
    <row r="18" spans="3:18" ht="23.1" customHeight="1">
      <c r="C18" s="126">
        <v>195</v>
      </c>
      <c r="D18" s="141" t="s">
        <v>608</v>
      </c>
      <c r="E18" s="159" t="s">
        <v>609</v>
      </c>
      <c r="F18" s="127">
        <v>1</v>
      </c>
      <c r="I18" s="162">
        <v>46175</v>
      </c>
      <c r="J18" s="126">
        <v>0</v>
      </c>
      <c r="K18" s="126">
        <v>24</v>
      </c>
      <c r="L18" s="126">
        <v>0</v>
      </c>
      <c r="M18" s="126">
        <v>0</v>
      </c>
      <c r="N18" s="126">
        <v>0</v>
      </c>
      <c r="O18" s="126">
        <v>0</v>
      </c>
      <c r="P18" s="126">
        <v>0</v>
      </c>
      <c r="Q18" s="126">
        <v>0</v>
      </c>
      <c r="R18" s="126">
        <v>0</v>
      </c>
    </row>
    <row r="19" spans="3:18" ht="23.1" customHeight="1">
      <c r="C19" s="126">
        <v>187</v>
      </c>
      <c r="D19" s="141" t="s">
        <v>576</v>
      </c>
      <c r="E19" s="159" t="s">
        <v>577</v>
      </c>
      <c r="F19" s="127">
        <v>1</v>
      </c>
      <c r="I19" s="162">
        <v>46175</v>
      </c>
      <c r="J19" s="126">
        <v>0</v>
      </c>
      <c r="K19" s="126">
        <v>44</v>
      </c>
      <c r="L19" s="126">
        <v>0</v>
      </c>
      <c r="M19" s="126">
        <v>0</v>
      </c>
      <c r="N19" s="126">
        <v>0</v>
      </c>
      <c r="O19" s="126">
        <v>0</v>
      </c>
      <c r="P19" s="126">
        <v>0</v>
      </c>
      <c r="Q19" s="126">
        <v>0</v>
      </c>
      <c r="R19" s="126">
        <v>0</v>
      </c>
    </row>
    <row r="20" spans="3:18" ht="23.1" customHeight="1">
      <c r="C20" s="126">
        <v>186</v>
      </c>
      <c r="D20" s="141" t="s">
        <v>616</v>
      </c>
      <c r="E20" s="159" t="s">
        <v>617</v>
      </c>
      <c r="F20" s="127">
        <v>1</v>
      </c>
      <c r="I20" s="162">
        <v>46175</v>
      </c>
      <c r="J20" s="126">
        <v>0</v>
      </c>
      <c r="K20" s="126">
        <v>12</v>
      </c>
      <c r="L20" s="126">
        <v>0</v>
      </c>
      <c r="M20" s="126">
        <v>0</v>
      </c>
      <c r="N20" s="126">
        <v>0</v>
      </c>
      <c r="O20" s="126">
        <v>0</v>
      </c>
      <c r="P20" s="126">
        <v>0</v>
      </c>
      <c r="Q20" s="126">
        <v>0</v>
      </c>
      <c r="R20" s="126">
        <v>0</v>
      </c>
    </row>
    <row r="21" spans="3:18" ht="23.1" customHeight="1">
      <c r="C21" s="126">
        <v>182</v>
      </c>
      <c r="D21" s="141" t="s">
        <v>627</v>
      </c>
      <c r="E21" s="159" t="s">
        <v>628</v>
      </c>
      <c r="F21" s="127">
        <v>1</v>
      </c>
      <c r="I21" s="162">
        <v>46175</v>
      </c>
      <c r="J21" s="126">
        <v>0</v>
      </c>
      <c r="K21" s="126">
        <v>60</v>
      </c>
      <c r="L21" s="126">
        <v>0</v>
      </c>
      <c r="M21" s="126">
        <v>0</v>
      </c>
      <c r="N21" s="126">
        <v>0</v>
      </c>
      <c r="O21" s="126">
        <v>0</v>
      </c>
      <c r="P21" s="126">
        <v>0</v>
      </c>
      <c r="Q21" s="126">
        <v>0</v>
      </c>
      <c r="R21" s="126">
        <v>0</v>
      </c>
    </row>
    <row r="22" spans="3:18" ht="23.1" customHeight="1">
      <c r="C22" s="126">
        <v>96</v>
      </c>
      <c r="D22" s="141" t="s">
        <v>632</v>
      </c>
      <c r="E22" s="159" t="s">
        <v>633</v>
      </c>
      <c r="F22" s="127">
        <v>1</v>
      </c>
      <c r="I22" s="162">
        <v>46175</v>
      </c>
      <c r="J22" s="126">
        <v>0</v>
      </c>
      <c r="K22" s="126">
        <v>2</v>
      </c>
      <c r="L22" s="126">
        <v>0</v>
      </c>
      <c r="M22" s="126">
        <v>0</v>
      </c>
      <c r="N22" s="126">
        <v>0</v>
      </c>
      <c r="O22" s="126">
        <v>0</v>
      </c>
      <c r="P22" s="126">
        <v>0</v>
      </c>
      <c r="Q22" s="126">
        <v>0</v>
      </c>
      <c r="R22" s="126">
        <v>0</v>
      </c>
    </row>
    <row r="23" spans="3:18" ht="23.1" customHeight="1">
      <c r="C23" s="126">
        <v>97</v>
      </c>
      <c r="D23" s="141" t="s">
        <v>637</v>
      </c>
      <c r="E23" s="159" t="s">
        <v>638</v>
      </c>
      <c r="F23" s="127">
        <v>1</v>
      </c>
      <c r="I23" s="162">
        <v>46175</v>
      </c>
      <c r="J23" s="126">
        <v>0</v>
      </c>
      <c r="K23" s="126">
        <v>2</v>
      </c>
      <c r="L23" s="126">
        <v>0</v>
      </c>
      <c r="M23" s="126">
        <v>0</v>
      </c>
      <c r="N23" s="126">
        <v>0</v>
      </c>
      <c r="O23" s="126">
        <v>0</v>
      </c>
      <c r="P23" s="126">
        <v>0</v>
      </c>
      <c r="Q23" s="126">
        <v>0</v>
      </c>
      <c r="R23" s="126">
        <v>0</v>
      </c>
    </row>
    <row r="24" spans="3:18" ht="23.1" customHeight="1">
      <c r="C24" s="126">
        <v>22</v>
      </c>
      <c r="D24" s="141" t="s">
        <v>642</v>
      </c>
      <c r="E24" s="159" t="s">
        <v>643</v>
      </c>
      <c r="F24" s="127">
        <v>1</v>
      </c>
      <c r="I24" s="162">
        <v>46175</v>
      </c>
      <c r="J24" s="126">
        <v>0</v>
      </c>
      <c r="K24" s="126">
        <v>1</v>
      </c>
      <c r="L24" s="126">
        <v>0</v>
      </c>
      <c r="M24" s="126">
        <v>0</v>
      </c>
      <c r="N24" s="126">
        <v>0</v>
      </c>
      <c r="O24" s="126">
        <v>0</v>
      </c>
      <c r="P24" s="126">
        <v>0</v>
      </c>
      <c r="Q24" s="126">
        <v>0</v>
      </c>
      <c r="R24" s="126">
        <v>0</v>
      </c>
    </row>
    <row r="25" spans="3:18" ht="23.1" customHeight="1">
      <c r="C25" s="126">
        <v>46</v>
      </c>
      <c r="D25" s="141" t="s">
        <v>647</v>
      </c>
      <c r="E25" s="159" t="s">
        <v>648</v>
      </c>
      <c r="F25" s="127">
        <v>1</v>
      </c>
      <c r="I25" s="162">
        <v>46175</v>
      </c>
      <c r="J25" s="126">
        <v>0</v>
      </c>
      <c r="K25" s="126">
        <v>10</v>
      </c>
      <c r="L25" s="126">
        <v>0</v>
      </c>
      <c r="M25" s="126">
        <v>0</v>
      </c>
      <c r="N25" s="126">
        <v>0</v>
      </c>
      <c r="O25" s="126">
        <v>0</v>
      </c>
      <c r="P25" s="126">
        <v>0</v>
      </c>
      <c r="Q25" s="126">
        <v>0</v>
      </c>
      <c r="R25" s="126">
        <v>0</v>
      </c>
    </row>
    <row r="26" spans="3:18" ht="23.1" customHeight="1">
      <c r="C26" s="126">
        <v>197</v>
      </c>
      <c r="D26" s="141" t="s">
        <v>652</v>
      </c>
      <c r="E26" s="159" t="s">
        <v>653</v>
      </c>
      <c r="F26" s="127">
        <v>1</v>
      </c>
      <c r="I26" s="162">
        <v>46175</v>
      </c>
      <c r="J26" s="126">
        <v>0</v>
      </c>
      <c r="K26" s="126">
        <v>4</v>
      </c>
      <c r="L26" s="126">
        <v>0</v>
      </c>
      <c r="M26" s="126">
        <v>0</v>
      </c>
      <c r="N26" s="126">
        <v>0</v>
      </c>
      <c r="O26" s="126">
        <v>0</v>
      </c>
      <c r="P26" s="126">
        <v>0</v>
      </c>
      <c r="Q26" s="126">
        <v>0</v>
      </c>
      <c r="R26" s="126">
        <v>0</v>
      </c>
    </row>
    <row r="27" spans="3:18" ht="23.1" customHeight="1">
      <c r="C27" s="126">
        <v>17</v>
      </c>
      <c r="D27" s="141" t="s">
        <v>662</v>
      </c>
      <c r="E27" s="159" t="s">
        <v>663</v>
      </c>
      <c r="F27" s="127">
        <v>1</v>
      </c>
      <c r="I27" s="162">
        <v>46175</v>
      </c>
      <c r="J27" s="126">
        <v>0</v>
      </c>
      <c r="K27" s="126">
        <v>1</v>
      </c>
      <c r="L27" s="126">
        <v>0</v>
      </c>
      <c r="M27" s="126">
        <v>0</v>
      </c>
      <c r="N27" s="126">
        <v>0</v>
      </c>
      <c r="O27" s="126">
        <v>0</v>
      </c>
      <c r="P27" s="126">
        <v>0</v>
      </c>
      <c r="Q27" s="126">
        <v>0</v>
      </c>
      <c r="R27" s="126">
        <v>0</v>
      </c>
    </row>
    <row r="28" spans="3:18" ht="23.1" customHeight="1">
      <c r="C28" s="126">
        <v>155</v>
      </c>
      <c r="D28" s="141" t="s">
        <v>667</v>
      </c>
      <c r="E28" s="159" t="s">
        <v>668</v>
      </c>
      <c r="F28" s="127">
        <v>1</v>
      </c>
      <c r="I28" s="162">
        <v>46175</v>
      </c>
      <c r="J28" s="126">
        <v>0</v>
      </c>
      <c r="K28" s="126">
        <v>1</v>
      </c>
      <c r="L28" s="126">
        <v>0</v>
      </c>
      <c r="M28" s="126">
        <v>0</v>
      </c>
      <c r="N28" s="126">
        <v>0</v>
      </c>
      <c r="O28" s="126">
        <v>0</v>
      </c>
      <c r="P28" s="126">
        <v>0</v>
      </c>
      <c r="Q28" s="126">
        <v>0</v>
      </c>
      <c r="R28" s="126">
        <v>0</v>
      </c>
    </row>
    <row r="29" spans="3:18" ht="23.1" customHeight="1">
      <c r="C29" s="126">
        <v>1</v>
      </c>
      <c r="D29" s="141" t="s">
        <v>677</v>
      </c>
      <c r="E29" s="159" t="s">
        <v>678</v>
      </c>
      <c r="F29" s="127">
        <v>1</v>
      </c>
      <c r="I29" s="162">
        <v>46143</v>
      </c>
      <c r="J29" s="126">
        <v>0</v>
      </c>
      <c r="K29" s="126">
        <v>0</v>
      </c>
      <c r="L29" s="126">
        <v>0</v>
      </c>
      <c r="M29" s="126">
        <v>4</v>
      </c>
      <c r="N29" s="126">
        <v>0</v>
      </c>
      <c r="O29" s="126">
        <v>0</v>
      </c>
      <c r="P29" s="126">
        <v>0</v>
      </c>
      <c r="Q29" s="126">
        <v>0</v>
      </c>
      <c r="R29" s="126">
        <v>0</v>
      </c>
    </row>
    <row r="30" spans="3:18" ht="23.1" customHeight="1">
      <c r="C30" s="126">
        <v>2</v>
      </c>
      <c r="D30" s="141" t="s">
        <v>682</v>
      </c>
      <c r="E30" s="159" t="s">
        <v>683</v>
      </c>
      <c r="F30" s="127">
        <v>1</v>
      </c>
      <c r="I30" s="162">
        <v>46143</v>
      </c>
      <c r="J30" s="126">
        <v>0</v>
      </c>
      <c r="K30" s="126">
        <v>0</v>
      </c>
      <c r="L30" s="126">
        <v>0</v>
      </c>
      <c r="M30" s="126">
        <v>5</v>
      </c>
      <c r="N30" s="126">
        <v>0</v>
      </c>
      <c r="O30" s="126">
        <v>0</v>
      </c>
      <c r="P30" s="126">
        <v>0</v>
      </c>
      <c r="Q30" s="126">
        <v>0</v>
      </c>
      <c r="R30" s="126">
        <v>0</v>
      </c>
    </row>
    <row r="31" spans="3:18" ht="23.1" customHeight="1">
      <c r="C31" s="126">
        <v>4</v>
      </c>
      <c r="D31" s="141" t="s">
        <v>581</v>
      </c>
      <c r="E31" s="159" t="s">
        <v>582</v>
      </c>
      <c r="F31" s="127">
        <v>1</v>
      </c>
      <c r="I31" s="162">
        <v>46143</v>
      </c>
      <c r="J31" s="126">
        <v>0</v>
      </c>
      <c r="K31" s="126">
        <v>0</v>
      </c>
      <c r="L31" s="126">
        <v>0</v>
      </c>
      <c r="M31" s="126">
        <v>7</v>
      </c>
      <c r="N31" s="126">
        <v>0</v>
      </c>
      <c r="O31" s="126">
        <v>0</v>
      </c>
      <c r="P31" s="126">
        <v>0</v>
      </c>
      <c r="Q31" s="126">
        <v>0</v>
      </c>
      <c r="R31" s="126">
        <v>0</v>
      </c>
    </row>
    <row r="32" spans="3:18" ht="23.1" customHeight="1">
      <c r="C32" s="126">
        <v>5</v>
      </c>
      <c r="D32" s="141" t="s">
        <v>686</v>
      </c>
      <c r="E32" s="159" t="s">
        <v>687</v>
      </c>
      <c r="F32" s="127">
        <v>1</v>
      </c>
      <c r="I32" s="162">
        <v>46143</v>
      </c>
      <c r="J32" s="126">
        <v>0</v>
      </c>
      <c r="K32" s="126">
        <v>0</v>
      </c>
      <c r="L32" s="126">
        <v>0</v>
      </c>
      <c r="M32" s="126">
        <v>6</v>
      </c>
      <c r="N32" s="126">
        <v>0</v>
      </c>
      <c r="O32" s="126">
        <v>0</v>
      </c>
      <c r="P32" s="126">
        <v>0</v>
      </c>
      <c r="Q32" s="126">
        <v>0</v>
      </c>
      <c r="R32" s="126">
        <v>0</v>
      </c>
    </row>
    <row r="33" spans="3:18" ht="23.1" customHeight="1">
      <c r="C33" s="126">
        <v>10</v>
      </c>
      <c r="D33" s="141" t="s">
        <v>586</v>
      </c>
      <c r="E33" s="159" t="s">
        <v>587</v>
      </c>
      <c r="F33" s="127">
        <v>1</v>
      </c>
      <c r="I33" s="162">
        <v>46143</v>
      </c>
      <c r="J33" s="126">
        <v>0</v>
      </c>
      <c r="K33" s="126">
        <v>0</v>
      </c>
      <c r="L33" s="126">
        <v>0</v>
      </c>
      <c r="M33" s="126">
        <v>10</v>
      </c>
      <c r="N33" s="126">
        <v>0</v>
      </c>
      <c r="O33" s="126">
        <v>0</v>
      </c>
      <c r="P33" s="126">
        <v>0</v>
      </c>
      <c r="Q33" s="126">
        <v>0</v>
      </c>
      <c r="R33" s="126">
        <v>0</v>
      </c>
    </row>
    <row r="34" spans="3:18" ht="23.1" customHeight="1">
      <c r="C34" s="126">
        <v>11</v>
      </c>
      <c r="D34" s="141" t="s">
        <v>690</v>
      </c>
      <c r="E34" s="159" t="s">
        <v>691</v>
      </c>
      <c r="F34" s="127">
        <v>1</v>
      </c>
      <c r="I34" s="162">
        <v>46143</v>
      </c>
      <c r="J34" s="126">
        <v>0</v>
      </c>
      <c r="K34" s="126">
        <v>0</v>
      </c>
      <c r="L34" s="126">
        <v>0</v>
      </c>
      <c r="M34" s="126">
        <v>10</v>
      </c>
      <c r="N34" s="126">
        <v>0</v>
      </c>
      <c r="O34" s="126">
        <v>0</v>
      </c>
      <c r="P34" s="126">
        <v>0</v>
      </c>
      <c r="Q34" s="126">
        <v>0</v>
      </c>
      <c r="R34" s="126">
        <v>0</v>
      </c>
    </row>
    <row r="35" spans="3:18" ht="23.1" customHeight="1">
      <c r="C35" s="126">
        <v>13</v>
      </c>
      <c r="D35" s="141" t="s">
        <v>693</v>
      </c>
      <c r="E35" s="159" t="s">
        <v>694</v>
      </c>
      <c r="F35" s="127">
        <v>1</v>
      </c>
      <c r="I35" s="162">
        <v>46143</v>
      </c>
      <c r="J35" s="126">
        <v>0</v>
      </c>
      <c r="K35" s="126">
        <v>0</v>
      </c>
      <c r="L35" s="126">
        <v>0</v>
      </c>
      <c r="M35" s="126">
        <v>8</v>
      </c>
      <c r="N35" s="126">
        <v>0</v>
      </c>
      <c r="O35" s="126">
        <v>0</v>
      </c>
      <c r="P35" s="126">
        <v>0</v>
      </c>
      <c r="Q35" s="126">
        <v>0</v>
      </c>
      <c r="R35" s="126">
        <v>0</v>
      </c>
    </row>
    <row r="36" spans="3:18" ht="23.1" customHeight="1">
      <c r="C36" s="126">
        <v>14</v>
      </c>
      <c r="D36" s="141" t="s">
        <v>696</v>
      </c>
      <c r="E36" s="159" t="s">
        <v>697</v>
      </c>
      <c r="F36" s="127">
        <v>1</v>
      </c>
      <c r="I36" s="162">
        <v>46143</v>
      </c>
      <c r="J36" s="126">
        <v>0</v>
      </c>
      <c r="K36" s="126">
        <v>0</v>
      </c>
      <c r="L36" s="126">
        <v>0</v>
      </c>
      <c r="M36" s="126">
        <v>12</v>
      </c>
      <c r="N36" s="126">
        <v>0</v>
      </c>
      <c r="O36" s="126">
        <v>0</v>
      </c>
      <c r="P36" s="126">
        <v>0</v>
      </c>
      <c r="Q36" s="126">
        <v>0</v>
      </c>
      <c r="R36" s="126">
        <v>0</v>
      </c>
    </row>
    <row r="37" spans="3:18" ht="23.1" customHeight="1">
      <c r="C37" s="126">
        <v>16</v>
      </c>
      <c r="D37" s="141" t="s">
        <v>699</v>
      </c>
      <c r="E37" s="159" t="s">
        <v>700</v>
      </c>
      <c r="F37" s="127">
        <v>1</v>
      </c>
      <c r="I37" s="162">
        <v>46143</v>
      </c>
      <c r="J37" s="126">
        <v>0</v>
      </c>
      <c r="K37" s="126">
        <v>0</v>
      </c>
      <c r="L37" s="126">
        <v>0</v>
      </c>
      <c r="M37" s="126">
        <v>15</v>
      </c>
      <c r="N37" s="126">
        <v>0</v>
      </c>
      <c r="O37" s="126">
        <v>0</v>
      </c>
      <c r="P37" s="126">
        <v>0</v>
      </c>
      <c r="Q37" s="126">
        <v>0</v>
      </c>
      <c r="R37" s="126">
        <v>0</v>
      </c>
    </row>
    <row r="38" spans="3:18" ht="23.1" customHeight="1">
      <c r="C38" s="126">
        <v>17</v>
      </c>
      <c r="D38" s="141" t="s">
        <v>662</v>
      </c>
      <c r="E38" s="159" t="s">
        <v>663</v>
      </c>
      <c r="F38" s="127">
        <v>1</v>
      </c>
      <c r="I38" s="162">
        <v>46143</v>
      </c>
      <c r="J38" s="126">
        <v>0</v>
      </c>
      <c r="K38" s="126">
        <v>0</v>
      </c>
      <c r="L38" s="126">
        <v>0</v>
      </c>
      <c r="M38" s="126">
        <v>20</v>
      </c>
      <c r="N38" s="126">
        <v>0</v>
      </c>
      <c r="O38" s="126">
        <v>0</v>
      </c>
      <c r="P38" s="126">
        <v>0</v>
      </c>
      <c r="Q38" s="126">
        <v>0</v>
      </c>
      <c r="R38" s="126">
        <v>0</v>
      </c>
    </row>
    <row r="39" spans="3:18" ht="23.1" customHeight="1">
      <c r="C39" s="126">
        <v>18</v>
      </c>
      <c r="D39" s="141" t="s">
        <v>703</v>
      </c>
      <c r="E39" s="159" t="s">
        <v>704</v>
      </c>
      <c r="F39" s="127">
        <v>1</v>
      </c>
      <c r="I39" s="162">
        <v>46143</v>
      </c>
      <c r="J39" s="126">
        <v>0</v>
      </c>
      <c r="K39" s="126">
        <v>0</v>
      </c>
      <c r="L39" s="126">
        <v>0</v>
      </c>
      <c r="M39" s="126">
        <v>18</v>
      </c>
      <c r="N39" s="126">
        <v>0</v>
      </c>
      <c r="O39" s="126">
        <v>0</v>
      </c>
      <c r="P39" s="126">
        <v>0</v>
      </c>
      <c r="Q39" s="126">
        <v>0</v>
      </c>
      <c r="R39" s="126">
        <v>0</v>
      </c>
    </row>
    <row r="40" spans="3:18" ht="23.1" customHeight="1">
      <c r="C40" s="126">
        <v>19</v>
      </c>
      <c r="D40" s="141" t="s">
        <v>706</v>
      </c>
      <c r="E40" s="159" t="s">
        <v>707</v>
      </c>
      <c r="F40" s="127">
        <v>1</v>
      </c>
      <c r="I40" s="162">
        <v>46143</v>
      </c>
      <c r="J40" s="126">
        <v>0</v>
      </c>
      <c r="K40" s="126">
        <v>0</v>
      </c>
      <c r="L40" s="126">
        <v>0</v>
      </c>
      <c r="M40" s="126">
        <v>5</v>
      </c>
      <c r="N40" s="126">
        <v>0</v>
      </c>
      <c r="O40" s="126">
        <v>0</v>
      </c>
      <c r="P40" s="126">
        <v>0</v>
      </c>
      <c r="Q40" s="126">
        <v>0</v>
      </c>
      <c r="R40" s="126">
        <v>0</v>
      </c>
    </row>
    <row r="41" spans="3:18" ht="23.1" customHeight="1">
      <c r="C41" s="126">
        <v>20</v>
      </c>
      <c r="D41" s="141" t="s">
        <v>709</v>
      </c>
      <c r="E41" s="159" t="s">
        <v>710</v>
      </c>
      <c r="F41" s="127">
        <v>1</v>
      </c>
      <c r="I41" s="162">
        <v>46143</v>
      </c>
      <c r="J41" s="126">
        <v>0</v>
      </c>
      <c r="K41" s="126">
        <v>0</v>
      </c>
      <c r="L41" s="126">
        <v>0</v>
      </c>
      <c r="M41" s="126">
        <v>3</v>
      </c>
      <c r="N41" s="126">
        <v>0</v>
      </c>
      <c r="O41" s="126">
        <v>0</v>
      </c>
      <c r="P41" s="126">
        <v>0</v>
      </c>
      <c r="Q41" s="126">
        <v>0</v>
      </c>
      <c r="R41" s="126">
        <v>0</v>
      </c>
    </row>
    <row r="42" spans="3:18" ht="23.1" customHeight="1">
      <c r="C42" s="126">
        <v>22</v>
      </c>
      <c r="D42" s="141" t="s">
        <v>642</v>
      </c>
      <c r="E42" s="159" t="s">
        <v>643</v>
      </c>
      <c r="F42" s="127">
        <v>1</v>
      </c>
      <c r="I42" s="162">
        <v>46143</v>
      </c>
      <c r="J42" s="126">
        <v>0</v>
      </c>
      <c r="K42" s="126">
        <v>0</v>
      </c>
      <c r="L42" s="126">
        <v>0</v>
      </c>
      <c r="M42" s="126">
        <v>7</v>
      </c>
      <c r="N42" s="126">
        <v>0</v>
      </c>
      <c r="O42" s="126">
        <v>0</v>
      </c>
      <c r="P42" s="126">
        <v>0</v>
      </c>
      <c r="Q42" s="126">
        <v>0</v>
      </c>
      <c r="R42" s="126">
        <v>0</v>
      </c>
    </row>
    <row r="43" spans="3:18" ht="23.1" customHeight="1">
      <c r="C43" s="126">
        <v>26</v>
      </c>
      <c r="D43" s="141" t="s">
        <v>715</v>
      </c>
      <c r="E43" s="159" t="s">
        <v>716</v>
      </c>
      <c r="F43" s="127">
        <v>1</v>
      </c>
      <c r="I43" s="162">
        <v>46146</v>
      </c>
      <c r="J43" s="126">
        <v>0</v>
      </c>
      <c r="K43" s="126">
        <v>0</v>
      </c>
      <c r="L43" s="126">
        <v>0</v>
      </c>
      <c r="M43" s="126">
        <v>5</v>
      </c>
      <c r="N43" s="126">
        <v>0</v>
      </c>
      <c r="O43" s="126">
        <v>0</v>
      </c>
      <c r="P43" s="126">
        <v>0</v>
      </c>
      <c r="Q43" s="126">
        <v>0</v>
      </c>
      <c r="R43" s="126">
        <v>0</v>
      </c>
    </row>
    <row r="44" spans="3:18" ht="23.1" customHeight="1">
      <c r="C44" s="126">
        <v>101</v>
      </c>
      <c r="D44" s="141" t="s">
        <v>718</v>
      </c>
      <c r="E44" s="159" t="s">
        <v>719</v>
      </c>
      <c r="F44" s="127">
        <v>1</v>
      </c>
      <c r="I44" s="162">
        <v>46146</v>
      </c>
      <c r="J44" s="126">
        <v>0</v>
      </c>
      <c r="K44" s="126">
        <v>0</v>
      </c>
      <c r="L44" s="126">
        <v>0</v>
      </c>
      <c r="M44" s="126">
        <v>22500</v>
      </c>
      <c r="N44" s="126">
        <v>0</v>
      </c>
      <c r="O44" s="126">
        <v>0</v>
      </c>
      <c r="P44" s="126">
        <v>0</v>
      </c>
      <c r="Q44" s="126">
        <v>0</v>
      </c>
      <c r="R44" s="126">
        <v>0</v>
      </c>
    </row>
    <row r="45" spans="3:18" ht="23.1" customHeight="1">
      <c r="C45" s="126">
        <v>102</v>
      </c>
      <c r="D45" s="141" t="s">
        <v>722</v>
      </c>
      <c r="E45" s="159" t="s">
        <v>723</v>
      </c>
      <c r="F45" s="127">
        <v>1</v>
      </c>
      <c r="I45" s="162">
        <v>46146</v>
      </c>
      <c r="J45" s="126">
        <v>0</v>
      </c>
      <c r="K45" s="126">
        <v>0</v>
      </c>
      <c r="L45" s="126">
        <v>0</v>
      </c>
      <c r="M45" s="126">
        <v>4</v>
      </c>
      <c r="N45" s="126">
        <v>0</v>
      </c>
      <c r="O45" s="126">
        <v>0</v>
      </c>
      <c r="P45" s="126">
        <v>0</v>
      </c>
      <c r="Q45" s="126">
        <v>0</v>
      </c>
      <c r="R45" s="126">
        <v>0</v>
      </c>
    </row>
    <row r="46" spans="3:18" ht="23.1" customHeight="1">
      <c r="C46" s="126">
        <v>125</v>
      </c>
      <c r="D46" s="141" t="s">
        <v>726</v>
      </c>
      <c r="E46" s="159" t="s">
        <v>727</v>
      </c>
      <c r="F46" s="127">
        <v>1</v>
      </c>
      <c r="I46" s="162">
        <v>46146</v>
      </c>
      <c r="J46" s="126">
        <v>0</v>
      </c>
      <c r="K46" s="126">
        <v>0</v>
      </c>
      <c r="L46" s="126">
        <v>0</v>
      </c>
      <c r="M46" s="126">
        <v>700</v>
      </c>
      <c r="N46" s="126">
        <v>0</v>
      </c>
      <c r="O46" s="126">
        <v>0</v>
      </c>
      <c r="P46" s="126">
        <v>0</v>
      </c>
      <c r="Q46" s="126">
        <v>0</v>
      </c>
      <c r="R46" s="126">
        <v>0</v>
      </c>
    </row>
    <row r="47" spans="3:18" ht="23.1" customHeight="1">
      <c r="C47" s="126">
        <v>152</v>
      </c>
      <c r="D47" s="141" t="s">
        <v>730</v>
      </c>
      <c r="E47" s="159" t="s">
        <v>731</v>
      </c>
      <c r="F47" s="127">
        <v>1</v>
      </c>
      <c r="I47" s="162">
        <v>46146</v>
      </c>
      <c r="J47" s="126">
        <v>0</v>
      </c>
      <c r="K47" s="126">
        <v>0</v>
      </c>
      <c r="L47" s="126">
        <v>0</v>
      </c>
      <c r="M47" s="126">
        <v>3</v>
      </c>
      <c r="N47" s="126">
        <v>0</v>
      </c>
      <c r="O47" s="126">
        <v>0</v>
      </c>
      <c r="P47" s="126">
        <v>0</v>
      </c>
      <c r="Q47" s="126">
        <v>0</v>
      </c>
      <c r="R47" s="126">
        <v>0</v>
      </c>
    </row>
    <row r="48" spans="3:18" ht="23.1" customHeight="1">
      <c r="C48" s="126">
        <v>155</v>
      </c>
      <c r="D48" s="141" t="s">
        <v>667</v>
      </c>
      <c r="E48" s="159" t="s">
        <v>668</v>
      </c>
      <c r="F48" s="127">
        <v>1</v>
      </c>
      <c r="I48" s="162">
        <v>46146</v>
      </c>
      <c r="J48" s="126">
        <v>0</v>
      </c>
      <c r="K48" s="126">
        <v>0</v>
      </c>
      <c r="L48" s="126">
        <v>0</v>
      </c>
      <c r="M48" s="126">
        <v>3</v>
      </c>
      <c r="N48" s="126">
        <v>0</v>
      </c>
      <c r="O48" s="126">
        <v>0</v>
      </c>
      <c r="P48" s="126">
        <v>0</v>
      </c>
      <c r="Q48" s="126">
        <v>0</v>
      </c>
      <c r="R48" s="126">
        <v>0</v>
      </c>
    </row>
    <row r="49" spans="3:18" ht="23.1" customHeight="1">
      <c r="C49" s="126">
        <v>156</v>
      </c>
      <c r="D49" s="141" t="s">
        <v>735</v>
      </c>
      <c r="E49" s="159" t="s">
        <v>736</v>
      </c>
      <c r="F49" s="127">
        <v>1</v>
      </c>
      <c r="I49" s="162">
        <v>46146</v>
      </c>
      <c r="J49" s="126">
        <v>0</v>
      </c>
      <c r="K49" s="126">
        <v>0</v>
      </c>
      <c r="L49" s="126">
        <v>0</v>
      </c>
      <c r="M49" s="126">
        <v>5</v>
      </c>
      <c r="N49" s="126">
        <v>0</v>
      </c>
      <c r="O49" s="126">
        <v>0</v>
      </c>
      <c r="P49" s="126">
        <v>0</v>
      </c>
      <c r="Q49" s="126">
        <v>0</v>
      </c>
      <c r="R49" s="126">
        <v>0</v>
      </c>
    </row>
    <row r="50" spans="3:18" ht="23.1" customHeight="1">
      <c r="C50" s="126">
        <v>160</v>
      </c>
      <c r="D50" s="141" t="s">
        <v>738</v>
      </c>
      <c r="E50" s="159" t="s">
        <v>739</v>
      </c>
      <c r="F50" s="127">
        <v>1</v>
      </c>
      <c r="I50" s="162">
        <v>46146</v>
      </c>
      <c r="J50" s="126">
        <v>0</v>
      </c>
      <c r="K50" s="126">
        <v>0</v>
      </c>
      <c r="L50" s="126">
        <v>0</v>
      </c>
      <c r="M50" s="126">
        <v>2</v>
      </c>
      <c r="N50" s="126">
        <v>0</v>
      </c>
      <c r="O50" s="126">
        <v>0</v>
      </c>
      <c r="P50" s="126">
        <v>0</v>
      </c>
      <c r="Q50" s="126">
        <v>0</v>
      </c>
      <c r="R50" s="126">
        <v>0</v>
      </c>
    </row>
    <row r="51" spans="3:18" ht="23.1" customHeight="1">
      <c r="C51" s="126">
        <v>162</v>
      </c>
      <c r="D51" s="141" t="s">
        <v>741</v>
      </c>
      <c r="E51" s="159" t="s">
        <v>742</v>
      </c>
      <c r="F51" s="127">
        <v>1</v>
      </c>
      <c r="I51" s="162">
        <v>46146</v>
      </c>
      <c r="J51" s="126">
        <v>0</v>
      </c>
      <c r="K51" s="126">
        <v>0</v>
      </c>
      <c r="L51" s="126">
        <v>0</v>
      </c>
      <c r="M51" s="126">
        <v>2</v>
      </c>
      <c r="N51" s="126">
        <v>0</v>
      </c>
      <c r="O51" s="126">
        <v>0</v>
      </c>
      <c r="P51" s="126">
        <v>0</v>
      </c>
      <c r="Q51" s="126">
        <v>0</v>
      </c>
      <c r="R51" s="126">
        <v>0</v>
      </c>
    </row>
    <row r="52" spans="3:18" ht="23.1" customHeight="1">
      <c r="C52" s="126">
        <v>163</v>
      </c>
      <c r="D52" s="141" t="s">
        <v>745</v>
      </c>
      <c r="E52" s="159" t="s">
        <v>746</v>
      </c>
      <c r="F52" s="127">
        <v>1</v>
      </c>
      <c r="I52" s="162">
        <v>46146</v>
      </c>
      <c r="J52" s="126">
        <v>0</v>
      </c>
      <c r="K52" s="126">
        <v>0</v>
      </c>
      <c r="L52" s="126">
        <v>0</v>
      </c>
      <c r="M52" s="126">
        <v>2</v>
      </c>
      <c r="N52" s="126">
        <v>0</v>
      </c>
      <c r="O52" s="126">
        <v>0</v>
      </c>
      <c r="P52" s="126">
        <v>0</v>
      </c>
      <c r="Q52" s="126">
        <v>0</v>
      </c>
      <c r="R52" s="126">
        <v>0</v>
      </c>
    </row>
    <row r="53" spans="3:18" ht="23.1" customHeight="1">
      <c r="C53" s="126">
        <v>176</v>
      </c>
      <c r="D53" s="141" t="s">
        <v>748</v>
      </c>
      <c r="E53" s="159" t="s">
        <v>749</v>
      </c>
      <c r="F53" s="127">
        <v>1</v>
      </c>
      <c r="I53" s="162">
        <v>46146</v>
      </c>
      <c r="J53" s="126">
        <v>0</v>
      </c>
      <c r="K53" s="126">
        <v>0</v>
      </c>
      <c r="L53" s="126">
        <v>0</v>
      </c>
      <c r="M53" s="126">
        <v>5000</v>
      </c>
      <c r="N53" s="126">
        <v>0</v>
      </c>
      <c r="O53" s="126">
        <v>0</v>
      </c>
      <c r="P53" s="126">
        <v>0</v>
      </c>
      <c r="Q53" s="126">
        <v>0</v>
      </c>
      <c r="R53" s="126">
        <v>0</v>
      </c>
    </row>
    <row r="54" spans="3:18" ht="23.1" customHeight="1">
      <c r="C54" s="126">
        <v>177</v>
      </c>
      <c r="D54" s="141" t="s">
        <v>752</v>
      </c>
      <c r="E54" s="159" t="s">
        <v>753</v>
      </c>
      <c r="F54" s="127">
        <v>1</v>
      </c>
      <c r="I54" s="162">
        <v>46146</v>
      </c>
      <c r="J54" s="126">
        <v>0</v>
      </c>
      <c r="K54" s="126">
        <v>0</v>
      </c>
      <c r="L54" s="126">
        <v>0</v>
      </c>
      <c r="M54" s="126">
        <v>12000</v>
      </c>
      <c r="N54" s="126">
        <v>0</v>
      </c>
      <c r="O54" s="126">
        <v>0</v>
      </c>
      <c r="P54" s="126">
        <v>0</v>
      </c>
      <c r="Q54" s="126">
        <v>0</v>
      </c>
      <c r="R54" s="126">
        <v>0</v>
      </c>
    </row>
    <row r="55" spans="3:18" ht="23.1" customHeight="1">
      <c r="C55" s="126">
        <v>178</v>
      </c>
      <c r="D55" s="141" t="s">
        <v>755</v>
      </c>
      <c r="E55" s="159" t="s">
        <v>756</v>
      </c>
      <c r="F55" s="127">
        <v>1</v>
      </c>
      <c r="I55" s="162">
        <v>46146</v>
      </c>
      <c r="J55" s="126">
        <v>0</v>
      </c>
      <c r="K55" s="126">
        <v>0</v>
      </c>
      <c r="L55" s="126">
        <v>0</v>
      </c>
      <c r="M55" s="126">
        <v>6000</v>
      </c>
      <c r="N55" s="126">
        <v>0</v>
      </c>
      <c r="O55" s="126">
        <v>0</v>
      </c>
      <c r="P55" s="126">
        <v>0</v>
      </c>
      <c r="Q55" s="126">
        <v>0</v>
      </c>
      <c r="R55" s="126">
        <v>0</v>
      </c>
    </row>
    <row r="56" spans="3:18" ht="23.1" customHeight="1">
      <c r="C56" s="126">
        <v>179</v>
      </c>
      <c r="D56" s="141" t="s">
        <v>564</v>
      </c>
      <c r="E56" s="159" t="s">
        <v>565</v>
      </c>
      <c r="F56" s="127">
        <v>1</v>
      </c>
      <c r="I56" s="162">
        <v>46146</v>
      </c>
      <c r="J56" s="126">
        <v>0</v>
      </c>
      <c r="K56" s="126">
        <v>0</v>
      </c>
      <c r="L56" s="126">
        <v>0</v>
      </c>
      <c r="M56" s="126">
        <v>4000</v>
      </c>
      <c r="N56" s="126">
        <v>0</v>
      </c>
      <c r="O56" s="126">
        <v>0</v>
      </c>
      <c r="P56" s="126">
        <v>0</v>
      </c>
      <c r="Q56" s="126">
        <v>0</v>
      </c>
      <c r="R56" s="126">
        <v>0</v>
      </c>
    </row>
    <row r="57" spans="3:18" ht="23.1" customHeight="1">
      <c r="C57" s="126">
        <v>181</v>
      </c>
      <c r="D57" s="141" t="s">
        <v>761</v>
      </c>
      <c r="E57" s="159" t="s">
        <v>762</v>
      </c>
      <c r="F57" s="127">
        <v>1</v>
      </c>
      <c r="I57" s="162">
        <v>46148</v>
      </c>
      <c r="J57" s="126">
        <v>0</v>
      </c>
      <c r="K57" s="126">
        <v>0</v>
      </c>
      <c r="L57" s="126">
        <v>0</v>
      </c>
      <c r="M57" s="126">
        <v>180</v>
      </c>
      <c r="N57" s="126">
        <v>0</v>
      </c>
      <c r="O57" s="126">
        <v>0</v>
      </c>
      <c r="P57" s="126">
        <v>0</v>
      </c>
      <c r="Q57" s="126">
        <v>0</v>
      </c>
      <c r="R57" s="126">
        <v>0</v>
      </c>
    </row>
    <row r="58" spans="3:18" ht="23.1" customHeight="1">
      <c r="C58" s="126">
        <v>182</v>
      </c>
      <c r="D58" s="141" t="s">
        <v>627</v>
      </c>
      <c r="E58" s="159" t="s">
        <v>628</v>
      </c>
      <c r="F58" s="127">
        <v>1</v>
      </c>
      <c r="I58" s="162">
        <v>46148</v>
      </c>
      <c r="J58" s="126">
        <v>0</v>
      </c>
      <c r="K58" s="126">
        <v>0</v>
      </c>
      <c r="L58" s="126">
        <v>0</v>
      </c>
      <c r="M58" s="126">
        <v>120</v>
      </c>
      <c r="N58" s="126">
        <v>0</v>
      </c>
      <c r="O58" s="126">
        <v>0</v>
      </c>
      <c r="P58" s="126">
        <v>0</v>
      </c>
      <c r="Q58" s="126">
        <v>0</v>
      </c>
      <c r="R58" s="126">
        <v>0</v>
      </c>
    </row>
    <row r="59" spans="3:18" ht="23.1" customHeight="1">
      <c r="C59" s="126">
        <v>183</v>
      </c>
      <c r="D59" s="141" t="s">
        <v>766</v>
      </c>
      <c r="E59" s="159" t="s">
        <v>767</v>
      </c>
      <c r="F59" s="127">
        <v>1</v>
      </c>
      <c r="I59" s="162">
        <v>46148</v>
      </c>
      <c r="J59" s="126">
        <v>0</v>
      </c>
      <c r="K59" s="126">
        <v>0</v>
      </c>
      <c r="L59" s="126">
        <v>0</v>
      </c>
      <c r="M59" s="126">
        <v>240</v>
      </c>
      <c r="N59" s="126">
        <v>0</v>
      </c>
      <c r="O59" s="126">
        <v>0</v>
      </c>
      <c r="P59" s="126">
        <v>0</v>
      </c>
      <c r="Q59" s="126">
        <v>0</v>
      </c>
      <c r="R59" s="126">
        <v>0</v>
      </c>
    </row>
    <row r="60" spans="3:18" ht="23.1" customHeight="1">
      <c r="C60" s="126">
        <v>184</v>
      </c>
      <c r="D60" s="141" t="s">
        <v>769</v>
      </c>
      <c r="E60" s="159" t="s">
        <v>770</v>
      </c>
      <c r="F60" s="127">
        <v>1</v>
      </c>
      <c r="I60" s="162">
        <v>46148</v>
      </c>
      <c r="J60" s="126">
        <v>0</v>
      </c>
      <c r="K60" s="126">
        <v>0</v>
      </c>
      <c r="L60" s="126">
        <v>0</v>
      </c>
      <c r="M60" s="126">
        <v>168</v>
      </c>
      <c r="N60" s="126">
        <v>0</v>
      </c>
      <c r="O60" s="126">
        <v>0</v>
      </c>
      <c r="P60" s="126">
        <v>0</v>
      </c>
      <c r="Q60" s="126">
        <v>0</v>
      </c>
      <c r="R60" s="126">
        <v>0</v>
      </c>
    </row>
    <row r="61" spans="3:18" ht="23.1" customHeight="1">
      <c r="C61" s="126">
        <v>185</v>
      </c>
      <c r="D61" s="141" t="s">
        <v>772</v>
      </c>
      <c r="E61" s="159" t="s">
        <v>773</v>
      </c>
      <c r="F61" s="127">
        <v>1</v>
      </c>
      <c r="I61" s="162">
        <v>46148</v>
      </c>
      <c r="J61" s="126">
        <v>0</v>
      </c>
      <c r="K61" s="126">
        <v>0</v>
      </c>
      <c r="L61" s="126">
        <v>0</v>
      </c>
      <c r="M61" s="126">
        <v>60</v>
      </c>
      <c r="N61" s="126">
        <v>0</v>
      </c>
      <c r="O61" s="126">
        <v>0</v>
      </c>
      <c r="P61" s="126">
        <v>0</v>
      </c>
      <c r="Q61" s="126">
        <v>0</v>
      </c>
      <c r="R61" s="126">
        <v>0</v>
      </c>
    </row>
    <row r="62" spans="3:18" ht="23.1" customHeight="1">
      <c r="C62" s="126">
        <v>186</v>
      </c>
      <c r="D62" s="141" t="s">
        <v>616</v>
      </c>
      <c r="E62" s="159" t="s">
        <v>617</v>
      </c>
      <c r="F62" s="127">
        <v>1</v>
      </c>
      <c r="I62" s="162">
        <v>46148</v>
      </c>
      <c r="J62" s="126">
        <v>0</v>
      </c>
      <c r="K62" s="126">
        <v>0</v>
      </c>
      <c r="L62" s="126">
        <v>0</v>
      </c>
      <c r="M62" s="126">
        <v>36</v>
      </c>
      <c r="N62" s="126">
        <v>0</v>
      </c>
      <c r="O62" s="126">
        <v>0</v>
      </c>
      <c r="P62" s="126">
        <v>0</v>
      </c>
      <c r="Q62" s="126">
        <v>0</v>
      </c>
      <c r="R62" s="126">
        <v>0</v>
      </c>
    </row>
    <row r="63" spans="3:18" ht="23.1" customHeight="1">
      <c r="C63" s="126">
        <v>187</v>
      </c>
      <c r="D63" s="141" t="s">
        <v>576</v>
      </c>
      <c r="E63" s="159" t="s">
        <v>577</v>
      </c>
      <c r="F63" s="127">
        <v>1</v>
      </c>
      <c r="I63" s="162">
        <v>46148</v>
      </c>
      <c r="J63" s="126">
        <v>0</v>
      </c>
      <c r="K63" s="126">
        <v>0</v>
      </c>
      <c r="L63" s="126">
        <v>0</v>
      </c>
      <c r="M63" s="126">
        <v>128</v>
      </c>
      <c r="N63" s="126">
        <v>0</v>
      </c>
      <c r="O63" s="126">
        <v>0</v>
      </c>
      <c r="P63" s="126">
        <v>0</v>
      </c>
      <c r="Q63" s="126">
        <v>0</v>
      </c>
      <c r="R63" s="126">
        <v>0</v>
      </c>
    </row>
    <row r="64" spans="3:18" ht="23.1" customHeight="1">
      <c r="C64" s="126">
        <v>189</v>
      </c>
      <c r="D64" s="141" t="s">
        <v>778</v>
      </c>
      <c r="E64" s="159" t="s">
        <v>779</v>
      </c>
      <c r="F64" s="127">
        <v>1</v>
      </c>
      <c r="I64" s="162">
        <v>46148</v>
      </c>
      <c r="J64" s="126">
        <v>0</v>
      </c>
      <c r="K64" s="126">
        <v>0</v>
      </c>
      <c r="L64" s="126">
        <v>0</v>
      </c>
      <c r="M64" s="126">
        <v>52</v>
      </c>
      <c r="N64" s="126">
        <v>0</v>
      </c>
      <c r="O64" s="126">
        <v>0</v>
      </c>
      <c r="P64" s="126">
        <v>0</v>
      </c>
      <c r="Q64" s="126">
        <v>0</v>
      </c>
      <c r="R64" s="126">
        <v>0</v>
      </c>
    </row>
    <row r="65" spans="3:18" ht="23.1" customHeight="1">
      <c r="C65" s="126">
        <v>191</v>
      </c>
      <c r="D65" s="141" t="s">
        <v>781</v>
      </c>
      <c r="E65" s="159" t="s">
        <v>782</v>
      </c>
      <c r="F65" s="127">
        <v>1</v>
      </c>
      <c r="I65" s="162">
        <v>46148</v>
      </c>
      <c r="J65" s="126">
        <v>0</v>
      </c>
      <c r="K65" s="126">
        <v>0</v>
      </c>
      <c r="L65" s="126">
        <v>0</v>
      </c>
      <c r="M65" s="126">
        <v>64</v>
      </c>
      <c r="N65" s="126">
        <v>0</v>
      </c>
      <c r="O65" s="126">
        <v>0</v>
      </c>
      <c r="P65" s="126">
        <v>0</v>
      </c>
      <c r="Q65" s="126">
        <v>0</v>
      </c>
      <c r="R65" s="126">
        <v>0</v>
      </c>
    </row>
    <row r="66" spans="3:18" ht="23.1" customHeight="1">
      <c r="C66" s="126">
        <v>193</v>
      </c>
      <c r="D66" s="141" t="s">
        <v>784</v>
      </c>
      <c r="E66" s="159" t="s">
        <v>785</v>
      </c>
      <c r="F66" s="127">
        <v>1</v>
      </c>
      <c r="I66" s="162">
        <v>46148</v>
      </c>
      <c r="J66" s="126">
        <v>0</v>
      </c>
      <c r="K66" s="126">
        <v>0</v>
      </c>
      <c r="L66" s="126">
        <v>0</v>
      </c>
      <c r="M66" s="126">
        <v>60</v>
      </c>
      <c r="N66" s="126">
        <v>0</v>
      </c>
      <c r="O66" s="126">
        <v>0</v>
      </c>
      <c r="P66" s="126">
        <v>0</v>
      </c>
      <c r="Q66" s="126">
        <v>0</v>
      </c>
      <c r="R66" s="126">
        <v>0</v>
      </c>
    </row>
    <row r="67" spans="3:18" ht="23.1" customHeight="1">
      <c r="C67" s="126">
        <v>195</v>
      </c>
      <c r="D67" s="141" t="s">
        <v>608</v>
      </c>
      <c r="E67" s="159" t="s">
        <v>609</v>
      </c>
      <c r="F67" s="127">
        <v>1</v>
      </c>
      <c r="I67" s="162">
        <v>46148</v>
      </c>
      <c r="J67" s="126">
        <v>0</v>
      </c>
      <c r="K67" s="126">
        <v>0</v>
      </c>
      <c r="L67" s="126">
        <v>0</v>
      </c>
      <c r="M67" s="126">
        <v>100</v>
      </c>
      <c r="N67" s="126">
        <v>0</v>
      </c>
      <c r="O67" s="126">
        <v>0</v>
      </c>
      <c r="P67" s="126">
        <v>0</v>
      </c>
      <c r="Q67" s="126">
        <v>0</v>
      </c>
      <c r="R67" s="126">
        <v>0</v>
      </c>
    </row>
    <row r="68" spans="3:18" ht="23.1" customHeight="1">
      <c r="C68" s="126">
        <v>197</v>
      </c>
      <c r="D68" s="141" t="s">
        <v>652</v>
      </c>
      <c r="E68" s="159" t="s">
        <v>653</v>
      </c>
      <c r="F68" s="127">
        <v>1</v>
      </c>
      <c r="I68" s="162">
        <v>46148</v>
      </c>
      <c r="J68" s="126">
        <v>0</v>
      </c>
      <c r="K68" s="126">
        <v>0</v>
      </c>
      <c r="L68" s="126">
        <v>0</v>
      </c>
      <c r="M68" s="126">
        <v>72</v>
      </c>
      <c r="N68" s="126">
        <v>0</v>
      </c>
      <c r="O68" s="126">
        <v>0</v>
      </c>
      <c r="P68" s="126">
        <v>0</v>
      </c>
      <c r="Q68" s="126">
        <v>0</v>
      </c>
      <c r="R68" s="126">
        <v>0</v>
      </c>
    </row>
    <row r="69" spans="3:18" ht="23.1" customHeight="1">
      <c r="C69" s="126">
        <v>176</v>
      </c>
      <c r="D69" s="141" t="s">
        <v>748</v>
      </c>
      <c r="E69" s="159" t="s">
        <v>749</v>
      </c>
      <c r="F69" s="127">
        <v>1</v>
      </c>
      <c r="I69" s="162">
        <v>46176</v>
      </c>
      <c r="J69" s="126">
        <v>0</v>
      </c>
      <c r="K69" s="126">
        <v>500</v>
      </c>
      <c r="L69" s="126">
        <v>0</v>
      </c>
      <c r="M69" s="126">
        <v>0</v>
      </c>
      <c r="N69" s="126">
        <v>0</v>
      </c>
      <c r="O69" s="126">
        <v>0</v>
      </c>
      <c r="P69" s="126">
        <v>0</v>
      </c>
      <c r="Q69" s="126">
        <v>0</v>
      </c>
      <c r="R69" s="126">
        <v>0</v>
      </c>
    </row>
    <row r="70" spans="3:18" ht="23.1" customHeight="1">
      <c r="C70" s="126">
        <v>142</v>
      </c>
      <c r="D70" s="141" t="s">
        <v>798</v>
      </c>
      <c r="E70" s="159" t="s">
        <v>799</v>
      </c>
      <c r="F70" s="127">
        <v>1</v>
      </c>
      <c r="I70" s="162">
        <v>46176</v>
      </c>
      <c r="J70" s="126">
        <v>0</v>
      </c>
      <c r="K70" s="126">
        <v>1</v>
      </c>
      <c r="L70" s="126">
        <v>0</v>
      </c>
      <c r="M70" s="126">
        <v>0</v>
      </c>
      <c r="N70" s="126">
        <v>0</v>
      </c>
      <c r="O70" s="126">
        <v>0</v>
      </c>
      <c r="P70" s="126">
        <v>0</v>
      </c>
      <c r="Q70" s="126">
        <v>0</v>
      </c>
      <c r="R70" s="126">
        <v>0</v>
      </c>
    </row>
    <row r="71" spans="3:18" ht="23.1" customHeight="1">
      <c r="C71" s="126">
        <v>50</v>
      </c>
      <c r="D71" s="141" t="s">
        <v>803</v>
      </c>
      <c r="E71" s="159" t="s">
        <v>804</v>
      </c>
      <c r="F71" s="127">
        <v>1</v>
      </c>
      <c r="I71" s="162">
        <v>46176</v>
      </c>
      <c r="J71" s="126">
        <v>0</v>
      </c>
      <c r="K71" s="126">
        <v>4</v>
      </c>
      <c r="L71" s="126">
        <v>0</v>
      </c>
      <c r="M71" s="126">
        <v>0</v>
      </c>
      <c r="N71" s="126">
        <v>0</v>
      </c>
      <c r="O71" s="126">
        <v>0</v>
      </c>
      <c r="P71" s="126">
        <v>0</v>
      </c>
      <c r="Q71" s="126">
        <v>0</v>
      </c>
      <c r="R71" s="126">
        <v>0</v>
      </c>
    </row>
    <row r="72" spans="3:18" ht="23.1" customHeight="1">
      <c r="C72" s="126">
        <v>41</v>
      </c>
      <c r="D72" s="141" t="s">
        <v>808</v>
      </c>
      <c r="E72" s="159" t="s">
        <v>809</v>
      </c>
      <c r="F72" s="127">
        <v>1</v>
      </c>
      <c r="I72" s="162">
        <v>46176</v>
      </c>
      <c r="J72" s="126">
        <v>0</v>
      </c>
      <c r="K72" s="126">
        <v>2</v>
      </c>
      <c r="L72" s="126">
        <v>0</v>
      </c>
      <c r="M72" s="126">
        <v>0</v>
      </c>
      <c r="N72" s="126">
        <v>0</v>
      </c>
      <c r="O72" s="126">
        <v>0</v>
      </c>
      <c r="P72" s="126">
        <v>0</v>
      </c>
      <c r="Q72" s="126">
        <v>0</v>
      </c>
      <c r="R72" s="126">
        <v>0</v>
      </c>
    </row>
    <row r="73" spans="3:18" ht="23.1" customHeight="1">
      <c r="C73" s="126">
        <v>49</v>
      </c>
      <c r="D73" s="141" t="s">
        <v>813</v>
      </c>
      <c r="E73" s="159" t="s">
        <v>814</v>
      </c>
      <c r="F73" s="127">
        <v>1</v>
      </c>
      <c r="I73" s="162">
        <v>46176</v>
      </c>
      <c r="J73" s="126">
        <v>0</v>
      </c>
      <c r="K73" s="126">
        <v>1</v>
      </c>
      <c r="L73" s="126">
        <v>0</v>
      </c>
      <c r="M73" s="126">
        <v>0</v>
      </c>
      <c r="N73" s="126">
        <v>0</v>
      </c>
      <c r="O73" s="126">
        <v>0</v>
      </c>
      <c r="P73" s="126">
        <v>0</v>
      </c>
      <c r="Q73" s="126">
        <v>0</v>
      </c>
      <c r="R73" s="126">
        <v>0</v>
      </c>
    </row>
    <row r="74" spans="3:18" ht="23.1" customHeight="1">
      <c r="C74" s="126">
        <v>7</v>
      </c>
      <c r="D74" s="141" t="s">
        <v>818</v>
      </c>
      <c r="E74" s="159" t="s">
        <v>819</v>
      </c>
      <c r="F74" s="127">
        <v>1</v>
      </c>
      <c r="I74" s="162">
        <v>46176</v>
      </c>
      <c r="J74" s="126">
        <v>0</v>
      </c>
      <c r="K74" s="126">
        <v>1</v>
      </c>
      <c r="L74" s="126">
        <v>0</v>
      </c>
      <c r="M74" s="126">
        <v>0</v>
      </c>
      <c r="N74" s="126">
        <v>0</v>
      </c>
      <c r="O74" s="126">
        <v>0</v>
      </c>
      <c r="P74" s="126">
        <v>0</v>
      </c>
      <c r="Q74" s="126">
        <v>0</v>
      </c>
      <c r="R74" s="126">
        <v>0</v>
      </c>
    </row>
    <row r="75" spans="3:18" ht="23.1" customHeight="1">
      <c r="C75" s="126">
        <v>145</v>
      </c>
      <c r="D75" s="141" t="s">
        <v>823</v>
      </c>
      <c r="E75" s="159" t="s">
        <v>824</v>
      </c>
      <c r="F75" s="127">
        <v>1</v>
      </c>
      <c r="I75" s="162">
        <v>46176</v>
      </c>
      <c r="J75" s="126">
        <v>0</v>
      </c>
      <c r="K75" s="126">
        <v>2</v>
      </c>
      <c r="L75" s="126">
        <v>0</v>
      </c>
      <c r="M75" s="126">
        <v>0</v>
      </c>
      <c r="N75" s="126">
        <v>0</v>
      </c>
      <c r="O75" s="126">
        <v>0</v>
      </c>
      <c r="P75" s="126">
        <v>0</v>
      </c>
      <c r="Q75" s="126">
        <v>0</v>
      </c>
      <c r="R75" s="126">
        <v>0</v>
      </c>
    </row>
    <row r="76" spans="3:18" ht="23.1" customHeight="1">
      <c r="C76" s="126">
        <v>163</v>
      </c>
      <c r="D76" s="141" t="s">
        <v>745</v>
      </c>
      <c r="E76" s="159" t="s">
        <v>746</v>
      </c>
      <c r="F76" s="127">
        <v>1</v>
      </c>
      <c r="I76" s="162">
        <v>46176</v>
      </c>
      <c r="J76" s="126">
        <v>0</v>
      </c>
      <c r="K76" s="126">
        <v>4</v>
      </c>
      <c r="L76" s="126">
        <v>0</v>
      </c>
      <c r="M76" s="126">
        <v>0</v>
      </c>
      <c r="N76" s="126">
        <v>0</v>
      </c>
      <c r="O76" s="126">
        <v>0</v>
      </c>
      <c r="P76" s="126">
        <v>0</v>
      </c>
      <c r="Q76" s="126">
        <v>0</v>
      </c>
      <c r="R76" s="126">
        <v>0</v>
      </c>
    </row>
    <row r="77" spans="3:18" ht="23.1" customHeight="1">
      <c r="C77" s="126">
        <v>177</v>
      </c>
      <c r="D77" s="141" t="s">
        <v>752</v>
      </c>
      <c r="E77" s="159" t="s">
        <v>753</v>
      </c>
      <c r="F77" s="127">
        <v>1</v>
      </c>
      <c r="I77" s="162">
        <v>46177</v>
      </c>
      <c r="J77" s="126">
        <v>0</v>
      </c>
      <c r="K77" s="126">
        <v>250</v>
      </c>
      <c r="L77" s="126">
        <v>0</v>
      </c>
      <c r="M77" s="126">
        <v>0</v>
      </c>
      <c r="N77" s="126">
        <v>0</v>
      </c>
      <c r="O77" s="126">
        <v>0</v>
      </c>
      <c r="P77" s="126">
        <v>0</v>
      </c>
      <c r="Q77" s="126">
        <v>0</v>
      </c>
      <c r="R77" s="126">
        <v>0</v>
      </c>
    </row>
    <row r="78" spans="3:18" ht="23.1" customHeight="1">
      <c r="C78" s="126">
        <v>179</v>
      </c>
      <c r="D78" s="141" t="s">
        <v>564</v>
      </c>
      <c r="E78" s="159" t="s">
        <v>565</v>
      </c>
      <c r="F78" s="127">
        <v>1</v>
      </c>
      <c r="I78" s="162">
        <v>46177</v>
      </c>
      <c r="J78" s="126">
        <v>0</v>
      </c>
      <c r="K78" s="126">
        <v>250</v>
      </c>
      <c r="L78" s="126">
        <v>0</v>
      </c>
      <c r="M78" s="126">
        <v>0</v>
      </c>
      <c r="N78" s="126">
        <v>0</v>
      </c>
      <c r="O78" s="126">
        <v>0</v>
      </c>
      <c r="P78" s="126">
        <v>0</v>
      </c>
      <c r="Q78" s="126">
        <v>0</v>
      </c>
      <c r="R78" s="126">
        <v>0</v>
      </c>
    </row>
    <row r="79" spans="3:18" ht="23.1" customHeight="1">
      <c r="C79" s="126">
        <v>11</v>
      </c>
      <c r="D79" s="141" t="s">
        <v>690</v>
      </c>
      <c r="E79" s="159" t="s">
        <v>691</v>
      </c>
      <c r="F79" s="127">
        <v>1</v>
      </c>
      <c r="I79" s="162">
        <v>46177</v>
      </c>
      <c r="J79" s="126">
        <v>0</v>
      </c>
      <c r="K79" s="126">
        <v>6</v>
      </c>
      <c r="L79" s="126">
        <v>0</v>
      </c>
      <c r="M79" s="126">
        <v>0</v>
      </c>
      <c r="N79" s="126">
        <v>0</v>
      </c>
      <c r="O79" s="126">
        <v>0</v>
      </c>
      <c r="P79" s="126">
        <v>0</v>
      </c>
      <c r="Q79" s="126">
        <v>0</v>
      </c>
      <c r="R79" s="126">
        <v>0</v>
      </c>
    </row>
    <row r="80" spans="3:18" ht="23.1" customHeight="1">
      <c r="C80" s="126">
        <v>18</v>
      </c>
      <c r="D80" s="141" t="s">
        <v>703</v>
      </c>
      <c r="E80" s="159" t="s">
        <v>704</v>
      </c>
      <c r="F80" s="127">
        <v>1</v>
      </c>
      <c r="I80" s="162">
        <v>46177</v>
      </c>
      <c r="J80" s="126">
        <v>0</v>
      </c>
      <c r="K80" s="126">
        <v>10</v>
      </c>
      <c r="L80" s="126">
        <v>0</v>
      </c>
      <c r="M80" s="126">
        <v>0</v>
      </c>
      <c r="N80" s="126">
        <v>0</v>
      </c>
      <c r="O80" s="126">
        <v>0</v>
      </c>
      <c r="P80" s="126">
        <v>0</v>
      </c>
      <c r="Q80" s="126">
        <v>0</v>
      </c>
      <c r="R80" s="126">
        <v>0</v>
      </c>
    </row>
    <row r="81" spans="3:18" ht="23.1" customHeight="1">
      <c r="C81" s="126">
        <v>195</v>
      </c>
      <c r="D81" s="141" t="s">
        <v>608</v>
      </c>
      <c r="E81" s="159" t="s">
        <v>609</v>
      </c>
      <c r="F81" s="127">
        <v>1</v>
      </c>
      <c r="I81" s="162">
        <v>46177</v>
      </c>
      <c r="J81" s="126">
        <v>0</v>
      </c>
      <c r="K81" s="126">
        <v>8</v>
      </c>
      <c r="L81" s="126">
        <v>0</v>
      </c>
      <c r="M81" s="126">
        <v>0</v>
      </c>
      <c r="N81" s="126">
        <v>0</v>
      </c>
      <c r="O81" s="126">
        <v>0</v>
      </c>
      <c r="P81" s="126">
        <v>0</v>
      </c>
      <c r="Q81" s="126">
        <v>0</v>
      </c>
      <c r="R81" s="126">
        <v>0</v>
      </c>
    </row>
    <row r="82" spans="3:18" ht="23.1" customHeight="1">
      <c r="C82" s="126">
        <v>102</v>
      </c>
      <c r="D82" s="141" t="s">
        <v>722</v>
      </c>
      <c r="E82" s="159" t="s">
        <v>723</v>
      </c>
      <c r="F82" s="127">
        <v>1</v>
      </c>
      <c r="I82" s="162">
        <v>46177</v>
      </c>
      <c r="J82" s="126">
        <v>0</v>
      </c>
      <c r="K82" s="126">
        <v>1</v>
      </c>
      <c r="L82" s="126">
        <v>0</v>
      </c>
      <c r="M82" s="126">
        <v>0</v>
      </c>
      <c r="N82" s="126">
        <v>0</v>
      </c>
      <c r="O82" s="126">
        <v>0</v>
      </c>
      <c r="P82" s="126">
        <v>0</v>
      </c>
      <c r="Q82" s="126">
        <v>0</v>
      </c>
      <c r="R82" s="126">
        <v>0</v>
      </c>
    </row>
    <row r="83" spans="3:18" ht="23.1" customHeight="1">
      <c r="C83" s="126">
        <v>185</v>
      </c>
      <c r="D83" s="141" t="s">
        <v>772</v>
      </c>
      <c r="E83" s="159" t="s">
        <v>773</v>
      </c>
      <c r="F83" s="127">
        <v>1</v>
      </c>
      <c r="I83" s="162">
        <v>46177</v>
      </c>
      <c r="J83" s="126">
        <v>0</v>
      </c>
      <c r="K83" s="126">
        <v>72</v>
      </c>
      <c r="L83" s="126">
        <v>0</v>
      </c>
      <c r="M83" s="126">
        <v>0</v>
      </c>
      <c r="N83" s="126">
        <v>0</v>
      </c>
      <c r="O83" s="126">
        <v>0</v>
      </c>
      <c r="P83" s="126">
        <v>0</v>
      </c>
      <c r="Q83" s="126">
        <v>0</v>
      </c>
      <c r="R83" s="126">
        <v>0</v>
      </c>
    </row>
    <row r="84" spans="3:18" ht="23.1" customHeight="1">
      <c r="C84" s="126">
        <v>176</v>
      </c>
      <c r="D84" s="141" t="s">
        <v>748</v>
      </c>
      <c r="E84" s="159" t="s">
        <v>749</v>
      </c>
      <c r="F84" s="127">
        <v>1</v>
      </c>
      <c r="I84" s="162">
        <v>46178</v>
      </c>
      <c r="J84" s="126">
        <v>0</v>
      </c>
      <c r="K84" s="126">
        <v>500</v>
      </c>
      <c r="L84" s="126">
        <v>0</v>
      </c>
      <c r="M84" s="126">
        <v>0</v>
      </c>
      <c r="N84" s="126">
        <v>0</v>
      </c>
      <c r="O84" s="126">
        <v>0</v>
      </c>
      <c r="P84" s="126">
        <v>0</v>
      </c>
      <c r="Q84" s="126">
        <v>0</v>
      </c>
      <c r="R84" s="126">
        <v>0</v>
      </c>
    </row>
    <row r="85" spans="3:18" ht="23.1" customHeight="1">
      <c r="C85" s="126">
        <v>99</v>
      </c>
      <c r="D85" s="141" t="s">
        <v>883</v>
      </c>
      <c r="E85" s="159" t="s">
        <v>884</v>
      </c>
      <c r="F85" s="127">
        <v>1</v>
      </c>
      <c r="I85" s="162">
        <v>46178</v>
      </c>
      <c r="J85" s="126">
        <v>0</v>
      </c>
      <c r="K85" s="126">
        <v>1</v>
      </c>
      <c r="L85" s="126">
        <v>0</v>
      </c>
      <c r="M85" s="126">
        <v>0</v>
      </c>
      <c r="N85" s="126">
        <v>0</v>
      </c>
      <c r="O85" s="126">
        <v>0</v>
      </c>
      <c r="P85" s="126">
        <v>0</v>
      </c>
      <c r="Q85" s="126">
        <v>0</v>
      </c>
      <c r="R85" s="126">
        <v>0</v>
      </c>
    </row>
    <row r="86" spans="3:18" ht="23.1" customHeight="1">
      <c r="C86" s="126">
        <v>14</v>
      </c>
      <c r="D86" s="141" t="s">
        <v>696</v>
      </c>
      <c r="E86" s="159" t="s">
        <v>697</v>
      </c>
      <c r="F86" s="127">
        <v>1</v>
      </c>
      <c r="I86" s="162">
        <v>46178</v>
      </c>
      <c r="J86" s="126">
        <v>0</v>
      </c>
      <c r="K86" s="126">
        <v>1</v>
      </c>
      <c r="L86" s="126">
        <v>0</v>
      </c>
      <c r="M86" s="126">
        <v>0</v>
      </c>
      <c r="N86" s="126">
        <v>0</v>
      </c>
      <c r="O86" s="126">
        <v>0</v>
      </c>
      <c r="P86" s="126">
        <v>0</v>
      </c>
      <c r="Q86" s="126">
        <v>0</v>
      </c>
      <c r="R86" s="126">
        <v>0</v>
      </c>
    </row>
    <row r="87" spans="3:18" ht="23.1" customHeight="1">
      <c r="C87" s="126">
        <v>182</v>
      </c>
      <c r="D87" s="141" t="s">
        <v>627</v>
      </c>
      <c r="E87" s="159" t="s">
        <v>628</v>
      </c>
      <c r="F87" s="127">
        <v>1</v>
      </c>
      <c r="I87" s="162">
        <v>46178</v>
      </c>
      <c r="J87" s="126">
        <v>0</v>
      </c>
      <c r="K87" s="126">
        <v>12</v>
      </c>
      <c r="L87" s="126">
        <v>0</v>
      </c>
      <c r="M87" s="126">
        <v>0</v>
      </c>
      <c r="N87" s="126">
        <v>0</v>
      </c>
      <c r="O87" s="126">
        <v>0</v>
      </c>
      <c r="P87" s="126">
        <v>0</v>
      </c>
      <c r="Q87" s="126">
        <v>0</v>
      </c>
      <c r="R87" s="126">
        <v>0</v>
      </c>
    </row>
    <row r="88" spans="3:18" ht="23.1" customHeight="1">
      <c r="C88" s="126">
        <v>160</v>
      </c>
      <c r="D88" s="141" t="s">
        <v>738</v>
      </c>
      <c r="E88" s="159" t="s">
        <v>739</v>
      </c>
      <c r="F88" s="127">
        <v>1</v>
      </c>
      <c r="I88" s="162">
        <v>46178</v>
      </c>
      <c r="J88" s="126">
        <v>0</v>
      </c>
      <c r="K88" s="126">
        <v>2</v>
      </c>
      <c r="L88" s="126">
        <v>0</v>
      </c>
      <c r="M88" s="126">
        <v>0</v>
      </c>
      <c r="N88" s="126">
        <v>0</v>
      </c>
      <c r="O88" s="126">
        <v>0</v>
      </c>
      <c r="P88" s="126">
        <v>0</v>
      </c>
      <c r="Q88" s="126">
        <v>0</v>
      </c>
      <c r="R88" s="126">
        <v>0</v>
      </c>
    </row>
    <row r="89" spans="3:18" ht="23.1" customHeight="1">
      <c r="C89" s="126">
        <v>46</v>
      </c>
      <c r="D89" s="141" t="s">
        <v>647</v>
      </c>
      <c r="E89" s="159" t="s">
        <v>648</v>
      </c>
      <c r="F89" s="127">
        <v>1</v>
      </c>
      <c r="I89" s="162">
        <v>46178</v>
      </c>
      <c r="J89" s="126">
        <v>0</v>
      </c>
      <c r="K89" s="126">
        <v>1</v>
      </c>
      <c r="L89" s="126">
        <v>0</v>
      </c>
      <c r="M89" s="126">
        <v>0</v>
      </c>
      <c r="N89" s="126">
        <v>0</v>
      </c>
      <c r="O89" s="126">
        <v>0</v>
      </c>
      <c r="P89" s="126">
        <v>0</v>
      </c>
      <c r="Q89" s="126">
        <v>0</v>
      </c>
      <c r="R89" s="126">
        <v>0</v>
      </c>
    </row>
    <row r="90" spans="3:18" ht="23.1" customHeight="1">
      <c r="C90" s="126">
        <v>97</v>
      </c>
      <c r="D90" s="141" t="s">
        <v>637</v>
      </c>
      <c r="E90" s="159" t="s">
        <v>638</v>
      </c>
      <c r="F90" s="127">
        <v>1</v>
      </c>
      <c r="I90" s="162">
        <v>46178</v>
      </c>
      <c r="J90" s="126">
        <v>0</v>
      </c>
      <c r="K90" s="126">
        <v>2</v>
      </c>
      <c r="L90" s="126">
        <v>0</v>
      </c>
      <c r="M90" s="126">
        <v>0</v>
      </c>
      <c r="N90" s="126">
        <v>0</v>
      </c>
      <c r="O90" s="126">
        <v>0</v>
      </c>
      <c r="P90" s="126">
        <v>0</v>
      </c>
      <c r="Q90" s="126">
        <v>0</v>
      </c>
      <c r="R90" s="126">
        <v>0</v>
      </c>
    </row>
    <row r="91" spans="3:18" ht="23.1" customHeight="1">
      <c r="C91" s="126">
        <v>96</v>
      </c>
      <c r="D91" s="141" t="s">
        <v>632</v>
      </c>
      <c r="E91" s="159" t="s">
        <v>633</v>
      </c>
      <c r="F91" s="127">
        <v>1</v>
      </c>
      <c r="I91" s="162">
        <v>46178</v>
      </c>
      <c r="J91" s="126">
        <v>0</v>
      </c>
      <c r="K91" s="126">
        <v>15</v>
      </c>
      <c r="L91" s="126">
        <v>0</v>
      </c>
      <c r="M91" s="126">
        <v>0</v>
      </c>
      <c r="N91" s="126">
        <v>0</v>
      </c>
      <c r="O91" s="126">
        <v>0</v>
      </c>
      <c r="P91" s="126">
        <v>0</v>
      </c>
      <c r="Q91" s="126">
        <v>0</v>
      </c>
      <c r="R91" s="126">
        <v>0</v>
      </c>
    </row>
    <row r="92" spans="3:18" ht="23.1" customHeight="1">
      <c r="C92" s="126">
        <v>70</v>
      </c>
      <c r="D92" s="141" t="s">
        <v>906</v>
      </c>
      <c r="E92" s="159" t="s">
        <v>907</v>
      </c>
      <c r="F92" s="127">
        <v>1</v>
      </c>
      <c r="I92" s="162">
        <v>46178</v>
      </c>
      <c r="J92" s="126">
        <v>0</v>
      </c>
      <c r="K92" s="126">
        <v>1</v>
      </c>
      <c r="L92" s="126">
        <v>0</v>
      </c>
      <c r="M92" s="126">
        <v>0</v>
      </c>
      <c r="N92" s="126">
        <v>0</v>
      </c>
      <c r="O92" s="126">
        <v>0</v>
      </c>
      <c r="P92" s="126">
        <v>0</v>
      </c>
      <c r="Q92" s="126">
        <v>0</v>
      </c>
      <c r="R92" s="126">
        <v>0</v>
      </c>
    </row>
    <row r="93" spans="3:18" ht="23.1" customHeight="1">
      <c r="C93" s="126">
        <v>178</v>
      </c>
      <c r="D93" s="141" t="s">
        <v>755</v>
      </c>
      <c r="E93" s="159" t="s">
        <v>756</v>
      </c>
      <c r="F93" s="127">
        <v>1</v>
      </c>
      <c r="I93" s="162">
        <v>46178</v>
      </c>
      <c r="J93" s="126">
        <v>0</v>
      </c>
      <c r="K93" s="126">
        <v>450</v>
      </c>
      <c r="L93" s="126">
        <v>0</v>
      </c>
      <c r="M93" s="126">
        <v>0</v>
      </c>
      <c r="N93" s="126">
        <v>0</v>
      </c>
      <c r="O93" s="126">
        <v>0</v>
      </c>
      <c r="P93" s="126">
        <v>0</v>
      </c>
      <c r="Q93" s="126">
        <v>0</v>
      </c>
      <c r="R93" s="126">
        <v>0</v>
      </c>
    </row>
    <row r="94" spans="3:18" ht="23.1" customHeight="1">
      <c r="C94" s="126">
        <v>177</v>
      </c>
      <c r="D94" s="141" t="s">
        <v>752</v>
      </c>
      <c r="E94" s="159" t="s">
        <v>753</v>
      </c>
      <c r="F94" s="127">
        <v>1</v>
      </c>
      <c r="I94" s="162">
        <v>46178</v>
      </c>
      <c r="J94" s="126">
        <v>0</v>
      </c>
      <c r="K94" s="126">
        <v>150</v>
      </c>
      <c r="L94" s="126">
        <v>0</v>
      </c>
      <c r="M94" s="126">
        <v>0</v>
      </c>
      <c r="N94" s="126">
        <v>0</v>
      </c>
      <c r="O94" s="126">
        <v>0</v>
      </c>
      <c r="P94" s="126">
        <v>0</v>
      </c>
      <c r="Q94" s="126">
        <v>0</v>
      </c>
      <c r="R94" s="126">
        <v>0</v>
      </c>
    </row>
    <row r="95" spans="3:18" ht="23.1" customHeight="1">
      <c r="C95" s="126">
        <v>179</v>
      </c>
      <c r="D95" s="141" t="s">
        <v>564</v>
      </c>
      <c r="E95" s="159" t="s">
        <v>565</v>
      </c>
      <c r="F95" s="127">
        <v>1</v>
      </c>
      <c r="I95" s="162">
        <v>46178</v>
      </c>
      <c r="J95" s="126">
        <v>0</v>
      </c>
      <c r="K95" s="126">
        <v>300</v>
      </c>
      <c r="L95" s="126">
        <v>0</v>
      </c>
      <c r="M95" s="126">
        <v>0</v>
      </c>
      <c r="N95" s="126">
        <v>0</v>
      </c>
      <c r="O95" s="126">
        <v>0</v>
      </c>
      <c r="P95" s="126">
        <v>0</v>
      </c>
      <c r="Q95" s="126">
        <v>0</v>
      </c>
      <c r="R95" s="126">
        <v>0</v>
      </c>
    </row>
    <row r="96" spans="3:18" ht="23.1" customHeight="1">
      <c r="C96" s="126">
        <v>178</v>
      </c>
      <c r="D96" s="141" t="s">
        <v>755</v>
      </c>
      <c r="E96" s="159" t="s">
        <v>756</v>
      </c>
      <c r="F96" s="127">
        <v>1</v>
      </c>
      <c r="I96" s="162">
        <v>46179</v>
      </c>
      <c r="J96" s="126">
        <v>0</v>
      </c>
      <c r="K96" s="126">
        <v>250</v>
      </c>
      <c r="L96" s="126">
        <v>0</v>
      </c>
      <c r="M96" s="126">
        <v>0</v>
      </c>
      <c r="N96" s="126">
        <v>0</v>
      </c>
      <c r="O96" s="126">
        <v>0</v>
      </c>
      <c r="P96" s="126">
        <v>0</v>
      </c>
      <c r="Q96" s="126">
        <v>0</v>
      </c>
      <c r="R96" s="126">
        <v>0</v>
      </c>
    </row>
    <row r="97" spans="3:18" ht="23.1" customHeight="1">
      <c r="C97" s="126">
        <v>197</v>
      </c>
      <c r="D97" s="141" t="s">
        <v>652</v>
      </c>
      <c r="E97" s="159" t="s">
        <v>653</v>
      </c>
      <c r="F97" s="127">
        <v>1</v>
      </c>
      <c r="I97" s="162">
        <v>46179</v>
      </c>
      <c r="J97" s="126">
        <v>0</v>
      </c>
      <c r="K97" s="126">
        <v>12</v>
      </c>
      <c r="L97" s="126">
        <v>0</v>
      </c>
      <c r="M97" s="126">
        <v>0</v>
      </c>
      <c r="N97" s="126">
        <v>0</v>
      </c>
      <c r="O97" s="126">
        <v>0</v>
      </c>
      <c r="P97" s="126">
        <v>0</v>
      </c>
      <c r="Q97" s="126">
        <v>0</v>
      </c>
      <c r="R97" s="126">
        <v>0</v>
      </c>
    </row>
    <row r="98" spans="3:18" ht="23.1" customHeight="1">
      <c r="C98" s="126">
        <v>52</v>
      </c>
      <c r="D98" s="141" t="s">
        <v>933</v>
      </c>
      <c r="E98" s="159" t="s">
        <v>934</v>
      </c>
      <c r="F98" s="127">
        <v>1</v>
      </c>
      <c r="I98" s="162">
        <v>46179</v>
      </c>
      <c r="J98" s="126">
        <v>0</v>
      </c>
      <c r="K98" s="126">
        <v>11</v>
      </c>
      <c r="L98" s="126">
        <v>0</v>
      </c>
      <c r="M98" s="126">
        <v>0</v>
      </c>
      <c r="N98" s="126">
        <v>0</v>
      </c>
      <c r="O98" s="126">
        <v>0</v>
      </c>
      <c r="P98" s="126">
        <v>0</v>
      </c>
      <c r="Q98" s="126">
        <v>0</v>
      </c>
      <c r="R98" s="126">
        <v>0</v>
      </c>
    </row>
    <row r="99" spans="3:18" ht="23.1" customHeight="1">
      <c r="C99" s="126">
        <v>177</v>
      </c>
      <c r="D99" s="141" t="s">
        <v>752</v>
      </c>
      <c r="E99" s="159" t="s">
        <v>753</v>
      </c>
      <c r="F99" s="127">
        <v>1</v>
      </c>
      <c r="I99" s="162">
        <v>46179</v>
      </c>
      <c r="J99" s="126">
        <v>0</v>
      </c>
      <c r="K99" s="126">
        <v>1000</v>
      </c>
      <c r="L99" s="126">
        <v>0</v>
      </c>
      <c r="M99" s="126">
        <v>0</v>
      </c>
      <c r="N99" s="126">
        <v>0</v>
      </c>
      <c r="O99" s="126">
        <v>0</v>
      </c>
      <c r="P99" s="126">
        <v>0</v>
      </c>
      <c r="Q99" s="126">
        <v>0</v>
      </c>
      <c r="R99" s="126">
        <v>0</v>
      </c>
    </row>
    <row r="100" spans="3:18" ht="23.1" customHeight="1">
      <c r="C100" s="126">
        <v>177</v>
      </c>
      <c r="D100" s="141" t="s">
        <v>752</v>
      </c>
      <c r="E100" s="159" t="s">
        <v>753</v>
      </c>
      <c r="F100" s="127">
        <v>1</v>
      </c>
      <c r="I100" s="162">
        <v>46180</v>
      </c>
      <c r="J100" s="126">
        <v>0</v>
      </c>
      <c r="K100" s="126">
        <v>750</v>
      </c>
      <c r="L100" s="126">
        <v>0</v>
      </c>
      <c r="M100" s="126">
        <v>0</v>
      </c>
      <c r="N100" s="126">
        <v>0</v>
      </c>
      <c r="O100" s="126">
        <v>0</v>
      </c>
      <c r="P100" s="126">
        <v>0</v>
      </c>
      <c r="Q100" s="126">
        <v>0</v>
      </c>
      <c r="R100" s="126">
        <v>0</v>
      </c>
    </row>
    <row r="101" spans="3:18" ht="23.1" customHeight="1">
      <c r="C101" s="126">
        <v>183</v>
      </c>
      <c r="D101" s="141" t="s">
        <v>766</v>
      </c>
      <c r="E101" s="159" t="s">
        <v>767</v>
      </c>
      <c r="F101" s="127">
        <v>1</v>
      </c>
      <c r="I101" s="162">
        <v>46180</v>
      </c>
      <c r="J101" s="126">
        <v>0</v>
      </c>
      <c r="K101" s="126">
        <v>60</v>
      </c>
      <c r="L101" s="126">
        <v>0</v>
      </c>
      <c r="M101" s="126">
        <v>0</v>
      </c>
      <c r="N101" s="126">
        <v>0</v>
      </c>
      <c r="O101" s="126">
        <v>0</v>
      </c>
      <c r="P101" s="126">
        <v>0</v>
      </c>
      <c r="Q101" s="126">
        <v>0</v>
      </c>
      <c r="R101" s="126">
        <v>0</v>
      </c>
    </row>
    <row r="102" spans="3:18" ht="23.1" customHeight="1">
      <c r="C102" s="126">
        <v>10</v>
      </c>
      <c r="D102" s="141" t="s">
        <v>586</v>
      </c>
      <c r="E102" s="159" t="s">
        <v>587</v>
      </c>
      <c r="F102" s="127">
        <v>1</v>
      </c>
      <c r="I102" s="162">
        <v>46180</v>
      </c>
      <c r="J102" s="126">
        <v>0</v>
      </c>
      <c r="K102" s="126">
        <v>1</v>
      </c>
      <c r="L102" s="126">
        <v>0</v>
      </c>
      <c r="M102" s="126">
        <v>0</v>
      </c>
      <c r="N102" s="126">
        <v>0</v>
      </c>
      <c r="O102" s="126">
        <v>0</v>
      </c>
      <c r="P102" s="126">
        <v>0</v>
      </c>
      <c r="Q102" s="126">
        <v>0</v>
      </c>
      <c r="R102" s="126">
        <v>0</v>
      </c>
    </row>
    <row r="103" spans="3:18" ht="23.1" customHeight="1">
      <c r="C103" s="126">
        <v>11</v>
      </c>
      <c r="D103" s="141" t="s">
        <v>690</v>
      </c>
      <c r="E103" s="159" t="s">
        <v>691</v>
      </c>
      <c r="F103" s="127">
        <v>1</v>
      </c>
      <c r="I103" s="162">
        <v>46180</v>
      </c>
      <c r="J103" s="126">
        <v>0</v>
      </c>
      <c r="K103" s="126">
        <v>5</v>
      </c>
      <c r="L103" s="126">
        <v>0</v>
      </c>
      <c r="M103" s="126">
        <v>0</v>
      </c>
      <c r="N103" s="126">
        <v>0</v>
      </c>
      <c r="O103" s="126">
        <v>0</v>
      </c>
      <c r="P103" s="126">
        <v>0</v>
      </c>
      <c r="Q103" s="126">
        <v>0</v>
      </c>
      <c r="R103" s="126">
        <v>0</v>
      </c>
    </row>
    <row r="104" spans="3:18" ht="23.1" customHeight="1">
      <c r="C104" s="126">
        <v>19</v>
      </c>
      <c r="D104" s="141" t="s">
        <v>706</v>
      </c>
      <c r="E104" s="159" t="s">
        <v>707</v>
      </c>
      <c r="F104" s="127">
        <v>1</v>
      </c>
      <c r="I104" s="162">
        <v>46181</v>
      </c>
      <c r="J104" s="126">
        <v>0</v>
      </c>
      <c r="K104" s="126">
        <v>1</v>
      </c>
      <c r="L104" s="126">
        <v>0</v>
      </c>
      <c r="M104" s="126">
        <v>0</v>
      </c>
      <c r="N104" s="126">
        <v>0</v>
      </c>
      <c r="O104" s="126">
        <v>0</v>
      </c>
      <c r="P104" s="126">
        <v>0</v>
      </c>
      <c r="Q104" s="126">
        <v>0</v>
      </c>
      <c r="R104" s="126">
        <v>0</v>
      </c>
    </row>
    <row r="105" spans="3:18" ht="23.1" customHeight="1">
      <c r="C105" s="126">
        <v>42</v>
      </c>
      <c r="D105" s="141" t="s">
        <v>975</v>
      </c>
      <c r="E105" s="159" t="s">
        <v>976</v>
      </c>
      <c r="F105" s="127">
        <v>1</v>
      </c>
      <c r="I105" s="162">
        <v>46181</v>
      </c>
      <c r="J105" s="126">
        <v>0</v>
      </c>
      <c r="K105" s="126">
        <v>1</v>
      </c>
      <c r="L105" s="126">
        <v>0</v>
      </c>
      <c r="M105" s="126">
        <v>0</v>
      </c>
      <c r="N105" s="126">
        <v>0</v>
      </c>
      <c r="O105" s="126">
        <v>0</v>
      </c>
      <c r="P105" s="126">
        <v>0</v>
      </c>
      <c r="Q105" s="126">
        <v>0</v>
      </c>
      <c r="R105" s="126">
        <v>0</v>
      </c>
    </row>
    <row r="106" spans="3:18" ht="23.1" customHeight="1">
      <c r="C106" s="126">
        <v>45</v>
      </c>
      <c r="D106" s="141" t="s">
        <v>980</v>
      </c>
      <c r="E106" s="159" t="s">
        <v>981</v>
      </c>
      <c r="F106" s="127">
        <v>1</v>
      </c>
      <c r="I106" s="162">
        <v>46181</v>
      </c>
      <c r="J106" s="126">
        <v>0</v>
      </c>
      <c r="K106" s="126">
        <v>12</v>
      </c>
      <c r="L106" s="126">
        <v>0</v>
      </c>
      <c r="M106" s="126">
        <v>0</v>
      </c>
      <c r="N106" s="126">
        <v>0</v>
      </c>
      <c r="O106" s="126">
        <v>0</v>
      </c>
      <c r="P106" s="126">
        <v>0</v>
      </c>
      <c r="Q106" s="126">
        <v>0</v>
      </c>
      <c r="R106" s="126">
        <v>0</v>
      </c>
    </row>
    <row r="107" spans="3:18" ht="23.1" customHeight="1">
      <c r="C107" s="126">
        <v>183</v>
      </c>
      <c r="D107" s="141" t="s">
        <v>766</v>
      </c>
      <c r="E107" s="159" t="s">
        <v>767</v>
      </c>
      <c r="F107" s="127">
        <v>1</v>
      </c>
      <c r="I107" s="162">
        <v>46181</v>
      </c>
      <c r="J107" s="126">
        <v>0</v>
      </c>
      <c r="K107" s="126">
        <v>120</v>
      </c>
      <c r="L107" s="126">
        <v>0</v>
      </c>
      <c r="M107" s="126">
        <v>0</v>
      </c>
      <c r="N107" s="126">
        <v>0</v>
      </c>
      <c r="O107" s="126">
        <v>0</v>
      </c>
      <c r="P107" s="126">
        <v>0</v>
      </c>
      <c r="Q107" s="126">
        <v>0</v>
      </c>
      <c r="R107" s="126">
        <v>0</v>
      </c>
    </row>
    <row r="108" spans="3:18" ht="23.1" customHeight="1">
      <c r="C108" s="126">
        <v>16</v>
      </c>
      <c r="D108" s="141" t="s">
        <v>699</v>
      </c>
      <c r="E108" s="159" t="s">
        <v>700</v>
      </c>
      <c r="F108" s="127">
        <v>1</v>
      </c>
      <c r="I108" s="162">
        <v>46181</v>
      </c>
      <c r="J108" s="126">
        <v>0</v>
      </c>
      <c r="K108" s="126">
        <v>8</v>
      </c>
      <c r="L108" s="126">
        <v>0</v>
      </c>
      <c r="M108" s="126">
        <v>0</v>
      </c>
      <c r="N108" s="126">
        <v>0</v>
      </c>
      <c r="O108" s="126">
        <v>0</v>
      </c>
      <c r="P108" s="126">
        <v>0</v>
      </c>
      <c r="Q108" s="126">
        <v>0</v>
      </c>
      <c r="R108" s="126">
        <v>0</v>
      </c>
    </row>
    <row r="109" spans="3:18" ht="23.1" customHeight="1">
      <c r="C109" s="126">
        <v>41</v>
      </c>
      <c r="D109" s="141" t="s">
        <v>808</v>
      </c>
      <c r="E109" s="159" t="s">
        <v>809</v>
      </c>
      <c r="F109" s="127">
        <v>1</v>
      </c>
      <c r="I109" s="162">
        <v>46181</v>
      </c>
      <c r="J109" s="126">
        <v>0</v>
      </c>
      <c r="K109" s="126">
        <v>2</v>
      </c>
      <c r="L109" s="126">
        <v>0</v>
      </c>
      <c r="M109" s="126">
        <v>0</v>
      </c>
      <c r="N109" s="126">
        <v>0</v>
      </c>
      <c r="O109" s="126">
        <v>0</v>
      </c>
      <c r="P109" s="126">
        <v>0</v>
      </c>
      <c r="Q109" s="126">
        <v>0</v>
      </c>
      <c r="R109" s="126">
        <v>0</v>
      </c>
    </row>
    <row r="110" spans="3:18" ht="23.1" customHeight="1">
      <c r="C110" s="126">
        <v>144</v>
      </c>
      <c r="D110" s="141" t="s">
        <v>996</v>
      </c>
      <c r="E110" s="159" t="s">
        <v>997</v>
      </c>
      <c r="F110" s="127">
        <v>1</v>
      </c>
      <c r="I110" s="162">
        <v>46181</v>
      </c>
      <c r="J110" s="126">
        <v>0</v>
      </c>
      <c r="K110" s="126">
        <v>8</v>
      </c>
      <c r="L110" s="126">
        <v>0</v>
      </c>
      <c r="M110" s="126">
        <v>0</v>
      </c>
      <c r="N110" s="126">
        <v>0</v>
      </c>
      <c r="O110" s="126">
        <v>0</v>
      </c>
      <c r="P110" s="126">
        <v>0</v>
      </c>
      <c r="Q110" s="126">
        <v>0</v>
      </c>
      <c r="R110" s="126">
        <v>0</v>
      </c>
    </row>
    <row r="111" spans="3:18" ht="23.1" customHeight="1">
      <c r="C111" s="126">
        <v>155</v>
      </c>
      <c r="D111" s="141" t="s">
        <v>667</v>
      </c>
      <c r="E111" s="159" t="s">
        <v>668</v>
      </c>
      <c r="F111" s="127">
        <v>1</v>
      </c>
      <c r="I111" s="162">
        <v>46181</v>
      </c>
      <c r="J111" s="126">
        <v>0</v>
      </c>
      <c r="K111" s="126">
        <v>2</v>
      </c>
      <c r="L111" s="126">
        <v>0</v>
      </c>
      <c r="M111" s="126">
        <v>0</v>
      </c>
      <c r="N111" s="126">
        <v>0</v>
      </c>
      <c r="O111" s="126">
        <v>0</v>
      </c>
      <c r="P111" s="126">
        <v>0</v>
      </c>
      <c r="Q111" s="126">
        <v>0</v>
      </c>
      <c r="R111" s="126">
        <v>0</v>
      </c>
    </row>
    <row r="112" spans="3:18" ht="23.1" customHeight="1">
      <c r="C112" s="126">
        <v>189</v>
      </c>
      <c r="D112" s="141" t="s">
        <v>778</v>
      </c>
      <c r="E112" s="159" t="s">
        <v>779</v>
      </c>
      <c r="F112" s="127">
        <v>1</v>
      </c>
      <c r="I112" s="162">
        <v>46181</v>
      </c>
      <c r="J112" s="126">
        <v>0</v>
      </c>
      <c r="K112" s="126">
        <v>32</v>
      </c>
      <c r="L112" s="126">
        <v>0</v>
      </c>
      <c r="M112" s="126">
        <v>0</v>
      </c>
      <c r="N112" s="126">
        <v>0</v>
      </c>
      <c r="O112" s="126">
        <v>0</v>
      </c>
      <c r="P112" s="126">
        <v>0</v>
      </c>
      <c r="Q112" s="126">
        <v>0</v>
      </c>
      <c r="R112" s="126">
        <v>0</v>
      </c>
    </row>
    <row r="113" spans="3:18" ht="23.1" customHeight="1">
      <c r="C113" s="126">
        <v>108</v>
      </c>
      <c r="D113" s="141" t="s">
        <v>1009</v>
      </c>
      <c r="E113" s="159" t="s">
        <v>1010</v>
      </c>
      <c r="F113" s="127">
        <v>1</v>
      </c>
      <c r="I113" s="162">
        <v>46181</v>
      </c>
      <c r="J113" s="126">
        <v>0</v>
      </c>
      <c r="K113" s="126">
        <v>4</v>
      </c>
      <c r="L113" s="126">
        <v>0</v>
      </c>
      <c r="M113" s="126">
        <v>0</v>
      </c>
      <c r="N113" s="126">
        <v>0</v>
      </c>
      <c r="O113" s="126">
        <v>0</v>
      </c>
      <c r="P113" s="126">
        <v>0</v>
      </c>
      <c r="Q113" s="126">
        <v>0</v>
      </c>
      <c r="R113" s="126">
        <v>0</v>
      </c>
    </row>
    <row r="114" spans="3:18" ht="23.1" customHeight="1">
      <c r="C114" s="126">
        <v>177</v>
      </c>
      <c r="D114" s="141" t="s">
        <v>752</v>
      </c>
      <c r="E114" s="159" t="s">
        <v>753</v>
      </c>
      <c r="F114" s="127">
        <v>1</v>
      </c>
      <c r="I114" s="162">
        <v>46182</v>
      </c>
      <c r="J114" s="126">
        <v>0</v>
      </c>
      <c r="K114" s="126">
        <v>1200</v>
      </c>
      <c r="L114" s="126">
        <v>0</v>
      </c>
      <c r="M114" s="126">
        <v>0</v>
      </c>
      <c r="N114" s="126">
        <v>0</v>
      </c>
      <c r="O114" s="126">
        <v>0</v>
      </c>
      <c r="P114" s="126">
        <v>0</v>
      </c>
      <c r="Q114" s="126">
        <v>0</v>
      </c>
      <c r="R114" s="126">
        <v>0</v>
      </c>
    </row>
    <row r="115" spans="3:18" ht="23.1" customHeight="1">
      <c r="C115" s="126">
        <v>193</v>
      </c>
      <c r="D115" s="141" t="s">
        <v>784</v>
      </c>
      <c r="E115" s="159" t="s">
        <v>785</v>
      </c>
      <c r="F115" s="127">
        <v>1</v>
      </c>
      <c r="I115" s="162">
        <v>46182</v>
      </c>
      <c r="J115" s="126">
        <v>0</v>
      </c>
      <c r="K115" s="126">
        <v>20</v>
      </c>
      <c r="L115" s="126">
        <v>0</v>
      </c>
      <c r="M115" s="126">
        <v>0</v>
      </c>
      <c r="N115" s="126">
        <v>0</v>
      </c>
      <c r="O115" s="126">
        <v>0</v>
      </c>
      <c r="P115" s="126">
        <v>0</v>
      </c>
      <c r="Q115" s="126">
        <v>0</v>
      </c>
      <c r="R115" s="126">
        <v>0</v>
      </c>
    </row>
    <row r="116" spans="3:18" ht="23.1" customHeight="1">
      <c r="C116" s="126">
        <v>103</v>
      </c>
      <c r="D116" s="141" t="s">
        <v>1024</v>
      </c>
      <c r="E116" s="159" t="s">
        <v>1025</v>
      </c>
      <c r="F116" s="127">
        <v>1</v>
      </c>
      <c r="I116" s="162">
        <v>46182</v>
      </c>
      <c r="J116" s="126">
        <v>0</v>
      </c>
      <c r="K116" s="126">
        <v>2</v>
      </c>
      <c r="L116" s="126">
        <v>0</v>
      </c>
      <c r="M116" s="126">
        <v>0</v>
      </c>
      <c r="N116" s="126">
        <v>0</v>
      </c>
      <c r="O116" s="126">
        <v>0</v>
      </c>
      <c r="P116" s="126">
        <v>0</v>
      </c>
      <c r="Q116" s="126">
        <v>0</v>
      </c>
      <c r="R116" s="126">
        <v>0</v>
      </c>
    </row>
    <row r="117" spans="3:18" ht="23.1" customHeight="1">
      <c r="C117" s="126">
        <v>167</v>
      </c>
      <c r="D117" s="141" t="s">
        <v>1029</v>
      </c>
      <c r="E117" s="159" t="s">
        <v>1030</v>
      </c>
      <c r="F117" s="127">
        <v>1</v>
      </c>
      <c r="I117" s="162">
        <v>46182</v>
      </c>
      <c r="J117" s="126">
        <v>0</v>
      </c>
      <c r="K117" s="126">
        <v>2</v>
      </c>
      <c r="L117" s="126">
        <v>0</v>
      </c>
      <c r="M117" s="126">
        <v>0</v>
      </c>
      <c r="N117" s="126">
        <v>0</v>
      </c>
      <c r="O117" s="126">
        <v>0</v>
      </c>
      <c r="P117" s="126">
        <v>0</v>
      </c>
      <c r="Q117" s="126">
        <v>0</v>
      </c>
      <c r="R117" s="126">
        <v>0</v>
      </c>
    </row>
    <row r="118" spans="3:18" ht="23.1" customHeight="1">
      <c r="C118" s="126">
        <v>184</v>
      </c>
      <c r="D118" s="141" t="s">
        <v>769</v>
      </c>
      <c r="E118" s="159" t="s">
        <v>770</v>
      </c>
      <c r="F118" s="127">
        <v>1</v>
      </c>
      <c r="I118" s="162">
        <v>46182</v>
      </c>
      <c r="J118" s="126">
        <v>0</v>
      </c>
      <c r="K118" s="126">
        <v>24</v>
      </c>
      <c r="L118" s="126">
        <v>0</v>
      </c>
      <c r="M118" s="126">
        <v>0</v>
      </c>
      <c r="N118" s="126">
        <v>0</v>
      </c>
      <c r="O118" s="126">
        <v>0</v>
      </c>
      <c r="P118" s="126">
        <v>0</v>
      </c>
      <c r="Q118" s="126">
        <v>0</v>
      </c>
      <c r="R118" s="126">
        <v>0</v>
      </c>
    </row>
    <row r="119" spans="3:18" ht="23.1" customHeight="1">
      <c r="C119" s="126">
        <v>63</v>
      </c>
      <c r="D119" s="141" t="s">
        <v>1037</v>
      </c>
      <c r="E119" s="159" t="s">
        <v>1038</v>
      </c>
      <c r="F119" s="127">
        <v>1</v>
      </c>
      <c r="I119" s="162">
        <v>46182</v>
      </c>
      <c r="J119" s="126">
        <v>0</v>
      </c>
      <c r="K119" s="126">
        <v>1</v>
      </c>
      <c r="L119" s="126">
        <v>0</v>
      </c>
      <c r="M119" s="126">
        <v>0</v>
      </c>
      <c r="N119" s="126">
        <v>0</v>
      </c>
      <c r="O119" s="126">
        <v>0</v>
      </c>
      <c r="P119" s="126">
        <v>0</v>
      </c>
      <c r="Q119" s="126">
        <v>0</v>
      </c>
      <c r="R119" s="126">
        <v>0</v>
      </c>
    </row>
    <row r="120" spans="3:18" ht="23.1" customHeight="1">
      <c r="C120" s="126">
        <v>182</v>
      </c>
      <c r="D120" s="141" t="s">
        <v>627</v>
      </c>
      <c r="E120" s="159" t="s">
        <v>628</v>
      </c>
      <c r="F120" s="127">
        <v>1</v>
      </c>
      <c r="I120" s="162">
        <v>46182</v>
      </c>
      <c r="J120" s="126">
        <v>0</v>
      </c>
      <c r="K120" s="126">
        <v>24</v>
      </c>
      <c r="L120" s="126">
        <v>0</v>
      </c>
      <c r="M120" s="126">
        <v>0</v>
      </c>
      <c r="N120" s="126">
        <v>0</v>
      </c>
      <c r="O120" s="126">
        <v>0</v>
      </c>
      <c r="P120" s="126">
        <v>0</v>
      </c>
      <c r="Q120" s="126">
        <v>0</v>
      </c>
      <c r="R120" s="126">
        <v>0</v>
      </c>
    </row>
    <row r="121" spans="3:18" ht="23.1" customHeight="1">
      <c r="C121" s="126">
        <v>187</v>
      </c>
      <c r="D121" s="141" t="s">
        <v>576</v>
      </c>
      <c r="E121" s="159" t="s">
        <v>577</v>
      </c>
      <c r="F121" s="127">
        <v>1</v>
      </c>
      <c r="I121" s="162">
        <v>46182</v>
      </c>
      <c r="J121" s="126">
        <v>0</v>
      </c>
      <c r="K121" s="126">
        <v>8</v>
      </c>
      <c r="L121" s="126">
        <v>0</v>
      </c>
      <c r="M121" s="126">
        <v>0</v>
      </c>
      <c r="N121" s="126">
        <v>0</v>
      </c>
      <c r="O121" s="126">
        <v>0</v>
      </c>
      <c r="P121" s="126">
        <v>0</v>
      </c>
      <c r="Q121" s="126">
        <v>0</v>
      </c>
      <c r="R121" s="126">
        <v>0</v>
      </c>
    </row>
    <row r="122" spans="3:18" ht="23.1" customHeight="1">
      <c r="C122" s="126">
        <v>195</v>
      </c>
      <c r="D122" s="141" t="s">
        <v>608</v>
      </c>
      <c r="E122" s="159" t="s">
        <v>609</v>
      </c>
      <c r="F122" s="127">
        <v>1</v>
      </c>
      <c r="I122" s="162">
        <v>46182</v>
      </c>
      <c r="J122" s="126">
        <v>0</v>
      </c>
      <c r="K122" s="126">
        <v>4</v>
      </c>
      <c r="L122" s="126">
        <v>0</v>
      </c>
      <c r="M122" s="126">
        <v>0</v>
      </c>
      <c r="N122" s="126">
        <v>0</v>
      </c>
      <c r="O122" s="126">
        <v>0</v>
      </c>
      <c r="P122" s="126">
        <v>0</v>
      </c>
      <c r="Q122" s="126">
        <v>0</v>
      </c>
      <c r="R122" s="126">
        <v>0</v>
      </c>
    </row>
    <row r="123" spans="3:18" ht="23.1" customHeight="1">
      <c r="C123" s="126">
        <v>22</v>
      </c>
      <c r="D123" s="141" t="s">
        <v>642</v>
      </c>
      <c r="E123" s="159" t="s">
        <v>643</v>
      </c>
      <c r="F123" s="127">
        <v>1</v>
      </c>
      <c r="I123" s="162">
        <v>46182</v>
      </c>
      <c r="J123" s="126">
        <v>0</v>
      </c>
      <c r="K123" s="126">
        <v>1</v>
      </c>
      <c r="L123" s="126">
        <v>0</v>
      </c>
      <c r="M123" s="126">
        <v>0</v>
      </c>
      <c r="N123" s="126">
        <v>0</v>
      </c>
      <c r="O123" s="126">
        <v>0</v>
      </c>
      <c r="P123" s="126">
        <v>0</v>
      </c>
      <c r="Q123" s="126">
        <v>0</v>
      </c>
      <c r="R123" s="126">
        <v>0</v>
      </c>
    </row>
    <row r="124" spans="3:18" ht="23.1" customHeight="1">
      <c r="C124" s="126">
        <v>177</v>
      </c>
      <c r="D124" s="141" t="s">
        <v>752</v>
      </c>
      <c r="E124" s="159" t="s">
        <v>753</v>
      </c>
      <c r="F124" s="127">
        <v>1</v>
      </c>
      <c r="I124" s="162">
        <v>46183</v>
      </c>
      <c r="J124" s="126">
        <v>0</v>
      </c>
      <c r="K124" s="126">
        <v>500</v>
      </c>
      <c r="L124" s="126">
        <v>0</v>
      </c>
      <c r="M124" s="126">
        <v>0</v>
      </c>
      <c r="N124" s="126">
        <v>0</v>
      </c>
      <c r="O124" s="126">
        <v>0</v>
      </c>
      <c r="P124" s="126">
        <v>0</v>
      </c>
      <c r="Q124" s="126">
        <v>0</v>
      </c>
      <c r="R124" s="126">
        <v>0</v>
      </c>
    </row>
    <row r="125" spans="3:18" ht="23.1" customHeight="1">
      <c r="C125" s="126">
        <v>178</v>
      </c>
      <c r="D125" s="141" t="s">
        <v>755</v>
      </c>
      <c r="E125" s="159" t="s">
        <v>756</v>
      </c>
      <c r="F125" s="127">
        <v>1</v>
      </c>
      <c r="I125" s="162">
        <v>46183</v>
      </c>
      <c r="J125" s="126">
        <v>0</v>
      </c>
      <c r="K125" s="126">
        <v>300</v>
      </c>
      <c r="L125" s="126">
        <v>0</v>
      </c>
      <c r="M125" s="126">
        <v>0</v>
      </c>
      <c r="N125" s="126">
        <v>0</v>
      </c>
      <c r="O125" s="126">
        <v>0</v>
      </c>
      <c r="P125" s="126">
        <v>0</v>
      </c>
      <c r="Q125" s="126">
        <v>0</v>
      </c>
      <c r="R125" s="126">
        <v>0</v>
      </c>
    </row>
    <row r="126" spans="3:18" ht="23.1" customHeight="1">
      <c r="C126" s="126">
        <v>183</v>
      </c>
      <c r="D126" s="141" t="s">
        <v>766</v>
      </c>
      <c r="E126" s="159" t="s">
        <v>767</v>
      </c>
      <c r="F126" s="127">
        <v>1</v>
      </c>
      <c r="I126" s="162">
        <v>46183</v>
      </c>
      <c r="J126" s="126">
        <v>0</v>
      </c>
      <c r="K126" s="126">
        <v>24</v>
      </c>
      <c r="L126" s="126">
        <v>0</v>
      </c>
      <c r="M126" s="126">
        <v>0</v>
      </c>
      <c r="N126" s="126">
        <v>0</v>
      </c>
      <c r="O126" s="126">
        <v>0</v>
      </c>
      <c r="P126" s="126">
        <v>0</v>
      </c>
      <c r="Q126" s="126">
        <v>0</v>
      </c>
      <c r="R126" s="126">
        <v>0</v>
      </c>
    </row>
    <row r="127" spans="3:18" ht="23.1" customHeight="1">
      <c r="C127" s="126">
        <v>184</v>
      </c>
      <c r="D127" s="141" t="s">
        <v>769</v>
      </c>
      <c r="E127" s="159" t="s">
        <v>770</v>
      </c>
      <c r="F127" s="127">
        <v>1</v>
      </c>
      <c r="I127" s="162">
        <v>46183</v>
      </c>
      <c r="J127" s="126">
        <v>0</v>
      </c>
      <c r="K127" s="126">
        <v>120</v>
      </c>
      <c r="L127" s="126">
        <v>0</v>
      </c>
      <c r="M127" s="126">
        <v>0</v>
      </c>
      <c r="N127" s="126">
        <v>0</v>
      </c>
      <c r="O127" s="126">
        <v>0</v>
      </c>
      <c r="P127" s="126">
        <v>0</v>
      </c>
      <c r="Q127" s="126">
        <v>0</v>
      </c>
      <c r="R127" s="126">
        <v>0</v>
      </c>
    </row>
    <row r="128" spans="3:18" ht="23.1" customHeight="1">
      <c r="C128" s="126">
        <v>19</v>
      </c>
      <c r="D128" s="141" t="s">
        <v>706</v>
      </c>
      <c r="E128" s="159" t="s">
        <v>707</v>
      </c>
      <c r="F128" s="127">
        <v>1</v>
      </c>
      <c r="I128" s="162">
        <v>46183</v>
      </c>
      <c r="J128" s="126">
        <v>0</v>
      </c>
      <c r="K128" s="126">
        <v>2</v>
      </c>
      <c r="L128" s="126">
        <v>0</v>
      </c>
      <c r="M128" s="126">
        <v>0</v>
      </c>
      <c r="N128" s="126">
        <v>0</v>
      </c>
      <c r="O128" s="126">
        <v>0</v>
      </c>
      <c r="P128" s="126">
        <v>0</v>
      </c>
      <c r="Q128" s="126">
        <v>0</v>
      </c>
      <c r="R128" s="126">
        <v>0</v>
      </c>
    </row>
    <row r="129" spans="3:18" ht="23.1" customHeight="1">
      <c r="C129" s="126">
        <v>14</v>
      </c>
      <c r="D129" s="141" t="s">
        <v>696</v>
      </c>
      <c r="E129" s="159" t="s">
        <v>697</v>
      </c>
      <c r="F129" s="127">
        <v>1</v>
      </c>
      <c r="I129" s="162">
        <v>46183</v>
      </c>
      <c r="J129" s="126">
        <v>0</v>
      </c>
      <c r="K129" s="126">
        <v>1</v>
      </c>
      <c r="L129" s="126">
        <v>0</v>
      </c>
      <c r="M129" s="126">
        <v>0</v>
      </c>
      <c r="N129" s="126">
        <v>0</v>
      </c>
      <c r="O129" s="126">
        <v>0</v>
      </c>
      <c r="P129" s="126">
        <v>0</v>
      </c>
      <c r="Q129" s="126">
        <v>0</v>
      </c>
      <c r="R129" s="126">
        <v>0</v>
      </c>
    </row>
    <row r="130" spans="3:18" ht="23.1" customHeight="1">
      <c r="C130" s="126">
        <v>178</v>
      </c>
      <c r="D130" s="141" t="s">
        <v>755</v>
      </c>
      <c r="E130" s="159" t="s">
        <v>756</v>
      </c>
      <c r="F130" s="127">
        <v>1</v>
      </c>
      <c r="I130" s="162">
        <v>46184</v>
      </c>
      <c r="J130" s="126">
        <v>0</v>
      </c>
      <c r="K130" s="126">
        <v>500</v>
      </c>
      <c r="L130" s="126">
        <v>0</v>
      </c>
      <c r="M130" s="126">
        <v>0</v>
      </c>
      <c r="N130" s="126">
        <v>0</v>
      </c>
      <c r="O130" s="126">
        <v>0</v>
      </c>
      <c r="P130" s="126">
        <v>0</v>
      </c>
      <c r="Q130" s="126">
        <v>0</v>
      </c>
      <c r="R130" s="126">
        <v>0</v>
      </c>
    </row>
    <row r="131" spans="3:18" ht="23.1" customHeight="1">
      <c r="C131" s="126">
        <v>17</v>
      </c>
      <c r="D131" s="141" t="s">
        <v>662</v>
      </c>
      <c r="E131" s="159" t="s">
        <v>663</v>
      </c>
      <c r="F131" s="127">
        <v>1</v>
      </c>
      <c r="I131" s="162">
        <v>46184</v>
      </c>
      <c r="J131" s="126">
        <v>0</v>
      </c>
      <c r="K131" s="126">
        <v>3</v>
      </c>
      <c r="L131" s="126">
        <v>0</v>
      </c>
      <c r="M131" s="126">
        <v>0</v>
      </c>
      <c r="N131" s="126">
        <v>0</v>
      </c>
      <c r="O131" s="126">
        <v>0</v>
      </c>
      <c r="P131" s="126">
        <v>0</v>
      </c>
      <c r="Q131" s="126">
        <v>0</v>
      </c>
      <c r="R131" s="126">
        <v>0</v>
      </c>
    </row>
    <row r="132" spans="3:18" ht="23.1" customHeight="1">
      <c r="C132" s="126">
        <v>70</v>
      </c>
      <c r="D132" s="141" t="s">
        <v>906</v>
      </c>
      <c r="E132" s="159" t="s">
        <v>907</v>
      </c>
      <c r="F132" s="127">
        <v>1</v>
      </c>
      <c r="I132" s="162">
        <v>46184</v>
      </c>
      <c r="J132" s="126">
        <v>0</v>
      </c>
      <c r="K132" s="126">
        <v>1</v>
      </c>
      <c r="L132" s="126">
        <v>0</v>
      </c>
      <c r="M132" s="126">
        <v>0</v>
      </c>
      <c r="N132" s="126">
        <v>0</v>
      </c>
      <c r="O132" s="126">
        <v>0</v>
      </c>
      <c r="P132" s="126">
        <v>0</v>
      </c>
      <c r="Q132" s="126">
        <v>0</v>
      </c>
      <c r="R132" s="126">
        <v>0</v>
      </c>
    </row>
    <row r="133" spans="3:18" ht="23.1" customHeight="1">
      <c r="C133" s="126">
        <v>181</v>
      </c>
      <c r="D133" s="141" t="s">
        <v>761</v>
      </c>
      <c r="E133" s="159" t="s">
        <v>762</v>
      </c>
      <c r="F133" s="127">
        <v>1</v>
      </c>
      <c r="I133" s="162">
        <v>46184</v>
      </c>
      <c r="J133" s="126">
        <v>0</v>
      </c>
      <c r="K133" s="126">
        <v>36</v>
      </c>
      <c r="L133" s="126">
        <v>0</v>
      </c>
      <c r="M133" s="126">
        <v>0</v>
      </c>
      <c r="N133" s="126">
        <v>0</v>
      </c>
      <c r="O133" s="126">
        <v>0</v>
      </c>
      <c r="P133" s="126">
        <v>0</v>
      </c>
      <c r="Q133" s="126">
        <v>0</v>
      </c>
      <c r="R133" s="126">
        <v>0</v>
      </c>
    </row>
    <row r="134" spans="3:18" ht="23.1" customHeight="1">
      <c r="C134" s="126">
        <v>40</v>
      </c>
      <c r="D134" s="141" t="s">
        <v>1108</v>
      </c>
      <c r="E134" s="159" t="s">
        <v>1109</v>
      </c>
      <c r="F134" s="127">
        <v>1</v>
      </c>
      <c r="I134" s="162">
        <v>46184</v>
      </c>
      <c r="J134" s="126">
        <v>0</v>
      </c>
      <c r="K134" s="126">
        <v>2</v>
      </c>
      <c r="L134" s="126">
        <v>0</v>
      </c>
      <c r="M134" s="126">
        <v>0</v>
      </c>
      <c r="N134" s="126">
        <v>0</v>
      </c>
      <c r="O134" s="126">
        <v>0</v>
      </c>
      <c r="P134" s="126">
        <v>0</v>
      </c>
      <c r="Q134" s="126">
        <v>0</v>
      </c>
      <c r="R134" s="126">
        <v>0</v>
      </c>
    </row>
    <row r="135" spans="3:18" ht="23.1" customHeight="1">
      <c r="C135" s="126">
        <v>38</v>
      </c>
      <c r="D135" s="141" t="s">
        <v>1113</v>
      </c>
      <c r="E135" s="159" t="s">
        <v>1114</v>
      </c>
      <c r="F135" s="127">
        <v>1</v>
      </c>
      <c r="I135" s="162">
        <v>46184</v>
      </c>
      <c r="J135" s="126">
        <v>0</v>
      </c>
      <c r="K135" s="126">
        <v>2</v>
      </c>
      <c r="L135" s="126">
        <v>0</v>
      </c>
      <c r="M135" s="126">
        <v>0</v>
      </c>
      <c r="N135" s="126">
        <v>0</v>
      </c>
      <c r="O135" s="126">
        <v>0</v>
      </c>
      <c r="P135" s="126">
        <v>0</v>
      </c>
      <c r="Q135" s="126">
        <v>0</v>
      </c>
      <c r="R135" s="126">
        <v>0</v>
      </c>
    </row>
    <row r="136" spans="3:18" ht="23.1" customHeight="1">
      <c r="C136" s="126">
        <v>5</v>
      </c>
      <c r="D136" s="141" t="s">
        <v>686</v>
      </c>
      <c r="E136" s="159" t="s">
        <v>687</v>
      </c>
      <c r="F136" s="127">
        <v>1</v>
      </c>
      <c r="I136" s="162">
        <v>46184</v>
      </c>
      <c r="J136" s="126">
        <v>0</v>
      </c>
      <c r="K136" s="126">
        <v>1</v>
      </c>
      <c r="L136" s="126">
        <v>0</v>
      </c>
      <c r="M136" s="126">
        <v>0</v>
      </c>
      <c r="N136" s="126">
        <v>0</v>
      </c>
      <c r="O136" s="126">
        <v>0</v>
      </c>
      <c r="P136" s="126">
        <v>0</v>
      </c>
      <c r="Q136" s="126">
        <v>0</v>
      </c>
      <c r="R136" s="126">
        <v>0</v>
      </c>
    </row>
    <row r="137" spans="3:18" ht="23.1" customHeight="1">
      <c r="C137" s="126">
        <v>182</v>
      </c>
      <c r="D137" s="141" t="s">
        <v>627</v>
      </c>
      <c r="E137" s="159" t="s">
        <v>628</v>
      </c>
      <c r="F137" s="127">
        <v>1</v>
      </c>
      <c r="I137" s="162">
        <v>46184</v>
      </c>
      <c r="J137" s="126">
        <v>0</v>
      </c>
      <c r="K137" s="126">
        <v>36</v>
      </c>
      <c r="L137" s="126">
        <v>0</v>
      </c>
      <c r="M137" s="126">
        <v>0</v>
      </c>
      <c r="N137" s="126">
        <v>0</v>
      </c>
      <c r="O137" s="126">
        <v>0</v>
      </c>
      <c r="P137" s="126">
        <v>0</v>
      </c>
      <c r="Q137" s="126">
        <v>0</v>
      </c>
      <c r="R137" s="126">
        <v>0</v>
      </c>
    </row>
    <row r="138" spans="3:18" ht="23.1" customHeight="1">
      <c r="C138" s="126">
        <v>8</v>
      </c>
      <c r="D138" s="141" t="s">
        <v>1125</v>
      </c>
      <c r="E138" s="159" t="s">
        <v>1126</v>
      </c>
      <c r="F138" s="127">
        <v>1</v>
      </c>
      <c r="I138" s="162">
        <v>46184</v>
      </c>
      <c r="J138" s="126">
        <v>0</v>
      </c>
      <c r="K138" s="126">
        <v>1</v>
      </c>
      <c r="L138" s="126">
        <v>0</v>
      </c>
      <c r="M138" s="126">
        <v>0</v>
      </c>
      <c r="N138" s="126">
        <v>0</v>
      </c>
      <c r="O138" s="126">
        <v>0</v>
      </c>
      <c r="P138" s="126">
        <v>0</v>
      </c>
      <c r="Q138" s="126">
        <v>0</v>
      </c>
      <c r="R138" s="126">
        <v>0</v>
      </c>
    </row>
    <row r="139" spans="3:18" ht="23.1" customHeight="1">
      <c r="C139" s="126">
        <v>26</v>
      </c>
      <c r="D139" s="141" t="s">
        <v>715</v>
      </c>
      <c r="E139" s="159" t="s">
        <v>716</v>
      </c>
      <c r="F139" s="127">
        <v>1</v>
      </c>
      <c r="I139" s="162">
        <v>46184</v>
      </c>
      <c r="J139" s="126">
        <v>0</v>
      </c>
      <c r="K139" s="126">
        <v>1</v>
      </c>
      <c r="L139" s="126">
        <v>0</v>
      </c>
      <c r="M139" s="126">
        <v>0</v>
      </c>
      <c r="N139" s="126">
        <v>0</v>
      </c>
      <c r="O139" s="126">
        <v>0</v>
      </c>
      <c r="P139" s="126">
        <v>0</v>
      </c>
      <c r="Q139" s="126">
        <v>0</v>
      </c>
      <c r="R139" s="126">
        <v>0</v>
      </c>
    </row>
    <row r="140" spans="3:18" ht="23.1" customHeight="1">
      <c r="C140" s="126">
        <v>76</v>
      </c>
      <c r="D140" s="141" t="s">
        <v>1133</v>
      </c>
      <c r="E140" s="159" t="s">
        <v>1134</v>
      </c>
      <c r="F140" s="127">
        <v>1</v>
      </c>
      <c r="I140" s="162">
        <v>46184</v>
      </c>
      <c r="J140" s="126">
        <v>0</v>
      </c>
      <c r="K140" s="126">
        <v>5</v>
      </c>
      <c r="L140" s="126">
        <v>0</v>
      </c>
      <c r="M140" s="126">
        <v>0</v>
      </c>
      <c r="N140" s="126">
        <v>0</v>
      </c>
      <c r="O140" s="126">
        <v>0</v>
      </c>
      <c r="P140" s="126">
        <v>0</v>
      </c>
      <c r="Q140" s="126">
        <v>0</v>
      </c>
      <c r="R140" s="126">
        <v>0</v>
      </c>
    </row>
    <row r="141" spans="3:18" ht="23.1" customHeight="1">
      <c r="C141" s="126">
        <v>90</v>
      </c>
      <c r="D141" s="141" t="s">
        <v>1139</v>
      </c>
      <c r="E141" s="159" t="s">
        <v>1140</v>
      </c>
      <c r="F141" s="127">
        <v>1</v>
      </c>
      <c r="I141" s="162">
        <v>46184</v>
      </c>
      <c r="J141" s="126">
        <v>0</v>
      </c>
      <c r="K141" s="126">
        <v>4</v>
      </c>
      <c r="L141" s="126">
        <v>0</v>
      </c>
      <c r="M141" s="126">
        <v>0</v>
      </c>
      <c r="N141" s="126">
        <v>0</v>
      </c>
      <c r="O141" s="126">
        <v>0</v>
      </c>
      <c r="P141" s="126">
        <v>0</v>
      </c>
      <c r="Q141" s="126">
        <v>0</v>
      </c>
      <c r="R141" s="126">
        <v>0</v>
      </c>
    </row>
    <row r="142" spans="3:18" ht="23.1" customHeight="1">
      <c r="C142" s="126">
        <v>39</v>
      </c>
      <c r="D142" s="141" t="s">
        <v>1144</v>
      </c>
      <c r="E142" s="159" t="s">
        <v>1145</v>
      </c>
      <c r="F142" s="127">
        <v>1</v>
      </c>
      <c r="I142" s="162">
        <v>46184</v>
      </c>
      <c r="J142" s="126">
        <v>0</v>
      </c>
      <c r="K142" s="126">
        <v>3</v>
      </c>
      <c r="L142" s="126">
        <v>0</v>
      </c>
      <c r="M142" s="126">
        <v>0</v>
      </c>
      <c r="N142" s="126">
        <v>0</v>
      </c>
      <c r="O142" s="126">
        <v>0</v>
      </c>
      <c r="P142" s="126">
        <v>0</v>
      </c>
      <c r="Q142" s="126">
        <v>0</v>
      </c>
      <c r="R142" s="126">
        <v>0</v>
      </c>
    </row>
    <row r="143" spans="3:18" ht="23.1" customHeight="1">
      <c r="C143" s="126">
        <v>42</v>
      </c>
      <c r="D143" s="141" t="s">
        <v>975</v>
      </c>
      <c r="E143" s="159" t="s">
        <v>976</v>
      </c>
      <c r="F143" s="127">
        <v>1</v>
      </c>
      <c r="I143" s="162">
        <v>46184</v>
      </c>
      <c r="J143" s="126">
        <v>0</v>
      </c>
      <c r="K143" s="126">
        <v>3</v>
      </c>
      <c r="L143" s="126">
        <v>0</v>
      </c>
      <c r="M143" s="126">
        <v>0</v>
      </c>
      <c r="N143" s="126">
        <v>0</v>
      </c>
      <c r="O143" s="126">
        <v>0</v>
      </c>
      <c r="P143" s="126">
        <v>0</v>
      </c>
      <c r="Q143" s="126">
        <v>0</v>
      </c>
      <c r="R143" s="126">
        <v>0</v>
      </c>
    </row>
    <row r="144" spans="3:18" ht="23.1" customHeight="1">
      <c r="C144" s="126">
        <v>169</v>
      </c>
      <c r="D144" s="141" t="s">
        <v>601</v>
      </c>
      <c r="E144" s="159" t="s">
        <v>602</v>
      </c>
      <c r="F144" s="127">
        <v>1</v>
      </c>
      <c r="I144" s="162">
        <v>46184</v>
      </c>
      <c r="J144" s="126">
        <v>0</v>
      </c>
      <c r="K144" s="126">
        <v>15</v>
      </c>
      <c r="L144" s="126">
        <v>0</v>
      </c>
      <c r="M144" s="126">
        <v>0</v>
      </c>
      <c r="N144" s="126">
        <v>0</v>
      </c>
      <c r="O144" s="126">
        <v>0</v>
      </c>
      <c r="P144" s="126">
        <v>0</v>
      </c>
      <c r="Q144" s="126">
        <v>0</v>
      </c>
      <c r="R144" s="126">
        <v>0</v>
      </c>
    </row>
    <row r="145" spans="3:18" ht="23.1" customHeight="1">
      <c r="C145" s="126">
        <v>131</v>
      </c>
      <c r="D145" s="141" t="s">
        <v>1155</v>
      </c>
      <c r="E145" s="159" t="s">
        <v>1156</v>
      </c>
      <c r="F145" s="127">
        <v>1</v>
      </c>
      <c r="I145" s="162">
        <v>46184</v>
      </c>
      <c r="J145" s="126">
        <v>0</v>
      </c>
      <c r="K145" s="126">
        <v>1</v>
      </c>
      <c r="L145" s="126">
        <v>0</v>
      </c>
      <c r="M145" s="126">
        <v>0</v>
      </c>
      <c r="N145" s="126">
        <v>0</v>
      </c>
      <c r="O145" s="126">
        <v>0</v>
      </c>
      <c r="P145" s="126">
        <v>0</v>
      </c>
      <c r="Q145" s="126">
        <v>0</v>
      </c>
      <c r="R145" s="126">
        <v>0</v>
      </c>
    </row>
    <row r="146" spans="3:18" ht="23.1" customHeight="1">
      <c r="C146" s="126">
        <v>177</v>
      </c>
      <c r="D146" s="141" t="s">
        <v>752</v>
      </c>
      <c r="E146" s="159" t="s">
        <v>753</v>
      </c>
      <c r="F146" s="127">
        <v>1</v>
      </c>
      <c r="I146" s="162">
        <v>46184</v>
      </c>
      <c r="J146" s="126">
        <v>0</v>
      </c>
      <c r="K146" s="126">
        <v>250</v>
      </c>
      <c r="L146" s="126">
        <v>0</v>
      </c>
      <c r="M146" s="126">
        <v>0</v>
      </c>
      <c r="N146" s="126">
        <v>0</v>
      </c>
      <c r="O146" s="126">
        <v>0</v>
      </c>
      <c r="P146" s="126">
        <v>0</v>
      </c>
      <c r="Q146" s="126">
        <v>0</v>
      </c>
      <c r="R146" s="126">
        <v>0</v>
      </c>
    </row>
    <row r="147" spans="3:18" ht="23.1" customHeight="1">
      <c r="C147" s="126">
        <v>197</v>
      </c>
      <c r="D147" s="141" t="s">
        <v>652</v>
      </c>
      <c r="E147" s="159" t="s">
        <v>653</v>
      </c>
      <c r="F147" s="127">
        <v>1</v>
      </c>
      <c r="I147" s="162">
        <v>46184</v>
      </c>
      <c r="J147" s="126">
        <v>0</v>
      </c>
      <c r="K147" s="126">
        <v>8</v>
      </c>
      <c r="L147" s="126">
        <v>0</v>
      </c>
      <c r="M147" s="126">
        <v>0</v>
      </c>
      <c r="N147" s="126">
        <v>0</v>
      </c>
      <c r="O147" s="126">
        <v>0</v>
      </c>
      <c r="P147" s="126">
        <v>0</v>
      </c>
      <c r="Q147" s="126">
        <v>0</v>
      </c>
      <c r="R147" s="126">
        <v>0</v>
      </c>
    </row>
    <row r="148" spans="3:18" ht="23.1" customHeight="1">
      <c r="C148" s="126">
        <v>198</v>
      </c>
      <c r="D148" s="141" t="s">
        <v>1170</v>
      </c>
      <c r="E148" s="159" t="s">
        <v>1171</v>
      </c>
      <c r="F148" s="127">
        <v>1</v>
      </c>
      <c r="I148" s="162">
        <v>46184</v>
      </c>
      <c r="J148" s="126">
        <v>0</v>
      </c>
      <c r="K148" s="126">
        <v>16</v>
      </c>
      <c r="L148" s="126">
        <v>0</v>
      </c>
      <c r="M148" s="126">
        <v>0</v>
      </c>
      <c r="N148" s="126">
        <v>0</v>
      </c>
      <c r="O148" s="126">
        <v>0</v>
      </c>
      <c r="P148" s="126">
        <v>0</v>
      </c>
      <c r="Q148" s="126">
        <v>0</v>
      </c>
      <c r="R148" s="126">
        <v>0</v>
      </c>
    </row>
    <row r="149" spans="3:18" ht="23.1" customHeight="1">
      <c r="C149" s="126">
        <v>2</v>
      </c>
      <c r="D149" s="141" t="s">
        <v>682</v>
      </c>
      <c r="E149" s="159" t="s">
        <v>683</v>
      </c>
      <c r="F149" s="127">
        <v>1</v>
      </c>
      <c r="I149" s="162">
        <v>46185</v>
      </c>
      <c r="J149" s="126">
        <v>0</v>
      </c>
      <c r="K149" s="126">
        <v>2</v>
      </c>
      <c r="L149" s="126">
        <v>0</v>
      </c>
      <c r="M149" s="126">
        <v>0</v>
      </c>
      <c r="N149" s="126">
        <v>0</v>
      </c>
      <c r="O149" s="126">
        <v>0</v>
      </c>
      <c r="P149" s="126">
        <v>0</v>
      </c>
      <c r="Q149" s="126">
        <v>0</v>
      </c>
      <c r="R149" s="126">
        <v>0</v>
      </c>
    </row>
    <row r="150" spans="3:18" ht="23.1" customHeight="1">
      <c r="C150" s="126">
        <v>7</v>
      </c>
      <c r="D150" s="141" t="s">
        <v>818</v>
      </c>
      <c r="E150" s="159" t="s">
        <v>819</v>
      </c>
      <c r="F150" s="127">
        <v>1</v>
      </c>
      <c r="I150" s="162">
        <v>46185</v>
      </c>
      <c r="J150" s="126">
        <v>0</v>
      </c>
      <c r="K150" s="126">
        <v>6</v>
      </c>
      <c r="L150" s="126">
        <v>0</v>
      </c>
      <c r="M150" s="126">
        <v>0</v>
      </c>
      <c r="N150" s="126">
        <v>0</v>
      </c>
      <c r="O150" s="126">
        <v>0</v>
      </c>
      <c r="P150" s="126">
        <v>0</v>
      </c>
      <c r="Q150" s="126">
        <v>0</v>
      </c>
      <c r="R150" s="126">
        <v>0</v>
      </c>
    </row>
    <row r="151" spans="3:18" ht="23.1" customHeight="1">
      <c r="C151" s="126">
        <v>30</v>
      </c>
      <c r="D151" s="141" t="s">
        <v>1187</v>
      </c>
      <c r="E151" s="159" t="s">
        <v>1188</v>
      </c>
      <c r="F151" s="127">
        <v>1</v>
      </c>
      <c r="I151" s="162">
        <v>46185</v>
      </c>
      <c r="J151" s="126">
        <v>0</v>
      </c>
      <c r="K151" s="126">
        <v>3</v>
      </c>
      <c r="L151" s="126">
        <v>0</v>
      </c>
      <c r="M151" s="126">
        <v>0</v>
      </c>
      <c r="N151" s="126">
        <v>0</v>
      </c>
      <c r="O151" s="126">
        <v>0</v>
      </c>
      <c r="P151" s="126">
        <v>0</v>
      </c>
      <c r="Q151" s="126">
        <v>0</v>
      </c>
      <c r="R151" s="126">
        <v>0</v>
      </c>
    </row>
    <row r="152" spans="3:18" ht="23.1" customHeight="1">
      <c r="C152" s="126">
        <v>34</v>
      </c>
      <c r="D152" s="141" t="s">
        <v>1193</v>
      </c>
      <c r="E152" s="159" t="s">
        <v>1194</v>
      </c>
      <c r="F152" s="127">
        <v>1</v>
      </c>
      <c r="I152" s="162">
        <v>46185</v>
      </c>
      <c r="J152" s="126">
        <v>0</v>
      </c>
      <c r="K152" s="126">
        <v>2</v>
      </c>
      <c r="L152" s="126">
        <v>0</v>
      </c>
      <c r="M152" s="126">
        <v>0</v>
      </c>
      <c r="N152" s="126">
        <v>0</v>
      </c>
      <c r="O152" s="126">
        <v>0</v>
      </c>
      <c r="P152" s="126">
        <v>0</v>
      </c>
      <c r="Q152" s="126">
        <v>0</v>
      </c>
      <c r="R152" s="126">
        <v>0</v>
      </c>
    </row>
    <row r="153" spans="3:18" ht="23.1" customHeight="1">
      <c r="C153" s="126">
        <v>33</v>
      </c>
      <c r="D153" s="141" t="s">
        <v>1198</v>
      </c>
      <c r="E153" s="159" t="s">
        <v>1199</v>
      </c>
      <c r="F153" s="127">
        <v>1</v>
      </c>
      <c r="I153" s="162">
        <v>46185</v>
      </c>
      <c r="J153" s="126">
        <v>0</v>
      </c>
      <c r="K153" s="126">
        <v>1</v>
      </c>
      <c r="L153" s="126">
        <v>0</v>
      </c>
      <c r="M153" s="126">
        <v>0</v>
      </c>
      <c r="N153" s="126">
        <v>0</v>
      </c>
      <c r="O153" s="126">
        <v>0</v>
      </c>
      <c r="P153" s="126">
        <v>0</v>
      </c>
      <c r="Q153" s="126">
        <v>0</v>
      </c>
      <c r="R153" s="126">
        <v>0</v>
      </c>
    </row>
    <row r="154" spans="3:18" ht="23.1" customHeight="1">
      <c r="C154" s="126">
        <v>56</v>
      </c>
      <c r="D154" s="141" t="s">
        <v>1203</v>
      </c>
      <c r="E154" s="159" t="s">
        <v>1204</v>
      </c>
      <c r="F154" s="127">
        <v>1</v>
      </c>
      <c r="I154" s="162">
        <v>46185</v>
      </c>
      <c r="J154" s="126">
        <v>0</v>
      </c>
      <c r="K154" s="126">
        <v>1</v>
      </c>
      <c r="L154" s="126">
        <v>0</v>
      </c>
      <c r="M154" s="126">
        <v>0</v>
      </c>
      <c r="N154" s="126">
        <v>0</v>
      </c>
      <c r="O154" s="126">
        <v>0</v>
      </c>
      <c r="P154" s="126">
        <v>0</v>
      </c>
      <c r="Q154" s="126">
        <v>0</v>
      </c>
      <c r="R154" s="126">
        <v>0</v>
      </c>
    </row>
    <row r="155" spans="3:18" ht="23.1" customHeight="1">
      <c r="C155" s="126">
        <v>108</v>
      </c>
      <c r="D155" s="141" t="s">
        <v>1009</v>
      </c>
      <c r="E155" s="159" t="s">
        <v>1010</v>
      </c>
      <c r="F155" s="127">
        <v>1</v>
      </c>
      <c r="I155" s="162">
        <v>46185</v>
      </c>
      <c r="J155" s="126">
        <v>0</v>
      </c>
      <c r="K155" s="126">
        <v>1</v>
      </c>
      <c r="L155" s="126">
        <v>0</v>
      </c>
      <c r="M155" s="126">
        <v>0</v>
      </c>
      <c r="N155" s="126">
        <v>0</v>
      </c>
      <c r="O155" s="126">
        <v>0</v>
      </c>
      <c r="P155" s="126">
        <v>0</v>
      </c>
      <c r="Q155" s="126">
        <v>0</v>
      </c>
      <c r="R155" s="126">
        <v>0</v>
      </c>
    </row>
    <row r="156" spans="3:18" ht="23.1" customHeight="1">
      <c r="C156" s="126">
        <v>53</v>
      </c>
      <c r="D156" s="141" t="s">
        <v>1211</v>
      </c>
      <c r="E156" s="159" t="s">
        <v>1212</v>
      </c>
      <c r="F156" s="127">
        <v>1</v>
      </c>
      <c r="I156" s="162">
        <v>46185</v>
      </c>
      <c r="J156" s="126">
        <v>0</v>
      </c>
      <c r="K156" s="126">
        <v>1</v>
      </c>
      <c r="L156" s="126">
        <v>0</v>
      </c>
      <c r="M156" s="126">
        <v>0</v>
      </c>
      <c r="N156" s="126">
        <v>0</v>
      </c>
      <c r="O156" s="126">
        <v>0</v>
      </c>
      <c r="P156" s="126">
        <v>0</v>
      </c>
      <c r="Q156" s="126">
        <v>0</v>
      </c>
      <c r="R156" s="126">
        <v>0</v>
      </c>
    </row>
    <row r="157" spans="3:18" ht="23.1" customHeight="1">
      <c r="C157" s="126">
        <v>66</v>
      </c>
      <c r="D157" s="141" t="s">
        <v>1216</v>
      </c>
      <c r="E157" s="159" t="s">
        <v>1217</v>
      </c>
      <c r="F157" s="127">
        <v>1</v>
      </c>
      <c r="I157" s="162">
        <v>46185</v>
      </c>
      <c r="J157" s="126">
        <v>0</v>
      </c>
      <c r="K157" s="126">
        <v>1</v>
      </c>
      <c r="L157" s="126">
        <v>0</v>
      </c>
      <c r="M157" s="126">
        <v>0</v>
      </c>
      <c r="N157" s="126">
        <v>0</v>
      </c>
      <c r="O157" s="126">
        <v>0</v>
      </c>
      <c r="P157" s="126">
        <v>0</v>
      </c>
      <c r="Q157" s="126">
        <v>0</v>
      </c>
      <c r="R157" s="126">
        <v>0</v>
      </c>
    </row>
    <row r="158" spans="3:18" ht="23.1" customHeight="1">
      <c r="C158" s="126">
        <v>64</v>
      </c>
      <c r="D158" s="141" t="s">
        <v>1221</v>
      </c>
      <c r="E158" s="159" t="s">
        <v>1222</v>
      </c>
      <c r="F158" s="127">
        <v>1</v>
      </c>
      <c r="I158" s="162">
        <v>46185</v>
      </c>
      <c r="J158" s="126">
        <v>0</v>
      </c>
      <c r="K158" s="126">
        <v>1</v>
      </c>
      <c r="L158" s="126">
        <v>0</v>
      </c>
      <c r="M158" s="126">
        <v>0</v>
      </c>
      <c r="N158" s="126">
        <v>0</v>
      </c>
      <c r="O158" s="126">
        <v>0</v>
      </c>
      <c r="P158" s="126">
        <v>0</v>
      </c>
      <c r="Q158" s="126">
        <v>0</v>
      </c>
      <c r="R158" s="126">
        <v>0</v>
      </c>
    </row>
    <row r="159" spans="3:18" ht="23.1" customHeight="1">
      <c r="C159" s="126">
        <v>46</v>
      </c>
      <c r="D159" s="141" t="s">
        <v>647</v>
      </c>
      <c r="E159" s="159" t="s">
        <v>648</v>
      </c>
      <c r="F159" s="127">
        <v>1</v>
      </c>
      <c r="I159" s="162">
        <v>46185</v>
      </c>
      <c r="J159" s="126">
        <v>0</v>
      </c>
      <c r="K159" s="126">
        <v>7</v>
      </c>
      <c r="L159" s="126">
        <v>0</v>
      </c>
      <c r="M159" s="126">
        <v>0</v>
      </c>
      <c r="N159" s="126">
        <v>0</v>
      </c>
      <c r="O159" s="126">
        <v>0</v>
      </c>
      <c r="P159" s="126">
        <v>0</v>
      </c>
      <c r="Q159" s="126">
        <v>0</v>
      </c>
      <c r="R159" s="126">
        <v>0</v>
      </c>
    </row>
    <row r="160" spans="3:18" ht="23.1" customHeight="1">
      <c r="C160" s="126">
        <v>44</v>
      </c>
      <c r="D160" s="141" t="s">
        <v>1229</v>
      </c>
      <c r="E160" s="159" t="s">
        <v>1230</v>
      </c>
      <c r="F160" s="127">
        <v>1</v>
      </c>
      <c r="I160" s="162">
        <v>46185</v>
      </c>
      <c r="J160" s="126">
        <v>0</v>
      </c>
      <c r="K160" s="126">
        <v>2</v>
      </c>
      <c r="L160" s="126">
        <v>0</v>
      </c>
      <c r="M160" s="126">
        <v>0</v>
      </c>
      <c r="N160" s="126">
        <v>0</v>
      </c>
      <c r="O160" s="126">
        <v>0</v>
      </c>
      <c r="P160" s="126">
        <v>0</v>
      </c>
      <c r="Q160" s="126">
        <v>0</v>
      </c>
      <c r="R160" s="126">
        <v>0</v>
      </c>
    </row>
    <row r="161" spans="3:18" ht="23.1" customHeight="1">
      <c r="C161" s="126">
        <v>69</v>
      </c>
      <c r="D161" s="141" t="s">
        <v>1234</v>
      </c>
      <c r="E161" s="159" t="s">
        <v>1235</v>
      </c>
      <c r="F161" s="127">
        <v>1</v>
      </c>
      <c r="I161" s="162">
        <v>46185</v>
      </c>
      <c r="J161" s="126">
        <v>0</v>
      </c>
      <c r="K161" s="126">
        <v>2</v>
      </c>
      <c r="L161" s="126">
        <v>0</v>
      </c>
      <c r="M161" s="126">
        <v>0</v>
      </c>
      <c r="N161" s="126">
        <v>0</v>
      </c>
      <c r="O161" s="126">
        <v>0</v>
      </c>
      <c r="P161" s="126">
        <v>0</v>
      </c>
      <c r="Q161" s="126">
        <v>0</v>
      </c>
      <c r="R161" s="126">
        <v>0</v>
      </c>
    </row>
    <row r="162" spans="3:18" ht="23.1" customHeight="1">
      <c r="C162" s="126">
        <v>70</v>
      </c>
      <c r="D162" s="141" t="s">
        <v>906</v>
      </c>
      <c r="E162" s="159" t="s">
        <v>907</v>
      </c>
      <c r="F162" s="127">
        <v>1</v>
      </c>
      <c r="I162" s="162">
        <v>46185</v>
      </c>
      <c r="J162" s="126">
        <v>0</v>
      </c>
      <c r="K162" s="126">
        <v>1</v>
      </c>
      <c r="L162" s="126">
        <v>0</v>
      </c>
      <c r="M162" s="126">
        <v>0</v>
      </c>
      <c r="N162" s="126">
        <v>0</v>
      </c>
      <c r="O162" s="126">
        <v>0</v>
      </c>
      <c r="P162" s="126">
        <v>0</v>
      </c>
      <c r="Q162" s="126">
        <v>0</v>
      </c>
      <c r="R162" s="126">
        <v>0</v>
      </c>
    </row>
    <row r="163" spans="3:18" ht="23.1" customHeight="1">
      <c r="C163" s="126">
        <v>68</v>
      </c>
      <c r="D163" s="141" t="s">
        <v>1242</v>
      </c>
      <c r="E163" s="159" t="s">
        <v>1243</v>
      </c>
      <c r="F163" s="127">
        <v>1</v>
      </c>
      <c r="I163" s="162">
        <v>46185</v>
      </c>
      <c r="J163" s="126">
        <v>0</v>
      </c>
      <c r="K163" s="126">
        <v>1</v>
      </c>
      <c r="L163" s="126">
        <v>0</v>
      </c>
      <c r="M163" s="126">
        <v>0</v>
      </c>
      <c r="N163" s="126">
        <v>0</v>
      </c>
      <c r="O163" s="126">
        <v>0</v>
      </c>
      <c r="P163" s="126">
        <v>0</v>
      </c>
      <c r="Q163" s="126">
        <v>0</v>
      </c>
      <c r="R163" s="126">
        <v>0</v>
      </c>
    </row>
    <row r="164" spans="3:18" ht="23.1" customHeight="1">
      <c r="C164" s="126">
        <v>156</v>
      </c>
      <c r="D164" s="141" t="s">
        <v>735</v>
      </c>
      <c r="E164" s="159" t="s">
        <v>736</v>
      </c>
      <c r="F164" s="127">
        <v>1</v>
      </c>
      <c r="I164" s="162">
        <v>46185</v>
      </c>
      <c r="J164" s="126">
        <v>0</v>
      </c>
      <c r="K164" s="126">
        <v>1</v>
      </c>
      <c r="L164" s="126">
        <v>0</v>
      </c>
      <c r="M164" s="126">
        <v>0</v>
      </c>
      <c r="N164" s="126">
        <v>0</v>
      </c>
      <c r="O164" s="126">
        <v>0</v>
      </c>
      <c r="P164" s="126">
        <v>0</v>
      </c>
      <c r="Q164" s="126">
        <v>0</v>
      </c>
      <c r="R164" s="126">
        <v>0</v>
      </c>
    </row>
    <row r="165" spans="3:18" ht="23.1" customHeight="1">
      <c r="C165" s="126">
        <v>177</v>
      </c>
      <c r="D165" s="141" t="s">
        <v>752</v>
      </c>
      <c r="E165" s="159" t="s">
        <v>753</v>
      </c>
      <c r="F165" s="127">
        <v>1</v>
      </c>
      <c r="I165" s="162">
        <v>46185</v>
      </c>
      <c r="J165" s="126">
        <v>0</v>
      </c>
      <c r="K165" s="126">
        <v>500</v>
      </c>
      <c r="L165" s="126">
        <v>0</v>
      </c>
      <c r="M165" s="126">
        <v>0</v>
      </c>
      <c r="N165" s="126">
        <v>0</v>
      </c>
      <c r="O165" s="126">
        <v>0</v>
      </c>
      <c r="P165" s="126">
        <v>0</v>
      </c>
      <c r="Q165" s="126">
        <v>0</v>
      </c>
      <c r="R165" s="126">
        <v>0</v>
      </c>
    </row>
    <row r="166" spans="3:18" ht="23.1" customHeight="1">
      <c r="C166" s="126">
        <v>179</v>
      </c>
      <c r="D166" s="141" t="s">
        <v>564</v>
      </c>
      <c r="E166" s="159" t="s">
        <v>565</v>
      </c>
      <c r="F166" s="127">
        <v>1</v>
      </c>
      <c r="I166" s="162">
        <v>46185</v>
      </c>
      <c r="J166" s="126">
        <v>0</v>
      </c>
      <c r="K166" s="126">
        <v>1000</v>
      </c>
      <c r="L166" s="126">
        <v>0</v>
      </c>
      <c r="M166" s="126">
        <v>0</v>
      </c>
      <c r="N166" s="126">
        <v>0</v>
      </c>
      <c r="O166" s="126">
        <v>0</v>
      </c>
      <c r="P166" s="126">
        <v>0</v>
      </c>
      <c r="Q166" s="126">
        <v>0</v>
      </c>
      <c r="R166" s="126">
        <v>0</v>
      </c>
    </row>
    <row r="167" spans="3:18" ht="23.1" customHeight="1">
      <c r="C167" s="126">
        <v>177</v>
      </c>
      <c r="D167" s="141" t="s">
        <v>752</v>
      </c>
      <c r="E167" s="159" t="s">
        <v>753</v>
      </c>
      <c r="F167" s="127">
        <v>1</v>
      </c>
      <c r="I167" s="162">
        <v>46186</v>
      </c>
      <c r="J167" s="126">
        <v>0</v>
      </c>
      <c r="K167" s="126">
        <v>250</v>
      </c>
      <c r="L167" s="126">
        <v>0</v>
      </c>
      <c r="M167" s="126">
        <v>0</v>
      </c>
      <c r="N167" s="126">
        <v>0</v>
      </c>
      <c r="O167" s="126">
        <v>0</v>
      </c>
      <c r="P167" s="126">
        <v>0</v>
      </c>
      <c r="Q167" s="126">
        <v>0</v>
      </c>
      <c r="R167" s="126">
        <v>0</v>
      </c>
    </row>
    <row r="168" spans="3:18" ht="23.1" customHeight="1">
      <c r="C168" s="126">
        <v>191</v>
      </c>
      <c r="D168" s="141" t="s">
        <v>781</v>
      </c>
      <c r="E168" s="159" t="s">
        <v>782</v>
      </c>
      <c r="F168" s="127">
        <v>1</v>
      </c>
      <c r="I168" s="162">
        <v>46186</v>
      </c>
      <c r="J168" s="126">
        <v>0</v>
      </c>
      <c r="K168" s="126">
        <v>20</v>
      </c>
      <c r="L168" s="126">
        <v>0</v>
      </c>
      <c r="M168" s="126">
        <v>0</v>
      </c>
      <c r="N168" s="126">
        <v>0</v>
      </c>
      <c r="O168" s="126">
        <v>0</v>
      </c>
      <c r="P168" s="126">
        <v>0</v>
      </c>
      <c r="Q168" s="126">
        <v>0</v>
      </c>
      <c r="R168" s="126">
        <v>0</v>
      </c>
    </row>
    <row r="169" spans="3:18" ht="23.1" customHeight="1">
      <c r="C169" s="126">
        <v>41</v>
      </c>
      <c r="D169" s="141" t="s">
        <v>808</v>
      </c>
      <c r="E169" s="159" t="s">
        <v>809</v>
      </c>
      <c r="F169" s="127">
        <v>1</v>
      </c>
      <c r="I169" s="162">
        <v>46186</v>
      </c>
      <c r="J169" s="126">
        <v>0</v>
      </c>
      <c r="K169" s="126">
        <v>2</v>
      </c>
      <c r="L169" s="126">
        <v>0</v>
      </c>
      <c r="M169" s="126">
        <v>0</v>
      </c>
      <c r="N169" s="126">
        <v>0</v>
      </c>
      <c r="O169" s="126">
        <v>0</v>
      </c>
      <c r="P169" s="126">
        <v>0</v>
      </c>
      <c r="Q169" s="126">
        <v>0</v>
      </c>
      <c r="R169" s="126">
        <v>0</v>
      </c>
    </row>
    <row r="170" spans="3:18" ht="23.1" customHeight="1">
      <c r="C170" s="126">
        <v>8</v>
      </c>
      <c r="D170" s="141" t="s">
        <v>1125</v>
      </c>
      <c r="E170" s="159" t="s">
        <v>1126</v>
      </c>
      <c r="F170" s="127">
        <v>1</v>
      </c>
      <c r="I170" s="162">
        <v>46186</v>
      </c>
      <c r="J170" s="126">
        <v>0</v>
      </c>
      <c r="K170" s="126">
        <v>2</v>
      </c>
      <c r="L170" s="126">
        <v>0</v>
      </c>
      <c r="M170" s="126">
        <v>0</v>
      </c>
      <c r="N170" s="126">
        <v>0</v>
      </c>
      <c r="O170" s="126">
        <v>0</v>
      </c>
      <c r="P170" s="126">
        <v>0</v>
      </c>
      <c r="Q170" s="126">
        <v>0</v>
      </c>
      <c r="R170" s="126">
        <v>0</v>
      </c>
    </row>
    <row r="171" spans="3:18" ht="23.1" customHeight="1">
      <c r="C171" s="126">
        <v>45</v>
      </c>
      <c r="D171" s="141" t="s">
        <v>980</v>
      </c>
      <c r="E171" s="159" t="s">
        <v>981</v>
      </c>
      <c r="F171" s="127">
        <v>1</v>
      </c>
      <c r="I171" s="162">
        <v>46186</v>
      </c>
      <c r="J171" s="126">
        <v>0</v>
      </c>
      <c r="K171" s="126">
        <v>3</v>
      </c>
      <c r="L171" s="126">
        <v>0</v>
      </c>
      <c r="M171" s="126">
        <v>0</v>
      </c>
      <c r="N171" s="126">
        <v>0</v>
      </c>
      <c r="O171" s="126">
        <v>0</v>
      </c>
      <c r="P171" s="126">
        <v>0</v>
      </c>
      <c r="Q171" s="126">
        <v>0</v>
      </c>
      <c r="R171" s="126">
        <v>0</v>
      </c>
    </row>
    <row r="172" spans="3:18" ht="23.1" customHeight="1">
      <c r="C172" s="126">
        <v>42</v>
      </c>
      <c r="D172" s="141" t="s">
        <v>975</v>
      </c>
      <c r="E172" s="159" t="s">
        <v>976</v>
      </c>
      <c r="F172" s="127">
        <v>1</v>
      </c>
      <c r="I172" s="162">
        <v>46186</v>
      </c>
      <c r="J172" s="126">
        <v>0</v>
      </c>
      <c r="K172" s="126">
        <v>2</v>
      </c>
      <c r="L172" s="126">
        <v>0</v>
      </c>
      <c r="M172" s="126">
        <v>0</v>
      </c>
      <c r="N172" s="126">
        <v>0</v>
      </c>
      <c r="O172" s="126">
        <v>0</v>
      </c>
      <c r="P172" s="126">
        <v>0</v>
      </c>
      <c r="Q172" s="126">
        <v>0</v>
      </c>
      <c r="R172" s="126">
        <v>0</v>
      </c>
    </row>
    <row r="173" spans="3:18" ht="23.1" customHeight="1">
      <c r="C173" s="126">
        <v>56</v>
      </c>
      <c r="D173" s="141" t="s">
        <v>1203</v>
      </c>
      <c r="E173" s="159" t="s">
        <v>1204</v>
      </c>
      <c r="F173" s="127">
        <v>1</v>
      </c>
      <c r="I173" s="162">
        <v>46186</v>
      </c>
      <c r="J173" s="126">
        <v>0</v>
      </c>
      <c r="K173" s="126">
        <v>1</v>
      </c>
      <c r="L173" s="126">
        <v>0</v>
      </c>
      <c r="M173" s="126">
        <v>0</v>
      </c>
      <c r="N173" s="126">
        <v>0</v>
      </c>
      <c r="O173" s="126">
        <v>0</v>
      </c>
      <c r="P173" s="126">
        <v>0</v>
      </c>
      <c r="Q173" s="126">
        <v>0</v>
      </c>
      <c r="R173" s="126">
        <v>0</v>
      </c>
    </row>
    <row r="174" spans="3:18" ht="23.1" customHeight="1">
      <c r="C174" s="126">
        <v>68</v>
      </c>
      <c r="D174" s="141" t="s">
        <v>1242</v>
      </c>
      <c r="E174" s="159" t="s">
        <v>1243</v>
      </c>
      <c r="F174" s="127">
        <v>1</v>
      </c>
      <c r="I174" s="162">
        <v>46186</v>
      </c>
      <c r="J174" s="126">
        <v>0</v>
      </c>
      <c r="K174" s="126">
        <v>2</v>
      </c>
      <c r="L174" s="126">
        <v>0</v>
      </c>
      <c r="M174" s="126">
        <v>0</v>
      </c>
      <c r="N174" s="126">
        <v>0</v>
      </c>
      <c r="O174" s="126">
        <v>0</v>
      </c>
      <c r="P174" s="126">
        <v>0</v>
      </c>
      <c r="Q174" s="126">
        <v>0</v>
      </c>
      <c r="R174" s="126">
        <v>0</v>
      </c>
    </row>
    <row r="175" spans="3:18" ht="23.1" customHeight="1">
      <c r="C175" s="126">
        <v>49</v>
      </c>
      <c r="D175" s="141" t="s">
        <v>813</v>
      </c>
      <c r="E175" s="159" t="s">
        <v>814</v>
      </c>
      <c r="F175" s="127">
        <v>1</v>
      </c>
      <c r="I175" s="162">
        <v>46186</v>
      </c>
      <c r="J175" s="126">
        <v>0</v>
      </c>
      <c r="K175" s="126">
        <v>1</v>
      </c>
      <c r="L175" s="126">
        <v>0</v>
      </c>
      <c r="M175" s="126">
        <v>0</v>
      </c>
      <c r="N175" s="126">
        <v>0</v>
      </c>
      <c r="O175" s="126">
        <v>0</v>
      </c>
      <c r="P175" s="126">
        <v>0</v>
      </c>
      <c r="Q175" s="126">
        <v>0</v>
      </c>
      <c r="R175" s="126">
        <v>0</v>
      </c>
    </row>
    <row r="176" spans="3:18" ht="23.1" customHeight="1">
      <c r="C176" s="126">
        <v>69</v>
      </c>
      <c r="D176" s="141" t="s">
        <v>1234</v>
      </c>
      <c r="E176" s="159" t="s">
        <v>1235</v>
      </c>
      <c r="F176" s="127">
        <v>1</v>
      </c>
      <c r="I176" s="162">
        <v>46186</v>
      </c>
      <c r="J176" s="126">
        <v>0</v>
      </c>
      <c r="K176" s="126">
        <v>1</v>
      </c>
      <c r="L176" s="126">
        <v>0</v>
      </c>
      <c r="M176" s="126">
        <v>0</v>
      </c>
      <c r="N176" s="126">
        <v>0</v>
      </c>
      <c r="O176" s="126">
        <v>0</v>
      </c>
      <c r="P176" s="126">
        <v>0</v>
      </c>
      <c r="Q176" s="126">
        <v>0</v>
      </c>
      <c r="R176" s="126">
        <v>0</v>
      </c>
    </row>
    <row r="177" spans="3:18" ht="23.1" customHeight="1">
      <c r="C177" s="126">
        <v>25</v>
      </c>
      <c r="D177" s="141" t="s">
        <v>1295</v>
      </c>
      <c r="E177" s="159" t="s">
        <v>1296</v>
      </c>
      <c r="F177" s="127">
        <v>1</v>
      </c>
      <c r="I177" s="162">
        <v>46186</v>
      </c>
      <c r="J177" s="126">
        <v>0</v>
      </c>
      <c r="K177" s="126">
        <v>1</v>
      </c>
      <c r="L177" s="126">
        <v>0</v>
      </c>
      <c r="M177" s="126">
        <v>0</v>
      </c>
      <c r="N177" s="126">
        <v>0</v>
      </c>
      <c r="O177" s="126">
        <v>0</v>
      </c>
      <c r="P177" s="126">
        <v>0</v>
      </c>
      <c r="Q177" s="126">
        <v>0</v>
      </c>
      <c r="R177" s="126">
        <v>0</v>
      </c>
    </row>
    <row r="178" spans="3:18" ht="23.1" customHeight="1">
      <c r="C178" s="126">
        <v>7</v>
      </c>
      <c r="D178" s="141" t="s">
        <v>818</v>
      </c>
      <c r="E178" s="159" t="s">
        <v>819</v>
      </c>
      <c r="F178" s="127">
        <v>1</v>
      </c>
      <c r="I178" s="162">
        <v>46186</v>
      </c>
      <c r="J178" s="126">
        <v>0</v>
      </c>
      <c r="K178" s="126">
        <v>1</v>
      </c>
      <c r="L178" s="126">
        <v>0</v>
      </c>
      <c r="M178" s="126">
        <v>0</v>
      </c>
      <c r="N178" s="126">
        <v>0</v>
      </c>
      <c r="O178" s="126">
        <v>0</v>
      </c>
      <c r="P178" s="126">
        <v>0</v>
      </c>
      <c r="Q178" s="126">
        <v>0</v>
      </c>
      <c r="R178" s="126">
        <v>0</v>
      </c>
    </row>
    <row r="179" spans="3:18" ht="23.1" customHeight="1">
      <c r="C179" s="126">
        <v>73</v>
      </c>
      <c r="D179" s="141" t="s">
        <v>1303</v>
      </c>
      <c r="E179" s="159" t="s">
        <v>1304</v>
      </c>
      <c r="F179" s="127">
        <v>1</v>
      </c>
      <c r="I179" s="162">
        <v>46186</v>
      </c>
      <c r="J179" s="126">
        <v>0</v>
      </c>
      <c r="K179" s="126">
        <v>1</v>
      </c>
      <c r="L179" s="126">
        <v>0</v>
      </c>
      <c r="M179" s="126">
        <v>0</v>
      </c>
      <c r="N179" s="126">
        <v>0</v>
      </c>
      <c r="O179" s="126">
        <v>0</v>
      </c>
      <c r="P179" s="126">
        <v>0</v>
      </c>
      <c r="Q179" s="126">
        <v>0</v>
      </c>
      <c r="R179" s="126">
        <v>0</v>
      </c>
    </row>
    <row r="180" spans="3:18" ht="23.1" customHeight="1">
      <c r="C180" s="126">
        <v>108</v>
      </c>
      <c r="D180" s="141" t="s">
        <v>1009</v>
      </c>
      <c r="E180" s="159" t="s">
        <v>1010</v>
      </c>
      <c r="F180" s="127">
        <v>1</v>
      </c>
      <c r="I180" s="162">
        <v>46186</v>
      </c>
      <c r="J180" s="126">
        <v>0</v>
      </c>
      <c r="K180" s="126">
        <v>1</v>
      </c>
      <c r="L180" s="126">
        <v>0</v>
      </c>
      <c r="M180" s="126">
        <v>0</v>
      </c>
      <c r="N180" s="126">
        <v>0</v>
      </c>
      <c r="O180" s="126">
        <v>0</v>
      </c>
      <c r="P180" s="126">
        <v>0</v>
      </c>
      <c r="Q180" s="126">
        <v>0</v>
      </c>
      <c r="R180" s="126">
        <v>0</v>
      </c>
    </row>
    <row r="181" spans="3:18" ht="23.1" customHeight="1">
      <c r="C181" s="126">
        <v>92</v>
      </c>
      <c r="D181" s="141" t="s">
        <v>1313</v>
      </c>
      <c r="E181" s="159" t="s">
        <v>1314</v>
      </c>
      <c r="F181" s="127">
        <v>1</v>
      </c>
      <c r="I181" s="162">
        <v>46186</v>
      </c>
      <c r="J181" s="126">
        <v>0</v>
      </c>
      <c r="K181" s="126">
        <v>20</v>
      </c>
      <c r="L181" s="126">
        <v>0</v>
      </c>
      <c r="M181" s="126">
        <v>0</v>
      </c>
      <c r="N181" s="126">
        <v>0</v>
      </c>
      <c r="O181" s="126">
        <v>0</v>
      </c>
      <c r="P181" s="126">
        <v>0</v>
      </c>
      <c r="Q181" s="126">
        <v>0</v>
      </c>
      <c r="R181" s="126">
        <v>0</v>
      </c>
    </row>
    <row r="182" spans="3:18" ht="23.1" customHeight="1">
      <c r="C182" s="126">
        <v>50</v>
      </c>
      <c r="D182" s="141" t="s">
        <v>803</v>
      </c>
      <c r="E182" s="159" t="s">
        <v>804</v>
      </c>
      <c r="F182" s="127">
        <v>1</v>
      </c>
      <c r="I182" s="162">
        <v>46186</v>
      </c>
      <c r="J182" s="126">
        <v>0</v>
      </c>
      <c r="K182" s="126">
        <v>30</v>
      </c>
      <c r="L182" s="126">
        <v>0</v>
      </c>
      <c r="M182" s="126">
        <v>0</v>
      </c>
      <c r="N182" s="126">
        <v>0</v>
      </c>
      <c r="O182" s="126">
        <v>0</v>
      </c>
      <c r="P182" s="126">
        <v>0</v>
      </c>
      <c r="Q182" s="126">
        <v>0</v>
      </c>
      <c r="R182" s="126">
        <v>0</v>
      </c>
    </row>
    <row r="183" spans="3:18" ht="23.1" customHeight="1">
      <c r="C183" s="126">
        <v>101</v>
      </c>
      <c r="D183" s="141" t="s">
        <v>718</v>
      </c>
      <c r="E183" s="159" t="s">
        <v>719</v>
      </c>
      <c r="F183" s="127">
        <v>1</v>
      </c>
      <c r="I183" s="162">
        <v>46186</v>
      </c>
      <c r="J183" s="126">
        <v>0</v>
      </c>
      <c r="K183" s="126">
        <v>20</v>
      </c>
      <c r="L183" s="126">
        <v>0</v>
      </c>
      <c r="M183" s="126">
        <v>0</v>
      </c>
      <c r="N183" s="126">
        <v>0</v>
      </c>
      <c r="O183" s="126">
        <v>0</v>
      </c>
      <c r="P183" s="126">
        <v>0</v>
      </c>
      <c r="Q183" s="126">
        <v>0</v>
      </c>
      <c r="R183" s="126">
        <v>0</v>
      </c>
    </row>
    <row r="184" spans="3:18" ht="23.1" customHeight="1">
      <c r="C184" s="126">
        <v>94</v>
      </c>
      <c r="D184" s="141" t="s">
        <v>1323</v>
      </c>
      <c r="E184" s="159" t="s">
        <v>1324</v>
      </c>
      <c r="F184" s="127">
        <v>1</v>
      </c>
      <c r="I184" s="162">
        <v>46186</v>
      </c>
      <c r="J184" s="126">
        <v>0</v>
      </c>
      <c r="K184" s="126">
        <v>40</v>
      </c>
      <c r="L184" s="126">
        <v>0</v>
      </c>
      <c r="M184" s="126">
        <v>0</v>
      </c>
      <c r="N184" s="126">
        <v>0</v>
      </c>
      <c r="O184" s="126">
        <v>0</v>
      </c>
      <c r="P184" s="126">
        <v>0</v>
      </c>
      <c r="Q184" s="126">
        <v>0</v>
      </c>
      <c r="R184" s="126">
        <v>0</v>
      </c>
    </row>
    <row r="185" spans="3:18" ht="23.1" customHeight="1">
      <c r="C185" s="126">
        <v>177</v>
      </c>
      <c r="D185" s="141" t="s">
        <v>752</v>
      </c>
      <c r="E185" s="159" t="s">
        <v>753</v>
      </c>
      <c r="F185" s="127">
        <v>1</v>
      </c>
      <c r="I185" s="162">
        <v>46187</v>
      </c>
      <c r="J185" s="126">
        <v>0</v>
      </c>
      <c r="K185" s="126">
        <v>1250</v>
      </c>
      <c r="L185" s="126">
        <v>0</v>
      </c>
      <c r="M185" s="126">
        <v>0</v>
      </c>
      <c r="N185" s="126">
        <v>0</v>
      </c>
      <c r="O185" s="126">
        <v>0</v>
      </c>
      <c r="P185" s="126">
        <v>0</v>
      </c>
      <c r="Q185" s="126">
        <v>0</v>
      </c>
      <c r="R185" s="126">
        <v>0</v>
      </c>
    </row>
    <row r="186" spans="3:18" ht="23.1" customHeight="1">
      <c r="C186" s="126">
        <v>51</v>
      </c>
      <c r="D186" s="141" t="s">
        <v>1339</v>
      </c>
      <c r="E186" s="159" t="s">
        <v>1340</v>
      </c>
      <c r="F186" s="127">
        <v>1</v>
      </c>
      <c r="I186" s="162">
        <v>46187</v>
      </c>
      <c r="J186" s="126">
        <v>0</v>
      </c>
      <c r="K186" s="126">
        <v>3</v>
      </c>
      <c r="L186" s="126">
        <v>0</v>
      </c>
      <c r="M186" s="126">
        <v>0</v>
      </c>
      <c r="N186" s="126">
        <v>0</v>
      </c>
      <c r="O186" s="126">
        <v>0</v>
      </c>
      <c r="P186" s="126">
        <v>0</v>
      </c>
      <c r="Q186" s="126">
        <v>0</v>
      </c>
      <c r="R186" s="126">
        <v>0</v>
      </c>
    </row>
    <row r="187" spans="3:18" ht="23.1" customHeight="1">
      <c r="C187" s="126">
        <v>184</v>
      </c>
      <c r="D187" s="141" t="s">
        <v>769</v>
      </c>
      <c r="E187" s="159" t="s">
        <v>770</v>
      </c>
      <c r="F187" s="127">
        <v>1</v>
      </c>
      <c r="I187" s="162">
        <v>46187</v>
      </c>
      <c r="J187" s="126">
        <v>0</v>
      </c>
      <c r="K187" s="126">
        <v>120</v>
      </c>
      <c r="L187" s="126">
        <v>0</v>
      </c>
      <c r="M187" s="126">
        <v>0</v>
      </c>
      <c r="N187" s="126">
        <v>0</v>
      </c>
      <c r="O187" s="126">
        <v>0</v>
      </c>
      <c r="P187" s="126">
        <v>0</v>
      </c>
      <c r="Q187" s="126">
        <v>0</v>
      </c>
      <c r="R187" s="126">
        <v>0</v>
      </c>
    </row>
    <row r="188" spans="3:18" ht="23.1" customHeight="1">
      <c r="C188" s="126">
        <v>177</v>
      </c>
      <c r="D188" s="141" t="s">
        <v>752</v>
      </c>
      <c r="E188" s="159" t="s">
        <v>753</v>
      </c>
      <c r="F188" s="127">
        <v>1</v>
      </c>
      <c r="I188" s="162">
        <v>46188</v>
      </c>
      <c r="J188" s="126">
        <v>0</v>
      </c>
      <c r="K188" s="126">
        <v>800</v>
      </c>
      <c r="L188" s="126">
        <v>0</v>
      </c>
      <c r="M188" s="126">
        <v>0</v>
      </c>
      <c r="N188" s="126">
        <v>0</v>
      </c>
      <c r="O188" s="126">
        <v>0</v>
      </c>
      <c r="P188" s="126">
        <v>0</v>
      </c>
      <c r="Q188" s="126">
        <v>0</v>
      </c>
      <c r="R188" s="126">
        <v>0</v>
      </c>
    </row>
    <row r="189" spans="3:18" ht="23.1" customHeight="1">
      <c r="C189" s="126">
        <v>179</v>
      </c>
      <c r="D189" s="141" t="s">
        <v>564</v>
      </c>
      <c r="E189" s="159" t="s">
        <v>565</v>
      </c>
      <c r="F189" s="127">
        <v>1</v>
      </c>
      <c r="I189" s="162">
        <v>46188</v>
      </c>
      <c r="J189" s="126">
        <v>0</v>
      </c>
      <c r="K189" s="126">
        <v>750</v>
      </c>
      <c r="L189" s="126">
        <v>0</v>
      </c>
      <c r="M189" s="126">
        <v>0</v>
      </c>
      <c r="N189" s="126">
        <v>0</v>
      </c>
      <c r="O189" s="126">
        <v>0</v>
      </c>
      <c r="P189" s="126">
        <v>0</v>
      </c>
      <c r="Q189" s="126">
        <v>0</v>
      </c>
      <c r="R189" s="126">
        <v>0</v>
      </c>
    </row>
    <row r="190" spans="3:18" ht="23.1" customHeight="1">
      <c r="C190" s="126">
        <v>69</v>
      </c>
      <c r="D190" s="141" t="s">
        <v>1234</v>
      </c>
      <c r="E190" s="159" t="s">
        <v>1235</v>
      </c>
      <c r="F190" s="127">
        <v>1</v>
      </c>
      <c r="I190" s="162">
        <v>46188</v>
      </c>
      <c r="J190" s="126">
        <v>0</v>
      </c>
      <c r="K190" s="126">
        <v>4</v>
      </c>
      <c r="L190" s="126">
        <v>0</v>
      </c>
      <c r="M190" s="126">
        <v>0</v>
      </c>
      <c r="N190" s="126">
        <v>0</v>
      </c>
      <c r="O190" s="126">
        <v>0</v>
      </c>
      <c r="P190" s="126">
        <v>0</v>
      </c>
      <c r="Q190" s="126">
        <v>0</v>
      </c>
      <c r="R190" s="126">
        <v>0</v>
      </c>
    </row>
    <row r="191" spans="3:18" ht="23.1" customHeight="1">
      <c r="C191" s="126">
        <v>181</v>
      </c>
      <c r="D191" s="141" t="s">
        <v>761</v>
      </c>
      <c r="E191" s="159" t="s">
        <v>762</v>
      </c>
      <c r="F191" s="127">
        <v>1</v>
      </c>
      <c r="I191" s="162">
        <v>46188</v>
      </c>
      <c r="J191" s="126">
        <v>0</v>
      </c>
      <c r="K191" s="126">
        <v>12</v>
      </c>
      <c r="L191" s="126">
        <v>0</v>
      </c>
      <c r="M191" s="126">
        <v>0</v>
      </c>
      <c r="N191" s="126">
        <v>0</v>
      </c>
      <c r="O191" s="126">
        <v>0</v>
      </c>
      <c r="P191" s="126">
        <v>0</v>
      </c>
      <c r="Q191" s="126">
        <v>0</v>
      </c>
      <c r="R191" s="126">
        <v>0</v>
      </c>
    </row>
    <row r="192" spans="3:18" ht="23.1" customHeight="1">
      <c r="C192" s="126">
        <v>42</v>
      </c>
      <c r="D192" s="141" t="s">
        <v>975</v>
      </c>
      <c r="E192" s="159" t="s">
        <v>976</v>
      </c>
      <c r="F192" s="127">
        <v>1</v>
      </c>
      <c r="I192" s="162">
        <v>46188</v>
      </c>
      <c r="J192" s="126">
        <v>0</v>
      </c>
      <c r="K192" s="126">
        <v>4</v>
      </c>
      <c r="L192" s="126">
        <v>0</v>
      </c>
      <c r="M192" s="126">
        <v>0</v>
      </c>
      <c r="N192" s="126">
        <v>0</v>
      </c>
      <c r="O192" s="126">
        <v>0</v>
      </c>
      <c r="P192" s="126">
        <v>0</v>
      </c>
      <c r="Q192" s="126">
        <v>0</v>
      </c>
      <c r="R192" s="126">
        <v>0</v>
      </c>
    </row>
    <row r="193" spans="3:18" ht="23.1" customHeight="1">
      <c r="C193" s="126">
        <v>74</v>
      </c>
      <c r="D193" s="141" t="s">
        <v>1367</v>
      </c>
      <c r="E193" s="159" t="s">
        <v>1368</v>
      </c>
      <c r="F193" s="127">
        <v>1</v>
      </c>
      <c r="I193" s="162">
        <v>46188</v>
      </c>
      <c r="J193" s="126">
        <v>0</v>
      </c>
      <c r="K193" s="126">
        <v>2</v>
      </c>
      <c r="L193" s="126">
        <v>0</v>
      </c>
      <c r="M193" s="126">
        <v>0</v>
      </c>
      <c r="N193" s="126">
        <v>0</v>
      </c>
      <c r="O193" s="126">
        <v>0</v>
      </c>
      <c r="P193" s="126">
        <v>0</v>
      </c>
      <c r="Q193" s="126">
        <v>0</v>
      </c>
      <c r="R193" s="126">
        <v>0</v>
      </c>
    </row>
    <row r="194" spans="3:18" ht="23.1" customHeight="1">
      <c r="C194" s="126">
        <v>44</v>
      </c>
      <c r="D194" s="141" t="s">
        <v>1229</v>
      </c>
      <c r="E194" s="159" t="s">
        <v>1230</v>
      </c>
      <c r="F194" s="127">
        <v>1</v>
      </c>
      <c r="I194" s="162">
        <v>46188</v>
      </c>
      <c r="J194" s="126">
        <v>0</v>
      </c>
      <c r="K194" s="126">
        <v>2</v>
      </c>
      <c r="L194" s="126">
        <v>0</v>
      </c>
      <c r="M194" s="126">
        <v>0</v>
      </c>
      <c r="N194" s="126">
        <v>0</v>
      </c>
      <c r="O194" s="126">
        <v>0</v>
      </c>
      <c r="P194" s="126">
        <v>0</v>
      </c>
      <c r="Q194" s="126">
        <v>0</v>
      </c>
      <c r="R194" s="126">
        <v>0</v>
      </c>
    </row>
    <row r="195" spans="3:18" ht="23.1" customHeight="1">
      <c r="C195" s="126">
        <v>46</v>
      </c>
      <c r="D195" s="141" t="s">
        <v>647</v>
      </c>
      <c r="E195" s="159" t="s">
        <v>648</v>
      </c>
      <c r="F195" s="127">
        <v>1</v>
      </c>
      <c r="I195" s="162">
        <v>46188</v>
      </c>
      <c r="J195" s="126">
        <v>0</v>
      </c>
      <c r="K195" s="126">
        <v>4</v>
      </c>
      <c r="L195" s="126">
        <v>0</v>
      </c>
      <c r="M195" s="126">
        <v>0</v>
      </c>
      <c r="N195" s="126">
        <v>0</v>
      </c>
      <c r="O195" s="126">
        <v>0</v>
      </c>
      <c r="P195" s="126">
        <v>0</v>
      </c>
      <c r="Q195" s="126">
        <v>0</v>
      </c>
      <c r="R195" s="126">
        <v>0</v>
      </c>
    </row>
    <row r="196" spans="3:18" ht="23.1" customHeight="1">
      <c r="C196" s="126">
        <v>103</v>
      </c>
      <c r="D196" s="141" t="s">
        <v>1024</v>
      </c>
      <c r="E196" s="159" t="s">
        <v>1025</v>
      </c>
      <c r="F196" s="127">
        <v>1</v>
      </c>
      <c r="I196" s="162">
        <v>46188</v>
      </c>
      <c r="J196" s="126">
        <v>0</v>
      </c>
      <c r="K196" s="126">
        <v>1</v>
      </c>
      <c r="L196" s="126">
        <v>0</v>
      </c>
      <c r="M196" s="126">
        <v>0</v>
      </c>
      <c r="N196" s="126">
        <v>0</v>
      </c>
      <c r="O196" s="126">
        <v>0</v>
      </c>
      <c r="P196" s="126">
        <v>0</v>
      </c>
      <c r="Q196" s="126">
        <v>0</v>
      </c>
      <c r="R196" s="126">
        <v>0</v>
      </c>
    </row>
    <row r="197" spans="3:18" ht="23.1" customHeight="1">
      <c r="C197" s="126">
        <v>75</v>
      </c>
      <c r="D197" s="141" t="s">
        <v>1381</v>
      </c>
      <c r="E197" s="159" t="s">
        <v>1382</v>
      </c>
      <c r="F197" s="127">
        <v>1</v>
      </c>
      <c r="I197" s="162">
        <v>46188</v>
      </c>
      <c r="J197" s="126">
        <v>0</v>
      </c>
      <c r="K197" s="126">
        <v>1</v>
      </c>
      <c r="L197" s="126">
        <v>0</v>
      </c>
      <c r="M197" s="126">
        <v>0</v>
      </c>
      <c r="N197" s="126">
        <v>0</v>
      </c>
      <c r="O197" s="126">
        <v>0</v>
      </c>
      <c r="P197" s="126">
        <v>0</v>
      </c>
      <c r="Q197" s="126">
        <v>0</v>
      </c>
      <c r="R197" s="126">
        <v>0</v>
      </c>
    </row>
    <row r="198" spans="3:18" ht="23.1" customHeight="1">
      <c r="C198" s="126">
        <v>68</v>
      </c>
      <c r="D198" s="141" t="s">
        <v>1242</v>
      </c>
      <c r="E198" s="159" t="s">
        <v>1243</v>
      </c>
      <c r="F198" s="127">
        <v>1</v>
      </c>
      <c r="I198" s="162">
        <v>46188</v>
      </c>
      <c r="J198" s="126">
        <v>0</v>
      </c>
      <c r="K198" s="126">
        <v>1</v>
      </c>
      <c r="L198" s="126">
        <v>0</v>
      </c>
      <c r="M198" s="126">
        <v>0</v>
      </c>
      <c r="N198" s="126">
        <v>0</v>
      </c>
      <c r="O198" s="126">
        <v>0</v>
      </c>
      <c r="P198" s="126">
        <v>0</v>
      </c>
      <c r="Q198" s="126">
        <v>0</v>
      </c>
      <c r="R198" s="126">
        <v>0</v>
      </c>
    </row>
    <row r="199" spans="3:18" ht="23.1" customHeight="1">
      <c r="C199" s="126">
        <v>150</v>
      </c>
      <c r="D199" s="141" t="s">
        <v>1405</v>
      </c>
      <c r="E199" s="159" t="s">
        <v>1406</v>
      </c>
      <c r="F199" s="127">
        <v>1</v>
      </c>
      <c r="I199" s="162">
        <v>46188</v>
      </c>
      <c r="J199" s="126">
        <v>0</v>
      </c>
      <c r="K199" s="126">
        <v>24</v>
      </c>
      <c r="L199" s="126">
        <v>0</v>
      </c>
      <c r="M199" s="126">
        <v>0</v>
      </c>
      <c r="N199" s="126">
        <v>0</v>
      </c>
      <c r="O199" s="126">
        <v>0</v>
      </c>
      <c r="P199" s="126">
        <v>0</v>
      </c>
      <c r="Q199" s="126">
        <v>0</v>
      </c>
      <c r="R199" s="126">
        <v>0</v>
      </c>
    </row>
    <row r="200" spans="3:18" ht="23.1" customHeight="1">
      <c r="C200" s="126">
        <v>18</v>
      </c>
      <c r="D200" s="141" t="s">
        <v>703</v>
      </c>
      <c r="E200" s="159" t="s">
        <v>704</v>
      </c>
      <c r="F200" s="127">
        <v>1</v>
      </c>
      <c r="I200" s="162">
        <v>46188</v>
      </c>
      <c r="J200" s="126">
        <v>0</v>
      </c>
      <c r="K200" s="126">
        <v>2</v>
      </c>
      <c r="L200" s="126">
        <v>0</v>
      </c>
      <c r="M200" s="126">
        <v>0</v>
      </c>
      <c r="N200" s="126">
        <v>0</v>
      </c>
      <c r="O200" s="126">
        <v>0</v>
      </c>
      <c r="P200" s="126">
        <v>0</v>
      </c>
      <c r="Q200" s="126">
        <v>0</v>
      </c>
      <c r="R200" s="126">
        <v>0</v>
      </c>
    </row>
    <row r="201" spans="3:18" ht="23.1" customHeight="1">
      <c r="C201" s="126">
        <v>108</v>
      </c>
      <c r="D201" s="141" t="s">
        <v>1009</v>
      </c>
      <c r="E201" s="159" t="s">
        <v>1010</v>
      </c>
      <c r="F201" s="127">
        <v>1</v>
      </c>
      <c r="I201" s="162">
        <v>46188</v>
      </c>
      <c r="J201" s="126">
        <v>0</v>
      </c>
      <c r="K201" s="126">
        <v>1</v>
      </c>
      <c r="L201" s="126">
        <v>0</v>
      </c>
      <c r="M201" s="126">
        <v>0</v>
      </c>
      <c r="N201" s="126">
        <v>0</v>
      </c>
      <c r="O201" s="126">
        <v>0</v>
      </c>
      <c r="P201" s="126">
        <v>0</v>
      </c>
      <c r="Q201" s="126">
        <v>0</v>
      </c>
      <c r="R201" s="126">
        <v>0</v>
      </c>
    </row>
    <row r="202" spans="3:18" ht="23.1" customHeight="1">
      <c r="C202" s="126">
        <v>22</v>
      </c>
      <c r="D202" s="141" t="s">
        <v>642</v>
      </c>
      <c r="E202" s="159" t="s">
        <v>643</v>
      </c>
      <c r="F202" s="127">
        <v>1</v>
      </c>
      <c r="I202" s="162">
        <v>46188</v>
      </c>
      <c r="J202" s="126">
        <v>0</v>
      </c>
      <c r="K202" s="126">
        <v>2</v>
      </c>
      <c r="L202" s="126">
        <v>0</v>
      </c>
      <c r="M202" s="126">
        <v>0</v>
      </c>
      <c r="N202" s="126">
        <v>0</v>
      </c>
      <c r="O202" s="126">
        <v>0</v>
      </c>
      <c r="P202" s="126">
        <v>0</v>
      </c>
      <c r="Q202" s="126">
        <v>0</v>
      </c>
      <c r="R202" s="126">
        <v>0</v>
      </c>
    </row>
    <row r="203" spans="3:18" ht="23.1" customHeight="1">
      <c r="C203" s="126">
        <v>14</v>
      </c>
      <c r="D203" s="141" t="s">
        <v>696</v>
      </c>
      <c r="E203" s="159" t="s">
        <v>697</v>
      </c>
      <c r="F203" s="127">
        <v>1</v>
      </c>
      <c r="I203" s="162">
        <v>46188</v>
      </c>
      <c r="J203" s="126">
        <v>0</v>
      </c>
      <c r="K203" s="126">
        <v>1</v>
      </c>
      <c r="L203" s="126">
        <v>0</v>
      </c>
      <c r="M203" s="126">
        <v>0</v>
      </c>
      <c r="N203" s="126">
        <v>0</v>
      </c>
      <c r="O203" s="126">
        <v>0</v>
      </c>
      <c r="P203" s="126">
        <v>0</v>
      </c>
      <c r="Q203" s="126">
        <v>0</v>
      </c>
      <c r="R203" s="126">
        <v>0</v>
      </c>
    </row>
    <row r="204" spans="3:18" ht="23.1" customHeight="1">
      <c r="C204" s="126">
        <v>16</v>
      </c>
      <c r="D204" s="141" t="s">
        <v>699</v>
      </c>
      <c r="E204" s="159" t="s">
        <v>700</v>
      </c>
      <c r="F204" s="127">
        <v>1</v>
      </c>
      <c r="I204" s="162">
        <v>46188</v>
      </c>
      <c r="J204" s="126">
        <v>0</v>
      </c>
      <c r="K204" s="126">
        <v>1</v>
      </c>
      <c r="L204" s="126">
        <v>0</v>
      </c>
      <c r="M204" s="126">
        <v>0</v>
      </c>
      <c r="N204" s="126">
        <v>0</v>
      </c>
      <c r="O204" s="126">
        <v>0</v>
      </c>
      <c r="P204" s="126">
        <v>0</v>
      </c>
      <c r="Q204" s="126">
        <v>0</v>
      </c>
      <c r="R204" s="126">
        <v>0</v>
      </c>
    </row>
    <row r="205" spans="3:18" ht="23.1" customHeight="1">
      <c r="C205" s="126">
        <v>50</v>
      </c>
      <c r="D205" s="141" t="s">
        <v>803</v>
      </c>
      <c r="E205" s="159" t="s">
        <v>804</v>
      </c>
      <c r="F205" s="127">
        <v>1</v>
      </c>
      <c r="I205" s="162">
        <v>46188</v>
      </c>
      <c r="J205" s="126">
        <v>0</v>
      </c>
      <c r="K205" s="126">
        <v>3</v>
      </c>
      <c r="L205" s="126">
        <v>0</v>
      </c>
      <c r="M205" s="126">
        <v>0</v>
      </c>
      <c r="N205" s="126">
        <v>0</v>
      </c>
      <c r="O205" s="126">
        <v>0</v>
      </c>
      <c r="P205" s="126">
        <v>0</v>
      </c>
      <c r="Q205" s="126">
        <v>0</v>
      </c>
      <c r="R205" s="126">
        <v>0</v>
      </c>
    </row>
    <row r="206" spans="3:18" ht="23.1" customHeight="1">
      <c r="C206" s="126">
        <v>177</v>
      </c>
      <c r="D206" s="141" t="s">
        <v>752</v>
      </c>
      <c r="E206" s="159" t="s">
        <v>753</v>
      </c>
      <c r="F206" s="127">
        <v>1</v>
      </c>
      <c r="I206" s="162">
        <v>46189</v>
      </c>
      <c r="J206" s="126">
        <v>0</v>
      </c>
      <c r="K206" s="126">
        <v>650</v>
      </c>
      <c r="L206" s="126">
        <v>0</v>
      </c>
      <c r="M206" s="126">
        <v>0</v>
      </c>
      <c r="N206" s="126">
        <v>0</v>
      </c>
      <c r="O206" s="126">
        <v>0</v>
      </c>
      <c r="P206" s="126">
        <v>0</v>
      </c>
      <c r="Q206" s="126">
        <v>0</v>
      </c>
      <c r="R206" s="126">
        <v>0</v>
      </c>
    </row>
    <row r="207" spans="3:18" ht="23.1" customHeight="1">
      <c r="C207" s="126">
        <v>179</v>
      </c>
      <c r="D207" s="141" t="s">
        <v>564</v>
      </c>
      <c r="E207" s="159" t="s">
        <v>565</v>
      </c>
      <c r="F207" s="127">
        <v>1</v>
      </c>
      <c r="I207" s="162">
        <v>46189</v>
      </c>
      <c r="J207" s="126">
        <v>0</v>
      </c>
      <c r="K207" s="126">
        <v>300</v>
      </c>
      <c r="L207" s="126">
        <v>0</v>
      </c>
      <c r="M207" s="126">
        <v>0</v>
      </c>
      <c r="N207" s="126">
        <v>0</v>
      </c>
      <c r="O207" s="126">
        <v>0</v>
      </c>
      <c r="P207" s="126">
        <v>0</v>
      </c>
      <c r="Q207" s="126">
        <v>0</v>
      </c>
      <c r="R207" s="126">
        <v>0</v>
      </c>
    </row>
    <row r="208" spans="3:18" ht="23.1" customHeight="1">
      <c r="C208" s="126">
        <v>187</v>
      </c>
      <c r="D208" s="141" t="s">
        <v>576</v>
      </c>
      <c r="E208" s="159" t="s">
        <v>577</v>
      </c>
      <c r="F208" s="127">
        <v>1</v>
      </c>
      <c r="I208" s="162">
        <v>46189</v>
      </c>
      <c r="J208" s="126">
        <v>0</v>
      </c>
      <c r="K208" s="126">
        <v>40</v>
      </c>
      <c r="L208" s="126">
        <v>0</v>
      </c>
      <c r="M208" s="126">
        <v>0</v>
      </c>
      <c r="N208" s="126">
        <v>0</v>
      </c>
      <c r="O208" s="126">
        <v>0</v>
      </c>
      <c r="P208" s="126">
        <v>0</v>
      </c>
      <c r="Q208" s="126">
        <v>0</v>
      </c>
      <c r="R208" s="126">
        <v>0</v>
      </c>
    </row>
    <row r="209" spans="3:18" ht="23.1" customHeight="1">
      <c r="C209" s="126">
        <v>195</v>
      </c>
      <c r="D209" s="141" t="s">
        <v>608</v>
      </c>
      <c r="E209" s="159" t="s">
        <v>609</v>
      </c>
      <c r="F209" s="127">
        <v>1</v>
      </c>
      <c r="I209" s="162">
        <v>46189</v>
      </c>
      <c r="J209" s="126">
        <v>0</v>
      </c>
      <c r="K209" s="126">
        <v>12</v>
      </c>
      <c r="L209" s="126">
        <v>0</v>
      </c>
      <c r="M209" s="126">
        <v>0</v>
      </c>
      <c r="N209" s="126">
        <v>0</v>
      </c>
      <c r="O209" s="126">
        <v>0</v>
      </c>
      <c r="P209" s="126">
        <v>0</v>
      </c>
      <c r="Q209" s="126">
        <v>0</v>
      </c>
      <c r="R209" s="126">
        <v>0</v>
      </c>
    </row>
    <row r="210" spans="3:18" ht="23.1" customHeight="1">
      <c r="C210" s="126">
        <v>16</v>
      </c>
      <c r="D210" s="141" t="s">
        <v>699</v>
      </c>
      <c r="E210" s="159" t="s">
        <v>700</v>
      </c>
      <c r="F210" s="127">
        <v>1</v>
      </c>
      <c r="I210" s="162">
        <v>46189</v>
      </c>
      <c r="J210" s="126">
        <v>0</v>
      </c>
      <c r="K210" s="126">
        <v>10</v>
      </c>
      <c r="L210" s="126">
        <v>0</v>
      </c>
      <c r="M210" s="126">
        <v>0</v>
      </c>
      <c r="N210" s="126">
        <v>0</v>
      </c>
      <c r="O210" s="126">
        <v>0</v>
      </c>
      <c r="P210" s="126">
        <v>0</v>
      </c>
      <c r="Q210" s="126">
        <v>0</v>
      </c>
      <c r="R210" s="126">
        <v>0</v>
      </c>
    </row>
    <row r="211" spans="3:18" ht="23.1" customHeight="1">
      <c r="C211" s="126">
        <v>10</v>
      </c>
      <c r="D211" s="141" t="s">
        <v>586</v>
      </c>
      <c r="E211" s="159" t="s">
        <v>587</v>
      </c>
      <c r="F211" s="127">
        <v>1</v>
      </c>
      <c r="I211" s="162">
        <v>46189</v>
      </c>
      <c r="J211" s="126">
        <v>0</v>
      </c>
      <c r="K211" s="126">
        <v>1</v>
      </c>
      <c r="L211" s="126">
        <v>0</v>
      </c>
      <c r="M211" s="126">
        <v>0</v>
      </c>
      <c r="N211" s="126">
        <v>0</v>
      </c>
      <c r="O211" s="126">
        <v>0</v>
      </c>
      <c r="P211" s="126">
        <v>0</v>
      </c>
      <c r="Q211" s="126">
        <v>0</v>
      </c>
      <c r="R211" s="126">
        <v>0</v>
      </c>
    </row>
    <row r="212" spans="3:18" ht="23.1" customHeight="1">
      <c r="C212" s="126">
        <v>178</v>
      </c>
      <c r="D212" s="141" t="s">
        <v>755</v>
      </c>
      <c r="E212" s="159" t="s">
        <v>756</v>
      </c>
      <c r="F212" s="127">
        <v>1</v>
      </c>
      <c r="I212" s="162">
        <v>46189</v>
      </c>
      <c r="J212" s="126">
        <v>0</v>
      </c>
      <c r="K212" s="126">
        <v>200</v>
      </c>
      <c r="L212" s="126">
        <v>0</v>
      </c>
      <c r="M212" s="126">
        <v>0</v>
      </c>
      <c r="N212" s="126">
        <v>0</v>
      </c>
      <c r="O212" s="126">
        <v>0</v>
      </c>
      <c r="P212" s="126">
        <v>0</v>
      </c>
      <c r="Q212" s="126">
        <v>0</v>
      </c>
      <c r="R212" s="126">
        <v>0</v>
      </c>
    </row>
    <row r="213" spans="3:18" ht="23.1" customHeight="1">
      <c r="C213" s="126">
        <v>197</v>
      </c>
      <c r="D213" s="141" t="s">
        <v>652</v>
      </c>
      <c r="E213" s="159" t="s">
        <v>653</v>
      </c>
      <c r="F213" s="127">
        <v>1</v>
      </c>
      <c r="I213" s="162">
        <v>46190</v>
      </c>
      <c r="J213" s="126">
        <v>0</v>
      </c>
      <c r="K213" s="126">
        <v>8</v>
      </c>
      <c r="L213" s="126">
        <v>0</v>
      </c>
      <c r="M213" s="126">
        <v>0</v>
      </c>
      <c r="N213" s="126">
        <v>0</v>
      </c>
      <c r="O213" s="126">
        <v>0</v>
      </c>
      <c r="P213" s="126">
        <v>0</v>
      </c>
      <c r="Q213" s="126">
        <v>0</v>
      </c>
      <c r="R213" s="126">
        <v>0</v>
      </c>
    </row>
    <row r="214" spans="3:18" ht="23.1" customHeight="1">
      <c r="C214" s="126">
        <v>181</v>
      </c>
      <c r="D214" s="141" t="s">
        <v>761</v>
      </c>
      <c r="E214" s="159" t="s">
        <v>762</v>
      </c>
      <c r="F214" s="127">
        <v>1</v>
      </c>
      <c r="I214" s="162">
        <v>46190</v>
      </c>
      <c r="J214" s="126">
        <v>0</v>
      </c>
      <c r="K214" s="126">
        <v>120</v>
      </c>
      <c r="L214" s="126">
        <v>0</v>
      </c>
      <c r="M214" s="126">
        <v>0</v>
      </c>
      <c r="N214" s="126">
        <v>0</v>
      </c>
      <c r="O214" s="126">
        <v>0</v>
      </c>
      <c r="P214" s="126">
        <v>0</v>
      </c>
      <c r="Q214" s="126">
        <v>0</v>
      </c>
      <c r="R214" s="126">
        <v>0</v>
      </c>
    </row>
    <row r="215" spans="3:18" ht="23.1" customHeight="1">
      <c r="C215" s="126">
        <v>178</v>
      </c>
      <c r="D215" s="141" t="s">
        <v>755</v>
      </c>
      <c r="E215" s="159" t="s">
        <v>756</v>
      </c>
      <c r="F215" s="127">
        <v>1</v>
      </c>
      <c r="I215" s="162">
        <v>46190</v>
      </c>
      <c r="J215" s="126">
        <v>0</v>
      </c>
      <c r="K215" s="126">
        <v>1300</v>
      </c>
      <c r="L215" s="126">
        <v>0</v>
      </c>
      <c r="M215" s="126">
        <v>0</v>
      </c>
      <c r="N215" s="126">
        <v>0</v>
      </c>
      <c r="O215" s="126">
        <v>0</v>
      </c>
      <c r="P215" s="126">
        <v>0</v>
      </c>
      <c r="Q215" s="126">
        <v>0</v>
      </c>
      <c r="R215" s="126">
        <v>0</v>
      </c>
    </row>
    <row r="216" spans="3:18" ht="23.1" customHeight="1">
      <c r="C216" s="126">
        <v>177</v>
      </c>
      <c r="D216" s="141" t="s">
        <v>752</v>
      </c>
      <c r="E216" s="159" t="s">
        <v>753</v>
      </c>
      <c r="F216" s="127">
        <v>1</v>
      </c>
      <c r="I216" s="162">
        <v>46190</v>
      </c>
      <c r="J216" s="126">
        <v>0</v>
      </c>
      <c r="K216" s="126">
        <v>150</v>
      </c>
      <c r="L216" s="126">
        <v>0</v>
      </c>
      <c r="M216" s="126">
        <v>0</v>
      </c>
      <c r="N216" s="126">
        <v>0</v>
      </c>
      <c r="O216" s="126">
        <v>0</v>
      </c>
      <c r="P216" s="126">
        <v>0</v>
      </c>
      <c r="Q216" s="126">
        <v>0</v>
      </c>
      <c r="R216" s="126">
        <v>0</v>
      </c>
    </row>
    <row r="217" spans="3:18" ht="23.1" customHeight="1">
      <c r="C217" s="126">
        <v>183</v>
      </c>
      <c r="D217" s="141" t="s">
        <v>766</v>
      </c>
      <c r="E217" s="159" t="s">
        <v>767</v>
      </c>
      <c r="F217" s="127">
        <v>1</v>
      </c>
      <c r="I217" s="162">
        <v>46190</v>
      </c>
      <c r="J217" s="126">
        <v>0</v>
      </c>
      <c r="K217" s="126">
        <v>60</v>
      </c>
      <c r="L217" s="126">
        <v>0</v>
      </c>
      <c r="M217" s="126">
        <v>0</v>
      </c>
      <c r="N217" s="126">
        <v>0</v>
      </c>
      <c r="O217" s="126">
        <v>0</v>
      </c>
      <c r="P217" s="126">
        <v>0</v>
      </c>
      <c r="Q217" s="126">
        <v>0</v>
      </c>
      <c r="R217" s="126">
        <v>0</v>
      </c>
    </row>
    <row r="218" spans="3:18" ht="23.1" customHeight="1">
      <c r="C218" s="126">
        <v>167</v>
      </c>
      <c r="D218" s="141" t="s">
        <v>1029</v>
      </c>
      <c r="E218" s="159" t="s">
        <v>1030</v>
      </c>
      <c r="F218" s="127">
        <v>1</v>
      </c>
      <c r="I218" s="162">
        <v>46190</v>
      </c>
      <c r="J218" s="126">
        <v>0</v>
      </c>
      <c r="K218" s="126">
        <v>7</v>
      </c>
      <c r="L218" s="126">
        <v>0</v>
      </c>
      <c r="M218" s="126">
        <v>0</v>
      </c>
      <c r="N218" s="126">
        <v>0</v>
      </c>
      <c r="O218" s="126">
        <v>0</v>
      </c>
      <c r="P218" s="126">
        <v>0</v>
      </c>
      <c r="Q218" s="126">
        <v>0</v>
      </c>
      <c r="R218" s="126">
        <v>0</v>
      </c>
    </row>
    <row r="219" spans="3:18" ht="23.1" customHeight="1">
      <c r="C219" s="126">
        <v>144</v>
      </c>
      <c r="D219" s="141" t="s">
        <v>996</v>
      </c>
      <c r="E219" s="159" t="s">
        <v>997</v>
      </c>
      <c r="F219" s="127">
        <v>1</v>
      </c>
      <c r="I219" s="162">
        <v>46190</v>
      </c>
      <c r="J219" s="126">
        <v>0</v>
      </c>
      <c r="K219" s="126">
        <v>4</v>
      </c>
      <c r="L219" s="126">
        <v>0</v>
      </c>
      <c r="M219" s="126">
        <v>0</v>
      </c>
      <c r="N219" s="126">
        <v>0</v>
      </c>
      <c r="O219" s="126">
        <v>0</v>
      </c>
      <c r="P219" s="126">
        <v>0</v>
      </c>
      <c r="Q219" s="126">
        <v>0</v>
      </c>
      <c r="R219" s="126">
        <v>0</v>
      </c>
    </row>
    <row r="220" spans="3:18" ht="23.1" customHeight="1">
      <c r="C220" s="126">
        <v>74</v>
      </c>
      <c r="D220" s="141" t="s">
        <v>1367</v>
      </c>
      <c r="E220" s="159" t="s">
        <v>1368</v>
      </c>
      <c r="F220" s="127">
        <v>1</v>
      </c>
      <c r="I220" s="162">
        <v>46190</v>
      </c>
      <c r="J220" s="126">
        <v>0</v>
      </c>
      <c r="K220" s="126">
        <v>4</v>
      </c>
      <c r="L220" s="126">
        <v>0</v>
      </c>
      <c r="M220" s="126">
        <v>0</v>
      </c>
      <c r="N220" s="126">
        <v>0</v>
      </c>
      <c r="O220" s="126">
        <v>0</v>
      </c>
      <c r="P220" s="126">
        <v>0</v>
      </c>
      <c r="Q220" s="126">
        <v>0</v>
      </c>
      <c r="R220" s="126">
        <v>0</v>
      </c>
    </row>
    <row r="221" spans="3:18" ht="23.1" customHeight="1">
      <c r="C221" s="126">
        <v>90</v>
      </c>
      <c r="D221" s="141" t="s">
        <v>1139</v>
      </c>
      <c r="E221" s="159" t="s">
        <v>1140</v>
      </c>
      <c r="F221" s="127">
        <v>1</v>
      </c>
      <c r="I221" s="162">
        <v>46190</v>
      </c>
      <c r="J221" s="126">
        <v>0</v>
      </c>
      <c r="K221" s="126">
        <v>4</v>
      </c>
      <c r="L221" s="126">
        <v>0</v>
      </c>
      <c r="M221" s="126">
        <v>0</v>
      </c>
      <c r="N221" s="126">
        <v>0</v>
      </c>
      <c r="O221" s="126">
        <v>0</v>
      </c>
      <c r="P221" s="126">
        <v>0</v>
      </c>
      <c r="Q221" s="126">
        <v>0</v>
      </c>
      <c r="R221" s="126">
        <v>0</v>
      </c>
    </row>
    <row r="222" spans="3:18" ht="23.1" customHeight="1">
      <c r="C222" s="126">
        <v>49</v>
      </c>
      <c r="D222" s="141" t="s">
        <v>813</v>
      </c>
      <c r="E222" s="159" t="s">
        <v>814</v>
      </c>
      <c r="F222" s="127">
        <v>1</v>
      </c>
      <c r="I222" s="162">
        <v>46190</v>
      </c>
      <c r="J222" s="126">
        <v>0</v>
      </c>
      <c r="K222" s="126">
        <v>2</v>
      </c>
      <c r="L222" s="126">
        <v>0</v>
      </c>
      <c r="M222" s="126">
        <v>0</v>
      </c>
      <c r="N222" s="126">
        <v>0</v>
      </c>
      <c r="O222" s="126">
        <v>0</v>
      </c>
      <c r="P222" s="126">
        <v>0</v>
      </c>
      <c r="Q222" s="126">
        <v>0</v>
      </c>
      <c r="R222" s="126">
        <v>0</v>
      </c>
    </row>
    <row r="223" spans="3:18" ht="23.1" customHeight="1">
      <c r="C223" s="126">
        <v>94</v>
      </c>
      <c r="D223" s="141" t="s">
        <v>1323</v>
      </c>
      <c r="E223" s="159" t="s">
        <v>1324</v>
      </c>
      <c r="F223" s="127">
        <v>1</v>
      </c>
      <c r="I223" s="162">
        <v>46190</v>
      </c>
      <c r="J223" s="126">
        <v>0</v>
      </c>
      <c r="K223" s="126">
        <v>1</v>
      </c>
      <c r="L223" s="126">
        <v>0</v>
      </c>
      <c r="M223" s="126">
        <v>0</v>
      </c>
      <c r="N223" s="126">
        <v>0</v>
      </c>
      <c r="O223" s="126">
        <v>0</v>
      </c>
      <c r="P223" s="126">
        <v>0</v>
      </c>
      <c r="Q223" s="126">
        <v>0</v>
      </c>
      <c r="R223" s="126">
        <v>0</v>
      </c>
    </row>
    <row r="224" spans="3:18" ht="23.1" customHeight="1">
      <c r="C224" s="126">
        <v>19</v>
      </c>
      <c r="D224" s="141" t="s">
        <v>706</v>
      </c>
      <c r="E224" s="159" t="s">
        <v>707</v>
      </c>
      <c r="F224" s="127">
        <v>1</v>
      </c>
      <c r="I224" s="162">
        <v>46191</v>
      </c>
      <c r="J224" s="126">
        <v>0</v>
      </c>
      <c r="K224" s="126">
        <v>1</v>
      </c>
      <c r="L224" s="126">
        <v>0</v>
      </c>
      <c r="M224" s="126">
        <v>0</v>
      </c>
      <c r="N224" s="126">
        <v>0</v>
      </c>
      <c r="O224" s="126">
        <v>0</v>
      </c>
      <c r="P224" s="126">
        <v>0</v>
      </c>
      <c r="Q224" s="126">
        <v>0</v>
      </c>
      <c r="R224" s="126">
        <v>0</v>
      </c>
    </row>
    <row r="225" spans="3:18" ht="23.1" customHeight="1">
      <c r="C225" s="126">
        <v>22</v>
      </c>
      <c r="D225" s="141" t="s">
        <v>642</v>
      </c>
      <c r="E225" s="159" t="s">
        <v>643</v>
      </c>
      <c r="F225" s="127">
        <v>1</v>
      </c>
      <c r="I225" s="162">
        <v>46191</v>
      </c>
      <c r="J225" s="126">
        <v>0</v>
      </c>
      <c r="K225" s="126">
        <v>1</v>
      </c>
      <c r="L225" s="126">
        <v>0</v>
      </c>
      <c r="M225" s="126">
        <v>0</v>
      </c>
      <c r="N225" s="126">
        <v>0</v>
      </c>
      <c r="O225" s="126">
        <v>0</v>
      </c>
      <c r="P225" s="126">
        <v>0</v>
      </c>
      <c r="Q225" s="126">
        <v>0</v>
      </c>
      <c r="R225" s="126">
        <v>0</v>
      </c>
    </row>
    <row r="226" spans="3:18" ht="23.1" customHeight="1">
      <c r="C226" s="126">
        <v>34</v>
      </c>
      <c r="D226" s="141" t="s">
        <v>1193</v>
      </c>
      <c r="E226" s="159" t="s">
        <v>1194</v>
      </c>
      <c r="F226" s="127">
        <v>1</v>
      </c>
      <c r="I226" s="162">
        <v>46191</v>
      </c>
      <c r="J226" s="126">
        <v>0</v>
      </c>
      <c r="K226" s="126">
        <v>3</v>
      </c>
      <c r="L226" s="126">
        <v>0</v>
      </c>
      <c r="M226" s="126">
        <v>0</v>
      </c>
      <c r="N226" s="126">
        <v>0</v>
      </c>
      <c r="O226" s="126">
        <v>0</v>
      </c>
      <c r="P226" s="126">
        <v>0</v>
      </c>
      <c r="Q226" s="126">
        <v>0</v>
      </c>
      <c r="R226" s="126">
        <v>0</v>
      </c>
    </row>
    <row r="227" spans="3:18" ht="23.1" customHeight="1">
      <c r="C227" s="126">
        <v>37</v>
      </c>
      <c r="D227" s="141" t="s">
        <v>1515</v>
      </c>
      <c r="E227" s="159" t="s">
        <v>1516</v>
      </c>
      <c r="F227" s="127">
        <v>1</v>
      </c>
      <c r="I227" s="162">
        <v>46191</v>
      </c>
      <c r="J227" s="126">
        <v>0</v>
      </c>
      <c r="K227" s="126">
        <v>1</v>
      </c>
      <c r="L227" s="126">
        <v>0</v>
      </c>
      <c r="M227" s="126">
        <v>0</v>
      </c>
      <c r="N227" s="126">
        <v>0</v>
      </c>
      <c r="O227" s="126">
        <v>0</v>
      </c>
      <c r="P227" s="126">
        <v>0</v>
      </c>
      <c r="Q227" s="126">
        <v>0</v>
      </c>
      <c r="R227" s="126">
        <v>0</v>
      </c>
    </row>
    <row r="228" spans="3:18" ht="23.1" customHeight="1">
      <c r="C228" s="126">
        <v>26</v>
      </c>
      <c r="D228" s="141" t="s">
        <v>715</v>
      </c>
      <c r="E228" s="159" t="s">
        <v>716</v>
      </c>
      <c r="F228" s="127">
        <v>1</v>
      </c>
      <c r="I228" s="162">
        <v>46191</v>
      </c>
      <c r="J228" s="126">
        <v>0</v>
      </c>
      <c r="K228" s="126">
        <v>2</v>
      </c>
      <c r="L228" s="126">
        <v>0</v>
      </c>
      <c r="M228" s="126">
        <v>0</v>
      </c>
      <c r="N228" s="126">
        <v>0</v>
      </c>
      <c r="O228" s="126">
        <v>0</v>
      </c>
      <c r="P228" s="126">
        <v>0</v>
      </c>
      <c r="Q228" s="126">
        <v>0</v>
      </c>
      <c r="R228" s="126">
        <v>0</v>
      </c>
    </row>
    <row r="229" spans="3:18" ht="23.1" customHeight="1">
      <c r="C229" s="126">
        <v>29</v>
      </c>
      <c r="D229" s="141" t="s">
        <v>1523</v>
      </c>
      <c r="E229" s="159" t="s">
        <v>1524</v>
      </c>
      <c r="F229" s="127">
        <v>1</v>
      </c>
      <c r="I229" s="162">
        <v>46191</v>
      </c>
      <c r="J229" s="126">
        <v>0</v>
      </c>
      <c r="K229" s="126">
        <v>1</v>
      </c>
      <c r="L229" s="126">
        <v>0</v>
      </c>
      <c r="M229" s="126">
        <v>0</v>
      </c>
      <c r="N229" s="126">
        <v>0</v>
      </c>
      <c r="O229" s="126">
        <v>0</v>
      </c>
      <c r="P229" s="126">
        <v>0</v>
      </c>
      <c r="Q229" s="126">
        <v>0</v>
      </c>
      <c r="R229" s="126">
        <v>0</v>
      </c>
    </row>
    <row r="230" spans="3:18" ht="23.1" customHeight="1">
      <c r="C230" s="126">
        <v>183</v>
      </c>
      <c r="D230" s="141" t="s">
        <v>766</v>
      </c>
      <c r="E230" s="159" t="s">
        <v>767</v>
      </c>
      <c r="F230" s="127">
        <v>1</v>
      </c>
      <c r="I230" s="162">
        <v>46191</v>
      </c>
      <c r="J230" s="126">
        <v>0</v>
      </c>
      <c r="K230" s="126">
        <v>120</v>
      </c>
      <c r="L230" s="126">
        <v>0</v>
      </c>
      <c r="M230" s="126">
        <v>0</v>
      </c>
      <c r="N230" s="126">
        <v>0</v>
      </c>
      <c r="O230" s="126">
        <v>0</v>
      </c>
      <c r="P230" s="126">
        <v>0</v>
      </c>
      <c r="Q230" s="126">
        <v>0</v>
      </c>
      <c r="R230" s="126">
        <v>0</v>
      </c>
    </row>
    <row r="231" spans="3:18" ht="23.1" customHeight="1">
      <c r="C231" s="126">
        <v>181</v>
      </c>
      <c r="D231" s="141" t="s">
        <v>761</v>
      </c>
      <c r="E231" s="159" t="s">
        <v>762</v>
      </c>
      <c r="F231" s="127">
        <v>1</v>
      </c>
      <c r="I231" s="162">
        <v>46191</v>
      </c>
      <c r="J231" s="126">
        <v>0</v>
      </c>
      <c r="K231" s="126">
        <v>12</v>
      </c>
      <c r="L231" s="126">
        <v>0</v>
      </c>
      <c r="M231" s="126">
        <v>0</v>
      </c>
      <c r="N231" s="126">
        <v>0</v>
      </c>
      <c r="O231" s="126">
        <v>0</v>
      </c>
      <c r="P231" s="126">
        <v>0</v>
      </c>
      <c r="Q231" s="126">
        <v>0</v>
      </c>
      <c r="R231" s="126">
        <v>0</v>
      </c>
    </row>
    <row r="232" spans="3:18" ht="23.1" customHeight="1">
      <c r="C232" s="126">
        <v>102</v>
      </c>
      <c r="D232" s="141" t="s">
        <v>722</v>
      </c>
      <c r="E232" s="159" t="s">
        <v>723</v>
      </c>
      <c r="F232" s="127">
        <v>1</v>
      </c>
      <c r="I232" s="162">
        <v>46191</v>
      </c>
      <c r="J232" s="126">
        <v>0</v>
      </c>
      <c r="K232" s="126">
        <v>1</v>
      </c>
      <c r="L232" s="126">
        <v>0</v>
      </c>
      <c r="M232" s="126">
        <v>0</v>
      </c>
      <c r="N232" s="126">
        <v>0</v>
      </c>
      <c r="O232" s="126">
        <v>0</v>
      </c>
      <c r="P232" s="126">
        <v>0</v>
      </c>
      <c r="Q232" s="126">
        <v>0</v>
      </c>
      <c r="R232" s="126">
        <v>0</v>
      </c>
    </row>
    <row r="233" spans="3:18" ht="23.1" customHeight="1">
      <c r="C233" s="126">
        <v>177</v>
      </c>
      <c r="D233" s="141" t="s">
        <v>752</v>
      </c>
      <c r="E233" s="159" t="s">
        <v>753</v>
      </c>
      <c r="F233" s="127">
        <v>1</v>
      </c>
      <c r="I233" s="162">
        <v>46191</v>
      </c>
      <c r="J233" s="126">
        <v>0</v>
      </c>
      <c r="K233" s="126">
        <v>600</v>
      </c>
      <c r="L233" s="126">
        <v>0</v>
      </c>
      <c r="M233" s="126">
        <v>0</v>
      </c>
      <c r="N233" s="126">
        <v>0</v>
      </c>
      <c r="O233" s="126">
        <v>0</v>
      </c>
      <c r="P233" s="126">
        <v>0</v>
      </c>
      <c r="Q233" s="126">
        <v>0</v>
      </c>
      <c r="R233" s="126">
        <v>0</v>
      </c>
    </row>
    <row r="234" spans="3:18" ht="23.1" customHeight="1">
      <c r="C234" s="126">
        <v>179</v>
      </c>
      <c r="D234" s="141" t="s">
        <v>564</v>
      </c>
      <c r="E234" s="159" t="s">
        <v>565</v>
      </c>
      <c r="F234" s="127">
        <v>1</v>
      </c>
      <c r="I234" s="162">
        <v>46191</v>
      </c>
      <c r="J234" s="126">
        <v>0</v>
      </c>
      <c r="K234" s="126">
        <v>300</v>
      </c>
      <c r="L234" s="126">
        <v>0</v>
      </c>
      <c r="M234" s="126">
        <v>0</v>
      </c>
      <c r="N234" s="126">
        <v>0</v>
      </c>
      <c r="O234" s="126">
        <v>0</v>
      </c>
      <c r="P234" s="126">
        <v>0</v>
      </c>
      <c r="Q234" s="126">
        <v>0</v>
      </c>
      <c r="R234" s="126">
        <v>0</v>
      </c>
    </row>
    <row r="235" spans="3:18" ht="23.1" customHeight="1">
      <c r="C235" s="126">
        <v>195</v>
      </c>
      <c r="D235" s="141" t="s">
        <v>608</v>
      </c>
      <c r="E235" s="159" t="s">
        <v>609</v>
      </c>
      <c r="F235" s="127">
        <v>1</v>
      </c>
      <c r="I235" s="162">
        <v>46191</v>
      </c>
      <c r="J235" s="126">
        <v>0</v>
      </c>
      <c r="K235" s="126">
        <v>8</v>
      </c>
      <c r="L235" s="126">
        <v>0</v>
      </c>
      <c r="M235" s="126">
        <v>0</v>
      </c>
      <c r="N235" s="126">
        <v>0</v>
      </c>
      <c r="O235" s="126">
        <v>0</v>
      </c>
      <c r="P235" s="126">
        <v>0</v>
      </c>
      <c r="Q235" s="126">
        <v>0</v>
      </c>
      <c r="R235" s="126">
        <v>0</v>
      </c>
    </row>
    <row r="236" spans="3:18" ht="23.1" customHeight="1">
      <c r="C236" s="126">
        <v>187</v>
      </c>
      <c r="D236" s="141" t="s">
        <v>576</v>
      </c>
      <c r="E236" s="159" t="s">
        <v>577</v>
      </c>
      <c r="F236" s="127">
        <v>1</v>
      </c>
      <c r="I236" s="162">
        <v>46191</v>
      </c>
      <c r="J236" s="126">
        <v>0</v>
      </c>
      <c r="K236" s="126">
        <v>16</v>
      </c>
      <c r="L236" s="126">
        <v>0</v>
      </c>
      <c r="M236" s="126">
        <v>0</v>
      </c>
      <c r="N236" s="126">
        <v>0</v>
      </c>
      <c r="O236" s="126">
        <v>0</v>
      </c>
      <c r="P236" s="126">
        <v>0</v>
      </c>
      <c r="Q236" s="126">
        <v>0</v>
      </c>
      <c r="R236" s="126">
        <v>0</v>
      </c>
    </row>
    <row r="237" spans="3:18" ht="23.1" customHeight="1">
      <c r="C237" s="126">
        <v>189</v>
      </c>
      <c r="D237" s="141" t="s">
        <v>778</v>
      </c>
      <c r="E237" s="159" t="s">
        <v>779</v>
      </c>
      <c r="F237" s="127">
        <v>1</v>
      </c>
      <c r="I237" s="162">
        <v>46191</v>
      </c>
      <c r="J237" s="126">
        <v>0</v>
      </c>
      <c r="K237" s="126">
        <v>12</v>
      </c>
      <c r="L237" s="126">
        <v>0</v>
      </c>
      <c r="M237" s="126">
        <v>0</v>
      </c>
      <c r="N237" s="126">
        <v>0</v>
      </c>
      <c r="O237" s="126">
        <v>0</v>
      </c>
      <c r="P237" s="126">
        <v>0</v>
      </c>
      <c r="Q237" s="126">
        <v>0</v>
      </c>
      <c r="R237" s="126">
        <v>0</v>
      </c>
    </row>
    <row r="238" spans="3:18" ht="23.1" customHeight="1">
      <c r="C238" s="126">
        <v>14</v>
      </c>
      <c r="D238" s="141" t="s">
        <v>696</v>
      </c>
      <c r="E238" s="159" t="s">
        <v>697</v>
      </c>
      <c r="F238" s="127">
        <v>1</v>
      </c>
      <c r="I238" s="162">
        <v>46191</v>
      </c>
      <c r="J238" s="126">
        <v>0</v>
      </c>
      <c r="K238" s="126">
        <v>5</v>
      </c>
      <c r="L238" s="126">
        <v>0</v>
      </c>
      <c r="M238" s="126">
        <v>0</v>
      </c>
      <c r="N238" s="126">
        <v>0</v>
      </c>
      <c r="O238" s="126">
        <v>0</v>
      </c>
      <c r="P238" s="126">
        <v>0</v>
      </c>
      <c r="Q238" s="126">
        <v>0</v>
      </c>
      <c r="R238" s="126">
        <v>0</v>
      </c>
    </row>
    <row r="239" spans="3:18" ht="23.1" customHeight="1">
      <c r="C239" s="126">
        <v>183</v>
      </c>
      <c r="D239" s="141" t="s">
        <v>766</v>
      </c>
      <c r="E239" s="159" t="s">
        <v>767</v>
      </c>
      <c r="F239" s="127">
        <v>1</v>
      </c>
      <c r="I239" s="162">
        <v>46192</v>
      </c>
      <c r="J239" s="126">
        <v>0</v>
      </c>
      <c r="K239" s="126">
        <v>60</v>
      </c>
      <c r="L239" s="126">
        <v>0</v>
      </c>
      <c r="M239" s="126">
        <v>0</v>
      </c>
      <c r="N239" s="126">
        <v>0</v>
      </c>
      <c r="O239" s="126">
        <v>0</v>
      </c>
      <c r="P239" s="126">
        <v>0</v>
      </c>
      <c r="Q239" s="126">
        <v>0</v>
      </c>
      <c r="R239" s="126">
        <v>0</v>
      </c>
    </row>
    <row r="240" spans="3:18" ht="23.1" customHeight="1">
      <c r="C240" s="126">
        <v>195</v>
      </c>
      <c r="D240" s="141" t="s">
        <v>608</v>
      </c>
      <c r="E240" s="159" t="s">
        <v>609</v>
      </c>
      <c r="F240" s="127">
        <v>1</v>
      </c>
      <c r="I240" s="162">
        <v>46192</v>
      </c>
      <c r="J240" s="126">
        <v>0</v>
      </c>
      <c r="K240" s="126">
        <v>4</v>
      </c>
      <c r="L240" s="126">
        <v>0</v>
      </c>
      <c r="M240" s="126">
        <v>0</v>
      </c>
      <c r="N240" s="126">
        <v>0</v>
      </c>
      <c r="O240" s="126">
        <v>0</v>
      </c>
      <c r="P240" s="126">
        <v>0</v>
      </c>
      <c r="Q240" s="126">
        <v>0</v>
      </c>
      <c r="R240" s="126">
        <v>0</v>
      </c>
    </row>
    <row r="241" spans="3:18" ht="23.1" customHeight="1">
      <c r="C241" s="126">
        <v>66</v>
      </c>
      <c r="D241" s="141" t="s">
        <v>1216</v>
      </c>
      <c r="E241" s="159" t="s">
        <v>1217</v>
      </c>
      <c r="F241" s="127">
        <v>1</v>
      </c>
      <c r="I241" s="162">
        <v>46192</v>
      </c>
      <c r="J241" s="126">
        <v>0</v>
      </c>
      <c r="K241" s="126">
        <v>1</v>
      </c>
      <c r="L241" s="126">
        <v>0</v>
      </c>
      <c r="M241" s="126">
        <v>0</v>
      </c>
      <c r="N241" s="126">
        <v>0</v>
      </c>
      <c r="O241" s="126">
        <v>0</v>
      </c>
      <c r="P241" s="126">
        <v>0</v>
      </c>
      <c r="Q241" s="126">
        <v>0</v>
      </c>
      <c r="R241" s="126">
        <v>0</v>
      </c>
    </row>
    <row r="242" spans="3:18" ht="23.1" customHeight="1">
      <c r="C242" s="126">
        <v>178</v>
      </c>
      <c r="D242" s="141" t="s">
        <v>755</v>
      </c>
      <c r="E242" s="159" t="s">
        <v>756</v>
      </c>
      <c r="F242" s="127">
        <v>1</v>
      </c>
      <c r="I242" s="162">
        <v>46192</v>
      </c>
      <c r="J242" s="126">
        <v>0</v>
      </c>
      <c r="K242" s="126">
        <v>150</v>
      </c>
      <c r="L242" s="126">
        <v>0</v>
      </c>
      <c r="M242" s="126">
        <v>0</v>
      </c>
      <c r="N242" s="126">
        <v>0</v>
      </c>
      <c r="O242" s="126">
        <v>0</v>
      </c>
      <c r="P242" s="126">
        <v>0</v>
      </c>
      <c r="Q242" s="126">
        <v>0</v>
      </c>
      <c r="R242" s="126">
        <v>0</v>
      </c>
    </row>
    <row r="243" spans="3:18" ht="23.1" customHeight="1">
      <c r="C243" s="126">
        <v>181</v>
      </c>
      <c r="D243" s="141" t="s">
        <v>761</v>
      </c>
      <c r="E243" s="159" t="s">
        <v>762</v>
      </c>
      <c r="F243" s="127">
        <v>1</v>
      </c>
      <c r="I243" s="162">
        <v>46192</v>
      </c>
      <c r="J243" s="126">
        <v>0</v>
      </c>
      <c r="K243" s="126">
        <v>24</v>
      </c>
      <c r="L243" s="126">
        <v>0</v>
      </c>
      <c r="M243" s="126">
        <v>0</v>
      </c>
      <c r="N243" s="126">
        <v>0</v>
      </c>
      <c r="O243" s="126">
        <v>0</v>
      </c>
      <c r="P243" s="126">
        <v>0</v>
      </c>
      <c r="Q243" s="126">
        <v>0</v>
      </c>
      <c r="R243" s="126">
        <v>0</v>
      </c>
    </row>
    <row r="244" spans="3:18" ht="23.1" customHeight="1">
      <c r="C244" s="126">
        <v>176</v>
      </c>
      <c r="D244" s="141" t="s">
        <v>748</v>
      </c>
      <c r="E244" s="159" t="s">
        <v>749</v>
      </c>
      <c r="F244" s="127">
        <v>1</v>
      </c>
      <c r="I244" s="162">
        <v>46192</v>
      </c>
      <c r="J244" s="126">
        <v>0</v>
      </c>
      <c r="K244" s="126">
        <v>1000</v>
      </c>
      <c r="L244" s="126">
        <v>0</v>
      </c>
      <c r="M244" s="126">
        <v>0</v>
      </c>
      <c r="N244" s="126">
        <v>0</v>
      </c>
      <c r="O244" s="126">
        <v>0</v>
      </c>
      <c r="P244" s="126">
        <v>0</v>
      </c>
      <c r="Q244" s="126">
        <v>0</v>
      </c>
      <c r="R244" s="126">
        <v>0</v>
      </c>
    </row>
    <row r="245" spans="3:18" ht="23.1" customHeight="1">
      <c r="C245" s="126">
        <v>4</v>
      </c>
      <c r="D245" s="141" t="s">
        <v>581</v>
      </c>
      <c r="E245" s="159" t="s">
        <v>582</v>
      </c>
      <c r="F245" s="127">
        <v>1</v>
      </c>
      <c r="I245" s="162">
        <v>46192</v>
      </c>
      <c r="J245" s="126">
        <v>0</v>
      </c>
      <c r="K245" s="126">
        <v>2</v>
      </c>
      <c r="L245" s="126">
        <v>0</v>
      </c>
      <c r="M245" s="126">
        <v>0</v>
      </c>
      <c r="N245" s="126">
        <v>0</v>
      </c>
      <c r="O245" s="126">
        <v>0</v>
      </c>
      <c r="P245" s="126">
        <v>0</v>
      </c>
      <c r="Q245" s="126">
        <v>0</v>
      </c>
      <c r="R245" s="126">
        <v>0</v>
      </c>
    </row>
    <row r="246" spans="3:18" ht="23.1" customHeight="1">
      <c r="C246" s="126">
        <v>34</v>
      </c>
      <c r="D246" s="141" t="s">
        <v>1193</v>
      </c>
      <c r="E246" s="159" t="s">
        <v>1194</v>
      </c>
      <c r="F246" s="127">
        <v>1</v>
      </c>
      <c r="I246" s="162">
        <v>46192</v>
      </c>
      <c r="J246" s="126">
        <v>0</v>
      </c>
      <c r="K246" s="126">
        <v>2</v>
      </c>
      <c r="L246" s="126">
        <v>0</v>
      </c>
      <c r="M246" s="126">
        <v>0</v>
      </c>
      <c r="N246" s="126">
        <v>0</v>
      </c>
      <c r="O246" s="126">
        <v>0</v>
      </c>
      <c r="P246" s="126">
        <v>0</v>
      </c>
      <c r="Q246" s="126">
        <v>0</v>
      </c>
      <c r="R246" s="126">
        <v>0</v>
      </c>
    </row>
    <row r="247" spans="3:18" ht="23.1" customHeight="1">
      <c r="C247" s="126">
        <v>178</v>
      </c>
      <c r="D247" s="141" t="s">
        <v>755</v>
      </c>
      <c r="E247" s="159" t="s">
        <v>756</v>
      </c>
      <c r="F247" s="127">
        <v>1</v>
      </c>
      <c r="I247" s="162">
        <v>46193</v>
      </c>
      <c r="J247" s="126">
        <v>0</v>
      </c>
      <c r="K247" s="126">
        <v>600</v>
      </c>
      <c r="L247" s="126">
        <v>0</v>
      </c>
      <c r="M247" s="126">
        <v>0</v>
      </c>
      <c r="N247" s="126">
        <v>0</v>
      </c>
      <c r="O247" s="126">
        <v>0</v>
      </c>
      <c r="P247" s="126">
        <v>0</v>
      </c>
      <c r="Q247" s="126">
        <v>0</v>
      </c>
      <c r="R247" s="126">
        <v>0</v>
      </c>
    </row>
    <row r="248" spans="3:18" ht="23.1" customHeight="1">
      <c r="C248" s="126">
        <v>197</v>
      </c>
      <c r="D248" s="141" t="s">
        <v>652</v>
      </c>
      <c r="E248" s="159" t="s">
        <v>653</v>
      </c>
      <c r="F248" s="127">
        <v>1</v>
      </c>
      <c r="I248" s="162">
        <v>46193</v>
      </c>
      <c r="J248" s="126">
        <v>0</v>
      </c>
      <c r="K248" s="126">
        <v>12</v>
      </c>
      <c r="L248" s="126">
        <v>0</v>
      </c>
      <c r="M248" s="126">
        <v>0</v>
      </c>
      <c r="N248" s="126">
        <v>0</v>
      </c>
      <c r="O248" s="126">
        <v>0</v>
      </c>
      <c r="P248" s="126">
        <v>0</v>
      </c>
      <c r="Q248" s="126">
        <v>0</v>
      </c>
      <c r="R248" s="126">
        <v>0</v>
      </c>
    </row>
    <row r="249" spans="3:18" ht="23.1" customHeight="1">
      <c r="C249" s="126">
        <v>189</v>
      </c>
      <c r="D249" s="141" t="s">
        <v>778</v>
      </c>
      <c r="E249" s="159" t="s">
        <v>779</v>
      </c>
      <c r="F249" s="127">
        <v>1</v>
      </c>
      <c r="I249" s="162">
        <v>46193</v>
      </c>
      <c r="J249" s="126">
        <v>0</v>
      </c>
      <c r="K249" s="126">
        <v>24</v>
      </c>
      <c r="L249" s="126">
        <v>0</v>
      </c>
      <c r="M249" s="126">
        <v>0</v>
      </c>
      <c r="N249" s="126">
        <v>0</v>
      </c>
      <c r="O249" s="126">
        <v>0</v>
      </c>
      <c r="P249" s="126">
        <v>0</v>
      </c>
      <c r="Q249" s="126">
        <v>0</v>
      </c>
      <c r="R249" s="126">
        <v>0</v>
      </c>
    </row>
    <row r="250" spans="3:18" ht="23.1" customHeight="1">
      <c r="C250" s="126">
        <v>16</v>
      </c>
      <c r="D250" s="141" t="s">
        <v>699</v>
      </c>
      <c r="E250" s="159" t="s">
        <v>700</v>
      </c>
      <c r="F250" s="127">
        <v>1</v>
      </c>
      <c r="I250" s="162">
        <v>46193</v>
      </c>
      <c r="J250" s="126">
        <v>0</v>
      </c>
      <c r="K250" s="126">
        <v>2</v>
      </c>
      <c r="L250" s="126">
        <v>0</v>
      </c>
      <c r="M250" s="126">
        <v>0</v>
      </c>
      <c r="N250" s="126">
        <v>0</v>
      </c>
      <c r="O250" s="126">
        <v>0</v>
      </c>
      <c r="P250" s="126">
        <v>0</v>
      </c>
      <c r="Q250" s="126">
        <v>0</v>
      </c>
      <c r="R250" s="126">
        <v>0</v>
      </c>
    </row>
    <row r="251" spans="3:18" ht="23.1" customHeight="1">
      <c r="C251" s="126">
        <v>99</v>
      </c>
      <c r="D251" s="141" t="s">
        <v>883</v>
      </c>
      <c r="E251" s="159" t="s">
        <v>884</v>
      </c>
      <c r="F251" s="127">
        <v>1</v>
      </c>
      <c r="I251" s="162">
        <v>46193</v>
      </c>
      <c r="J251" s="126">
        <v>0</v>
      </c>
      <c r="K251" s="126">
        <v>4</v>
      </c>
      <c r="L251" s="126">
        <v>0</v>
      </c>
      <c r="M251" s="126">
        <v>0</v>
      </c>
      <c r="N251" s="126">
        <v>0</v>
      </c>
      <c r="O251" s="126">
        <v>0</v>
      </c>
      <c r="P251" s="126">
        <v>0</v>
      </c>
      <c r="Q251" s="126">
        <v>0</v>
      </c>
      <c r="R251" s="126">
        <v>0</v>
      </c>
    </row>
    <row r="252" spans="3:18" ht="23.1" customHeight="1">
      <c r="C252" s="126">
        <v>8</v>
      </c>
      <c r="D252" s="141" t="s">
        <v>1125</v>
      </c>
      <c r="E252" s="159" t="s">
        <v>1126</v>
      </c>
      <c r="F252" s="127">
        <v>1</v>
      </c>
      <c r="I252" s="162">
        <v>46193</v>
      </c>
      <c r="J252" s="126">
        <v>0</v>
      </c>
      <c r="K252" s="126">
        <v>1</v>
      </c>
      <c r="L252" s="126">
        <v>0</v>
      </c>
      <c r="M252" s="126">
        <v>0</v>
      </c>
      <c r="N252" s="126">
        <v>0</v>
      </c>
      <c r="O252" s="126">
        <v>0</v>
      </c>
      <c r="P252" s="126">
        <v>0</v>
      </c>
      <c r="Q252" s="126">
        <v>0</v>
      </c>
      <c r="R252" s="126">
        <v>0</v>
      </c>
    </row>
    <row r="253" spans="3:18" ht="23.1" customHeight="1">
      <c r="C253" s="126">
        <v>142</v>
      </c>
      <c r="D253" s="141" t="s">
        <v>798</v>
      </c>
      <c r="E253" s="159" t="s">
        <v>799</v>
      </c>
      <c r="F253" s="127">
        <v>1</v>
      </c>
      <c r="I253" s="162">
        <v>46193</v>
      </c>
      <c r="J253" s="126">
        <v>0</v>
      </c>
      <c r="K253" s="126">
        <v>1</v>
      </c>
      <c r="L253" s="126">
        <v>0</v>
      </c>
      <c r="M253" s="126">
        <v>0</v>
      </c>
      <c r="N253" s="126">
        <v>0</v>
      </c>
      <c r="O253" s="126">
        <v>0</v>
      </c>
      <c r="P253" s="126">
        <v>0</v>
      </c>
      <c r="Q253" s="126">
        <v>0</v>
      </c>
      <c r="R253" s="126">
        <v>0</v>
      </c>
    </row>
    <row r="254" spans="3:18" ht="23.1" customHeight="1">
      <c r="C254" s="126">
        <v>177</v>
      </c>
      <c r="D254" s="141" t="s">
        <v>752</v>
      </c>
      <c r="E254" s="159" t="s">
        <v>753</v>
      </c>
      <c r="F254" s="127">
        <v>1</v>
      </c>
      <c r="I254" s="162">
        <v>46193</v>
      </c>
      <c r="J254" s="126">
        <v>0</v>
      </c>
      <c r="K254" s="126">
        <v>500</v>
      </c>
      <c r="L254" s="126">
        <v>0</v>
      </c>
      <c r="M254" s="126">
        <v>0</v>
      </c>
      <c r="N254" s="126">
        <v>0</v>
      </c>
      <c r="O254" s="126">
        <v>0</v>
      </c>
      <c r="P254" s="126">
        <v>0</v>
      </c>
      <c r="Q254" s="126">
        <v>0</v>
      </c>
      <c r="R254" s="126">
        <v>0</v>
      </c>
    </row>
    <row r="255" spans="3:18" ht="23.1" customHeight="1">
      <c r="C255" s="126">
        <v>187</v>
      </c>
      <c r="D255" s="141" t="s">
        <v>576</v>
      </c>
      <c r="E255" s="159" t="s">
        <v>577</v>
      </c>
      <c r="F255" s="127">
        <v>1</v>
      </c>
      <c r="I255" s="162">
        <v>46194</v>
      </c>
      <c r="J255" s="126">
        <v>0</v>
      </c>
      <c r="K255" s="126">
        <v>32</v>
      </c>
      <c r="L255" s="126">
        <v>0</v>
      </c>
      <c r="M255" s="126">
        <v>0</v>
      </c>
      <c r="N255" s="126">
        <v>0</v>
      </c>
      <c r="O255" s="126">
        <v>0</v>
      </c>
      <c r="P255" s="126">
        <v>0</v>
      </c>
      <c r="Q255" s="126">
        <v>0</v>
      </c>
      <c r="R255" s="126">
        <v>0</v>
      </c>
    </row>
    <row r="256" spans="3:18" ht="23.1" customHeight="1">
      <c r="C256" s="126">
        <v>191</v>
      </c>
      <c r="D256" s="141" t="s">
        <v>781</v>
      </c>
      <c r="E256" s="159" t="s">
        <v>782</v>
      </c>
      <c r="F256" s="127">
        <v>1</v>
      </c>
      <c r="I256" s="162">
        <v>46194</v>
      </c>
      <c r="J256" s="126">
        <v>0</v>
      </c>
      <c r="K256" s="126">
        <v>16</v>
      </c>
      <c r="L256" s="126">
        <v>0</v>
      </c>
      <c r="M256" s="126">
        <v>0</v>
      </c>
      <c r="N256" s="126">
        <v>0</v>
      </c>
      <c r="O256" s="126">
        <v>0</v>
      </c>
      <c r="P256" s="126">
        <v>0</v>
      </c>
      <c r="Q256" s="126">
        <v>0</v>
      </c>
      <c r="R256" s="126">
        <v>0</v>
      </c>
    </row>
    <row r="257" spans="3:18" ht="23.1" customHeight="1">
      <c r="C257" s="126">
        <v>189</v>
      </c>
      <c r="D257" s="141" t="s">
        <v>778</v>
      </c>
      <c r="E257" s="159" t="s">
        <v>779</v>
      </c>
      <c r="F257" s="127">
        <v>1</v>
      </c>
      <c r="I257" s="162">
        <v>46194</v>
      </c>
      <c r="J257" s="126">
        <v>0</v>
      </c>
      <c r="K257" s="126">
        <v>20</v>
      </c>
      <c r="L257" s="126">
        <v>0</v>
      </c>
      <c r="M257" s="126">
        <v>0</v>
      </c>
      <c r="N257" s="126">
        <v>0</v>
      </c>
      <c r="O257" s="126">
        <v>0</v>
      </c>
      <c r="P257" s="126">
        <v>0</v>
      </c>
      <c r="Q257" s="126">
        <v>0</v>
      </c>
      <c r="R257" s="126">
        <v>0</v>
      </c>
    </row>
    <row r="258" spans="3:18" ht="23.1" customHeight="1">
      <c r="C258" s="126">
        <v>197</v>
      </c>
      <c r="D258" s="141" t="s">
        <v>652</v>
      </c>
      <c r="E258" s="159" t="s">
        <v>653</v>
      </c>
      <c r="F258" s="127">
        <v>1</v>
      </c>
      <c r="I258" s="162">
        <v>46194</v>
      </c>
      <c r="J258" s="126">
        <v>0</v>
      </c>
      <c r="K258" s="126">
        <v>8</v>
      </c>
      <c r="L258" s="126">
        <v>0</v>
      </c>
      <c r="M258" s="126">
        <v>0</v>
      </c>
      <c r="N258" s="126">
        <v>0</v>
      </c>
      <c r="O258" s="126">
        <v>0</v>
      </c>
      <c r="P258" s="126">
        <v>0</v>
      </c>
      <c r="Q258" s="126">
        <v>0</v>
      </c>
      <c r="R258" s="126">
        <v>0</v>
      </c>
    </row>
    <row r="259" spans="3:18" ht="23.1" customHeight="1">
      <c r="C259" s="126">
        <v>160</v>
      </c>
      <c r="D259" s="141" t="s">
        <v>738</v>
      </c>
      <c r="E259" s="159" t="s">
        <v>739</v>
      </c>
      <c r="F259" s="127">
        <v>1</v>
      </c>
      <c r="I259" s="162">
        <v>46194</v>
      </c>
      <c r="J259" s="126">
        <v>0</v>
      </c>
      <c r="K259" s="126">
        <v>4</v>
      </c>
      <c r="L259" s="126">
        <v>0</v>
      </c>
      <c r="M259" s="126">
        <v>0</v>
      </c>
      <c r="N259" s="126">
        <v>0</v>
      </c>
      <c r="O259" s="126">
        <v>0</v>
      </c>
      <c r="P259" s="126">
        <v>0</v>
      </c>
      <c r="Q259" s="126">
        <v>0</v>
      </c>
      <c r="R259" s="126">
        <v>0</v>
      </c>
    </row>
    <row r="260" spans="3:18" ht="23.1" customHeight="1">
      <c r="C260" s="126">
        <v>170</v>
      </c>
      <c r="D260" s="141" t="s">
        <v>1647</v>
      </c>
      <c r="E260" s="159" t="s">
        <v>1648</v>
      </c>
      <c r="F260" s="127">
        <v>1</v>
      </c>
      <c r="I260" s="162">
        <v>46194</v>
      </c>
      <c r="J260" s="126">
        <v>0</v>
      </c>
      <c r="K260" s="126">
        <v>10</v>
      </c>
      <c r="L260" s="126">
        <v>0</v>
      </c>
      <c r="M260" s="126">
        <v>0</v>
      </c>
      <c r="N260" s="126">
        <v>0</v>
      </c>
      <c r="O260" s="126">
        <v>0</v>
      </c>
      <c r="P260" s="126">
        <v>0</v>
      </c>
      <c r="Q260" s="126">
        <v>0</v>
      </c>
      <c r="R260" s="126">
        <v>0</v>
      </c>
    </row>
    <row r="261" spans="3:18" ht="23.1" customHeight="1">
      <c r="C261" s="126">
        <v>176</v>
      </c>
      <c r="D261" s="141" t="s">
        <v>748</v>
      </c>
      <c r="E261" s="159" t="s">
        <v>749</v>
      </c>
      <c r="F261" s="127">
        <v>1</v>
      </c>
      <c r="I261" s="162">
        <v>46195</v>
      </c>
      <c r="J261" s="126">
        <v>0</v>
      </c>
      <c r="K261" s="126">
        <v>1000</v>
      </c>
      <c r="L261" s="126">
        <v>0</v>
      </c>
      <c r="M261" s="126">
        <v>0</v>
      </c>
      <c r="N261" s="126">
        <v>0</v>
      </c>
      <c r="O261" s="126">
        <v>0</v>
      </c>
      <c r="P261" s="126">
        <v>0</v>
      </c>
      <c r="Q261" s="126">
        <v>0</v>
      </c>
      <c r="R261" s="126">
        <v>0</v>
      </c>
    </row>
    <row r="262" spans="3:18" ht="23.1" customHeight="1">
      <c r="C262" s="126">
        <v>177</v>
      </c>
      <c r="D262" s="141" t="s">
        <v>752</v>
      </c>
      <c r="E262" s="159" t="s">
        <v>753</v>
      </c>
      <c r="F262" s="127">
        <v>1</v>
      </c>
      <c r="I262" s="162">
        <v>46195</v>
      </c>
      <c r="J262" s="126">
        <v>0</v>
      </c>
      <c r="K262" s="126">
        <v>900</v>
      </c>
      <c r="L262" s="126">
        <v>0</v>
      </c>
      <c r="M262" s="126">
        <v>0</v>
      </c>
      <c r="N262" s="126">
        <v>0</v>
      </c>
      <c r="O262" s="126">
        <v>0</v>
      </c>
      <c r="P262" s="126">
        <v>0</v>
      </c>
      <c r="Q262" s="126">
        <v>0</v>
      </c>
      <c r="R262" s="126">
        <v>0</v>
      </c>
    </row>
    <row r="263" spans="3:18" ht="23.1" customHeight="1">
      <c r="C263" s="126">
        <v>195</v>
      </c>
      <c r="D263" s="141" t="s">
        <v>608</v>
      </c>
      <c r="E263" s="159" t="s">
        <v>609</v>
      </c>
      <c r="F263" s="127">
        <v>1</v>
      </c>
      <c r="I263" s="162">
        <v>46195</v>
      </c>
      <c r="J263" s="126">
        <v>0</v>
      </c>
      <c r="K263" s="126">
        <v>12</v>
      </c>
      <c r="L263" s="126">
        <v>0</v>
      </c>
      <c r="M263" s="126">
        <v>0</v>
      </c>
      <c r="N263" s="126">
        <v>0</v>
      </c>
      <c r="O263" s="126">
        <v>0</v>
      </c>
      <c r="P263" s="126">
        <v>0</v>
      </c>
      <c r="Q263" s="126">
        <v>0</v>
      </c>
      <c r="R263" s="126">
        <v>0</v>
      </c>
    </row>
    <row r="264" spans="3:18" ht="23.1" customHeight="1">
      <c r="C264" s="126">
        <v>14</v>
      </c>
      <c r="D264" s="141" t="s">
        <v>696</v>
      </c>
      <c r="E264" s="159" t="s">
        <v>697</v>
      </c>
      <c r="F264" s="127">
        <v>1</v>
      </c>
      <c r="I264" s="162">
        <v>46195</v>
      </c>
      <c r="J264" s="126">
        <v>0</v>
      </c>
      <c r="K264" s="126">
        <v>2</v>
      </c>
      <c r="L264" s="126">
        <v>0</v>
      </c>
      <c r="M264" s="126">
        <v>0</v>
      </c>
      <c r="N264" s="126">
        <v>0</v>
      </c>
      <c r="O264" s="126">
        <v>0</v>
      </c>
      <c r="P264" s="126">
        <v>0</v>
      </c>
      <c r="Q264" s="126">
        <v>0</v>
      </c>
      <c r="R264" s="126">
        <v>0</v>
      </c>
    </row>
    <row r="265" spans="3:18" ht="23.1" customHeight="1">
      <c r="C265" s="126">
        <v>102</v>
      </c>
      <c r="D265" s="141" t="s">
        <v>722</v>
      </c>
      <c r="E265" s="159" t="s">
        <v>723</v>
      </c>
      <c r="F265" s="127">
        <v>1</v>
      </c>
      <c r="I265" s="162">
        <v>46195</v>
      </c>
      <c r="J265" s="126">
        <v>0</v>
      </c>
      <c r="K265" s="126">
        <v>2</v>
      </c>
      <c r="L265" s="126">
        <v>0</v>
      </c>
      <c r="M265" s="126">
        <v>0</v>
      </c>
      <c r="N265" s="126">
        <v>0</v>
      </c>
      <c r="O265" s="126">
        <v>0</v>
      </c>
      <c r="P265" s="126">
        <v>0</v>
      </c>
      <c r="Q265" s="126">
        <v>0</v>
      </c>
      <c r="R265" s="126">
        <v>0</v>
      </c>
    </row>
    <row r="266" spans="3:18" ht="23.1" customHeight="1">
      <c r="C266" s="126">
        <v>18</v>
      </c>
      <c r="D266" s="141" t="s">
        <v>703</v>
      </c>
      <c r="E266" s="159" t="s">
        <v>704</v>
      </c>
      <c r="F266" s="127">
        <v>1</v>
      </c>
      <c r="I266" s="162">
        <v>46195</v>
      </c>
      <c r="J266" s="126">
        <v>0</v>
      </c>
      <c r="K266" s="126">
        <v>5</v>
      </c>
      <c r="L266" s="126">
        <v>0</v>
      </c>
      <c r="M266" s="126">
        <v>0</v>
      </c>
      <c r="N266" s="126">
        <v>0</v>
      </c>
      <c r="O266" s="126">
        <v>0</v>
      </c>
      <c r="P266" s="126">
        <v>0</v>
      </c>
      <c r="Q266" s="126">
        <v>0</v>
      </c>
      <c r="R266" s="126">
        <v>0</v>
      </c>
    </row>
    <row r="267" spans="3:18" ht="23.1" customHeight="1">
      <c r="C267" s="126">
        <v>29</v>
      </c>
      <c r="D267" s="141" t="s">
        <v>1523</v>
      </c>
      <c r="E267" s="159" t="s">
        <v>1524</v>
      </c>
      <c r="F267" s="127">
        <v>1</v>
      </c>
      <c r="I267" s="162">
        <v>46195</v>
      </c>
      <c r="J267" s="126">
        <v>0</v>
      </c>
      <c r="K267" s="126">
        <v>3</v>
      </c>
      <c r="L267" s="126">
        <v>0</v>
      </c>
      <c r="M267" s="126">
        <v>0</v>
      </c>
      <c r="N267" s="126">
        <v>0</v>
      </c>
      <c r="O267" s="126">
        <v>0</v>
      </c>
      <c r="P267" s="126">
        <v>0</v>
      </c>
      <c r="Q267" s="126">
        <v>0</v>
      </c>
      <c r="R267" s="126">
        <v>0</v>
      </c>
    </row>
    <row r="268" spans="3:18" ht="23.1" customHeight="1">
      <c r="C268" s="126">
        <v>63</v>
      </c>
      <c r="D268" s="141" t="s">
        <v>1037</v>
      </c>
      <c r="E268" s="159" t="s">
        <v>1038</v>
      </c>
      <c r="F268" s="127">
        <v>1</v>
      </c>
      <c r="I268" s="162">
        <v>46195</v>
      </c>
      <c r="J268" s="126">
        <v>0</v>
      </c>
      <c r="K268" s="126">
        <v>5</v>
      </c>
      <c r="L268" s="126">
        <v>0</v>
      </c>
      <c r="M268" s="126">
        <v>0</v>
      </c>
      <c r="N268" s="126">
        <v>0</v>
      </c>
      <c r="O268" s="126">
        <v>0</v>
      </c>
      <c r="P268" s="126">
        <v>0</v>
      </c>
      <c r="Q268" s="126">
        <v>0</v>
      </c>
      <c r="R268" s="126">
        <v>0</v>
      </c>
    </row>
    <row r="269" spans="3:18" ht="23.1" customHeight="1">
      <c r="C269" s="126">
        <v>158</v>
      </c>
      <c r="D269" s="141" t="s">
        <v>1702</v>
      </c>
      <c r="E269" s="159" t="s">
        <v>1703</v>
      </c>
      <c r="F269" s="127">
        <v>1</v>
      </c>
      <c r="I269" s="162">
        <v>46196</v>
      </c>
      <c r="J269" s="126">
        <v>0</v>
      </c>
      <c r="K269" s="126">
        <v>1</v>
      </c>
      <c r="L269" s="126">
        <v>0</v>
      </c>
      <c r="M269" s="126">
        <v>0</v>
      </c>
      <c r="N269" s="126">
        <v>0</v>
      </c>
      <c r="O269" s="126">
        <v>0</v>
      </c>
      <c r="P269" s="126">
        <v>0</v>
      </c>
      <c r="Q269" s="126">
        <v>0</v>
      </c>
      <c r="R269" s="126">
        <v>0</v>
      </c>
    </row>
    <row r="270" spans="3:18" ht="23.1" customHeight="1">
      <c r="C270" s="126">
        <v>165</v>
      </c>
      <c r="D270" s="141" t="s">
        <v>1708</v>
      </c>
      <c r="E270" s="159" t="s">
        <v>1709</v>
      </c>
      <c r="F270" s="127">
        <v>1</v>
      </c>
      <c r="I270" s="162">
        <v>46196</v>
      </c>
      <c r="J270" s="126">
        <v>0</v>
      </c>
      <c r="K270" s="126">
        <v>1</v>
      </c>
      <c r="L270" s="126">
        <v>0</v>
      </c>
      <c r="M270" s="126">
        <v>0</v>
      </c>
      <c r="N270" s="126">
        <v>0</v>
      </c>
      <c r="O270" s="126">
        <v>0</v>
      </c>
      <c r="P270" s="126">
        <v>0</v>
      </c>
      <c r="Q270" s="126">
        <v>0</v>
      </c>
      <c r="R270" s="126">
        <v>0</v>
      </c>
    </row>
    <row r="271" spans="3:18" ht="23.1" customHeight="1">
      <c r="C271" s="126">
        <v>191</v>
      </c>
      <c r="D271" s="141" t="s">
        <v>781</v>
      </c>
      <c r="E271" s="159" t="s">
        <v>782</v>
      </c>
      <c r="F271" s="127">
        <v>1</v>
      </c>
      <c r="I271" s="162">
        <v>46196</v>
      </c>
      <c r="J271" s="126">
        <v>0</v>
      </c>
      <c r="K271" s="126">
        <v>20</v>
      </c>
      <c r="L271" s="126">
        <v>0</v>
      </c>
      <c r="M271" s="126">
        <v>0</v>
      </c>
      <c r="N271" s="126">
        <v>0</v>
      </c>
      <c r="O271" s="126">
        <v>0</v>
      </c>
      <c r="P271" s="126">
        <v>0</v>
      </c>
      <c r="Q271" s="126">
        <v>0</v>
      </c>
      <c r="R271" s="126">
        <v>0</v>
      </c>
    </row>
    <row r="272" spans="3:18" ht="23.1" customHeight="1">
      <c r="C272" s="126">
        <v>178</v>
      </c>
      <c r="D272" s="141" t="s">
        <v>755</v>
      </c>
      <c r="E272" s="159" t="s">
        <v>756</v>
      </c>
      <c r="F272" s="127">
        <v>1</v>
      </c>
      <c r="I272" s="162">
        <v>46196</v>
      </c>
      <c r="J272" s="126">
        <v>0</v>
      </c>
      <c r="K272" s="126">
        <v>600</v>
      </c>
      <c r="L272" s="126">
        <v>0</v>
      </c>
      <c r="M272" s="126">
        <v>0</v>
      </c>
      <c r="N272" s="126">
        <v>0</v>
      </c>
      <c r="O272" s="126">
        <v>0</v>
      </c>
      <c r="P272" s="126">
        <v>0</v>
      </c>
      <c r="Q272" s="126">
        <v>0</v>
      </c>
      <c r="R272" s="126">
        <v>0</v>
      </c>
    </row>
    <row r="273" spans="3:18" ht="23.1" customHeight="1">
      <c r="C273" s="126">
        <v>178</v>
      </c>
      <c r="D273" s="141" t="s">
        <v>755</v>
      </c>
      <c r="E273" s="159" t="s">
        <v>756</v>
      </c>
      <c r="F273" s="127">
        <v>1</v>
      </c>
      <c r="I273" s="162">
        <v>46197</v>
      </c>
      <c r="J273" s="126">
        <v>0</v>
      </c>
      <c r="K273" s="126">
        <v>150</v>
      </c>
      <c r="L273" s="126">
        <v>0</v>
      </c>
      <c r="M273" s="126">
        <v>0</v>
      </c>
      <c r="N273" s="126">
        <v>0</v>
      </c>
      <c r="O273" s="126">
        <v>0</v>
      </c>
      <c r="P273" s="126">
        <v>0</v>
      </c>
      <c r="Q273" s="126">
        <v>0</v>
      </c>
      <c r="R273" s="126">
        <v>0</v>
      </c>
    </row>
    <row r="274" spans="3:18" ht="23.1" customHeight="1">
      <c r="C274" s="126">
        <v>181</v>
      </c>
      <c r="D274" s="141" t="s">
        <v>761</v>
      </c>
      <c r="E274" s="159" t="s">
        <v>762</v>
      </c>
      <c r="F274" s="127">
        <v>1</v>
      </c>
      <c r="I274" s="162">
        <v>46197</v>
      </c>
      <c r="J274" s="126">
        <v>0</v>
      </c>
      <c r="K274" s="126">
        <v>12</v>
      </c>
      <c r="L274" s="126">
        <v>0</v>
      </c>
      <c r="M274" s="126">
        <v>0</v>
      </c>
      <c r="N274" s="126">
        <v>0</v>
      </c>
      <c r="O274" s="126">
        <v>0</v>
      </c>
      <c r="P274" s="126">
        <v>0</v>
      </c>
      <c r="Q274" s="126">
        <v>0</v>
      </c>
      <c r="R274" s="126">
        <v>0</v>
      </c>
    </row>
    <row r="275" spans="3:18" ht="23.1" customHeight="1">
      <c r="C275" s="126">
        <v>195</v>
      </c>
      <c r="D275" s="141" t="s">
        <v>608</v>
      </c>
      <c r="E275" s="159" t="s">
        <v>609</v>
      </c>
      <c r="F275" s="127">
        <v>1</v>
      </c>
      <c r="I275" s="162">
        <v>46197</v>
      </c>
      <c r="J275" s="126">
        <v>0</v>
      </c>
      <c r="K275" s="126">
        <v>28</v>
      </c>
      <c r="L275" s="126">
        <v>0</v>
      </c>
      <c r="M275" s="126">
        <v>0</v>
      </c>
      <c r="N275" s="126">
        <v>0</v>
      </c>
      <c r="O275" s="126">
        <v>0</v>
      </c>
      <c r="P275" s="126">
        <v>0</v>
      </c>
      <c r="Q275" s="126">
        <v>0</v>
      </c>
      <c r="R275" s="126">
        <v>0</v>
      </c>
    </row>
    <row r="276" spans="3:18" ht="23.1" customHeight="1">
      <c r="C276" s="126">
        <v>197</v>
      </c>
      <c r="D276" s="141" t="s">
        <v>652</v>
      </c>
      <c r="E276" s="159" t="s">
        <v>653</v>
      </c>
      <c r="F276" s="127">
        <v>1</v>
      </c>
      <c r="I276" s="162">
        <v>46197</v>
      </c>
      <c r="J276" s="126">
        <v>0</v>
      </c>
      <c r="K276" s="126">
        <v>8</v>
      </c>
      <c r="L276" s="126">
        <v>0</v>
      </c>
      <c r="M276" s="126">
        <v>0</v>
      </c>
      <c r="N276" s="126">
        <v>0</v>
      </c>
      <c r="O276" s="126">
        <v>0</v>
      </c>
      <c r="P276" s="126">
        <v>0</v>
      </c>
      <c r="Q276" s="126">
        <v>0</v>
      </c>
      <c r="R276" s="126">
        <v>0</v>
      </c>
    </row>
    <row r="277" spans="3:18" ht="23.1" customHeight="1">
      <c r="C277" s="126">
        <v>177</v>
      </c>
      <c r="D277" s="141" t="s">
        <v>752</v>
      </c>
      <c r="E277" s="159" t="s">
        <v>753</v>
      </c>
      <c r="F277" s="127">
        <v>1</v>
      </c>
      <c r="I277" s="162">
        <v>46197</v>
      </c>
      <c r="J277" s="126">
        <v>0</v>
      </c>
      <c r="K277" s="126">
        <v>250</v>
      </c>
      <c r="L277" s="126">
        <v>0</v>
      </c>
      <c r="M277" s="126">
        <v>0</v>
      </c>
      <c r="N277" s="126">
        <v>0</v>
      </c>
      <c r="O277" s="126">
        <v>0</v>
      </c>
      <c r="P277" s="126">
        <v>0</v>
      </c>
      <c r="Q277" s="126">
        <v>0</v>
      </c>
      <c r="R277" s="126">
        <v>0</v>
      </c>
    </row>
    <row r="278" spans="3:18" ht="23.1" customHeight="1">
      <c r="C278" s="126">
        <v>54</v>
      </c>
      <c r="D278" s="141" t="s">
        <v>1743</v>
      </c>
      <c r="E278" s="159" t="s">
        <v>1744</v>
      </c>
      <c r="F278" s="127">
        <v>1</v>
      </c>
      <c r="I278" s="162">
        <v>46197</v>
      </c>
      <c r="J278" s="126">
        <v>0</v>
      </c>
      <c r="K278" s="126">
        <v>8</v>
      </c>
      <c r="L278" s="126">
        <v>0</v>
      </c>
      <c r="M278" s="126">
        <v>0</v>
      </c>
      <c r="N278" s="126">
        <v>0</v>
      </c>
      <c r="O278" s="126">
        <v>0</v>
      </c>
      <c r="P278" s="126">
        <v>0</v>
      </c>
      <c r="Q278" s="126">
        <v>0</v>
      </c>
      <c r="R278" s="126">
        <v>0</v>
      </c>
    </row>
    <row r="279" spans="3:18" ht="23.1" customHeight="1">
      <c r="C279" s="126">
        <v>32</v>
      </c>
      <c r="D279" s="141" t="s">
        <v>1748</v>
      </c>
      <c r="E279" s="159" t="s">
        <v>1749</v>
      </c>
      <c r="F279" s="127">
        <v>1</v>
      </c>
      <c r="I279" s="162">
        <v>46197</v>
      </c>
      <c r="J279" s="126">
        <v>0</v>
      </c>
      <c r="K279" s="126">
        <v>1</v>
      </c>
      <c r="L279" s="126">
        <v>0</v>
      </c>
      <c r="M279" s="126">
        <v>0</v>
      </c>
      <c r="N279" s="126">
        <v>0</v>
      </c>
      <c r="O279" s="126">
        <v>0</v>
      </c>
      <c r="P279" s="126">
        <v>0</v>
      </c>
      <c r="Q279" s="126">
        <v>0</v>
      </c>
      <c r="R279" s="126">
        <v>0</v>
      </c>
    </row>
    <row r="280" spans="3:18" ht="23.1" customHeight="1">
      <c r="C280" s="126">
        <v>162</v>
      </c>
      <c r="D280" s="141" t="s">
        <v>741</v>
      </c>
      <c r="E280" s="159" t="s">
        <v>742</v>
      </c>
      <c r="F280" s="127">
        <v>1</v>
      </c>
      <c r="I280" s="162">
        <v>46197</v>
      </c>
      <c r="J280" s="126">
        <v>0</v>
      </c>
      <c r="K280" s="126">
        <v>1</v>
      </c>
      <c r="L280" s="126">
        <v>0</v>
      </c>
      <c r="M280" s="126">
        <v>0</v>
      </c>
      <c r="N280" s="126">
        <v>0</v>
      </c>
      <c r="O280" s="126">
        <v>0</v>
      </c>
      <c r="P280" s="126">
        <v>0</v>
      </c>
      <c r="Q280" s="126">
        <v>0</v>
      </c>
      <c r="R280" s="126">
        <v>0</v>
      </c>
    </row>
    <row r="281" spans="3:18" ht="23.1" customHeight="1">
      <c r="C281" s="126">
        <v>179</v>
      </c>
      <c r="D281" s="141" t="s">
        <v>564</v>
      </c>
      <c r="E281" s="159" t="s">
        <v>565</v>
      </c>
      <c r="F281" s="127">
        <v>1</v>
      </c>
      <c r="I281" s="162">
        <v>46197</v>
      </c>
      <c r="J281" s="126">
        <v>0</v>
      </c>
      <c r="K281" s="126">
        <v>250</v>
      </c>
      <c r="L281" s="126">
        <v>0</v>
      </c>
      <c r="M281" s="126">
        <v>0</v>
      </c>
      <c r="N281" s="126">
        <v>0</v>
      </c>
      <c r="O281" s="126">
        <v>0</v>
      </c>
      <c r="P281" s="126">
        <v>0</v>
      </c>
      <c r="Q281" s="126">
        <v>0</v>
      </c>
      <c r="R281" s="126">
        <v>0</v>
      </c>
    </row>
    <row r="282" spans="3:18" ht="23.1" customHeight="1">
      <c r="C282" s="126">
        <v>16</v>
      </c>
      <c r="D282" s="141" t="s">
        <v>699</v>
      </c>
      <c r="E282" s="159" t="s">
        <v>700</v>
      </c>
      <c r="F282" s="127">
        <v>1</v>
      </c>
      <c r="I282" s="162">
        <v>46197</v>
      </c>
      <c r="J282" s="126">
        <v>0</v>
      </c>
      <c r="K282" s="126">
        <v>7</v>
      </c>
      <c r="L282" s="126">
        <v>0</v>
      </c>
      <c r="M282" s="126">
        <v>0</v>
      </c>
      <c r="N282" s="126">
        <v>0</v>
      </c>
      <c r="O282" s="126">
        <v>0</v>
      </c>
      <c r="P282" s="126">
        <v>0</v>
      </c>
      <c r="Q282" s="126">
        <v>0</v>
      </c>
      <c r="R282" s="126">
        <v>0</v>
      </c>
    </row>
    <row r="283" spans="3:18" ht="23.1" customHeight="1">
      <c r="C283" s="126">
        <v>182</v>
      </c>
      <c r="D283" s="141" t="s">
        <v>627</v>
      </c>
      <c r="E283" s="159" t="s">
        <v>628</v>
      </c>
      <c r="F283" s="127">
        <v>1</v>
      </c>
      <c r="I283" s="162">
        <v>46197</v>
      </c>
      <c r="J283" s="126">
        <v>0</v>
      </c>
      <c r="K283" s="126">
        <v>84</v>
      </c>
      <c r="L283" s="126">
        <v>0</v>
      </c>
      <c r="M283" s="126">
        <v>0</v>
      </c>
      <c r="N283" s="126">
        <v>0</v>
      </c>
      <c r="O283" s="126">
        <v>0</v>
      </c>
      <c r="P283" s="126">
        <v>0</v>
      </c>
      <c r="Q283" s="126">
        <v>0</v>
      </c>
      <c r="R283" s="126">
        <v>0</v>
      </c>
    </row>
    <row r="284" spans="3:18" ht="23.1" customHeight="1">
      <c r="C284" s="126">
        <v>177</v>
      </c>
      <c r="D284" s="141" t="s">
        <v>752</v>
      </c>
      <c r="E284" s="159" t="s">
        <v>753</v>
      </c>
      <c r="F284" s="127">
        <v>1</v>
      </c>
      <c r="I284" s="162">
        <v>46198</v>
      </c>
      <c r="J284" s="126">
        <v>0</v>
      </c>
      <c r="K284" s="126">
        <v>550</v>
      </c>
      <c r="L284" s="126">
        <v>0</v>
      </c>
      <c r="M284" s="126">
        <v>0</v>
      </c>
      <c r="N284" s="126">
        <v>0</v>
      </c>
      <c r="O284" s="126">
        <v>0</v>
      </c>
      <c r="P284" s="126">
        <v>0</v>
      </c>
      <c r="Q284" s="126">
        <v>0</v>
      </c>
      <c r="R284" s="126">
        <v>0</v>
      </c>
    </row>
    <row r="285" spans="3:18" ht="23.1" customHeight="1">
      <c r="C285" s="126">
        <v>189</v>
      </c>
      <c r="D285" s="141" t="s">
        <v>778</v>
      </c>
      <c r="E285" s="159" t="s">
        <v>779</v>
      </c>
      <c r="F285" s="127">
        <v>1</v>
      </c>
      <c r="I285" s="162">
        <v>46198</v>
      </c>
      <c r="J285" s="126">
        <v>0</v>
      </c>
      <c r="K285" s="126">
        <v>8</v>
      </c>
      <c r="L285" s="126">
        <v>0</v>
      </c>
      <c r="M285" s="126">
        <v>0</v>
      </c>
      <c r="N285" s="126">
        <v>0</v>
      </c>
      <c r="O285" s="126">
        <v>0</v>
      </c>
      <c r="P285" s="126">
        <v>0</v>
      </c>
      <c r="Q285" s="126">
        <v>0</v>
      </c>
      <c r="R285" s="126">
        <v>0</v>
      </c>
    </row>
    <row r="286" spans="3:18" ht="23.1" customHeight="1">
      <c r="C286" s="126">
        <v>51</v>
      </c>
      <c r="D286" s="141" t="s">
        <v>1339</v>
      </c>
      <c r="E286" s="159" t="s">
        <v>1340</v>
      </c>
      <c r="F286" s="127">
        <v>1</v>
      </c>
      <c r="I286" s="162">
        <v>46198</v>
      </c>
      <c r="J286" s="126">
        <v>0</v>
      </c>
      <c r="K286" s="126">
        <v>5</v>
      </c>
      <c r="L286" s="126">
        <v>0</v>
      </c>
      <c r="M286" s="126">
        <v>0</v>
      </c>
      <c r="N286" s="126">
        <v>0</v>
      </c>
      <c r="O286" s="126">
        <v>0</v>
      </c>
      <c r="P286" s="126">
        <v>0</v>
      </c>
      <c r="Q286" s="126">
        <v>0</v>
      </c>
      <c r="R286" s="126">
        <v>0</v>
      </c>
    </row>
    <row r="287" spans="3:18" ht="23.1" customHeight="1">
      <c r="C287" s="126">
        <v>195</v>
      </c>
      <c r="D287" s="141" t="s">
        <v>608</v>
      </c>
      <c r="E287" s="159" t="s">
        <v>609</v>
      </c>
      <c r="F287" s="127">
        <v>1</v>
      </c>
      <c r="I287" s="162">
        <v>46198</v>
      </c>
      <c r="J287" s="126">
        <v>0</v>
      </c>
      <c r="K287" s="126">
        <v>12</v>
      </c>
      <c r="L287" s="126">
        <v>0</v>
      </c>
      <c r="M287" s="126">
        <v>0</v>
      </c>
      <c r="N287" s="126">
        <v>0</v>
      </c>
      <c r="O287" s="126">
        <v>0</v>
      </c>
      <c r="P287" s="126">
        <v>0</v>
      </c>
      <c r="Q287" s="126">
        <v>0</v>
      </c>
      <c r="R287" s="126">
        <v>0</v>
      </c>
    </row>
    <row r="288" spans="3:18" ht="23.1" customHeight="1">
      <c r="C288" s="126">
        <v>187</v>
      </c>
      <c r="D288" s="141" t="s">
        <v>576</v>
      </c>
      <c r="E288" s="159" t="s">
        <v>577</v>
      </c>
      <c r="F288" s="127">
        <v>1</v>
      </c>
      <c r="I288" s="162">
        <v>46198</v>
      </c>
      <c r="J288" s="126">
        <v>0</v>
      </c>
      <c r="K288" s="126">
        <v>24</v>
      </c>
      <c r="L288" s="126">
        <v>0</v>
      </c>
      <c r="M288" s="126">
        <v>0</v>
      </c>
      <c r="N288" s="126">
        <v>0</v>
      </c>
      <c r="O288" s="126">
        <v>0</v>
      </c>
      <c r="P288" s="126">
        <v>0</v>
      </c>
      <c r="Q288" s="126">
        <v>0</v>
      </c>
      <c r="R288" s="126">
        <v>0</v>
      </c>
    </row>
    <row r="289" spans="3:18" ht="23.1" customHeight="1">
      <c r="C289" s="126">
        <v>153</v>
      </c>
      <c r="D289" s="141" t="s">
        <v>554</v>
      </c>
      <c r="E289" s="159" t="s">
        <v>555</v>
      </c>
      <c r="F289" s="127">
        <v>1</v>
      </c>
      <c r="I289" s="162">
        <v>46198</v>
      </c>
      <c r="J289" s="126">
        <v>0</v>
      </c>
      <c r="K289" s="126">
        <v>4</v>
      </c>
      <c r="L289" s="126">
        <v>0</v>
      </c>
      <c r="M289" s="126">
        <v>0</v>
      </c>
      <c r="N289" s="126">
        <v>0</v>
      </c>
      <c r="O289" s="126">
        <v>0</v>
      </c>
      <c r="P289" s="126">
        <v>0</v>
      </c>
      <c r="Q289" s="126">
        <v>0</v>
      </c>
      <c r="R289" s="126">
        <v>0</v>
      </c>
    </row>
    <row r="290" spans="3:18" ht="23.1" customHeight="1">
      <c r="C290" s="126">
        <v>182</v>
      </c>
      <c r="D290" s="141" t="s">
        <v>627</v>
      </c>
      <c r="E290" s="159" t="s">
        <v>628</v>
      </c>
      <c r="F290" s="127">
        <v>1</v>
      </c>
      <c r="I290" s="162">
        <v>46198</v>
      </c>
      <c r="J290" s="126">
        <v>0</v>
      </c>
      <c r="K290" s="126">
        <v>24</v>
      </c>
      <c r="L290" s="126">
        <v>0</v>
      </c>
      <c r="M290" s="126">
        <v>0</v>
      </c>
      <c r="N290" s="126">
        <v>0</v>
      </c>
      <c r="O290" s="126">
        <v>0</v>
      </c>
      <c r="P290" s="126">
        <v>0</v>
      </c>
      <c r="Q290" s="126">
        <v>0</v>
      </c>
      <c r="R290" s="126">
        <v>0</v>
      </c>
    </row>
    <row r="291" spans="3:18" ht="23.1" customHeight="1">
      <c r="C291" s="126">
        <v>49</v>
      </c>
      <c r="D291" s="141" t="s">
        <v>813</v>
      </c>
      <c r="E291" s="159" t="s">
        <v>814</v>
      </c>
      <c r="F291" s="127">
        <v>1</v>
      </c>
      <c r="I291" s="162">
        <v>46198</v>
      </c>
      <c r="J291" s="126">
        <v>0</v>
      </c>
      <c r="K291" s="126">
        <v>1</v>
      </c>
      <c r="L291" s="126">
        <v>0</v>
      </c>
      <c r="M291" s="126">
        <v>0</v>
      </c>
      <c r="N291" s="126">
        <v>0</v>
      </c>
      <c r="O291" s="126">
        <v>0</v>
      </c>
      <c r="P291" s="126">
        <v>0</v>
      </c>
      <c r="Q291" s="126">
        <v>0</v>
      </c>
      <c r="R291" s="126">
        <v>0</v>
      </c>
    </row>
    <row r="292" spans="3:18" ht="23.1" customHeight="1">
      <c r="C292" s="126">
        <v>48</v>
      </c>
      <c r="D292" s="141" t="s">
        <v>596</v>
      </c>
      <c r="E292" s="159" t="s">
        <v>597</v>
      </c>
      <c r="F292" s="127">
        <v>1</v>
      </c>
      <c r="I292" s="162">
        <v>46198</v>
      </c>
      <c r="J292" s="126">
        <v>0</v>
      </c>
      <c r="K292" s="126">
        <v>4</v>
      </c>
      <c r="L292" s="126">
        <v>0</v>
      </c>
      <c r="M292" s="126">
        <v>0</v>
      </c>
      <c r="N292" s="126">
        <v>0</v>
      </c>
      <c r="O292" s="126">
        <v>0</v>
      </c>
      <c r="P292" s="126">
        <v>0</v>
      </c>
      <c r="Q292" s="126">
        <v>0</v>
      </c>
      <c r="R292" s="126">
        <v>0</v>
      </c>
    </row>
    <row r="293" spans="3:18" ht="23.1" customHeight="1">
      <c r="C293" s="126">
        <v>46</v>
      </c>
      <c r="D293" s="141" t="s">
        <v>647</v>
      </c>
      <c r="E293" s="159" t="s">
        <v>648</v>
      </c>
      <c r="F293" s="127">
        <v>1</v>
      </c>
      <c r="I293" s="162">
        <v>46198</v>
      </c>
      <c r="J293" s="126">
        <v>0</v>
      </c>
      <c r="K293" s="126">
        <v>8</v>
      </c>
      <c r="L293" s="126">
        <v>0</v>
      </c>
      <c r="M293" s="126">
        <v>0</v>
      </c>
      <c r="N293" s="126">
        <v>0</v>
      </c>
      <c r="O293" s="126">
        <v>0</v>
      </c>
      <c r="P293" s="126">
        <v>0</v>
      </c>
      <c r="Q293" s="126">
        <v>0</v>
      </c>
      <c r="R293" s="126">
        <v>0</v>
      </c>
    </row>
    <row r="294" spans="3:18" ht="23.1" customHeight="1">
      <c r="C294" s="126">
        <v>42</v>
      </c>
      <c r="D294" s="141" t="s">
        <v>975</v>
      </c>
      <c r="E294" s="159" t="s">
        <v>976</v>
      </c>
      <c r="F294" s="127">
        <v>1</v>
      </c>
      <c r="I294" s="162">
        <v>46198</v>
      </c>
      <c r="J294" s="126">
        <v>0</v>
      </c>
      <c r="K294" s="126">
        <v>6</v>
      </c>
      <c r="L294" s="126">
        <v>0</v>
      </c>
      <c r="M294" s="126">
        <v>0</v>
      </c>
      <c r="N294" s="126">
        <v>0</v>
      </c>
      <c r="O294" s="126">
        <v>0</v>
      </c>
      <c r="P294" s="126">
        <v>0</v>
      </c>
      <c r="Q294" s="126">
        <v>0</v>
      </c>
      <c r="R294" s="126">
        <v>0</v>
      </c>
    </row>
    <row r="295" spans="3:18" ht="23.1" customHeight="1">
      <c r="C295" s="126">
        <v>50</v>
      </c>
      <c r="D295" s="141" t="s">
        <v>803</v>
      </c>
      <c r="E295" s="159" t="s">
        <v>804</v>
      </c>
      <c r="F295" s="127">
        <v>1</v>
      </c>
      <c r="I295" s="162">
        <v>46198</v>
      </c>
      <c r="J295" s="126">
        <v>0</v>
      </c>
      <c r="K295" s="126">
        <v>6</v>
      </c>
      <c r="L295" s="126">
        <v>0</v>
      </c>
      <c r="M295" s="126">
        <v>0</v>
      </c>
      <c r="N295" s="126">
        <v>0</v>
      </c>
      <c r="O295" s="126">
        <v>0</v>
      </c>
      <c r="P295" s="126">
        <v>0</v>
      </c>
      <c r="Q295" s="126">
        <v>0</v>
      </c>
      <c r="R295" s="126">
        <v>0</v>
      </c>
    </row>
    <row r="296" spans="3:18" ht="23.1" customHeight="1">
      <c r="C296" s="126">
        <v>9</v>
      </c>
      <c r="D296" s="141" t="s">
        <v>1813</v>
      </c>
      <c r="E296" s="159" t="s">
        <v>1814</v>
      </c>
      <c r="F296" s="127">
        <v>1</v>
      </c>
      <c r="I296" s="162">
        <v>46198</v>
      </c>
      <c r="J296" s="126">
        <v>0</v>
      </c>
      <c r="K296" s="126">
        <v>7</v>
      </c>
      <c r="L296" s="126">
        <v>0</v>
      </c>
      <c r="M296" s="126">
        <v>0</v>
      </c>
      <c r="N296" s="126">
        <v>0</v>
      </c>
      <c r="O296" s="126">
        <v>0</v>
      </c>
      <c r="P296" s="126">
        <v>0</v>
      </c>
      <c r="Q296" s="126">
        <v>0</v>
      </c>
      <c r="R296" s="126">
        <v>0</v>
      </c>
    </row>
    <row r="297" spans="3:18" ht="23.1" customHeight="1">
      <c r="C297" s="126">
        <v>8</v>
      </c>
      <c r="D297" s="141" t="s">
        <v>1125</v>
      </c>
      <c r="E297" s="159" t="s">
        <v>1126</v>
      </c>
      <c r="F297" s="127">
        <v>1</v>
      </c>
      <c r="I297" s="162">
        <v>46198</v>
      </c>
      <c r="J297" s="126">
        <v>0</v>
      </c>
      <c r="K297" s="126">
        <v>2</v>
      </c>
      <c r="L297" s="126">
        <v>0</v>
      </c>
      <c r="M297" s="126">
        <v>0</v>
      </c>
      <c r="N297" s="126">
        <v>0</v>
      </c>
      <c r="O297" s="126">
        <v>0</v>
      </c>
      <c r="P297" s="126">
        <v>0</v>
      </c>
      <c r="Q297" s="126">
        <v>0</v>
      </c>
      <c r="R297" s="126">
        <v>0</v>
      </c>
    </row>
    <row r="298" spans="3:18" ht="23.1" customHeight="1">
      <c r="C298" s="126">
        <v>75</v>
      </c>
      <c r="D298" s="141" t="s">
        <v>1381</v>
      </c>
      <c r="E298" s="159" t="s">
        <v>1382</v>
      </c>
      <c r="F298" s="127">
        <v>1</v>
      </c>
      <c r="I298" s="162">
        <v>46198</v>
      </c>
      <c r="J298" s="126">
        <v>0</v>
      </c>
      <c r="K298" s="126">
        <v>1</v>
      </c>
      <c r="L298" s="126">
        <v>0</v>
      </c>
      <c r="M298" s="126">
        <v>0</v>
      </c>
      <c r="N298" s="126">
        <v>0</v>
      </c>
      <c r="O298" s="126">
        <v>0</v>
      </c>
      <c r="P298" s="126">
        <v>0</v>
      </c>
      <c r="Q298" s="126">
        <v>0</v>
      </c>
      <c r="R298" s="126">
        <v>0</v>
      </c>
    </row>
    <row r="299" spans="3:18" ht="23.1" customHeight="1">
      <c r="C299" s="126">
        <v>56</v>
      </c>
      <c r="D299" s="141" t="s">
        <v>1203</v>
      </c>
      <c r="E299" s="159" t="s">
        <v>1204</v>
      </c>
      <c r="F299" s="127">
        <v>1</v>
      </c>
      <c r="I299" s="162">
        <v>46198</v>
      </c>
      <c r="J299" s="126">
        <v>0</v>
      </c>
      <c r="K299" s="126">
        <v>3</v>
      </c>
      <c r="L299" s="126">
        <v>0</v>
      </c>
      <c r="M299" s="126">
        <v>0</v>
      </c>
      <c r="N299" s="126">
        <v>0</v>
      </c>
      <c r="O299" s="126">
        <v>0</v>
      </c>
      <c r="P299" s="126">
        <v>0</v>
      </c>
      <c r="Q299" s="126">
        <v>0</v>
      </c>
      <c r="R299" s="126">
        <v>0</v>
      </c>
    </row>
    <row r="300" spans="3:18" ht="23.1" customHeight="1">
      <c r="C300" s="126">
        <v>41</v>
      </c>
      <c r="D300" s="141" t="s">
        <v>808</v>
      </c>
      <c r="E300" s="159" t="s">
        <v>809</v>
      </c>
      <c r="F300" s="127">
        <v>1</v>
      </c>
      <c r="I300" s="162">
        <v>46198</v>
      </c>
      <c r="J300" s="126">
        <v>0</v>
      </c>
      <c r="K300" s="126">
        <v>2</v>
      </c>
      <c r="L300" s="126">
        <v>0</v>
      </c>
      <c r="M300" s="126">
        <v>0</v>
      </c>
      <c r="N300" s="126">
        <v>0</v>
      </c>
      <c r="O300" s="126">
        <v>0</v>
      </c>
      <c r="P300" s="126">
        <v>0</v>
      </c>
      <c r="Q300" s="126">
        <v>0</v>
      </c>
      <c r="R300" s="126">
        <v>0</v>
      </c>
    </row>
    <row r="301" spans="3:18" ht="23.1" customHeight="1">
      <c r="C301" s="126">
        <v>68</v>
      </c>
      <c r="D301" s="141" t="s">
        <v>1242</v>
      </c>
      <c r="E301" s="159" t="s">
        <v>1243</v>
      </c>
      <c r="F301" s="127">
        <v>1</v>
      </c>
      <c r="I301" s="162">
        <v>46198</v>
      </c>
      <c r="J301" s="126">
        <v>0</v>
      </c>
      <c r="K301" s="126">
        <v>2</v>
      </c>
      <c r="L301" s="126">
        <v>0</v>
      </c>
      <c r="M301" s="126">
        <v>0</v>
      </c>
      <c r="N301" s="126">
        <v>0</v>
      </c>
      <c r="O301" s="126">
        <v>0</v>
      </c>
      <c r="P301" s="126">
        <v>0</v>
      </c>
      <c r="Q301" s="126">
        <v>0</v>
      </c>
      <c r="R301" s="126">
        <v>0</v>
      </c>
    </row>
    <row r="302" spans="3:18" ht="23.1" customHeight="1">
      <c r="C302" s="126">
        <v>108</v>
      </c>
      <c r="D302" s="141" t="s">
        <v>1009</v>
      </c>
      <c r="E302" s="159" t="s">
        <v>1010</v>
      </c>
      <c r="F302" s="127">
        <v>1</v>
      </c>
      <c r="I302" s="162">
        <v>46198</v>
      </c>
      <c r="J302" s="126">
        <v>0</v>
      </c>
      <c r="K302" s="126">
        <v>1</v>
      </c>
      <c r="L302" s="126">
        <v>0</v>
      </c>
      <c r="M302" s="126">
        <v>0</v>
      </c>
      <c r="N302" s="126">
        <v>0</v>
      </c>
      <c r="O302" s="126">
        <v>0</v>
      </c>
      <c r="P302" s="126">
        <v>0</v>
      </c>
      <c r="Q302" s="126">
        <v>0</v>
      </c>
      <c r="R302" s="126">
        <v>0</v>
      </c>
    </row>
    <row r="303" spans="3:18" ht="23.1" customHeight="1">
      <c r="C303" s="126">
        <v>14</v>
      </c>
      <c r="D303" s="141" t="s">
        <v>696</v>
      </c>
      <c r="E303" s="159" t="s">
        <v>697</v>
      </c>
      <c r="F303" s="127">
        <v>1</v>
      </c>
      <c r="I303" s="162">
        <v>46198</v>
      </c>
      <c r="J303" s="126">
        <v>0</v>
      </c>
      <c r="K303" s="126">
        <v>1</v>
      </c>
      <c r="L303" s="126">
        <v>0</v>
      </c>
      <c r="M303" s="126">
        <v>0</v>
      </c>
      <c r="N303" s="126">
        <v>0</v>
      </c>
      <c r="O303" s="126">
        <v>0</v>
      </c>
      <c r="P303" s="126">
        <v>0</v>
      </c>
      <c r="Q303" s="126">
        <v>0</v>
      </c>
      <c r="R303" s="126">
        <v>0</v>
      </c>
    </row>
    <row r="304" spans="3:18" ht="23.1" customHeight="1">
      <c r="C304" s="126">
        <v>18</v>
      </c>
      <c r="D304" s="141" t="s">
        <v>703</v>
      </c>
      <c r="E304" s="159" t="s">
        <v>704</v>
      </c>
      <c r="F304" s="127">
        <v>1</v>
      </c>
      <c r="I304" s="162">
        <v>46198</v>
      </c>
      <c r="J304" s="126">
        <v>0</v>
      </c>
      <c r="K304" s="126">
        <v>2</v>
      </c>
      <c r="L304" s="126">
        <v>0</v>
      </c>
      <c r="M304" s="126">
        <v>0</v>
      </c>
      <c r="N304" s="126">
        <v>0</v>
      </c>
      <c r="O304" s="126">
        <v>0</v>
      </c>
      <c r="P304" s="126">
        <v>0</v>
      </c>
      <c r="Q304" s="126">
        <v>0</v>
      </c>
      <c r="R304" s="126">
        <v>0</v>
      </c>
    </row>
    <row r="305" spans="3:18" ht="23.1" customHeight="1">
      <c r="C305" s="126">
        <v>29</v>
      </c>
      <c r="D305" s="141" t="s">
        <v>1523</v>
      </c>
      <c r="E305" s="159" t="s">
        <v>1524</v>
      </c>
      <c r="F305" s="127">
        <v>1</v>
      </c>
      <c r="I305" s="162">
        <v>46198</v>
      </c>
      <c r="J305" s="126">
        <v>0</v>
      </c>
      <c r="K305" s="126">
        <v>2</v>
      </c>
      <c r="L305" s="126">
        <v>0</v>
      </c>
      <c r="M305" s="126">
        <v>0</v>
      </c>
      <c r="N305" s="126">
        <v>0</v>
      </c>
      <c r="O305" s="126">
        <v>0</v>
      </c>
      <c r="P305" s="126">
        <v>0</v>
      </c>
      <c r="Q305" s="126">
        <v>0</v>
      </c>
      <c r="R305" s="126">
        <v>0</v>
      </c>
    </row>
    <row r="306" spans="3:18" ht="23.1" customHeight="1">
      <c r="C306" s="126">
        <v>11</v>
      </c>
      <c r="D306" s="141" t="s">
        <v>690</v>
      </c>
      <c r="E306" s="159" t="s">
        <v>691</v>
      </c>
      <c r="F306" s="127">
        <v>1</v>
      </c>
      <c r="I306" s="162">
        <v>46199</v>
      </c>
      <c r="J306" s="126">
        <v>0</v>
      </c>
      <c r="K306" s="126">
        <v>2</v>
      </c>
      <c r="L306" s="126">
        <v>0</v>
      </c>
      <c r="M306" s="126">
        <v>0</v>
      </c>
      <c r="N306" s="126">
        <v>0</v>
      </c>
      <c r="O306" s="126">
        <v>0</v>
      </c>
      <c r="P306" s="126">
        <v>0</v>
      </c>
      <c r="Q306" s="126">
        <v>0</v>
      </c>
      <c r="R306" s="126">
        <v>0</v>
      </c>
    </row>
    <row r="307" spans="3:18" ht="23.1" customHeight="1">
      <c r="C307" s="126">
        <v>9</v>
      </c>
      <c r="D307" s="141" t="s">
        <v>1813</v>
      </c>
      <c r="E307" s="159" t="s">
        <v>1814</v>
      </c>
      <c r="F307" s="127">
        <v>1</v>
      </c>
      <c r="I307" s="162">
        <v>46199</v>
      </c>
      <c r="J307" s="126">
        <v>0</v>
      </c>
      <c r="K307" s="126">
        <v>8</v>
      </c>
      <c r="L307" s="126">
        <v>0</v>
      </c>
      <c r="M307" s="126">
        <v>0</v>
      </c>
      <c r="N307" s="126">
        <v>0</v>
      </c>
      <c r="O307" s="126">
        <v>0</v>
      </c>
      <c r="P307" s="126">
        <v>0</v>
      </c>
      <c r="Q307" s="126">
        <v>0</v>
      </c>
      <c r="R307" s="126">
        <v>0</v>
      </c>
    </row>
    <row r="308" spans="3:18" ht="23.1" customHeight="1">
      <c r="C308" s="126">
        <v>50</v>
      </c>
      <c r="D308" s="141" t="s">
        <v>803</v>
      </c>
      <c r="E308" s="159" t="s">
        <v>804</v>
      </c>
      <c r="F308" s="127">
        <v>1</v>
      </c>
      <c r="I308" s="162">
        <v>46199</v>
      </c>
      <c r="J308" s="126">
        <v>0</v>
      </c>
      <c r="K308" s="126">
        <v>5</v>
      </c>
      <c r="L308" s="126">
        <v>0</v>
      </c>
      <c r="M308" s="126">
        <v>0</v>
      </c>
      <c r="N308" s="126">
        <v>0</v>
      </c>
      <c r="O308" s="126">
        <v>0</v>
      </c>
      <c r="P308" s="126">
        <v>0</v>
      </c>
      <c r="Q308" s="126">
        <v>0</v>
      </c>
      <c r="R308" s="126">
        <v>0</v>
      </c>
    </row>
    <row r="309" spans="3:18" ht="23.1" customHeight="1">
      <c r="C309" s="126">
        <v>49</v>
      </c>
      <c r="D309" s="141" t="s">
        <v>813</v>
      </c>
      <c r="E309" s="159" t="s">
        <v>814</v>
      </c>
      <c r="F309" s="127">
        <v>1</v>
      </c>
      <c r="I309" s="162">
        <v>46199</v>
      </c>
      <c r="J309" s="126">
        <v>0</v>
      </c>
      <c r="K309" s="126">
        <v>2</v>
      </c>
      <c r="L309" s="126">
        <v>0</v>
      </c>
      <c r="M309" s="126">
        <v>0</v>
      </c>
      <c r="N309" s="126">
        <v>0</v>
      </c>
      <c r="O309" s="126">
        <v>0</v>
      </c>
      <c r="P309" s="126">
        <v>0</v>
      </c>
      <c r="Q309" s="126">
        <v>0</v>
      </c>
      <c r="R309" s="126">
        <v>0</v>
      </c>
    </row>
    <row r="310" spans="3:18" ht="23.1" customHeight="1">
      <c r="C310" s="126">
        <v>66</v>
      </c>
      <c r="D310" s="141" t="s">
        <v>1216</v>
      </c>
      <c r="E310" s="159" t="s">
        <v>1217</v>
      </c>
      <c r="F310" s="127">
        <v>1</v>
      </c>
      <c r="I310" s="162">
        <v>46199</v>
      </c>
      <c r="J310" s="126">
        <v>0</v>
      </c>
      <c r="K310" s="126">
        <v>2</v>
      </c>
      <c r="L310" s="126">
        <v>0</v>
      </c>
      <c r="M310" s="126">
        <v>0</v>
      </c>
      <c r="N310" s="126">
        <v>0</v>
      </c>
      <c r="O310" s="126">
        <v>0</v>
      </c>
      <c r="P310" s="126">
        <v>0</v>
      </c>
      <c r="Q310" s="126">
        <v>0</v>
      </c>
      <c r="R310" s="126">
        <v>0</v>
      </c>
    </row>
    <row r="311" spans="3:18" ht="23.1" customHeight="1">
      <c r="C311" s="126">
        <v>177</v>
      </c>
      <c r="D311" s="141" t="s">
        <v>752</v>
      </c>
      <c r="E311" s="159" t="s">
        <v>753</v>
      </c>
      <c r="F311" s="127">
        <v>1</v>
      </c>
      <c r="I311" s="162">
        <v>46199</v>
      </c>
      <c r="J311" s="126">
        <v>0</v>
      </c>
      <c r="K311" s="126">
        <v>750</v>
      </c>
      <c r="L311" s="126">
        <v>0</v>
      </c>
      <c r="M311" s="126">
        <v>0</v>
      </c>
      <c r="N311" s="126">
        <v>0</v>
      </c>
      <c r="O311" s="126">
        <v>0</v>
      </c>
      <c r="P311" s="126">
        <v>0</v>
      </c>
      <c r="Q311" s="126">
        <v>0</v>
      </c>
      <c r="R311" s="126">
        <v>0</v>
      </c>
    </row>
    <row r="312" spans="3:18" ht="23.1" customHeight="1">
      <c r="C312" s="126">
        <v>108</v>
      </c>
      <c r="D312" s="141" t="s">
        <v>1009</v>
      </c>
      <c r="E312" s="159" t="s">
        <v>1010</v>
      </c>
      <c r="F312" s="127">
        <v>1</v>
      </c>
      <c r="I312" s="162">
        <v>46199</v>
      </c>
      <c r="J312" s="126">
        <v>0</v>
      </c>
      <c r="K312" s="126">
        <v>5</v>
      </c>
      <c r="L312" s="126">
        <v>0</v>
      </c>
      <c r="M312" s="126">
        <v>0</v>
      </c>
      <c r="N312" s="126">
        <v>0</v>
      </c>
      <c r="O312" s="126">
        <v>0</v>
      </c>
      <c r="P312" s="126">
        <v>0</v>
      </c>
      <c r="Q312" s="126">
        <v>0</v>
      </c>
      <c r="R312" s="126">
        <v>0</v>
      </c>
    </row>
    <row r="313" spans="3:18" ht="23.1" customHeight="1">
      <c r="C313" s="126">
        <v>29</v>
      </c>
      <c r="D313" s="141" t="s">
        <v>1523</v>
      </c>
      <c r="E313" s="159" t="s">
        <v>1524</v>
      </c>
      <c r="F313" s="127">
        <v>1</v>
      </c>
      <c r="I313" s="162">
        <v>46199</v>
      </c>
      <c r="J313" s="126">
        <v>0</v>
      </c>
      <c r="K313" s="126">
        <v>4</v>
      </c>
      <c r="L313" s="126">
        <v>0</v>
      </c>
      <c r="M313" s="126">
        <v>0</v>
      </c>
      <c r="N313" s="126">
        <v>0</v>
      </c>
      <c r="O313" s="126">
        <v>0</v>
      </c>
      <c r="P313" s="126">
        <v>0</v>
      </c>
      <c r="Q313" s="126">
        <v>0</v>
      </c>
      <c r="R313" s="126">
        <v>0</v>
      </c>
    </row>
    <row r="314" spans="3:18" ht="23.1" customHeight="1">
      <c r="C314" s="126">
        <v>51</v>
      </c>
      <c r="D314" s="141" t="s">
        <v>1339</v>
      </c>
      <c r="E314" s="159" t="s">
        <v>1340</v>
      </c>
      <c r="F314" s="127">
        <v>1</v>
      </c>
      <c r="I314" s="162">
        <v>46200</v>
      </c>
      <c r="J314" s="126">
        <v>0</v>
      </c>
      <c r="K314" s="126">
        <v>9</v>
      </c>
      <c r="L314" s="126">
        <v>0</v>
      </c>
      <c r="M314" s="126">
        <v>0</v>
      </c>
      <c r="N314" s="126">
        <v>0</v>
      </c>
      <c r="O314" s="126">
        <v>0</v>
      </c>
      <c r="P314" s="126">
        <v>0</v>
      </c>
      <c r="Q314" s="126">
        <v>0</v>
      </c>
      <c r="R314" s="126">
        <v>0</v>
      </c>
    </row>
    <row r="315" spans="3:18" ht="23.1" customHeight="1">
      <c r="C315" s="126">
        <v>183</v>
      </c>
      <c r="D315" s="141" t="s">
        <v>766</v>
      </c>
      <c r="E315" s="159" t="s">
        <v>767</v>
      </c>
      <c r="F315" s="127">
        <v>1</v>
      </c>
      <c r="I315" s="162">
        <v>46200</v>
      </c>
      <c r="J315" s="126">
        <v>0</v>
      </c>
      <c r="K315" s="126">
        <v>192</v>
      </c>
      <c r="L315" s="126">
        <v>0</v>
      </c>
      <c r="M315" s="126">
        <v>0</v>
      </c>
      <c r="N315" s="126">
        <v>0</v>
      </c>
      <c r="O315" s="126">
        <v>0</v>
      </c>
      <c r="P315" s="126">
        <v>0</v>
      </c>
      <c r="Q315" s="126">
        <v>0</v>
      </c>
      <c r="R315" s="126">
        <v>0</v>
      </c>
    </row>
    <row r="316" spans="3:18" ht="23.1" customHeight="1">
      <c r="C316" s="126">
        <v>181</v>
      </c>
      <c r="D316" s="141" t="s">
        <v>761</v>
      </c>
      <c r="E316" s="159" t="s">
        <v>762</v>
      </c>
      <c r="F316" s="127">
        <v>1</v>
      </c>
      <c r="I316" s="162">
        <v>46200</v>
      </c>
      <c r="J316" s="126">
        <v>0</v>
      </c>
      <c r="K316" s="126">
        <v>120</v>
      </c>
      <c r="L316" s="126">
        <v>0</v>
      </c>
      <c r="M316" s="126">
        <v>0</v>
      </c>
      <c r="N316" s="126">
        <v>0</v>
      </c>
      <c r="O316" s="126">
        <v>0</v>
      </c>
      <c r="P316" s="126">
        <v>0</v>
      </c>
      <c r="Q316" s="126">
        <v>0</v>
      </c>
      <c r="R316" s="126">
        <v>0</v>
      </c>
    </row>
    <row r="317" spans="3:18" ht="23.1" customHeight="1">
      <c r="C317" s="126">
        <v>195</v>
      </c>
      <c r="D317" s="141" t="s">
        <v>608</v>
      </c>
      <c r="E317" s="159" t="s">
        <v>609</v>
      </c>
      <c r="F317" s="127">
        <v>1</v>
      </c>
      <c r="I317" s="162">
        <v>46200</v>
      </c>
      <c r="J317" s="126">
        <v>0</v>
      </c>
      <c r="K317" s="126">
        <v>8</v>
      </c>
      <c r="L317" s="126">
        <v>0</v>
      </c>
      <c r="M317" s="126">
        <v>0</v>
      </c>
      <c r="N317" s="126">
        <v>0</v>
      </c>
      <c r="O317" s="126">
        <v>0</v>
      </c>
      <c r="P317" s="126">
        <v>0</v>
      </c>
      <c r="Q317" s="126">
        <v>0</v>
      </c>
      <c r="R317" s="126">
        <v>0</v>
      </c>
    </row>
    <row r="318" spans="3:18" ht="23.1" customHeight="1">
      <c r="C318" s="126">
        <v>16</v>
      </c>
      <c r="D318" s="141" t="s">
        <v>699</v>
      </c>
      <c r="E318" s="159" t="s">
        <v>700</v>
      </c>
      <c r="F318" s="127">
        <v>1</v>
      </c>
      <c r="I318" s="162">
        <v>46200</v>
      </c>
      <c r="J318" s="126">
        <v>0</v>
      </c>
      <c r="K318" s="126">
        <v>2</v>
      </c>
      <c r="L318" s="126">
        <v>0</v>
      </c>
      <c r="M318" s="126">
        <v>0</v>
      </c>
      <c r="N318" s="126">
        <v>0</v>
      </c>
      <c r="O318" s="126">
        <v>0</v>
      </c>
      <c r="P318" s="126">
        <v>0</v>
      </c>
      <c r="Q318" s="126">
        <v>0</v>
      </c>
      <c r="R318" s="126">
        <v>0</v>
      </c>
    </row>
    <row r="319" spans="3:18" ht="23.1" customHeight="1">
      <c r="C319" s="126">
        <v>177</v>
      </c>
      <c r="D319" s="141" t="s">
        <v>752</v>
      </c>
      <c r="E319" s="159" t="s">
        <v>753</v>
      </c>
      <c r="F319" s="127">
        <v>1</v>
      </c>
      <c r="I319" s="162">
        <v>46200</v>
      </c>
      <c r="J319" s="126">
        <v>0</v>
      </c>
      <c r="K319" s="126">
        <v>250</v>
      </c>
      <c r="L319" s="126">
        <v>0</v>
      </c>
      <c r="M319" s="126">
        <v>0</v>
      </c>
      <c r="N319" s="126">
        <v>0</v>
      </c>
      <c r="O319" s="126">
        <v>0</v>
      </c>
      <c r="P319" s="126">
        <v>0</v>
      </c>
      <c r="Q319" s="126">
        <v>0</v>
      </c>
      <c r="R319" s="126">
        <v>0</v>
      </c>
    </row>
    <row r="320" spans="3:18" ht="23.1" customHeight="1">
      <c r="C320" s="126">
        <v>4</v>
      </c>
      <c r="D320" s="141" t="s">
        <v>581</v>
      </c>
      <c r="E320" s="159" t="s">
        <v>582</v>
      </c>
      <c r="F320" s="127">
        <v>1</v>
      </c>
      <c r="I320" s="162">
        <v>46200</v>
      </c>
      <c r="J320" s="126">
        <v>0</v>
      </c>
      <c r="K320" s="126">
        <v>7</v>
      </c>
      <c r="L320" s="126">
        <v>0</v>
      </c>
      <c r="M320" s="126">
        <v>0</v>
      </c>
      <c r="N320" s="126">
        <v>0</v>
      </c>
      <c r="O320" s="126">
        <v>0</v>
      </c>
      <c r="P320" s="126">
        <v>0</v>
      </c>
      <c r="Q320" s="126">
        <v>0</v>
      </c>
      <c r="R320" s="126">
        <v>0</v>
      </c>
    </row>
    <row r="321" spans="3:18" ht="23.1" customHeight="1">
      <c r="C321" s="126">
        <v>177</v>
      </c>
      <c r="D321" s="141" t="s">
        <v>752</v>
      </c>
      <c r="E321" s="159" t="s">
        <v>753</v>
      </c>
      <c r="F321" s="127">
        <v>1</v>
      </c>
      <c r="I321" s="162">
        <v>46201</v>
      </c>
      <c r="J321" s="126">
        <v>0</v>
      </c>
      <c r="K321" s="126">
        <v>500</v>
      </c>
      <c r="L321" s="126">
        <v>0</v>
      </c>
      <c r="M321" s="126">
        <v>0</v>
      </c>
      <c r="N321" s="126">
        <v>0</v>
      </c>
      <c r="O321" s="126">
        <v>0</v>
      </c>
      <c r="P321" s="126">
        <v>0</v>
      </c>
      <c r="Q321" s="126">
        <v>0</v>
      </c>
      <c r="R321" s="126">
        <v>0</v>
      </c>
    </row>
    <row r="322" spans="3:18" ht="23.1" customHeight="1">
      <c r="C322" s="126">
        <v>61</v>
      </c>
      <c r="D322" s="141" t="s">
        <v>1924</v>
      </c>
      <c r="E322" s="159" t="s">
        <v>1925</v>
      </c>
      <c r="F322" s="127">
        <v>1</v>
      </c>
      <c r="I322" s="162">
        <v>46201</v>
      </c>
      <c r="J322" s="126">
        <v>0</v>
      </c>
      <c r="K322" s="126">
        <v>1</v>
      </c>
      <c r="L322" s="126">
        <v>0</v>
      </c>
      <c r="M322" s="126">
        <v>0</v>
      </c>
      <c r="N322" s="126">
        <v>0</v>
      </c>
      <c r="O322" s="126">
        <v>0</v>
      </c>
      <c r="P322" s="126">
        <v>0</v>
      </c>
      <c r="Q322" s="126">
        <v>0</v>
      </c>
      <c r="R322" s="126">
        <v>0</v>
      </c>
    </row>
    <row r="323" spans="3:18" ht="23.1" customHeight="1">
      <c r="C323" s="126">
        <v>146</v>
      </c>
      <c r="D323" s="141" t="s">
        <v>1929</v>
      </c>
      <c r="E323" s="159" t="s">
        <v>1930</v>
      </c>
      <c r="F323" s="127">
        <v>1</v>
      </c>
      <c r="I323" s="162">
        <v>46201</v>
      </c>
      <c r="J323" s="126">
        <v>0</v>
      </c>
      <c r="K323" s="126">
        <v>5</v>
      </c>
      <c r="L323" s="126">
        <v>0</v>
      </c>
      <c r="M323" s="126">
        <v>0</v>
      </c>
      <c r="N323" s="126">
        <v>0</v>
      </c>
      <c r="O323" s="126">
        <v>0</v>
      </c>
      <c r="P323" s="126">
        <v>0</v>
      </c>
      <c r="Q323" s="126">
        <v>0</v>
      </c>
      <c r="R323" s="126">
        <v>0</v>
      </c>
    </row>
    <row r="324" spans="3:18" ht="23.1" customHeight="1">
      <c r="C324" s="126">
        <v>176</v>
      </c>
      <c r="D324" s="141" t="s">
        <v>748</v>
      </c>
      <c r="E324" s="159" t="s">
        <v>749</v>
      </c>
      <c r="F324" s="127">
        <v>1</v>
      </c>
      <c r="I324" s="162">
        <v>46201</v>
      </c>
      <c r="J324" s="126">
        <v>0</v>
      </c>
      <c r="K324" s="126">
        <v>50</v>
      </c>
      <c r="L324" s="126">
        <v>0</v>
      </c>
      <c r="M324" s="126">
        <v>0</v>
      </c>
      <c r="N324" s="126">
        <v>0</v>
      </c>
      <c r="O324" s="126">
        <v>0</v>
      </c>
      <c r="P324" s="126">
        <v>0</v>
      </c>
      <c r="Q324" s="126">
        <v>0</v>
      </c>
      <c r="R324" s="126">
        <v>0</v>
      </c>
    </row>
    <row r="325" spans="3:18" ht="23.1" customHeight="1">
      <c r="C325" s="126">
        <v>66</v>
      </c>
      <c r="D325" s="141" t="s">
        <v>1216</v>
      </c>
      <c r="E325" s="159" t="s">
        <v>1217</v>
      </c>
      <c r="F325" s="127">
        <v>1</v>
      </c>
      <c r="I325" s="162">
        <v>46201</v>
      </c>
      <c r="J325" s="126">
        <v>0</v>
      </c>
      <c r="K325" s="126">
        <v>2</v>
      </c>
      <c r="L325" s="126">
        <v>0</v>
      </c>
      <c r="M325" s="126">
        <v>0</v>
      </c>
      <c r="N325" s="126">
        <v>0</v>
      </c>
      <c r="O325" s="126">
        <v>0</v>
      </c>
      <c r="P325" s="126">
        <v>0</v>
      </c>
      <c r="Q325" s="126">
        <v>0</v>
      </c>
      <c r="R325" s="126">
        <v>0</v>
      </c>
    </row>
    <row r="326" spans="3:18" ht="23.1" customHeight="1">
      <c r="C326" s="126">
        <v>75</v>
      </c>
      <c r="D326" s="141" t="s">
        <v>1381</v>
      </c>
      <c r="E326" s="159" t="s">
        <v>1382</v>
      </c>
      <c r="F326" s="127">
        <v>1</v>
      </c>
      <c r="I326" s="162">
        <v>46201</v>
      </c>
      <c r="J326" s="126">
        <v>0</v>
      </c>
      <c r="K326" s="126">
        <v>2</v>
      </c>
      <c r="L326" s="126">
        <v>0</v>
      </c>
      <c r="M326" s="126">
        <v>0</v>
      </c>
      <c r="N326" s="126">
        <v>0</v>
      </c>
      <c r="O326" s="126">
        <v>0</v>
      </c>
      <c r="P326" s="126">
        <v>0</v>
      </c>
      <c r="Q326" s="126">
        <v>0</v>
      </c>
      <c r="R326" s="126">
        <v>0</v>
      </c>
    </row>
    <row r="327" spans="3:18" ht="23.1" customHeight="1">
      <c r="C327" s="126">
        <v>182</v>
      </c>
      <c r="D327" s="141" t="s">
        <v>627</v>
      </c>
      <c r="E327" s="159" t="s">
        <v>628</v>
      </c>
      <c r="F327" s="127">
        <v>1</v>
      </c>
      <c r="I327" s="162">
        <v>46201</v>
      </c>
      <c r="J327" s="126">
        <v>0</v>
      </c>
      <c r="K327" s="126">
        <v>12</v>
      </c>
      <c r="L327" s="126">
        <v>0</v>
      </c>
      <c r="M327" s="126">
        <v>0</v>
      </c>
      <c r="N327" s="126">
        <v>0</v>
      </c>
      <c r="O327" s="126">
        <v>0</v>
      </c>
      <c r="P327" s="126">
        <v>0</v>
      </c>
      <c r="Q327" s="126">
        <v>0</v>
      </c>
      <c r="R327" s="126">
        <v>0</v>
      </c>
    </row>
    <row r="328" spans="3:18" ht="23.1" customHeight="1">
      <c r="C328" s="126">
        <v>105</v>
      </c>
      <c r="D328" s="141" t="s">
        <v>591</v>
      </c>
      <c r="E328" s="159" t="s">
        <v>592</v>
      </c>
      <c r="F328" s="127">
        <v>1</v>
      </c>
      <c r="I328" s="162">
        <v>46201</v>
      </c>
      <c r="J328" s="126">
        <v>0</v>
      </c>
      <c r="K328" s="126">
        <v>1</v>
      </c>
      <c r="L328" s="126">
        <v>0</v>
      </c>
      <c r="M328" s="126">
        <v>0</v>
      </c>
      <c r="N328" s="126">
        <v>0</v>
      </c>
      <c r="O328" s="126">
        <v>0</v>
      </c>
      <c r="P328" s="126">
        <v>0</v>
      </c>
      <c r="Q328" s="126">
        <v>0</v>
      </c>
      <c r="R328" s="126">
        <v>0</v>
      </c>
    </row>
    <row r="329" spans="3:18" ht="23.1" customHeight="1">
      <c r="C329" s="126">
        <v>34</v>
      </c>
      <c r="D329" s="141" t="s">
        <v>1193</v>
      </c>
      <c r="E329" s="159" t="s">
        <v>1194</v>
      </c>
      <c r="F329" s="127">
        <v>1</v>
      </c>
      <c r="I329" s="162">
        <v>46201</v>
      </c>
      <c r="J329" s="126">
        <v>0</v>
      </c>
      <c r="K329" s="126">
        <v>2</v>
      </c>
      <c r="L329" s="126">
        <v>0</v>
      </c>
      <c r="M329" s="126">
        <v>0</v>
      </c>
      <c r="N329" s="126">
        <v>0</v>
      </c>
      <c r="O329" s="126">
        <v>0</v>
      </c>
      <c r="P329" s="126">
        <v>0</v>
      </c>
      <c r="Q329" s="126">
        <v>0</v>
      </c>
      <c r="R329" s="126">
        <v>0</v>
      </c>
    </row>
    <row r="330" spans="3:18" ht="23.1" customHeight="1">
      <c r="C330" s="126">
        <v>50</v>
      </c>
      <c r="D330" s="141" t="s">
        <v>803</v>
      </c>
      <c r="E330" s="159" t="s">
        <v>804</v>
      </c>
      <c r="F330" s="127">
        <v>1</v>
      </c>
      <c r="I330" s="162">
        <v>46201</v>
      </c>
      <c r="J330" s="126">
        <v>0</v>
      </c>
      <c r="K330" s="126">
        <v>9</v>
      </c>
      <c r="L330" s="126">
        <v>0</v>
      </c>
      <c r="M330" s="126">
        <v>0</v>
      </c>
      <c r="N330" s="126">
        <v>0</v>
      </c>
      <c r="O330" s="126">
        <v>0</v>
      </c>
      <c r="P330" s="126">
        <v>0</v>
      </c>
      <c r="Q330" s="126">
        <v>0</v>
      </c>
      <c r="R330" s="126">
        <v>0</v>
      </c>
    </row>
    <row r="331" spans="3:18" ht="23.1" customHeight="1">
      <c r="C331" s="126">
        <v>142</v>
      </c>
      <c r="D331" s="141" t="s">
        <v>798</v>
      </c>
      <c r="E331" s="159" t="s">
        <v>799</v>
      </c>
      <c r="F331" s="127">
        <v>1</v>
      </c>
      <c r="I331" s="162">
        <v>46201</v>
      </c>
      <c r="J331" s="126">
        <v>0</v>
      </c>
      <c r="K331" s="126">
        <v>3</v>
      </c>
      <c r="L331" s="126">
        <v>0</v>
      </c>
      <c r="M331" s="126">
        <v>0</v>
      </c>
      <c r="N331" s="126">
        <v>0</v>
      </c>
      <c r="O331" s="126">
        <v>0</v>
      </c>
      <c r="P331" s="126">
        <v>0</v>
      </c>
      <c r="Q331" s="126">
        <v>0</v>
      </c>
      <c r="R331" s="126">
        <v>0</v>
      </c>
    </row>
    <row r="332" spans="3:18" ht="23.1" customHeight="1">
      <c r="C332" s="126">
        <v>144</v>
      </c>
      <c r="D332" s="141" t="s">
        <v>996</v>
      </c>
      <c r="E332" s="159" t="s">
        <v>997</v>
      </c>
      <c r="F332" s="127">
        <v>1</v>
      </c>
      <c r="I332" s="162">
        <v>46201</v>
      </c>
      <c r="J332" s="126">
        <v>0</v>
      </c>
      <c r="K332" s="126">
        <v>2</v>
      </c>
      <c r="L332" s="126">
        <v>0</v>
      </c>
      <c r="M332" s="126">
        <v>0</v>
      </c>
      <c r="N332" s="126">
        <v>0</v>
      </c>
      <c r="O332" s="126">
        <v>0</v>
      </c>
      <c r="P332" s="126">
        <v>0</v>
      </c>
      <c r="Q332" s="126">
        <v>0</v>
      </c>
      <c r="R332" s="126">
        <v>0</v>
      </c>
    </row>
    <row r="333" spans="3:18" ht="23.1" customHeight="1">
      <c r="C333" s="126">
        <v>29</v>
      </c>
      <c r="D333" s="141" t="s">
        <v>1523</v>
      </c>
      <c r="E333" s="159" t="s">
        <v>1524</v>
      </c>
      <c r="F333" s="127">
        <v>1</v>
      </c>
      <c r="I333" s="162">
        <v>46201</v>
      </c>
      <c r="J333" s="126">
        <v>0</v>
      </c>
      <c r="K333" s="126">
        <v>2</v>
      </c>
      <c r="L333" s="126">
        <v>0</v>
      </c>
      <c r="M333" s="126">
        <v>0</v>
      </c>
      <c r="N333" s="126">
        <v>0</v>
      </c>
      <c r="O333" s="126">
        <v>0</v>
      </c>
      <c r="P333" s="126">
        <v>0</v>
      </c>
      <c r="Q333" s="126">
        <v>0</v>
      </c>
      <c r="R333" s="126">
        <v>0</v>
      </c>
    </row>
    <row r="334" spans="3:18" ht="23.1" customHeight="1">
      <c r="C334" s="126">
        <v>37</v>
      </c>
      <c r="D334" s="141" t="s">
        <v>1515</v>
      </c>
      <c r="E334" s="159" t="s">
        <v>1516</v>
      </c>
      <c r="F334" s="127">
        <v>1</v>
      </c>
      <c r="I334" s="162">
        <v>46201</v>
      </c>
      <c r="J334" s="126">
        <v>0</v>
      </c>
      <c r="K334" s="126">
        <v>1</v>
      </c>
      <c r="L334" s="126">
        <v>0</v>
      </c>
      <c r="M334" s="126">
        <v>0</v>
      </c>
      <c r="N334" s="126">
        <v>0</v>
      </c>
      <c r="O334" s="126">
        <v>0</v>
      </c>
      <c r="P334" s="126">
        <v>0</v>
      </c>
      <c r="Q334" s="126">
        <v>0</v>
      </c>
      <c r="R334" s="126">
        <v>0</v>
      </c>
    </row>
    <row r="335" spans="3:18" ht="23.1" customHeight="1">
      <c r="C335" s="126">
        <v>49</v>
      </c>
      <c r="D335" s="141" t="s">
        <v>813</v>
      </c>
      <c r="E335" s="159" t="s">
        <v>814</v>
      </c>
      <c r="F335" s="127">
        <v>1</v>
      </c>
      <c r="I335" s="162">
        <v>46201</v>
      </c>
      <c r="J335" s="126">
        <v>0</v>
      </c>
      <c r="K335" s="126">
        <v>8</v>
      </c>
      <c r="L335" s="126">
        <v>0</v>
      </c>
      <c r="M335" s="126">
        <v>0</v>
      </c>
      <c r="N335" s="126">
        <v>0</v>
      </c>
      <c r="O335" s="126">
        <v>0</v>
      </c>
      <c r="P335" s="126">
        <v>0</v>
      </c>
      <c r="Q335" s="126">
        <v>0</v>
      </c>
      <c r="R335" s="126">
        <v>0</v>
      </c>
    </row>
    <row r="336" spans="3:18" ht="23.1" customHeight="1">
      <c r="C336" s="126">
        <v>108</v>
      </c>
      <c r="D336" s="141" t="s">
        <v>1009</v>
      </c>
      <c r="E336" s="159" t="s">
        <v>1010</v>
      </c>
      <c r="F336" s="127">
        <v>1</v>
      </c>
      <c r="I336" s="162">
        <v>46201</v>
      </c>
      <c r="J336" s="126">
        <v>0</v>
      </c>
      <c r="K336" s="126">
        <v>2</v>
      </c>
      <c r="L336" s="126">
        <v>0</v>
      </c>
      <c r="M336" s="126">
        <v>0</v>
      </c>
      <c r="N336" s="126">
        <v>0</v>
      </c>
      <c r="O336" s="126">
        <v>0</v>
      </c>
      <c r="P336" s="126">
        <v>0</v>
      </c>
      <c r="Q336" s="126">
        <v>0</v>
      </c>
      <c r="R336" s="126">
        <v>0</v>
      </c>
    </row>
    <row r="337" spans="3:18" ht="23.1" customHeight="1">
      <c r="C337" s="126">
        <v>153</v>
      </c>
      <c r="D337" s="141" t="s">
        <v>554</v>
      </c>
      <c r="E337" s="159" t="s">
        <v>555</v>
      </c>
      <c r="F337" s="127">
        <v>1</v>
      </c>
      <c r="I337" s="162">
        <v>46201</v>
      </c>
      <c r="J337" s="126">
        <v>0</v>
      </c>
      <c r="K337" s="126">
        <v>2</v>
      </c>
      <c r="L337" s="126">
        <v>0</v>
      </c>
      <c r="M337" s="126">
        <v>0</v>
      </c>
      <c r="N337" s="126">
        <v>0</v>
      </c>
      <c r="O337" s="126">
        <v>0</v>
      </c>
      <c r="P337" s="126">
        <v>0</v>
      </c>
      <c r="Q337" s="126">
        <v>0</v>
      </c>
      <c r="R337" s="126">
        <v>0</v>
      </c>
    </row>
    <row r="338" spans="3:18" ht="23.1" customHeight="1">
      <c r="C338" s="126">
        <v>181</v>
      </c>
      <c r="D338" s="141" t="s">
        <v>761</v>
      </c>
      <c r="E338" s="159" t="s">
        <v>762</v>
      </c>
      <c r="F338" s="127">
        <v>1</v>
      </c>
      <c r="I338" s="162">
        <v>46201</v>
      </c>
      <c r="J338" s="126">
        <v>0</v>
      </c>
      <c r="K338" s="126">
        <v>12</v>
      </c>
      <c r="L338" s="126">
        <v>0</v>
      </c>
      <c r="M338" s="126">
        <v>0</v>
      </c>
      <c r="N338" s="126">
        <v>0</v>
      </c>
      <c r="O338" s="126">
        <v>0</v>
      </c>
      <c r="P338" s="126">
        <v>0</v>
      </c>
      <c r="Q338" s="126">
        <v>0</v>
      </c>
      <c r="R338" s="126">
        <v>0</v>
      </c>
    </row>
    <row r="339" spans="3:18" ht="23.1" customHeight="1">
      <c r="C339" s="126">
        <v>101</v>
      </c>
      <c r="D339" s="141" t="s">
        <v>718</v>
      </c>
      <c r="E339" s="159" t="s">
        <v>719</v>
      </c>
      <c r="F339" s="127">
        <v>1</v>
      </c>
      <c r="I339" s="162">
        <v>46201</v>
      </c>
      <c r="J339" s="126">
        <v>0</v>
      </c>
      <c r="K339" s="126">
        <v>500</v>
      </c>
      <c r="L339" s="126">
        <v>0</v>
      </c>
      <c r="M339" s="126">
        <v>0</v>
      </c>
      <c r="N339" s="126">
        <v>0</v>
      </c>
      <c r="O339" s="126">
        <v>0</v>
      </c>
      <c r="P339" s="126">
        <v>0</v>
      </c>
      <c r="Q339" s="126">
        <v>0</v>
      </c>
      <c r="R339" s="126">
        <v>0</v>
      </c>
    </row>
    <row r="340" spans="3:18" ht="23.1" customHeight="1">
      <c r="C340" s="126">
        <v>7</v>
      </c>
      <c r="D340" s="141" t="s">
        <v>818</v>
      </c>
      <c r="E340" s="159" t="s">
        <v>819</v>
      </c>
      <c r="F340" s="127">
        <v>1</v>
      </c>
      <c r="I340" s="162">
        <v>46201</v>
      </c>
      <c r="J340" s="126">
        <v>0</v>
      </c>
      <c r="K340" s="126">
        <v>1</v>
      </c>
      <c r="L340" s="126">
        <v>0</v>
      </c>
      <c r="M340" s="126">
        <v>0</v>
      </c>
      <c r="N340" s="126">
        <v>0</v>
      </c>
      <c r="O340" s="126">
        <v>0</v>
      </c>
      <c r="P340" s="126">
        <v>0</v>
      </c>
      <c r="Q340" s="126">
        <v>0</v>
      </c>
      <c r="R340" s="126">
        <v>0</v>
      </c>
    </row>
    <row r="341" spans="3:18" ht="23.1" customHeight="1">
      <c r="C341" s="126">
        <v>13</v>
      </c>
      <c r="D341" s="141" t="s">
        <v>693</v>
      </c>
      <c r="E341" s="159" t="s">
        <v>694</v>
      </c>
      <c r="F341" s="127">
        <v>1</v>
      </c>
      <c r="I341" s="162">
        <v>46201</v>
      </c>
      <c r="J341" s="126">
        <v>0</v>
      </c>
      <c r="K341" s="126">
        <v>1</v>
      </c>
      <c r="L341" s="126">
        <v>0</v>
      </c>
      <c r="M341" s="126">
        <v>0</v>
      </c>
      <c r="N341" s="126">
        <v>0</v>
      </c>
      <c r="O341" s="126">
        <v>0</v>
      </c>
      <c r="P341" s="126">
        <v>0</v>
      </c>
      <c r="Q341" s="126">
        <v>0</v>
      </c>
      <c r="R341" s="126">
        <v>0</v>
      </c>
    </row>
    <row r="342" spans="3:18" ht="23.1" customHeight="1">
      <c r="C342" s="126">
        <v>1</v>
      </c>
      <c r="D342" s="141" t="s">
        <v>677</v>
      </c>
      <c r="E342" s="159" t="s">
        <v>678</v>
      </c>
      <c r="F342" s="127">
        <v>1</v>
      </c>
      <c r="I342" s="162">
        <v>46201</v>
      </c>
      <c r="J342" s="126">
        <v>0</v>
      </c>
      <c r="K342" s="126">
        <v>1</v>
      </c>
      <c r="L342" s="126">
        <v>0</v>
      </c>
      <c r="M342" s="126">
        <v>0</v>
      </c>
      <c r="N342" s="126">
        <v>0</v>
      </c>
      <c r="O342" s="126">
        <v>0</v>
      </c>
      <c r="P342" s="126">
        <v>0</v>
      </c>
      <c r="Q342" s="126">
        <v>0</v>
      </c>
      <c r="R342" s="126">
        <v>0</v>
      </c>
    </row>
    <row r="343" spans="3:18" ht="23.1" customHeight="1">
      <c r="C343" s="126">
        <v>26</v>
      </c>
      <c r="D343" s="141" t="s">
        <v>715</v>
      </c>
      <c r="E343" s="159" t="s">
        <v>716</v>
      </c>
      <c r="F343" s="127">
        <v>1</v>
      </c>
      <c r="I343" s="162">
        <v>46201</v>
      </c>
      <c r="J343" s="126">
        <v>0</v>
      </c>
      <c r="K343" s="126">
        <v>1</v>
      </c>
      <c r="L343" s="126">
        <v>0</v>
      </c>
      <c r="M343" s="126">
        <v>0</v>
      </c>
      <c r="N343" s="126">
        <v>0</v>
      </c>
      <c r="O343" s="126">
        <v>0</v>
      </c>
      <c r="P343" s="126">
        <v>0</v>
      </c>
      <c r="Q343" s="126">
        <v>0</v>
      </c>
      <c r="R343" s="126">
        <v>0</v>
      </c>
    </row>
    <row r="344" spans="3:18" ht="23.1" customHeight="1">
      <c r="C344" s="126">
        <v>4</v>
      </c>
      <c r="D344" s="141" t="s">
        <v>581</v>
      </c>
      <c r="E344" s="159" t="s">
        <v>582</v>
      </c>
      <c r="F344" s="127">
        <v>1</v>
      </c>
      <c r="I344" s="162">
        <v>46201</v>
      </c>
      <c r="J344" s="126">
        <v>0</v>
      </c>
      <c r="K344" s="126">
        <v>1</v>
      </c>
      <c r="L344" s="126">
        <v>0</v>
      </c>
      <c r="M344" s="126">
        <v>0</v>
      </c>
      <c r="N344" s="126">
        <v>0</v>
      </c>
      <c r="O344" s="126">
        <v>0</v>
      </c>
      <c r="P344" s="126">
        <v>0</v>
      </c>
      <c r="Q344" s="126">
        <v>0</v>
      </c>
      <c r="R344" s="126">
        <v>0</v>
      </c>
    </row>
    <row r="345" spans="3:18" ht="23.1" customHeight="1">
      <c r="C345" s="126">
        <v>20</v>
      </c>
      <c r="D345" s="141" t="s">
        <v>709</v>
      </c>
      <c r="E345" s="159" t="s">
        <v>710</v>
      </c>
      <c r="F345" s="127">
        <v>1</v>
      </c>
      <c r="I345" s="162">
        <v>46201</v>
      </c>
      <c r="J345" s="126">
        <v>0</v>
      </c>
      <c r="K345" s="126">
        <v>10</v>
      </c>
      <c r="L345" s="126">
        <v>0</v>
      </c>
      <c r="M345" s="126">
        <v>0</v>
      </c>
      <c r="N345" s="126">
        <v>0</v>
      </c>
      <c r="O345" s="126">
        <v>0</v>
      </c>
      <c r="P345" s="126">
        <v>0</v>
      </c>
      <c r="Q345" s="126">
        <v>0</v>
      </c>
      <c r="R345" s="126">
        <v>0</v>
      </c>
    </row>
    <row r="346" spans="3:18" ht="23.1" customHeight="1">
      <c r="C346" s="126">
        <v>71</v>
      </c>
      <c r="D346" s="141" t="s">
        <v>2010</v>
      </c>
      <c r="E346" s="159" t="s">
        <v>2011</v>
      </c>
      <c r="F346" s="127">
        <v>1</v>
      </c>
      <c r="I346" s="162">
        <v>46201</v>
      </c>
      <c r="J346" s="126">
        <v>0</v>
      </c>
      <c r="K346" s="126">
        <v>2</v>
      </c>
      <c r="L346" s="126">
        <v>0</v>
      </c>
      <c r="M346" s="126">
        <v>0</v>
      </c>
      <c r="N346" s="126">
        <v>0</v>
      </c>
      <c r="O346" s="126">
        <v>0</v>
      </c>
      <c r="P346" s="126">
        <v>0</v>
      </c>
      <c r="Q346" s="126">
        <v>0</v>
      </c>
      <c r="R346" s="126">
        <v>0</v>
      </c>
    </row>
    <row r="347" spans="3:18" ht="23.1" customHeight="1">
      <c r="C347" s="126">
        <v>9</v>
      </c>
      <c r="D347" s="141" t="s">
        <v>1813</v>
      </c>
      <c r="E347" s="159" t="s">
        <v>1814</v>
      </c>
      <c r="F347" s="127">
        <v>1</v>
      </c>
      <c r="I347" s="162">
        <v>46201</v>
      </c>
      <c r="J347" s="126">
        <v>0</v>
      </c>
      <c r="K347" s="126">
        <v>3</v>
      </c>
      <c r="L347" s="126">
        <v>0</v>
      </c>
      <c r="M347" s="126">
        <v>0</v>
      </c>
      <c r="N347" s="126">
        <v>0</v>
      </c>
      <c r="O347" s="126">
        <v>0</v>
      </c>
      <c r="P347" s="126">
        <v>0</v>
      </c>
      <c r="Q347" s="126">
        <v>0</v>
      </c>
      <c r="R347" s="126">
        <v>0</v>
      </c>
    </row>
    <row r="348" spans="3:18" ht="23.1" customHeight="1">
      <c r="C348" s="126">
        <v>70</v>
      </c>
      <c r="D348" s="141" t="s">
        <v>906</v>
      </c>
      <c r="E348" s="159" t="s">
        <v>907</v>
      </c>
      <c r="F348" s="127">
        <v>1</v>
      </c>
      <c r="I348" s="162">
        <v>46201</v>
      </c>
      <c r="J348" s="126">
        <v>0</v>
      </c>
      <c r="K348" s="126">
        <v>1</v>
      </c>
      <c r="L348" s="126">
        <v>0</v>
      </c>
      <c r="M348" s="126">
        <v>0</v>
      </c>
      <c r="N348" s="126">
        <v>0</v>
      </c>
      <c r="O348" s="126">
        <v>0</v>
      </c>
      <c r="P348" s="126">
        <v>0</v>
      </c>
      <c r="Q348" s="126">
        <v>0</v>
      </c>
      <c r="R348" s="126">
        <v>0</v>
      </c>
    </row>
    <row r="349" spans="3:18" ht="23.1" customHeight="1">
      <c r="C349" s="126">
        <v>17</v>
      </c>
      <c r="D349" s="141" t="s">
        <v>662</v>
      </c>
      <c r="E349" s="159" t="s">
        <v>663</v>
      </c>
      <c r="F349" s="127">
        <v>1</v>
      </c>
      <c r="I349" s="162">
        <v>46201</v>
      </c>
      <c r="J349" s="126">
        <v>0</v>
      </c>
      <c r="K349" s="126">
        <v>1</v>
      </c>
      <c r="L349" s="126">
        <v>0</v>
      </c>
      <c r="M349" s="126">
        <v>0</v>
      </c>
      <c r="N349" s="126">
        <v>0</v>
      </c>
      <c r="O349" s="126">
        <v>0</v>
      </c>
      <c r="P349" s="126">
        <v>0</v>
      </c>
      <c r="Q349" s="126">
        <v>0</v>
      </c>
      <c r="R349" s="126">
        <v>0</v>
      </c>
    </row>
    <row r="350" spans="3:18" ht="23.1" customHeight="1">
      <c r="C350" s="126">
        <v>79</v>
      </c>
      <c r="D350" s="141" t="s">
        <v>2027</v>
      </c>
      <c r="E350" s="159" t="s">
        <v>2028</v>
      </c>
      <c r="F350" s="127">
        <v>1</v>
      </c>
      <c r="I350" s="162">
        <v>46201</v>
      </c>
      <c r="J350" s="126">
        <v>0</v>
      </c>
      <c r="K350" s="126">
        <v>50</v>
      </c>
      <c r="L350" s="126">
        <v>0</v>
      </c>
      <c r="M350" s="126">
        <v>0</v>
      </c>
      <c r="N350" s="126">
        <v>0</v>
      </c>
      <c r="O350" s="126">
        <v>0</v>
      </c>
      <c r="P350" s="126">
        <v>0</v>
      </c>
      <c r="Q350" s="126">
        <v>0</v>
      </c>
      <c r="R350" s="126">
        <v>0</v>
      </c>
    </row>
    <row r="351" spans="3:18" ht="23.1" customHeight="1">
      <c r="C351" s="126">
        <v>77</v>
      </c>
      <c r="D351" s="141" t="s">
        <v>2033</v>
      </c>
      <c r="E351" s="159" t="s">
        <v>2034</v>
      </c>
      <c r="F351" s="127">
        <v>1</v>
      </c>
      <c r="I351" s="162">
        <v>46201</v>
      </c>
      <c r="J351" s="126">
        <v>0</v>
      </c>
      <c r="K351" s="126">
        <v>50</v>
      </c>
      <c r="L351" s="126">
        <v>0</v>
      </c>
      <c r="M351" s="126">
        <v>0</v>
      </c>
      <c r="N351" s="126">
        <v>0</v>
      </c>
      <c r="O351" s="126">
        <v>0</v>
      </c>
      <c r="P351" s="126">
        <v>0</v>
      </c>
      <c r="Q351" s="126">
        <v>0</v>
      </c>
      <c r="R351" s="126">
        <v>0</v>
      </c>
    </row>
    <row r="352" spans="3:18" ht="23.1" customHeight="1">
      <c r="C352" s="126">
        <v>32</v>
      </c>
      <c r="D352" s="141" t="s">
        <v>1748</v>
      </c>
      <c r="E352" s="159" t="s">
        <v>1749</v>
      </c>
      <c r="F352" s="127">
        <v>1</v>
      </c>
      <c r="I352" s="162">
        <v>46201</v>
      </c>
      <c r="J352" s="126">
        <v>0</v>
      </c>
      <c r="K352" s="126">
        <v>1</v>
      </c>
      <c r="L352" s="126">
        <v>0</v>
      </c>
      <c r="M352" s="126">
        <v>0</v>
      </c>
      <c r="N352" s="126">
        <v>0</v>
      </c>
      <c r="O352" s="126">
        <v>0</v>
      </c>
      <c r="P352" s="126">
        <v>0</v>
      </c>
      <c r="Q352" s="126">
        <v>0</v>
      </c>
      <c r="R352" s="126">
        <v>0</v>
      </c>
    </row>
    <row r="353" spans="3:18" ht="23.1" customHeight="1">
      <c r="C353" s="126">
        <v>176</v>
      </c>
      <c r="D353" s="141" t="s">
        <v>748</v>
      </c>
      <c r="E353" s="159" t="s">
        <v>749</v>
      </c>
      <c r="F353" s="127">
        <v>1</v>
      </c>
      <c r="I353" s="162">
        <v>46202</v>
      </c>
      <c r="J353" s="126">
        <v>0</v>
      </c>
      <c r="K353" s="126">
        <v>750</v>
      </c>
      <c r="L353" s="126">
        <v>0</v>
      </c>
      <c r="M353" s="126">
        <v>0</v>
      </c>
      <c r="N353" s="126">
        <v>0</v>
      </c>
      <c r="O353" s="126">
        <v>0</v>
      </c>
      <c r="P353" s="126">
        <v>0</v>
      </c>
      <c r="Q353" s="126">
        <v>0</v>
      </c>
      <c r="R353" s="126">
        <v>0</v>
      </c>
    </row>
    <row r="354" spans="3:18" ht="23.1" customHeight="1">
      <c r="C354" s="126">
        <v>156</v>
      </c>
      <c r="D354" s="141" t="s">
        <v>735</v>
      </c>
      <c r="E354" s="159" t="s">
        <v>736</v>
      </c>
      <c r="F354" s="127">
        <v>1</v>
      </c>
      <c r="I354" s="162">
        <v>46202</v>
      </c>
      <c r="J354" s="126">
        <v>0</v>
      </c>
      <c r="K354" s="126">
        <v>6</v>
      </c>
      <c r="L354" s="126">
        <v>0</v>
      </c>
      <c r="M354" s="126">
        <v>0</v>
      </c>
      <c r="N354" s="126">
        <v>0</v>
      </c>
      <c r="O354" s="126">
        <v>0</v>
      </c>
      <c r="P354" s="126">
        <v>0</v>
      </c>
      <c r="Q354" s="126">
        <v>0</v>
      </c>
      <c r="R354" s="126">
        <v>0</v>
      </c>
    </row>
    <row r="355" spans="3:18" ht="23.1" customHeight="1">
      <c r="C355" s="126">
        <v>162</v>
      </c>
      <c r="D355" s="141" t="s">
        <v>741</v>
      </c>
      <c r="E355" s="159" t="s">
        <v>742</v>
      </c>
      <c r="F355" s="127">
        <v>1</v>
      </c>
      <c r="I355" s="162">
        <v>46202</v>
      </c>
      <c r="J355" s="126">
        <v>0</v>
      </c>
      <c r="K355" s="126">
        <v>1</v>
      </c>
      <c r="L355" s="126">
        <v>0</v>
      </c>
      <c r="M355" s="126">
        <v>0</v>
      </c>
      <c r="N355" s="126">
        <v>0</v>
      </c>
      <c r="O355" s="126">
        <v>0</v>
      </c>
      <c r="P355" s="126">
        <v>0</v>
      </c>
      <c r="Q355" s="126">
        <v>0</v>
      </c>
      <c r="R355" s="126">
        <v>0</v>
      </c>
    </row>
    <row r="356" spans="3:18" ht="23.1" customHeight="1">
      <c r="C356" s="126">
        <v>108</v>
      </c>
      <c r="D356" s="141" t="s">
        <v>1009</v>
      </c>
      <c r="E356" s="159" t="s">
        <v>1010</v>
      </c>
      <c r="F356" s="127">
        <v>1</v>
      </c>
      <c r="I356" s="162">
        <v>46202</v>
      </c>
      <c r="J356" s="126">
        <v>0</v>
      </c>
      <c r="K356" s="126">
        <v>7</v>
      </c>
      <c r="L356" s="126">
        <v>0</v>
      </c>
      <c r="M356" s="126">
        <v>0</v>
      </c>
      <c r="N356" s="126">
        <v>0</v>
      </c>
      <c r="O356" s="126">
        <v>0</v>
      </c>
      <c r="P356" s="126">
        <v>0</v>
      </c>
      <c r="Q356" s="126">
        <v>0</v>
      </c>
      <c r="R356" s="126">
        <v>0</v>
      </c>
    </row>
    <row r="357" spans="3:18" ht="23.1" customHeight="1">
      <c r="C357" s="126">
        <v>150</v>
      </c>
      <c r="D357" s="141" t="s">
        <v>1405</v>
      </c>
      <c r="E357" s="159" t="s">
        <v>1406</v>
      </c>
      <c r="F357" s="127">
        <v>1</v>
      </c>
      <c r="I357" s="162">
        <v>46202</v>
      </c>
      <c r="J357" s="126">
        <v>0</v>
      </c>
      <c r="K357" s="126">
        <v>20</v>
      </c>
      <c r="L357" s="126">
        <v>0</v>
      </c>
      <c r="M357" s="126">
        <v>0</v>
      </c>
      <c r="N357" s="126">
        <v>0</v>
      </c>
      <c r="O357" s="126">
        <v>0</v>
      </c>
      <c r="P357" s="126">
        <v>0</v>
      </c>
      <c r="Q357" s="126">
        <v>0</v>
      </c>
      <c r="R357" s="126">
        <v>0</v>
      </c>
    </row>
    <row r="358" spans="3:18" ht="23.1" customHeight="1">
      <c r="C358" s="126">
        <v>112</v>
      </c>
      <c r="D358" s="141" t="s">
        <v>2067</v>
      </c>
      <c r="E358" s="159" t="s">
        <v>2068</v>
      </c>
      <c r="F358" s="127">
        <v>1</v>
      </c>
      <c r="I358" s="162">
        <v>46202</v>
      </c>
      <c r="J358" s="126">
        <v>0</v>
      </c>
      <c r="K358" s="126">
        <v>1</v>
      </c>
      <c r="L358" s="126">
        <v>0</v>
      </c>
      <c r="M358" s="126">
        <v>0</v>
      </c>
      <c r="N358" s="126">
        <v>0</v>
      </c>
      <c r="O358" s="126">
        <v>0</v>
      </c>
      <c r="P358" s="126">
        <v>0</v>
      </c>
      <c r="Q358" s="126">
        <v>0</v>
      </c>
      <c r="R358" s="126">
        <v>0</v>
      </c>
    </row>
    <row r="359" spans="3:18" ht="23.1" customHeight="1">
      <c r="C359" s="126">
        <v>76</v>
      </c>
      <c r="D359" s="141" t="s">
        <v>1133</v>
      </c>
      <c r="E359" s="159" t="s">
        <v>1134</v>
      </c>
      <c r="F359" s="127">
        <v>1</v>
      </c>
      <c r="I359" s="162">
        <v>46202</v>
      </c>
      <c r="J359" s="126">
        <v>0</v>
      </c>
      <c r="K359" s="126">
        <v>1</v>
      </c>
      <c r="L359" s="126">
        <v>0</v>
      </c>
      <c r="M359" s="126">
        <v>0</v>
      </c>
      <c r="N359" s="126">
        <v>0</v>
      </c>
      <c r="O359" s="126">
        <v>0</v>
      </c>
      <c r="P359" s="126">
        <v>0</v>
      </c>
      <c r="Q359" s="126">
        <v>0</v>
      </c>
      <c r="R359" s="126">
        <v>0</v>
      </c>
    </row>
    <row r="360" spans="3:18" ht="23.1" customHeight="1">
      <c r="C360" s="126">
        <v>142</v>
      </c>
      <c r="D360" s="141" t="s">
        <v>798</v>
      </c>
      <c r="E360" s="159" t="s">
        <v>799</v>
      </c>
      <c r="F360" s="127">
        <v>1</v>
      </c>
      <c r="I360" s="162">
        <v>46202</v>
      </c>
      <c r="J360" s="126">
        <v>0</v>
      </c>
      <c r="K360" s="126">
        <v>1</v>
      </c>
      <c r="L360" s="126">
        <v>0</v>
      </c>
      <c r="M360" s="126">
        <v>0</v>
      </c>
      <c r="N360" s="126">
        <v>0</v>
      </c>
      <c r="O360" s="126">
        <v>0</v>
      </c>
      <c r="P360" s="126">
        <v>0</v>
      </c>
      <c r="Q360" s="126">
        <v>0</v>
      </c>
      <c r="R360" s="126">
        <v>0</v>
      </c>
    </row>
    <row r="361" spans="3:18" ht="23.1" customHeight="1">
      <c r="C361" s="126">
        <v>187</v>
      </c>
      <c r="D361" s="141" t="s">
        <v>576</v>
      </c>
      <c r="E361" s="159" t="s">
        <v>577</v>
      </c>
      <c r="F361" s="127">
        <v>1</v>
      </c>
      <c r="I361" s="162">
        <v>46202</v>
      </c>
      <c r="J361" s="126">
        <v>0</v>
      </c>
      <c r="K361" s="126">
        <v>16</v>
      </c>
      <c r="L361" s="126">
        <v>0</v>
      </c>
      <c r="M361" s="126">
        <v>0</v>
      </c>
      <c r="N361" s="126">
        <v>0</v>
      </c>
      <c r="O361" s="126">
        <v>0</v>
      </c>
      <c r="P361" s="126">
        <v>0</v>
      </c>
      <c r="Q361" s="126">
        <v>0</v>
      </c>
      <c r="R361" s="126">
        <v>0</v>
      </c>
    </row>
    <row r="362" spans="3:18" ht="23.1" customHeight="1">
      <c r="C362" s="126">
        <v>145</v>
      </c>
      <c r="D362" s="141" t="s">
        <v>823</v>
      </c>
      <c r="E362" s="159" t="s">
        <v>824</v>
      </c>
      <c r="F362" s="127">
        <v>1</v>
      </c>
      <c r="I362" s="162">
        <v>46202</v>
      </c>
      <c r="J362" s="126">
        <v>0</v>
      </c>
      <c r="K362" s="126">
        <v>8</v>
      </c>
      <c r="L362" s="126">
        <v>0</v>
      </c>
      <c r="M362" s="126">
        <v>0</v>
      </c>
      <c r="N362" s="126">
        <v>0</v>
      </c>
      <c r="O362" s="126">
        <v>0</v>
      </c>
      <c r="P362" s="126">
        <v>0</v>
      </c>
      <c r="Q362" s="126">
        <v>0</v>
      </c>
      <c r="R362" s="126">
        <v>0</v>
      </c>
    </row>
    <row r="363" spans="3:18" ht="23.1" customHeight="1">
      <c r="C363" s="126">
        <v>144</v>
      </c>
      <c r="D363" s="141" t="s">
        <v>996</v>
      </c>
      <c r="E363" s="159" t="s">
        <v>997</v>
      </c>
      <c r="F363" s="127">
        <v>1</v>
      </c>
      <c r="I363" s="162">
        <v>46202</v>
      </c>
      <c r="J363" s="126">
        <v>0</v>
      </c>
      <c r="K363" s="126">
        <v>1</v>
      </c>
      <c r="L363" s="126">
        <v>0</v>
      </c>
      <c r="M363" s="126">
        <v>0</v>
      </c>
      <c r="N363" s="126">
        <v>0</v>
      </c>
      <c r="O363" s="126">
        <v>0</v>
      </c>
      <c r="P363" s="126">
        <v>0</v>
      </c>
      <c r="Q363" s="126">
        <v>0</v>
      </c>
      <c r="R363" s="126">
        <v>0</v>
      </c>
    </row>
    <row r="364" spans="3:18" ht="23.1" customHeight="1">
      <c r="C364" s="126">
        <v>8</v>
      </c>
      <c r="D364" s="141" t="s">
        <v>1125</v>
      </c>
      <c r="E364" s="159" t="s">
        <v>1126</v>
      </c>
      <c r="F364" s="127">
        <v>1</v>
      </c>
      <c r="I364" s="162">
        <v>46202</v>
      </c>
      <c r="J364" s="126">
        <v>0</v>
      </c>
      <c r="K364" s="126">
        <v>1</v>
      </c>
      <c r="L364" s="126">
        <v>0</v>
      </c>
      <c r="M364" s="126">
        <v>0</v>
      </c>
      <c r="N364" s="126">
        <v>0</v>
      </c>
      <c r="O364" s="126">
        <v>0</v>
      </c>
      <c r="P364" s="126">
        <v>0</v>
      </c>
      <c r="Q364" s="126">
        <v>0</v>
      </c>
      <c r="R364" s="126">
        <v>0</v>
      </c>
    </row>
    <row r="365" spans="3:18" ht="23.1" customHeight="1">
      <c r="C365" s="126">
        <v>1</v>
      </c>
      <c r="D365" s="141" t="s">
        <v>677</v>
      </c>
      <c r="E365" s="159" t="s">
        <v>678</v>
      </c>
      <c r="F365" s="127">
        <v>1</v>
      </c>
      <c r="I365" s="162">
        <v>46203</v>
      </c>
      <c r="J365" s="126">
        <v>0</v>
      </c>
      <c r="K365" s="126">
        <v>1</v>
      </c>
      <c r="L365" s="126">
        <v>0</v>
      </c>
      <c r="M365" s="126">
        <v>0</v>
      </c>
      <c r="N365" s="126">
        <v>0</v>
      </c>
      <c r="O365" s="126">
        <v>0</v>
      </c>
      <c r="P365" s="126">
        <v>0</v>
      </c>
      <c r="Q365" s="126">
        <v>0</v>
      </c>
      <c r="R365" s="126">
        <v>0</v>
      </c>
    </row>
    <row r="366" spans="3:18" ht="23.1" customHeight="1">
      <c r="C366" s="126">
        <v>174</v>
      </c>
      <c r="D366" s="141" t="s">
        <v>2096</v>
      </c>
      <c r="E366" s="159" t="s">
        <v>2097</v>
      </c>
      <c r="F366" s="127">
        <v>1</v>
      </c>
      <c r="I366" s="162">
        <v>46203</v>
      </c>
      <c r="J366" s="126">
        <v>0</v>
      </c>
      <c r="K366" s="126">
        <v>2</v>
      </c>
      <c r="L366" s="126">
        <v>0</v>
      </c>
      <c r="M366" s="126">
        <v>0</v>
      </c>
      <c r="N366" s="126">
        <v>0</v>
      </c>
      <c r="O366" s="126">
        <v>0</v>
      </c>
      <c r="P366" s="126">
        <v>0</v>
      </c>
      <c r="Q366" s="126">
        <v>0</v>
      </c>
      <c r="R366" s="126">
        <v>0</v>
      </c>
    </row>
    <row r="367" spans="3:18" ht="23.1" customHeight="1">
      <c r="C367" s="126">
        <v>168</v>
      </c>
      <c r="D367" s="141" t="s">
        <v>2101</v>
      </c>
      <c r="E367" s="159" t="s">
        <v>2102</v>
      </c>
      <c r="F367" s="127">
        <v>1</v>
      </c>
      <c r="I367" s="162">
        <v>46203</v>
      </c>
      <c r="J367" s="126">
        <v>0</v>
      </c>
      <c r="K367" s="126">
        <v>2</v>
      </c>
      <c r="L367" s="126">
        <v>0</v>
      </c>
      <c r="M367" s="126">
        <v>0</v>
      </c>
      <c r="N367" s="126">
        <v>0</v>
      </c>
      <c r="O367" s="126">
        <v>0</v>
      </c>
      <c r="P367" s="126">
        <v>0</v>
      </c>
      <c r="Q367" s="126">
        <v>0</v>
      </c>
      <c r="R367" s="126">
        <v>0</v>
      </c>
    </row>
    <row r="368" spans="3:18" ht="23.1" customHeight="1">
      <c r="C368" s="126">
        <v>172</v>
      </c>
      <c r="D368" s="141" t="s">
        <v>2106</v>
      </c>
      <c r="E368" s="159" t="s">
        <v>2107</v>
      </c>
      <c r="F368" s="127">
        <v>1</v>
      </c>
      <c r="I368" s="162">
        <v>46203</v>
      </c>
      <c r="J368" s="126">
        <v>0</v>
      </c>
      <c r="K368" s="126">
        <v>2</v>
      </c>
      <c r="L368" s="126">
        <v>0</v>
      </c>
      <c r="M368" s="126">
        <v>0</v>
      </c>
      <c r="N368" s="126">
        <v>0</v>
      </c>
      <c r="O368" s="126">
        <v>0</v>
      </c>
      <c r="P368" s="126">
        <v>0</v>
      </c>
      <c r="Q368" s="126">
        <v>0</v>
      </c>
      <c r="R368" s="126">
        <v>0</v>
      </c>
    </row>
    <row r="369" spans="3:18" ht="23.1" customHeight="1">
      <c r="C369" s="126">
        <v>10</v>
      </c>
      <c r="D369" s="141" t="s">
        <v>586</v>
      </c>
      <c r="E369" s="159" t="s">
        <v>587</v>
      </c>
      <c r="F369" s="127">
        <v>1</v>
      </c>
      <c r="I369" s="162">
        <v>46203</v>
      </c>
      <c r="J369" s="126">
        <v>0</v>
      </c>
      <c r="K369" s="126">
        <v>2</v>
      </c>
      <c r="L369" s="126">
        <v>0</v>
      </c>
      <c r="M369" s="126">
        <v>0</v>
      </c>
      <c r="N369" s="126">
        <v>0</v>
      </c>
      <c r="O369" s="126">
        <v>0</v>
      </c>
      <c r="P369" s="126">
        <v>0</v>
      </c>
      <c r="Q369" s="126">
        <v>0</v>
      </c>
      <c r="R369" s="126">
        <v>0</v>
      </c>
    </row>
    <row r="370" spans="3:18" ht="23.1" customHeight="1">
      <c r="C370" s="126">
        <v>189</v>
      </c>
      <c r="D370" s="141" t="s">
        <v>778</v>
      </c>
      <c r="E370" s="159" t="s">
        <v>779</v>
      </c>
      <c r="F370" s="127">
        <v>1</v>
      </c>
      <c r="I370" s="162">
        <v>46203</v>
      </c>
      <c r="J370" s="126">
        <v>0</v>
      </c>
      <c r="K370" s="126">
        <v>20</v>
      </c>
      <c r="L370" s="126">
        <v>0</v>
      </c>
      <c r="M370" s="126">
        <v>0</v>
      </c>
      <c r="N370" s="126">
        <v>0</v>
      </c>
      <c r="O370" s="126">
        <v>0</v>
      </c>
      <c r="P370" s="126">
        <v>0</v>
      </c>
      <c r="Q370" s="126">
        <v>0</v>
      </c>
      <c r="R370" s="126">
        <v>0</v>
      </c>
    </row>
    <row r="371" spans="3:18" ht="23.1" customHeight="1">
      <c r="C371" s="126">
        <v>183</v>
      </c>
      <c r="D371" s="141" t="s">
        <v>766</v>
      </c>
      <c r="E371" s="159" t="s">
        <v>767</v>
      </c>
      <c r="F371" s="127">
        <v>1</v>
      </c>
      <c r="I371" s="162">
        <v>46203</v>
      </c>
      <c r="J371" s="126">
        <v>0</v>
      </c>
      <c r="K371" s="126">
        <v>24</v>
      </c>
      <c r="L371" s="126">
        <v>0</v>
      </c>
      <c r="M371" s="126">
        <v>0</v>
      </c>
      <c r="N371" s="126">
        <v>0</v>
      </c>
      <c r="O371" s="126">
        <v>0</v>
      </c>
      <c r="P371" s="126">
        <v>0</v>
      </c>
      <c r="Q371" s="126">
        <v>0</v>
      </c>
      <c r="R371" s="126">
        <v>0</v>
      </c>
    </row>
    <row r="372" spans="3:18" ht="23.1" customHeight="1">
      <c r="C372" s="126">
        <v>136</v>
      </c>
      <c r="D372" s="141" t="s">
        <v>2122</v>
      </c>
      <c r="E372" s="159" t="s">
        <v>2123</v>
      </c>
      <c r="F372" s="127">
        <v>1</v>
      </c>
      <c r="I372" s="162">
        <v>46203</v>
      </c>
      <c r="J372" s="126">
        <v>0</v>
      </c>
      <c r="K372" s="126">
        <v>2</v>
      </c>
      <c r="L372" s="126">
        <v>0</v>
      </c>
      <c r="M372" s="126">
        <v>0</v>
      </c>
      <c r="N372" s="126">
        <v>0</v>
      </c>
      <c r="O372" s="126">
        <v>0</v>
      </c>
      <c r="P372" s="126">
        <v>0</v>
      </c>
      <c r="Q372" s="126">
        <v>0</v>
      </c>
      <c r="R372" s="126">
        <v>0</v>
      </c>
    </row>
    <row r="373" spans="3:18" ht="23.1" customHeight="1">
      <c r="C373" s="126">
        <v>142</v>
      </c>
      <c r="D373" s="141" t="s">
        <v>798</v>
      </c>
      <c r="E373" s="159" t="s">
        <v>799</v>
      </c>
      <c r="F373" s="127">
        <v>1</v>
      </c>
      <c r="I373" s="162">
        <v>46203</v>
      </c>
      <c r="J373" s="126">
        <v>0</v>
      </c>
      <c r="K373" s="126">
        <v>1</v>
      </c>
      <c r="L373" s="126">
        <v>0</v>
      </c>
      <c r="M373" s="126">
        <v>0</v>
      </c>
      <c r="N373" s="126">
        <v>0</v>
      </c>
      <c r="O373" s="126">
        <v>0</v>
      </c>
      <c r="P373" s="126">
        <v>0</v>
      </c>
      <c r="Q373" s="126">
        <v>0</v>
      </c>
      <c r="R373" s="126">
        <v>0</v>
      </c>
    </row>
    <row r="374" spans="3:18" ht="23.1" customHeight="1">
      <c r="C374" s="126">
        <v>53</v>
      </c>
      <c r="D374" s="141" t="s">
        <v>1211</v>
      </c>
      <c r="E374" s="159" t="s">
        <v>1212</v>
      </c>
      <c r="F374" s="127">
        <v>1</v>
      </c>
      <c r="I374" s="162">
        <v>46203</v>
      </c>
      <c r="J374" s="126">
        <v>0</v>
      </c>
      <c r="K374" s="126">
        <v>1</v>
      </c>
      <c r="L374" s="126">
        <v>0</v>
      </c>
      <c r="M374" s="126">
        <v>0</v>
      </c>
      <c r="N374" s="126">
        <v>0</v>
      </c>
      <c r="O374" s="126">
        <v>0</v>
      </c>
      <c r="P374" s="126">
        <v>0</v>
      </c>
      <c r="Q374" s="126">
        <v>0</v>
      </c>
      <c r="R374" s="126">
        <v>0</v>
      </c>
    </row>
    <row r="375" spans="3:18" ht="23.1" customHeight="1">
      <c r="C375" s="126">
        <v>50</v>
      </c>
      <c r="D375" s="141" t="s">
        <v>803</v>
      </c>
      <c r="E375" s="159" t="s">
        <v>804</v>
      </c>
      <c r="F375" s="127">
        <v>1</v>
      </c>
      <c r="I375" s="162">
        <v>46203</v>
      </c>
      <c r="J375" s="126">
        <v>0</v>
      </c>
      <c r="K375" s="126">
        <v>2</v>
      </c>
      <c r="L375" s="126">
        <v>0</v>
      </c>
      <c r="M375" s="126">
        <v>0</v>
      </c>
      <c r="N375" s="126">
        <v>0</v>
      </c>
      <c r="O375" s="126">
        <v>0</v>
      </c>
      <c r="P375" s="126">
        <v>0</v>
      </c>
      <c r="Q375" s="126">
        <v>0</v>
      </c>
      <c r="R375" s="126">
        <v>0</v>
      </c>
    </row>
    <row r="376" spans="3:18" ht="23.1" customHeight="1">
      <c r="C376" s="126">
        <v>56</v>
      </c>
      <c r="D376" s="141" t="s">
        <v>1203</v>
      </c>
      <c r="E376" s="159" t="s">
        <v>1204</v>
      </c>
      <c r="F376" s="127">
        <v>1</v>
      </c>
      <c r="I376" s="162">
        <v>46203</v>
      </c>
      <c r="J376" s="126">
        <v>0</v>
      </c>
      <c r="K376" s="126">
        <v>2</v>
      </c>
      <c r="L376" s="126">
        <v>0</v>
      </c>
      <c r="M376" s="126">
        <v>0</v>
      </c>
      <c r="N376" s="126">
        <v>0</v>
      </c>
      <c r="O376" s="126">
        <v>0</v>
      </c>
      <c r="P376" s="126">
        <v>0</v>
      </c>
      <c r="Q376" s="126">
        <v>0</v>
      </c>
      <c r="R376" s="126">
        <v>0</v>
      </c>
    </row>
    <row r="377" spans="3:18" ht="23.1" customHeight="1">
      <c r="C377" s="126">
        <v>34</v>
      </c>
      <c r="D377" s="141" t="s">
        <v>1193</v>
      </c>
      <c r="E377" s="159" t="s">
        <v>1194</v>
      </c>
      <c r="F377" s="127">
        <v>1</v>
      </c>
      <c r="I377" s="162">
        <v>46203</v>
      </c>
      <c r="J377" s="126">
        <v>0</v>
      </c>
      <c r="K377" s="126">
        <v>1</v>
      </c>
      <c r="L377" s="126">
        <v>0</v>
      </c>
      <c r="M377" s="126">
        <v>0</v>
      </c>
      <c r="N377" s="126">
        <v>0</v>
      </c>
      <c r="O377" s="126">
        <v>0</v>
      </c>
      <c r="P377" s="126">
        <v>0</v>
      </c>
      <c r="Q377" s="126">
        <v>0</v>
      </c>
      <c r="R377" s="126">
        <v>0</v>
      </c>
    </row>
    <row r="378" spans="3:18" ht="23.1" customHeight="1">
      <c r="C378" s="126">
        <v>7</v>
      </c>
      <c r="D378" s="141" t="s">
        <v>818</v>
      </c>
      <c r="E378" s="159" t="s">
        <v>819</v>
      </c>
      <c r="F378" s="127">
        <v>1</v>
      </c>
      <c r="I378" s="162">
        <v>46174</v>
      </c>
      <c r="J378" s="126">
        <v>0</v>
      </c>
      <c r="K378" s="126">
        <v>0</v>
      </c>
      <c r="L378" s="126">
        <v>0</v>
      </c>
      <c r="M378" s="126">
        <v>18</v>
      </c>
      <c r="N378" s="126">
        <v>0</v>
      </c>
      <c r="O378" s="126">
        <v>0</v>
      </c>
      <c r="P378" s="126">
        <v>0</v>
      </c>
      <c r="Q378" s="126">
        <v>0</v>
      </c>
      <c r="R378" s="126">
        <v>0</v>
      </c>
    </row>
    <row r="379" spans="3:18" ht="23.1" customHeight="1">
      <c r="C379" s="126">
        <v>8</v>
      </c>
      <c r="D379" s="141" t="s">
        <v>1125</v>
      </c>
      <c r="E379" s="159" t="s">
        <v>1126</v>
      </c>
      <c r="F379" s="127">
        <v>1</v>
      </c>
      <c r="I379" s="162">
        <v>46174</v>
      </c>
      <c r="J379" s="126">
        <v>0</v>
      </c>
      <c r="K379" s="126">
        <v>0</v>
      </c>
      <c r="L379" s="126">
        <v>0</v>
      </c>
      <c r="M379" s="126">
        <v>14</v>
      </c>
      <c r="N379" s="126">
        <v>0</v>
      </c>
      <c r="O379" s="126">
        <v>0</v>
      </c>
      <c r="P379" s="126">
        <v>0</v>
      </c>
      <c r="Q379" s="126">
        <v>0</v>
      </c>
      <c r="R379" s="126">
        <v>0</v>
      </c>
    </row>
    <row r="380" spans="3:18" ht="23.1" customHeight="1">
      <c r="C380" s="126">
        <v>9</v>
      </c>
      <c r="D380" s="141" t="s">
        <v>1813</v>
      </c>
      <c r="E380" s="159" t="s">
        <v>1814</v>
      </c>
      <c r="F380" s="127">
        <v>1</v>
      </c>
      <c r="I380" s="162">
        <v>46174</v>
      </c>
      <c r="J380" s="126">
        <v>0</v>
      </c>
      <c r="K380" s="126">
        <v>0</v>
      </c>
      <c r="L380" s="126">
        <v>0</v>
      </c>
      <c r="M380" s="126">
        <v>36</v>
      </c>
      <c r="N380" s="126">
        <v>0</v>
      </c>
      <c r="O380" s="126">
        <v>0</v>
      </c>
      <c r="P380" s="126">
        <v>0</v>
      </c>
      <c r="Q380" s="126">
        <v>0</v>
      </c>
      <c r="R380" s="126">
        <v>0</v>
      </c>
    </row>
    <row r="381" spans="3:18" ht="23.1" customHeight="1">
      <c r="C381" s="126">
        <v>11</v>
      </c>
      <c r="D381" s="141" t="s">
        <v>690</v>
      </c>
      <c r="E381" s="159" t="s">
        <v>691</v>
      </c>
      <c r="F381" s="127">
        <v>1</v>
      </c>
      <c r="I381" s="162">
        <v>46174</v>
      </c>
      <c r="J381" s="126">
        <v>0</v>
      </c>
      <c r="K381" s="126">
        <v>0</v>
      </c>
      <c r="L381" s="126">
        <v>0</v>
      </c>
      <c r="M381" s="126">
        <v>6</v>
      </c>
      <c r="N381" s="126">
        <v>0</v>
      </c>
      <c r="O381" s="126">
        <v>0</v>
      </c>
      <c r="P381" s="126">
        <v>0</v>
      </c>
      <c r="Q381" s="126">
        <v>0</v>
      </c>
      <c r="R381" s="126">
        <v>0</v>
      </c>
    </row>
    <row r="382" spans="3:18" ht="23.1" customHeight="1">
      <c r="C382" s="126">
        <v>16</v>
      </c>
      <c r="D382" s="141" t="s">
        <v>699</v>
      </c>
      <c r="E382" s="159" t="s">
        <v>700</v>
      </c>
      <c r="F382" s="127">
        <v>1</v>
      </c>
      <c r="I382" s="162">
        <v>46174</v>
      </c>
      <c r="J382" s="126">
        <v>0</v>
      </c>
      <c r="K382" s="126">
        <v>0</v>
      </c>
      <c r="L382" s="126">
        <v>0</v>
      </c>
      <c r="M382" s="126">
        <v>30</v>
      </c>
      <c r="N382" s="126">
        <v>0</v>
      </c>
      <c r="O382" s="126">
        <v>0</v>
      </c>
      <c r="P382" s="126">
        <v>0</v>
      </c>
      <c r="Q382" s="126">
        <v>0</v>
      </c>
      <c r="R382" s="126">
        <v>0</v>
      </c>
    </row>
    <row r="383" spans="3:18" ht="23.1" customHeight="1">
      <c r="C383" s="126">
        <v>18</v>
      </c>
      <c r="D383" s="141" t="s">
        <v>703</v>
      </c>
      <c r="E383" s="159" t="s">
        <v>704</v>
      </c>
      <c r="F383" s="127">
        <v>1</v>
      </c>
      <c r="I383" s="162">
        <v>46174</v>
      </c>
      <c r="J383" s="126">
        <v>0</v>
      </c>
      <c r="K383" s="126">
        <v>0</v>
      </c>
      <c r="L383" s="126">
        <v>0</v>
      </c>
      <c r="M383" s="126">
        <v>2</v>
      </c>
      <c r="N383" s="126">
        <v>0</v>
      </c>
      <c r="O383" s="126">
        <v>0</v>
      </c>
      <c r="P383" s="126">
        <v>0</v>
      </c>
      <c r="Q383" s="126">
        <v>0</v>
      </c>
      <c r="R383" s="126">
        <v>0</v>
      </c>
    </row>
    <row r="384" spans="3:18" ht="23.1" customHeight="1">
      <c r="C384" s="126">
        <v>20</v>
      </c>
      <c r="D384" s="141" t="s">
        <v>709</v>
      </c>
      <c r="E384" s="159" t="s">
        <v>710</v>
      </c>
      <c r="F384" s="127">
        <v>1</v>
      </c>
      <c r="I384" s="162">
        <v>46174</v>
      </c>
      <c r="J384" s="126">
        <v>0</v>
      </c>
      <c r="K384" s="126">
        <v>0</v>
      </c>
      <c r="L384" s="126">
        <v>0</v>
      </c>
      <c r="M384" s="126">
        <v>14</v>
      </c>
      <c r="N384" s="126">
        <v>0</v>
      </c>
      <c r="O384" s="126">
        <v>0</v>
      </c>
      <c r="P384" s="126">
        <v>0</v>
      </c>
      <c r="Q384" s="126">
        <v>0</v>
      </c>
      <c r="R384" s="126">
        <v>0</v>
      </c>
    </row>
    <row r="385" spans="3:18" ht="23.1" customHeight="1">
      <c r="C385" s="126">
        <v>25</v>
      </c>
      <c r="D385" s="141" t="s">
        <v>1295</v>
      </c>
      <c r="E385" s="159" t="s">
        <v>1296</v>
      </c>
      <c r="F385" s="127">
        <v>1</v>
      </c>
      <c r="I385" s="162">
        <v>46174</v>
      </c>
      <c r="J385" s="126">
        <v>0</v>
      </c>
      <c r="K385" s="126">
        <v>0</v>
      </c>
      <c r="L385" s="126">
        <v>0</v>
      </c>
      <c r="M385" s="126">
        <v>2</v>
      </c>
      <c r="N385" s="126">
        <v>0</v>
      </c>
      <c r="O385" s="126">
        <v>0</v>
      </c>
      <c r="P385" s="126">
        <v>0</v>
      </c>
      <c r="Q385" s="126">
        <v>0</v>
      </c>
      <c r="R385" s="126">
        <v>0</v>
      </c>
    </row>
    <row r="386" spans="3:18" ht="23.1" customHeight="1">
      <c r="C386" s="126">
        <v>29</v>
      </c>
      <c r="D386" s="141" t="s">
        <v>1523</v>
      </c>
      <c r="E386" s="159" t="s">
        <v>1524</v>
      </c>
      <c r="F386" s="127">
        <v>1</v>
      </c>
      <c r="I386" s="162">
        <v>46174</v>
      </c>
      <c r="J386" s="126">
        <v>0</v>
      </c>
      <c r="K386" s="126">
        <v>0</v>
      </c>
      <c r="L386" s="126">
        <v>0</v>
      </c>
      <c r="M386" s="126">
        <v>24</v>
      </c>
      <c r="N386" s="126">
        <v>0</v>
      </c>
      <c r="O386" s="126">
        <v>0</v>
      </c>
      <c r="P386" s="126">
        <v>0</v>
      </c>
      <c r="Q386" s="126">
        <v>0</v>
      </c>
      <c r="R386" s="126">
        <v>0</v>
      </c>
    </row>
    <row r="387" spans="3:18" ht="23.1" customHeight="1">
      <c r="C387" s="126">
        <v>30</v>
      </c>
      <c r="D387" s="141" t="s">
        <v>1187</v>
      </c>
      <c r="E387" s="159" t="s">
        <v>1188</v>
      </c>
      <c r="F387" s="127">
        <v>1</v>
      </c>
      <c r="I387" s="162">
        <v>46174</v>
      </c>
      <c r="J387" s="126">
        <v>0</v>
      </c>
      <c r="K387" s="126">
        <v>0</v>
      </c>
      <c r="L387" s="126">
        <v>0</v>
      </c>
      <c r="M387" s="126">
        <v>6</v>
      </c>
      <c r="N387" s="126">
        <v>0</v>
      </c>
      <c r="O387" s="126">
        <v>0</v>
      </c>
      <c r="P387" s="126">
        <v>0</v>
      </c>
      <c r="Q387" s="126">
        <v>0</v>
      </c>
      <c r="R387" s="126">
        <v>0</v>
      </c>
    </row>
    <row r="388" spans="3:18" ht="23.1" customHeight="1">
      <c r="C388" s="126">
        <v>32</v>
      </c>
      <c r="D388" s="141" t="s">
        <v>1748</v>
      </c>
      <c r="E388" s="159" t="s">
        <v>1749</v>
      </c>
      <c r="F388" s="127">
        <v>1</v>
      </c>
      <c r="I388" s="162">
        <v>46174</v>
      </c>
      <c r="J388" s="126">
        <v>0</v>
      </c>
      <c r="K388" s="126">
        <v>0</v>
      </c>
      <c r="L388" s="126">
        <v>0</v>
      </c>
      <c r="M388" s="126">
        <v>4</v>
      </c>
      <c r="N388" s="126">
        <v>0</v>
      </c>
      <c r="O388" s="126">
        <v>0</v>
      </c>
      <c r="P388" s="126">
        <v>0</v>
      </c>
      <c r="Q388" s="126">
        <v>0</v>
      </c>
      <c r="R388" s="126">
        <v>0</v>
      </c>
    </row>
    <row r="389" spans="3:18" ht="23.1" customHeight="1">
      <c r="C389" s="126">
        <v>33</v>
      </c>
      <c r="D389" s="141" t="s">
        <v>1198</v>
      </c>
      <c r="E389" s="159" t="s">
        <v>1199</v>
      </c>
      <c r="F389" s="127">
        <v>1</v>
      </c>
      <c r="I389" s="162">
        <v>46174</v>
      </c>
      <c r="J389" s="126">
        <v>0</v>
      </c>
      <c r="K389" s="126">
        <v>0</v>
      </c>
      <c r="L389" s="126">
        <v>0</v>
      </c>
      <c r="M389" s="126">
        <v>2</v>
      </c>
      <c r="N389" s="126">
        <v>0</v>
      </c>
      <c r="O389" s="126">
        <v>0</v>
      </c>
      <c r="P389" s="126">
        <v>0</v>
      </c>
      <c r="Q389" s="126">
        <v>0</v>
      </c>
      <c r="R389" s="126">
        <v>0</v>
      </c>
    </row>
    <row r="390" spans="3:18" ht="23.1" customHeight="1">
      <c r="C390" s="126">
        <v>34</v>
      </c>
      <c r="D390" s="141" t="s">
        <v>1193</v>
      </c>
      <c r="E390" s="159" t="s">
        <v>1194</v>
      </c>
      <c r="F390" s="127">
        <v>1</v>
      </c>
      <c r="I390" s="162">
        <v>46174</v>
      </c>
      <c r="J390" s="126">
        <v>0</v>
      </c>
      <c r="K390" s="126">
        <v>0</v>
      </c>
      <c r="L390" s="126">
        <v>0</v>
      </c>
      <c r="M390" s="126">
        <v>20</v>
      </c>
      <c r="N390" s="126">
        <v>0</v>
      </c>
      <c r="O390" s="126">
        <v>0</v>
      </c>
      <c r="P390" s="126">
        <v>0</v>
      </c>
      <c r="Q390" s="126">
        <v>0</v>
      </c>
      <c r="R390" s="126">
        <v>0</v>
      </c>
    </row>
    <row r="391" spans="3:18" ht="23.1" customHeight="1">
      <c r="C391" s="126">
        <v>37</v>
      </c>
      <c r="D391" s="141" t="s">
        <v>1515</v>
      </c>
      <c r="E391" s="159" t="s">
        <v>1516</v>
      </c>
      <c r="F391" s="127">
        <v>1</v>
      </c>
      <c r="I391" s="162">
        <v>46174</v>
      </c>
      <c r="J391" s="126">
        <v>0</v>
      </c>
      <c r="K391" s="126">
        <v>0</v>
      </c>
      <c r="L391" s="126">
        <v>0</v>
      </c>
      <c r="M391" s="126">
        <v>4</v>
      </c>
      <c r="N391" s="126">
        <v>0</v>
      </c>
      <c r="O391" s="126">
        <v>0</v>
      </c>
      <c r="P391" s="126">
        <v>0</v>
      </c>
      <c r="Q391" s="126">
        <v>0</v>
      </c>
      <c r="R391" s="126">
        <v>0</v>
      </c>
    </row>
    <row r="392" spans="3:18" ht="23.1" customHeight="1">
      <c r="C392" s="126">
        <v>38</v>
      </c>
      <c r="D392" s="141" t="s">
        <v>1113</v>
      </c>
      <c r="E392" s="159" t="s">
        <v>1114</v>
      </c>
      <c r="F392" s="127">
        <v>1</v>
      </c>
      <c r="I392" s="162">
        <v>46174</v>
      </c>
      <c r="J392" s="126">
        <v>0</v>
      </c>
      <c r="K392" s="126">
        <v>0</v>
      </c>
      <c r="L392" s="126">
        <v>0</v>
      </c>
      <c r="M392" s="126">
        <v>4</v>
      </c>
      <c r="N392" s="126">
        <v>0</v>
      </c>
      <c r="O392" s="126">
        <v>0</v>
      </c>
      <c r="P392" s="126">
        <v>0</v>
      </c>
      <c r="Q392" s="126">
        <v>0</v>
      </c>
      <c r="R392" s="126">
        <v>0</v>
      </c>
    </row>
    <row r="393" spans="3:18" ht="23.1" customHeight="1">
      <c r="C393" s="126">
        <v>39</v>
      </c>
      <c r="D393" s="141" t="s">
        <v>1144</v>
      </c>
      <c r="E393" s="159" t="s">
        <v>1145</v>
      </c>
      <c r="F393" s="127">
        <v>1</v>
      </c>
      <c r="I393" s="162">
        <v>46174</v>
      </c>
      <c r="J393" s="126">
        <v>0</v>
      </c>
      <c r="K393" s="126">
        <v>0</v>
      </c>
      <c r="L393" s="126">
        <v>0</v>
      </c>
      <c r="M393" s="126">
        <v>6</v>
      </c>
      <c r="N393" s="126">
        <v>0</v>
      </c>
      <c r="O393" s="126">
        <v>0</v>
      </c>
      <c r="P393" s="126">
        <v>0</v>
      </c>
      <c r="Q393" s="126">
        <v>0</v>
      </c>
      <c r="R393" s="126">
        <v>0</v>
      </c>
    </row>
    <row r="394" spans="3:18" ht="23.1" customHeight="1">
      <c r="C394" s="126">
        <v>40</v>
      </c>
      <c r="D394" s="141" t="s">
        <v>1108</v>
      </c>
      <c r="E394" s="159" t="s">
        <v>1109</v>
      </c>
      <c r="F394" s="127">
        <v>1</v>
      </c>
      <c r="I394" s="162">
        <v>46174</v>
      </c>
      <c r="J394" s="126">
        <v>0</v>
      </c>
      <c r="K394" s="126">
        <v>0</v>
      </c>
      <c r="L394" s="126">
        <v>0</v>
      </c>
      <c r="M394" s="126">
        <v>4</v>
      </c>
      <c r="N394" s="126">
        <v>0</v>
      </c>
      <c r="O394" s="126">
        <v>0</v>
      </c>
      <c r="P394" s="126">
        <v>0</v>
      </c>
      <c r="Q394" s="126">
        <v>0</v>
      </c>
      <c r="R394" s="126">
        <v>0</v>
      </c>
    </row>
    <row r="395" spans="3:18" ht="23.1" customHeight="1">
      <c r="C395" s="126">
        <v>41</v>
      </c>
      <c r="D395" s="141" t="s">
        <v>808</v>
      </c>
      <c r="E395" s="159" t="s">
        <v>809</v>
      </c>
      <c r="F395" s="127">
        <v>1</v>
      </c>
      <c r="I395" s="162">
        <v>46174</v>
      </c>
      <c r="J395" s="126">
        <v>0</v>
      </c>
      <c r="K395" s="126">
        <v>0</v>
      </c>
      <c r="L395" s="126">
        <v>0</v>
      </c>
      <c r="M395" s="126">
        <v>16</v>
      </c>
      <c r="N395" s="126">
        <v>0</v>
      </c>
      <c r="O395" s="126">
        <v>0</v>
      </c>
      <c r="P395" s="126">
        <v>0</v>
      </c>
      <c r="Q395" s="126">
        <v>0</v>
      </c>
      <c r="R395" s="126">
        <v>0</v>
      </c>
    </row>
    <row r="396" spans="3:18" ht="23.1" customHeight="1">
      <c r="C396" s="126">
        <v>42</v>
      </c>
      <c r="D396" s="141" t="s">
        <v>975</v>
      </c>
      <c r="E396" s="159" t="s">
        <v>976</v>
      </c>
      <c r="F396" s="127">
        <v>1</v>
      </c>
      <c r="I396" s="162">
        <v>46174</v>
      </c>
      <c r="J396" s="126">
        <v>0</v>
      </c>
      <c r="K396" s="126">
        <v>0</v>
      </c>
      <c r="L396" s="126">
        <v>0</v>
      </c>
      <c r="M396" s="126">
        <v>32</v>
      </c>
      <c r="N396" s="126">
        <v>0</v>
      </c>
      <c r="O396" s="126">
        <v>0</v>
      </c>
      <c r="P396" s="126">
        <v>0</v>
      </c>
      <c r="Q396" s="126">
        <v>0</v>
      </c>
      <c r="R396" s="126">
        <v>0</v>
      </c>
    </row>
    <row r="397" spans="3:18" ht="23.1" customHeight="1">
      <c r="C397" s="126">
        <v>44</v>
      </c>
      <c r="D397" s="141" t="s">
        <v>1229</v>
      </c>
      <c r="E397" s="159" t="s">
        <v>1230</v>
      </c>
      <c r="F397" s="127">
        <v>1</v>
      </c>
      <c r="I397" s="162">
        <v>46174</v>
      </c>
      <c r="J397" s="126">
        <v>0</v>
      </c>
      <c r="K397" s="126">
        <v>0</v>
      </c>
      <c r="L397" s="126">
        <v>0</v>
      </c>
      <c r="M397" s="126">
        <v>8</v>
      </c>
      <c r="N397" s="126">
        <v>0</v>
      </c>
      <c r="O397" s="126">
        <v>0</v>
      </c>
      <c r="P397" s="126">
        <v>0</v>
      </c>
      <c r="Q397" s="126">
        <v>0</v>
      </c>
      <c r="R397" s="126">
        <v>0</v>
      </c>
    </row>
    <row r="398" spans="3:18" ht="23.1" customHeight="1">
      <c r="C398" s="126">
        <v>45</v>
      </c>
      <c r="D398" s="141" t="s">
        <v>980</v>
      </c>
      <c r="E398" s="159" t="s">
        <v>981</v>
      </c>
      <c r="F398" s="127">
        <v>1</v>
      </c>
      <c r="I398" s="162">
        <v>46174</v>
      </c>
      <c r="J398" s="126">
        <v>0</v>
      </c>
      <c r="K398" s="126">
        <v>0</v>
      </c>
      <c r="L398" s="126">
        <v>0</v>
      </c>
      <c r="M398" s="126">
        <v>30</v>
      </c>
      <c r="N398" s="126">
        <v>0</v>
      </c>
      <c r="O398" s="126">
        <v>0</v>
      </c>
      <c r="P398" s="126">
        <v>0</v>
      </c>
      <c r="Q398" s="126">
        <v>0</v>
      </c>
      <c r="R398" s="126">
        <v>0</v>
      </c>
    </row>
    <row r="399" spans="3:18" ht="23.1" customHeight="1">
      <c r="C399" s="126">
        <v>46</v>
      </c>
      <c r="D399" s="141" t="s">
        <v>647</v>
      </c>
      <c r="E399" s="159" t="s">
        <v>648</v>
      </c>
      <c r="F399" s="127">
        <v>1</v>
      </c>
      <c r="I399" s="162">
        <v>46174</v>
      </c>
      <c r="J399" s="126">
        <v>0</v>
      </c>
      <c r="K399" s="126">
        <v>0</v>
      </c>
      <c r="L399" s="126">
        <v>0</v>
      </c>
      <c r="M399" s="126">
        <v>60</v>
      </c>
      <c r="N399" s="126">
        <v>0</v>
      </c>
      <c r="O399" s="126">
        <v>0</v>
      </c>
      <c r="P399" s="126">
        <v>0</v>
      </c>
      <c r="Q399" s="126">
        <v>0</v>
      </c>
      <c r="R399" s="126">
        <v>0</v>
      </c>
    </row>
    <row r="400" spans="3:18" ht="23.1" customHeight="1">
      <c r="C400" s="126">
        <v>49</v>
      </c>
      <c r="D400" s="141" t="s">
        <v>813</v>
      </c>
      <c r="E400" s="159" t="s">
        <v>814</v>
      </c>
      <c r="F400" s="127">
        <v>1</v>
      </c>
      <c r="I400" s="162">
        <v>46174</v>
      </c>
      <c r="J400" s="126">
        <v>0</v>
      </c>
      <c r="K400" s="126">
        <v>0</v>
      </c>
      <c r="L400" s="126">
        <v>0</v>
      </c>
      <c r="M400" s="126">
        <v>30</v>
      </c>
      <c r="N400" s="126">
        <v>0</v>
      </c>
      <c r="O400" s="126">
        <v>0</v>
      </c>
      <c r="P400" s="126">
        <v>0</v>
      </c>
      <c r="Q400" s="126">
        <v>0</v>
      </c>
      <c r="R400" s="126">
        <v>0</v>
      </c>
    </row>
    <row r="401" spans="3:18" ht="23.1" customHeight="1">
      <c r="C401" s="126">
        <v>50</v>
      </c>
      <c r="D401" s="141" t="s">
        <v>803</v>
      </c>
      <c r="E401" s="159" t="s">
        <v>804</v>
      </c>
      <c r="F401" s="127">
        <v>1</v>
      </c>
      <c r="I401" s="162">
        <v>46174</v>
      </c>
      <c r="J401" s="126">
        <v>0</v>
      </c>
      <c r="K401" s="126">
        <v>0</v>
      </c>
      <c r="L401" s="126">
        <v>0</v>
      </c>
      <c r="M401" s="126">
        <v>118</v>
      </c>
      <c r="N401" s="126">
        <v>0</v>
      </c>
      <c r="O401" s="126">
        <v>0</v>
      </c>
      <c r="P401" s="126">
        <v>0</v>
      </c>
      <c r="Q401" s="126">
        <v>0</v>
      </c>
      <c r="R401" s="126">
        <v>0</v>
      </c>
    </row>
    <row r="402" spans="3:18" ht="23.1" customHeight="1">
      <c r="C402" s="126">
        <v>51</v>
      </c>
      <c r="D402" s="141" t="s">
        <v>1339</v>
      </c>
      <c r="E402" s="159" t="s">
        <v>1340</v>
      </c>
      <c r="F402" s="127">
        <v>1</v>
      </c>
      <c r="I402" s="162">
        <v>46174</v>
      </c>
      <c r="J402" s="126">
        <v>0</v>
      </c>
      <c r="K402" s="126">
        <v>0</v>
      </c>
      <c r="L402" s="126">
        <v>0</v>
      </c>
      <c r="M402" s="126">
        <v>34</v>
      </c>
      <c r="N402" s="126">
        <v>0</v>
      </c>
      <c r="O402" s="126">
        <v>0</v>
      </c>
      <c r="P402" s="126">
        <v>0</v>
      </c>
      <c r="Q402" s="126">
        <v>0</v>
      </c>
      <c r="R402" s="126">
        <v>0</v>
      </c>
    </row>
    <row r="403" spans="3:18" ht="23.1" customHeight="1">
      <c r="C403" s="126">
        <v>52</v>
      </c>
      <c r="D403" s="141" t="s">
        <v>933</v>
      </c>
      <c r="E403" s="159" t="s">
        <v>934</v>
      </c>
      <c r="F403" s="127">
        <v>1</v>
      </c>
      <c r="I403" s="162">
        <v>46176</v>
      </c>
      <c r="J403" s="126">
        <v>0</v>
      </c>
      <c r="K403" s="126">
        <v>0</v>
      </c>
      <c r="L403" s="126">
        <v>0</v>
      </c>
      <c r="M403" s="126">
        <v>22</v>
      </c>
      <c r="N403" s="126">
        <v>0</v>
      </c>
      <c r="O403" s="126">
        <v>0</v>
      </c>
      <c r="P403" s="126">
        <v>0</v>
      </c>
      <c r="Q403" s="126">
        <v>0</v>
      </c>
      <c r="R403" s="126">
        <v>0</v>
      </c>
    </row>
    <row r="404" spans="3:18" ht="23.1" customHeight="1">
      <c r="C404" s="126">
        <v>53</v>
      </c>
      <c r="D404" s="141" t="s">
        <v>1211</v>
      </c>
      <c r="E404" s="159" t="s">
        <v>1212</v>
      </c>
      <c r="F404" s="127">
        <v>1</v>
      </c>
      <c r="I404" s="162">
        <v>46176</v>
      </c>
      <c r="J404" s="126">
        <v>0</v>
      </c>
      <c r="K404" s="126">
        <v>0</v>
      </c>
      <c r="L404" s="126">
        <v>0</v>
      </c>
      <c r="M404" s="126">
        <v>4</v>
      </c>
      <c r="N404" s="126">
        <v>0</v>
      </c>
      <c r="O404" s="126">
        <v>0</v>
      </c>
      <c r="P404" s="126">
        <v>0</v>
      </c>
      <c r="Q404" s="126">
        <v>0</v>
      </c>
      <c r="R404" s="126">
        <v>0</v>
      </c>
    </row>
    <row r="405" spans="3:18" ht="23.1" customHeight="1">
      <c r="C405" s="126">
        <v>54</v>
      </c>
      <c r="D405" s="141" t="s">
        <v>1743</v>
      </c>
      <c r="E405" s="159" t="s">
        <v>1744</v>
      </c>
      <c r="F405" s="127">
        <v>1</v>
      </c>
      <c r="I405" s="162">
        <v>46176</v>
      </c>
      <c r="J405" s="126">
        <v>0</v>
      </c>
      <c r="K405" s="126">
        <v>0</v>
      </c>
      <c r="L405" s="126">
        <v>0</v>
      </c>
      <c r="M405" s="126">
        <v>16</v>
      </c>
      <c r="N405" s="126">
        <v>0</v>
      </c>
      <c r="O405" s="126">
        <v>0</v>
      </c>
      <c r="P405" s="126">
        <v>0</v>
      </c>
      <c r="Q405" s="126">
        <v>0</v>
      </c>
      <c r="R405" s="126">
        <v>0</v>
      </c>
    </row>
    <row r="406" spans="3:18" ht="23.1" customHeight="1">
      <c r="C406" s="126">
        <v>56</v>
      </c>
      <c r="D406" s="141" t="s">
        <v>1203</v>
      </c>
      <c r="E406" s="159" t="s">
        <v>1204</v>
      </c>
      <c r="F406" s="127">
        <v>1</v>
      </c>
      <c r="I406" s="162">
        <v>46176</v>
      </c>
      <c r="J406" s="126">
        <v>0</v>
      </c>
      <c r="K406" s="126">
        <v>0</v>
      </c>
      <c r="L406" s="126">
        <v>0</v>
      </c>
      <c r="M406" s="126">
        <v>14</v>
      </c>
      <c r="N406" s="126">
        <v>0</v>
      </c>
      <c r="O406" s="126">
        <v>0</v>
      </c>
      <c r="P406" s="126">
        <v>0</v>
      </c>
      <c r="Q406" s="126">
        <v>0</v>
      </c>
      <c r="R406" s="126">
        <v>0</v>
      </c>
    </row>
    <row r="407" spans="3:18" ht="23.1" customHeight="1">
      <c r="C407" s="126">
        <v>61</v>
      </c>
      <c r="D407" s="141" t="s">
        <v>1924</v>
      </c>
      <c r="E407" s="159" t="s">
        <v>1925</v>
      </c>
      <c r="F407" s="127">
        <v>1</v>
      </c>
      <c r="I407" s="162">
        <v>46176</v>
      </c>
      <c r="J407" s="126">
        <v>0</v>
      </c>
      <c r="K407" s="126">
        <v>0</v>
      </c>
      <c r="L407" s="126">
        <v>0</v>
      </c>
      <c r="M407" s="126">
        <v>2</v>
      </c>
      <c r="N407" s="126">
        <v>0</v>
      </c>
      <c r="O407" s="126">
        <v>0</v>
      </c>
      <c r="P407" s="126">
        <v>0</v>
      </c>
      <c r="Q407" s="126">
        <v>0</v>
      </c>
      <c r="R407" s="126">
        <v>0</v>
      </c>
    </row>
    <row r="408" spans="3:18" ht="23.1" customHeight="1">
      <c r="C408" s="126">
        <v>63</v>
      </c>
      <c r="D408" s="141" t="s">
        <v>1037</v>
      </c>
      <c r="E408" s="159" t="s">
        <v>1038</v>
      </c>
      <c r="F408" s="127">
        <v>1</v>
      </c>
      <c r="I408" s="162">
        <v>46176</v>
      </c>
      <c r="J408" s="126">
        <v>0</v>
      </c>
      <c r="K408" s="126">
        <v>0</v>
      </c>
      <c r="L408" s="126">
        <v>0</v>
      </c>
      <c r="M408" s="126">
        <v>12</v>
      </c>
      <c r="N408" s="126">
        <v>0</v>
      </c>
      <c r="O408" s="126">
        <v>0</v>
      </c>
      <c r="P408" s="126">
        <v>0</v>
      </c>
      <c r="Q408" s="126">
        <v>0</v>
      </c>
      <c r="R408" s="126">
        <v>0</v>
      </c>
    </row>
    <row r="409" spans="3:18" ht="23.1" customHeight="1">
      <c r="C409" s="126">
        <v>64</v>
      </c>
      <c r="D409" s="141" t="s">
        <v>1221</v>
      </c>
      <c r="E409" s="159" t="s">
        <v>1222</v>
      </c>
      <c r="F409" s="127">
        <v>1</v>
      </c>
      <c r="I409" s="162">
        <v>46176</v>
      </c>
      <c r="J409" s="126">
        <v>0</v>
      </c>
      <c r="K409" s="126">
        <v>0</v>
      </c>
      <c r="L409" s="126">
        <v>0</v>
      </c>
      <c r="M409" s="126">
        <v>2</v>
      </c>
      <c r="N409" s="126">
        <v>0</v>
      </c>
      <c r="O409" s="126">
        <v>0</v>
      </c>
      <c r="P409" s="126">
        <v>0</v>
      </c>
      <c r="Q409" s="126">
        <v>0</v>
      </c>
      <c r="R409" s="126">
        <v>0</v>
      </c>
    </row>
    <row r="410" spans="3:18" ht="23.1" customHeight="1">
      <c r="C410" s="126">
        <v>66</v>
      </c>
      <c r="D410" s="141" t="s">
        <v>1216</v>
      </c>
      <c r="E410" s="159" t="s">
        <v>1217</v>
      </c>
      <c r="F410" s="127">
        <v>1</v>
      </c>
      <c r="I410" s="162">
        <v>46176</v>
      </c>
      <c r="J410" s="126">
        <v>0</v>
      </c>
      <c r="K410" s="126">
        <v>0</v>
      </c>
      <c r="L410" s="126">
        <v>0</v>
      </c>
      <c r="M410" s="126">
        <v>12</v>
      </c>
      <c r="N410" s="126">
        <v>0</v>
      </c>
      <c r="O410" s="126">
        <v>0</v>
      </c>
      <c r="P410" s="126">
        <v>0</v>
      </c>
      <c r="Q410" s="126">
        <v>0</v>
      </c>
      <c r="R410" s="126">
        <v>0</v>
      </c>
    </row>
    <row r="411" spans="3:18" ht="23.1" customHeight="1">
      <c r="C411" s="126">
        <v>68</v>
      </c>
      <c r="D411" s="141" t="s">
        <v>1242</v>
      </c>
      <c r="E411" s="159" t="s">
        <v>1243</v>
      </c>
      <c r="F411" s="127">
        <v>1</v>
      </c>
      <c r="I411" s="162">
        <v>46176</v>
      </c>
      <c r="J411" s="126">
        <v>0</v>
      </c>
      <c r="K411" s="126">
        <v>0</v>
      </c>
      <c r="L411" s="126">
        <v>0</v>
      </c>
      <c r="M411" s="126">
        <v>12</v>
      </c>
      <c r="N411" s="126">
        <v>0</v>
      </c>
      <c r="O411" s="126">
        <v>0</v>
      </c>
      <c r="P411" s="126">
        <v>0</v>
      </c>
      <c r="Q411" s="126">
        <v>0</v>
      </c>
      <c r="R411" s="126">
        <v>0</v>
      </c>
    </row>
    <row r="412" spans="3:18" ht="23.1" customHeight="1">
      <c r="C412" s="126">
        <v>69</v>
      </c>
      <c r="D412" s="141" t="s">
        <v>1234</v>
      </c>
      <c r="E412" s="159" t="s">
        <v>1235</v>
      </c>
      <c r="F412" s="127">
        <v>1</v>
      </c>
      <c r="I412" s="162">
        <v>46176</v>
      </c>
      <c r="J412" s="126">
        <v>0</v>
      </c>
      <c r="K412" s="126">
        <v>0</v>
      </c>
      <c r="L412" s="126">
        <v>0</v>
      </c>
      <c r="M412" s="126">
        <v>14</v>
      </c>
      <c r="N412" s="126">
        <v>0</v>
      </c>
      <c r="O412" s="126">
        <v>0</v>
      </c>
      <c r="P412" s="126">
        <v>0</v>
      </c>
      <c r="Q412" s="126">
        <v>0</v>
      </c>
      <c r="R412" s="126">
        <v>0</v>
      </c>
    </row>
    <row r="413" spans="3:18" ht="23.1" customHeight="1">
      <c r="C413" s="126">
        <v>70</v>
      </c>
      <c r="D413" s="141" t="s">
        <v>906</v>
      </c>
      <c r="E413" s="159" t="s">
        <v>907</v>
      </c>
      <c r="F413" s="127">
        <v>1</v>
      </c>
      <c r="I413" s="162">
        <v>46176</v>
      </c>
      <c r="J413" s="126">
        <v>0</v>
      </c>
      <c r="K413" s="126">
        <v>0</v>
      </c>
      <c r="L413" s="126">
        <v>0</v>
      </c>
      <c r="M413" s="126">
        <v>8</v>
      </c>
      <c r="N413" s="126">
        <v>0</v>
      </c>
      <c r="O413" s="126">
        <v>0</v>
      </c>
      <c r="P413" s="126">
        <v>0</v>
      </c>
      <c r="Q413" s="126">
        <v>0</v>
      </c>
      <c r="R413" s="126">
        <v>0</v>
      </c>
    </row>
    <row r="414" spans="3:18" ht="23.1" customHeight="1">
      <c r="C414" s="126">
        <v>71</v>
      </c>
      <c r="D414" s="141" t="s">
        <v>2010</v>
      </c>
      <c r="E414" s="159" t="s">
        <v>2011</v>
      </c>
      <c r="F414" s="127">
        <v>1</v>
      </c>
      <c r="I414" s="162">
        <v>46176</v>
      </c>
      <c r="J414" s="126">
        <v>0</v>
      </c>
      <c r="K414" s="126">
        <v>0</v>
      </c>
      <c r="L414" s="126">
        <v>0</v>
      </c>
      <c r="M414" s="126">
        <v>4</v>
      </c>
      <c r="N414" s="126">
        <v>0</v>
      </c>
      <c r="O414" s="126">
        <v>0</v>
      </c>
      <c r="P414" s="126">
        <v>0</v>
      </c>
      <c r="Q414" s="126">
        <v>0</v>
      </c>
      <c r="R414" s="126">
        <v>0</v>
      </c>
    </row>
    <row r="415" spans="3:18" ht="23.1" customHeight="1">
      <c r="C415" s="126">
        <v>73</v>
      </c>
      <c r="D415" s="141" t="s">
        <v>1303</v>
      </c>
      <c r="E415" s="159" t="s">
        <v>1304</v>
      </c>
      <c r="F415" s="127">
        <v>1</v>
      </c>
      <c r="I415" s="162">
        <v>46176</v>
      </c>
      <c r="J415" s="126">
        <v>0</v>
      </c>
      <c r="K415" s="126">
        <v>0</v>
      </c>
      <c r="L415" s="126">
        <v>0</v>
      </c>
      <c r="M415" s="126">
        <v>2</v>
      </c>
      <c r="N415" s="126">
        <v>0</v>
      </c>
      <c r="O415" s="126">
        <v>0</v>
      </c>
      <c r="P415" s="126">
        <v>0</v>
      </c>
      <c r="Q415" s="126">
        <v>0</v>
      </c>
      <c r="R415" s="126">
        <v>0</v>
      </c>
    </row>
    <row r="416" spans="3:18" ht="23.1" customHeight="1">
      <c r="C416" s="126">
        <v>74</v>
      </c>
      <c r="D416" s="141" t="s">
        <v>1367</v>
      </c>
      <c r="E416" s="159" t="s">
        <v>1368</v>
      </c>
      <c r="F416" s="127">
        <v>1</v>
      </c>
      <c r="I416" s="162">
        <v>46176</v>
      </c>
      <c r="J416" s="126">
        <v>0</v>
      </c>
      <c r="K416" s="126">
        <v>0</v>
      </c>
      <c r="L416" s="126">
        <v>0</v>
      </c>
      <c r="M416" s="126">
        <v>12</v>
      </c>
      <c r="N416" s="126">
        <v>0</v>
      </c>
      <c r="O416" s="126">
        <v>0</v>
      </c>
      <c r="P416" s="126">
        <v>0</v>
      </c>
      <c r="Q416" s="126">
        <v>0</v>
      </c>
      <c r="R416" s="126">
        <v>0</v>
      </c>
    </row>
    <row r="417" spans="3:18" ht="23.1" customHeight="1">
      <c r="C417" s="126">
        <v>75</v>
      </c>
      <c r="D417" s="141" t="s">
        <v>1381</v>
      </c>
      <c r="E417" s="159" t="s">
        <v>1382</v>
      </c>
      <c r="F417" s="127">
        <v>1</v>
      </c>
      <c r="I417" s="162">
        <v>46176</v>
      </c>
      <c r="J417" s="126">
        <v>0</v>
      </c>
      <c r="K417" s="126">
        <v>0</v>
      </c>
      <c r="L417" s="126">
        <v>0</v>
      </c>
      <c r="M417" s="126">
        <v>8</v>
      </c>
      <c r="N417" s="126">
        <v>0</v>
      </c>
      <c r="O417" s="126">
        <v>0</v>
      </c>
      <c r="P417" s="126">
        <v>0</v>
      </c>
      <c r="Q417" s="126">
        <v>0</v>
      </c>
      <c r="R417" s="126">
        <v>0</v>
      </c>
    </row>
    <row r="418" spans="3:18" ht="23.1" customHeight="1">
      <c r="C418" s="126">
        <v>76</v>
      </c>
      <c r="D418" s="141" t="s">
        <v>1133</v>
      </c>
      <c r="E418" s="159" t="s">
        <v>1134</v>
      </c>
      <c r="F418" s="127">
        <v>1</v>
      </c>
      <c r="I418" s="162">
        <v>46176</v>
      </c>
      <c r="J418" s="126">
        <v>0</v>
      </c>
      <c r="K418" s="126">
        <v>0</v>
      </c>
      <c r="L418" s="126">
        <v>0</v>
      </c>
      <c r="M418" s="126">
        <v>12</v>
      </c>
      <c r="N418" s="126">
        <v>0</v>
      </c>
      <c r="O418" s="126">
        <v>0</v>
      </c>
      <c r="P418" s="126">
        <v>0</v>
      </c>
      <c r="Q418" s="126">
        <v>0</v>
      </c>
      <c r="R418" s="126">
        <v>0</v>
      </c>
    </row>
    <row r="419" spans="3:18" ht="23.1" customHeight="1">
      <c r="C419" s="126">
        <v>77</v>
      </c>
      <c r="D419" s="141" t="s">
        <v>2033</v>
      </c>
      <c r="E419" s="159" t="s">
        <v>2034</v>
      </c>
      <c r="F419" s="127">
        <v>1</v>
      </c>
      <c r="I419" s="162">
        <v>46176</v>
      </c>
      <c r="J419" s="126">
        <v>0</v>
      </c>
      <c r="K419" s="126">
        <v>0</v>
      </c>
      <c r="L419" s="126">
        <v>0</v>
      </c>
      <c r="M419" s="126">
        <v>100</v>
      </c>
      <c r="N419" s="126">
        <v>0</v>
      </c>
      <c r="O419" s="126">
        <v>0</v>
      </c>
      <c r="P419" s="126">
        <v>0</v>
      </c>
      <c r="Q419" s="126">
        <v>0</v>
      </c>
      <c r="R419" s="126">
        <v>0</v>
      </c>
    </row>
    <row r="420" spans="3:18" ht="23.1" customHeight="1">
      <c r="C420" s="126">
        <v>79</v>
      </c>
      <c r="D420" s="141" t="s">
        <v>2027</v>
      </c>
      <c r="E420" s="159" t="s">
        <v>2028</v>
      </c>
      <c r="F420" s="127">
        <v>1</v>
      </c>
      <c r="I420" s="162">
        <v>46176</v>
      </c>
      <c r="J420" s="126">
        <v>0</v>
      </c>
      <c r="K420" s="126">
        <v>0</v>
      </c>
      <c r="L420" s="126">
        <v>0</v>
      </c>
      <c r="M420" s="126">
        <v>100</v>
      </c>
      <c r="N420" s="126">
        <v>0</v>
      </c>
      <c r="O420" s="126">
        <v>0</v>
      </c>
      <c r="P420" s="126">
        <v>0</v>
      </c>
      <c r="Q420" s="126">
        <v>0</v>
      </c>
      <c r="R420" s="126">
        <v>0</v>
      </c>
    </row>
    <row r="421" spans="3:18" ht="23.1" customHeight="1">
      <c r="C421" s="126">
        <v>90</v>
      </c>
      <c r="D421" s="141" t="s">
        <v>1139</v>
      </c>
      <c r="E421" s="159" t="s">
        <v>1140</v>
      </c>
      <c r="F421" s="127">
        <v>1</v>
      </c>
      <c r="I421" s="162">
        <v>46176</v>
      </c>
      <c r="J421" s="126">
        <v>0</v>
      </c>
      <c r="K421" s="126">
        <v>0</v>
      </c>
      <c r="L421" s="126">
        <v>0</v>
      </c>
      <c r="M421" s="126">
        <v>16</v>
      </c>
      <c r="N421" s="126">
        <v>0</v>
      </c>
      <c r="O421" s="126">
        <v>0</v>
      </c>
      <c r="P421" s="126">
        <v>0</v>
      </c>
      <c r="Q421" s="126">
        <v>0</v>
      </c>
      <c r="R421" s="126">
        <v>0</v>
      </c>
    </row>
    <row r="422" spans="3:18" ht="23.1" customHeight="1">
      <c r="C422" s="126">
        <v>92</v>
      </c>
      <c r="D422" s="141" t="s">
        <v>1313</v>
      </c>
      <c r="E422" s="159" t="s">
        <v>1314</v>
      </c>
      <c r="F422" s="127">
        <v>1</v>
      </c>
      <c r="I422" s="162">
        <v>46176</v>
      </c>
      <c r="J422" s="126">
        <v>0</v>
      </c>
      <c r="K422" s="126">
        <v>0</v>
      </c>
      <c r="L422" s="126">
        <v>0</v>
      </c>
      <c r="M422" s="126">
        <v>40</v>
      </c>
      <c r="N422" s="126">
        <v>0</v>
      </c>
      <c r="O422" s="126">
        <v>0</v>
      </c>
      <c r="P422" s="126">
        <v>0</v>
      </c>
      <c r="Q422" s="126">
        <v>0</v>
      </c>
      <c r="R422" s="126">
        <v>0</v>
      </c>
    </row>
    <row r="423" spans="3:18" ht="23.1" customHeight="1">
      <c r="C423" s="126">
        <v>94</v>
      </c>
      <c r="D423" s="141" t="s">
        <v>1323</v>
      </c>
      <c r="E423" s="159" t="s">
        <v>1324</v>
      </c>
      <c r="F423" s="127">
        <v>1</v>
      </c>
      <c r="I423" s="162">
        <v>46176</v>
      </c>
      <c r="J423" s="126">
        <v>0</v>
      </c>
      <c r="K423" s="126">
        <v>0</v>
      </c>
      <c r="L423" s="126">
        <v>0</v>
      </c>
      <c r="M423" s="126">
        <v>82</v>
      </c>
      <c r="N423" s="126">
        <v>0</v>
      </c>
      <c r="O423" s="126">
        <v>0</v>
      </c>
      <c r="P423" s="126">
        <v>0</v>
      </c>
      <c r="Q423" s="126">
        <v>0</v>
      </c>
      <c r="R423" s="126">
        <v>0</v>
      </c>
    </row>
    <row r="424" spans="3:18" ht="23.1" customHeight="1">
      <c r="C424" s="126">
        <v>96</v>
      </c>
      <c r="D424" s="141" t="s">
        <v>632</v>
      </c>
      <c r="E424" s="159" t="s">
        <v>633</v>
      </c>
      <c r="F424" s="127">
        <v>1</v>
      </c>
      <c r="I424" s="162">
        <v>46176</v>
      </c>
      <c r="J424" s="126">
        <v>0</v>
      </c>
      <c r="K424" s="126">
        <v>0</v>
      </c>
      <c r="L424" s="126">
        <v>0</v>
      </c>
      <c r="M424" s="126">
        <v>34</v>
      </c>
      <c r="N424" s="126">
        <v>0</v>
      </c>
      <c r="O424" s="126">
        <v>0</v>
      </c>
      <c r="P424" s="126">
        <v>0</v>
      </c>
      <c r="Q424" s="126">
        <v>0</v>
      </c>
      <c r="R424" s="126">
        <v>0</v>
      </c>
    </row>
    <row r="425" spans="3:18" ht="23.1" customHeight="1">
      <c r="C425" s="126">
        <v>97</v>
      </c>
      <c r="D425" s="141" t="s">
        <v>637</v>
      </c>
      <c r="E425" s="159" t="s">
        <v>638</v>
      </c>
      <c r="F425" s="127">
        <v>1</v>
      </c>
      <c r="I425" s="162">
        <v>46176</v>
      </c>
      <c r="J425" s="126">
        <v>0</v>
      </c>
      <c r="K425" s="126">
        <v>0</v>
      </c>
      <c r="L425" s="126">
        <v>0</v>
      </c>
      <c r="M425" s="126">
        <v>8</v>
      </c>
      <c r="N425" s="126">
        <v>0</v>
      </c>
      <c r="O425" s="126">
        <v>0</v>
      </c>
      <c r="P425" s="126">
        <v>0</v>
      </c>
      <c r="Q425" s="126">
        <v>0</v>
      </c>
      <c r="R425" s="126">
        <v>0</v>
      </c>
    </row>
    <row r="426" spans="3:18" ht="23.1" customHeight="1">
      <c r="C426" s="126">
        <v>99</v>
      </c>
      <c r="D426" s="141" t="s">
        <v>883</v>
      </c>
      <c r="E426" s="159" t="s">
        <v>884</v>
      </c>
      <c r="F426" s="127">
        <v>1</v>
      </c>
      <c r="I426" s="162">
        <v>46176</v>
      </c>
      <c r="J426" s="126">
        <v>0</v>
      </c>
      <c r="K426" s="126">
        <v>0</v>
      </c>
      <c r="L426" s="126">
        <v>0</v>
      </c>
      <c r="M426" s="126">
        <v>10</v>
      </c>
      <c r="N426" s="126">
        <v>0</v>
      </c>
      <c r="O426" s="126">
        <v>0</v>
      </c>
      <c r="P426" s="126">
        <v>0</v>
      </c>
      <c r="Q426" s="126">
        <v>0</v>
      </c>
      <c r="R426" s="126">
        <v>0</v>
      </c>
    </row>
    <row r="427" spans="3:18" ht="23.1" customHeight="1">
      <c r="C427" s="126">
        <v>103</v>
      </c>
      <c r="D427" s="141" t="s">
        <v>1024</v>
      </c>
      <c r="E427" s="159" t="s">
        <v>1025</v>
      </c>
      <c r="F427" s="127">
        <v>1</v>
      </c>
      <c r="I427" s="162">
        <v>46176</v>
      </c>
      <c r="J427" s="126">
        <v>0</v>
      </c>
      <c r="K427" s="126">
        <v>0</v>
      </c>
      <c r="L427" s="126">
        <v>0</v>
      </c>
      <c r="M427" s="126">
        <v>6</v>
      </c>
      <c r="N427" s="126">
        <v>0</v>
      </c>
      <c r="O427" s="126">
        <v>0</v>
      </c>
      <c r="P427" s="126">
        <v>0</v>
      </c>
      <c r="Q427" s="126">
        <v>0</v>
      </c>
      <c r="R427" s="126">
        <v>0</v>
      </c>
    </row>
    <row r="428" spans="3:18" ht="23.1" customHeight="1">
      <c r="C428" s="126">
        <v>105</v>
      </c>
      <c r="D428" s="141" t="s">
        <v>591</v>
      </c>
      <c r="E428" s="159" t="s">
        <v>592</v>
      </c>
      <c r="F428" s="127">
        <v>1</v>
      </c>
      <c r="I428" s="162">
        <v>46176</v>
      </c>
      <c r="J428" s="126">
        <v>0</v>
      </c>
      <c r="K428" s="126">
        <v>0</v>
      </c>
      <c r="L428" s="126">
        <v>0</v>
      </c>
      <c r="M428" s="126">
        <v>4</v>
      </c>
      <c r="N428" s="126">
        <v>0</v>
      </c>
      <c r="O428" s="126">
        <v>0</v>
      </c>
      <c r="P428" s="126">
        <v>0</v>
      </c>
      <c r="Q428" s="126">
        <v>0</v>
      </c>
      <c r="R428" s="126">
        <v>0</v>
      </c>
    </row>
    <row r="429" spans="3:18" ht="23.1" customHeight="1">
      <c r="C429" s="126">
        <v>108</v>
      </c>
      <c r="D429" s="141" t="s">
        <v>1009</v>
      </c>
      <c r="E429" s="159" t="s">
        <v>1010</v>
      </c>
      <c r="F429" s="127">
        <v>1</v>
      </c>
      <c r="I429" s="162">
        <v>46176</v>
      </c>
      <c r="J429" s="126">
        <v>0</v>
      </c>
      <c r="K429" s="126">
        <v>0</v>
      </c>
      <c r="L429" s="126">
        <v>0</v>
      </c>
      <c r="M429" s="126">
        <v>44</v>
      </c>
      <c r="N429" s="126">
        <v>0</v>
      </c>
      <c r="O429" s="126">
        <v>0</v>
      </c>
      <c r="P429" s="126">
        <v>0</v>
      </c>
      <c r="Q429" s="126">
        <v>0</v>
      </c>
      <c r="R429" s="126">
        <v>0</v>
      </c>
    </row>
    <row r="430" spans="3:18" ht="23.1" customHeight="1">
      <c r="C430" s="126">
        <v>112</v>
      </c>
      <c r="D430" s="141" t="s">
        <v>2067</v>
      </c>
      <c r="E430" s="159" t="s">
        <v>2068</v>
      </c>
      <c r="F430" s="127">
        <v>1</v>
      </c>
      <c r="I430" s="162">
        <v>46176</v>
      </c>
      <c r="J430" s="126">
        <v>0</v>
      </c>
      <c r="K430" s="126">
        <v>0</v>
      </c>
      <c r="L430" s="126">
        <v>0</v>
      </c>
      <c r="M430" s="126">
        <v>2</v>
      </c>
      <c r="N430" s="126">
        <v>0</v>
      </c>
      <c r="O430" s="126">
        <v>0</v>
      </c>
      <c r="P430" s="126">
        <v>0</v>
      </c>
      <c r="Q430" s="126">
        <v>0</v>
      </c>
      <c r="R430" s="126">
        <v>0</v>
      </c>
    </row>
    <row r="431" spans="3:18" ht="23.1" customHeight="1">
      <c r="C431" s="126">
        <v>131</v>
      </c>
      <c r="D431" s="141" t="s">
        <v>1155</v>
      </c>
      <c r="E431" s="159" t="s">
        <v>1156</v>
      </c>
      <c r="F431" s="127">
        <v>1</v>
      </c>
      <c r="I431" s="162">
        <v>46179</v>
      </c>
      <c r="J431" s="126">
        <v>0</v>
      </c>
      <c r="K431" s="126">
        <v>0</v>
      </c>
      <c r="L431" s="126">
        <v>0</v>
      </c>
      <c r="M431" s="126">
        <v>2</v>
      </c>
      <c r="N431" s="126">
        <v>0</v>
      </c>
      <c r="O431" s="126">
        <v>0</v>
      </c>
      <c r="P431" s="126">
        <v>0</v>
      </c>
      <c r="Q431" s="126">
        <v>0</v>
      </c>
      <c r="R431" s="126">
        <v>0</v>
      </c>
    </row>
    <row r="432" spans="3:18" ht="23.1" customHeight="1">
      <c r="C432" s="126">
        <v>136</v>
      </c>
      <c r="D432" s="141" t="s">
        <v>2122</v>
      </c>
      <c r="E432" s="159" t="s">
        <v>2123</v>
      </c>
      <c r="F432" s="127">
        <v>1</v>
      </c>
      <c r="I432" s="162">
        <v>46179</v>
      </c>
      <c r="J432" s="126">
        <v>0</v>
      </c>
      <c r="K432" s="126">
        <v>0</v>
      </c>
      <c r="L432" s="126">
        <v>0</v>
      </c>
      <c r="M432" s="126">
        <v>4</v>
      </c>
      <c r="N432" s="126">
        <v>0</v>
      </c>
      <c r="O432" s="126">
        <v>0</v>
      </c>
      <c r="P432" s="126">
        <v>0</v>
      </c>
      <c r="Q432" s="126">
        <v>0</v>
      </c>
      <c r="R432" s="126">
        <v>0</v>
      </c>
    </row>
    <row r="433" spans="3:18" ht="23.1" customHeight="1">
      <c r="C433" s="126">
        <v>142</v>
      </c>
      <c r="D433" s="141" t="s">
        <v>798</v>
      </c>
      <c r="E433" s="159" t="s">
        <v>799</v>
      </c>
      <c r="F433" s="127">
        <v>1</v>
      </c>
      <c r="I433" s="162">
        <v>46179</v>
      </c>
      <c r="J433" s="126">
        <v>0</v>
      </c>
      <c r="K433" s="126">
        <v>0</v>
      </c>
      <c r="L433" s="126">
        <v>0</v>
      </c>
      <c r="M433" s="126">
        <v>14</v>
      </c>
      <c r="N433" s="126">
        <v>0</v>
      </c>
      <c r="O433" s="126">
        <v>0</v>
      </c>
      <c r="P433" s="126">
        <v>0</v>
      </c>
      <c r="Q433" s="126">
        <v>0</v>
      </c>
      <c r="R433" s="126">
        <v>0</v>
      </c>
    </row>
    <row r="434" spans="3:18" ht="23.1" customHeight="1">
      <c r="C434" s="126">
        <v>144</v>
      </c>
      <c r="D434" s="141" t="s">
        <v>996</v>
      </c>
      <c r="E434" s="159" t="s">
        <v>997</v>
      </c>
      <c r="F434" s="127">
        <v>1</v>
      </c>
      <c r="I434" s="162">
        <v>46179</v>
      </c>
      <c r="J434" s="126">
        <v>0</v>
      </c>
      <c r="K434" s="126">
        <v>0</v>
      </c>
      <c r="L434" s="126">
        <v>0</v>
      </c>
      <c r="M434" s="126">
        <v>30</v>
      </c>
      <c r="N434" s="126">
        <v>0</v>
      </c>
      <c r="O434" s="126">
        <v>0</v>
      </c>
      <c r="P434" s="126">
        <v>0</v>
      </c>
      <c r="Q434" s="126">
        <v>0</v>
      </c>
      <c r="R434" s="126">
        <v>0</v>
      </c>
    </row>
    <row r="435" spans="3:18" ht="23.1" customHeight="1">
      <c r="C435" s="126">
        <v>145</v>
      </c>
      <c r="D435" s="141" t="s">
        <v>823</v>
      </c>
      <c r="E435" s="159" t="s">
        <v>824</v>
      </c>
      <c r="F435" s="127">
        <v>1</v>
      </c>
      <c r="I435" s="162">
        <v>46179</v>
      </c>
      <c r="J435" s="126">
        <v>0</v>
      </c>
      <c r="K435" s="126">
        <v>0</v>
      </c>
      <c r="L435" s="126">
        <v>0</v>
      </c>
      <c r="M435" s="126">
        <v>20</v>
      </c>
      <c r="N435" s="126">
        <v>0</v>
      </c>
      <c r="O435" s="126">
        <v>0</v>
      </c>
      <c r="P435" s="126">
        <v>0</v>
      </c>
      <c r="Q435" s="126">
        <v>0</v>
      </c>
      <c r="R435" s="126">
        <v>0</v>
      </c>
    </row>
    <row r="436" spans="3:18" ht="23.1" customHeight="1">
      <c r="C436" s="126">
        <v>146</v>
      </c>
      <c r="D436" s="141" t="s">
        <v>1929</v>
      </c>
      <c r="E436" s="159" t="s">
        <v>1930</v>
      </c>
      <c r="F436" s="127">
        <v>1</v>
      </c>
      <c r="I436" s="162">
        <v>46179</v>
      </c>
      <c r="J436" s="126">
        <v>0</v>
      </c>
      <c r="K436" s="126">
        <v>0</v>
      </c>
      <c r="L436" s="126">
        <v>0</v>
      </c>
      <c r="M436" s="126">
        <v>10</v>
      </c>
      <c r="N436" s="126">
        <v>0</v>
      </c>
      <c r="O436" s="126">
        <v>0</v>
      </c>
      <c r="P436" s="126">
        <v>0</v>
      </c>
      <c r="Q436" s="126">
        <v>0</v>
      </c>
      <c r="R436" s="126">
        <v>0</v>
      </c>
    </row>
    <row r="437" spans="3:18" ht="23.1" customHeight="1">
      <c r="C437" s="126">
        <v>150</v>
      </c>
      <c r="D437" s="141" t="s">
        <v>1405</v>
      </c>
      <c r="E437" s="159" t="s">
        <v>1406</v>
      </c>
      <c r="F437" s="127">
        <v>1</v>
      </c>
      <c r="I437" s="162">
        <v>46179</v>
      </c>
      <c r="J437" s="126">
        <v>0</v>
      </c>
      <c r="K437" s="126">
        <v>0</v>
      </c>
      <c r="L437" s="126">
        <v>0</v>
      </c>
      <c r="M437" s="126">
        <v>88</v>
      </c>
      <c r="N437" s="126">
        <v>0</v>
      </c>
      <c r="O437" s="126">
        <v>0</v>
      </c>
      <c r="P437" s="126">
        <v>0</v>
      </c>
      <c r="Q437" s="126">
        <v>0</v>
      </c>
      <c r="R437" s="126">
        <v>0</v>
      </c>
    </row>
    <row r="438" spans="3:18" ht="23.1" customHeight="1">
      <c r="C438" s="126">
        <v>153</v>
      </c>
      <c r="D438" s="141" t="s">
        <v>554</v>
      </c>
      <c r="E438" s="159" t="s">
        <v>2218</v>
      </c>
      <c r="F438" s="127">
        <v>1</v>
      </c>
      <c r="I438" s="162">
        <v>46179</v>
      </c>
      <c r="J438" s="126">
        <v>0</v>
      </c>
      <c r="K438" s="126">
        <v>0</v>
      </c>
      <c r="L438" s="126">
        <v>0</v>
      </c>
      <c r="M438" s="126">
        <v>14</v>
      </c>
      <c r="N438" s="126">
        <v>0</v>
      </c>
      <c r="O438" s="126">
        <v>0</v>
      </c>
      <c r="P438" s="126">
        <v>0</v>
      </c>
      <c r="Q438" s="126">
        <v>0</v>
      </c>
      <c r="R438" s="126">
        <v>0</v>
      </c>
    </row>
    <row r="439" spans="3:18" ht="23.1" customHeight="1">
      <c r="C439" s="126">
        <v>156</v>
      </c>
      <c r="D439" s="141" t="s">
        <v>735</v>
      </c>
      <c r="E439" s="159" t="s">
        <v>2220</v>
      </c>
      <c r="F439" s="127">
        <v>1</v>
      </c>
      <c r="I439" s="162">
        <v>46179</v>
      </c>
      <c r="J439" s="126">
        <v>0</v>
      </c>
      <c r="K439" s="126">
        <v>0</v>
      </c>
      <c r="L439" s="126">
        <v>0</v>
      </c>
      <c r="M439" s="126">
        <v>4</v>
      </c>
      <c r="N439" s="126">
        <v>0</v>
      </c>
      <c r="O439" s="126">
        <v>0</v>
      </c>
      <c r="P439" s="126">
        <v>0</v>
      </c>
      <c r="Q439" s="126">
        <v>0</v>
      </c>
      <c r="R439" s="126">
        <v>0</v>
      </c>
    </row>
    <row r="440" spans="3:18" ht="23.1" customHeight="1">
      <c r="C440" s="126">
        <v>158</v>
      </c>
      <c r="D440" s="141" t="s">
        <v>1702</v>
      </c>
      <c r="E440" s="159" t="s">
        <v>2222</v>
      </c>
      <c r="F440" s="127">
        <v>1</v>
      </c>
      <c r="I440" s="162">
        <v>46179</v>
      </c>
      <c r="J440" s="126">
        <v>0</v>
      </c>
      <c r="K440" s="126">
        <v>0</v>
      </c>
      <c r="L440" s="126">
        <v>0</v>
      </c>
      <c r="M440" s="126">
        <v>2</v>
      </c>
      <c r="N440" s="126">
        <v>0</v>
      </c>
      <c r="O440" s="126">
        <v>0</v>
      </c>
      <c r="P440" s="126">
        <v>0</v>
      </c>
      <c r="Q440" s="126">
        <v>0</v>
      </c>
      <c r="R440" s="126">
        <v>0</v>
      </c>
    </row>
    <row r="441" spans="3:18" ht="23.1" customHeight="1">
      <c r="C441" s="126">
        <v>160</v>
      </c>
      <c r="D441" s="141" t="s">
        <v>738</v>
      </c>
      <c r="E441" s="159" t="s">
        <v>2224</v>
      </c>
      <c r="F441" s="127">
        <v>1</v>
      </c>
      <c r="I441" s="162">
        <v>46179</v>
      </c>
      <c r="J441" s="126">
        <v>0</v>
      </c>
      <c r="K441" s="126">
        <v>0</v>
      </c>
      <c r="L441" s="126">
        <v>0</v>
      </c>
      <c r="M441" s="126">
        <v>8</v>
      </c>
      <c r="N441" s="126">
        <v>0</v>
      </c>
      <c r="O441" s="126">
        <v>0</v>
      </c>
      <c r="P441" s="126">
        <v>0</v>
      </c>
      <c r="Q441" s="126">
        <v>0</v>
      </c>
      <c r="R441" s="126">
        <v>0</v>
      </c>
    </row>
    <row r="442" spans="3:18" ht="23.1" customHeight="1">
      <c r="C442" s="126">
        <v>163</v>
      </c>
      <c r="D442" s="141" t="s">
        <v>745</v>
      </c>
      <c r="E442" s="159" t="s">
        <v>2227</v>
      </c>
      <c r="F442" s="127">
        <v>1</v>
      </c>
      <c r="I442" s="162">
        <v>46179</v>
      </c>
      <c r="J442" s="126">
        <v>0</v>
      </c>
      <c r="K442" s="126">
        <v>0</v>
      </c>
      <c r="L442" s="126">
        <v>0</v>
      </c>
      <c r="M442" s="126">
        <v>4</v>
      </c>
      <c r="N442" s="126">
        <v>0</v>
      </c>
      <c r="O442" s="126">
        <v>0</v>
      </c>
      <c r="P442" s="126">
        <v>0</v>
      </c>
      <c r="Q442" s="126">
        <v>0</v>
      </c>
      <c r="R442" s="126">
        <v>0</v>
      </c>
    </row>
    <row r="443" spans="3:18" ht="23.1" customHeight="1">
      <c r="C443" s="126">
        <v>165</v>
      </c>
      <c r="D443" s="141" t="s">
        <v>1708</v>
      </c>
      <c r="E443" s="159" t="s">
        <v>2229</v>
      </c>
      <c r="F443" s="127">
        <v>1</v>
      </c>
      <c r="I443" s="162">
        <v>46179</v>
      </c>
      <c r="J443" s="126">
        <v>0</v>
      </c>
      <c r="K443" s="126">
        <v>0</v>
      </c>
      <c r="L443" s="126">
        <v>0</v>
      </c>
      <c r="M443" s="126">
        <v>2</v>
      </c>
      <c r="N443" s="126">
        <v>0</v>
      </c>
      <c r="O443" s="126">
        <v>0</v>
      </c>
      <c r="P443" s="126">
        <v>0</v>
      </c>
      <c r="Q443" s="126">
        <v>0</v>
      </c>
      <c r="R443" s="126">
        <v>0</v>
      </c>
    </row>
    <row r="444" spans="3:18" ht="23.1" customHeight="1">
      <c r="C444" s="126">
        <v>167</v>
      </c>
      <c r="D444" s="141" t="s">
        <v>1029</v>
      </c>
      <c r="E444" s="159" t="s">
        <v>1030</v>
      </c>
      <c r="F444" s="127">
        <v>1</v>
      </c>
      <c r="I444" s="162">
        <v>46179</v>
      </c>
      <c r="J444" s="126">
        <v>0</v>
      </c>
      <c r="K444" s="126">
        <v>0</v>
      </c>
      <c r="L444" s="126">
        <v>0</v>
      </c>
      <c r="M444" s="126">
        <v>18</v>
      </c>
      <c r="N444" s="126">
        <v>0</v>
      </c>
      <c r="O444" s="126">
        <v>0</v>
      </c>
      <c r="P444" s="126">
        <v>0</v>
      </c>
      <c r="Q444" s="126">
        <v>0</v>
      </c>
      <c r="R444" s="126">
        <v>0</v>
      </c>
    </row>
    <row r="445" spans="3:18" ht="23.1" customHeight="1">
      <c r="C445" s="126">
        <v>168</v>
      </c>
      <c r="D445" s="141" t="s">
        <v>2101</v>
      </c>
      <c r="E445" s="159" t="s">
        <v>2102</v>
      </c>
      <c r="F445" s="127">
        <v>1</v>
      </c>
      <c r="I445" s="162">
        <v>46179</v>
      </c>
      <c r="J445" s="126">
        <v>0</v>
      </c>
      <c r="K445" s="126">
        <v>0</v>
      </c>
      <c r="L445" s="126">
        <v>0</v>
      </c>
      <c r="M445" s="126">
        <v>4</v>
      </c>
      <c r="N445" s="126">
        <v>0</v>
      </c>
      <c r="O445" s="126">
        <v>0</v>
      </c>
      <c r="P445" s="126">
        <v>0</v>
      </c>
      <c r="Q445" s="126">
        <v>0</v>
      </c>
      <c r="R445" s="126">
        <v>0</v>
      </c>
    </row>
    <row r="446" spans="3:18" ht="23.1" customHeight="1">
      <c r="C446" s="126">
        <v>169</v>
      </c>
      <c r="D446" s="141" t="s">
        <v>601</v>
      </c>
      <c r="E446" s="159" t="s">
        <v>602</v>
      </c>
      <c r="F446" s="127">
        <v>1</v>
      </c>
      <c r="I446" s="162">
        <v>46179</v>
      </c>
      <c r="J446" s="126">
        <v>0</v>
      </c>
      <c r="K446" s="126">
        <v>0</v>
      </c>
      <c r="L446" s="126">
        <v>0</v>
      </c>
      <c r="M446" s="126">
        <v>32</v>
      </c>
      <c r="N446" s="126">
        <v>0</v>
      </c>
      <c r="O446" s="126">
        <v>0</v>
      </c>
      <c r="P446" s="126">
        <v>0</v>
      </c>
      <c r="Q446" s="126">
        <v>0</v>
      </c>
      <c r="R446" s="126">
        <v>0</v>
      </c>
    </row>
    <row r="447" spans="3:18" ht="23.1" customHeight="1">
      <c r="C447" s="126">
        <v>170</v>
      </c>
      <c r="D447" s="141" t="s">
        <v>1647</v>
      </c>
      <c r="E447" s="159" t="s">
        <v>1648</v>
      </c>
      <c r="F447" s="127">
        <v>1</v>
      </c>
      <c r="I447" s="162">
        <v>46179</v>
      </c>
      <c r="J447" s="126">
        <v>0</v>
      </c>
      <c r="K447" s="126">
        <v>0</v>
      </c>
      <c r="L447" s="126">
        <v>0</v>
      </c>
      <c r="M447" s="126">
        <v>20</v>
      </c>
      <c r="N447" s="126">
        <v>0</v>
      </c>
      <c r="O447" s="126">
        <v>0</v>
      </c>
      <c r="P447" s="126">
        <v>0</v>
      </c>
      <c r="Q447" s="126">
        <v>0</v>
      </c>
      <c r="R447" s="126">
        <v>0</v>
      </c>
    </row>
    <row r="448" spans="3:18" ht="23.1" customHeight="1">
      <c r="C448" s="126">
        <v>172</v>
      </c>
      <c r="D448" s="141" t="s">
        <v>2106</v>
      </c>
      <c r="E448" s="159" t="s">
        <v>2107</v>
      </c>
      <c r="F448" s="127">
        <v>1</v>
      </c>
      <c r="I448" s="162">
        <v>46179</v>
      </c>
      <c r="J448" s="126">
        <v>0</v>
      </c>
      <c r="K448" s="126">
        <v>0</v>
      </c>
      <c r="L448" s="126">
        <v>0</v>
      </c>
      <c r="M448" s="126">
        <v>4</v>
      </c>
      <c r="N448" s="126">
        <v>0</v>
      </c>
      <c r="O448" s="126">
        <v>0</v>
      </c>
      <c r="P448" s="126">
        <v>0</v>
      </c>
      <c r="Q448" s="126">
        <v>0</v>
      </c>
      <c r="R448" s="126">
        <v>0</v>
      </c>
    </row>
    <row r="449" spans="3:18" ht="23.1" customHeight="1">
      <c r="C449" s="126">
        <v>174</v>
      </c>
      <c r="D449" s="141" t="s">
        <v>2096</v>
      </c>
      <c r="E449" s="159" t="s">
        <v>2097</v>
      </c>
      <c r="F449" s="127">
        <v>1</v>
      </c>
      <c r="I449" s="162">
        <v>46179</v>
      </c>
      <c r="J449" s="126">
        <v>0</v>
      </c>
      <c r="K449" s="126">
        <v>0</v>
      </c>
      <c r="L449" s="126">
        <v>0</v>
      </c>
      <c r="M449" s="126">
        <v>4</v>
      </c>
      <c r="N449" s="126">
        <v>0</v>
      </c>
      <c r="O449" s="126">
        <v>0</v>
      </c>
      <c r="P449" s="126">
        <v>0</v>
      </c>
      <c r="Q449" s="126">
        <v>0</v>
      </c>
      <c r="R449" s="126">
        <v>0</v>
      </c>
    </row>
    <row r="450" spans="3:18" ht="23.1" customHeight="1">
      <c r="C450" s="126">
        <v>181</v>
      </c>
      <c r="D450" s="141" t="s">
        <v>761</v>
      </c>
      <c r="E450" s="159" t="s">
        <v>762</v>
      </c>
      <c r="F450" s="127">
        <v>1</v>
      </c>
      <c r="I450" s="162">
        <v>46179</v>
      </c>
      <c r="J450" s="126">
        <v>0</v>
      </c>
      <c r="K450" s="126">
        <v>0</v>
      </c>
      <c r="L450" s="126">
        <v>0</v>
      </c>
      <c r="M450" s="126">
        <v>336</v>
      </c>
      <c r="N450" s="126">
        <v>0</v>
      </c>
      <c r="O450" s="126">
        <v>0</v>
      </c>
      <c r="P450" s="126">
        <v>0</v>
      </c>
      <c r="Q450" s="126">
        <v>0</v>
      </c>
      <c r="R450" s="126">
        <v>0</v>
      </c>
    </row>
    <row r="451" spans="3:18" ht="23.1" customHeight="1">
      <c r="C451" s="126">
        <v>182</v>
      </c>
      <c r="D451" s="141" t="s">
        <v>627</v>
      </c>
      <c r="E451" s="159" t="s">
        <v>628</v>
      </c>
      <c r="F451" s="127">
        <v>1</v>
      </c>
      <c r="I451" s="162">
        <v>46179</v>
      </c>
      <c r="J451" s="126">
        <v>0</v>
      </c>
      <c r="K451" s="126">
        <v>0</v>
      </c>
      <c r="L451" s="126">
        <v>0</v>
      </c>
      <c r="M451" s="126">
        <v>264</v>
      </c>
      <c r="N451" s="126">
        <v>0</v>
      </c>
      <c r="O451" s="126">
        <v>0</v>
      </c>
      <c r="P451" s="126">
        <v>0</v>
      </c>
      <c r="Q451" s="126">
        <v>0</v>
      </c>
      <c r="R451" s="126">
        <v>0</v>
      </c>
    </row>
    <row r="452" spans="3:18" ht="23.1" customHeight="1">
      <c r="C452" s="126">
        <v>183</v>
      </c>
      <c r="D452" s="141" t="s">
        <v>766</v>
      </c>
      <c r="E452" s="159" t="s">
        <v>767</v>
      </c>
      <c r="F452" s="127">
        <v>1</v>
      </c>
      <c r="I452" s="162">
        <v>46179</v>
      </c>
      <c r="J452" s="126">
        <v>0</v>
      </c>
      <c r="K452" s="126">
        <v>0</v>
      </c>
      <c r="L452" s="126">
        <v>0</v>
      </c>
      <c r="M452" s="126">
        <v>840</v>
      </c>
      <c r="N452" s="126">
        <v>0</v>
      </c>
      <c r="O452" s="126">
        <v>0</v>
      </c>
      <c r="P452" s="126">
        <v>0</v>
      </c>
      <c r="Q452" s="126">
        <v>0</v>
      </c>
      <c r="R452" s="126">
        <v>0</v>
      </c>
    </row>
    <row r="453" spans="3:18" ht="23.1" customHeight="1">
      <c r="C453" s="126">
        <v>184</v>
      </c>
      <c r="D453" s="141" t="s">
        <v>769</v>
      </c>
      <c r="E453" s="159" t="s">
        <v>770</v>
      </c>
      <c r="F453" s="127">
        <v>1</v>
      </c>
      <c r="I453" s="162">
        <v>46179</v>
      </c>
      <c r="J453" s="126">
        <v>0</v>
      </c>
      <c r="K453" s="126">
        <v>0</v>
      </c>
      <c r="L453" s="126">
        <v>0</v>
      </c>
      <c r="M453" s="126">
        <v>192</v>
      </c>
      <c r="N453" s="126">
        <v>0</v>
      </c>
      <c r="O453" s="126">
        <v>0</v>
      </c>
      <c r="P453" s="126">
        <v>0</v>
      </c>
      <c r="Q453" s="126">
        <v>0</v>
      </c>
      <c r="R453" s="126">
        <v>0</v>
      </c>
    </row>
    <row r="454" spans="3:18" ht="23.1" customHeight="1">
      <c r="C454" s="126">
        <v>185</v>
      </c>
      <c r="D454" s="141" t="s">
        <v>772</v>
      </c>
      <c r="E454" s="159" t="s">
        <v>773</v>
      </c>
      <c r="F454" s="127">
        <v>1</v>
      </c>
      <c r="I454" s="162">
        <v>46179</v>
      </c>
      <c r="J454" s="126">
        <v>0</v>
      </c>
      <c r="K454" s="126">
        <v>0</v>
      </c>
      <c r="L454" s="126">
        <v>0</v>
      </c>
      <c r="M454" s="126">
        <v>24</v>
      </c>
      <c r="N454" s="126">
        <v>0</v>
      </c>
      <c r="O454" s="126">
        <v>0</v>
      </c>
      <c r="P454" s="126">
        <v>0</v>
      </c>
      <c r="Q454" s="126">
        <v>0</v>
      </c>
      <c r="R454" s="126">
        <v>0</v>
      </c>
    </row>
    <row r="455" spans="3:18" ht="23.1" customHeight="1">
      <c r="C455" s="126">
        <v>187</v>
      </c>
      <c r="D455" s="141" t="s">
        <v>576</v>
      </c>
      <c r="E455" s="159" t="s">
        <v>577</v>
      </c>
      <c r="F455" s="127">
        <v>1</v>
      </c>
      <c r="I455" s="162">
        <v>46179</v>
      </c>
      <c r="J455" s="126">
        <v>0</v>
      </c>
      <c r="K455" s="126">
        <v>0</v>
      </c>
      <c r="L455" s="126">
        <v>0</v>
      </c>
      <c r="M455" s="126">
        <v>128</v>
      </c>
      <c r="N455" s="126">
        <v>0</v>
      </c>
      <c r="O455" s="126">
        <v>0</v>
      </c>
      <c r="P455" s="126">
        <v>0</v>
      </c>
      <c r="Q455" s="126">
        <v>0</v>
      </c>
      <c r="R455" s="126">
        <v>0</v>
      </c>
    </row>
    <row r="456" spans="3:18" ht="23.1" customHeight="1">
      <c r="C456" s="126">
        <v>189</v>
      </c>
      <c r="D456" s="141" t="s">
        <v>778</v>
      </c>
      <c r="E456" s="159" t="s">
        <v>779</v>
      </c>
      <c r="F456" s="127">
        <v>1</v>
      </c>
      <c r="I456" s="162">
        <v>46179</v>
      </c>
      <c r="J456" s="126">
        <v>0</v>
      </c>
      <c r="K456" s="126">
        <v>0</v>
      </c>
      <c r="L456" s="126">
        <v>0</v>
      </c>
      <c r="M456" s="126">
        <v>128</v>
      </c>
      <c r="N456" s="126">
        <v>0</v>
      </c>
      <c r="O456" s="126">
        <v>0</v>
      </c>
      <c r="P456" s="126">
        <v>0</v>
      </c>
      <c r="Q456" s="126">
        <v>0</v>
      </c>
      <c r="R456" s="126">
        <v>0</v>
      </c>
    </row>
    <row r="457" spans="3:18" ht="23.1" customHeight="1">
      <c r="C457" s="126">
        <v>192</v>
      </c>
      <c r="D457" s="141" t="s">
        <v>570</v>
      </c>
      <c r="E457" s="159" t="s">
        <v>571</v>
      </c>
      <c r="F457" s="127">
        <v>1</v>
      </c>
      <c r="I457" s="162">
        <v>46179</v>
      </c>
      <c r="J457" s="126">
        <v>0</v>
      </c>
      <c r="K457" s="126">
        <v>0</v>
      </c>
      <c r="L457" s="126">
        <v>0</v>
      </c>
      <c r="M457" s="126">
        <v>8</v>
      </c>
      <c r="N457" s="126">
        <v>0</v>
      </c>
      <c r="O457" s="126">
        <v>0</v>
      </c>
      <c r="P457" s="126">
        <v>0</v>
      </c>
      <c r="Q457" s="126">
        <v>0</v>
      </c>
      <c r="R457" s="126">
        <v>0</v>
      </c>
    </row>
    <row r="458" spans="3:18" ht="23.1" customHeight="1">
      <c r="C458" s="126">
        <v>195</v>
      </c>
      <c r="D458" s="141" t="s">
        <v>608</v>
      </c>
      <c r="E458" s="159" t="s">
        <v>609</v>
      </c>
      <c r="F458" s="127">
        <v>1</v>
      </c>
      <c r="I458" s="162">
        <v>46179</v>
      </c>
      <c r="J458" s="126">
        <v>0</v>
      </c>
      <c r="K458" s="126">
        <v>0</v>
      </c>
      <c r="L458" s="126">
        <v>0</v>
      </c>
      <c r="M458" s="126">
        <v>40</v>
      </c>
      <c r="N458" s="126">
        <v>0</v>
      </c>
      <c r="O458" s="126">
        <v>0</v>
      </c>
      <c r="P458" s="126">
        <v>0</v>
      </c>
      <c r="Q458" s="126">
        <v>0</v>
      </c>
      <c r="R458" s="126">
        <v>0</v>
      </c>
    </row>
    <row r="459" spans="3:18" ht="23.1" customHeight="1">
      <c r="C459" s="126">
        <v>198</v>
      </c>
      <c r="D459" s="141" t="s">
        <v>1170</v>
      </c>
      <c r="E459" s="159" t="s">
        <v>1171</v>
      </c>
      <c r="F459" s="127">
        <v>1</v>
      </c>
      <c r="I459" s="162">
        <v>46179</v>
      </c>
      <c r="J459" s="126">
        <v>0</v>
      </c>
      <c r="K459" s="126">
        <v>0</v>
      </c>
      <c r="L459" s="126">
        <v>0</v>
      </c>
      <c r="M459" s="126">
        <v>32</v>
      </c>
      <c r="N459" s="126">
        <v>0</v>
      </c>
      <c r="O459" s="126">
        <v>0</v>
      </c>
      <c r="P459" s="126">
        <v>0</v>
      </c>
      <c r="Q459" s="126">
        <v>0</v>
      </c>
      <c r="R459" s="126">
        <v>0</v>
      </c>
    </row>
    <row r="460" spans="3:18" ht="23.1" customHeight="1">
      <c r="C460" s="126">
        <v>187</v>
      </c>
      <c r="D460" s="141" t="s">
        <v>576</v>
      </c>
      <c r="E460" s="159" t="s">
        <v>577</v>
      </c>
      <c r="F460" s="127">
        <v>1</v>
      </c>
      <c r="I460" s="162">
        <v>46204</v>
      </c>
      <c r="J460" s="126">
        <v>0</v>
      </c>
      <c r="K460" s="126">
        <v>20</v>
      </c>
      <c r="L460" s="126">
        <v>0</v>
      </c>
      <c r="M460" s="126">
        <v>0</v>
      </c>
      <c r="N460" s="126">
        <v>0</v>
      </c>
      <c r="O460" s="126">
        <v>0</v>
      </c>
      <c r="P460" s="126">
        <v>0</v>
      </c>
      <c r="Q460" s="126">
        <v>0</v>
      </c>
      <c r="R460" s="126">
        <v>0</v>
      </c>
    </row>
    <row r="461" spans="3:18" ht="23.1" customHeight="1">
      <c r="C461" s="126">
        <v>193</v>
      </c>
      <c r="D461" s="141" t="s">
        <v>784</v>
      </c>
      <c r="E461" s="159" t="s">
        <v>785</v>
      </c>
      <c r="F461" s="127">
        <v>1</v>
      </c>
      <c r="I461" s="162">
        <v>46204</v>
      </c>
      <c r="J461" s="126">
        <v>0</v>
      </c>
      <c r="K461" s="126">
        <v>8</v>
      </c>
      <c r="L461" s="126">
        <v>0</v>
      </c>
      <c r="M461" s="126">
        <v>0</v>
      </c>
      <c r="N461" s="126">
        <v>0</v>
      </c>
      <c r="O461" s="126">
        <v>0</v>
      </c>
      <c r="P461" s="126">
        <v>0</v>
      </c>
      <c r="Q461" s="126">
        <v>0</v>
      </c>
      <c r="R461" s="126">
        <v>0</v>
      </c>
    </row>
    <row r="462" spans="3:18" ht="23.1" customHeight="1">
      <c r="C462" s="126">
        <v>235</v>
      </c>
      <c r="D462" s="141" t="s">
        <v>2292</v>
      </c>
      <c r="E462" s="159" t="s">
        <v>2293</v>
      </c>
      <c r="F462" s="127">
        <v>1</v>
      </c>
      <c r="I462" s="162">
        <v>46204</v>
      </c>
      <c r="J462" s="126">
        <v>0</v>
      </c>
      <c r="K462" s="126">
        <v>6</v>
      </c>
      <c r="L462" s="126">
        <v>0</v>
      </c>
      <c r="M462" s="126">
        <v>0</v>
      </c>
      <c r="N462" s="126">
        <v>0</v>
      </c>
      <c r="O462" s="126">
        <v>0</v>
      </c>
      <c r="P462" s="126">
        <v>0</v>
      </c>
      <c r="Q462" s="126">
        <v>0</v>
      </c>
      <c r="R462" s="126">
        <v>0</v>
      </c>
    </row>
    <row r="463" spans="3:18" ht="23.1" customHeight="1">
      <c r="C463" s="126">
        <v>178</v>
      </c>
      <c r="D463" s="141" t="s">
        <v>755</v>
      </c>
      <c r="E463" s="159" t="s">
        <v>756</v>
      </c>
      <c r="F463" s="127">
        <v>1</v>
      </c>
      <c r="I463" s="162">
        <v>46204</v>
      </c>
      <c r="J463" s="126">
        <v>0</v>
      </c>
      <c r="K463" s="126">
        <v>350</v>
      </c>
      <c r="L463" s="126">
        <v>0</v>
      </c>
      <c r="M463" s="126">
        <v>0</v>
      </c>
      <c r="N463" s="126">
        <v>0</v>
      </c>
      <c r="O463" s="126">
        <v>0</v>
      </c>
      <c r="P463" s="126">
        <v>0</v>
      </c>
      <c r="Q463" s="126">
        <v>0</v>
      </c>
      <c r="R463" s="126">
        <v>0</v>
      </c>
    </row>
    <row r="464" spans="3:18" ht="23.1" customHeight="1">
      <c r="C464" s="126">
        <v>241</v>
      </c>
      <c r="D464" s="141" t="s">
        <v>2301</v>
      </c>
      <c r="E464" s="159" t="s">
        <v>2302</v>
      </c>
      <c r="F464" s="127">
        <v>1</v>
      </c>
      <c r="I464" s="162">
        <v>46204</v>
      </c>
      <c r="J464" s="126">
        <v>0</v>
      </c>
      <c r="K464" s="126">
        <v>1</v>
      </c>
      <c r="L464" s="126">
        <v>0</v>
      </c>
      <c r="M464" s="126">
        <v>0</v>
      </c>
      <c r="N464" s="126">
        <v>0</v>
      </c>
      <c r="O464" s="126">
        <v>0</v>
      </c>
      <c r="P464" s="126">
        <v>0</v>
      </c>
      <c r="Q464" s="126">
        <v>0</v>
      </c>
      <c r="R464" s="126">
        <v>0</v>
      </c>
    </row>
    <row r="465" spans="3:18" ht="23.1" customHeight="1">
      <c r="C465" s="126">
        <v>287</v>
      </c>
      <c r="D465" s="141" t="s">
        <v>2306</v>
      </c>
      <c r="E465" s="159" t="s">
        <v>2307</v>
      </c>
      <c r="F465" s="127">
        <v>1</v>
      </c>
      <c r="I465" s="162">
        <v>46204</v>
      </c>
      <c r="J465" s="126">
        <v>0</v>
      </c>
      <c r="K465" s="126">
        <v>75</v>
      </c>
      <c r="L465" s="126">
        <v>0</v>
      </c>
      <c r="M465" s="126">
        <v>0</v>
      </c>
      <c r="N465" s="126">
        <v>0</v>
      </c>
      <c r="O465" s="126">
        <v>0</v>
      </c>
      <c r="P465" s="126">
        <v>0</v>
      </c>
      <c r="Q465" s="126">
        <v>0</v>
      </c>
      <c r="R465" s="126">
        <v>0</v>
      </c>
    </row>
    <row r="466" spans="3:18" ht="23.1" customHeight="1">
      <c r="C466" s="126">
        <v>177</v>
      </c>
      <c r="D466" s="141" t="s">
        <v>752</v>
      </c>
      <c r="E466" s="159" t="s">
        <v>753</v>
      </c>
      <c r="F466" s="127">
        <v>1</v>
      </c>
      <c r="I466" s="162">
        <v>46204</v>
      </c>
      <c r="J466" s="126">
        <v>0</v>
      </c>
      <c r="K466" s="126">
        <v>300</v>
      </c>
      <c r="L466" s="126">
        <v>0</v>
      </c>
      <c r="M466" s="126">
        <v>0</v>
      </c>
      <c r="N466" s="126">
        <v>0</v>
      </c>
      <c r="O466" s="126">
        <v>0</v>
      </c>
      <c r="P466" s="126">
        <v>0</v>
      </c>
      <c r="Q466" s="126">
        <v>0</v>
      </c>
      <c r="R466" s="126">
        <v>0</v>
      </c>
    </row>
    <row r="467" spans="3:18" ht="23.1" customHeight="1">
      <c r="C467" s="126">
        <v>298</v>
      </c>
      <c r="D467" s="141" t="s">
        <v>2318</v>
      </c>
      <c r="E467" s="159" t="s">
        <v>2319</v>
      </c>
      <c r="F467" s="127">
        <v>1</v>
      </c>
      <c r="I467" s="162">
        <v>46204</v>
      </c>
      <c r="J467" s="126">
        <v>0</v>
      </c>
      <c r="K467" s="126">
        <v>60</v>
      </c>
      <c r="L467" s="126">
        <v>0</v>
      </c>
      <c r="M467" s="126">
        <v>0</v>
      </c>
      <c r="N467" s="126">
        <v>0</v>
      </c>
      <c r="O467" s="126">
        <v>0</v>
      </c>
      <c r="P467" s="126">
        <v>0</v>
      </c>
      <c r="Q467" s="126">
        <v>0</v>
      </c>
      <c r="R467" s="126">
        <v>0</v>
      </c>
    </row>
    <row r="468" spans="3:18" ht="23.1" customHeight="1">
      <c r="C468" s="126">
        <v>295</v>
      </c>
      <c r="D468" s="141" t="s">
        <v>2326</v>
      </c>
      <c r="E468" s="159" t="s">
        <v>2327</v>
      </c>
      <c r="F468" s="127">
        <v>1</v>
      </c>
      <c r="I468" s="162">
        <v>46204</v>
      </c>
      <c r="J468" s="126">
        <v>0</v>
      </c>
      <c r="K468" s="126">
        <v>2</v>
      </c>
      <c r="L468" s="126">
        <v>0</v>
      </c>
      <c r="M468" s="126">
        <v>0</v>
      </c>
      <c r="N468" s="126">
        <v>0</v>
      </c>
      <c r="O468" s="126">
        <v>0</v>
      </c>
      <c r="P468" s="126">
        <v>0</v>
      </c>
      <c r="Q468" s="126">
        <v>0</v>
      </c>
      <c r="R468" s="126">
        <v>0</v>
      </c>
    </row>
    <row r="469" spans="3:18" ht="23.1" customHeight="1">
      <c r="C469" s="126">
        <v>327</v>
      </c>
      <c r="D469" s="141" t="s">
        <v>2337</v>
      </c>
      <c r="E469" s="159" t="s">
        <v>2338</v>
      </c>
      <c r="F469" s="127">
        <v>1</v>
      </c>
      <c r="I469" s="162">
        <v>46204</v>
      </c>
      <c r="J469" s="126">
        <v>0</v>
      </c>
      <c r="K469" s="126">
        <v>1</v>
      </c>
      <c r="L469" s="126">
        <v>0</v>
      </c>
      <c r="M469" s="126">
        <v>0</v>
      </c>
      <c r="N469" s="126">
        <v>0</v>
      </c>
      <c r="O469" s="126">
        <v>0</v>
      </c>
      <c r="P469" s="126">
        <v>0</v>
      </c>
      <c r="Q469" s="126">
        <v>0</v>
      </c>
      <c r="R469" s="126">
        <v>0</v>
      </c>
    </row>
    <row r="470" spans="3:18" ht="23.1" customHeight="1">
      <c r="C470" s="126">
        <v>213</v>
      </c>
      <c r="D470" s="141" t="s">
        <v>2342</v>
      </c>
      <c r="E470" s="159" t="s">
        <v>2343</v>
      </c>
      <c r="F470" s="127">
        <v>1</v>
      </c>
      <c r="I470" s="162">
        <v>46204</v>
      </c>
      <c r="J470" s="126">
        <v>0</v>
      </c>
      <c r="K470" s="126">
        <v>3</v>
      </c>
      <c r="L470" s="126">
        <v>0</v>
      </c>
      <c r="M470" s="126">
        <v>0</v>
      </c>
      <c r="N470" s="126">
        <v>0</v>
      </c>
      <c r="O470" s="126">
        <v>0</v>
      </c>
      <c r="P470" s="126">
        <v>0</v>
      </c>
      <c r="Q470" s="126">
        <v>0</v>
      </c>
      <c r="R470" s="126">
        <v>0</v>
      </c>
    </row>
    <row r="471" spans="3:18" ht="23.1" customHeight="1">
      <c r="C471" s="126">
        <v>228</v>
      </c>
      <c r="D471" s="141" t="s">
        <v>2347</v>
      </c>
      <c r="E471" s="159" t="s">
        <v>2348</v>
      </c>
      <c r="F471" s="127">
        <v>1</v>
      </c>
      <c r="I471" s="162">
        <v>46204</v>
      </c>
      <c r="J471" s="126">
        <v>0</v>
      </c>
      <c r="K471" s="126">
        <v>1</v>
      </c>
      <c r="L471" s="126">
        <v>0</v>
      </c>
      <c r="M471" s="126">
        <v>0</v>
      </c>
      <c r="N471" s="126">
        <v>0</v>
      </c>
      <c r="O471" s="126">
        <v>0</v>
      </c>
      <c r="P471" s="126">
        <v>0</v>
      </c>
      <c r="Q471" s="126">
        <v>0</v>
      </c>
      <c r="R471" s="126">
        <v>0</v>
      </c>
    </row>
    <row r="472" spans="3:18" ht="23.1" customHeight="1">
      <c r="C472" s="126">
        <v>195</v>
      </c>
      <c r="D472" s="141" t="s">
        <v>608</v>
      </c>
      <c r="E472" s="159" t="s">
        <v>609</v>
      </c>
      <c r="F472" s="127">
        <v>1</v>
      </c>
      <c r="I472" s="162">
        <v>46205</v>
      </c>
      <c r="J472" s="126">
        <v>0</v>
      </c>
      <c r="K472" s="126">
        <v>24</v>
      </c>
      <c r="L472" s="126">
        <v>0</v>
      </c>
      <c r="M472" s="126">
        <v>0</v>
      </c>
      <c r="N472" s="126">
        <v>0</v>
      </c>
      <c r="O472" s="126">
        <v>0</v>
      </c>
      <c r="P472" s="126">
        <v>0</v>
      </c>
      <c r="Q472" s="126">
        <v>0</v>
      </c>
      <c r="R472" s="126">
        <v>0</v>
      </c>
    </row>
    <row r="473" spans="3:18" ht="23.1" customHeight="1">
      <c r="C473" s="126">
        <v>187</v>
      </c>
      <c r="D473" s="141" t="s">
        <v>576</v>
      </c>
      <c r="E473" s="159" t="s">
        <v>577</v>
      </c>
      <c r="F473" s="127">
        <v>1</v>
      </c>
      <c r="I473" s="162">
        <v>46205</v>
      </c>
      <c r="J473" s="126">
        <v>0</v>
      </c>
      <c r="K473" s="126">
        <v>28</v>
      </c>
      <c r="L473" s="126">
        <v>0</v>
      </c>
      <c r="M473" s="126">
        <v>0</v>
      </c>
      <c r="N473" s="126">
        <v>0</v>
      </c>
      <c r="O473" s="126">
        <v>0</v>
      </c>
      <c r="P473" s="126">
        <v>0</v>
      </c>
      <c r="Q473" s="126">
        <v>0</v>
      </c>
      <c r="R473" s="126">
        <v>0</v>
      </c>
    </row>
    <row r="474" spans="3:18" ht="23.1" customHeight="1">
      <c r="C474" s="126">
        <v>197</v>
      </c>
      <c r="D474" s="141" t="s">
        <v>652</v>
      </c>
      <c r="E474" s="159" t="s">
        <v>653</v>
      </c>
      <c r="F474" s="127">
        <v>1</v>
      </c>
      <c r="I474" s="162">
        <v>46205</v>
      </c>
      <c r="J474" s="126">
        <v>0</v>
      </c>
      <c r="K474" s="126">
        <v>8</v>
      </c>
      <c r="L474" s="126">
        <v>0</v>
      </c>
      <c r="M474" s="126">
        <v>0</v>
      </c>
      <c r="N474" s="126">
        <v>0</v>
      </c>
      <c r="O474" s="126">
        <v>0</v>
      </c>
      <c r="P474" s="126">
        <v>0</v>
      </c>
      <c r="Q474" s="126">
        <v>0</v>
      </c>
      <c r="R474" s="126">
        <v>0</v>
      </c>
    </row>
  </sheetData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0F7AA-DC24-4670-8951-ADB0B3162D98}">
  <sheetPr codeName="Sheet47"/>
  <dimension ref="C1:AD7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H33" sqref="H33"/>
    </sheetView>
  </sheetViews>
  <sheetFormatPr defaultColWidth="12.5703125" defaultRowHeight="23.1" customHeight="1"/>
  <cols>
    <col min="1" max="1" width="3.5703125" style="126" customWidth="1"/>
    <col min="2" max="2" width="3.28515625" style="126" customWidth="1"/>
    <col min="3" max="3" width="15.7109375" style="126" bestFit="1" customWidth="1"/>
    <col min="4" max="4" width="19.7109375" style="141" customWidth="1"/>
    <col min="5" max="5" width="26.28515625" style="163" customWidth="1"/>
    <col min="6" max="6" width="13.28515625" style="159" customWidth="1"/>
    <col min="7" max="7" width="13" style="226" customWidth="1"/>
    <col min="8" max="8" width="15.7109375" style="126" customWidth="1"/>
    <col min="9" max="9" width="14.5703125" style="126" customWidth="1"/>
    <col min="10" max="11" width="13" style="126" customWidth="1"/>
    <col min="12" max="12" width="18" style="126" customWidth="1"/>
    <col min="13" max="13" width="18.28515625" style="126" customWidth="1"/>
    <col min="14" max="14" width="14.5703125" style="126" customWidth="1"/>
    <col min="15" max="15" width="19.28515625" style="126" customWidth="1"/>
    <col min="16" max="17" width="19.5703125" style="126" customWidth="1"/>
    <col min="18" max="18" width="16.28515625" style="126" customWidth="1"/>
    <col min="19" max="19" width="13.7109375" style="126" customWidth="1"/>
    <col min="20" max="20" width="12.5703125" style="126" customWidth="1"/>
    <col min="21" max="16384" width="12.5703125" style="126"/>
  </cols>
  <sheetData>
    <row r="1" spans="3:30" s="13" customFormat="1" ht="23.25" hidden="1">
      <c r="C1" s="126"/>
      <c r="D1" s="140"/>
      <c r="E1" s="163"/>
      <c r="F1" s="159"/>
      <c r="G1" s="226"/>
    </row>
    <row r="2" spans="3:30" s="13" customFormat="1" ht="23.25" hidden="1">
      <c r="C2" s="126"/>
      <c r="D2" s="140"/>
      <c r="E2" s="163"/>
      <c r="F2" s="159"/>
      <c r="G2" s="226"/>
    </row>
    <row r="3" spans="3:30" s="13" customFormat="1" ht="23.25">
      <c r="C3" s="126"/>
      <c r="D3" s="140"/>
      <c r="E3" s="163"/>
      <c r="F3" s="159"/>
      <c r="G3" s="226"/>
    </row>
    <row r="4" spans="3:30" s="13" customFormat="1" ht="32.25" customHeight="1">
      <c r="C4" s="126"/>
      <c r="D4" s="140"/>
      <c r="E4" s="167"/>
      <c r="F4" s="190"/>
      <c r="G4" s="227"/>
    </row>
    <row r="5" spans="3:30" s="13" customFormat="1" ht="26.25" customHeight="1">
      <c r="C5" s="126"/>
      <c r="D5" s="140"/>
      <c r="E5" s="163"/>
      <c r="F5" s="159"/>
      <c r="G5" s="226"/>
    </row>
    <row r="6" spans="3:30" s="13" customFormat="1" ht="25.5">
      <c r="C6" s="264" t="s">
        <v>173</v>
      </c>
      <c r="D6" s="265" t="s">
        <v>213</v>
      </c>
      <c r="E6" s="265" t="s">
        <v>12</v>
      </c>
      <c r="F6" s="264" t="s">
        <v>214</v>
      </c>
      <c r="G6" s="266" t="s">
        <v>211</v>
      </c>
      <c r="H6" s="264" t="s">
        <v>174</v>
      </c>
      <c r="I6" s="264" t="s">
        <v>175</v>
      </c>
      <c r="J6" s="264" t="s">
        <v>119</v>
      </c>
      <c r="K6" s="264" t="s">
        <v>119</v>
      </c>
      <c r="L6" s="264" t="s">
        <v>176</v>
      </c>
      <c r="M6" s="264" t="s">
        <v>176</v>
      </c>
      <c r="N6" s="264" t="s">
        <v>177</v>
      </c>
      <c r="O6" s="264" t="s">
        <v>178</v>
      </c>
      <c r="P6" s="264" t="s">
        <v>179</v>
      </c>
      <c r="Q6" s="264" t="s">
        <v>179</v>
      </c>
      <c r="R6" s="264" t="s">
        <v>180</v>
      </c>
      <c r="S6" s="264" t="s">
        <v>181</v>
      </c>
      <c r="T6" s="264" t="s">
        <v>182</v>
      </c>
      <c r="X6" s="13" t="s">
        <v>174</v>
      </c>
      <c r="Y6" s="13" t="s">
        <v>175</v>
      </c>
      <c r="Z6" s="13" t="s">
        <v>119</v>
      </c>
      <c r="AA6" s="13" t="s">
        <v>119</v>
      </c>
      <c r="AB6" s="13" t="s">
        <v>176</v>
      </c>
      <c r="AC6" s="13" t="s">
        <v>176</v>
      </c>
      <c r="AD6" s="13" t="s">
        <v>177</v>
      </c>
    </row>
    <row r="7" spans="3:30" ht="20.25" customHeight="1">
      <c r="C7" s="267" t="s">
        <v>162</v>
      </c>
      <c r="D7" s="268" t="s">
        <v>207</v>
      </c>
      <c r="E7" s="268" t="s">
        <v>17</v>
      </c>
      <c r="F7" s="267" t="s">
        <v>210</v>
      </c>
      <c r="G7" s="269" t="s">
        <v>202</v>
      </c>
      <c r="H7" s="267" t="s">
        <v>164</v>
      </c>
      <c r="I7" s="267" t="s">
        <v>165</v>
      </c>
      <c r="J7" s="267" t="s">
        <v>172</v>
      </c>
      <c r="K7" s="267" t="s">
        <v>367</v>
      </c>
      <c r="L7" s="267" t="s">
        <v>166</v>
      </c>
      <c r="M7" s="267" t="s">
        <v>368</v>
      </c>
      <c r="N7" s="267" t="s">
        <v>167</v>
      </c>
      <c r="O7" s="267" t="s">
        <v>168</v>
      </c>
      <c r="P7" s="267" t="s">
        <v>169</v>
      </c>
      <c r="Q7" s="267" t="s">
        <v>369</v>
      </c>
      <c r="R7" s="267" t="s">
        <v>170</v>
      </c>
      <c r="S7" s="267" t="s">
        <v>171</v>
      </c>
      <c r="T7" s="267" t="s">
        <v>183</v>
      </c>
      <c r="X7" s="126" t="s">
        <v>164</v>
      </c>
      <c r="Y7" s="126" t="s">
        <v>165</v>
      </c>
      <c r="Z7" s="126" t="s">
        <v>172</v>
      </c>
      <c r="AA7" s="126" t="s">
        <v>367</v>
      </c>
      <c r="AB7" s="126" t="s">
        <v>166</v>
      </c>
      <c r="AC7" s="126" t="s">
        <v>368</v>
      </c>
      <c r="AD7" s="126" t="s">
        <v>167</v>
      </c>
    </row>
  </sheetData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8E9E4-ADDC-4DCD-A7AB-AD85B149ACBB}">
  <sheetPr codeName="Sheet63"/>
  <dimension ref="C1:Z10"/>
  <sheetViews>
    <sheetView showGridLines="0" zoomScale="90" zoomScaleNormal="90" workbookViewId="0">
      <pane ySplit="7" topLeftCell="A8" activePane="bottomLeft" state="frozen"/>
      <selection activeCell="L28" sqref="L28"/>
      <selection pane="bottomLeft" activeCell="I18" sqref="I18"/>
    </sheetView>
  </sheetViews>
  <sheetFormatPr defaultColWidth="12.5703125" defaultRowHeight="23.1" customHeight="1"/>
  <cols>
    <col min="1" max="1" width="2.5703125" style="130" customWidth="1"/>
    <col min="2" max="2" width="3.7109375" style="130" customWidth="1"/>
    <col min="3" max="3" width="13.140625" style="126" customWidth="1"/>
    <col min="4" max="4" width="19.140625" style="141" customWidth="1"/>
    <col min="5" max="5" width="36.140625" style="159" customWidth="1"/>
    <col min="6" max="6" width="15.85546875" style="127" bestFit="1" customWidth="1"/>
    <col min="7" max="7" width="13.5703125" style="126" customWidth="1"/>
    <col min="8" max="8" width="17.7109375" style="162" customWidth="1"/>
    <col min="9" max="9" width="12" style="162" bestFit="1" customWidth="1"/>
    <col min="10" max="10" width="14.5703125" style="126" customWidth="1"/>
    <col min="11" max="11" width="13" style="126" customWidth="1"/>
    <col min="12" max="12" width="12.5703125" style="126" customWidth="1"/>
    <col min="13" max="13" width="14.5703125" style="126" customWidth="1"/>
    <col min="14" max="14" width="19.28515625" style="126" customWidth="1"/>
    <col min="15" max="15" width="19.5703125" style="126" customWidth="1"/>
    <col min="16" max="16" width="16.28515625" style="126" customWidth="1"/>
    <col min="17" max="17" width="13.7109375" style="126" customWidth="1"/>
    <col min="18" max="18" width="12.5703125" style="126" customWidth="1"/>
    <col min="19" max="19" width="27.7109375" style="171" customWidth="1"/>
    <col min="20" max="16384" width="12.5703125" style="130"/>
  </cols>
  <sheetData>
    <row r="1" spans="3:26" customFormat="1" ht="23.25" hidden="1">
      <c r="C1" s="13"/>
      <c r="D1" s="140"/>
      <c r="E1" s="127"/>
      <c r="F1" s="127"/>
      <c r="G1" s="13"/>
      <c r="H1" s="161"/>
      <c r="I1" s="161"/>
      <c r="J1" s="13"/>
      <c r="K1" s="13"/>
      <c r="L1" s="13"/>
      <c r="M1" s="13"/>
      <c r="N1" s="13"/>
      <c r="O1" s="13"/>
      <c r="P1" s="13"/>
      <c r="Q1" s="13"/>
      <c r="R1" s="13"/>
      <c r="S1" s="132"/>
    </row>
    <row r="2" spans="3:26" customFormat="1" ht="23.25" hidden="1">
      <c r="C2" s="13"/>
      <c r="D2" s="140"/>
      <c r="E2" s="127"/>
      <c r="F2" s="127"/>
      <c r="G2" s="13"/>
      <c r="H2" s="161"/>
      <c r="I2" s="161"/>
      <c r="J2" s="13"/>
      <c r="K2" s="13"/>
      <c r="L2" s="13"/>
      <c r="M2" s="13"/>
      <c r="N2" s="13"/>
      <c r="O2" s="13"/>
      <c r="P2" s="13"/>
      <c r="Q2" s="13"/>
      <c r="R2" s="13"/>
      <c r="S2" s="132"/>
    </row>
    <row r="3" spans="3:26" customFormat="1" ht="23.25">
      <c r="C3" s="13"/>
      <c r="D3" s="141"/>
      <c r="E3" s="127"/>
      <c r="F3" s="127"/>
      <c r="G3" s="13"/>
      <c r="H3" s="161"/>
      <c r="I3" s="161"/>
      <c r="J3" s="13"/>
      <c r="K3" s="13"/>
      <c r="L3" s="13"/>
      <c r="M3" s="13"/>
      <c r="N3" s="13"/>
      <c r="O3" s="13"/>
      <c r="P3" s="13"/>
      <c r="Q3" s="13"/>
      <c r="R3" s="13"/>
      <c r="S3" s="132"/>
    </row>
    <row r="4" spans="3:26" customFormat="1" ht="32.25" customHeight="1">
      <c r="C4" s="13"/>
      <c r="D4" s="140"/>
      <c r="E4" s="127"/>
      <c r="F4" s="127"/>
      <c r="G4" s="13"/>
      <c r="H4" s="161"/>
      <c r="I4" s="161"/>
      <c r="J4" s="13"/>
      <c r="K4" s="13"/>
      <c r="L4" s="13"/>
      <c r="M4" s="13"/>
      <c r="N4" s="13"/>
      <c r="O4" s="13"/>
      <c r="P4" s="13"/>
      <c r="Q4" s="13"/>
      <c r="R4" s="13"/>
      <c r="S4" s="132"/>
      <c r="U4" s="141"/>
      <c r="V4" s="141"/>
      <c r="W4" s="134"/>
      <c r="X4" s="127"/>
    </row>
    <row r="5" spans="3:26" customFormat="1" ht="8.25" customHeight="1">
      <c r="C5" s="13"/>
      <c r="D5" s="140"/>
      <c r="E5" s="127"/>
      <c r="F5" s="127"/>
      <c r="G5" s="13"/>
      <c r="H5" s="161"/>
      <c r="I5" s="161"/>
      <c r="J5" s="13"/>
      <c r="K5" s="13"/>
      <c r="L5" s="13"/>
      <c r="M5" s="13"/>
      <c r="N5" s="13"/>
      <c r="O5" s="13"/>
      <c r="P5" s="13"/>
      <c r="Q5" s="13"/>
      <c r="R5" s="13"/>
      <c r="S5" s="132"/>
    </row>
    <row r="6" spans="3:26" customFormat="1" ht="25.5">
      <c r="C6" s="264" t="s">
        <v>173</v>
      </c>
      <c r="D6" s="265" t="s">
        <v>213</v>
      </c>
      <c r="E6" s="264" t="s">
        <v>12</v>
      </c>
      <c r="F6" s="264" t="s">
        <v>186</v>
      </c>
      <c r="G6" s="264" t="s">
        <v>212</v>
      </c>
      <c r="H6" s="266" t="s">
        <v>211</v>
      </c>
      <c r="I6" s="266" t="s">
        <v>24</v>
      </c>
      <c r="J6" s="264" t="s">
        <v>118</v>
      </c>
      <c r="K6" s="264" t="s">
        <v>119</v>
      </c>
      <c r="L6" s="264" t="s">
        <v>176</v>
      </c>
      <c r="M6" s="264" t="s">
        <v>177</v>
      </c>
      <c r="N6" s="264" t="s">
        <v>178</v>
      </c>
      <c r="O6" s="264" t="s">
        <v>179</v>
      </c>
      <c r="P6" s="264" t="s">
        <v>180</v>
      </c>
      <c r="Q6" s="264" t="s">
        <v>181</v>
      </c>
      <c r="R6" s="264" t="s">
        <v>182</v>
      </c>
      <c r="S6" s="132"/>
      <c r="T6" s="13"/>
      <c r="U6" s="13"/>
      <c r="V6" s="13"/>
      <c r="W6" s="13"/>
      <c r="X6" s="13"/>
      <c r="Y6" s="13"/>
      <c r="Z6" s="13"/>
    </row>
    <row r="7" spans="3:26" s="126" customFormat="1" ht="20.25" customHeight="1">
      <c r="C7" s="267" t="s">
        <v>162</v>
      </c>
      <c r="D7" s="268" t="s">
        <v>207</v>
      </c>
      <c r="E7" s="267" t="s">
        <v>17</v>
      </c>
      <c r="F7" s="267" t="s">
        <v>110</v>
      </c>
      <c r="G7" s="267" t="s">
        <v>210</v>
      </c>
      <c r="H7" s="269" t="s">
        <v>202</v>
      </c>
      <c r="I7" s="269" t="s">
        <v>21</v>
      </c>
      <c r="J7" s="267" t="s">
        <v>165</v>
      </c>
      <c r="K7" s="267" t="s">
        <v>172</v>
      </c>
      <c r="L7" s="267" t="s">
        <v>166</v>
      </c>
      <c r="M7" s="267" t="s">
        <v>167</v>
      </c>
      <c r="N7" s="267" t="s">
        <v>168</v>
      </c>
      <c r="O7" s="267" t="s">
        <v>169</v>
      </c>
      <c r="P7" s="267" t="s">
        <v>170</v>
      </c>
      <c r="Q7" s="267" t="s">
        <v>171</v>
      </c>
      <c r="R7" s="267" t="s">
        <v>183</v>
      </c>
      <c r="S7" s="128"/>
    </row>
    <row r="8" spans="3:26" ht="23.1" customHeight="1">
      <c r="T8" s="126"/>
      <c r="U8" s="126"/>
      <c r="V8" s="126"/>
      <c r="W8" s="126"/>
      <c r="X8" s="126"/>
      <c r="Y8" s="126"/>
      <c r="Z8" s="126"/>
    </row>
    <row r="9" spans="3:26" ht="23.1" customHeight="1">
      <c r="T9" s="126"/>
      <c r="U9" s="126"/>
      <c r="V9" s="126"/>
      <c r="W9" s="126"/>
      <c r="X9" s="126"/>
      <c r="Y9" s="126"/>
      <c r="Z9" s="126"/>
    </row>
    <row r="10" spans="3:26" ht="23.1" customHeight="1">
      <c r="T10" s="126"/>
      <c r="U10" s="126"/>
      <c r="V10" s="126"/>
      <c r="W10" s="126"/>
      <c r="X10" s="126"/>
      <c r="Y10" s="126"/>
      <c r="Z10" s="126"/>
    </row>
  </sheetData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F1A10-1538-4636-9A75-6EFAA86CF066}">
  <sheetPr codeName="Sheet28"/>
  <dimension ref="C1:AP41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H15" sqref="H15"/>
    </sheetView>
  </sheetViews>
  <sheetFormatPr defaultRowHeight="23.25"/>
  <cols>
    <col min="1" max="1" width="2" style="130" customWidth="1"/>
    <col min="2" max="2" width="3" style="130" customWidth="1"/>
    <col min="3" max="3" width="5.85546875" style="126" customWidth="1"/>
    <col min="4" max="4" width="17.28515625" style="141" customWidth="1"/>
    <col min="5" max="5" width="15.28515625" style="162" customWidth="1"/>
    <col min="6" max="6" width="13.85546875" style="126" customWidth="1"/>
    <col min="7" max="7" width="11.85546875" style="126" customWidth="1"/>
    <col min="8" max="8" width="12.140625" style="126" customWidth="1"/>
    <col min="9" max="9" width="29.42578125" style="163" bestFit="1" customWidth="1"/>
    <col min="10" max="10" width="20.28515625" style="170" customWidth="1"/>
    <col min="11" max="11" width="11.42578125" style="126" customWidth="1"/>
    <col min="12" max="12" width="17.140625" style="126" customWidth="1"/>
    <col min="13" max="13" width="20" style="126" customWidth="1"/>
    <col min="14" max="14" width="13.5703125" style="126" customWidth="1"/>
    <col min="15" max="15" width="14.85546875" style="126" customWidth="1"/>
    <col min="16" max="16" width="12" style="126" customWidth="1"/>
    <col min="17" max="18" width="11.5703125" style="126" customWidth="1"/>
    <col min="19" max="19" width="10" style="126" bestFit="1" customWidth="1"/>
    <col min="20" max="20" width="11.5703125" style="126" customWidth="1"/>
    <col min="21" max="21" width="14.42578125" style="126" customWidth="1"/>
    <col min="22" max="22" width="13.140625" style="126" customWidth="1"/>
    <col min="23" max="23" width="13.42578125" style="126" customWidth="1"/>
    <col min="24" max="24" width="50" style="163" bestFit="1" customWidth="1"/>
    <col min="25" max="26" width="16" style="141" customWidth="1"/>
    <col min="27" max="27" width="22.42578125" style="166" customWidth="1"/>
    <col min="28" max="28" width="14.85546875" style="142" customWidth="1"/>
    <col min="29" max="29" width="18.42578125" style="162" customWidth="1"/>
    <col min="30" max="30" width="38" style="149" customWidth="1"/>
    <col min="31" max="31" width="8.42578125" style="126" customWidth="1"/>
    <col min="32" max="32" width="12.140625" style="126" customWidth="1"/>
    <col min="33" max="33" width="9.28515625" style="126" customWidth="1"/>
    <col min="34" max="34" width="7.7109375" style="126" customWidth="1"/>
    <col min="35" max="35" width="7" style="126" customWidth="1"/>
    <col min="36" max="36" width="6.28515625" style="126" customWidth="1"/>
    <col min="37" max="16384" width="9.140625" style="130"/>
  </cols>
  <sheetData>
    <row r="1" spans="3:42" customFormat="1" ht="7.5" customHeight="1">
      <c r="C1" s="13"/>
      <c r="D1" s="140"/>
      <c r="E1" s="161"/>
      <c r="F1" s="13"/>
      <c r="G1" s="13"/>
      <c r="H1" s="13"/>
      <c r="I1" s="170"/>
      <c r="J1" s="170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70"/>
      <c r="Y1" s="140"/>
      <c r="Z1" s="140"/>
      <c r="AA1" s="164"/>
      <c r="AB1" s="142"/>
      <c r="AC1" s="161"/>
      <c r="AD1" s="13"/>
      <c r="AE1" s="13"/>
      <c r="AF1" s="13"/>
      <c r="AG1" s="13"/>
      <c r="AH1" s="13"/>
      <c r="AI1" s="13"/>
      <c r="AJ1" s="13"/>
    </row>
    <row r="2" spans="3:42" customFormat="1">
      <c r="C2" s="13"/>
      <c r="D2" s="140"/>
      <c r="E2" s="161"/>
      <c r="F2" s="13"/>
      <c r="G2" s="13"/>
      <c r="H2" s="13"/>
      <c r="I2" s="170"/>
      <c r="J2" s="170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70"/>
      <c r="Y2" s="140"/>
      <c r="Z2" s="140"/>
      <c r="AA2" s="164"/>
      <c r="AB2" s="142"/>
      <c r="AC2" s="161"/>
      <c r="AD2" s="13"/>
      <c r="AE2" s="13"/>
      <c r="AF2" s="13"/>
      <c r="AG2" s="13"/>
      <c r="AH2" s="13"/>
      <c r="AI2" s="13"/>
      <c r="AJ2" s="13"/>
    </row>
    <row r="3" spans="3:42" customFormat="1">
      <c r="C3" s="13"/>
      <c r="D3" s="140"/>
      <c r="E3" s="161"/>
      <c r="F3" s="13"/>
      <c r="G3" s="13"/>
      <c r="H3" s="13"/>
      <c r="I3" s="170"/>
      <c r="J3" s="170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70"/>
      <c r="Y3" s="140"/>
      <c r="Z3" s="140"/>
      <c r="AA3" s="164"/>
      <c r="AB3" s="142"/>
      <c r="AC3" s="161"/>
      <c r="AD3" s="13"/>
      <c r="AE3" s="13"/>
      <c r="AF3" s="13"/>
      <c r="AG3" s="13"/>
      <c r="AH3" s="13"/>
      <c r="AI3" s="13"/>
      <c r="AJ3" s="13"/>
    </row>
    <row r="4" spans="3:42" customFormat="1" ht="12" customHeight="1">
      <c r="C4" s="13"/>
      <c r="D4" s="140"/>
      <c r="E4" s="161"/>
      <c r="F4" s="13"/>
      <c r="G4" s="13"/>
      <c r="H4" s="13"/>
      <c r="I4" s="170"/>
      <c r="J4" s="170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70"/>
      <c r="Y4" s="140"/>
      <c r="Z4" s="140"/>
      <c r="AA4" s="164"/>
      <c r="AB4" s="142"/>
      <c r="AC4" s="161"/>
      <c r="AD4" s="13"/>
      <c r="AE4" s="13"/>
      <c r="AF4" s="13"/>
      <c r="AG4" s="13"/>
      <c r="AH4" s="13"/>
      <c r="AI4" s="13"/>
      <c r="AJ4" s="13"/>
    </row>
    <row r="5" spans="3:42" customFormat="1" hidden="1">
      <c r="C5" s="13"/>
      <c r="D5" s="140"/>
      <c r="E5" s="161"/>
      <c r="F5" s="13"/>
      <c r="G5" s="13"/>
      <c r="H5" s="13"/>
      <c r="I5" s="170"/>
      <c r="J5" s="170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70"/>
      <c r="Y5" s="140"/>
      <c r="Z5" s="140"/>
      <c r="AA5" s="164"/>
      <c r="AB5" s="142"/>
      <c r="AC5" s="161"/>
      <c r="AD5" s="13"/>
      <c r="AE5" s="13"/>
      <c r="AF5" s="13"/>
      <c r="AG5" s="13"/>
      <c r="AH5" s="13"/>
      <c r="AI5" s="13"/>
      <c r="AJ5" s="13"/>
    </row>
    <row r="6" spans="3:42" s="13" customFormat="1">
      <c r="C6" s="270" t="s">
        <v>10</v>
      </c>
      <c r="D6" s="271" t="s">
        <v>243</v>
      </c>
      <c r="E6" s="272" t="s">
        <v>244</v>
      </c>
      <c r="F6" s="270" t="s">
        <v>222</v>
      </c>
      <c r="G6" s="270" t="s">
        <v>107</v>
      </c>
      <c r="H6" s="270" t="s">
        <v>241</v>
      </c>
      <c r="I6" s="271" t="s">
        <v>242</v>
      </c>
      <c r="J6" s="273" t="s">
        <v>273</v>
      </c>
      <c r="K6" s="270" t="s">
        <v>0</v>
      </c>
      <c r="L6" s="270" t="s">
        <v>223</v>
      </c>
      <c r="M6" s="270" t="s">
        <v>225</v>
      </c>
      <c r="N6" s="270" t="s">
        <v>246</v>
      </c>
      <c r="O6" s="270" t="s">
        <v>247</v>
      </c>
      <c r="P6" s="270" t="s">
        <v>248</v>
      </c>
      <c r="Q6" s="270" t="s">
        <v>9</v>
      </c>
      <c r="R6" s="270" t="s">
        <v>276</v>
      </c>
      <c r="S6" s="270" t="s">
        <v>108</v>
      </c>
      <c r="T6" s="270" t="s">
        <v>245</v>
      </c>
      <c r="U6" s="270" t="s">
        <v>274</v>
      </c>
      <c r="V6" s="270" t="s">
        <v>249</v>
      </c>
      <c r="W6" s="270" t="s">
        <v>275</v>
      </c>
      <c r="X6" s="270" t="s">
        <v>250</v>
      </c>
      <c r="Y6" s="271" t="s">
        <v>251</v>
      </c>
      <c r="Z6" s="271" t="s">
        <v>25</v>
      </c>
      <c r="AA6" s="274" t="s">
        <v>209</v>
      </c>
      <c r="AB6" s="271" t="s">
        <v>226</v>
      </c>
      <c r="AC6" s="272" t="s">
        <v>253</v>
      </c>
      <c r="AD6" s="270" t="s">
        <v>252</v>
      </c>
      <c r="AE6" s="270" t="s">
        <v>254</v>
      </c>
      <c r="AF6" s="270" t="s">
        <v>255</v>
      </c>
      <c r="AG6" s="270" t="s">
        <v>109</v>
      </c>
      <c r="AH6" s="270" t="s">
        <v>23</v>
      </c>
      <c r="AI6" s="270" t="s">
        <v>95</v>
      </c>
      <c r="AJ6" s="270" t="s">
        <v>120</v>
      </c>
    </row>
    <row r="7" spans="3:42" s="126" customFormat="1" ht="15">
      <c r="C7" s="267" t="s">
        <v>1</v>
      </c>
      <c r="D7" s="268" t="s">
        <v>227</v>
      </c>
      <c r="E7" s="269" t="s">
        <v>228</v>
      </c>
      <c r="F7" s="267" t="s">
        <v>221</v>
      </c>
      <c r="G7" s="267" t="s">
        <v>124</v>
      </c>
      <c r="H7" s="267" t="s">
        <v>160</v>
      </c>
      <c r="I7" s="268" t="s">
        <v>97</v>
      </c>
      <c r="J7" s="275" t="s">
        <v>272</v>
      </c>
      <c r="K7" s="267" t="s">
        <v>229</v>
      </c>
      <c r="L7" s="267" t="s">
        <v>230</v>
      </c>
      <c r="M7" s="267" t="s">
        <v>3</v>
      </c>
      <c r="N7" s="267" t="s">
        <v>232</v>
      </c>
      <c r="O7" s="267" t="s">
        <v>233</v>
      </c>
      <c r="P7" s="267" t="s">
        <v>234</v>
      </c>
      <c r="Q7" s="267" t="s">
        <v>278</v>
      </c>
      <c r="R7" s="267" t="s">
        <v>277</v>
      </c>
      <c r="S7" s="267" t="s">
        <v>205</v>
      </c>
      <c r="T7" s="267" t="s">
        <v>231</v>
      </c>
      <c r="U7" s="267" t="s">
        <v>271</v>
      </c>
      <c r="V7" s="267" t="s">
        <v>206</v>
      </c>
      <c r="W7" s="267" t="s">
        <v>30</v>
      </c>
      <c r="X7" s="267" t="s">
        <v>236</v>
      </c>
      <c r="Y7" s="268" t="s">
        <v>240</v>
      </c>
      <c r="Z7" s="268" t="s">
        <v>28</v>
      </c>
      <c r="AA7" s="276" t="s">
        <v>203</v>
      </c>
      <c r="AB7" s="276" t="s">
        <v>191</v>
      </c>
      <c r="AC7" s="269" t="s">
        <v>204</v>
      </c>
      <c r="AD7" s="267" t="s">
        <v>237</v>
      </c>
      <c r="AE7" s="267" t="s">
        <v>238</v>
      </c>
      <c r="AF7" s="267" t="s">
        <v>239</v>
      </c>
      <c r="AG7" s="267" t="s">
        <v>98</v>
      </c>
      <c r="AH7" s="267" t="s">
        <v>26</v>
      </c>
      <c r="AI7" s="267" t="s">
        <v>2</v>
      </c>
      <c r="AJ7" s="267" t="s">
        <v>121</v>
      </c>
    </row>
    <row r="8" spans="3:42">
      <c r="C8" s="126">
        <v>1</v>
      </c>
      <c r="D8" s="141" t="s">
        <v>2251</v>
      </c>
      <c r="E8" s="162">
        <v>46232</v>
      </c>
      <c r="F8" s="126">
        <v>1</v>
      </c>
      <c r="G8" s="126">
        <v>1</v>
      </c>
      <c r="H8" s="126">
        <v>3</v>
      </c>
      <c r="I8" s="163" t="s">
        <v>548</v>
      </c>
      <c r="K8" s="126">
        <v>1</v>
      </c>
      <c r="L8" s="126">
        <v>2</v>
      </c>
      <c r="M8" s="126">
        <v>4036</v>
      </c>
      <c r="N8" s="126">
        <v>0</v>
      </c>
      <c r="Q8" s="126">
        <v>0</v>
      </c>
      <c r="R8" s="126">
        <v>10</v>
      </c>
      <c r="S8" s="126">
        <v>208</v>
      </c>
      <c r="T8" s="126">
        <v>0</v>
      </c>
      <c r="U8" s="126">
        <v>20.8</v>
      </c>
      <c r="V8" s="126">
        <v>0</v>
      </c>
      <c r="W8" s="126">
        <v>187.2</v>
      </c>
      <c r="X8" s="163" t="s">
        <v>2252</v>
      </c>
      <c r="Y8" s="141" t="s">
        <v>2253</v>
      </c>
      <c r="AA8" s="166">
        <v>46232.615543981483</v>
      </c>
      <c r="AC8" s="162">
        <v>46232</v>
      </c>
      <c r="AD8" s="149" t="s">
        <v>2255</v>
      </c>
      <c r="AE8" s="126">
        <v>0</v>
      </c>
      <c r="AF8" s="126">
        <v>1</v>
      </c>
      <c r="AG8" s="126">
        <v>1</v>
      </c>
      <c r="AH8" s="126">
        <v>4</v>
      </c>
      <c r="AI8" s="126">
        <v>7</v>
      </c>
      <c r="AJ8" s="126">
        <v>2026</v>
      </c>
      <c r="AN8" s="130">
        <v>1</v>
      </c>
      <c r="AO8" s="267" t="s">
        <v>1</v>
      </c>
      <c r="AP8" s="130" t="str">
        <f>AN8&amp;" . "&amp;AO8</f>
        <v>1 . No.</v>
      </c>
    </row>
    <row r="9" spans="3:42">
      <c r="C9" s="126">
        <v>2</v>
      </c>
      <c r="D9" s="141" t="s">
        <v>2256</v>
      </c>
      <c r="E9" s="162">
        <v>46233</v>
      </c>
      <c r="F9" s="126">
        <v>1</v>
      </c>
      <c r="G9" s="126">
        <v>1</v>
      </c>
      <c r="H9" s="126">
        <v>2</v>
      </c>
      <c r="I9" s="163" t="s">
        <v>2257</v>
      </c>
      <c r="K9" s="126">
        <v>1</v>
      </c>
      <c r="L9" s="126">
        <v>2</v>
      </c>
      <c r="M9" s="126">
        <v>4036</v>
      </c>
      <c r="N9" s="126">
        <v>10</v>
      </c>
      <c r="O9" s="126">
        <v>4</v>
      </c>
      <c r="P9" s="126">
        <v>1</v>
      </c>
      <c r="Q9" s="126">
        <v>0</v>
      </c>
      <c r="R9" s="126">
        <v>10</v>
      </c>
      <c r="S9" s="126">
        <v>434.75</v>
      </c>
      <c r="T9" s="126">
        <v>43.48</v>
      </c>
      <c r="U9" s="126">
        <v>43.48</v>
      </c>
      <c r="V9" s="126">
        <v>0</v>
      </c>
      <c r="W9" s="126">
        <v>434.75</v>
      </c>
      <c r="X9" s="163" t="s">
        <v>2252</v>
      </c>
      <c r="Y9" s="141" t="s">
        <v>2253</v>
      </c>
      <c r="Z9" s="141" t="s">
        <v>2254</v>
      </c>
      <c r="AA9" s="166">
        <v>46233.2496875</v>
      </c>
      <c r="AC9" s="162">
        <v>46233</v>
      </c>
      <c r="AD9" s="149" t="s">
        <v>2258</v>
      </c>
      <c r="AE9" s="126">
        <v>0</v>
      </c>
      <c r="AF9" s="126">
        <v>1</v>
      </c>
      <c r="AG9" s="126">
        <v>1</v>
      </c>
      <c r="AH9" s="126">
        <v>4</v>
      </c>
      <c r="AI9" s="126">
        <v>7</v>
      </c>
      <c r="AJ9" s="126">
        <v>2026</v>
      </c>
      <c r="AN9" s="130">
        <v>2</v>
      </c>
      <c r="AO9" s="268" t="s">
        <v>227</v>
      </c>
      <c r="AP9" s="130" t="str">
        <f t="shared" ref="AP9:AP41" si="0">AN9&amp;" . "&amp;AO9</f>
        <v>2 . Quote Code</v>
      </c>
    </row>
    <row r="10" spans="3:42">
      <c r="C10" s="126">
        <v>3</v>
      </c>
      <c r="D10" s="141" t="s">
        <v>2264</v>
      </c>
      <c r="E10" s="162">
        <v>46234</v>
      </c>
      <c r="G10" s="126">
        <v>1</v>
      </c>
      <c r="H10" s="126">
        <v>5</v>
      </c>
      <c r="I10" s="163" t="s">
        <v>2265</v>
      </c>
      <c r="J10" s="170" t="s">
        <v>2266</v>
      </c>
      <c r="K10" s="126">
        <v>1</v>
      </c>
      <c r="L10" s="126">
        <v>2</v>
      </c>
      <c r="M10" s="126">
        <v>4000</v>
      </c>
      <c r="N10" s="126">
        <v>0</v>
      </c>
      <c r="O10" s="126">
        <v>1</v>
      </c>
      <c r="P10" s="126">
        <v>0</v>
      </c>
      <c r="Q10" s="126">
        <v>0</v>
      </c>
      <c r="R10" s="126">
        <v>0</v>
      </c>
      <c r="S10" s="126">
        <v>303.75</v>
      </c>
      <c r="T10" s="126">
        <v>0</v>
      </c>
      <c r="U10" s="126">
        <v>0</v>
      </c>
      <c r="V10" s="126">
        <v>0</v>
      </c>
      <c r="W10" s="126">
        <v>303.75</v>
      </c>
      <c r="X10" s="163" t="s">
        <v>2267</v>
      </c>
      <c r="Y10" s="141" t="s">
        <v>2268</v>
      </c>
      <c r="Z10" s="141" t="s">
        <v>2254</v>
      </c>
      <c r="AA10" s="166">
        <v>46234.445324074077</v>
      </c>
      <c r="AC10" s="162">
        <v>46234</v>
      </c>
      <c r="AD10" s="149" t="s">
        <v>2269</v>
      </c>
      <c r="AE10" s="126">
        <v>0</v>
      </c>
      <c r="AF10" s="126">
        <v>1</v>
      </c>
      <c r="AG10" s="126">
        <v>1</v>
      </c>
      <c r="AH10" s="126">
        <v>4</v>
      </c>
      <c r="AI10" s="126">
        <v>7</v>
      </c>
      <c r="AJ10" s="126">
        <v>2026</v>
      </c>
      <c r="AN10" s="130">
        <v>3</v>
      </c>
      <c r="AO10" s="269" t="s">
        <v>228</v>
      </c>
      <c r="AP10" s="130" t="str">
        <f t="shared" si="0"/>
        <v>3 . Quote Date</v>
      </c>
    </row>
    <row r="11" spans="3:42">
      <c r="C11" s="126">
        <v>4</v>
      </c>
      <c r="D11" s="141" t="s">
        <v>2270</v>
      </c>
      <c r="E11" s="162">
        <v>46234</v>
      </c>
      <c r="G11" s="126">
        <v>1</v>
      </c>
      <c r="H11" s="126">
        <v>6</v>
      </c>
      <c r="I11" s="163" t="s">
        <v>2271</v>
      </c>
      <c r="J11" s="170" t="s">
        <v>2266</v>
      </c>
      <c r="K11" s="126">
        <v>1</v>
      </c>
      <c r="L11" s="126">
        <v>2</v>
      </c>
      <c r="M11" s="126">
        <v>4000</v>
      </c>
      <c r="N11" s="126">
        <v>0</v>
      </c>
      <c r="O11" s="126">
        <v>1</v>
      </c>
      <c r="P11" s="126">
        <v>0</v>
      </c>
      <c r="Q11" s="126">
        <v>0</v>
      </c>
      <c r="R11" s="126">
        <v>0</v>
      </c>
      <c r="S11" s="126">
        <v>655</v>
      </c>
      <c r="T11" s="126">
        <v>0</v>
      </c>
      <c r="U11" s="126">
        <v>0</v>
      </c>
      <c r="V11" s="126">
        <v>0</v>
      </c>
      <c r="W11" s="126">
        <v>655</v>
      </c>
      <c r="X11" s="163" t="s">
        <v>2267</v>
      </c>
      <c r="Y11" s="141" t="s">
        <v>2268</v>
      </c>
      <c r="Z11" s="141" t="s">
        <v>2254</v>
      </c>
      <c r="AA11" s="166">
        <v>46234.640682870369</v>
      </c>
      <c r="AC11" s="162">
        <v>46234</v>
      </c>
      <c r="AD11" s="149" t="s">
        <v>2272</v>
      </c>
      <c r="AE11" s="126">
        <v>0</v>
      </c>
      <c r="AF11" s="126">
        <v>1</v>
      </c>
      <c r="AG11" s="126">
        <v>1</v>
      </c>
      <c r="AH11" s="126">
        <v>4</v>
      </c>
      <c r="AI11" s="126">
        <v>7</v>
      </c>
      <c r="AJ11" s="126">
        <v>2026</v>
      </c>
      <c r="AN11" s="130">
        <v>4</v>
      </c>
      <c r="AO11" s="267" t="s">
        <v>221</v>
      </c>
      <c r="AP11" s="130" t="str">
        <f t="shared" si="0"/>
        <v>4 . Company Id</v>
      </c>
    </row>
    <row r="12" spans="3:42">
      <c r="AN12" s="130">
        <v>5</v>
      </c>
      <c r="AO12" s="267" t="s">
        <v>124</v>
      </c>
      <c r="AP12" s="130" t="str">
        <f t="shared" si="0"/>
        <v>5 . Branch Id</v>
      </c>
    </row>
    <row r="13" spans="3:42">
      <c r="AN13" s="130">
        <v>6</v>
      </c>
      <c r="AO13" s="267" t="s">
        <v>160</v>
      </c>
      <c r="AP13" s="130" t="str">
        <f t="shared" si="0"/>
        <v>6 . Customer Id</v>
      </c>
    </row>
    <row r="14" spans="3:42">
      <c r="AN14" s="130">
        <v>7</v>
      </c>
      <c r="AO14" s="268" t="s">
        <v>97</v>
      </c>
      <c r="AP14" s="130" t="str">
        <f t="shared" si="0"/>
        <v>7 . Customer Name</v>
      </c>
    </row>
    <row r="15" spans="3:42">
      <c r="AN15" s="130">
        <v>8</v>
      </c>
      <c r="AO15" s="275" t="s">
        <v>272</v>
      </c>
      <c r="AP15" s="130" t="str">
        <f t="shared" si="0"/>
        <v>8 . Service Type</v>
      </c>
    </row>
    <row r="16" spans="3:42">
      <c r="AN16" s="130">
        <v>9</v>
      </c>
      <c r="AO16" s="267" t="s">
        <v>229</v>
      </c>
      <c r="AP16" s="130" t="str">
        <f t="shared" si="0"/>
        <v>9 . Currency ID</v>
      </c>
    </row>
    <row r="17" spans="40:42">
      <c r="AN17" s="130">
        <v>10</v>
      </c>
      <c r="AO17" s="267" t="s">
        <v>230</v>
      </c>
      <c r="AP17" s="130" t="str">
        <f t="shared" si="0"/>
        <v>10 . Price Type Id</v>
      </c>
    </row>
    <row r="18" spans="40:42">
      <c r="AN18" s="130">
        <v>11</v>
      </c>
      <c r="AO18" s="267" t="s">
        <v>3</v>
      </c>
      <c r="AP18" s="130" t="str">
        <f t="shared" si="0"/>
        <v>11 . Exchange Rate</v>
      </c>
    </row>
    <row r="19" spans="40:42">
      <c r="AN19" s="130">
        <v>12</v>
      </c>
      <c r="AO19" s="267" t="s">
        <v>232</v>
      </c>
      <c r="AP19" s="130" t="str">
        <f t="shared" si="0"/>
        <v>12 . Vat Percent</v>
      </c>
    </row>
    <row r="20" spans="40:42">
      <c r="AN20" s="130">
        <v>13</v>
      </c>
      <c r="AO20" s="267" t="s">
        <v>233</v>
      </c>
      <c r="AP20" s="130" t="str">
        <f t="shared" si="0"/>
        <v>13 . Vat Setting ID</v>
      </c>
    </row>
    <row r="21" spans="40:42">
      <c r="AN21" s="130">
        <v>14</v>
      </c>
      <c r="AO21" s="267" t="s">
        <v>234</v>
      </c>
      <c r="AP21" s="130" t="str">
        <f t="shared" si="0"/>
        <v>14 . Vat Cal</v>
      </c>
    </row>
    <row r="22" spans="40:42">
      <c r="AN22" s="130">
        <v>15</v>
      </c>
      <c r="AO22" s="267" t="s">
        <v>278</v>
      </c>
      <c r="AP22" s="130" t="str">
        <f t="shared" si="0"/>
        <v>15 . Dis Amount</v>
      </c>
    </row>
    <row r="23" spans="40:42">
      <c r="AN23" s="130">
        <v>16</v>
      </c>
      <c r="AO23" s="267" t="s">
        <v>277</v>
      </c>
      <c r="AP23" s="130" t="str">
        <f t="shared" si="0"/>
        <v>16 . Dis​​ Percent</v>
      </c>
    </row>
    <row r="24" spans="40:42">
      <c r="AN24" s="130">
        <v>17</v>
      </c>
      <c r="AO24" s="267" t="s">
        <v>205</v>
      </c>
      <c r="AP24" s="130" t="str">
        <f t="shared" si="0"/>
        <v>17 . Sub Total</v>
      </c>
    </row>
    <row r="25" spans="40:42">
      <c r="AN25" s="130">
        <v>18</v>
      </c>
      <c r="AO25" s="267" t="s">
        <v>231</v>
      </c>
      <c r="AP25" s="130" t="str">
        <f t="shared" si="0"/>
        <v>18 . Total VAT</v>
      </c>
    </row>
    <row r="26" spans="40:42">
      <c r="AN26" s="130">
        <v>19</v>
      </c>
      <c r="AO26" s="267" t="s">
        <v>271</v>
      </c>
      <c r="AP26" s="130" t="str">
        <f t="shared" si="0"/>
        <v>19 . Total Discount</v>
      </c>
    </row>
    <row r="27" spans="40:42">
      <c r="AN27" s="130">
        <v>20</v>
      </c>
      <c r="AO27" s="267" t="s">
        <v>206</v>
      </c>
      <c r="AP27" s="130" t="str">
        <f t="shared" si="0"/>
        <v>20 . Total Deposit</v>
      </c>
    </row>
    <row r="28" spans="40:42">
      <c r="AN28" s="130">
        <v>21</v>
      </c>
      <c r="AO28" s="267" t="s">
        <v>30</v>
      </c>
      <c r="AP28" s="130" t="str">
        <f t="shared" si="0"/>
        <v>21 . Total Amount</v>
      </c>
    </row>
    <row r="29" spans="40:42">
      <c r="AN29" s="130">
        <v>22</v>
      </c>
      <c r="AO29" s="267" t="s">
        <v>236</v>
      </c>
      <c r="AP29" s="130" t="str">
        <f t="shared" si="0"/>
        <v>22 . Ship To</v>
      </c>
    </row>
    <row r="30" spans="40:42">
      <c r="AN30" s="130">
        <v>23</v>
      </c>
      <c r="AO30" s="268" t="s">
        <v>240</v>
      </c>
      <c r="AP30" s="130" t="str">
        <f t="shared" si="0"/>
        <v>23 . Ship Telephone</v>
      </c>
    </row>
    <row r="31" spans="40:42">
      <c r="AN31" s="130">
        <v>24</v>
      </c>
      <c r="AO31" s="268" t="s">
        <v>28</v>
      </c>
      <c r="AP31" s="130" t="str">
        <f t="shared" si="0"/>
        <v>24 . Note</v>
      </c>
    </row>
    <row r="32" spans="40:42">
      <c r="AN32" s="130">
        <v>25</v>
      </c>
      <c r="AO32" s="276" t="s">
        <v>203</v>
      </c>
      <c r="AP32" s="130" t="str">
        <f t="shared" si="0"/>
        <v>25 . Created</v>
      </c>
    </row>
    <row r="33" spans="40:42">
      <c r="AN33" s="130">
        <v>26</v>
      </c>
      <c r="AO33" s="276" t="s">
        <v>191</v>
      </c>
      <c r="AP33" s="130" t="str">
        <f t="shared" si="0"/>
        <v>26 . Created By</v>
      </c>
    </row>
    <row r="34" spans="40:42">
      <c r="AN34" s="130">
        <v>27</v>
      </c>
      <c r="AO34" s="269" t="s">
        <v>204</v>
      </c>
      <c r="AP34" s="130" t="str">
        <f t="shared" si="0"/>
        <v>27 . Approved</v>
      </c>
    </row>
    <row r="35" spans="40:42">
      <c r="AN35" s="130">
        <v>28</v>
      </c>
      <c r="AO35" s="267" t="s">
        <v>237</v>
      </c>
      <c r="AP35" s="130" t="str">
        <f t="shared" si="0"/>
        <v>28 . Approved By</v>
      </c>
    </row>
    <row r="36" spans="40:42">
      <c r="AN36" s="130">
        <v>29</v>
      </c>
      <c r="AO36" s="267" t="s">
        <v>238</v>
      </c>
      <c r="AP36" s="130" t="str">
        <f t="shared" si="0"/>
        <v>29 . Is Close</v>
      </c>
    </row>
    <row r="37" spans="40:42">
      <c r="AN37" s="130">
        <v>30</v>
      </c>
      <c r="AO37" s="267" t="s">
        <v>239</v>
      </c>
      <c r="AP37" s="130" t="str">
        <f t="shared" si="0"/>
        <v>30 . Is Approve</v>
      </c>
    </row>
    <row r="38" spans="40:42">
      <c r="AN38" s="130">
        <v>31</v>
      </c>
      <c r="AO38" s="267" t="s">
        <v>98</v>
      </c>
      <c r="AP38" s="130" t="str">
        <f t="shared" si="0"/>
        <v>31 . Status</v>
      </c>
    </row>
    <row r="39" spans="40:42">
      <c r="AN39" s="130">
        <v>32</v>
      </c>
      <c r="AO39" s="267" t="s">
        <v>26</v>
      </c>
      <c r="AP39" s="130" t="str">
        <f t="shared" si="0"/>
        <v>32 . Week</v>
      </c>
    </row>
    <row r="40" spans="40:42">
      <c r="AN40" s="130">
        <v>33</v>
      </c>
      <c r="AO40" s="267" t="s">
        <v>2</v>
      </c>
      <c r="AP40" s="130" t="str">
        <f t="shared" si="0"/>
        <v>33 . Month</v>
      </c>
    </row>
    <row r="41" spans="40:42">
      <c r="AN41" s="130">
        <v>34</v>
      </c>
      <c r="AO41" s="267" t="s">
        <v>121</v>
      </c>
      <c r="AP41" s="130" t="str">
        <f t="shared" si="0"/>
        <v>34 . Year</v>
      </c>
    </row>
  </sheetData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3AD83-9173-4308-8609-76A3A1A8CDC3}">
  <sheetPr codeName="Sheet40"/>
  <dimension ref="C1:AF42"/>
  <sheetViews>
    <sheetView showGridLines="0" topLeftCell="A3" zoomScale="90" zoomScaleNormal="90" workbookViewId="0">
      <pane ySplit="5" topLeftCell="A8" activePane="bottomLeft" state="frozen"/>
      <selection activeCell="L28" sqref="L28"/>
      <selection pane="bottomLeft" activeCell="AH17" sqref="AH17"/>
    </sheetView>
  </sheetViews>
  <sheetFormatPr defaultRowHeight="23.25"/>
  <cols>
    <col min="1" max="1" width="2.5703125" style="126" customWidth="1"/>
    <col min="2" max="2" width="5.140625" style="126" customWidth="1"/>
    <col min="3" max="3" width="8.5703125" style="126" customWidth="1"/>
    <col min="4" max="4" width="9.42578125" style="126" bestFit="1" customWidth="1"/>
    <col min="5" max="5" width="15.85546875" style="141" customWidth="1"/>
    <col min="6" max="6" width="13" style="126" bestFit="1" customWidth="1"/>
    <col min="7" max="7" width="13" style="141" bestFit="1" customWidth="1"/>
    <col min="8" max="9" width="17.7109375" style="141" bestFit="1" customWidth="1"/>
    <col min="10" max="10" width="24.140625" style="170" bestFit="1" customWidth="1"/>
    <col min="11" max="11" width="5.5703125" style="126" bestFit="1" customWidth="1"/>
    <col min="12" max="12" width="9.140625" style="126" bestFit="1" customWidth="1"/>
    <col min="13" max="13" width="15.140625" style="142" bestFit="1" customWidth="1"/>
    <col min="14" max="14" width="12" style="141" bestFit="1" customWidth="1"/>
    <col min="15" max="15" width="12.140625" style="126" bestFit="1" customWidth="1"/>
    <col min="16" max="16" width="13.42578125" style="141" customWidth="1"/>
    <col min="17" max="17" width="18.42578125" style="126" bestFit="1" customWidth="1"/>
    <col min="18" max="18" width="17.85546875" style="126" customWidth="1"/>
    <col min="19" max="19" width="10.140625" style="126" bestFit="1" customWidth="1"/>
    <col min="20" max="20" width="10.5703125" style="126" bestFit="1" customWidth="1"/>
    <col min="21" max="21" width="17.7109375" style="126" bestFit="1" customWidth="1"/>
    <col min="22" max="22" width="11.5703125" style="126" bestFit="1" customWidth="1"/>
    <col min="23" max="23" width="9.28515625" style="126" bestFit="1" customWidth="1"/>
    <col min="24" max="24" width="7.7109375" style="126" bestFit="1" customWidth="1"/>
    <col min="25" max="25" width="7.42578125" style="126" bestFit="1" customWidth="1"/>
    <col min="26" max="26" width="6.28515625" style="126" bestFit="1" customWidth="1"/>
    <col min="27" max="16384" width="9.140625" style="126"/>
  </cols>
  <sheetData>
    <row r="1" spans="3:32" s="13" customFormat="1" hidden="1">
      <c r="E1" s="140"/>
      <c r="G1" s="140"/>
      <c r="H1" s="140"/>
      <c r="I1" s="140"/>
      <c r="J1" s="170"/>
      <c r="M1" s="142"/>
      <c r="N1" s="140"/>
      <c r="P1" s="140"/>
    </row>
    <row r="2" spans="3:32" s="13" customFormat="1" hidden="1">
      <c r="E2" s="140"/>
      <c r="G2" s="140"/>
      <c r="H2" s="140"/>
      <c r="I2" s="140"/>
      <c r="J2" s="170"/>
      <c r="M2" s="142"/>
      <c r="N2" s="140"/>
      <c r="P2" s="140"/>
    </row>
    <row r="3" spans="3:32" s="13" customFormat="1">
      <c r="E3" s="140"/>
      <c r="G3" s="140"/>
      <c r="H3" s="140"/>
      <c r="I3" s="140"/>
      <c r="J3" s="170"/>
      <c r="M3" s="142"/>
      <c r="N3" s="140"/>
      <c r="P3" s="140"/>
    </row>
    <row r="4" spans="3:32" s="13" customFormat="1">
      <c r="E4" s="140"/>
      <c r="G4" s="140"/>
      <c r="H4" s="140"/>
      <c r="I4" s="140"/>
      <c r="J4" s="170"/>
      <c r="M4" s="142"/>
      <c r="N4" s="140"/>
      <c r="P4" s="140"/>
    </row>
    <row r="5" spans="3:32" s="13" customFormat="1" ht="8.25" customHeight="1">
      <c r="E5" s="140"/>
      <c r="G5" s="140"/>
      <c r="H5" s="140"/>
      <c r="I5" s="140"/>
      <c r="J5" s="170"/>
      <c r="M5" s="142"/>
      <c r="N5" s="140"/>
      <c r="P5" s="140"/>
    </row>
    <row r="6" spans="3:32" s="13" customFormat="1">
      <c r="C6" s="270" t="s">
        <v>10</v>
      </c>
      <c r="D6" s="270" t="s">
        <v>243</v>
      </c>
      <c r="E6" s="271" t="s">
        <v>270</v>
      </c>
      <c r="F6" s="270" t="s">
        <v>244</v>
      </c>
      <c r="G6" s="271" t="s">
        <v>101</v>
      </c>
      <c r="H6" s="271" t="s">
        <v>173</v>
      </c>
      <c r="I6" s="271" t="s">
        <v>260</v>
      </c>
      <c r="J6" s="271" t="s">
        <v>261</v>
      </c>
      <c r="K6" s="271" t="s">
        <v>16</v>
      </c>
      <c r="L6" s="271" t="s">
        <v>16</v>
      </c>
      <c r="M6" s="271" t="s">
        <v>262</v>
      </c>
      <c r="N6" s="271" t="s">
        <v>263</v>
      </c>
      <c r="O6" s="270" t="s">
        <v>264</v>
      </c>
      <c r="P6" s="271" t="s">
        <v>265</v>
      </c>
      <c r="Q6" s="270" t="s">
        <v>267</v>
      </c>
      <c r="R6" s="270" t="s">
        <v>266</v>
      </c>
      <c r="S6" s="270" t="s">
        <v>14</v>
      </c>
      <c r="T6" s="270" t="s">
        <v>187</v>
      </c>
      <c r="U6" s="270" t="s">
        <v>280</v>
      </c>
      <c r="V6" s="270" t="s">
        <v>268</v>
      </c>
      <c r="W6" s="270" t="s">
        <v>109</v>
      </c>
      <c r="X6" s="270" t="s">
        <v>23</v>
      </c>
      <c r="Y6" s="270" t="s">
        <v>95</v>
      </c>
      <c r="Z6" s="270" t="s">
        <v>120</v>
      </c>
    </row>
    <row r="7" spans="3:32" s="13" customFormat="1" ht="15">
      <c r="C7" s="277" t="s">
        <v>139</v>
      </c>
      <c r="D7" s="277" t="s">
        <v>256</v>
      </c>
      <c r="E7" s="278" t="s">
        <v>269</v>
      </c>
      <c r="F7" s="277" t="s">
        <v>228</v>
      </c>
      <c r="G7" s="278" t="s">
        <v>160</v>
      </c>
      <c r="H7" s="278" t="s">
        <v>162</v>
      </c>
      <c r="I7" s="278" t="s">
        <v>207</v>
      </c>
      <c r="J7" s="278" t="s">
        <v>17</v>
      </c>
      <c r="K7" s="278" t="s">
        <v>18</v>
      </c>
      <c r="L7" s="278" t="s">
        <v>196</v>
      </c>
      <c r="M7" s="278" t="s">
        <v>4</v>
      </c>
      <c r="N7" s="278" t="s">
        <v>257</v>
      </c>
      <c r="O7" s="277" t="s">
        <v>197</v>
      </c>
      <c r="P7" s="278" t="s">
        <v>258</v>
      </c>
      <c r="Q7" s="277" t="s">
        <v>259</v>
      </c>
      <c r="R7" s="277" t="s">
        <v>235</v>
      </c>
      <c r="S7" s="277" t="s">
        <v>19</v>
      </c>
      <c r="T7" s="277" t="s">
        <v>8</v>
      </c>
      <c r="U7" s="277" t="s">
        <v>279</v>
      </c>
      <c r="V7" s="277" t="s">
        <v>201</v>
      </c>
      <c r="W7" s="277" t="s">
        <v>98</v>
      </c>
      <c r="X7" s="277" t="s">
        <v>26</v>
      </c>
      <c r="Y7" s="277" t="s">
        <v>2</v>
      </c>
      <c r="Z7" s="277" t="s">
        <v>121</v>
      </c>
    </row>
    <row r="8" spans="3:32">
      <c r="C8" s="126">
        <v>1</v>
      </c>
      <c r="D8" s="126">
        <v>1</v>
      </c>
      <c r="E8" s="141" t="s">
        <v>2251</v>
      </c>
      <c r="F8" s="162">
        <v>46232</v>
      </c>
      <c r="G8" s="141">
        <v>1</v>
      </c>
      <c r="H8" s="141">
        <v>198</v>
      </c>
      <c r="I8" s="141" t="s">
        <v>1170</v>
      </c>
      <c r="J8" s="170" t="s">
        <v>1171</v>
      </c>
      <c r="K8" s="126">
        <v>10</v>
      </c>
      <c r="L8" s="126">
        <v>0</v>
      </c>
      <c r="M8" s="142" t="s">
        <v>572</v>
      </c>
      <c r="O8" s="126">
        <v>1</v>
      </c>
      <c r="P8" s="141" t="s">
        <v>2254</v>
      </c>
      <c r="S8" s="126">
        <v>9.48</v>
      </c>
      <c r="T8" s="126">
        <v>10</v>
      </c>
      <c r="V8" s="126">
        <v>100</v>
      </c>
      <c r="W8" s="126">
        <v>1</v>
      </c>
      <c r="X8" s="126">
        <v>4</v>
      </c>
      <c r="Y8" s="126">
        <v>7</v>
      </c>
      <c r="Z8" s="126">
        <v>2026</v>
      </c>
      <c r="AF8" s="332"/>
    </row>
    <row r="9" spans="3:32">
      <c r="C9" s="126">
        <v>2</v>
      </c>
      <c r="D9" s="126">
        <v>1</v>
      </c>
      <c r="E9" s="141" t="s">
        <v>2251</v>
      </c>
      <c r="F9" s="162">
        <v>46232</v>
      </c>
      <c r="G9" s="141">
        <v>1</v>
      </c>
      <c r="H9" s="141">
        <v>191</v>
      </c>
      <c r="I9" s="141" t="s">
        <v>781</v>
      </c>
      <c r="J9" s="170" t="s">
        <v>782</v>
      </c>
      <c r="K9" s="126">
        <v>10</v>
      </c>
      <c r="L9" s="126">
        <v>0</v>
      </c>
      <c r="M9" s="142" t="s">
        <v>572</v>
      </c>
      <c r="O9" s="126">
        <v>1</v>
      </c>
      <c r="P9" s="141" t="s">
        <v>2254</v>
      </c>
      <c r="S9" s="126">
        <v>4.92</v>
      </c>
      <c r="T9" s="126">
        <v>5.4</v>
      </c>
      <c r="V9" s="126">
        <v>54</v>
      </c>
      <c r="W9" s="126">
        <v>1</v>
      </c>
      <c r="X9" s="126">
        <v>4</v>
      </c>
      <c r="Y9" s="126">
        <v>7</v>
      </c>
      <c r="Z9" s="126">
        <v>2026</v>
      </c>
      <c r="AF9" s="332"/>
    </row>
    <row r="10" spans="3:32">
      <c r="C10" s="126">
        <v>3</v>
      </c>
      <c r="D10" s="126">
        <v>1</v>
      </c>
      <c r="E10" s="141" t="s">
        <v>2251</v>
      </c>
      <c r="F10" s="162">
        <v>46232</v>
      </c>
      <c r="G10" s="141">
        <v>1</v>
      </c>
      <c r="H10" s="141">
        <v>191</v>
      </c>
      <c r="I10" s="141" t="s">
        <v>781</v>
      </c>
      <c r="J10" s="170" t="s">
        <v>782</v>
      </c>
      <c r="K10" s="126">
        <v>10</v>
      </c>
      <c r="L10" s="126">
        <v>0</v>
      </c>
      <c r="M10" s="142" t="s">
        <v>572</v>
      </c>
      <c r="O10" s="126">
        <v>1</v>
      </c>
      <c r="P10" s="141" t="s">
        <v>2254</v>
      </c>
      <c r="S10" s="126">
        <v>4.92</v>
      </c>
      <c r="T10" s="126">
        <v>5.4</v>
      </c>
      <c r="V10" s="126">
        <v>54</v>
      </c>
      <c r="W10" s="126">
        <v>1</v>
      </c>
      <c r="X10" s="126">
        <v>4</v>
      </c>
      <c r="Y10" s="126">
        <v>7</v>
      </c>
      <c r="Z10" s="126">
        <v>2026</v>
      </c>
      <c r="AF10" s="415"/>
    </row>
    <row r="11" spans="3:32">
      <c r="C11" s="126">
        <v>4</v>
      </c>
      <c r="D11" s="126">
        <v>2</v>
      </c>
      <c r="E11" s="141" t="s">
        <v>2256</v>
      </c>
      <c r="F11" s="162">
        <v>46233</v>
      </c>
      <c r="G11" s="141">
        <v>2</v>
      </c>
      <c r="H11" s="141">
        <v>1</v>
      </c>
      <c r="I11" s="141" t="s">
        <v>677</v>
      </c>
      <c r="J11" s="170" t="s">
        <v>678</v>
      </c>
      <c r="K11" s="126">
        <v>2</v>
      </c>
      <c r="L11" s="126">
        <v>0</v>
      </c>
      <c r="M11" s="142" t="s">
        <v>545</v>
      </c>
      <c r="O11" s="126">
        <v>1</v>
      </c>
      <c r="P11" s="141" t="s">
        <v>2254</v>
      </c>
      <c r="S11" s="126">
        <v>27.34</v>
      </c>
      <c r="T11" s="126">
        <v>28.5</v>
      </c>
      <c r="V11" s="126">
        <v>57</v>
      </c>
      <c r="W11" s="126">
        <v>1</v>
      </c>
      <c r="X11" s="126">
        <v>4</v>
      </c>
      <c r="Y11" s="126">
        <v>7</v>
      </c>
      <c r="Z11" s="126">
        <v>2026</v>
      </c>
      <c r="AF11" s="332"/>
    </row>
    <row r="12" spans="3:32">
      <c r="C12" s="126">
        <v>5</v>
      </c>
      <c r="D12" s="126">
        <v>2</v>
      </c>
      <c r="E12" s="141" t="s">
        <v>2256</v>
      </c>
      <c r="F12" s="162">
        <v>46233</v>
      </c>
      <c r="G12" s="141">
        <v>2</v>
      </c>
      <c r="H12" s="141">
        <v>2</v>
      </c>
      <c r="I12" s="141" t="s">
        <v>682</v>
      </c>
      <c r="J12" s="170" t="s">
        <v>683</v>
      </c>
      <c r="K12" s="126">
        <v>3</v>
      </c>
      <c r="L12" s="126">
        <v>0</v>
      </c>
      <c r="M12" s="142" t="s">
        <v>545</v>
      </c>
      <c r="O12" s="126">
        <v>1</v>
      </c>
      <c r="P12" s="141" t="s">
        <v>2254</v>
      </c>
      <c r="S12" s="126">
        <v>11.32</v>
      </c>
      <c r="T12" s="126">
        <v>12</v>
      </c>
      <c r="V12" s="126">
        <v>36</v>
      </c>
      <c r="W12" s="126">
        <v>1</v>
      </c>
      <c r="X12" s="126">
        <v>4</v>
      </c>
      <c r="Y12" s="126">
        <v>7</v>
      </c>
      <c r="Z12" s="126">
        <v>2026</v>
      </c>
      <c r="AF12" s="415"/>
    </row>
    <row r="13" spans="3:32">
      <c r="C13" s="126">
        <v>6</v>
      </c>
      <c r="D13" s="126">
        <v>2</v>
      </c>
      <c r="E13" s="141" t="s">
        <v>2256</v>
      </c>
      <c r="F13" s="162">
        <v>46233</v>
      </c>
      <c r="G13" s="141">
        <v>2</v>
      </c>
      <c r="H13" s="141">
        <v>3</v>
      </c>
      <c r="I13" s="141" t="s">
        <v>2259</v>
      </c>
      <c r="J13" s="170" t="s">
        <v>2260</v>
      </c>
      <c r="K13" s="126">
        <v>4</v>
      </c>
      <c r="L13" s="126">
        <v>0</v>
      </c>
      <c r="M13" s="142" t="s">
        <v>545</v>
      </c>
      <c r="O13" s="126">
        <v>1</v>
      </c>
      <c r="P13" s="141" t="s">
        <v>2254</v>
      </c>
      <c r="S13" s="126">
        <v>8.8000000000000007</v>
      </c>
      <c r="T13" s="126">
        <v>9.5</v>
      </c>
      <c r="V13" s="126">
        <v>38</v>
      </c>
      <c r="W13" s="126">
        <v>1</v>
      </c>
      <c r="X13" s="126">
        <v>4</v>
      </c>
      <c r="Y13" s="126">
        <v>7</v>
      </c>
      <c r="Z13" s="126">
        <v>2026</v>
      </c>
      <c r="AF13" s="415"/>
    </row>
    <row r="14" spans="3:32">
      <c r="C14" s="126">
        <v>7</v>
      </c>
      <c r="D14" s="126">
        <v>2</v>
      </c>
      <c r="E14" s="141" t="s">
        <v>2256</v>
      </c>
      <c r="F14" s="162">
        <v>46233</v>
      </c>
      <c r="G14" s="141">
        <v>2</v>
      </c>
      <c r="H14" s="141">
        <v>4</v>
      </c>
      <c r="I14" s="141" t="s">
        <v>581</v>
      </c>
      <c r="J14" s="170" t="s">
        <v>582</v>
      </c>
      <c r="K14" s="126">
        <v>5</v>
      </c>
      <c r="L14" s="126">
        <v>0</v>
      </c>
      <c r="M14" s="142" t="s">
        <v>545</v>
      </c>
      <c r="O14" s="126">
        <v>1</v>
      </c>
      <c r="P14" s="141" t="s">
        <v>2254</v>
      </c>
      <c r="S14" s="126">
        <v>5.8</v>
      </c>
      <c r="T14" s="126">
        <v>6.5</v>
      </c>
      <c r="V14" s="126">
        <v>32.5</v>
      </c>
      <c r="W14" s="126">
        <v>1</v>
      </c>
      <c r="X14" s="126">
        <v>4</v>
      </c>
      <c r="Y14" s="126">
        <v>7</v>
      </c>
      <c r="Z14" s="126">
        <v>2026</v>
      </c>
      <c r="AF14" s="415"/>
    </row>
    <row r="15" spans="3:32">
      <c r="C15" s="126">
        <v>8</v>
      </c>
      <c r="D15" s="126">
        <v>2</v>
      </c>
      <c r="E15" s="141" t="s">
        <v>2256</v>
      </c>
      <c r="F15" s="162">
        <v>46233</v>
      </c>
      <c r="G15" s="141">
        <v>2</v>
      </c>
      <c r="H15" s="141">
        <v>5</v>
      </c>
      <c r="I15" s="141" t="s">
        <v>686</v>
      </c>
      <c r="J15" s="170" t="s">
        <v>687</v>
      </c>
      <c r="K15" s="126">
        <v>6</v>
      </c>
      <c r="L15" s="126">
        <v>0</v>
      </c>
      <c r="M15" s="142" t="s">
        <v>545</v>
      </c>
      <c r="O15" s="126">
        <v>1</v>
      </c>
      <c r="P15" s="141" t="s">
        <v>2254</v>
      </c>
      <c r="S15" s="126">
        <v>3.74</v>
      </c>
      <c r="T15" s="126">
        <v>4.25</v>
      </c>
      <c r="V15" s="126">
        <v>25.5</v>
      </c>
      <c r="W15" s="126">
        <v>1</v>
      </c>
      <c r="X15" s="126">
        <v>4</v>
      </c>
      <c r="Y15" s="126">
        <v>7</v>
      </c>
      <c r="Z15" s="126">
        <v>2026</v>
      </c>
      <c r="AF15" s="415"/>
    </row>
    <row r="16" spans="3:32">
      <c r="C16" s="126">
        <v>9</v>
      </c>
      <c r="D16" s="126">
        <v>2</v>
      </c>
      <c r="E16" s="141" t="s">
        <v>2256</v>
      </c>
      <c r="F16" s="162">
        <v>46233</v>
      </c>
      <c r="G16" s="141">
        <v>2</v>
      </c>
      <c r="H16" s="141">
        <v>6</v>
      </c>
      <c r="I16" s="141" t="s">
        <v>559</v>
      </c>
      <c r="J16" s="170" t="s">
        <v>560</v>
      </c>
      <c r="K16" s="126">
        <v>7</v>
      </c>
      <c r="L16" s="126">
        <v>0</v>
      </c>
      <c r="M16" s="142" t="s">
        <v>545</v>
      </c>
      <c r="O16" s="126">
        <v>1</v>
      </c>
      <c r="P16" s="141" t="s">
        <v>2254</v>
      </c>
      <c r="S16" s="126">
        <v>2.89</v>
      </c>
      <c r="T16" s="126">
        <v>3.5</v>
      </c>
      <c r="V16" s="126">
        <v>24.5</v>
      </c>
      <c r="W16" s="126">
        <v>1</v>
      </c>
      <c r="X16" s="126">
        <v>4</v>
      </c>
      <c r="Y16" s="126">
        <v>7</v>
      </c>
      <c r="Z16" s="126">
        <v>2026</v>
      </c>
      <c r="AF16" s="415"/>
    </row>
    <row r="17" spans="3:32">
      <c r="C17" s="126">
        <v>10</v>
      </c>
      <c r="D17" s="126">
        <v>2</v>
      </c>
      <c r="E17" s="141" t="s">
        <v>2256</v>
      </c>
      <c r="F17" s="162">
        <v>46233</v>
      </c>
      <c r="G17" s="141">
        <v>2</v>
      </c>
      <c r="H17" s="141">
        <v>7</v>
      </c>
      <c r="I17" s="141" t="s">
        <v>818</v>
      </c>
      <c r="J17" s="170" t="s">
        <v>819</v>
      </c>
      <c r="K17" s="126">
        <v>8</v>
      </c>
      <c r="L17" s="126">
        <v>0</v>
      </c>
      <c r="M17" s="142" t="s">
        <v>545</v>
      </c>
      <c r="O17" s="126">
        <v>1</v>
      </c>
      <c r="P17" s="141" t="s">
        <v>2254</v>
      </c>
      <c r="S17" s="126">
        <v>1.79</v>
      </c>
      <c r="T17" s="126">
        <v>2.5</v>
      </c>
      <c r="V17" s="126">
        <v>20</v>
      </c>
      <c r="W17" s="126">
        <v>1</v>
      </c>
      <c r="X17" s="126">
        <v>4</v>
      </c>
      <c r="Y17" s="126">
        <v>7</v>
      </c>
      <c r="Z17" s="126">
        <v>2026</v>
      </c>
      <c r="AF17" s="415"/>
    </row>
    <row r="18" spans="3:32">
      <c r="C18" s="126">
        <v>11</v>
      </c>
      <c r="D18" s="126">
        <v>2</v>
      </c>
      <c r="E18" s="141" t="s">
        <v>2256</v>
      </c>
      <c r="F18" s="162">
        <v>46233</v>
      </c>
      <c r="G18" s="141">
        <v>2</v>
      </c>
      <c r="H18" s="141">
        <v>8</v>
      </c>
      <c r="I18" s="141" t="s">
        <v>1125</v>
      </c>
      <c r="J18" s="170" t="s">
        <v>1126</v>
      </c>
      <c r="K18" s="126">
        <v>9</v>
      </c>
      <c r="L18" s="126">
        <v>0</v>
      </c>
      <c r="M18" s="142" t="s">
        <v>545</v>
      </c>
      <c r="O18" s="126">
        <v>1</v>
      </c>
      <c r="P18" s="141" t="s">
        <v>2254</v>
      </c>
      <c r="S18" s="126">
        <v>1.32</v>
      </c>
      <c r="T18" s="126">
        <v>1.75</v>
      </c>
      <c r="V18" s="126">
        <v>15.75</v>
      </c>
      <c r="W18" s="126">
        <v>1</v>
      </c>
      <c r="X18" s="126">
        <v>4</v>
      </c>
      <c r="Y18" s="126">
        <v>7</v>
      </c>
      <c r="Z18" s="126">
        <v>2026</v>
      </c>
      <c r="AF18" s="415"/>
    </row>
    <row r="19" spans="3:32">
      <c r="C19" s="126">
        <v>12</v>
      </c>
      <c r="D19" s="126">
        <v>2</v>
      </c>
      <c r="E19" s="141" t="s">
        <v>2256</v>
      </c>
      <c r="F19" s="162">
        <v>46233</v>
      </c>
      <c r="G19" s="141">
        <v>2</v>
      </c>
      <c r="H19" s="141">
        <v>9</v>
      </c>
      <c r="I19" s="141" t="s">
        <v>1813</v>
      </c>
      <c r="J19" s="170" t="s">
        <v>1814</v>
      </c>
      <c r="K19" s="126">
        <v>10</v>
      </c>
      <c r="L19" s="126">
        <v>0</v>
      </c>
      <c r="M19" s="142" t="s">
        <v>545</v>
      </c>
      <c r="O19" s="126">
        <v>1</v>
      </c>
      <c r="P19" s="141" t="s">
        <v>2254</v>
      </c>
      <c r="S19" s="126">
        <v>1.1499999999999999</v>
      </c>
      <c r="T19" s="126">
        <v>1.5</v>
      </c>
      <c r="V19" s="126">
        <v>15</v>
      </c>
      <c r="W19" s="126">
        <v>1</v>
      </c>
      <c r="X19" s="126">
        <v>4</v>
      </c>
      <c r="Y19" s="126">
        <v>7</v>
      </c>
      <c r="Z19" s="126">
        <v>2026</v>
      </c>
      <c r="AF19" s="415"/>
    </row>
    <row r="20" spans="3:32">
      <c r="C20" s="126">
        <v>13</v>
      </c>
      <c r="D20" s="126">
        <v>2</v>
      </c>
      <c r="E20" s="141" t="s">
        <v>2256</v>
      </c>
      <c r="F20" s="162">
        <v>46233</v>
      </c>
      <c r="G20" s="141">
        <v>2</v>
      </c>
      <c r="H20" s="141">
        <v>10</v>
      </c>
      <c r="I20" s="141" t="s">
        <v>586</v>
      </c>
      <c r="J20" s="170" t="s">
        <v>587</v>
      </c>
      <c r="K20" s="126">
        <v>11</v>
      </c>
      <c r="L20" s="126">
        <v>0</v>
      </c>
      <c r="M20" s="142" t="s">
        <v>545</v>
      </c>
      <c r="O20" s="126">
        <v>1</v>
      </c>
      <c r="P20" s="141" t="s">
        <v>2254</v>
      </c>
      <c r="S20" s="126">
        <v>14.85</v>
      </c>
      <c r="T20" s="126">
        <v>15.5</v>
      </c>
      <c r="V20" s="126">
        <v>170.5</v>
      </c>
      <c r="W20" s="126">
        <v>1</v>
      </c>
      <c r="X20" s="126">
        <v>4</v>
      </c>
      <c r="Y20" s="126">
        <v>7</v>
      </c>
      <c r="Z20" s="126">
        <v>2026</v>
      </c>
      <c r="AF20" s="332"/>
    </row>
    <row r="21" spans="3:32">
      <c r="C21" s="126">
        <v>14</v>
      </c>
      <c r="D21" s="126">
        <v>3</v>
      </c>
      <c r="E21" s="141" t="s">
        <v>2264</v>
      </c>
      <c r="F21" s="162">
        <v>46234</v>
      </c>
      <c r="G21" s="141">
        <v>5</v>
      </c>
      <c r="H21" s="141">
        <v>1</v>
      </c>
      <c r="I21" s="141" t="s">
        <v>677</v>
      </c>
      <c r="J21" s="170" t="s">
        <v>678</v>
      </c>
      <c r="K21" s="126">
        <v>5</v>
      </c>
      <c r="L21" s="126">
        <v>0</v>
      </c>
      <c r="M21" s="142" t="s">
        <v>545</v>
      </c>
      <c r="O21" s="126">
        <v>1</v>
      </c>
      <c r="P21" s="141" t="s">
        <v>2254</v>
      </c>
      <c r="S21" s="126">
        <v>27.34</v>
      </c>
      <c r="T21" s="126">
        <v>28.5</v>
      </c>
      <c r="V21" s="126">
        <v>142.5</v>
      </c>
      <c r="W21" s="126">
        <v>1</v>
      </c>
      <c r="X21" s="126">
        <v>4</v>
      </c>
      <c r="Y21" s="126">
        <v>7</v>
      </c>
      <c r="Z21" s="126">
        <v>2026</v>
      </c>
      <c r="AF21" s="415"/>
    </row>
    <row r="22" spans="3:32">
      <c r="C22" s="126">
        <v>15</v>
      </c>
      <c r="D22" s="126">
        <v>3</v>
      </c>
      <c r="E22" s="141" t="s">
        <v>2264</v>
      </c>
      <c r="F22" s="162">
        <v>46234</v>
      </c>
      <c r="G22" s="141">
        <v>5</v>
      </c>
      <c r="H22" s="141">
        <v>2</v>
      </c>
      <c r="I22" s="141" t="s">
        <v>682</v>
      </c>
      <c r="J22" s="170" t="s">
        <v>683</v>
      </c>
      <c r="K22" s="126">
        <v>5</v>
      </c>
      <c r="L22" s="126">
        <v>0</v>
      </c>
      <c r="M22" s="142" t="s">
        <v>545</v>
      </c>
      <c r="O22" s="126">
        <v>1</v>
      </c>
      <c r="P22" s="141" t="s">
        <v>2254</v>
      </c>
      <c r="S22" s="126">
        <v>11.32</v>
      </c>
      <c r="T22" s="126">
        <v>12</v>
      </c>
      <c r="V22" s="126">
        <v>60</v>
      </c>
      <c r="W22" s="126">
        <v>1</v>
      </c>
      <c r="X22" s="126">
        <v>4</v>
      </c>
      <c r="Y22" s="126">
        <v>7</v>
      </c>
      <c r="Z22" s="126">
        <v>2026</v>
      </c>
      <c r="AF22" s="332"/>
    </row>
    <row r="23" spans="3:32">
      <c r="C23" s="126">
        <v>16</v>
      </c>
      <c r="D23" s="126">
        <v>3</v>
      </c>
      <c r="E23" s="141" t="s">
        <v>2264</v>
      </c>
      <c r="F23" s="162">
        <v>46234</v>
      </c>
      <c r="G23" s="141">
        <v>5</v>
      </c>
      <c r="H23" s="141">
        <v>3</v>
      </c>
      <c r="I23" s="141" t="s">
        <v>2259</v>
      </c>
      <c r="J23" s="170" t="s">
        <v>2260</v>
      </c>
      <c r="K23" s="126">
        <v>5</v>
      </c>
      <c r="L23" s="126">
        <v>0</v>
      </c>
      <c r="M23" s="142" t="s">
        <v>545</v>
      </c>
      <c r="O23" s="126">
        <v>1</v>
      </c>
      <c r="P23" s="141" t="s">
        <v>2254</v>
      </c>
      <c r="S23" s="126">
        <v>8.8000000000000007</v>
      </c>
      <c r="T23" s="126">
        <v>9.5</v>
      </c>
      <c r="V23" s="126">
        <v>47.5</v>
      </c>
      <c r="W23" s="126">
        <v>1</v>
      </c>
      <c r="X23" s="126">
        <v>4</v>
      </c>
      <c r="Y23" s="126">
        <v>7</v>
      </c>
      <c r="Z23" s="126">
        <v>2026</v>
      </c>
      <c r="AF23" s="332"/>
    </row>
    <row r="24" spans="3:32">
      <c r="C24" s="126">
        <v>17</v>
      </c>
      <c r="D24" s="126">
        <v>3</v>
      </c>
      <c r="E24" s="141" t="s">
        <v>2264</v>
      </c>
      <c r="F24" s="162">
        <v>46234</v>
      </c>
      <c r="G24" s="141">
        <v>5</v>
      </c>
      <c r="H24" s="141">
        <v>4</v>
      </c>
      <c r="I24" s="141" t="s">
        <v>581</v>
      </c>
      <c r="J24" s="170" t="s">
        <v>582</v>
      </c>
      <c r="K24" s="126">
        <v>5</v>
      </c>
      <c r="L24" s="126">
        <v>0</v>
      </c>
      <c r="M24" s="142" t="s">
        <v>545</v>
      </c>
      <c r="O24" s="126">
        <v>1</v>
      </c>
      <c r="P24" s="141" t="s">
        <v>2254</v>
      </c>
      <c r="S24" s="126">
        <v>5.8</v>
      </c>
      <c r="T24" s="126">
        <v>6.5</v>
      </c>
      <c r="V24" s="126">
        <v>32.5</v>
      </c>
      <c r="W24" s="126">
        <v>1</v>
      </c>
      <c r="X24" s="126">
        <v>4</v>
      </c>
      <c r="Y24" s="126">
        <v>7</v>
      </c>
      <c r="Z24" s="126">
        <v>2026</v>
      </c>
      <c r="AF24" s="332"/>
    </row>
    <row r="25" spans="3:32">
      <c r="C25" s="126">
        <v>18</v>
      </c>
      <c r="D25" s="126">
        <v>3</v>
      </c>
      <c r="E25" s="141" t="s">
        <v>2264</v>
      </c>
      <c r="F25" s="162">
        <v>46234</v>
      </c>
      <c r="G25" s="141">
        <v>5</v>
      </c>
      <c r="H25" s="141">
        <v>5</v>
      </c>
      <c r="I25" s="141" t="s">
        <v>686</v>
      </c>
      <c r="J25" s="170" t="s">
        <v>687</v>
      </c>
      <c r="K25" s="126">
        <v>5</v>
      </c>
      <c r="L25" s="126">
        <v>0</v>
      </c>
      <c r="M25" s="142" t="s">
        <v>545</v>
      </c>
      <c r="O25" s="126">
        <v>1</v>
      </c>
      <c r="P25" s="141" t="s">
        <v>2254</v>
      </c>
      <c r="S25" s="126">
        <v>3.74</v>
      </c>
      <c r="T25" s="126">
        <v>4.25</v>
      </c>
      <c r="V25" s="126">
        <v>21.25</v>
      </c>
      <c r="W25" s="126">
        <v>1</v>
      </c>
      <c r="X25" s="126">
        <v>4</v>
      </c>
      <c r="Y25" s="126">
        <v>7</v>
      </c>
      <c r="Z25" s="126">
        <v>2026</v>
      </c>
      <c r="AF25" s="332"/>
    </row>
    <row r="26" spans="3:32">
      <c r="C26" s="126">
        <v>19</v>
      </c>
      <c r="D26" s="126">
        <v>4</v>
      </c>
      <c r="E26" s="141" t="s">
        <v>2270</v>
      </c>
      <c r="F26" s="162">
        <v>46234</v>
      </c>
      <c r="G26" s="141">
        <v>6</v>
      </c>
      <c r="H26" s="141">
        <v>1</v>
      </c>
      <c r="I26" s="141" t="s">
        <v>677</v>
      </c>
      <c r="J26" s="170" t="s">
        <v>678</v>
      </c>
      <c r="K26" s="126">
        <v>10</v>
      </c>
      <c r="L26" s="126">
        <v>0</v>
      </c>
      <c r="M26" s="142" t="s">
        <v>545</v>
      </c>
      <c r="O26" s="126">
        <v>1</v>
      </c>
      <c r="P26" s="141" t="s">
        <v>2254</v>
      </c>
      <c r="S26" s="126">
        <v>27.34</v>
      </c>
      <c r="T26" s="126">
        <v>28.5</v>
      </c>
      <c r="V26" s="126">
        <v>285</v>
      </c>
      <c r="W26" s="126">
        <v>1</v>
      </c>
      <c r="X26" s="126">
        <v>4</v>
      </c>
      <c r="Y26" s="126">
        <v>7</v>
      </c>
      <c r="Z26" s="126">
        <v>2026</v>
      </c>
      <c r="AF26" s="332"/>
    </row>
    <row r="27" spans="3:32">
      <c r="C27" s="126">
        <v>20</v>
      </c>
      <c r="D27" s="126">
        <v>4</v>
      </c>
      <c r="E27" s="141" t="s">
        <v>2270</v>
      </c>
      <c r="F27" s="162">
        <v>46234</v>
      </c>
      <c r="G27" s="141">
        <v>6</v>
      </c>
      <c r="H27" s="141">
        <v>2</v>
      </c>
      <c r="I27" s="141" t="s">
        <v>682</v>
      </c>
      <c r="J27" s="170" t="s">
        <v>683</v>
      </c>
      <c r="K27" s="126">
        <v>10</v>
      </c>
      <c r="L27" s="126">
        <v>0</v>
      </c>
      <c r="M27" s="142" t="s">
        <v>545</v>
      </c>
      <c r="O27" s="126">
        <v>1</v>
      </c>
      <c r="P27" s="141" t="s">
        <v>2254</v>
      </c>
      <c r="S27" s="126">
        <v>11.32</v>
      </c>
      <c r="T27" s="126">
        <v>12</v>
      </c>
      <c r="V27" s="126">
        <v>120</v>
      </c>
      <c r="W27" s="126">
        <v>1</v>
      </c>
      <c r="X27" s="126">
        <v>4</v>
      </c>
      <c r="Y27" s="126">
        <v>7</v>
      </c>
      <c r="Z27" s="126">
        <v>2026</v>
      </c>
      <c r="AF27" s="332"/>
    </row>
    <row r="28" spans="3:32">
      <c r="C28" s="126">
        <v>21</v>
      </c>
      <c r="D28" s="126">
        <v>4</v>
      </c>
      <c r="E28" s="141" t="s">
        <v>2270</v>
      </c>
      <c r="F28" s="162">
        <v>46234</v>
      </c>
      <c r="G28" s="141">
        <v>6</v>
      </c>
      <c r="H28" s="141">
        <v>3</v>
      </c>
      <c r="I28" s="141" t="s">
        <v>2259</v>
      </c>
      <c r="J28" s="170" t="s">
        <v>2260</v>
      </c>
      <c r="K28" s="126">
        <v>10</v>
      </c>
      <c r="L28" s="126">
        <v>0</v>
      </c>
      <c r="M28" s="142" t="s">
        <v>545</v>
      </c>
      <c r="O28" s="126">
        <v>1</v>
      </c>
      <c r="P28" s="141" t="s">
        <v>2254</v>
      </c>
      <c r="S28" s="126">
        <v>8.8000000000000007</v>
      </c>
      <c r="T28" s="126">
        <v>9.5</v>
      </c>
      <c r="V28" s="126">
        <v>95</v>
      </c>
      <c r="W28" s="126">
        <v>1</v>
      </c>
      <c r="X28" s="126">
        <v>4</v>
      </c>
      <c r="Y28" s="126">
        <v>7</v>
      </c>
      <c r="Z28" s="126">
        <v>2026</v>
      </c>
      <c r="AF28" s="332"/>
    </row>
    <row r="29" spans="3:32">
      <c r="C29" s="126">
        <v>22</v>
      </c>
      <c r="D29" s="126">
        <v>4</v>
      </c>
      <c r="E29" s="141" t="s">
        <v>2270</v>
      </c>
      <c r="F29" s="162">
        <v>46234</v>
      </c>
      <c r="G29" s="141">
        <v>6</v>
      </c>
      <c r="H29" s="141">
        <v>5</v>
      </c>
      <c r="I29" s="141" t="s">
        <v>686</v>
      </c>
      <c r="J29" s="170" t="s">
        <v>687</v>
      </c>
      <c r="K29" s="126">
        <v>10</v>
      </c>
      <c r="L29" s="126">
        <v>0</v>
      </c>
      <c r="M29" s="142" t="s">
        <v>545</v>
      </c>
      <c r="O29" s="126">
        <v>1</v>
      </c>
      <c r="P29" s="141" t="s">
        <v>2254</v>
      </c>
      <c r="S29" s="126">
        <v>3.74</v>
      </c>
      <c r="T29" s="126">
        <v>4.25</v>
      </c>
      <c r="V29" s="126">
        <v>42.5</v>
      </c>
      <c r="W29" s="126">
        <v>1</v>
      </c>
      <c r="X29" s="126">
        <v>4</v>
      </c>
      <c r="Y29" s="126">
        <v>7</v>
      </c>
      <c r="Z29" s="126">
        <v>2026</v>
      </c>
      <c r="AF29" s="332"/>
    </row>
    <row r="30" spans="3:32">
      <c r="C30" s="126">
        <v>23</v>
      </c>
      <c r="D30" s="126">
        <v>4</v>
      </c>
      <c r="E30" s="141" t="s">
        <v>2270</v>
      </c>
      <c r="F30" s="162">
        <v>46234</v>
      </c>
      <c r="G30" s="141">
        <v>6</v>
      </c>
      <c r="H30" s="141">
        <v>6</v>
      </c>
      <c r="I30" s="141" t="s">
        <v>559</v>
      </c>
      <c r="J30" s="170" t="s">
        <v>560</v>
      </c>
      <c r="K30" s="126">
        <v>10</v>
      </c>
      <c r="L30" s="126">
        <v>0</v>
      </c>
      <c r="M30" s="142" t="s">
        <v>545</v>
      </c>
      <c r="O30" s="126">
        <v>1</v>
      </c>
      <c r="P30" s="141" t="s">
        <v>2254</v>
      </c>
      <c r="S30" s="126">
        <v>2.89</v>
      </c>
      <c r="T30" s="126">
        <v>3.5</v>
      </c>
      <c r="V30" s="126">
        <v>35</v>
      </c>
      <c r="W30" s="126">
        <v>1</v>
      </c>
      <c r="X30" s="126">
        <v>4</v>
      </c>
      <c r="Y30" s="126">
        <v>7</v>
      </c>
      <c r="Z30" s="126">
        <v>2026</v>
      </c>
      <c r="AF30" s="332"/>
    </row>
    <row r="31" spans="3:32">
      <c r="C31" s="126">
        <v>24</v>
      </c>
      <c r="D31" s="126">
        <v>4</v>
      </c>
      <c r="E31" s="141" t="s">
        <v>2270</v>
      </c>
      <c r="F31" s="162">
        <v>46234</v>
      </c>
      <c r="G31" s="141">
        <v>6</v>
      </c>
      <c r="H31" s="141">
        <v>6</v>
      </c>
      <c r="I31" s="141" t="s">
        <v>559</v>
      </c>
      <c r="J31" s="170" t="s">
        <v>560</v>
      </c>
      <c r="K31" s="126">
        <v>10</v>
      </c>
      <c r="L31" s="126">
        <v>0</v>
      </c>
      <c r="M31" s="142" t="s">
        <v>545</v>
      </c>
      <c r="O31" s="126">
        <v>1</v>
      </c>
      <c r="P31" s="141" t="s">
        <v>2254</v>
      </c>
      <c r="S31" s="126">
        <v>2.89</v>
      </c>
      <c r="T31" s="126">
        <v>3.5</v>
      </c>
      <c r="V31" s="126">
        <v>35</v>
      </c>
      <c r="W31" s="126">
        <v>1</v>
      </c>
      <c r="X31" s="126">
        <v>4</v>
      </c>
      <c r="Y31" s="126">
        <v>7</v>
      </c>
      <c r="Z31" s="126">
        <v>2026</v>
      </c>
      <c r="AF31" s="332"/>
    </row>
    <row r="32" spans="3:32">
      <c r="C32" s="126">
        <v>25</v>
      </c>
      <c r="D32" s="126">
        <v>4</v>
      </c>
      <c r="E32" s="141" t="s">
        <v>2270</v>
      </c>
      <c r="F32" s="162">
        <v>46234</v>
      </c>
      <c r="G32" s="141">
        <v>6</v>
      </c>
      <c r="H32" s="141">
        <v>7</v>
      </c>
      <c r="I32" s="141" t="s">
        <v>818</v>
      </c>
      <c r="J32" s="170" t="s">
        <v>819</v>
      </c>
      <c r="K32" s="126">
        <v>10</v>
      </c>
      <c r="L32" s="126">
        <v>0</v>
      </c>
      <c r="M32" s="142" t="s">
        <v>545</v>
      </c>
      <c r="O32" s="126">
        <v>1</v>
      </c>
      <c r="P32" s="141" t="s">
        <v>2254</v>
      </c>
      <c r="S32" s="126">
        <v>1.79</v>
      </c>
      <c r="T32" s="126">
        <v>2.5</v>
      </c>
      <c r="V32" s="126">
        <v>25</v>
      </c>
      <c r="W32" s="126">
        <v>1</v>
      </c>
      <c r="X32" s="126">
        <v>4</v>
      </c>
      <c r="Y32" s="126">
        <v>7</v>
      </c>
      <c r="Z32" s="126">
        <v>2026</v>
      </c>
      <c r="AF32" s="332"/>
    </row>
    <row r="33" spans="3:26">
      <c r="C33" s="126">
        <v>26</v>
      </c>
      <c r="D33" s="126">
        <v>4</v>
      </c>
      <c r="E33" s="141" t="s">
        <v>2270</v>
      </c>
      <c r="F33" s="162">
        <v>46234</v>
      </c>
      <c r="G33" s="141">
        <v>6</v>
      </c>
      <c r="H33" s="141">
        <v>8</v>
      </c>
      <c r="I33" s="141" t="s">
        <v>1125</v>
      </c>
      <c r="J33" s="170" t="s">
        <v>1126</v>
      </c>
      <c r="K33" s="126">
        <v>10</v>
      </c>
      <c r="L33" s="126">
        <v>0</v>
      </c>
      <c r="M33" s="142" t="s">
        <v>545</v>
      </c>
      <c r="O33" s="126">
        <v>1</v>
      </c>
      <c r="P33" s="141" t="s">
        <v>2254</v>
      </c>
      <c r="S33" s="126">
        <v>1.32</v>
      </c>
      <c r="T33" s="126">
        <v>1.75</v>
      </c>
      <c r="V33" s="126">
        <v>17.5</v>
      </c>
      <c r="W33" s="126">
        <v>1</v>
      </c>
      <c r="X33" s="126">
        <v>4</v>
      </c>
      <c r="Y33" s="126">
        <v>7</v>
      </c>
      <c r="Z33" s="126">
        <v>2026</v>
      </c>
    </row>
    <row r="34" spans="3:26">
      <c r="F34" s="162"/>
    </row>
    <row r="35" spans="3:26">
      <c r="F35" s="162"/>
    </row>
    <row r="36" spans="3:26">
      <c r="F36" s="162"/>
    </row>
    <row r="37" spans="3:26">
      <c r="F37" s="162"/>
    </row>
    <row r="38" spans="3:26">
      <c r="F38" s="162"/>
    </row>
    <row r="39" spans="3:26">
      <c r="F39" s="162"/>
    </row>
    <row r="40" spans="3:26">
      <c r="F40" s="162"/>
    </row>
    <row r="41" spans="3:26">
      <c r="F41" s="162"/>
    </row>
    <row r="42" spans="3:26">
      <c r="F42" s="162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DE107-C122-48EA-B81B-08FDB53DBD7F}">
  <sheetPr codeName="Sheet41"/>
  <dimension ref="C6:S7"/>
  <sheetViews>
    <sheetView showGridLines="0" zoomScale="90" zoomScaleNormal="90" workbookViewId="0">
      <pane ySplit="7" topLeftCell="A8" activePane="bottomLeft" state="frozen"/>
      <selection activeCell="L28" sqref="L28"/>
      <selection pane="bottomLeft" activeCell="L28" sqref="L28"/>
    </sheetView>
  </sheetViews>
  <sheetFormatPr defaultRowHeight="15"/>
  <cols>
    <col min="1" max="1" width="2.5703125" customWidth="1"/>
    <col min="2" max="2" width="1" customWidth="1"/>
    <col min="4" max="5" width="13.5703125" customWidth="1"/>
    <col min="6" max="6" width="17.42578125" customWidth="1"/>
    <col min="7" max="7" width="17.85546875" customWidth="1"/>
    <col min="8" max="8" width="16" customWidth="1"/>
    <col min="9" max="9" width="10.42578125" customWidth="1"/>
    <col min="10" max="10" width="11.85546875" customWidth="1"/>
    <col min="11" max="11" width="17.42578125" customWidth="1"/>
    <col min="12" max="12" width="13.28515625" customWidth="1"/>
    <col min="13" max="13" width="15.140625" customWidth="1"/>
    <col min="14" max="14" width="20.140625" customWidth="1"/>
    <col min="15" max="15" width="16.7109375" customWidth="1"/>
    <col min="16" max="16" width="16.5703125" customWidth="1"/>
    <col min="17" max="17" width="12.28515625" customWidth="1"/>
    <col min="18" max="18" width="16.28515625" customWidth="1"/>
    <col min="19" max="19" width="15.28515625" customWidth="1"/>
  </cols>
  <sheetData>
    <row r="6" spans="3:19" ht="23.25">
      <c r="C6" s="270" t="s">
        <v>10</v>
      </c>
      <c r="D6" s="270" t="s">
        <v>243</v>
      </c>
      <c r="E6" s="270" t="s">
        <v>270</v>
      </c>
      <c r="F6" s="270" t="s">
        <v>173</v>
      </c>
      <c r="G6" s="270" t="s">
        <v>260</v>
      </c>
      <c r="H6" s="270" t="s">
        <v>261</v>
      </c>
      <c r="I6" s="270" t="s">
        <v>16</v>
      </c>
      <c r="J6" s="270" t="s">
        <v>262</v>
      </c>
      <c r="K6" s="270" t="s">
        <v>263</v>
      </c>
      <c r="L6" s="270" t="s">
        <v>264</v>
      </c>
      <c r="M6" s="270" t="s">
        <v>265</v>
      </c>
      <c r="N6" s="270" t="s">
        <v>267</v>
      </c>
      <c r="O6" s="270" t="s">
        <v>266</v>
      </c>
      <c r="P6" s="270" t="s">
        <v>14</v>
      </c>
      <c r="Q6" s="270" t="s">
        <v>187</v>
      </c>
      <c r="R6" s="270" t="s">
        <v>268</v>
      </c>
      <c r="S6" s="270" t="s">
        <v>109</v>
      </c>
    </row>
    <row r="7" spans="3:19">
      <c r="C7" s="277" t="s">
        <v>139</v>
      </c>
      <c r="D7" s="277" t="s">
        <v>256</v>
      </c>
      <c r="E7" s="277" t="s">
        <v>269</v>
      </c>
      <c r="F7" s="277" t="s">
        <v>162</v>
      </c>
      <c r="G7" s="277" t="s">
        <v>207</v>
      </c>
      <c r="H7" s="277" t="s">
        <v>17</v>
      </c>
      <c r="I7" s="277" t="s">
        <v>18</v>
      </c>
      <c r="J7" s="277" t="s">
        <v>4</v>
      </c>
      <c r="K7" s="277" t="s">
        <v>257</v>
      </c>
      <c r="L7" s="277" t="s">
        <v>197</v>
      </c>
      <c r="M7" s="277" t="s">
        <v>258</v>
      </c>
      <c r="N7" s="277" t="s">
        <v>259</v>
      </c>
      <c r="O7" s="277" t="s">
        <v>235</v>
      </c>
      <c r="P7" s="277" t="s">
        <v>19</v>
      </c>
      <c r="Q7" s="277" t="s">
        <v>8</v>
      </c>
      <c r="R7" s="277" t="s">
        <v>201</v>
      </c>
      <c r="S7" s="277" t="s">
        <v>98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709CE-CCE5-4F6F-A012-C6D796703B74}">
  <sheetPr codeName="Sheet31"/>
  <dimension ref="C1:AU47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M28" sqref="M28"/>
    </sheetView>
  </sheetViews>
  <sheetFormatPr defaultRowHeight="23.25"/>
  <cols>
    <col min="1" max="1" width="2" style="68" customWidth="1"/>
    <col min="2" max="2" width="3" style="68" customWidth="1"/>
    <col min="3" max="3" width="5.85546875" style="214" customWidth="1"/>
    <col min="4" max="4" width="18.140625" style="68" customWidth="1"/>
    <col min="5" max="5" width="20.85546875" style="212" customWidth="1"/>
    <col min="6" max="6" width="15.28515625" style="211" customWidth="1"/>
    <col min="7" max="8" width="15.28515625" style="68" customWidth="1"/>
    <col min="9" max="9" width="27.28515625" style="161" customWidth="1"/>
    <col min="10" max="10" width="26.28515625" style="68" customWidth="1"/>
    <col min="11" max="11" width="13.85546875" style="214" customWidth="1"/>
    <col min="12" max="12" width="11.85546875" style="214" customWidth="1"/>
    <col min="13" max="13" width="17.140625" style="214" customWidth="1"/>
    <col min="14" max="14" width="11.85546875" style="214" customWidth="1"/>
    <col min="15" max="15" width="19.85546875" style="214" customWidth="1"/>
    <col min="16" max="16" width="14.140625" style="214" customWidth="1"/>
    <col min="17" max="17" width="29.42578125" style="68" bestFit="1" customWidth="1"/>
    <col min="18" max="18" width="20.28515625" style="214" customWidth="1"/>
    <col min="19" max="19" width="16.140625" style="214" hidden="1" customWidth="1"/>
    <col min="20" max="20" width="14.42578125" style="214" bestFit="1" customWidth="1"/>
    <col min="21" max="21" width="20.140625" style="214" hidden="1" customWidth="1"/>
    <col min="22" max="22" width="16.5703125" style="214" hidden="1" customWidth="1"/>
    <col min="23" max="23" width="17.28515625" style="214" hidden="1" customWidth="1"/>
    <col min="24" max="24" width="12" style="214" hidden="1" customWidth="1"/>
    <col min="25" max="25" width="14.85546875" style="209" customWidth="1"/>
    <col min="26" max="26" width="15.140625" style="209" customWidth="1"/>
    <col min="27" max="27" width="13.5703125" style="209" customWidth="1"/>
    <col min="28" max="28" width="11.5703125" style="209" customWidth="1"/>
    <col min="29" max="29" width="17.42578125" style="209" customWidth="1"/>
    <col min="30" max="30" width="19.7109375" style="209" customWidth="1"/>
    <col min="31" max="31" width="19" style="209" customWidth="1"/>
    <col min="32" max="32" width="19" style="68" hidden="1" customWidth="1"/>
    <col min="33" max="33" width="15.42578125" style="68" hidden="1" customWidth="1"/>
    <col min="34" max="34" width="20.7109375" style="68" hidden="1" customWidth="1"/>
    <col min="35" max="35" width="16" style="68" customWidth="1"/>
    <col min="36" max="36" width="22.42578125" style="68" customWidth="1"/>
    <col min="37" max="37" width="19.140625" style="68" hidden="1" customWidth="1"/>
    <col min="38" max="38" width="22.28515625" style="68" hidden="1" customWidth="1"/>
    <col min="39" max="39" width="9.28515625" style="68" customWidth="1"/>
    <col min="40" max="40" width="14.28515625" style="68" customWidth="1"/>
    <col min="41" max="41" width="10.42578125" style="68" customWidth="1"/>
    <col min="42" max="43" width="9.7109375" style="68" customWidth="1"/>
    <col min="44" max="44" width="9.140625" style="68"/>
    <col min="45" max="45" width="9.140625" style="136"/>
    <col min="46" max="46" width="26" style="136" bestFit="1" customWidth="1"/>
    <col min="47" max="47" width="29.140625" style="68" customWidth="1"/>
    <col min="48" max="16384" width="9.140625" style="68"/>
  </cols>
  <sheetData>
    <row r="1" spans="3:47" customFormat="1" ht="7.5" customHeight="1">
      <c r="C1" s="13"/>
      <c r="D1" s="13"/>
      <c r="E1" s="13"/>
      <c r="F1" s="121"/>
      <c r="G1" s="13"/>
      <c r="H1" s="13"/>
      <c r="I1" s="13"/>
      <c r="K1" s="13"/>
      <c r="L1" s="13"/>
      <c r="M1" s="13"/>
      <c r="N1" s="13"/>
      <c r="O1" s="13"/>
      <c r="P1" s="13"/>
      <c r="Q1" s="127"/>
      <c r="R1" s="131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1"/>
      <c r="AH1" s="13"/>
      <c r="AI1" s="13"/>
      <c r="AJ1" s="13"/>
      <c r="AK1" s="13"/>
      <c r="AL1" s="13"/>
      <c r="AM1" s="13"/>
      <c r="AN1" s="13"/>
      <c r="AO1" s="13"/>
      <c r="AP1" s="13"/>
      <c r="AS1" s="132"/>
      <c r="AT1" s="132"/>
    </row>
    <row r="2" spans="3:47" customFormat="1">
      <c r="C2" s="13"/>
      <c r="D2" s="13"/>
      <c r="E2" s="13"/>
      <c r="F2" s="121"/>
      <c r="G2" s="13"/>
      <c r="H2" s="13"/>
      <c r="I2" s="13"/>
      <c r="K2" s="13"/>
      <c r="L2" s="13"/>
      <c r="M2" s="13"/>
      <c r="N2" s="13"/>
      <c r="O2" s="13"/>
      <c r="P2" s="13"/>
      <c r="Q2" s="127"/>
      <c r="R2" s="131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1"/>
      <c r="AH2" s="13"/>
      <c r="AI2" s="13"/>
      <c r="AJ2" s="13"/>
      <c r="AK2" s="13"/>
      <c r="AL2" s="13"/>
      <c r="AM2" s="13"/>
      <c r="AN2" s="13"/>
      <c r="AO2" s="13"/>
      <c r="AP2" s="13"/>
      <c r="AS2" s="132"/>
      <c r="AT2" s="132"/>
    </row>
    <row r="3" spans="3:47" customFormat="1">
      <c r="C3" s="13"/>
      <c r="D3" s="13"/>
      <c r="E3" s="13"/>
      <c r="F3" s="121"/>
      <c r="G3" s="13"/>
      <c r="H3" s="13"/>
      <c r="I3" s="13"/>
      <c r="K3" s="13"/>
      <c r="L3" s="13"/>
      <c r="M3" s="13"/>
      <c r="N3" s="13"/>
      <c r="O3" s="13"/>
      <c r="P3" s="13"/>
      <c r="Q3" s="127"/>
      <c r="R3" s="131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1"/>
      <c r="AH3" s="13"/>
      <c r="AI3" s="13"/>
      <c r="AJ3" s="13"/>
      <c r="AK3" s="13"/>
      <c r="AL3" s="13"/>
      <c r="AM3" s="13"/>
      <c r="AN3" s="13"/>
      <c r="AO3" s="13"/>
      <c r="AP3" s="13"/>
      <c r="AS3" s="132"/>
      <c r="AT3" s="132"/>
    </row>
    <row r="4" spans="3:47" customFormat="1" ht="12" customHeight="1">
      <c r="C4" s="13"/>
      <c r="D4" s="13"/>
      <c r="E4" s="13"/>
      <c r="F4" s="121"/>
      <c r="G4" s="13"/>
      <c r="H4" s="13"/>
      <c r="I4" s="13"/>
      <c r="K4" s="13"/>
      <c r="L4" s="13"/>
      <c r="M4" s="13"/>
      <c r="N4" s="13"/>
      <c r="O4" s="13"/>
      <c r="P4" s="13"/>
      <c r="Q4" s="127"/>
      <c r="R4" s="131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1"/>
      <c r="AH4" s="13"/>
      <c r="AI4" s="13"/>
      <c r="AJ4" s="13"/>
      <c r="AK4" s="13"/>
      <c r="AL4" s="13"/>
      <c r="AM4" s="13"/>
      <c r="AN4" s="13"/>
      <c r="AO4" s="13"/>
      <c r="AP4" s="13"/>
      <c r="AS4" s="132"/>
      <c r="AT4" s="132"/>
    </row>
    <row r="5" spans="3:47" customFormat="1" ht="12.75" customHeight="1"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S5" s="132"/>
      <c r="AT5" s="132"/>
    </row>
    <row r="6" spans="3:47" s="13" customFormat="1">
      <c r="C6" s="270" t="s">
        <v>10</v>
      </c>
      <c r="D6" s="270" t="s">
        <v>94</v>
      </c>
      <c r="E6" s="270" t="s">
        <v>24</v>
      </c>
      <c r="F6" s="366" t="s">
        <v>395</v>
      </c>
      <c r="G6" s="270" t="s">
        <v>402</v>
      </c>
      <c r="H6" s="270" t="s">
        <v>403</v>
      </c>
      <c r="I6" s="270" t="s">
        <v>404</v>
      </c>
      <c r="J6" s="270" t="s">
        <v>423</v>
      </c>
      <c r="K6" s="270" t="s">
        <v>222</v>
      </c>
      <c r="L6" s="270" t="s">
        <v>107</v>
      </c>
      <c r="M6" s="270" t="s">
        <v>142</v>
      </c>
      <c r="N6" s="270" t="s">
        <v>186</v>
      </c>
      <c r="O6" s="270" t="s">
        <v>391</v>
      </c>
      <c r="P6" s="270" t="s">
        <v>396</v>
      </c>
      <c r="Q6" s="270" t="s">
        <v>99</v>
      </c>
      <c r="R6" s="270" t="s">
        <v>297</v>
      </c>
      <c r="S6" s="270" t="s">
        <v>0</v>
      </c>
      <c r="T6" s="270" t="s">
        <v>398</v>
      </c>
      <c r="U6" s="270" t="s">
        <v>409</v>
      </c>
      <c r="V6" s="270" t="s">
        <v>246</v>
      </c>
      <c r="W6" s="270" t="s">
        <v>247</v>
      </c>
      <c r="X6" s="270" t="s">
        <v>248</v>
      </c>
      <c r="Y6" s="270" t="s">
        <v>9</v>
      </c>
      <c r="Z6" s="270" t="s">
        <v>276</v>
      </c>
      <c r="AA6" s="270" t="s">
        <v>108</v>
      </c>
      <c r="AB6" s="270" t="s">
        <v>245</v>
      </c>
      <c r="AC6" s="270" t="s">
        <v>274</v>
      </c>
      <c r="AD6" s="270" t="s">
        <v>249</v>
      </c>
      <c r="AE6" s="270" t="s">
        <v>412</v>
      </c>
      <c r="AF6" s="270" t="s">
        <v>425</v>
      </c>
      <c r="AG6" s="270" t="s">
        <v>250</v>
      </c>
      <c r="AH6" s="270" t="s">
        <v>251</v>
      </c>
      <c r="AI6" s="270" t="s">
        <v>25</v>
      </c>
      <c r="AJ6" s="270" t="s">
        <v>209</v>
      </c>
      <c r="AK6" s="270" t="s">
        <v>464</v>
      </c>
      <c r="AL6" s="270" t="s">
        <v>465</v>
      </c>
      <c r="AM6" s="270" t="s">
        <v>109</v>
      </c>
      <c r="AN6" s="270" t="s">
        <v>23</v>
      </c>
      <c r="AO6" s="270" t="s">
        <v>95</v>
      </c>
      <c r="AP6" s="270" t="s">
        <v>120</v>
      </c>
      <c r="AS6" s="121"/>
      <c r="AT6" s="121">
        <f>SUM(AE11:AE16)</f>
        <v>2438.94</v>
      </c>
      <c r="AU6" s="13">
        <f>AT6-560</f>
        <v>1878.94</v>
      </c>
    </row>
    <row r="7" spans="3:47" s="126" customFormat="1" ht="15">
      <c r="C7" s="267" t="s">
        <v>1</v>
      </c>
      <c r="D7" s="267" t="s">
        <v>399</v>
      </c>
      <c r="E7" s="267" t="s">
        <v>400</v>
      </c>
      <c r="F7" s="367" t="s">
        <v>394</v>
      </c>
      <c r="G7" s="267" t="s">
        <v>405</v>
      </c>
      <c r="H7" s="267" t="s">
        <v>406</v>
      </c>
      <c r="I7" s="267" t="s">
        <v>407</v>
      </c>
      <c r="J7" s="267" t="s">
        <v>422</v>
      </c>
      <c r="K7" s="267" t="s">
        <v>221</v>
      </c>
      <c r="L7" s="267" t="s">
        <v>124</v>
      </c>
      <c r="M7" s="267" t="s">
        <v>140</v>
      </c>
      <c r="N7" s="267" t="s">
        <v>163</v>
      </c>
      <c r="O7" s="267" t="s">
        <v>390</v>
      </c>
      <c r="P7" s="267" t="s">
        <v>161</v>
      </c>
      <c r="Q7" s="267" t="s">
        <v>397</v>
      </c>
      <c r="R7" s="267" t="s">
        <v>401</v>
      </c>
      <c r="S7" s="267" t="s">
        <v>229</v>
      </c>
      <c r="T7" s="267" t="s">
        <v>3</v>
      </c>
      <c r="U7" s="267" t="s">
        <v>408</v>
      </c>
      <c r="V7" s="267" t="s">
        <v>232</v>
      </c>
      <c r="W7" s="267" t="s">
        <v>233</v>
      </c>
      <c r="X7" s="267" t="s">
        <v>234</v>
      </c>
      <c r="Y7" s="267" t="s">
        <v>278</v>
      </c>
      <c r="Z7" s="267" t="s">
        <v>277</v>
      </c>
      <c r="AA7" s="267" t="s">
        <v>205</v>
      </c>
      <c r="AB7" s="267" t="s">
        <v>231</v>
      </c>
      <c r="AC7" s="267" t="s">
        <v>271</v>
      </c>
      <c r="AD7" s="267" t="s">
        <v>206</v>
      </c>
      <c r="AE7" s="267" t="s">
        <v>282</v>
      </c>
      <c r="AF7" s="267" t="s">
        <v>424</v>
      </c>
      <c r="AG7" s="267" t="s">
        <v>236</v>
      </c>
      <c r="AH7" s="267" t="s">
        <v>240</v>
      </c>
      <c r="AI7" s="267" t="s">
        <v>28</v>
      </c>
      <c r="AJ7" s="267" t="s">
        <v>203</v>
      </c>
      <c r="AK7" s="267" t="s">
        <v>410</v>
      </c>
      <c r="AL7" s="267" t="s">
        <v>411</v>
      </c>
      <c r="AM7" s="267" t="s">
        <v>98</v>
      </c>
      <c r="AN7" s="267" t="s">
        <v>26</v>
      </c>
      <c r="AO7" s="267" t="s">
        <v>2</v>
      </c>
      <c r="AP7" s="267" t="s">
        <v>121</v>
      </c>
      <c r="AS7" s="128"/>
      <c r="AT7" s="128"/>
    </row>
    <row r="8" spans="3:47">
      <c r="C8" s="214">
        <v>1</v>
      </c>
      <c r="D8" s="68" t="s">
        <v>673</v>
      </c>
      <c r="E8" s="212">
        <v>46143</v>
      </c>
      <c r="F8" s="211">
        <v>46143</v>
      </c>
      <c r="H8" s="68">
        <v>251</v>
      </c>
      <c r="K8" s="214">
        <v>1</v>
      </c>
      <c r="L8" s="214">
        <v>1</v>
      </c>
      <c r="M8" s="214">
        <v>1</v>
      </c>
      <c r="N8" s="214">
        <v>1</v>
      </c>
      <c r="O8" s="214">
        <v>6</v>
      </c>
      <c r="P8" s="214">
        <v>2</v>
      </c>
      <c r="Q8" s="68" t="s">
        <v>674</v>
      </c>
      <c r="R8" s="214">
        <v>6</v>
      </c>
      <c r="S8" s="214">
        <v>1</v>
      </c>
      <c r="T8" s="214">
        <v>4007</v>
      </c>
      <c r="V8" s="214">
        <v>0</v>
      </c>
      <c r="AA8" s="209">
        <v>715.94</v>
      </c>
      <c r="AB8" s="209">
        <v>0</v>
      </c>
      <c r="AC8" s="209">
        <v>0</v>
      </c>
      <c r="AD8" s="209">
        <v>0</v>
      </c>
      <c r="AE8" s="209">
        <v>715.94</v>
      </c>
      <c r="AJ8" s="210">
        <v>46224.761064814818</v>
      </c>
      <c r="AK8" s="68">
        <v>0</v>
      </c>
      <c r="AL8" s="68">
        <v>0</v>
      </c>
      <c r="AM8" s="68">
        <v>1</v>
      </c>
      <c r="AN8" s="68">
        <v>1</v>
      </c>
      <c r="AO8" s="68">
        <v>5</v>
      </c>
      <c r="AP8" s="68">
        <v>2026</v>
      </c>
      <c r="AS8" s="121"/>
      <c r="AT8" s="325"/>
    </row>
    <row r="9" spans="3:47">
      <c r="C9" s="214">
        <v>2</v>
      </c>
      <c r="D9" s="68" t="s">
        <v>713</v>
      </c>
      <c r="E9" s="212">
        <v>46146</v>
      </c>
      <c r="F9" s="211">
        <v>46146</v>
      </c>
      <c r="H9" s="68">
        <v>252</v>
      </c>
      <c r="K9" s="214">
        <v>1</v>
      </c>
      <c r="L9" s="214">
        <v>1</v>
      </c>
      <c r="M9" s="214">
        <v>1</v>
      </c>
      <c r="N9" s="214">
        <v>1</v>
      </c>
      <c r="O9" s="214">
        <v>6</v>
      </c>
      <c r="P9" s="214">
        <v>2</v>
      </c>
      <c r="Q9" s="68" t="s">
        <v>674</v>
      </c>
      <c r="R9" s="214">
        <v>6</v>
      </c>
      <c r="S9" s="214">
        <v>1</v>
      </c>
      <c r="T9" s="214">
        <v>4005</v>
      </c>
      <c r="V9" s="214">
        <v>0</v>
      </c>
      <c r="AA9" s="209">
        <v>2711.37</v>
      </c>
      <c r="AB9" s="209">
        <v>0</v>
      </c>
      <c r="AC9" s="209">
        <v>0</v>
      </c>
      <c r="AD9" s="209">
        <v>0</v>
      </c>
      <c r="AE9" s="209">
        <v>2711.37</v>
      </c>
      <c r="AJ9" s="210">
        <v>46224.769317129627</v>
      </c>
      <c r="AK9" s="68">
        <v>0</v>
      </c>
      <c r="AL9" s="68">
        <v>0</v>
      </c>
      <c r="AM9" s="68">
        <v>1</v>
      </c>
      <c r="AN9" s="68">
        <v>1</v>
      </c>
      <c r="AO9" s="68">
        <v>5</v>
      </c>
      <c r="AP9" s="68">
        <v>2026</v>
      </c>
      <c r="AS9" s="121"/>
      <c r="AT9" s="325"/>
    </row>
    <row r="10" spans="3:47">
      <c r="C10" s="214">
        <v>3</v>
      </c>
      <c r="D10" s="68" t="s">
        <v>759</v>
      </c>
      <c r="E10" s="212">
        <v>46148</v>
      </c>
      <c r="F10" s="211">
        <v>46148</v>
      </c>
      <c r="H10" s="68">
        <v>253</v>
      </c>
      <c r="K10" s="214">
        <v>1</v>
      </c>
      <c r="L10" s="214">
        <v>1</v>
      </c>
      <c r="M10" s="214">
        <v>1</v>
      </c>
      <c r="N10" s="214">
        <v>1</v>
      </c>
      <c r="O10" s="214">
        <v>6</v>
      </c>
      <c r="P10" s="214">
        <v>2</v>
      </c>
      <c r="Q10" s="68" t="s">
        <v>674</v>
      </c>
      <c r="R10" s="214">
        <v>6</v>
      </c>
      <c r="S10" s="214">
        <v>1</v>
      </c>
      <c r="T10" s="214">
        <v>4008</v>
      </c>
      <c r="V10" s="214">
        <v>0</v>
      </c>
      <c r="AA10" s="209">
        <v>880.41000000000008</v>
      </c>
      <c r="AB10" s="209">
        <v>0</v>
      </c>
      <c r="AC10" s="209">
        <v>0</v>
      </c>
      <c r="AD10" s="209">
        <v>0</v>
      </c>
      <c r="AE10" s="209">
        <v>880.41000000000008</v>
      </c>
      <c r="AJ10" s="210">
        <v>46224.785381944443</v>
      </c>
      <c r="AK10" s="68">
        <v>0</v>
      </c>
      <c r="AL10" s="68">
        <v>0</v>
      </c>
      <c r="AM10" s="68">
        <v>1</v>
      </c>
      <c r="AN10" s="68">
        <v>1</v>
      </c>
      <c r="AO10" s="68">
        <v>5</v>
      </c>
      <c r="AP10" s="68">
        <v>2026</v>
      </c>
      <c r="AS10" s="121"/>
      <c r="AT10" s="324"/>
    </row>
    <row r="11" spans="3:47" s="406" customFormat="1">
      <c r="C11" s="405">
        <v>4</v>
      </c>
      <c r="D11" s="406" t="s">
        <v>2142</v>
      </c>
      <c r="E11" s="407">
        <v>46174</v>
      </c>
      <c r="F11" s="408">
        <v>46174</v>
      </c>
      <c r="I11" s="409"/>
      <c r="K11" s="405">
        <v>1</v>
      </c>
      <c r="L11" s="405">
        <v>1</v>
      </c>
      <c r="M11" s="405">
        <v>1</v>
      </c>
      <c r="N11" s="405">
        <v>1</v>
      </c>
      <c r="O11" s="405">
        <v>6</v>
      </c>
      <c r="P11" s="405">
        <v>2</v>
      </c>
      <c r="Q11" s="406" t="s">
        <v>674</v>
      </c>
      <c r="R11" s="405">
        <v>6</v>
      </c>
      <c r="S11" s="405">
        <v>1</v>
      </c>
      <c r="T11" s="405">
        <v>4026</v>
      </c>
      <c r="U11" s="405"/>
      <c r="V11" s="405">
        <v>0</v>
      </c>
      <c r="W11" s="405"/>
      <c r="X11" s="405"/>
      <c r="Y11" s="410"/>
      <c r="Z11" s="410"/>
      <c r="AA11" s="410">
        <v>510.67999999999995</v>
      </c>
      <c r="AB11" s="410">
        <v>0</v>
      </c>
      <c r="AC11" s="410">
        <v>0</v>
      </c>
      <c r="AD11" s="410">
        <v>0</v>
      </c>
      <c r="AE11" s="410">
        <v>510.67999999999995</v>
      </c>
      <c r="AJ11" s="411">
        <v>46227.616331018522</v>
      </c>
      <c r="AK11" s="406">
        <v>0</v>
      </c>
      <c r="AL11" s="406">
        <v>0</v>
      </c>
      <c r="AM11" s="406">
        <v>1</v>
      </c>
      <c r="AN11" s="406">
        <v>1</v>
      </c>
      <c r="AO11" s="406">
        <v>6</v>
      </c>
      <c r="AP11" s="406">
        <v>2026</v>
      </c>
      <c r="AS11" s="412"/>
      <c r="AT11" s="413"/>
    </row>
    <row r="12" spans="3:47" s="406" customFormat="1">
      <c r="C12" s="405">
        <v>5</v>
      </c>
      <c r="D12" s="406" t="s">
        <v>2158</v>
      </c>
      <c r="E12" s="407">
        <v>46174</v>
      </c>
      <c r="F12" s="408">
        <v>46234</v>
      </c>
      <c r="I12" s="409"/>
      <c r="K12" s="405">
        <v>1</v>
      </c>
      <c r="L12" s="405">
        <v>1</v>
      </c>
      <c r="M12" s="405">
        <v>1</v>
      </c>
      <c r="N12" s="405">
        <v>1</v>
      </c>
      <c r="O12" s="405">
        <v>6</v>
      </c>
      <c r="P12" s="405">
        <v>2</v>
      </c>
      <c r="Q12" s="406" t="s">
        <v>674</v>
      </c>
      <c r="R12" s="405">
        <v>6</v>
      </c>
      <c r="S12" s="405">
        <v>1</v>
      </c>
      <c r="T12" s="405">
        <v>4026</v>
      </c>
      <c r="U12" s="405"/>
      <c r="V12" s="405">
        <v>0</v>
      </c>
      <c r="W12" s="405"/>
      <c r="X12" s="405"/>
      <c r="Y12" s="410"/>
      <c r="Z12" s="410"/>
      <c r="AA12" s="410">
        <v>230.48</v>
      </c>
      <c r="AB12" s="410">
        <v>0</v>
      </c>
      <c r="AC12" s="410">
        <v>0</v>
      </c>
      <c r="AD12" s="410">
        <v>0</v>
      </c>
      <c r="AE12" s="410">
        <v>230.48</v>
      </c>
      <c r="AJ12" s="411">
        <v>46227.645428240743</v>
      </c>
      <c r="AK12" s="406">
        <v>0</v>
      </c>
      <c r="AL12" s="406">
        <v>0</v>
      </c>
      <c r="AM12" s="406">
        <v>1</v>
      </c>
      <c r="AN12" s="406">
        <v>1</v>
      </c>
      <c r="AO12" s="406">
        <v>6</v>
      </c>
      <c r="AP12" s="406">
        <v>2026</v>
      </c>
      <c r="AS12" s="412"/>
      <c r="AT12" s="414"/>
    </row>
    <row r="13" spans="3:47">
      <c r="C13" s="214">
        <v>6</v>
      </c>
      <c r="D13" s="68" t="s">
        <v>2174</v>
      </c>
      <c r="E13" s="212">
        <v>46176</v>
      </c>
      <c r="F13" s="211">
        <v>46236</v>
      </c>
      <c r="K13" s="214">
        <v>1</v>
      </c>
      <c r="L13" s="214">
        <v>1</v>
      </c>
      <c r="M13" s="214">
        <v>1</v>
      </c>
      <c r="N13" s="214">
        <v>1</v>
      </c>
      <c r="O13" s="214">
        <v>6</v>
      </c>
      <c r="P13" s="214">
        <v>2</v>
      </c>
      <c r="Q13" s="68" t="s">
        <v>674</v>
      </c>
      <c r="R13" s="214">
        <v>6</v>
      </c>
      <c r="S13" s="214">
        <v>1</v>
      </c>
      <c r="T13" s="214">
        <v>4026</v>
      </c>
      <c r="V13" s="214">
        <v>0</v>
      </c>
      <c r="AA13" s="209">
        <v>175.40000000000003</v>
      </c>
      <c r="AB13" s="209">
        <v>0</v>
      </c>
      <c r="AC13" s="209">
        <v>0</v>
      </c>
      <c r="AD13" s="209">
        <v>0</v>
      </c>
      <c r="AE13" s="209">
        <v>175.40000000000003</v>
      </c>
      <c r="AJ13" s="210">
        <v>46227.67759259259</v>
      </c>
      <c r="AK13" s="68">
        <v>0</v>
      </c>
      <c r="AL13" s="68">
        <v>0</v>
      </c>
      <c r="AM13" s="68">
        <v>1</v>
      </c>
      <c r="AN13" s="68">
        <v>1</v>
      </c>
      <c r="AO13" s="68">
        <v>6</v>
      </c>
      <c r="AP13" s="68">
        <v>2026</v>
      </c>
      <c r="AS13" s="121"/>
      <c r="AT13" s="325"/>
    </row>
    <row r="14" spans="3:47">
      <c r="C14" s="214">
        <v>7</v>
      </c>
      <c r="D14" s="68" t="s">
        <v>2190</v>
      </c>
      <c r="E14" s="212">
        <v>46176</v>
      </c>
      <c r="F14" s="211">
        <v>46236</v>
      </c>
      <c r="K14" s="214">
        <v>1</v>
      </c>
      <c r="L14" s="214">
        <v>1</v>
      </c>
      <c r="M14" s="214">
        <v>1</v>
      </c>
      <c r="N14" s="214">
        <v>1</v>
      </c>
      <c r="O14" s="214">
        <v>6</v>
      </c>
      <c r="P14" s="214">
        <v>2</v>
      </c>
      <c r="Q14" s="68" t="s">
        <v>674</v>
      </c>
      <c r="R14" s="214">
        <v>6</v>
      </c>
      <c r="S14" s="214">
        <v>1</v>
      </c>
      <c r="T14" s="214">
        <v>4026</v>
      </c>
      <c r="V14" s="214">
        <v>0</v>
      </c>
      <c r="AA14" s="209">
        <v>234</v>
      </c>
      <c r="AB14" s="209">
        <v>0</v>
      </c>
      <c r="AC14" s="209">
        <v>0</v>
      </c>
      <c r="AD14" s="209">
        <v>0</v>
      </c>
      <c r="AE14" s="209">
        <v>234</v>
      </c>
      <c r="AJ14" s="210">
        <v>46227.690370370372</v>
      </c>
      <c r="AK14" s="68">
        <v>0</v>
      </c>
      <c r="AL14" s="68">
        <v>0</v>
      </c>
      <c r="AM14" s="68">
        <v>1</v>
      </c>
      <c r="AN14" s="68">
        <v>1</v>
      </c>
      <c r="AO14" s="68">
        <v>6</v>
      </c>
      <c r="AP14" s="68">
        <v>2026</v>
      </c>
      <c r="AS14" s="121"/>
      <c r="AT14" s="324"/>
    </row>
    <row r="15" spans="3:47">
      <c r="C15" s="214">
        <v>8</v>
      </c>
      <c r="D15" s="68" t="s">
        <v>2208</v>
      </c>
      <c r="E15" s="212">
        <v>46179</v>
      </c>
      <c r="F15" s="211">
        <v>46239</v>
      </c>
      <c r="K15" s="214">
        <v>1</v>
      </c>
      <c r="L15" s="214">
        <v>1</v>
      </c>
      <c r="M15" s="214">
        <v>1</v>
      </c>
      <c r="N15" s="214">
        <v>1</v>
      </c>
      <c r="O15" s="214">
        <v>6</v>
      </c>
      <c r="P15" s="214">
        <v>2</v>
      </c>
      <c r="Q15" s="68" t="s">
        <v>674</v>
      </c>
      <c r="R15" s="214">
        <v>6</v>
      </c>
      <c r="S15" s="214">
        <v>1</v>
      </c>
      <c r="T15" s="214">
        <v>4027</v>
      </c>
      <c r="V15" s="214">
        <v>0</v>
      </c>
      <c r="AA15" s="209">
        <v>404.96000000000004</v>
      </c>
      <c r="AB15" s="209">
        <v>0</v>
      </c>
      <c r="AC15" s="209">
        <v>0</v>
      </c>
      <c r="AD15" s="209">
        <v>0</v>
      </c>
      <c r="AE15" s="209">
        <v>404.96000000000004</v>
      </c>
      <c r="AJ15" s="210">
        <v>46227.702025462961</v>
      </c>
      <c r="AK15" s="68">
        <v>0</v>
      </c>
      <c r="AL15" s="68">
        <v>0</v>
      </c>
      <c r="AM15" s="68">
        <v>1</v>
      </c>
      <c r="AN15" s="68">
        <v>1</v>
      </c>
      <c r="AO15" s="68">
        <v>6</v>
      </c>
      <c r="AP15" s="68">
        <v>2026</v>
      </c>
      <c r="AS15" s="121"/>
      <c r="AT15" s="324"/>
    </row>
    <row r="16" spans="3:47">
      <c r="C16" s="214">
        <v>9</v>
      </c>
      <c r="D16" s="68" t="s">
        <v>2232</v>
      </c>
      <c r="E16" s="212">
        <v>46179</v>
      </c>
      <c r="F16" s="211">
        <v>46239</v>
      </c>
      <c r="K16" s="214">
        <v>1</v>
      </c>
      <c r="L16" s="214">
        <v>1</v>
      </c>
      <c r="M16" s="214">
        <v>1</v>
      </c>
      <c r="N16" s="214">
        <v>1</v>
      </c>
      <c r="O16" s="214">
        <v>6</v>
      </c>
      <c r="P16" s="214">
        <v>2</v>
      </c>
      <c r="Q16" s="68" t="s">
        <v>674</v>
      </c>
      <c r="R16" s="214">
        <v>6</v>
      </c>
      <c r="S16" s="214">
        <v>1</v>
      </c>
      <c r="T16" s="214">
        <v>4027</v>
      </c>
      <c r="V16" s="214">
        <v>0</v>
      </c>
      <c r="AA16" s="209">
        <v>883.42</v>
      </c>
      <c r="AB16" s="209">
        <v>0</v>
      </c>
      <c r="AC16" s="209">
        <v>0</v>
      </c>
      <c r="AD16" s="209">
        <v>0</v>
      </c>
      <c r="AE16" s="209">
        <v>883.42</v>
      </c>
      <c r="AJ16" s="210">
        <v>46227.724502314813</v>
      </c>
      <c r="AK16" s="68">
        <v>0</v>
      </c>
      <c r="AL16" s="68">
        <v>0</v>
      </c>
      <c r="AM16" s="68">
        <v>1</v>
      </c>
      <c r="AN16" s="68">
        <v>1</v>
      </c>
      <c r="AO16" s="68">
        <v>6</v>
      </c>
      <c r="AP16" s="68">
        <v>2026</v>
      </c>
      <c r="AS16" s="121"/>
      <c r="AT16" s="325"/>
    </row>
    <row r="17" spans="36:46">
      <c r="AJ17" s="210"/>
      <c r="AS17" s="121"/>
      <c r="AT17" s="325"/>
    </row>
    <row r="18" spans="36:46">
      <c r="AJ18" s="210"/>
      <c r="AS18" s="121"/>
      <c r="AT18" s="325"/>
    </row>
    <row r="19" spans="36:46">
      <c r="AJ19" s="210"/>
      <c r="AS19" s="121"/>
      <c r="AT19" s="325"/>
    </row>
    <row r="20" spans="36:46">
      <c r="AJ20" s="210"/>
      <c r="AS20" s="121"/>
      <c r="AT20" s="325"/>
    </row>
    <row r="21" spans="36:46">
      <c r="AJ21" s="210"/>
      <c r="AS21" s="121"/>
      <c r="AT21" s="325"/>
    </row>
    <row r="22" spans="36:46">
      <c r="AJ22" s="210"/>
      <c r="AS22" s="121"/>
      <c r="AT22" s="325"/>
    </row>
    <row r="23" spans="36:46">
      <c r="AJ23" s="210"/>
      <c r="AS23" s="121"/>
      <c r="AT23" s="325"/>
    </row>
    <row r="24" spans="36:46">
      <c r="AJ24" s="210"/>
      <c r="AS24" s="121"/>
      <c r="AT24" s="325"/>
    </row>
    <row r="25" spans="36:46">
      <c r="AJ25" s="210"/>
      <c r="AS25" s="121"/>
      <c r="AT25" s="325"/>
    </row>
    <row r="26" spans="36:46">
      <c r="AJ26" s="210"/>
      <c r="AS26" s="121"/>
      <c r="AT26" s="325"/>
    </row>
    <row r="27" spans="36:46">
      <c r="AJ27" s="210"/>
      <c r="AS27" s="121"/>
      <c r="AT27" s="325"/>
    </row>
    <row r="28" spans="36:46">
      <c r="AJ28" s="210"/>
      <c r="AS28" s="121"/>
      <c r="AT28" s="325"/>
    </row>
    <row r="29" spans="36:46">
      <c r="AJ29" s="210"/>
      <c r="AS29" s="121"/>
      <c r="AT29" s="325"/>
    </row>
    <row r="30" spans="36:46">
      <c r="AS30" s="121"/>
      <c r="AT30" s="326"/>
    </row>
    <row r="31" spans="36:46">
      <c r="AS31" s="121"/>
      <c r="AT31" s="326"/>
    </row>
    <row r="32" spans="36:46">
      <c r="AS32" s="121"/>
      <c r="AT32" s="326"/>
    </row>
    <row r="33" spans="45:46">
      <c r="AS33" s="121"/>
      <c r="AT33" s="326"/>
    </row>
    <row r="34" spans="45:46">
      <c r="AS34" s="121"/>
      <c r="AT34" s="326"/>
    </row>
    <row r="35" spans="45:46">
      <c r="AS35" s="121"/>
      <c r="AT35" s="326"/>
    </row>
    <row r="36" spans="45:46">
      <c r="AS36" s="121"/>
      <c r="AT36" s="326"/>
    </row>
    <row r="37" spans="45:46">
      <c r="AS37" s="121"/>
      <c r="AT37" s="325"/>
    </row>
    <row r="38" spans="45:46">
      <c r="AS38" s="121"/>
      <c r="AT38" s="325"/>
    </row>
    <row r="39" spans="45:46">
      <c r="AS39" s="121"/>
      <c r="AT39" s="325"/>
    </row>
    <row r="40" spans="45:46">
      <c r="AS40" s="121"/>
      <c r="AT40" s="325"/>
    </row>
    <row r="41" spans="45:46">
      <c r="AS41" s="121"/>
      <c r="AT41" s="327"/>
    </row>
    <row r="42" spans="45:46">
      <c r="AS42" s="121"/>
      <c r="AT42" s="325"/>
    </row>
    <row r="43" spans="45:46">
      <c r="AS43" s="121"/>
      <c r="AT43" s="325"/>
    </row>
    <row r="44" spans="45:46">
      <c r="AS44" s="121"/>
      <c r="AT44" s="325"/>
    </row>
    <row r="45" spans="45:46">
      <c r="AS45" s="121"/>
      <c r="AT45" s="325"/>
    </row>
    <row r="46" spans="45:46">
      <c r="AS46" s="121"/>
      <c r="AT46" s="325"/>
    </row>
    <row r="47" spans="45:46">
      <c r="AS47" s="121"/>
      <c r="AT47" s="325"/>
    </row>
  </sheetData>
  <autoFilter ref="C7:AP16" xr:uid="{69A709CE-CCE5-4F6F-A012-C6D796703B74}"/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B9AFA-BA8F-4C07-A12D-58813D9627DE}">
  <sheetPr codeName="Sheet42"/>
  <dimension ref="A1:AH132"/>
  <sheetViews>
    <sheetView showGridLines="0" topLeftCell="B3" zoomScale="80" zoomScaleNormal="80" workbookViewId="0">
      <pane ySplit="5" topLeftCell="A8" activePane="bottomLeft" state="frozen"/>
      <selection activeCell="D13" sqref="D13"/>
      <selection pane="bottomLeft" activeCell="K36" sqref="K36"/>
    </sheetView>
  </sheetViews>
  <sheetFormatPr defaultRowHeight="23.25"/>
  <cols>
    <col min="1" max="1" width="2.5703125" style="68" hidden="1" customWidth="1"/>
    <col min="2" max="2" width="1" style="68" customWidth="1"/>
    <col min="3" max="3" width="9.7109375" style="214" customWidth="1"/>
    <col min="4" max="4" width="15.5703125" style="214" customWidth="1"/>
    <col min="5" max="5" width="24.85546875" style="68" bestFit="1" customWidth="1"/>
    <col min="6" max="6" width="18.28515625" style="214" customWidth="1"/>
    <col min="7" max="7" width="21.28515625" style="215" customWidth="1"/>
    <col min="8" max="8" width="18.5703125" style="214" customWidth="1"/>
    <col min="9" max="9" width="19" style="214" customWidth="1"/>
    <col min="10" max="10" width="34.85546875" style="214" bestFit="1" customWidth="1"/>
    <col min="11" max="11" width="28.42578125" style="68" bestFit="1" customWidth="1"/>
    <col min="12" max="12" width="9.7109375" style="149" customWidth="1"/>
    <col min="13" max="13" width="11.28515625" style="149" customWidth="1"/>
    <col min="14" max="14" width="18.42578125" style="68" bestFit="1" customWidth="1"/>
    <col min="15" max="15" width="15.42578125" style="214" customWidth="1"/>
    <col min="16" max="16" width="12.140625" style="214" bestFit="1" customWidth="1"/>
    <col min="17" max="17" width="13.42578125" style="68" hidden="1" customWidth="1"/>
    <col min="18" max="18" width="18.42578125" style="209" hidden="1" customWidth="1"/>
    <col min="19" max="19" width="17.85546875" style="209" hidden="1" customWidth="1"/>
    <col min="20" max="20" width="13.140625" style="216" bestFit="1" customWidth="1"/>
    <col min="21" max="21" width="15.85546875" style="216" customWidth="1"/>
    <col min="22" max="22" width="10.5703125" style="216" bestFit="1" customWidth="1"/>
    <col min="23" max="23" width="17.7109375" style="216" customWidth="1"/>
    <col min="24" max="24" width="15.42578125" style="216" customWidth="1"/>
    <col min="25" max="26" width="15.42578125" style="68" hidden="1" customWidth="1"/>
    <col min="27" max="27" width="43.140625" style="68" hidden="1" customWidth="1"/>
    <col min="28" max="28" width="13.5703125" style="214" hidden="1" customWidth="1"/>
    <col min="29" max="29" width="12.5703125" style="214" hidden="1" customWidth="1"/>
    <col min="30" max="30" width="12.85546875" style="214" hidden="1" customWidth="1"/>
    <col min="31" max="31" width="10.7109375" style="214" hidden="1" customWidth="1"/>
    <col min="32" max="32" width="15.28515625" style="149" customWidth="1"/>
    <col min="33" max="33" width="27.85546875" style="68" customWidth="1"/>
    <col min="34" max="34" width="20.28515625" style="68" customWidth="1"/>
    <col min="35" max="35" width="9.140625" style="68"/>
    <col min="36" max="36" width="19" style="68" customWidth="1"/>
    <col min="37" max="16384" width="9.140625" style="68"/>
  </cols>
  <sheetData>
    <row r="1" spans="3:34" s="13" customFormat="1" hidden="1">
      <c r="F1" s="140"/>
      <c r="G1" s="161"/>
      <c r="H1" s="140"/>
      <c r="I1" s="140"/>
      <c r="J1" s="140"/>
      <c r="K1" s="170"/>
      <c r="N1" s="142"/>
      <c r="O1" s="140"/>
      <c r="Q1" s="140"/>
      <c r="R1" s="208"/>
      <c r="S1" s="208"/>
      <c r="T1" s="208"/>
      <c r="U1" s="208"/>
      <c r="V1" s="208"/>
      <c r="W1" s="208"/>
      <c r="X1" s="208"/>
    </row>
    <row r="2" spans="3:34" s="13" customFormat="1" hidden="1">
      <c r="F2" s="140"/>
      <c r="G2" s="161"/>
      <c r="H2" s="140"/>
      <c r="I2" s="140"/>
      <c r="J2" s="140"/>
      <c r="K2" s="170"/>
      <c r="N2" s="142"/>
      <c r="O2" s="140"/>
      <c r="Q2" s="140"/>
      <c r="R2" s="208"/>
      <c r="S2" s="208"/>
      <c r="T2" s="208"/>
      <c r="U2" s="208"/>
      <c r="V2" s="208"/>
      <c r="W2" s="208"/>
      <c r="X2" s="208"/>
    </row>
    <row r="3" spans="3:34" s="13" customFormat="1">
      <c r="F3" s="140"/>
      <c r="G3" s="161"/>
      <c r="H3" s="140"/>
      <c r="I3" s="140"/>
      <c r="J3" s="140"/>
      <c r="K3" s="170"/>
      <c r="N3" s="142"/>
      <c r="O3" s="140"/>
      <c r="Q3" s="140"/>
      <c r="R3" s="208"/>
      <c r="S3" s="208"/>
      <c r="T3" s="208"/>
      <c r="U3" s="208"/>
      <c r="V3" s="208"/>
      <c r="W3" s="208"/>
      <c r="X3" s="208"/>
    </row>
    <row r="4" spans="3:34" s="13" customFormat="1" ht="42.75" customHeight="1">
      <c r="F4" s="140"/>
      <c r="G4" s="213"/>
      <c r="H4" s="140"/>
      <c r="I4" s="140"/>
      <c r="J4" s="140"/>
      <c r="K4" s="127"/>
      <c r="N4" s="142"/>
      <c r="O4" s="214"/>
      <c r="P4" s="214"/>
      <c r="Q4" s="214"/>
      <c r="R4" s="214"/>
      <c r="S4" s="214"/>
      <c r="T4" s="208"/>
      <c r="U4" s="208"/>
      <c r="V4" s="208"/>
      <c r="W4" s="208"/>
      <c r="X4" s="208"/>
      <c r="AG4" s="13" t="s">
        <v>1090</v>
      </c>
    </row>
    <row r="5" spans="3:34" s="13" customFormat="1" ht="22.5" customHeight="1"/>
    <row r="6" spans="3:34" s="13" customFormat="1">
      <c r="C6" s="270" t="s">
        <v>10</v>
      </c>
      <c r="D6" s="270" t="s">
        <v>426</v>
      </c>
      <c r="E6" s="280" t="s">
        <v>421</v>
      </c>
      <c r="F6" s="271" t="s">
        <v>270</v>
      </c>
      <c r="G6" s="272" t="s">
        <v>244</v>
      </c>
      <c r="H6" s="271" t="s">
        <v>396</v>
      </c>
      <c r="I6" s="271" t="s">
        <v>173</v>
      </c>
      <c r="J6" s="271" t="s">
        <v>260</v>
      </c>
      <c r="K6" s="271" t="s">
        <v>261</v>
      </c>
      <c r="L6" s="271" t="s">
        <v>16</v>
      </c>
      <c r="M6" s="271" t="s">
        <v>16</v>
      </c>
      <c r="N6" s="271" t="s">
        <v>262</v>
      </c>
      <c r="O6" s="271" t="s">
        <v>263</v>
      </c>
      <c r="P6" s="270" t="s">
        <v>264</v>
      </c>
      <c r="Q6" s="271" t="s">
        <v>265</v>
      </c>
      <c r="R6" s="279" t="s">
        <v>267</v>
      </c>
      <c r="S6" s="279" t="s">
        <v>266</v>
      </c>
      <c r="T6" s="279" t="s">
        <v>14</v>
      </c>
      <c r="U6" s="279" t="s">
        <v>14</v>
      </c>
      <c r="V6" s="279" t="s">
        <v>187</v>
      </c>
      <c r="W6" s="279" t="s">
        <v>280</v>
      </c>
      <c r="X6" s="279" t="s">
        <v>268</v>
      </c>
      <c r="Y6" s="270" t="s">
        <v>214</v>
      </c>
      <c r="Z6" s="270" t="s">
        <v>419</v>
      </c>
      <c r="AA6" s="270" t="s">
        <v>25</v>
      </c>
      <c r="AB6" s="270" t="s">
        <v>109</v>
      </c>
      <c r="AC6" s="270" t="s">
        <v>23</v>
      </c>
      <c r="AD6" s="270" t="s">
        <v>95</v>
      </c>
      <c r="AE6" s="270" t="s">
        <v>120</v>
      </c>
    </row>
    <row r="7" spans="3:34" s="13" customFormat="1" ht="15">
      <c r="C7" s="277" t="s">
        <v>139</v>
      </c>
      <c r="D7" s="277" t="s">
        <v>413</v>
      </c>
      <c r="E7" s="277" t="s">
        <v>420</v>
      </c>
      <c r="F7" s="278" t="s">
        <v>399</v>
      </c>
      <c r="G7" s="281" t="s">
        <v>414</v>
      </c>
      <c r="H7" s="278" t="s">
        <v>161</v>
      </c>
      <c r="I7" s="278" t="s">
        <v>162</v>
      </c>
      <c r="J7" s="278" t="s">
        <v>207</v>
      </c>
      <c r="K7" s="278" t="s">
        <v>17</v>
      </c>
      <c r="L7" s="278" t="s">
        <v>18</v>
      </c>
      <c r="M7" s="278" t="s">
        <v>196</v>
      </c>
      <c r="N7" s="278" t="s">
        <v>4</v>
      </c>
      <c r="O7" s="278" t="s">
        <v>199</v>
      </c>
      <c r="P7" s="277" t="s">
        <v>197</v>
      </c>
      <c r="Q7" s="278" t="s">
        <v>258</v>
      </c>
      <c r="R7" s="282" t="s">
        <v>259</v>
      </c>
      <c r="S7" s="282" t="s">
        <v>235</v>
      </c>
      <c r="T7" s="282" t="s">
        <v>389</v>
      </c>
      <c r="U7" s="282" t="s">
        <v>415</v>
      </c>
      <c r="V7" s="282" t="s">
        <v>19</v>
      </c>
      <c r="W7" s="282" t="s">
        <v>416</v>
      </c>
      <c r="X7" s="282" t="s">
        <v>393</v>
      </c>
      <c r="Y7" s="277" t="s">
        <v>417</v>
      </c>
      <c r="Z7" s="277" t="s">
        <v>418</v>
      </c>
      <c r="AA7" s="277" t="s">
        <v>466</v>
      </c>
      <c r="AB7" s="277" t="s">
        <v>98</v>
      </c>
      <c r="AC7" s="277" t="s">
        <v>26</v>
      </c>
      <c r="AD7" s="277" t="s">
        <v>2</v>
      </c>
      <c r="AE7" s="277" t="s">
        <v>121</v>
      </c>
      <c r="AF7" s="13" t="s">
        <v>8</v>
      </c>
      <c r="AG7" s="13" t="s">
        <v>1014</v>
      </c>
      <c r="AH7" s="13" t="s">
        <v>1015</v>
      </c>
    </row>
    <row r="8" spans="3:34">
      <c r="C8" s="214">
        <v>1</v>
      </c>
      <c r="D8" s="214">
        <v>1</v>
      </c>
      <c r="F8" s="214" t="s">
        <v>673</v>
      </c>
      <c r="G8" s="215">
        <v>46143</v>
      </c>
      <c r="H8" s="214">
        <v>2</v>
      </c>
      <c r="I8" s="214">
        <v>1</v>
      </c>
      <c r="J8" s="214" t="s">
        <v>677</v>
      </c>
      <c r="K8" s="68" t="s">
        <v>678</v>
      </c>
      <c r="L8" s="149">
        <v>4</v>
      </c>
      <c r="M8" s="149">
        <v>0</v>
      </c>
      <c r="N8" s="68" t="s">
        <v>679</v>
      </c>
      <c r="O8" s="214">
        <v>2</v>
      </c>
      <c r="P8" s="214">
        <v>1</v>
      </c>
      <c r="T8" s="216">
        <v>27.34</v>
      </c>
      <c r="U8" s="216">
        <v>27.34</v>
      </c>
      <c r="V8" s="216">
        <v>27.34</v>
      </c>
      <c r="W8" s="216">
        <v>0</v>
      </c>
      <c r="X8" s="216">
        <v>109.36</v>
      </c>
      <c r="AB8" s="214">
        <v>1</v>
      </c>
      <c r="AC8" s="214">
        <v>1</v>
      </c>
      <c r="AD8" s="214">
        <v>5</v>
      </c>
      <c r="AE8" s="214">
        <v>2026</v>
      </c>
      <c r="AF8" s="149">
        <v>28.5</v>
      </c>
      <c r="AG8" s="13">
        <f>IF(I8="","",SUMIFS('1_group_totals'!$J$8:$J$10000,'1_group_totals'!$C$8:$C$10000,I8))</f>
        <v>2</v>
      </c>
      <c r="AH8" s="332">
        <v>1</v>
      </c>
    </row>
    <row r="9" spans="3:34">
      <c r="C9" s="214">
        <v>2</v>
      </c>
      <c r="D9" s="214">
        <v>1</v>
      </c>
      <c r="F9" s="214" t="s">
        <v>673</v>
      </c>
      <c r="G9" s="215">
        <v>46143</v>
      </c>
      <c r="H9" s="214">
        <v>2</v>
      </c>
      <c r="I9" s="214">
        <v>2</v>
      </c>
      <c r="J9" s="214" t="s">
        <v>682</v>
      </c>
      <c r="K9" s="68" t="s">
        <v>683</v>
      </c>
      <c r="L9" s="149">
        <v>5</v>
      </c>
      <c r="M9" s="149">
        <v>0</v>
      </c>
      <c r="N9" s="68" t="s">
        <v>679</v>
      </c>
      <c r="O9" s="214">
        <v>2</v>
      </c>
      <c r="P9" s="214">
        <v>1</v>
      </c>
      <c r="T9" s="216">
        <v>11.32</v>
      </c>
      <c r="U9" s="216">
        <v>11.32</v>
      </c>
      <c r="V9" s="216">
        <v>11.32</v>
      </c>
      <c r="W9" s="216">
        <v>0</v>
      </c>
      <c r="X9" s="216">
        <v>56.6</v>
      </c>
      <c r="AB9" s="214">
        <v>1</v>
      </c>
      <c r="AC9" s="214">
        <v>1</v>
      </c>
      <c r="AD9" s="214">
        <v>5</v>
      </c>
      <c r="AE9" s="214">
        <v>2026</v>
      </c>
      <c r="AF9" s="149">
        <v>12</v>
      </c>
      <c r="AG9" s="13">
        <f>IF(I9="","",SUMIFS('1_group_totals'!$J$8:$J$10000,'1_group_totals'!$C$8:$C$10000,I9))</f>
        <v>3</v>
      </c>
      <c r="AH9" s="332">
        <v>1</v>
      </c>
    </row>
    <row r="10" spans="3:34">
      <c r="C10" s="214">
        <v>3</v>
      </c>
      <c r="D10" s="214">
        <v>1</v>
      </c>
      <c r="F10" s="214" t="s">
        <v>673</v>
      </c>
      <c r="G10" s="215">
        <v>46143</v>
      </c>
      <c r="H10" s="214">
        <v>2</v>
      </c>
      <c r="I10" s="214">
        <v>4</v>
      </c>
      <c r="J10" s="214" t="s">
        <v>581</v>
      </c>
      <c r="K10" s="68" t="s">
        <v>582</v>
      </c>
      <c r="L10" s="149">
        <v>7</v>
      </c>
      <c r="M10" s="149">
        <v>0</v>
      </c>
      <c r="N10" s="68" t="s">
        <v>679</v>
      </c>
      <c r="O10" s="214">
        <v>2</v>
      </c>
      <c r="P10" s="214">
        <v>1</v>
      </c>
      <c r="T10" s="216">
        <v>5.8</v>
      </c>
      <c r="U10" s="216">
        <v>5.8</v>
      </c>
      <c r="V10" s="216">
        <v>5.8</v>
      </c>
      <c r="W10" s="216">
        <v>0</v>
      </c>
      <c r="X10" s="216">
        <v>40.6</v>
      </c>
      <c r="AB10" s="214">
        <v>1</v>
      </c>
      <c r="AC10" s="214">
        <v>1</v>
      </c>
      <c r="AD10" s="214">
        <v>5</v>
      </c>
      <c r="AE10" s="214">
        <v>2026</v>
      </c>
      <c r="AF10" s="149">
        <v>6.5</v>
      </c>
      <c r="AG10" s="13">
        <f>IF(I10="","",SUMIFS('1_group_totals'!$J$8:$J$10000,'1_group_totals'!$C$8:$C$10000,I10))</f>
        <v>4</v>
      </c>
      <c r="AH10" s="332">
        <v>1</v>
      </c>
    </row>
    <row r="11" spans="3:34">
      <c r="C11" s="214">
        <v>4</v>
      </c>
      <c r="D11" s="214">
        <v>1</v>
      </c>
      <c r="F11" s="214" t="s">
        <v>673</v>
      </c>
      <c r="G11" s="215">
        <v>46143</v>
      </c>
      <c r="H11" s="214">
        <v>2</v>
      </c>
      <c r="I11" s="214">
        <v>5</v>
      </c>
      <c r="J11" s="214" t="s">
        <v>686</v>
      </c>
      <c r="K11" s="68" t="s">
        <v>687</v>
      </c>
      <c r="L11" s="149">
        <v>6</v>
      </c>
      <c r="M11" s="149">
        <v>0</v>
      </c>
      <c r="N11" s="68" t="s">
        <v>679</v>
      </c>
      <c r="O11" s="214">
        <v>2</v>
      </c>
      <c r="P11" s="214">
        <v>1</v>
      </c>
      <c r="T11" s="216">
        <v>3.74</v>
      </c>
      <c r="U11" s="216">
        <v>3.74</v>
      </c>
      <c r="V11" s="216">
        <v>3.74</v>
      </c>
      <c r="W11" s="216">
        <v>0</v>
      </c>
      <c r="X11" s="216">
        <v>22.44</v>
      </c>
      <c r="AB11" s="214">
        <v>1</v>
      </c>
      <c r="AC11" s="214">
        <v>1</v>
      </c>
      <c r="AD11" s="214">
        <v>5</v>
      </c>
      <c r="AE11" s="214">
        <v>2026</v>
      </c>
      <c r="AF11" s="149">
        <v>4.25</v>
      </c>
      <c r="AG11" s="13">
        <f>IF(I11="","",SUMIFS('1_group_totals'!$J$8:$J$10000,'1_group_totals'!$C$8:$C$10000,I11))</f>
        <v>5</v>
      </c>
      <c r="AH11" s="332">
        <v>1</v>
      </c>
    </row>
    <row r="12" spans="3:34">
      <c r="C12" s="214">
        <v>5</v>
      </c>
      <c r="D12" s="214">
        <v>1</v>
      </c>
      <c r="F12" s="214" t="s">
        <v>673</v>
      </c>
      <c r="G12" s="215">
        <v>46143</v>
      </c>
      <c r="H12" s="214">
        <v>2</v>
      </c>
      <c r="I12" s="214">
        <v>10</v>
      </c>
      <c r="J12" s="214" t="s">
        <v>586</v>
      </c>
      <c r="K12" s="68" t="s">
        <v>587</v>
      </c>
      <c r="L12" s="149">
        <v>10</v>
      </c>
      <c r="M12" s="149">
        <v>0</v>
      </c>
      <c r="N12" s="68" t="s">
        <v>679</v>
      </c>
      <c r="O12" s="214">
        <v>2</v>
      </c>
      <c r="P12" s="214">
        <v>1</v>
      </c>
      <c r="T12" s="216">
        <v>14.85</v>
      </c>
      <c r="U12" s="216">
        <v>14.85</v>
      </c>
      <c r="V12" s="216">
        <v>14.85</v>
      </c>
      <c r="W12" s="216">
        <v>0</v>
      </c>
      <c r="X12" s="216">
        <v>148.5</v>
      </c>
      <c r="AB12" s="214">
        <v>1</v>
      </c>
      <c r="AC12" s="214">
        <v>1</v>
      </c>
      <c r="AD12" s="214">
        <v>5</v>
      </c>
      <c r="AE12" s="214">
        <v>2026</v>
      </c>
      <c r="AF12" s="149">
        <v>15.5</v>
      </c>
      <c r="AG12" s="13">
        <f>IF(I12="","",SUMIFS('1_group_totals'!$J$8:$J$10000,'1_group_totals'!$C$8:$C$10000,I12))</f>
        <v>5</v>
      </c>
      <c r="AH12" s="332">
        <v>1</v>
      </c>
    </row>
    <row r="13" spans="3:34">
      <c r="C13" s="214">
        <v>6</v>
      </c>
      <c r="D13" s="214">
        <v>1</v>
      </c>
      <c r="F13" s="214" t="s">
        <v>673</v>
      </c>
      <c r="G13" s="215">
        <v>46143</v>
      </c>
      <c r="H13" s="214">
        <v>2</v>
      </c>
      <c r="I13" s="214">
        <v>11</v>
      </c>
      <c r="J13" s="214" t="s">
        <v>690</v>
      </c>
      <c r="K13" s="68" t="s">
        <v>691</v>
      </c>
      <c r="L13" s="149">
        <v>10</v>
      </c>
      <c r="M13" s="149">
        <v>0</v>
      </c>
      <c r="N13" s="68" t="s">
        <v>679</v>
      </c>
      <c r="O13" s="214">
        <v>2</v>
      </c>
      <c r="P13" s="214">
        <v>1</v>
      </c>
      <c r="T13" s="216">
        <v>9.52</v>
      </c>
      <c r="U13" s="216">
        <v>9.52</v>
      </c>
      <c r="V13" s="216">
        <v>9.52</v>
      </c>
      <c r="W13" s="216">
        <v>0</v>
      </c>
      <c r="X13" s="216">
        <v>95.2</v>
      </c>
      <c r="AB13" s="214">
        <v>1</v>
      </c>
      <c r="AC13" s="214">
        <v>1</v>
      </c>
      <c r="AD13" s="214">
        <v>5</v>
      </c>
      <c r="AE13" s="214">
        <v>2026</v>
      </c>
      <c r="AF13" s="149">
        <v>10.199999999999999</v>
      </c>
      <c r="AG13" s="13">
        <f>IF(I13="","",SUMIFS('1_group_totals'!$J$8:$J$10000,'1_group_totals'!$C$8:$C$10000,I13))</f>
        <v>3</v>
      </c>
      <c r="AH13" s="332">
        <v>1</v>
      </c>
    </row>
    <row r="14" spans="3:34">
      <c r="C14" s="214">
        <v>7</v>
      </c>
      <c r="D14" s="214">
        <v>1</v>
      </c>
      <c r="F14" s="214" t="s">
        <v>673</v>
      </c>
      <c r="G14" s="215">
        <v>46143</v>
      </c>
      <c r="H14" s="214">
        <v>2</v>
      </c>
      <c r="I14" s="214">
        <v>13</v>
      </c>
      <c r="J14" s="214" t="s">
        <v>693</v>
      </c>
      <c r="K14" s="68" t="s">
        <v>694</v>
      </c>
      <c r="L14" s="149">
        <v>8</v>
      </c>
      <c r="M14" s="149">
        <v>0</v>
      </c>
      <c r="N14" s="68" t="s">
        <v>679</v>
      </c>
      <c r="O14" s="214">
        <v>2</v>
      </c>
      <c r="P14" s="214">
        <v>1</v>
      </c>
      <c r="T14" s="216">
        <v>5.3</v>
      </c>
      <c r="U14" s="216">
        <v>5.3</v>
      </c>
      <c r="V14" s="216">
        <v>5.3</v>
      </c>
      <c r="W14" s="216">
        <v>0</v>
      </c>
      <c r="X14" s="216">
        <v>42.4</v>
      </c>
      <c r="AB14" s="214">
        <v>1</v>
      </c>
      <c r="AC14" s="214">
        <v>1</v>
      </c>
      <c r="AD14" s="214">
        <v>5</v>
      </c>
      <c r="AE14" s="214">
        <v>2026</v>
      </c>
      <c r="AF14" s="149">
        <v>5.75</v>
      </c>
      <c r="AG14" s="13">
        <f>IF(I14="","",SUMIFS('1_group_totals'!$J$8:$J$10000,'1_group_totals'!$C$8:$C$10000,I14))</f>
        <v>7</v>
      </c>
      <c r="AH14" s="332">
        <v>1</v>
      </c>
    </row>
    <row r="15" spans="3:34">
      <c r="C15" s="214">
        <v>8</v>
      </c>
      <c r="D15" s="214">
        <v>1</v>
      </c>
      <c r="F15" s="214" t="s">
        <v>673</v>
      </c>
      <c r="G15" s="215">
        <v>46143</v>
      </c>
      <c r="H15" s="214">
        <v>2</v>
      </c>
      <c r="I15" s="214">
        <v>14</v>
      </c>
      <c r="J15" s="214" t="s">
        <v>696</v>
      </c>
      <c r="K15" s="68" t="s">
        <v>697</v>
      </c>
      <c r="L15" s="149">
        <v>12</v>
      </c>
      <c r="M15" s="149">
        <v>0</v>
      </c>
      <c r="N15" s="68" t="s">
        <v>679</v>
      </c>
      <c r="O15" s="214">
        <v>2</v>
      </c>
      <c r="P15" s="214">
        <v>1</v>
      </c>
      <c r="T15" s="216">
        <v>3.3</v>
      </c>
      <c r="U15" s="216">
        <v>3.3</v>
      </c>
      <c r="V15" s="216">
        <v>3.3</v>
      </c>
      <c r="W15" s="216">
        <v>0</v>
      </c>
      <c r="X15" s="216">
        <v>39.6</v>
      </c>
      <c r="AB15" s="214">
        <v>1</v>
      </c>
      <c r="AC15" s="214">
        <v>1</v>
      </c>
      <c r="AD15" s="214">
        <v>5</v>
      </c>
      <c r="AE15" s="214">
        <v>2026</v>
      </c>
      <c r="AF15" s="149">
        <v>3.75</v>
      </c>
      <c r="AG15" s="13">
        <f>IF(I15="","",SUMIFS('1_group_totals'!$J$8:$J$10000,'1_group_totals'!$C$8:$C$10000,I15))</f>
        <v>1</v>
      </c>
      <c r="AH15" s="332">
        <v>1</v>
      </c>
    </row>
    <row r="16" spans="3:34">
      <c r="C16" s="214">
        <v>9</v>
      </c>
      <c r="D16" s="214">
        <v>1</v>
      </c>
      <c r="F16" s="214" t="s">
        <v>673</v>
      </c>
      <c r="G16" s="215">
        <v>46143</v>
      </c>
      <c r="H16" s="214">
        <v>2</v>
      </c>
      <c r="I16" s="214">
        <v>16</v>
      </c>
      <c r="J16" s="214" t="s">
        <v>699</v>
      </c>
      <c r="K16" s="68" t="s">
        <v>700</v>
      </c>
      <c r="L16" s="149">
        <v>15</v>
      </c>
      <c r="M16" s="149">
        <v>0</v>
      </c>
      <c r="N16" s="68" t="s">
        <v>679</v>
      </c>
      <c r="O16" s="214">
        <v>2</v>
      </c>
      <c r="P16" s="214">
        <v>1</v>
      </c>
      <c r="T16" s="216">
        <v>2.1</v>
      </c>
      <c r="U16" s="216">
        <v>2.1</v>
      </c>
      <c r="V16" s="216">
        <v>2.1</v>
      </c>
      <c r="W16" s="216">
        <v>0</v>
      </c>
      <c r="X16" s="216">
        <v>31.5</v>
      </c>
      <c r="AB16" s="214">
        <v>1</v>
      </c>
      <c r="AC16" s="214">
        <v>1</v>
      </c>
      <c r="AD16" s="214">
        <v>5</v>
      </c>
      <c r="AE16" s="214">
        <v>2026</v>
      </c>
      <c r="AF16" s="149">
        <v>2.75</v>
      </c>
      <c r="AG16" s="13">
        <f>IF(I16="","",SUMIFS('1_group_totals'!$J$8:$J$10000,'1_group_totals'!$C$8:$C$10000,I16))</f>
        <v>15</v>
      </c>
      <c r="AH16" s="332">
        <v>1</v>
      </c>
    </row>
    <row r="17" spans="3:34">
      <c r="C17" s="214">
        <v>10</v>
      </c>
      <c r="D17" s="214">
        <v>1</v>
      </c>
      <c r="F17" s="214" t="s">
        <v>673</v>
      </c>
      <c r="G17" s="215">
        <v>46143</v>
      </c>
      <c r="H17" s="214">
        <v>2</v>
      </c>
      <c r="I17" s="214">
        <v>17</v>
      </c>
      <c r="J17" s="214" t="s">
        <v>662</v>
      </c>
      <c r="K17" s="68" t="s">
        <v>663</v>
      </c>
      <c r="L17" s="149">
        <v>20</v>
      </c>
      <c r="M17" s="149">
        <v>0</v>
      </c>
      <c r="N17" s="68" t="s">
        <v>679</v>
      </c>
      <c r="O17" s="214">
        <v>2</v>
      </c>
      <c r="P17" s="214">
        <v>1</v>
      </c>
      <c r="T17" s="216">
        <v>1.63</v>
      </c>
      <c r="U17" s="216">
        <v>1.63</v>
      </c>
      <c r="V17" s="216">
        <v>1.63</v>
      </c>
      <c r="W17" s="216">
        <v>0</v>
      </c>
      <c r="X17" s="216">
        <v>32.6</v>
      </c>
      <c r="AB17" s="214">
        <v>1</v>
      </c>
      <c r="AC17" s="214">
        <v>1</v>
      </c>
      <c r="AD17" s="214">
        <v>5</v>
      </c>
      <c r="AE17" s="214">
        <v>2026</v>
      </c>
      <c r="AF17" s="149">
        <v>2.25</v>
      </c>
      <c r="AG17" s="13">
        <f>IF(I17="","",SUMIFS('1_group_totals'!$J$8:$J$10000,'1_group_totals'!$C$8:$C$10000,I17))</f>
        <v>15</v>
      </c>
      <c r="AH17" s="332">
        <v>1</v>
      </c>
    </row>
    <row r="18" spans="3:34">
      <c r="C18" s="214">
        <v>11</v>
      </c>
      <c r="D18" s="214">
        <v>1</v>
      </c>
      <c r="F18" s="214" t="s">
        <v>673</v>
      </c>
      <c r="G18" s="215">
        <v>46143</v>
      </c>
      <c r="H18" s="214">
        <v>2</v>
      </c>
      <c r="I18" s="214">
        <v>18</v>
      </c>
      <c r="J18" s="214" t="s">
        <v>703</v>
      </c>
      <c r="K18" s="68" t="s">
        <v>704</v>
      </c>
      <c r="L18" s="149">
        <v>18</v>
      </c>
      <c r="M18" s="149">
        <v>0</v>
      </c>
      <c r="N18" s="68" t="s">
        <v>679</v>
      </c>
      <c r="O18" s="214">
        <v>2</v>
      </c>
      <c r="P18" s="214">
        <v>1</v>
      </c>
      <c r="T18" s="216">
        <v>1.35</v>
      </c>
      <c r="U18" s="216">
        <v>1.35</v>
      </c>
      <c r="V18" s="216">
        <v>1.35</v>
      </c>
      <c r="W18" s="216">
        <v>0</v>
      </c>
      <c r="X18" s="216">
        <v>24.3</v>
      </c>
      <c r="AB18" s="214">
        <v>1</v>
      </c>
      <c r="AC18" s="214">
        <v>1</v>
      </c>
      <c r="AD18" s="214">
        <v>5</v>
      </c>
      <c r="AE18" s="214">
        <v>2026</v>
      </c>
      <c r="AF18" s="149">
        <v>2</v>
      </c>
      <c r="AG18" s="13">
        <f>IF(I18="","",SUMIFS('1_group_totals'!$J$8:$J$10000,'1_group_totals'!$C$8:$C$10000,I18))</f>
        <v>1</v>
      </c>
      <c r="AH18" s="332">
        <v>1</v>
      </c>
    </row>
    <row r="19" spans="3:34">
      <c r="C19" s="214">
        <v>12</v>
      </c>
      <c r="D19" s="214">
        <v>1</v>
      </c>
      <c r="F19" s="214" t="s">
        <v>673</v>
      </c>
      <c r="G19" s="215">
        <v>46143</v>
      </c>
      <c r="H19" s="214">
        <v>2</v>
      </c>
      <c r="I19" s="214">
        <v>19</v>
      </c>
      <c r="J19" s="214" t="s">
        <v>706</v>
      </c>
      <c r="K19" s="68" t="s">
        <v>707</v>
      </c>
      <c r="L19" s="149">
        <v>5</v>
      </c>
      <c r="M19" s="149">
        <v>0</v>
      </c>
      <c r="N19" s="68" t="s">
        <v>679</v>
      </c>
      <c r="O19" s="214">
        <v>2</v>
      </c>
      <c r="P19" s="214">
        <v>1</v>
      </c>
      <c r="T19" s="216">
        <v>7.49</v>
      </c>
      <c r="U19" s="216">
        <v>7.49</v>
      </c>
      <c r="V19" s="216">
        <v>7.49</v>
      </c>
      <c r="W19" s="216">
        <v>0</v>
      </c>
      <c r="X19" s="216">
        <v>37.450000000000003</v>
      </c>
      <c r="AB19" s="214">
        <v>1</v>
      </c>
      <c r="AC19" s="214">
        <v>1</v>
      </c>
      <c r="AD19" s="214">
        <v>5</v>
      </c>
      <c r="AE19" s="214">
        <v>2026</v>
      </c>
      <c r="AF19" s="149">
        <v>8</v>
      </c>
      <c r="AG19" s="13">
        <f>IF(I19="","",SUMIFS('1_group_totals'!$J$8:$J$10000,'1_group_totals'!$C$8:$C$10000,I19))</f>
        <v>1</v>
      </c>
      <c r="AH19" s="332">
        <v>1</v>
      </c>
    </row>
    <row r="20" spans="3:34">
      <c r="C20" s="214">
        <v>13</v>
      </c>
      <c r="D20" s="214">
        <v>1</v>
      </c>
      <c r="F20" s="214" t="s">
        <v>673</v>
      </c>
      <c r="G20" s="215">
        <v>46143</v>
      </c>
      <c r="H20" s="214">
        <v>2</v>
      </c>
      <c r="I20" s="214">
        <v>20</v>
      </c>
      <c r="J20" s="214" t="s">
        <v>709</v>
      </c>
      <c r="K20" s="68" t="s">
        <v>710</v>
      </c>
      <c r="L20" s="149">
        <v>3</v>
      </c>
      <c r="M20" s="149">
        <v>0</v>
      </c>
      <c r="N20" s="68" t="s">
        <v>679</v>
      </c>
      <c r="O20" s="214">
        <v>2</v>
      </c>
      <c r="P20" s="214">
        <v>1</v>
      </c>
      <c r="T20" s="216">
        <v>5.03</v>
      </c>
      <c r="U20" s="216">
        <v>5.03</v>
      </c>
      <c r="V20" s="216">
        <v>5.03</v>
      </c>
      <c r="W20" s="216">
        <v>0</v>
      </c>
      <c r="X20" s="216">
        <v>15.09</v>
      </c>
      <c r="AB20" s="214">
        <v>1</v>
      </c>
      <c r="AC20" s="214">
        <v>1</v>
      </c>
      <c r="AD20" s="214">
        <v>5</v>
      </c>
      <c r="AE20" s="214">
        <v>2026</v>
      </c>
      <c r="AF20" s="149">
        <v>5.25</v>
      </c>
      <c r="AG20" s="13">
        <f>IF(I20="","",SUMIFS('1_group_totals'!$J$8:$J$10000,'1_group_totals'!$C$8:$C$10000,I20))</f>
        <v>7</v>
      </c>
      <c r="AH20" s="332">
        <v>1</v>
      </c>
    </row>
    <row r="21" spans="3:34">
      <c r="C21" s="214">
        <v>14</v>
      </c>
      <c r="D21" s="214">
        <v>1</v>
      </c>
      <c r="F21" s="214" t="s">
        <v>673</v>
      </c>
      <c r="G21" s="215">
        <v>46143</v>
      </c>
      <c r="H21" s="214">
        <v>2</v>
      </c>
      <c r="I21" s="214">
        <v>22</v>
      </c>
      <c r="J21" s="214" t="s">
        <v>642</v>
      </c>
      <c r="K21" s="68" t="s">
        <v>643</v>
      </c>
      <c r="L21" s="149">
        <v>7</v>
      </c>
      <c r="M21" s="149">
        <v>0</v>
      </c>
      <c r="N21" s="68" t="s">
        <v>679</v>
      </c>
      <c r="O21" s="214">
        <v>2</v>
      </c>
      <c r="P21" s="214">
        <v>1</v>
      </c>
      <c r="T21" s="216">
        <v>2.9</v>
      </c>
      <c r="U21" s="216">
        <v>2.9</v>
      </c>
      <c r="V21" s="216">
        <v>2.9</v>
      </c>
      <c r="W21" s="216">
        <v>0</v>
      </c>
      <c r="X21" s="216">
        <v>20.3</v>
      </c>
      <c r="AB21" s="214">
        <v>1</v>
      </c>
      <c r="AC21" s="214">
        <v>1</v>
      </c>
      <c r="AD21" s="214">
        <v>5</v>
      </c>
      <c r="AE21" s="214">
        <v>2026</v>
      </c>
      <c r="AF21" s="149">
        <v>3.25</v>
      </c>
      <c r="AG21" s="13">
        <f>IF(I21="","",SUMIFS('1_group_totals'!$J$8:$J$10000,'1_group_totals'!$C$8:$C$10000,I21))</f>
        <v>2</v>
      </c>
      <c r="AH21" s="332">
        <v>1</v>
      </c>
    </row>
    <row r="22" spans="3:34">
      <c r="C22" s="214">
        <v>15</v>
      </c>
      <c r="D22" s="214">
        <v>2</v>
      </c>
      <c r="F22" s="214" t="s">
        <v>713</v>
      </c>
      <c r="G22" s="215">
        <v>46146</v>
      </c>
      <c r="H22" s="214">
        <v>2</v>
      </c>
      <c r="I22" s="214">
        <v>26</v>
      </c>
      <c r="J22" s="214" t="s">
        <v>715</v>
      </c>
      <c r="K22" s="68" t="s">
        <v>716</v>
      </c>
      <c r="L22" s="149">
        <v>5</v>
      </c>
      <c r="M22" s="149">
        <v>0</v>
      </c>
      <c r="N22" s="68" t="s">
        <v>679</v>
      </c>
      <c r="O22" s="214">
        <v>2</v>
      </c>
      <c r="P22" s="214">
        <v>1</v>
      </c>
      <c r="T22" s="216">
        <v>3.01</v>
      </c>
      <c r="U22" s="216">
        <v>3.01</v>
      </c>
      <c r="V22" s="216">
        <v>3.01</v>
      </c>
      <c r="W22" s="216">
        <v>0</v>
      </c>
      <c r="X22" s="216">
        <v>15.07</v>
      </c>
      <c r="AB22" s="214">
        <v>1</v>
      </c>
      <c r="AC22" s="214">
        <v>1</v>
      </c>
      <c r="AD22" s="214">
        <v>5</v>
      </c>
      <c r="AE22" s="214">
        <v>2026</v>
      </c>
      <c r="AF22" s="149">
        <v>3.5</v>
      </c>
      <c r="AG22" s="13">
        <f>IF(I22="","",SUMIFS('1_group_totals'!$J$8:$J$10000,'1_group_totals'!$C$8:$C$10000,I22))</f>
        <v>1</v>
      </c>
      <c r="AH22" s="332">
        <v>1</v>
      </c>
    </row>
    <row r="23" spans="3:34">
      <c r="C23" s="214">
        <v>16</v>
      </c>
      <c r="D23" s="214">
        <v>2</v>
      </c>
      <c r="F23" s="214" t="s">
        <v>713</v>
      </c>
      <c r="G23" s="215">
        <v>46146</v>
      </c>
      <c r="H23" s="214">
        <v>2</v>
      </c>
      <c r="I23" s="214">
        <v>101</v>
      </c>
      <c r="J23" s="214" t="s">
        <v>718</v>
      </c>
      <c r="K23" s="68" t="s">
        <v>719</v>
      </c>
      <c r="L23" s="149">
        <v>5</v>
      </c>
      <c r="M23" s="149">
        <v>0</v>
      </c>
      <c r="N23" s="68" t="s">
        <v>720</v>
      </c>
      <c r="O23" s="214">
        <v>46</v>
      </c>
      <c r="P23" s="214">
        <v>1</v>
      </c>
      <c r="T23" s="216">
        <v>5</v>
      </c>
      <c r="U23" s="216">
        <v>5</v>
      </c>
      <c r="V23" s="216">
        <v>5</v>
      </c>
      <c r="W23" s="216">
        <v>0</v>
      </c>
      <c r="X23" s="216">
        <v>25</v>
      </c>
      <c r="AB23" s="214">
        <v>1</v>
      </c>
      <c r="AC23" s="214">
        <v>1</v>
      </c>
      <c r="AD23" s="214">
        <v>5</v>
      </c>
      <c r="AE23" s="214">
        <v>2026</v>
      </c>
      <c r="AF23" s="149">
        <v>5.5</v>
      </c>
      <c r="AG23" s="13">
        <f>IF(I23="","",SUMIFS('1_group_totals'!$J$8:$J$10000,'1_group_totals'!$C$8:$C$10000,I23))</f>
        <v>21980</v>
      </c>
      <c r="AH23" s="332">
        <v>1</v>
      </c>
    </row>
    <row r="24" spans="3:34">
      <c r="C24" s="214">
        <v>17</v>
      </c>
      <c r="D24" s="214">
        <v>2</v>
      </c>
      <c r="F24" s="214" t="s">
        <v>713</v>
      </c>
      <c r="G24" s="215">
        <v>46146</v>
      </c>
      <c r="H24" s="214">
        <v>2</v>
      </c>
      <c r="I24" s="214">
        <v>102</v>
      </c>
      <c r="J24" s="214" t="s">
        <v>722</v>
      </c>
      <c r="K24" s="68" t="s">
        <v>723</v>
      </c>
      <c r="L24" s="149">
        <v>4</v>
      </c>
      <c r="M24" s="149">
        <v>0</v>
      </c>
      <c r="N24" s="68" t="s">
        <v>724</v>
      </c>
      <c r="O24" s="214">
        <v>3</v>
      </c>
      <c r="P24" s="214">
        <v>24</v>
      </c>
      <c r="T24" s="216">
        <v>4.5</v>
      </c>
      <c r="U24" s="216">
        <v>4.5</v>
      </c>
      <c r="V24" s="216">
        <v>4.5</v>
      </c>
      <c r="W24" s="216">
        <v>0</v>
      </c>
      <c r="X24" s="216">
        <v>18</v>
      </c>
      <c r="AB24" s="214">
        <v>1</v>
      </c>
      <c r="AC24" s="214">
        <v>1</v>
      </c>
      <c r="AD24" s="214">
        <v>5</v>
      </c>
      <c r="AE24" s="214">
        <v>2026</v>
      </c>
      <c r="AF24" s="149">
        <v>5</v>
      </c>
      <c r="AG24" s="13">
        <f>IF(I24="","",SUMIFS('1_group_totals'!$J$8:$J$10000,'1_group_totals'!$C$8:$C$10000,I24))</f>
        <v>0</v>
      </c>
      <c r="AH24" s="332">
        <v>1</v>
      </c>
    </row>
    <row r="25" spans="3:34">
      <c r="C25" s="214">
        <v>18</v>
      </c>
      <c r="D25" s="214">
        <v>2</v>
      </c>
      <c r="F25" s="214" t="s">
        <v>713</v>
      </c>
      <c r="G25" s="215">
        <v>46146</v>
      </c>
      <c r="H25" s="214">
        <v>2</v>
      </c>
      <c r="I25" s="214">
        <v>125</v>
      </c>
      <c r="J25" s="214" t="s">
        <v>726</v>
      </c>
      <c r="K25" s="68" t="s">
        <v>727</v>
      </c>
      <c r="L25" s="149">
        <v>7</v>
      </c>
      <c r="M25" s="149">
        <v>0</v>
      </c>
      <c r="N25" s="68" t="s">
        <v>728</v>
      </c>
      <c r="O25" s="214">
        <v>35</v>
      </c>
      <c r="P25" s="214">
        <v>1</v>
      </c>
      <c r="T25" s="216">
        <v>4</v>
      </c>
      <c r="U25" s="216">
        <v>4</v>
      </c>
      <c r="V25" s="216">
        <v>4</v>
      </c>
      <c r="W25" s="216">
        <v>0</v>
      </c>
      <c r="X25" s="216">
        <v>28</v>
      </c>
      <c r="AB25" s="214">
        <v>1</v>
      </c>
      <c r="AC25" s="214">
        <v>1</v>
      </c>
      <c r="AD25" s="214">
        <v>5</v>
      </c>
      <c r="AE25" s="214">
        <v>2026</v>
      </c>
      <c r="AF25" s="149">
        <v>0.04</v>
      </c>
      <c r="AG25" s="13">
        <f>IF(I25="","",SUMIFS('1_group_totals'!$J$8:$J$10000,'1_group_totals'!$C$8:$C$10000,I25))</f>
        <v>700</v>
      </c>
      <c r="AH25" s="332">
        <v>1</v>
      </c>
    </row>
    <row r="26" spans="3:34">
      <c r="C26" s="214">
        <v>19</v>
      </c>
      <c r="D26" s="214">
        <v>2</v>
      </c>
      <c r="F26" s="214" t="s">
        <v>713</v>
      </c>
      <c r="G26" s="215">
        <v>46146</v>
      </c>
      <c r="H26" s="214">
        <v>2</v>
      </c>
      <c r="I26" s="214">
        <v>152</v>
      </c>
      <c r="J26" s="214" t="s">
        <v>730</v>
      </c>
      <c r="K26" s="68" t="s">
        <v>731</v>
      </c>
      <c r="L26" s="149">
        <v>3</v>
      </c>
      <c r="M26" s="149">
        <v>0</v>
      </c>
      <c r="N26" s="68" t="s">
        <v>679</v>
      </c>
      <c r="O26" s="214">
        <v>2</v>
      </c>
      <c r="P26" s="214">
        <v>4</v>
      </c>
      <c r="T26" s="216">
        <v>11.25</v>
      </c>
      <c r="U26" s="216">
        <v>11.25</v>
      </c>
      <c r="V26" s="216">
        <v>11.25</v>
      </c>
      <c r="W26" s="216">
        <v>0</v>
      </c>
      <c r="X26" s="216">
        <v>33.75</v>
      </c>
      <c r="AB26" s="214">
        <v>1</v>
      </c>
      <c r="AC26" s="214">
        <v>1</v>
      </c>
      <c r="AD26" s="214">
        <v>5</v>
      </c>
      <c r="AE26" s="214">
        <v>2026</v>
      </c>
      <c r="AF26" s="149">
        <v>11.5</v>
      </c>
      <c r="AG26" s="13">
        <f>IF(I26="","",SUMIFS('1_group_totals'!$J$8:$J$10000,'1_group_totals'!$C$8:$C$10000,I26))</f>
        <v>3</v>
      </c>
      <c r="AH26" s="332">
        <v>1</v>
      </c>
    </row>
    <row r="27" spans="3:34">
      <c r="C27" s="214">
        <v>20</v>
      </c>
      <c r="D27" s="214">
        <v>2</v>
      </c>
      <c r="F27" s="214" t="s">
        <v>713</v>
      </c>
      <c r="G27" s="215">
        <v>46146</v>
      </c>
      <c r="H27" s="214">
        <v>2</v>
      </c>
      <c r="I27" s="214">
        <v>155</v>
      </c>
      <c r="J27" s="214" t="s">
        <v>667</v>
      </c>
      <c r="K27" s="68" t="s">
        <v>668</v>
      </c>
      <c r="L27" s="149">
        <v>3</v>
      </c>
      <c r="M27" s="149">
        <v>0</v>
      </c>
      <c r="N27" s="68" t="s">
        <v>733</v>
      </c>
      <c r="O27" s="214">
        <v>9</v>
      </c>
      <c r="P27" s="214">
        <v>4</v>
      </c>
      <c r="T27" s="216">
        <v>14.5</v>
      </c>
      <c r="U27" s="216">
        <v>14.5</v>
      </c>
      <c r="V27" s="216">
        <v>14.5</v>
      </c>
      <c r="W27" s="216">
        <v>0</v>
      </c>
      <c r="X27" s="216">
        <v>43.5</v>
      </c>
      <c r="AB27" s="214">
        <v>1</v>
      </c>
      <c r="AC27" s="214">
        <v>1</v>
      </c>
      <c r="AD27" s="214">
        <v>5</v>
      </c>
      <c r="AE27" s="214">
        <v>2026</v>
      </c>
      <c r="AF27" s="149">
        <v>15</v>
      </c>
      <c r="AG27" s="13">
        <f>IF(I27="","",SUMIFS('1_group_totals'!$J$8:$J$10000,'1_group_totals'!$C$8:$C$10000,I27))</f>
        <v>0</v>
      </c>
      <c r="AH27" s="332">
        <v>1</v>
      </c>
    </row>
    <row r="28" spans="3:34">
      <c r="C28" s="214">
        <v>21</v>
      </c>
      <c r="D28" s="214">
        <v>2</v>
      </c>
      <c r="F28" s="214" t="s">
        <v>713</v>
      </c>
      <c r="G28" s="215">
        <v>46146</v>
      </c>
      <c r="H28" s="214">
        <v>2</v>
      </c>
      <c r="I28" s="214">
        <v>156</v>
      </c>
      <c r="J28" s="214" t="s">
        <v>735</v>
      </c>
      <c r="K28" s="68" t="s">
        <v>736</v>
      </c>
      <c r="L28" s="149">
        <v>5</v>
      </c>
      <c r="M28" s="149">
        <v>0</v>
      </c>
      <c r="N28" s="68" t="s">
        <v>733</v>
      </c>
      <c r="O28" s="214">
        <v>9</v>
      </c>
      <c r="P28" s="214">
        <v>12</v>
      </c>
      <c r="T28" s="216">
        <v>4.41</v>
      </c>
      <c r="U28" s="216">
        <v>4.41</v>
      </c>
      <c r="V28" s="216">
        <v>4.41</v>
      </c>
      <c r="W28" s="216">
        <v>0</v>
      </c>
      <c r="X28" s="216">
        <v>22.05</v>
      </c>
      <c r="AB28" s="214">
        <v>1</v>
      </c>
      <c r="AC28" s="214">
        <v>1</v>
      </c>
      <c r="AD28" s="214">
        <v>5</v>
      </c>
      <c r="AE28" s="214">
        <v>2026</v>
      </c>
      <c r="AF28" s="149">
        <v>4.8</v>
      </c>
      <c r="AG28" s="13">
        <f>IF(I28="","",SUMIFS('1_group_totals'!$J$8:$J$10000,'1_group_totals'!$C$8:$C$10000,I28))</f>
        <v>2</v>
      </c>
      <c r="AH28" s="332">
        <v>1</v>
      </c>
    </row>
    <row r="29" spans="3:34">
      <c r="C29" s="214">
        <v>22</v>
      </c>
      <c r="D29" s="214">
        <v>2</v>
      </c>
      <c r="F29" s="214" t="s">
        <v>713</v>
      </c>
      <c r="G29" s="215">
        <v>46146</v>
      </c>
      <c r="H29" s="214">
        <v>2</v>
      </c>
      <c r="I29" s="214">
        <v>160</v>
      </c>
      <c r="J29" s="214" t="s">
        <v>738</v>
      </c>
      <c r="K29" s="68" t="s">
        <v>739</v>
      </c>
      <c r="L29" s="149">
        <v>2</v>
      </c>
      <c r="M29" s="149">
        <v>0</v>
      </c>
      <c r="N29" s="68" t="s">
        <v>733</v>
      </c>
      <c r="O29" s="214">
        <v>9</v>
      </c>
      <c r="P29" s="214">
        <v>4</v>
      </c>
      <c r="T29" s="216">
        <v>11.75</v>
      </c>
      <c r="U29" s="216">
        <v>11.75</v>
      </c>
      <c r="V29" s="216">
        <v>11.75</v>
      </c>
      <c r="W29" s="216">
        <v>0</v>
      </c>
      <c r="X29" s="216">
        <v>23.5</v>
      </c>
      <c r="AB29" s="214">
        <v>1</v>
      </c>
      <c r="AC29" s="214">
        <v>1</v>
      </c>
      <c r="AD29" s="214">
        <v>5</v>
      </c>
      <c r="AE29" s="214">
        <v>2026</v>
      </c>
      <c r="AF29" s="149">
        <v>12</v>
      </c>
      <c r="AG29" s="13">
        <f>IF(I29="","",SUMIFS('1_group_totals'!$J$8:$J$10000,'1_group_totals'!$C$8:$C$10000,I29))</f>
        <v>4</v>
      </c>
      <c r="AH29" s="332">
        <v>1</v>
      </c>
    </row>
    <row r="30" spans="3:34">
      <c r="C30" s="214">
        <v>23</v>
      </c>
      <c r="D30" s="214">
        <v>2</v>
      </c>
      <c r="F30" s="214" t="s">
        <v>713</v>
      </c>
      <c r="G30" s="215">
        <v>46146</v>
      </c>
      <c r="H30" s="214">
        <v>2</v>
      </c>
      <c r="I30" s="214">
        <v>162</v>
      </c>
      <c r="J30" s="214" t="s">
        <v>741</v>
      </c>
      <c r="K30" s="68" t="s">
        <v>742</v>
      </c>
      <c r="L30" s="149">
        <v>2</v>
      </c>
      <c r="M30" s="149">
        <v>0</v>
      </c>
      <c r="N30" s="68" t="s">
        <v>743</v>
      </c>
      <c r="O30" s="214">
        <v>27</v>
      </c>
      <c r="P30" s="214">
        <v>1</v>
      </c>
      <c r="T30" s="216">
        <v>53</v>
      </c>
      <c r="U30" s="216">
        <v>53</v>
      </c>
      <c r="V30" s="216">
        <v>53</v>
      </c>
      <c r="W30" s="216">
        <v>0</v>
      </c>
      <c r="X30" s="216">
        <v>106</v>
      </c>
      <c r="AB30" s="214">
        <v>1</v>
      </c>
      <c r="AC30" s="214">
        <v>1</v>
      </c>
      <c r="AD30" s="214">
        <v>5</v>
      </c>
      <c r="AE30" s="214">
        <v>2026</v>
      </c>
      <c r="AF30" s="149">
        <v>55</v>
      </c>
      <c r="AG30" s="13">
        <f>IF(I30="","",SUMIFS('1_group_totals'!$J$8:$J$10000,'1_group_totals'!$C$8:$C$10000,I30))</f>
        <v>0</v>
      </c>
      <c r="AH30" s="332">
        <v>1</v>
      </c>
    </row>
    <row r="31" spans="3:34">
      <c r="C31" s="214">
        <v>24</v>
      </c>
      <c r="D31" s="214">
        <v>2</v>
      </c>
      <c r="F31" s="214" t="s">
        <v>713</v>
      </c>
      <c r="G31" s="215">
        <v>46146</v>
      </c>
      <c r="H31" s="214">
        <v>2</v>
      </c>
      <c r="I31" s="214">
        <v>163</v>
      </c>
      <c r="J31" s="214" t="s">
        <v>745</v>
      </c>
      <c r="K31" s="68" t="s">
        <v>746</v>
      </c>
      <c r="L31" s="149">
        <v>2</v>
      </c>
      <c r="M31" s="149">
        <v>0</v>
      </c>
      <c r="N31" s="68" t="s">
        <v>733</v>
      </c>
      <c r="O31" s="214">
        <v>9</v>
      </c>
      <c r="P31" s="214">
        <v>4</v>
      </c>
      <c r="T31" s="216">
        <v>12.75</v>
      </c>
      <c r="U31" s="216">
        <v>12.75</v>
      </c>
      <c r="V31" s="216">
        <v>12.75</v>
      </c>
      <c r="W31" s="216">
        <v>0</v>
      </c>
      <c r="X31" s="216">
        <v>25.5</v>
      </c>
      <c r="AB31" s="214">
        <v>1</v>
      </c>
      <c r="AC31" s="214">
        <v>1</v>
      </c>
      <c r="AD31" s="214">
        <v>5</v>
      </c>
      <c r="AE31" s="214">
        <v>2026</v>
      </c>
      <c r="AF31" s="149">
        <v>13.25</v>
      </c>
      <c r="AG31" s="13">
        <f>IF(I31="","",SUMIFS('1_group_totals'!$J$8:$J$10000,'1_group_totals'!$C$8:$C$10000,I31))</f>
        <v>2</v>
      </c>
      <c r="AH31" s="332">
        <v>1</v>
      </c>
    </row>
    <row r="32" spans="3:34">
      <c r="C32" s="214">
        <v>25</v>
      </c>
      <c r="D32" s="214">
        <v>2</v>
      </c>
      <c r="F32" s="214" t="s">
        <v>713</v>
      </c>
      <c r="G32" s="215">
        <v>46146</v>
      </c>
      <c r="H32" s="214">
        <v>2</v>
      </c>
      <c r="I32" s="214">
        <v>176</v>
      </c>
      <c r="J32" s="214" t="s">
        <v>748</v>
      </c>
      <c r="K32" s="68" t="s">
        <v>749</v>
      </c>
      <c r="L32" s="149">
        <v>5</v>
      </c>
      <c r="M32" s="149">
        <v>0</v>
      </c>
      <c r="N32" s="68" t="s">
        <v>750</v>
      </c>
      <c r="O32" s="214">
        <v>51</v>
      </c>
      <c r="P32" s="214">
        <v>1</v>
      </c>
      <c r="T32" s="216">
        <v>85</v>
      </c>
      <c r="U32" s="216">
        <v>85</v>
      </c>
      <c r="V32" s="216">
        <v>85</v>
      </c>
      <c r="W32" s="216">
        <v>0</v>
      </c>
      <c r="X32" s="216">
        <v>425</v>
      </c>
      <c r="AB32" s="214">
        <v>1</v>
      </c>
      <c r="AC32" s="214">
        <v>1</v>
      </c>
      <c r="AD32" s="214">
        <v>5</v>
      </c>
      <c r="AE32" s="214">
        <v>2026</v>
      </c>
      <c r="AF32" s="149">
        <v>90</v>
      </c>
      <c r="AG32" s="13">
        <f>IF(I32="","",SUMIFS('1_group_totals'!$J$8:$J$10000,'1_group_totals'!$C$8:$C$10000,I32))</f>
        <v>1200</v>
      </c>
      <c r="AH32" s="332">
        <v>1</v>
      </c>
    </row>
    <row r="33" spans="3:34">
      <c r="C33" s="214">
        <v>26</v>
      </c>
      <c r="D33" s="214">
        <v>2</v>
      </c>
      <c r="F33" s="214" t="s">
        <v>713</v>
      </c>
      <c r="G33" s="215">
        <v>46146</v>
      </c>
      <c r="H33" s="214">
        <v>2</v>
      </c>
      <c r="I33" s="214">
        <v>177</v>
      </c>
      <c r="J33" s="214" t="s">
        <v>752</v>
      </c>
      <c r="K33" s="68" t="s">
        <v>753</v>
      </c>
      <c r="L33" s="149">
        <v>12</v>
      </c>
      <c r="M33" s="149">
        <v>0</v>
      </c>
      <c r="N33" s="68" t="s">
        <v>750</v>
      </c>
      <c r="O33" s="214">
        <v>51</v>
      </c>
      <c r="P33" s="214">
        <v>1</v>
      </c>
      <c r="T33" s="216">
        <v>83</v>
      </c>
      <c r="U33" s="216">
        <v>83</v>
      </c>
      <c r="V33" s="216">
        <v>83</v>
      </c>
      <c r="W33" s="216">
        <v>0</v>
      </c>
      <c r="X33" s="216">
        <v>996</v>
      </c>
      <c r="AB33" s="214">
        <v>1</v>
      </c>
      <c r="AC33" s="214">
        <v>1</v>
      </c>
      <c r="AD33" s="214">
        <v>5</v>
      </c>
      <c r="AE33" s="214">
        <v>2026</v>
      </c>
      <c r="AF33" s="149">
        <v>88</v>
      </c>
      <c r="AG33" s="13">
        <f>IF(I33="","",SUMIFS('1_group_totals'!$J$8:$J$10000,'1_group_totals'!$C$8:$C$10000,I33))</f>
        <v>-300</v>
      </c>
      <c r="AH33" s="332">
        <v>1</v>
      </c>
    </row>
    <row r="34" spans="3:34">
      <c r="C34" s="214">
        <v>27</v>
      </c>
      <c r="D34" s="214">
        <v>2</v>
      </c>
      <c r="F34" s="214" t="s">
        <v>713</v>
      </c>
      <c r="G34" s="215">
        <v>46146</v>
      </c>
      <c r="H34" s="214">
        <v>2</v>
      </c>
      <c r="I34" s="214">
        <v>178</v>
      </c>
      <c r="J34" s="214" t="s">
        <v>755</v>
      </c>
      <c r="K34" s="68" t="s">
        <v>756</v>
      </c>
      <c r="L34" s="149">
        <v>6</v>
      </c>
      <c r="M34" s="149">
        <v>0</v>
      </c>
      <c r="N34" s="68" t="s">
        <v>750</v>
      </c>
      <c r="O34" s="214">
        <v>51</v>
      </c>
      <c r="P34" s="214">
        <v>1</v>
      </c>
      <c r="T34" s="216">
        <v>95</v>
      </c>
      <c r="U34" s="216">
        <v>95</v>
      </c>
      <c r="V34" s="216">
        <v>95</v>
      </c>
      <c r="W34" s="216">
        <v>0</v>
      </c>
      <c r="X34" s="216">
        <v>570</v>
      </c>
      <c r="AB34" s="214">
        <v>1</v>
      </c>
      <c r="AC34" s="214">
        <v>1</v>
      </c>
      <c r="AD34" s="214">
        <v>5</v>
      </c>
      <c r="AE34" s="214">
        <v>2026</v>
      </c>
      <c r="AF34" s="149">
        <v>100</v>
      </c>
      <c r="AG34" s="13">
        <f>IF(I34="","",SUMIFS('1_group_totals'!$J$8:$J$10000,'1_group_totals'!$C$8:$C$10000,I34))</f>
        <v>1150</v>
      </c>
      <c r="AH34" s="332">
        <v>1</v>
      </c>
    </row>
    <row r="35" spans="3:34">
      <c r="C35" s="214">
        <v>28</v>
      </c>
      <c r="D35" s="214">
        <v>2</v>
      </c>
      <c r="F35" s="214" t="s">
        <v>713</v>
      </c>
      <c r="G35" s="215">
        <v>46146</v>
      </c>
      <c r="H35" s="214">
        <v>2</v>
      </c>
      <c r="I35" s="214">
        <v>179</v>
      </c>
      <c r="J35" s="214" t="s">
        <v>564</v>
      </c>
      <c r="K35" s="68" t="s">
        <v>565</v>
      </c>
      <c r="L35" s="149">
        <v>4</v>
      </c>
      <c r="M35" s="149">
        <v>0</v>
      </c>
      <c r="N35" s="68" t="s">
        <v>750</v>
      </c>
      <c r="O35" s="214">
        <v>51</v>
      </c>
      <c r="P35" s="214">
        <v>1</v>
      </c>
      <c r="T35" s="216">
        <v>95</v>
      </c>
      <c r="U35" s="216">
        <v>95</v>
      </c>
      <c r="V35" s="216">
        <v>95</v>
      </c>
      <c r="W35" s="216">
        <v>0</v>
      </c>
      <c r="X35" s="216">
        <v>380</v>
      </c>
      <c r="AB35" s="214">
        <v>1</v>
      </c>
      <c r="AC35" s="214">
        <v>1</v>
      </c>
      <c r="AD35" s="214">
        <v>5</v>
      </c>
      <c r="AE35" s="214">
        <v>2026</v>
      </c>
      <c r="AF35" s="149">
        <v>100</v>
      </c>
      <c r="AG35" s="13">
        <f>IF(I35="","",SUMIFS('1_group_totals'!$J$8:$J$10000,'1_group_totals'!$C$8:$C$10000,I35))</f>
        <v>835</v>
      </c>
      <c r="AH35" s="332">
        <v>1</v>
      </c>
    </row>
    <row r="36" spans="3:34">
      <c r="C36" s="214">
        <v>29</v>
      </c>
      <c r="D36" s="214">
        <v>3</v>
      </c>
      <c r="F36" s="214" t="s">
        <v>759</v>
      </c>
      <c r="G36" s="215">
        <v>46148</v>
      </c>
      <c r="H36" s="214">
        <v>2</v>
      </c>
      <c r="I36" s="214">
        <v>181</v>
      </c>
      <c r="J36" s="214" t="s">
        <v>761</v>
      </c>
      <c r="K36" s="68" t="s">
        <v>762</v>
      </c>
      <c r="L36" s="149">
        <v>15</v>
      </c>
      <c r="M36" s="149">
        <v>0</v>
      </c>
      <c r="N36" s="68" t="s">
        <v>763</v>
      </c>
      <c r="O36" s="214">
        <v>54</v>
      </c>
      <c r="P36" s="214">
        <v>1</v>
      </c>
      <c r="T36" s="216">
        <v>1</v>
      </c>
      <c r="U36" s="216">
        <v>1</v>
      </c>
      <c r="V36" s="216">
        <v>1</v>
      </c>
      <c r="W36" s="216">
        <v>0</v>
      </c>
      <c r="X36" s="216">
        <v>15</v>
      </c>
      <c r="AB36" s="214">
        <v>1</v>
      </c>
      <c r="AC36" s="214">
        <v>1</v>
      </c>
      <c r="AD36" s="214">
        <v>5</v>
      </c>
      <c r="AE36" s="214">
        <v>2026</v>
      </c>
      <c r="AF36" s="149">
        <v>1.5</v>
      </c>
      <c r="AG36" s="13">
        <f>IF(I36="","",SUMIFS('1_group_totals'!$J$8:$J$10000,'1_group_totals'!$C$8:$C$10000,I36))</f>
        <v>168</v>
      </c>
      <c r="AH36" s="332">
        <v>1</v>
      </c>
    </row>
    <row r="37" spans="3:34">
      <c r="C37" s="214">
        <v>30</v>
      </c>
      <c r="D37" s="214">
        <v>3</v>
      </c>
      <c r="F37" s="214" t="s">
        <v>759</v>
      </c>
      <c r="G37" s="215">
        <v>46148</v>
      </c>
      <c r="H37" s="214">
        <v>2</v>
      </c>
      <c r="I37" s="214">
        <v>182</v>
      </c>
      <c r="J37" s="214" t="s">
        <v>627</v>
      </c>
      <c r="K37" s="68" t="s">
        <v>628</v>
      </c>
      <c r="L37" s="149">
        <v>10</v>
      </c>
      <c r="M37" s="149">
        <v>0</v>
      </c>
      <c r="N37" s="68" t="s">
        <v>763</v>
      </c>
      <c r="O37" s="214">
        <v>54</v>
      </c>
      <c r="P37" s="214">
        <v>1</v>
      </c>
      <c r="T37" s="216">
        <v>2</v>
      </c>
      <c r="U37" s="216">
        <v>2</v>
      </c>
      <c r="V37" s="216">
        <v>2</v>
      </c>
      <c r="W37" s="216">
        <v>0</v>
      </c>
      <c r="X37" s="216">
        <v>20</v>
      </c>
      <c r="AB37" s="214">
        <v>1</v>
      </c>
      <c r="AC37" s="214">
        <v>1</v>
      </c>
      <c r="AD37" s="214">
        <v>5</v>
      </c>
      <c r="AE37" s="214">
        <v>2026</v>
      </c>
      <c r="AF37" s="149">
        <v>2.5</v>
      </c>
      <c r="AG37" s="13">
        <f>IF(I37="","",SUMIFS('1_group_totals'!$J$8:$J$10000,'1_group_totals'!$C$8:$C$10000,I37))</f>
        <v>132</v>
      </c>
      <c r="AH37" s="332">
        <v>1</v>
      </c>
    </row>
    <row r="38" spans="3:34">
      <c r="C38" s="214">
        <v>31</v>
      </c>
      <c r="D38" s="214">
        <v>3</v>
      </c>
      <c r="F38" s="214" t="s">
        <v>759</v>
      </c>
      <c r="G38" s="215">
        <v>46148</v>
      </c>
      <c r="H38" s="214">
        <v>2</v>
      </c>
      <c r="I38" s="214">
        <v>183</v>
      </c>
      <c r="J38" s="214" t="s">
        <v>766</v>
      </c>
      <c r="K38" s="68" t="s">
        <v>767</v>
      </c>
      <c r="L38" s="149">
        <v>20</v>
      </c>
      <c r="M38" s="149">
        <v>0</v>
      </c>
      <c r="N38" s="68" t="s">
        <v>763</v>
      </c>
      <c r="O38" s="214">
        <v>54</v>
      </c>
      <c r="P38" s="214">
        <v>1</v>
      </c>
      <c r="T38" s="216">
        <v>4</v>
      </c>
      <c r="U38" s="216">
        <v>4</v>
      </c>
      <c r="V38" s="216">
        <v>4</v>
      </c>
      <c r="W38" s="216">
        <v>0</v>
      </c>
      <c r="X38" s="216">
        <v>80</v>
      </c>
      <c r="AB38" s="214">
        <v>1</v>
      </c>
      <c r="AC38" s="214">
        <v>1</v>
      </c>
      <c r="AD38" s="214">
        <v>5</v>
      </c>
      <c r="AE38" s="214">
        <v>2026</v>
      </c>
      <c r="AF38" s="149">
        <v>4.5</v>
      </c>
      <c r="AG38" s="13">
        <f>IF(I38="","",SUMIFS('1_group_totals'!$J$8:$J$10000,'1_group_totals'!$C$8:$C$10000,I38))</f>
        <v>420</v>
      </c>
      <c r="AH38" s="332">
        <v>1</v>
      </c>
    </row>
    <row r="39" spans="3:34">
      <c r="C39" s="214">
        <v>32</v>
      </c>
      <c r="D39" s="214">
        <v>3</v>
      </c>
      <c r="F39" s="214" t="s">
        <v>759</v>
      </c>
      <c r="G39" s="215">
        <v>46148</v>
      </c>
      <c r="H39" s="214">
        <v>2</v>
      </c>
      <c r="I39" s="214">
        <v>184</v>
      </c>
      <c r="J39" s="214" t="s">
        <v>769</v>
      </c>
      <c r="K39" s="68" t="s">
        <v>770</v>
      </c>
      <c r="L39" s="149">
        <v>14</v>
      </c>
      <c r="M39" s="149">
        <v>0</v>
      </c>
      <c r="N39" s="68" t="s">
        <v>763</v>
      </c>
      <c r="O39" s="214">
        <v>54</v>
      </c>
      <c r="P39" s="214">
        <v>1</v>
      </c>
      <c r="T39" s="216">
        <v>6</v>
      </c>
      <c r="U39" s="216">
        <v>6</v>
      </c>
      <c r="V39" s="216">
        <v>6</v>
      </c>
      <c r="W39" s="216">
        <v>0</v>
      </c>
      <c r="X39" s="216">
        <v>84</v>
      </c>
      <c r="AB39" s="214">
        <v>1</v>
      </c>
      <c r="AC39" s="214">
        <v>1</v>
      </c>
      <c r="AD39" s="214">
        <v>5</v>
      </c>
      <c r="AE39" s="214">
        <v>2026</v>
      </c>
      <c r="AF39" s="149">
        <v>6.5</v>
      </c>
      <c r="AG39" s="13">
        <f>IF(I39="","",SUMIFS('1_group_totals'!$J$8:$J$10000,'1_group_totals'!$C$8:$C$10000,I39))</f>
        <v>96</v>
      </c>
      <c r="AH39" s="332">
        <v>1</v>
      </c>
    </row>
    <row r="40" spans="3:34">
      <c r="C40" s="214">
        <v>33</v>
      </c>
      <c r="D40" s="214">
        <v>3</v>
      </c>
      <c r="F40" s="214" t="s">
        <v>759</v>
      </c>
      <c r="G40" s="215">
        <v>46148</v>
      </c>
      <c r="H40" s="214">
        <v>2</v>
      </c>
      <c r="I40" s="214">
        <v>185</v>
      </c>
      <c r="J40" s="214" t="s">
        <v>772</v>
      </c>
      <c r="K40" s="68" t="s">
        <v>773</v>
      </c>
      <c r="L40" s="149">
        <v>5</v>
      </c>
      <c r="M40" s="149">
        <v>0</v>
      </c>
      <c r="N40" s="68" t="s">
        <v>763</v>
      </c>
      <c r="O40" s="214">
        <v>54</v>
      </c>
      <c r="P40" s="214">
        <v>1</v>
      </c>
      <c r="T40" s="216">
        <v>8</v>
      </c>
      <c r="U40" s="216">
        <v>8</v>
      </c>
      <c r="V40" s="216">
        <v>8</v>
      </c>
      <c r="W40" s="216">
        <v>0</v>
      </c>
      <c r="X40" s="216">
        <v>40</v>
      </c>
      <c r="AB40" s="214">
        <v>1</v>
      </c>
      <c r="AC40" s="214">
        <v>1</v>
      </c>
      <c r="AD40" s="214">
        <v>5</v>
      </c>
      <c r="AE40" s="214">
        <v>2026</v>
      </c>
      <c r="AF40" s="149">
        <v>8.5</v>
      </c>
      <c r="AG40" s="13">
        <f>IF(I40="","",SUMIFS('1_group_totals'!$J$8:$J$10000,'1_group_totals'!$C$8:$C$10000,I40))</f>
        <v>12</v>
      </c>
      <c r="AH40" s="332">
        <v>1</v>
      </c>
    </row>
    <row r="41" spans="3:34">
      <c r="C41" s="214">
        <v>34</v>
      </c>
      <c r="D41" s="214">
        <v>3</v>
      </c>
      <c r="F41" s="214" t="s">
        <v>759</v>
      </c>
      <c r="G41" s="215">
        <v>46148</v>
      </c>
      <c r="H41" s="214">
        <v>2</v>
      </c>
      <c r="I41" s="214">
        <v>186</v>
      </c>
      <c r="J41" s="214" t="s">
        <v>616</v>
      </c>
      <c r="K41" s="68" t="s">
        <v>617</v>
      </c>
      <c r="L41" s="149">
        <v>3</v>
      </c>
      <c r="M41" s="149">
        <v>0</v>
      </c>
      <c r="N41" s="68" t="s">
        <v>763</v>
      </c>
      <c r="O41" s="214">
        <v>54</v>
      </c>
      <c r="P41" s="214">
        <v>1</v>
      </c>
      <c r="T41" s="216">
        <v>12</v>
      </c>
      <c r="U41" s="216">
        <v>12</v>
      </c>
      <c r="V41" s="216">
        <v>12</v>
      </c>
      <c r="W41" s="216">
        <v>0</v>
      </c>
      <c r="X41" s="216">
        <v>36</v>
      </c>
      <c r="AB41" s="214">
        <v>1</v>
      </c>
      <c r="AC41" s="214">
        <v>1</v>
      </c>
      <c r="AD41" s="214">
        <v>5</v>
      </c>
      <c r="AE41" s="214">
        <v>2026</v>
      </c>
      <c r="AF41" s="149">
        <v>12.5</v>
      </c>
      <c r="AG41" s="13">
        <f>IF(I41="","",SUMIFS('1_group_totals'!$J$8:$J$10000,'1_group_totals'!$C$8:$C$10000,I41))</f>
        <v>24</v>
      </c>
      <c r="AH41" s="332">
        <v>1</v>
      </c>
    </row>
    <row r="42" spans="3:34">
      <c r="C42" s="214">
        <v>35</v>
      </c>
      <c r="D42" s="214">
        <v>3</v>
      </c>
      <c r="F42" s="214" t="s">
        <v>759</v>
      </c>
      <c r="G42" s="215">
        <v>46148</v>
      </c>
      <c r="H42" s="214">
        <v>2</v>
      </c>
      <c r="I42" s="214">
        <v>187</v>
      </c>
      <c r="J42" s="214" t="s">
        <v>576</v>
      </c>
      <c r="K42" s="68" t="s">
        <v>577</v>
      </c>
      <c r="L42" s="149">
        <v>32</v>
      </c>
      <c r="M42" s="149">
        <v>0</v>
      </c>
      <c r="N42" s="68" t="s">
        <v>776</v>
      </c>
      <c r="O42" s="214">
        <v>53</v>
      </c>
      <c r="P42" s="214">
        <v>1</v>
      </c>
      <c r="T42" s="216">
        <v>3.37</v>
      </c>
      <c r="U42" s="216">
        <v>3.37</v>
      </c>
      <c r="V42" s="216">
        <v>3.37</v>
      </c>
      <c r="W42" s="216">
        <v>0</v>
      </c>
      <c r="X42" s="216">
        <v>107.84</v>
      </c>
      <c r="AB42" s="214">
        <v>1</v>
      </c>
      <c r="AC42" s="214">
        <v>1</v>
      </c>
      <c r="AD42" s="214">
        <v>5</v>
      </c>
      <c r="AE42" s="214">
        <v>2026</v>
      </c>
      <c r="AF42" s="149">
        <v>3.65</v>
      </c>
      <c r="AG42" s="13">
        <f>IF(I42="","",SUMIFS('1_group_totals'!$J$8:$J$10000,'1_group_totals'!$C$8:$C$10000,I42))</f>
        <v>16</v>
      </c>
      <c r="AH42" s="332">
        <v>1</v>
      </c>
    </row>
    <row r="43" spans="3:34">
      <c r="C43" s="214">
        <v>36</v>
      </c>
      <c r="D43" s="214">
        <v>3</v>
      </c>
      <c r="F43" s="214" t="s">
        <v>759</v>
      </c>
      <c r="G43" s="215">
        <v>46148</v>
      </c>
      <c r="H43" s="214">
        <v>2</v>
      </c>
      <c r="I43" s="214">
        <v>189</v>
      </c>
      <c r="J43" s="214" t="s">
        <v>778</v>
      </c>
      <c r="K43" s="68" t="s">
        <v>779</v>
      </c>
      <c r="L43" s="149">
        <v>13</v>
      </c>
      <c r="M43" s="149">
        <v>0</v>
      </c>
      <c r="N43" s="68" t="s">
        <v>776</v>
      </c>
      <c r="O43" s="214">
        <v>53</v>
      </c>
      <c r="P43" s="214">
        <v>1</v>
      </c>
      <c r="T43" s="216">
        <v>4.09</v>
      </c>
      <c r="U43" s="216">
        <v>4.09</v>
      </c>
      <c r="V43" s="216">
        <v>4.09</v>
      </c>
      <c r="W43" s="216">
        <v>0</v>
      </c>
      <c r="X43" s="216">
        <v>53.17</v>
      </c>
      <c r="AB43" s="214">
        <v>1</v>
      </c>
      <c r="AC43" s="214">
        <v>1</v>
      </c>
      <c r="AD43" s="214">
        <v>5</v>
      </c>
      <c r="AE43" s="214">
        <v>2026</v>
      </c>
      <c r="AF43" s="149">
        <v>4.59</v>
      </c>
      <c r="AG43" s="13">
        <f>IF(I43="","",SUMIFS('1_group_totals'!$J$8:$J$10000,'1_group_totals'!$C$8:$C$10000,I43))</f>
        <v>64</v>
      </c>
      <c r="AH43" s="332">
        <v>1</v>
      </c>
    </row>
    <row r="44" spans="3:34">
      <c r="C44" s="214">
        <v>37</v>
      </c>
      <c r="D44" s="214">
        <v>3</v>
      </c>
      <c r="F44" s="214" t="s">
        <v>759</v>
      </c>
      <c r="G44" s="215">
        <v>46148</v>
      </c>
      <c r="H44" s="214">
        <v>2</v>
      </c>
      <c r="I44" s="214">
        <v>191</v>
      </c>
      <c r="J44" s="214" t="s">
        <v>781</v>
      </c>
      <c r="K44" s="68" t="s">
        <v>782</v>
      </c>
      <c r="L44" s="149">
        <v>16</v>
      </c>
      <c r="M44" s="149">
        <v>0</v>
      </c>
      <c r="N44" s="68" t="s">
        <v>776</v>
      </c>
      <c r="O44" s="214">
        <v>53</v>
      </c>
      <c r="P44" s="214">
        <v>1</v>
      </c>
      <c r="T44" s="216">
        <v>4.92</v>
      </c>
      <c r="U44" s="216">
        <v>4.92</v>
      </c>
      <c r="V44" s="216">
        <v>4.92</v>
      </c>
      <c r="W44" s="216">
        <v>0</v>
      </c>
      <c r="X44" s="216">
        <v>78.72</v>
      </c>
      <c r="AB44" s="214">
        <v>1</v>
      </c>
      <c r="AC44" s="214">
        <v>1</v>
      </c>
      <c r="AD44" s="214">
        <v>5</v>
      </c>
      <c r="AE44" s="214">
        <v>2026</v>
      </c>
      <c r="AF44" s="149">
        <v>5.4</v>
      </c>
      <c r="AG44" s="13">
        <f>IF(I44="","",SUMIFS('1_group_totals'!$J$8:$J$10000,'1_group_totals'!$C$8:$C$10000,I44))</f>
        <v>8</v>
      </c>
      <c r="AH44" s="332">
        <v>1</v>
      </c>
    </row>
    <row r="45" spans="3:34">
      <c r="C45" s="214">
        <v>38</v>
      </c>
      <c r="D45" s="214">
        <v>3</v>
      </c>
      <c r="F45" s="214" t="s">
        <v>759</v>
      </c>
      <c r="G45" s="215">
        <v>46148</v>
      </c>
      <c r="H45" s="214">
        <v>2</v>
      </c>
      <c r="I45" s="214">
        <v>193</v>
      </c>
      <c r="J45" s="214" t="s">
        <v>784</v>
      </c>
      <c r="K45" s="68" t="s">
        <v>785</v>
      </c>
      <c r="L45" s="149">
        <v>15</v>
      </c>
      <c r="M45" s="149">
        <v>0</v>
      </c>
      <c r="N45" s="68" t="s">
        <v>776</v>
      </c>
      <c r="O45" s="214">
        <v>53</v>
      </c>
      <c r="P45" s="214">
        <v>1</v>
      </c>
      <c r="T45" s="216">
        <v>3.88</v>
      </c>
      <c r="U45" s="216">
        <v>3.88</v>
      </c>
      <c r="V45" s="216">
        <v>3.88</v>
      </c>
      <c r="W45" s="216">
        <v>0</v>
      </c>
      <c r="X45" s="216">
        <v>58.2</v>
      </c>
      <c r="AB45" s="214">
        <v>1</v>
      </c>
      <c r="AC45" s="214">
        <v>1</v>
      </c>
      <c r="AD45" s="214">
        <v>5</v>
      </c>
      <c r="AE45" s="214">
        <v>2026</v>
      </c>
      <c r="AF45" s="149">
        <v>4.3</v>
      </c>
      <c r="AG45" s="13">
        <f>IF(I45="","",SUMIFS('1_group_totals'!$J$8:$J$10000,'1_group_totals'!$C$8:$C$10000,I45))</f>
        <v>32</v>
      </c>
      <c r="AH45" s="332">
        <v>1</v>
      </c>
    </row>
    <row r="46" spans="3:34">
      <c r="C46" s="214">
        <v>39</v>
      </c>
      <c r="D46" s="214">
        <v>3</v>
      </c>
      <c r="F46" s="214" t="s">
        <v>759</v>
      </c>
      <c r="G46" s="215">
        <v>46148</v>
      </c>
      <c r="H46" s="214">
        <v>2</v>
      </c>
      <c r="I46" s="214">
        <v>195</v>
      </c>
      <c r="J46" s="214" t="s">
        <v>608</v>
      </c>
      <c r="K46" s="68" t="s">
        <v>609</v>
      </c>
      <c r="L46" s="149">
        <v>25</v>
      </c>
      <c r="M46" s="149">
        <v>0</v>
      </c>
      <c r="N46" s="68" t="s">
        <v>776</v>
      </c>
      <c r="O46" s="214">
        <v>53</v>
      </c>
      <c r="P46" s="214">
        <v>1</v>
      </c>
      <c r="T46" s="216">
        <v>6.28</v>
      </c>
      <c r="U46" s="216">
        <v>6.28</v>
      </c>
      <c r="V46" s="216">
        <v>6.28</v>
      </c>
      <c r="W46" s="216">
        <v>0</v>
      </c>
      <c r="X46" s="216">
        <v>157</v>
      </c>
      <c r="AB46" s="214">
        <v>1</v>
      </c>
      <c r="AC46" s="214">
        <v>1</v>
      </c>
      <c r="AD46" s="214">
        <v>5</v>
      </c>
      <c r="AE46" s="214">
        <v>2026</v>
      </c>
      <c r="AF46" s="149">
        <v>6.75</v>
      </c>
      <c r="AG46" s="13">
        <f>IF(I46="","",SUMIFS('1_group_totals'!$J$8:$J$10000,'1_group_totals'!$C$8:$C$10000,I46))</f>
        <v>-4</v>
      </c>
      <c r="AH46" s="332">
        <v>1</v>
      </c>
    </row>
    <row r="47" spans="3:34">
      <c r="C47" s="214">
        <v>40</v>
      </c>
      <c r="D47" s="214">
        <v>3</v>
      </c>
      <c r="F47" s="214" t="s">
        <v>759</v>
      </c>
      <c r="G47" s="215">
        <v>46148</v>
      </c>
      <c r="H47" s="214">
        <v>2</v>
      </c>
      <c r="I47" s="214">
        <v>197</v>
      </c>
      <c r="J47" s="214" t="s">
        <v>652</v>
      </c>
      <c r="K47" s="68" t="s">
        <v>653</v>
      </c>
      <c r="L47" s="149">
        <v>18</v>
      </c>
      <c r="M47" s="149">
        <v>0</v>
      </c>
      <c r="N47" s="68" t="s">
        <v>776</v>
      </c>
      <c r="O47" s="214">
        <v>53</v>
      </c>
      <c r="P47" s="214">
        <v>1</v>
      </c>
      <c r="T47" s="216">
        <v>8.36</v>
      </c>
      <c r="U47" s="216">
        <v>8.36</v>
      </c>
      <c r="V47" s="216">
        <v>8.36</v>
      </c>
      <c r="W47" s="216">
        <v>0</v>
      </c>
      <c r="X47" s="216">
        <v>150.47999999999999</v>
      </c>
      <c r="AB47" s="214">
        <v>1</v>
      </c>
      <c r="AC47" s="214">
        <v>1</v>
      </c>
      <c r="AD47" s="214">
        <v>5</v>
      </c>
      <c r="AE47" s="214">
        <v>2026</v>
      </c>
      <c r="AF47" s="149">
        <v>8.7799999999999994</v>
      </c>
      <c r="AG47" s="13">
        <f>IF(I47="","",SUMIFS('1_group_totals'!$J$8:$J$10000,'1_group_totals'!$C$8:$C$10000,I47))</f>
        <v>4</v>
      </c>
      <c r="AH47" s="332">
        <v>1</v>
      </c>
    </row>
    <row r="48" spans="3:34">
      <c r="C48" s="214">
        <v>41</v>
      </c>
      <c r="D48" s="214">
        <v>4</v>
      </c>
      <c r="F48" s="214" t="s">
        <v>2142</v>
      </c>
      <c r="G48" s="215">
        <v>46174</v>
      </c>
      <c r="H48" s="214">
        <v>2</v>
      </c>
      <c r="I48" s="214">
        <v>4</v>
      </c>
      <c r="J48" s="214" t="s">
        <v>581</v>
      </c>
      <c r="K48" s="68" t="s">
        <v>582</v>
      </c>
      <c r="L48" s="149">
        <v>8</v>
      </c>
      <c r="M48" s="149">
        <v>0</v>
      </c>
      <c r="N48" s="68" t="s">
        <v>679</v>
      </c>
      <c r="O48" s="214">
        <v>2</v>
      </c>
      <c r="P48" s="214">
        <v>1</v>
      </c>
      <c r="T48" s="216">
        <v>5.8</v>
      </c>
      <c r="U48" s="216">
        <v>5.8</v>
      </c>
      <c r="V48" s="216">
        <v>5.8</v>
      </c>
      <c r="W48" s="216">
        <v>0</v>
      </c>
      <c r="X48" s="216">
        <v>46.4</v>
      </c>
      <c r="AB48" s="214">
        <v>1</v>
      </c>
      <c r="AC48" s="214">
        <v>1</v>
      </c>
      <c r="AD48" s="214">
        <v>6</v>
      </c>
      <c r="AE48" s="214">
        <v>2026</v>
      </c>
    </row>
    <row r="49" spans="3:31">
      <c r="C49" s="214">
        <v>42</v>
      </c>
      <c r="D49" s="214">
        <v>4</v>
      </c>
      <c r="F49" s="214" t="s">
        <v>2142</v>
      </c>
      <c r="G49" s="215">
        <v>46174</v>
      </c>
      <c r="H49" s="214">
        <v>2</v>
      </c>
      <c r="I49" s="214">
        <v>6</v>
      </c>
      <c r="J49" s="214" t="s">
        <v>559</v>
      </c>
      <c r="K49" s="68" t="s">
        <v>560</v>
      </c>
      <c r="L49" s="149">
        <v>20</v>
      </c>
      <c r="M49" s="149">
        <v>0</v>
      </c>
      <c r="N49" s="68" t="s">
        <v>679</v>
      </c>
      <c r="O49" s="214">
        <v>2</v>
      </c>
      <c r="P49" s="214">
        <v>1</v>
      </c>
      <c r="T49" s="216">
        <v>2.89</v>
      </c>
      <c r="U49" s="216">
        <v>2.89</v>
      </c>
      <c r="V49" s="216">
        <v>2.89</v>
      </c>
      <c r="W49" s="216">
        <v>0</v>
      </c>
      <c r="X49" s="216">
        <v>57.8</v>
      </c>
      <c r="AB49" s="214">
        <v>1</v>
      </c>
      <c r="AC49" s="214">
        <v>1</v>
      </c>
      <c r="AD49" s="214">
        <v>6</v>
      </c>
      <c r="AE49" s="214">
        <v>2026</v>
      </c>
    </row>
    <row r="50" spans="3:31">
      <c r="C50" s="214">
        <v>43</v>
      </c>
      <c r="D50" s="214">
        <v>4</v>
      </c>
      <c r="F50" s="214" t="s">
        <v>2142</v>
      </c>
      <c r="G50" s="215">
        <v>46174</v>
      </c>
      <c r="H50" s="214">
        <v>2</v>
      </c>
      <c r="I50" s="214">
        <v>7</v>
      </c>
      <c r="J50" s="214" t="s">
        <v>818</v>
      </c>
      <c r="K50" s="68" t="s">
        <v>819</v>
      </c>
      <c r="L50" s="149">
        <v>18</v>
      </c>
      <c r="M50" s="149">
        <v>0</v>
      </c>
      <c r="N50" s="68" t="s">
        <v>679</v>
      </c>
      <c r="O50" s="214">
        <v>2</v>
      </c>
      <c r="P50" s="214">
        <v>1</v>
      </c>
      <c r="T50" s="216">
        <v>1.79</v>
      </c>
      <c r="U50" s="216">
        <v>1.79</v>
      </c>
      <c r="V50" s="216">
        <v>1.79</v>
      </c>
      <c r="W50" s="216">
        <v>0</v>
      </c>
      <c r="X50" s="216">
        <v>32.22</v>
      </c>
      <c r="AB50" s="214">
        <v>1</v>
      </c>
      <c r="AC50" s="214">
        <v>1</v>
      </c>
      <c r="AD50" s="214">
        <v>6</v>
      </c>
      <c r="AE50" s="214">
        <v>2026</v>
      </c>
    </row>
    <row r="51" spans="3:31">
      <c r="C51" s="214">
        <v>44</v>
      </c>
      <c r="D51" s="214">
        <v>4</v>
      </c>
      <c r="F51" s="214" t="s">
        <v>2142</v>
      </c>
      <c r="G51" s="215">
        <v>46174</v>
      </c>
      <c r="H51" s="214">
        <v>2</v>
      </c>
      <c r="I51" s="214">
        <v>8</v>
      </c>
      <c r="J51" s="214" t="s">
        <v>1125</v>
      </c>
      <c r="K51" s="68" t="s">
        <v>1126</v>
      </c>
      <c r="L51" s="149">
        <v>14</v>
      </c>
      <c r="M51" s="149">
        <v>0</v>
      </c>
      <c r="N51" s="68" t="s">
        <v>679</v>
      </c>
      <c r="O51" s="214">
        <v>2</v>
      </c>
      <c r="P51" s="214">
        <v>1</v>
      </c>
      <c r="T51" s="216">
        <v>1.32</v>
      </c>
      <c r="U51" s="216">
        <v>1.32</v>
      </c>
      <c r="V51" s="216">
        <v>1.32</v>
      </c>
      <c r="W51" s="216">
        <v>0</v>
      </c>
      <c r="X51" s="216">
        <v>18.48</v>
      </c>
      <c r="AB51" s="214">
        <v>1</v>
      </c>
      <c r="AC51" s="214">
        <v>1</v>
      </c>
      <c r="AD51" s="214">
        <v>6</v>
      </c>
      <c r="AE51" s="214">
        <v>2026</v>
      </c>
    </row>
    <row r="52" spans="3:31">
      <c r="C52" s="214">
        <v>45</v>
      </c>
      <c r="D52" s="214">
        <v>4</v>
      </c>
      <c r="F52" s="214" t="s">
        <v>2142</v>
      </c>
      <c r="G52" s="215">
        <v>46174</v>
      </c>
      <c r="H52" s="214">
        <v>2</v>
      </c>
      <c r="I52" s="214">
        <v>9</v>
      </c>
      <c r="J52" s="214" t="s">
        <v>1813</v>
      </c>
      <c r="K52" s="68" t="s">
        <v>1814</v>
      </c>
      <c r="L52" s="149">
        <v>36</v>
      </c>
      <c r="M52" s="149">
        <v>0</v>
      </c>
      <c r="N52" s="68" t="s">
        <v>679</v>
      </c>
      <c r="O52" s="214">
        <v>2</v>
      </c>
      <c r="P52" s="214">
        <v>1</v>
      </c>
      <c r="T52" s="216">
        <v>1.1499999999999999</v>
      </c>
      <c r="U52" s="216">
        <v>1.1499999999999999</v>
      </c>
      <c r="V52" s="216">
        <v>1.1499999999999999</v>
      </c>
      <c r="W52" s="216">
        <v>0</v>
      </c>
      <c r="X52" s="216">
        <v>41.4</v>
      </c>
      <c r="AB52" s="214">
        <v>1</v>
      </c>
      <c r="AC52" s="214">
        <v>1</v>
      </c>
      <c r="AD52" s="214">
        <v>6</v>
      </c>
      <c r="AE52" s="214">
        <v>2026</v>
      </c>
    </row>
    <row r="53" spans="3:31">
      <c r="C53" s="214">
        <v>46</v>
      </c>
      <c r="D53" s="214">
        <v>4</v>
      </c>
      <c r="F53" s="214" t="s">
        <v>2142</v>
      </c>
      <c r="G53" s="215">
        <v>46174</v>
      </c>
      <c r="H53" s="214">
        <v>2</v>
      </c>
      <c r="I53" s="214">
        <v>11</v>
      </c>
      <c r="J53" s="214" t="s">
        <v>690</v>
      </c>
      <c r="K53" s="68" t="s">
        <v>691</v>
      </c>
      <c r="L53" s="149">
        <v>6</v>
      </c>
      <c r="M53" s="149">
        <v>0</v>
      </c>
      <c r="N53" s="68" t="s">
        <v>679</v>
      </c>
      <c r="O53" s="214">
        <v>2</v>
      </c>
      <c r="P53" s="214">
        <v>1</v>
      </c>
      <c r="T53" s="216">
        <v>9.52</v>
      </c>
      <c r="U53" s="216">
        <v>9.52</v>
      </c>
      <c r="V53" s="216">
        <v>9.52</v>
      </c>
      <c r="W53" s="216">
        <v>0</v>
      </c>
      <c r="X53" s="216">
        <v>57.12</v>
      </c>
      <c r="AB53" s="214">
        <v>1</v>
      </c>
      <c r="AC53" s="214">
        <v>1</v>
      </c>
      <c r="AD53" s="214">
        <v>6</v>
      </c>
      <c r="AE53" s="214">
        <v>2026</v>
      </c>
    </row>
    <row r="54" spans="3:31">
      <c r="C54" s="214">
        <v>47</v>
      </c>
      <c r="D54" s="214">
        <v>4</v>
      </c>
      <c r="F54" s="214" t="s">
        <v>2142</v>
      </c>
      <c r="G54" s="215">
        <v>46174</v>
      </c>
      <c r="H54" s="214">
        <v>2</v>
      </c>
      <c r="I54" s="214">
        <v>16</v>
      </c>
      <c r="J54" s="214" t="s">
        <v>699</v>
      </c>
      <c r="K54" s="68" t="s">
        <v>700</v>
      </c>
      <c r="L54" s="149">
        <v>30</v>
      </c>
      <c r="M54" s="149">
        <v>0</v>
      </c>
      <c r="N54" s="68" t="s">
        <v>679</v>
      </c>
      <c r="O54" s="214">
        <v>2</v>
      </c>
      <c r="P54" s="214">
        <v>1</v>
      </c>
      <c r="T54" s="216">
        <v>2.1</v>
      </c>
      <c r="U54" s="216">
        <v>2.1</v>
      </c>
      <c r="V54" s="216">
        <v>2.1</v>
      </c>
      <c r="W54" s="216">
        <v>0</v>
      </c>
      <c r="X54" s="216">
        <v>63</v>
      </c>
      <c r="AB54" s="214">
        <v>1</v>
      </c>
      <c r="AC54" s="214">
        <v>1</v>
      </c>
      <c r="AD54" s="214">
        <v>6</v>
      </c>
      <c r="AE54" s="214">
        <v>2026</v>
      </c>
    </row>
    <row r="55" spans="3:31">
      <c r="C55" s="214">
        <v>48</v>
      </c>
      <c r="D55" s="214">
        <v>4</v>
      </c>
      <c r="F55" s="214" t="s">
        <v>2142</v>
      </c>
      <c r="G55" s="215">
        <v>46174</v>
      </c>
      <c r="H55" s="214">
        <v>2</v>
      </c>
      <c r="I55" s="214">
        <v>18</v>
      </c>
      <c r="J55" s="214" t="s">
        <v>703</v>
      </c>
      <c r="K55" s="68" t="s">
        <v>704</v>
      </c>
      <c r="L55" s="149">
        <v>2</v>
      </c>
      <c r="M55" s="149">
        <v>0</v>
      </c>
      <c r="N55" s="68" t="s">
        <v>679</v>
      </c>
      <c r="O55" s="214">
        <v>2</v>
      </c>
      <c r="P55" s="214">
        <v>1</v>
      </c>
      <c r="T55" s="216">
        <v>1.35</v>
      </c>
      <c r="U55" s="216">
        <v>1.35</v>
      </c>
      <c r="V55" s="216">
        <v>1.35</v>
      </c>
      <c r="W55" s="216">
        <v>0</v>
      </c>
      <c r="X55" s="216">
        <v>2.7</v>
      </c>
      <c r="AB55" s="214">
        <v>1</v>
      </c>
      <c r="AC55" s="214">
        <v>1</v>
      </c>
      <c r="AD55" s="214">
        <v>6</v>
      </c>
      <c r="AE55" s="214">
        <v>2026</v>
      </c>
    </row>
    <row r="56" spans="3:31">
      <c r="C56" s="214">
        <v>49</v>
      </c>
      <c r="D56" s="214">
        <v>4</v>
      </c>
      <c r="F56" s="214" t="s">
        <v>2142</v>
      </c>
      <c r="G56" s="215">
        <v>46174</v>
      </c>
      <c r="H56" s="214">
        <v>2</v>
      </c>
      <c r="I56" s="214">
        <v>20</v>
      </c>
      <c r="J56" s="214" t="s">
        <v>709</v>
      </c>
      <c r="K56" s="68" t="s">
        <v>710</v>
      </c>
      <c r="L56" s="149">
        <v>14</v>
      </c>
      <c r="M56" s="149">
        <v>0</v>
      </c>
      <c r="N56" s="68" t="s">
        <v>679</v>
      </c>
      <c r="O56" s="214">
        <v>2</v>
      </c>
      <c r="P56" s="214">
        <v>1</v>
      </c>
      <c r="T56" s="216">
        <v>5.03</v>
      </c>
      <c r="U56" s="216">
        <v>5.03</v>
      </c>
      <c r="V56" s="216">
        <v>5.03</v>
      </c>
      <c r="W56" s="216">
        <v>0</v>
      </c>
      <c r="X56" s="216">
        <v>70.42</v>
      </c>
      <c r="AB56" s="214">
        <v>1</v>
      </c>
      <c r="AC56" s="214">
        <v>1</v>
      </c>
      <c r="AD56" s="214">
        <v>6</v>
      </c>
      <c r="AE56" s="214">
        <v>2026</v>
      </c>
    </row>
    <row r="57" spans="3:31">
      <c r="C57" s="214">
        <v>50</v>
      </c>
      <c r="D57" s="214">
        <v>4</v>
      </c>
      <c r="F57" s="214" t="s">
        <v>2142</v>
      </c>
      <c r="G57" s="215">
        <v>46174</v>
      </c>
      <c r="H57" s="214">
        <v>2</v>
      </c>
      <c r="I57" s="214">
        <v>25</v>
      </c>
      <c r="J57" s="214" t="s">
        <v>1295</v>
      </c>
      <c r="K57" s="68" t="s">
        <v>1296</v>
      </c>
      <c r="L57" s="149">
        <v>2</v>
      </c>
      <c r="M57" s="149">
        <v>0</v>
      </c>
      <c r="N57" s="68" t="s">
        <v>679</v>
      </c>
      <c r="O57" s="214">
        <v>2</v>
      </c>
      <c r="P57" s="214">
        <v>1</v>
      </c>
      <c r="T57" s="216">
        <v>1.51</v>
      </c>
      <c r="U57" s="216">
        <v>1.51</v>
      </c>
      <c r="V57" s="216">
        <v>1.51</v>
      </c>
      <c r="W57" s="216">
        <v>0</v>
      </c>
      <c r="X57" s="216">
        <v>3.02</v>
      </c>
      <c r="AB57" s="214">
        <v>1</v>
      </c>
      <c r="AC57" s="214">
        <v>1</v>
      </c>
      <c r="AD57" s="214">
        <v>6</v>
      </c>
      <c r="AE57" s="214">
        <v>2026</v>
      </c>
    </row>
    <row r="58" spans="3:31">
      <c r="C58" s="214">
        <v>51</v>
      </c>
      <c r="D58" s="214">
        <v>4</v>
      </c>
      <c r="F58" s="214" t="s">
        <v>2142</v>
      </c>
      <c r="G58" s="215">
        <v>46174</v>
      </c>
      <c r="H58" s="214">
        <v>2</v>
      </c>
      <c r="I58" s="214">
        <v>29</v>
      </c>
      <c r="J58" s="214" t="s">
        <v>1523</v>
      </c>
      <c r="K58" s="68" t="s">
        <v>1524</v>
      </c>
      <c r="L58" s="149">
        <v>24</v>
      </c>
      <c r="M58" s="149">
        <v>0</v>
      </c>
      <c r="N58" s="68" t="s">
        <v>679</v>
      </c>
      <c r="O58" s="214">
        <v>2</v>
      </c>
      <c r="P58" s="214">
        <v>1</v>
      </c>
      <c r="T58" s="216">
        <v>4.2300000000000004</v>
      </c>
      <c r="U58" s="216">
        <v>4.2300000000000004</v>
      </c>
      <c r="V58" s="216">
        <v>4.2300000000000004</v>
      </c>
      <c r="W58" s="216">
        <v>0</v>
      </c>
      <c r="X58" s="216">
        <v>101.52</v>
      </c>
      <c r="AB58" s="214">
        <v>1</v>
      </c>
      <c r="AC58" s="214">
        <v>1</v>
      </c>
      <c r="AD58" s="214">
        <v>6</v>
      </c>
      <c r="AE58" s="214">
        <v>2026</v>
      </c>
    </row>
    <row r="59" spans="3:31">
      <c r="C59" s="214">
        <v>52</v>
      </c>
      <c r="D59" s="214">
        <v>4</v>
      </c>
      <c r="F59" s="214" t="s">
        <v>2142</v>
      </c>
      <c r="G59" s="215">
        <v>46174</v>
      </c>
      <c r="H59" s="214">
        <v>2</v>
      </c>
      <c r="I59" s="214">
        <v>30</v>
      </c>
      <c r="J59" s="214" t="s">
        <v>1187</v>
      </c>
      <c r="K59" s="68" t="s">
        <v>1188</v>
      </c>
      <c r="L59" s="149">
        <v>6</v>
      </c>
      <c r="M59" s="149">
        <v>0</v>
      </c>
      <c r="N59" s="68" t="s">
        <v>679</v>
      </c>
      <c r="O59" s="214">
        <v>2</v>
      </c>
      <c r="P59" s="214">
        <v>1</v>
      </c>
      <c r="T59" s="216">
        <v>1.49</v>
      </c>
      <c r="U59" s="216">
        <v>1.49</v>
      </c>
      <c r="V59" s="216">
        <v>1.49</v>
      </c>
      <c r="W59" s="216">
        <v>0</v>
      </c>
      <c r="X59" s="216">
        <v>8.94</v>
      </c>
      <c r="AB59" s="214">
        <v>1</v>
      </c>
      <c r="AC59" s="214">
        <v>1</v>
      </c>
      <c r="AD59" s="214">
        <v>6</v>
      </c>
      <c r="AE59" s="214">
        <v>2026</v>
      </c>
    </row>
    <row r="60" spans="3:31">
      <c r="C60" s="214">
        <v>53</v>
      </c>
      <c r="D60" s="214">
        <v>4</v>
      </c>
      <c r="F60" s="214" t="s">
        <v>2142</v>
      </c>
      <c r="G60" s="215">
        <v>46174</v>
      </c>
      <c r="H60" s="214">
        <v>2</v>
      </c>
      <c r="I60" s="214">
        <v>32</v>
      </c>
      <c r="J60" s="214" t="s">
        <v>1748</v>
      </c>
      <c r="K60" s="68" t="s">
        <v>1749</v>
      </c>
      <c r="L60" s="149">
        <v>4</v>
      </c>
      <c r="M60" s="149">
        <v>0</v>
      </c>
      <c r="N60" s="68" t="s">
        <v>679</v>
      </c>
      <c r="O60" s="214">
        <v>2</v>
      </c>
      <c r="P60" s="214">
        <v>1</v>
      </c>
      <c r="T60" s="216">
        <v>1.04</v>
      </c>
      <c r="U60" s="216">
        <v>1.04</v>
      </c>
      <c r="V60" s="216">
        <v>1.04</v>
      </c>
      <c r="W60" s="216">
        <v>0</v>
      </c>
      <c r="X60" s="216">
        <v>4.16</v>
      </c>
      <c r="AB60" s="214">
        <v>1</v>
      </c>
      <c r="AC60" s="214">
        <v>1</v>
      </c>
      <c r="AD60" s="214">
        <v>6</v>
      </c>
      <c r="AE60" s="214">
        <v>2026</v>
      </c>
    </row>
    <row r="61" spans="3:31">
      <c r="C61" s="214">
        <v>54</v>
      </c>
      <c r="D61" s="214">
        <v>4</v>
      </c>
      <c r="F61" s="214" t="s">
        <v>2142</v>
      </c>
      <c r="G61" s="215">
        <v>46174</v>
      </c>
      <c r="H61" s="214">
        <v>2</v>
      </c>
      <c r="I61" s="214">
        <v>33</v>
      </c>
      <c r="J61" s="214" t="s">
        <v>1198</v>
      </c>
      <c r="K61" s="68" t="s">
        <v>1199</v>
      </c>
      <c r="L61" s="149">
        <v>2</v>
      </c>
      <c r="M61" s="149">
        <v>0</v>
      </c>
      <c r="N61" s="68" t="s">
        <v>679</v>
      </c>
      <c r="O61" s="214">
        <v>2</v>
      </c>
      <c r="P61" s="214">
        <v>1</v>
      </c>
      <c r="T61" s="216">
        <v>1.75</v>
      </c>
      <c r="U61" s="216">
        <v>1.75</v>
      </c>
      <c r="V61" s="216">
        <v>1.75</v>
      </c>
      <c r="W61" s="216">
        <v>0</v>
      </c>
      <c r="X61" s="216">
        <v>3.5</v>
      </c>
      <c r="AB61" s="214">
        <v>1</v>
      </c>
      <c r="AC61" s="214">
        <v>1</v>
      </c>
      <c r="AD61" s="214">
        <v>6</v>
      </c>
      <c r="AE61" s="214">
        <v>2026</v>
      </c>
    </row>
    <row r="62" spans="3:31">
      <c r="C62" s="214">
        <v>55</v>
      </c>
      <c r="D62" s="214">
        <v>5</v>
      </c>
      <c r="F62" s="214" t="s">
        <v>2158</v>
      </c>
      <c r="G62" s="215">
        <v>46174</v>
      </c>
      <c r="H62" s="214">
        <v>2</v>
      </c>
      <c r="I62" s="214">
        <v>34</v>
      </c>
      <c r="J62" s="214" t="s">
        <v>1193</v>
      </c>
      <c r="K62" s="68" t="s">
        <v>1194</v>
      </c>
      <c r="L62" s="149">
        <v>20</v>
      </c>
      <c r="M62" s="149">
        <v>0</v>
      </c>
      <c r="N62" s="68" t="s">
        <v>679</v>
      </c>
      <c r="O62" s="214">
        <v>2</v>
      </c>
      <c r="P62" s="214">
        <v>1</v>
      </c>
      <c r="T62" s="216">
        <v>0.5</v>
      </c>
      <c r="U62" s="216">
        <v>0.5</v>
      </c>
      <c r="V62" s="216">
        <v>0.5</v>
      </c>
      <c r="W62" s="216">
        <v>0</v>
      </c>
      <c r="X62" s="216">
        <v>10</v>
      </c>
      <c r="AB62" s="214">
        <v>1</v>
      </c>
      <c r="AC62" s="214">
        <v>1</v>
      </c>
      <c r="AD62" s="214">
        <v>6</v>
      </c>
      <c r="AE62" s="214">
        <v>2026</v>
      </c>
    </row>
    <row r="63" spans="3:31">
      <c r="C63" s="214">
        <v>56</v>
      </c>
      <c r="D63" s="214">
        <v>5</v>
      </c>
      <c r="F63" s="214" t="s">
        <v>2158</v>
      </c>
      <c r="G63" s="215">
        <v>46174</v>
      </c>
      <c r="H63" s="214">
        <v>2</v>
      </c>
      <c r="I63" s="214">
        <v>37</v>
      </c>
      <c r="J63" s="214" t="s">
        <v>1515</v>
      </c>
      <c r="K63" s="68" t="s">
        <v>1516</v>
      </c>
      <c r="L63" s="149">
        <v>4</v>
      </c>
      <c r="M63" s="149">
        <v>0</v>
      </c>
      <c r="N63" s="68" t="s">
        <v>679</v>
      </c>
      <c r="O63" s="214">
        <v>2</v>
      </c>
      <c r="P63" s="214">
        <v>1</v>
      </c>
      <c r="T63" s="216">
        <v>0.66</v>
      </c>
      <c r="U63" s="216">
        <v>0.66</v>
      </c>
      <c r="V63" s="216">
        <v>0.66</v>
      </c>
      <c r="W63" s="216">
        <v>0</v>
      </c>
      <c r="X63" s="216">
        <v>2.64</v>
      </c>
      <c r="AB63" s="214">
        <v>1</v>
      </c>
      <c r="AC63" s="214">
        <v>1</v>
      </c>
      <c r="AD63" s="214">
        <v>6</v>
      </c>
      <c r="AE63" s="214">
        <v>2026</v>
      </c>
    </row>
    <row r="64" spans="3:31">
      <c r="C64" s="214">
        <v>57</v>
      </c>
      <c r="D64" s="214">
        <v>5</v>
      </c>
      <c r="F64" s="214" t="s">
        <v>2158</v>
      </c>
      <c r="G64" s="215">
        <v>46174</v>
      </c>
      <c r="H64" s="214">
        <v>2</v>
      </c>
      <c r="I64" s="214">
        <v>38</v>
      </c>
      <c r="J64" s="214" t="s">
        <v>1113</v>
      </c>
      <c r="K64" s="68" t="s">
        <v>1114</v>
      </c>
      <c r="L64" s="149">
        <v>4</v>
      </c>
      <c r="M64" s="149">
        <v>0</v>
      </c>
      <c r="N64" s="68" t="s">
        <v>679</v>
      </c>
      <c r="O64" s="214">
        <v>2</v>
      </c>
      <c r="P64" s="214">
        <v>1</v>
      </c>
      <c r="T64" s="216">
        <v>0.28999999999999998</v>
      </c>
      <c r="U64" s="216">
        <v>0.28999999999999998</v>
      </c>
      <c r="V64" s="216">
        <v>0.28999999999999998</v>
      </c>
      <c r="W64" s="216">
        <v>0</v>
      </c>
      <c r="X64" s="216">
        <v>1.1599999999999999</v>
      </c>
      <c r="AB64" s="214">
        <v>1</v>
      </c>
      <c r="AC64" s="214">
        <v>1</v>
      </c>
      <c r="AD64" s="214">
        <v>6</v>
      </c>
      <c r="AE64" s="214">
        <v>2026</v>
      </c>
    </row>
    <row r="65" spans="3:31">
      <c r="C65" s="214">
        <v>58</v>
      </c>
      <c r="D65" s="214">
        <v>5</v>
      </c>
      <c r="F65" s="214" t="s">
        <v>2158</v>
      </c>
      <c r="G65" s="215">
        <v>46174</v>
      </c>
      <c r="H65" s="214">
        <v>2</v>
      </c>
      <c r="I65" s="214">
        <v>39</v>
      </c>
      <c r="J65" s="214" t="s">
        <v>1144</v>
      </c>
      <c r="K65" s="68" t="s">
        <v>1145</v>
      </c>
      <c r="L65" s="149">
        <v>6</v>
      </c>
      <c r="M65" s="149">
        <v>0</v>
      </c>
      <c r="N65" s="68" t="s">
        <v>679</v>
      </c>
      <c r="O65" s="214">
        <v>2</v>
      </c>
      <c r="P65" s="214">
        <v>1</v>
      </c>
      <c r="T65" s="216">
        <v>0.28999999999999998</v>
      </c>
      <c r="U65" s="216">
        <v>0.28999999999999998</v>
      </c>
      <c r="V65" s="216">
        <v>0.28999999999999998</v>
      </c>
      <c r="W65" s="216">
        <v>0</v>
      </c>
      <c r="X65" s="216">
        <v>1.74</v>
      </c>
      <c r="AB65" s="214">
        <v>1</v>
      </c>
      <c r="AC65" s="214">
        <v>1</v>
      </c>
      <c r="AD65" s="214">
        <v>6</v>
      </c>
      <c r="AE65" s="214">
        <v>2026</v>
      </c>
    </row>
    <row r="66" spans="3:31">
      <c r="C66" s="214">
        <v>59</v>
      </c>
      <c r="D66" s="214">
        <v>5</v>
      </c>
      <c r="F66" s="214" t="s">
        <v>2158</v>
      </c>
      <c r="G66" s="215">
        <v>46174</v>
      </c>
      <c r="H66" s="214">
        <v>2</v>
      </c>
      <c r="I66" s="214">
        <v>40</v>
      </c>
      <c r="J66" s="214" t="s">
        <v>1108</v>
      </c>
      <c r="K66" s="68" t="s">
        <v>1109</v>
      </c>
      <c r="L66" s="149">
        <v>4</v>
      </c>
      <c r="M66" s="149">
        <v>0</v>
      </c>
      <c r="N66" s="68" t="s">
        <v>679</v>
      </c>
      <c r="O66" s="214">
        <v>2</v>
      </c>
      <c r="P66" s="214">
        <v>1</v>
      </c>
      <c r="T66" s="216">
        <v>0.23</v>
      </c>
      <c r="U66" s="216">
        <v>0.23</v>
      </c>
      <c r="V66" s="216">
        <v>0.23</v>
      </c>
      <c r="W66" s="216">
        <v>0</v>
      </c>
      <c r="X66" s="216">
        <v>0.92</v>
      </c>
      <c r="AB66" s="214">
        <v>1</v>
      </c>
      <c r="AC66" s="214">
        <v>1</v>
      </c>
      <c r="AD66" s="214">
        <v>6</v>
      </c>
      <c r="AE66" s="214">
        <v>2026</v>
      </c>
    </row>
    <row r="67" spans="3:31">
      <c r="C67" s="214">
        <v>60</v>
      </c>
      <c r="D67" s="214">
        <v>5</v>
      </c>
      <c r="F67" s="214" t="s">
        <v>2158</v>
      </c>
      <c r="G67" s="215">
        <v>46174</v>
      </c>
      <c r="H67" s="214">
        <v>2</v>
      </c>
      <c r="I67" s="214">
        <v>41</v>
      </c>
      <c r="J67" s="214" t="s">
        <v>808</v>
      </c>
      <c r="K67" s="68" t="s">
        <v>809</v>
      </c>
      <c r="L67" s="149">
        <v>16</v>
      </c>
      <c r="M67" s="149">
        <v>0</v>
      </c>
      <c r="N67" s="68" t="s">
        <v>679</v>
      </c>
      <c r="O67" s="214">
        <v>2</v>
      </c>
      <c r="P67" s="214">
        <v>1</v>
      </c>
      <c r="T67" s="216">
        <v>0.53</v>
      </c>
      <c r="U67" s="216">
        <v>0.53</v>
      </c>
      <c r="V67" s="216">
        <v>0.53</v>
      </c>
      <c r="W67" s="216">
        <v>0</v>
      </c>
      <c r="X67" s="216">
        <v>8.48</v>
      </c>
      <c r="AB67" s="214">
        <v>1</v>
      </c>
      <c r="AC67" s="214">
        <v>1</v>
      </c>
      <c r="AD67" s="214">
        <v>6</v>
      </c>
      <c r="AE67" s="214">
        <v>2026</v>
      </c>
    </row>
    <row r="68" spans="3:31">
      <c r="C68" s="214">
        <v>61</v>
      </c>
      <c r="D68" s="214">
        <v>5</v>
      </c>
      <c r="F68" s="214" t="s">
        <v>2158</v>
      </c>
      <c r="G68" s="215">
        <v>46174</v>
      </c>
      <c r="H68" s="214">
        <v>2</v>
      </c>
      <c r="I68" s="214">
        <v>42</v>
      </c>
      <c r="J68" s="214" t="s">
        <v>975</v>
      </c>
      <c r="K68" s="68" t="s">
        <v>976</v>
      </c>
      <c r="L68" s="149">
        <v>32</v>
      </c>
      <c r="M68" s="149">
        <v>0</v>
      </c>
      <c r="N68" s="68" t="s">
        <v>679</v>
      </c>
      <c r="O68" s="214">
        <v>2</v>
      </c>
      <c r="P68" s="214">
        <v>1</v>
      </c>
      <c r="T68" s="216">
        <v>0.24</v>
      </c>
      <c r="U68" s="216">
        <v>0.24</v>
      </c>
      <c r="V68" s="216">
        <v>0.24</v>
      </c>
      <c r="W68" s="216">
        <v>0</v>
      </c>
      <c r="X68" s="216">
        <v>7.68</v>
      </c>
      <c r="AB68" s="214">
        <v>1</v>
      </c>
      <c r="AC68" s="214">
        <v>1</v>
      </c>
      <c r="AD68" s="214">
        <v>6</v>
      </c>
      <c r="AE68" s="214">
        <v>2026</v>
      </c>
    </row>
    <row r="69" spans="3:31">
      <c r="C69" s="214">
        <v>62</v>
      </c>
      <c r="D69" s="214">
        <v>5</v>
      </c>
      <c r="F69" s="214" t="s">
        <v>2158</v>
      </c>
      <c r="G69" s="215">
        <v>46174</v>
      </c>
      <c r="H69" s="214">
        <v>2</v>
      </c>
      <c r="I69" s="214">
        <v>44</v>
      </c>
      <c r="J69" s="214" t="s">
        <v>1229</v>
      </c>
      <c r="K69" s="68" t="s">
        <v>1230</v>
      </c>
      <c r="L69" s="149">
        <v>8</v>
      </c>
      <c r="M69" s="149">
        <v>0</v>
      </c>
      <c r="N69" s="68" t="s">
        <v>679</v>
      </c>
      <c r="O69" s="214">
        <v>2</v>
      </c>
      <c r="P69" s="214">
        <v>1</v>
      </c>
      <c r="T69" s="216">
        <v>0.22</v>
      </c>
      <c r="U69" s="216">
        <v>0.22</v>
      </c>
      <c r="V69" s="216">
        <v>0.22</v>
      </c>
      <c r="W69" s="216">
        <v>0</v>
      </c>
      <c r="X69" s="216">
        <v>1.76</v>
      </c>
      <c r="AB69" s="214">
        <v>1</v>
      </c>
      <c r="AC69" s="214">
        <v>1</v>
      </c>
      <c r="AD69" s="214">
        <v>6</v>
      </c>
      <c r="AE69" s="214">
        <v>2026</v>
      </c>
    </row>
    <row r="70" spans="3:31">
      <c r="C70" s="214">
        <v>63</v>
      </c>
      <c r="D70" s="214">
        <v>5</v>
      </c>
      <c r="F70" s="214" t="s">
        <v>2158</v>
      </c>
      <c r="G70" s="215">
        <v>46174</v>
      </c>
      <c r="H70" s="214">
        <v>2</v>
      </c>
      <c r="I70" s="214">
        <v>45</v>
      </c>
      <c r="J70" s="214" t="s">
        <v>980</v>
      </c>
      <c r="K70" s="68" t="s">
        <v>981</v>
      </c>
      <c r="L70" s="149">
        <v>30</v>
      </c>
      <c r="M70" s="149">
        <v>0</v>
      </c>
      <c r="N70" s="68" t="s">
        <v>679</v>
      </c>
      <c r="O70" s="214">
        <v>2</v>
      </c>
      <c r="P70" s="214">
        <v>1</v>
      </c>
      <c r="T70" s="216">
        <v>0.34</v>
      </c>
      <c r="U70" s="216">
        <v>0.34</v>
      </c>
      <c r="V70" s="216">
        <v>0.34</v>
      </c>
      <c r="W70" s="216">
        <v>0</v>
      </c>
      <c r="X70" s="216">
        <v>10.199999999999999</v>
      </c>
      <c r="AB70" s="214">
        <v>1</v>
      </c>
      <c r="AC70" s="214">
        <v>1</v>
      </c>
      <c r="AD70" s="214">
        <v>6</v>
      </c>
      <c r="AE70" s="214">
        <v>2026</v>
      </c>
    </row>
    <row r="71" spans="3:31">
      <c r="C71" s="214">
        <v>64</v>
      </c>
      <c r="D71" s="214">
        <v>5</v>
      </c>
      <c r="F71" s="214" t="s">
        <v>2158</v>
      </c>
      <c r="G71" s="215">
        <v>46174</v>
      </c>
      <c r="H71" s="214">
        <v>2</v>
      </c>
      <c r="I71" s="214">
        <v>46</v>
      </c>
      <c r="J71" s="214" t="s">
        <v>647</v>
      </c>
      <c r="K71" s="68" t="s">
        <v>648</v>
      </c>
      <c r="L71" s="149">
        <v>60</v>
      </c>
      <c r="M71" s="149">
        <v>0</v>
      </c>
      <c r="N71" s="68" t="s">
        <v>679</v>
      </c>
      <c r="O71" s="214">
        <v>2</v>
      </c>
      <c r="P71" s="214">
        <v>1</v>
      </c>
      <c r="T71" s="216">
        <v>0.15</v>
      </c>
      <c r="U71" s="216">
        <v>0.15</v>
      </c>
      <c r="V71" s="216">
        <v>0.15</v>
      </c>
      <c r="W71" s="216">
        <v>0</v>
      </c>
      <c r="X71" s="216">
        <v>9</v>
      </c>
      <c r="AB71" s="214">
        <v>1</v>
      </c>
      <c r="AC71" s="214">
        <v>1</v>
      </c>
      <c r="AD71" s="214">
        <v>6</v>
      </c>
      <c r="AE71" s="214">
        <v>2026</v>
      </c>
    </row>
    <row r="72" spans="3:31">
      <c r="C72" s="214">
        <v>65</v>
      </c>
      <c r="D72" s="214">
        <v>5</v>
      </c>
      <c r="F72" s="214" t="s">
        <v>2158</v>
      </c>
      <c r="G72" s="215">
        <v>46174</v>
      </c>
      <c r="H72" s="214">
        <v>2</v>
      </c>
      <c r="I72" s="214">
        <v>48</v>
      </c>
      <c r="J72" s="214" t="s">
        <v>596</v>
      </c>
      <c r="K72" s="68" t="s">
        <v>597</v>
      </c>
      <c r="L72" s="149">
        <v>14</v>
      </c>
      <c r="M72" s="149">
        <v>0</v>
      </c>
      <c r="N72" s="68" t="s">
        <v>679</v>
      </c>
      <c r="O72" s="214">
        <v>2</v>
      </c>
      <c r="P72" s="214">
        <v>1</v>
      </c>
      <c r="T72" s="216">
        <v>0.12</v>
      </c>
      <c r="U72" s="216">
        <v>0.12</v>
      </c>
      <c r="V72" s="216">
        <v>0.12</v>
      </c>
      <c r="W72" s="216">
        <v>0</v>
      </c>
      <c r="X72" s="216">
        <v>1.68</v>
      </c>
      <c r="AB72" s="214">
        <v>1</v>
      </c>
      <c r="AC72" s="214">
        <v>1</v>
      </c>
      <c r="AD72" s="214">
        <v>6</v>
      </c>
      <c r="AE72" s="214">
        <v>2026</v>
      </c>
    </row>
    <row r="73" spans="3:31">
      <c r="C73" s="214">
        <v>66</v>
      </c>
      <c r="D73" s="214">
        <v>5</v>
      </c>
      <c r="F73" s="214" t="s">
        <v>2158</v>
      </c>
      <c r="G73" s="215">
        <v>46174</v>
      </c>
      <c r="H73" s="214">
        <v>2</v>
      </c>
      <c r="I73" s="214">
        <v>49</v>
      </c>
      <c r="J73" s="214" t="s">
        <v>813</v>
      </c>
      <c r="K73" s="68" t="s">
        <v>814</v>
      </c>
      <c r="L73" s="149">
        <v>30</v>
      </c>
      <c r="M73" s="149">
        <v>0</v>
      </c>
      <c r="N73" s="68" t="s">
        <v>679</v>
      </c>
      <c r="O73" s="214">
        <v>2</v>
      </c>
      <c r="P73" s="214">
        <v>1</v>
      </c>
      <c r="T73" s="216">
        <v>0.28000000000000003</v>
      </c>
      <c r="U73" s="216">
        <v>0.28000000000000003</v>
      </c>
      <c r="V73" s="216">
        <v>0.28000000000000003</v>
      </c>
      <c r="W73" s="216">
        <v>0</v>
      </c>
      <c r="X73" s="216">
        <v>8.4</v>
      </c>
      <c r="AB73" s="214">
        <v>1</v>
      </c>
      <c r="AC73" s="214">
        <v>1</v>
      </c>
      <c r="AD73" s="214">
        <v>6</v>
      </c>
      <c r="AE73" s="214">
        <v>2026</v>
      </c>
    </row>
    <row r="74" spans="3:31">
      <c r="C74" s="214">
        <v>67</v>
      </c>
      <c r="D74" s="214">
        <v>5</v>
      </c>
      <c r="F74" s="214" t="s">
        <v>2158</v>
      </c>
      <c r="G74" s="215">
        <v>46174</v>
      </c>
      <c r="H74" s="214">
        <v>2</v>
      </c>
      <c r="I74" s="214">
        <v>50</v>
      </c>
      <c r="J74" s="214" t="s">
        <v>803</v>
      </c>
      <c r="K74" s="68" t="s">
        <v>804</v>
      </c>
      <c r="L74" s="149">
        <v>118</v>
      </c>
      <c r="M74" s="149">
        <v>0</v>
      </c>
      <c r="N74" s="68" t="s">
        <v>679</v>
      </c>
      <c r="O74" s="214">
        <v>2</v>
      </c>
      <c r="P74" s="214">
        <v>1</v>
      </c>
      <c r="T74" s="216">
        <v>0.12</v>
      </c>
      <c r="U74" s="216">
        <v>0.12</v>
      </c>
      <c r="V74" s="216">
        <v>0.12</v>
      </c>
      <c r="W74" s="216">
        <v>0</v>
      </c>
      <c r="X74" s="216">
        <v>14.16</v>
      </c>
      <c r="AB74" s="214">
        <v>1</v>
      </c>
      <c r="AC74" s="214">
        <v>1</v>
      </c>
      <c r="AD74" s="214">
        <v>6</v>
      </c>
      <c r="AE74" s="214">
        <v>2026</v>
      </c>
    </row>
    <row r="75" spans="3:31">
      <c r="C75" s="214">
        <v>68</v>
      </c>
      <c r="D75" s="214">
        <v>5</v>
      </c>
      <c r="F75" s="214" t="s">
        <v>2158</v>
      </c>
      <c r="G75" s="215">
        <v>46174</v>
      </c>
      <c r="H75" s="214">
        <v>2</v>
      </c>
      <c r="I75" s="214">
        <v>51</v>
      </c>
      <c r="J75" s="214" t="s">
        <v>1339</v>
      </c>
      <c r="K75" s="68" t="s">
        <v>1340</v>
      </c>
      <c r="L75" s="149">
        <v>34</v>
      </c>
      <c r="M75" s="149">
        <v>0</v>
      </c>
      <c r="N75" s="68" t="s">
        <v>679</v>
      </c>
      <c r="O75" s="214">
        <v>2</v>
      </c>
      <c r="P75" s="214">
        <v>1</v>
      </c>
      <c r="T75" s="216">
        <v>4.49</v>
      </c>
      <c r="U75" s="216">
        <v>4.49</v>
      </c>
      <c r="V75" s="216">
        <v>4.49</v>
      </c>
      <c r="W75" s="216">
        <v>0</v>
      </c>
      <c r="X75" s="216">
        <v>152.66</v>
      </c>
      <c r="AB75" s="214">
        <v>1</v>
      </c>
      <c r="AC75" s="214">
        <v>1</v>
      </c>
      <c r="AD75" s="214">
        <v>6</v>
      </c>
      <c r="AE75" s="214">
        <v>2026</v>
      </c>
    </row>
    <row r="76" spans="3:31">
      <c r="C76" s="214">
        <v>69</v>
      </c>
      <c r="D76" s="214">
        <v>6</v>
      </c>
      <c r="F76" s="214" t="s">
        <v>2174</v>
      </c>
      <c r="G76" s="215">
        <v>46176</v>
      </c>
      <c r="H76" s="214">
        <v>2</v>
      </c>
      <c r="I76" s="214">
        <v>52</v>
      </c>
      <c r="J76" s="214" t="s">
        <v>933</v>
      </c>
      <c r="K76" s="68" t="s">
        <v>934</v>
      </c>
      <c r="L76" s="149">
        <v>22</v>
      </c>
      <c r="M76" s="149">
        <v>0</v>
      </c>
      <c r="N76" s="68" t="s">
        <v>679</v>
      </c>
      <c r="O76" s="214">
        <v>2</v>
      </c>
      <c r="P76" s="214">
        <v>1</v>
      </c>
      <c r="T76" s="216">
        <v>1.91</v>
      </c>
      <c r="U76" s="216">
        <v>1.91</v>
      </c>
      <c r="V76" s="216">
        <v>1.91</v>
      </c>
      <c r="W76" s="216">
        <v>0</v>
      </c>
      <c r="X76" s="216">
        <v>42.02</v>
      </c>
      <c r="AB76" s="214">
        <v>1</v>
      </c>
      <c r="AC76" s="214">
        <v>1</v>
      </c>
      <c r="AD76" s="214">
        <v>6</v>
      </c>
      <c r="AE76" s="214">
        <v>2026</v>
      </c>
    </row>
    <row r="77" spans="3:31">
      <c r="C77" s="214">
        <v>70</v>
      </c>
      <c r="D77" s="214">
        <v>6</v>
      </c>
      <c r="F77" s="214" t="s">
        <v>2174</v>
      </c>
      <c r="G77" s="215">
        <v>46176</v>
      </c>
      <c r="H77" s="214">
        <v>2</v>
      </c>
      <c r="I77" s="214">
        <v>53</v>
      </c>
      <c r="J77" s="214" t="s">
        <v>1211</v>
      </c>
      <c r="K77" s="68" t="s">
        <v>1212</v>
      </c>
      <c r="L77" s="149">
        <v>4</v>
      </c>
      <c r="M77" s="149">
        <v>0</v>
      </c>
      <c r="N77" s="68" t="s">
        <v>679</v>
      </c>
      <c r="O77" s="214">
        <v>2</v>
      </c>
      <c r="P77" s="214">
        <v>1</v>
      </c>
      <c r="T77" s="216">
        <v>0.95</v>
      </c>
      <c r="U77" s="216">
        <v>0.95</v>
      </c>
      <c r="V77" s="216">
        <v>0.95</v>
      </c>
      <c r="W77" s="216">
        <v>0</v>
      </c>
      <c r="X77" s="216">
        <v>3.8</v>
      </c>
      <c r="AB77" s="214">
        <v>1</v>
      </c>
      <c r="AC77" s="214">
        <v>1</v>
      </c>
      <c r="AD77" s="214">
        <v>6</v>
      </c>
      <c r="AE77" s="214">
        <v>2026</v>
      </c>
    </row>
    <row r="78" spans="3:31">
      <c r="C78" s="214">
        <v>71</v>
      </c>
      <c r="D78" s="214">
        <v>6</v>
      </c>
      <c r="F78" s="214" t="s">
        <v>2174</v>
      </c>
      <c r="G78" s="215">
        <v>46176</v>
      </c>
      <c r="H78" s="214">
        <v>2</v>
      </c>
      <c r="I78" s="214">
        <v>54</v>
      </c>
      <c r="J78" s="214" t="s">
        <v>1743</v>
      </c>
      <c r="K78" s="68" t="s">
        <v>1744</v>
      </c>
      <c r="L78" s="149">
        <v>16</v>
      </c>
      <c r="M78" s="149">
        <v>0</v>
      </c>
      <c r="N78" s="68" t="s">
        <v>679</v>
      </c>
      <c r="O78" s="214">
        <v>2</v>
      </c>
      <c r="P78" s="214">
        <v>1</v>
      </c>
      <c r="T78" s="216">
        <v>2.12</v>
      </c>
      <c r="U78" s="216">
        <v>2.12</v>
      </c>
      <c r="V78" s="216">
        <v>2.12</v>
      </c>
      <c r="W78" s="216">
        <v>0</v>
      </c>
      <c r="X78" s="216">
        <v>33.92</v>
      </c>
      <c r="AB78" s="214">
        <v>1</v>
      </c>
      <c r="AC78" s="214">
        <v>1</v>
      </c>
      <c r="AD78" s="214">
        <v>6</v>
      </c>
      <c r="AE78" s="214">
        <v>2026</v>
      </c>
    </row>
    <row r="79" spans="3:31">
      <c r="C79" s="214">
        <v>72</v>
      </c>
      <c r="D79" s="214">
        <v>6</v>
      </c>
      <c r="F79" s="214" t="s">
        <v>2174</v>
      </c>
      <c r="G79" s="215">
        <v>46176</v>
      </c>
      <c r="H79" s="214">
        <v>2</v>
      </c>
      <c r="I79" s="214">
        <v>56</v>
      </c>
      <c r="J79" s="214" t="s">
        <v>1203</v>
      </c>
      <c r="K79" s="68" t="s">
        <v>1204</v>
      </c>
      <c r="L79" s="149">
        <v>14</v>
      </c>
      <c r="M79" s="149">
        <v>0</v>
      </c>
      <c r="N79" s="68" t="s">
        <v>679</v>
      </c>
      <c r="O79" s="214">
        <v>2</v>
      </c>
      <c r="P79" s="214">
        <v>1</v>
      </c>
      <c r="T79" s="216">
        <v>0.55000000000000004</v>
      </c>
      <c r="U79" s="216">
        <v>0.55000000000000004</v>
      </c>
      <c r="V79" s="216">
        <v>0.55000000000000004</v>
      </c>
      <c r="W79" s="216">
        <v>0</v>
      </c>
      <c r="X79" s="216">
        <v>7.7</v>
      </c>
      <c r="AB79" s="214">
        <v>1</v>
      </c>
      <c r="AC79" s="214">
        <v>1</v>
      </c>
      <c r="AD79" s="214">
        <v>6</v>
      </c>
      <c r="AE79" s="214">
        <v>2026</v>
      </c>
    </row>
    <row r="80" spans="3:31">
      <c r="C80" s="214">
        <v>73</v>
      </c>
      <c r="D80" s="214">
        <v>6</v>
      </c>
      <c r="F80" s="214" t="s">
        <v>2174</v>
      </c>
      <c r="G80" s="215">
        <v>46176</v>
      </c>
      <c r="H80" s="214">
        <v>2</v>
      </c>
      <c r="I80" s="214">
        <v>61</v>
      </c>
      <c r="J80" s="214" t="s">
        <v>1924</v>
      </c>
      <c r="K80" s="68" t="s">
        <v>1925</v>
      </c>
      <c r="L80" s="149">
        <v>2</v>
      </c>
      <c r="M80" s="149">
        <v>0</v>
      </c>
      <c r="N80" s="68" t="s">
        <v>679</v>
      </c>
      <c r="O80" s="214">
        <v>2</v>
      </c>
      <c r="P80" s="214">
        <v>1</v>
      </c>
      <c r="T80" s="216">
        <v>6.41</v>
      </c>
      <c r="U80" s="216">
        <v>6.41</v>
      </c>
      <c r="V80" s="216">
        <v>6.41</v>
      </c>
      <c r="W80" s="216">
        <v>0</v>
      </c>
      <c r="X80" s="216">
        <v>12.82</v>
      </c>
      <c r="AB80" s="214">
        <v>1</v>
      </c>
      <c r="AC80" s="214">
        <v>1</v>
      </c>
      <c r="AD80" s="214">
        <v>6</v>
      </c>
      <c r="AE80" s="214">
        <v>2026</v>
      </c>
    </row>
    <row r="81" spans="3:31">
      <c r="C81" s="214">
        <v>74</v>
      </c>
      <c r="D81" s="214">
        <v>6</v>
      </c>
      <c r="F81" s="214" t="s">
        <v>2174</v>
      </c>
      <c r="G81" s="215">
        <v>46176</v>
      </c>
      <c r="H81" s="214">
        <v>2</v>
      </c>
      <c r="I81" s="214">
        <v>63</v>
      </c>
      <c r="J81" s="214" t="s">
        <v>1037</v>
      </c>
      <c r="K81" s="68" t="s">
        <v>1038</v>
      </c>
      <c r="L81" s="149">
        <v>12</v>
      </c>
      <c r="M81" s="149">
        <v>0</v>
      </c>
      <c r="N81" s="68" t="s">
        <v>679</v>
      </c>
      <c r="O81" s="214">
        <v>2</v>
      </c>
      <c r="P81" s="214">
        <v>1</v>
      </c>
      <c r="T81" s="216">
        <v>4.33</v>
      </c>
      <c r="U81" s="216">
        <v>4.33</v>
      </c>
      <c r="V81" s="216">
        <v>4.33</v>
      </c>
      <c r="W81" s="216">
        <v>0</v>
      </c>
      <c r="X81" s="216">
        <v>51.96</v>
      </c>
      <c r="AB81" s="214">
        <v>1</v>
      </c>
      <c r="AC81" s="214">
        <v>1</v>
      </c>
      <c r="AD81" s="214">
        <v>6</v>
      </c>
      <c r="AE81" s="214">
        <v>2026</v>
      </c>
    </row>
    <row r="82" spans="3:31">
      <c r="C82" s="214">
        <v>75</v>
      </c>
      <c r="D82" s="214">
        <v>6</v>
      </c>
      <c r="F82" s="214" t="s">
        <v>2174</v>
      </c>
      <c r="G82" s="215">
        <v>46176</v>
      </c>
      <c r="H82" s="214">
        <v>2</v>
      </c>
      <c r="I82" s="214">
        <v>64</v>
      </c>
      <c r="J82" s="214" t="s">
        <v>1221</v>
      </c>
      <c r="K82" s="68" t="s">
        <v>1222</v>
      </c>
      <c r="L82" s="149">
        <v>2</v>
      </c>
      <c r="M82" s="149">
        <v>0</v>
      </c>
      <c r="N82" s="68" t="s">
        <v>679</v>
      </c>
      <c r="O82" s="214">
        <v>2</v>
      </c>
      <c r="P82" s="214">
        <v>1</v>
      </c>
      <c r="T82" s="216">
        <v>1.9</v>
      </c>
      <c r="U82" s="216">
        <v>1.9</v>
      </c>
      <c r="V82" s="216">
        <v>1.9</v>
      </c>
      <c r="W82" s="216">
        <v>0</v>
      </c>
      <c r="X82" s="216">
        <v>3.8</v>
      </c>
      <c r="AB82" s="214">
        <v>1</v>
      </c>
      <c r="AC82" s="214">
        <v>1</v>
      </c>
      <c r="AD82" s="214">
        <v>6</v>
      </c>
      <c r="AE82" s="214">
        <v>2026</v>
      </c>
    </row>
    <row r="83" spans="3:31">
      <c r="C83" s="214">
        <v>76</v>
      </c>
      <c r="D83" s="214">
        <v>6</v>
      </c>
      <c r="F83" s="214" t="s">
        <v>2174</v>
      </c>
      <c r="G83" s="215">
        <v>46176</v>
      </c>
      <c r="H83" s="214">
        <v>2</v>
      </c>
      <c r="I83" s="214">
        <v>66</v>
      </c>
      <c r="J83" s="214" t="s">
        <v>1216</v>
      </c>
      <c r="K83" s="68" t="s">
        <v>1217</v>
      </c>
      <c r="L83" s="149">
        <v>12</v>
      </c>
      <c r="M83" s="149">
        <v>0</v>
      </c>
      <c r="N83" s="68" t="s">
        <v>679</v>
      </c>
      <c r="O83" s="214">
        <v>2</v>
      </c>
      <c r="P83" s="214">
        <v>1</v>
      </c>
      <c r="T83" s="216">
        <v>0.41</v>
      </c>
      <c r="U83" s="216">
        <v>0.41</v>
      </c>
      <c r="V83" s="216">
        <v>0.41</v>
      </c>
      <c r="W83" s="216">
        <v>0</v>
      </c>
      <c r="X83" s="216">
        <v>4.92</v>
      </c>
      <c r="AB83" s="214">
        <v>1</v>
      </c>
      <c r="AC83" s="214">
        <v>1</v>
      </c>
      <c r="AD83" s="214">
        <v>6</v>
      </c>
      <c r="AE83" s="214">
        <v>2026</v>
      </c>
    </row>
    <row r="84" spans="3:31">
      <c r="C84" s="214">
        <v>77</v>
      </c>
      <c r="D84" s="214">
        <v>6</v>
      </c>
      <c r="F84" s="214" t="s">
        <v>2174</v>
      </c>
      <c r="G84" s="215">
        <v>46176</v>
      </c>
      <c r="H84" s="214">
        <v>2</v>
      </c>
      <c r="I84" s="214">
        <v>68</v>
      </c>
      <c r="J84" s="214" t="s">
        <v>1242</v>
      </c>
      <c r="K84" s="68" t="s">
        <v>1243</v>
      </c>
      <c r="L84" s="149">
        <v>12</v>
      </c>
      <c r="M84" s="149">
        <v>0</v>
      </c>
      <c r="N84" s="68" t="s">
        <v>679</v>
      </c>
      <c r="O84" s="214">
        <v>2</v>
      </c>
      <c r="P84" s="214">
        <v>1</v>
      </c>
      <c r="T84" s="216">
        <v>0.53</v>
      </c>
      <c r="U84" s="216">
        <v>0.53</v>
      </c>
      <c r="V84" s="216">
        <v>0.53</v>
      </c>
      <c r="W84" s="216">
        <v>0</v>
      </c>
      <c r="X84" s="216">
        <v>6.36</v>
      </c>
      <c r="AB84" s="214">
        <v>1</v>
      </c>
      <c r="AC84" s="214">
        <v>1</v>
      </c>
      <c r="AD84" s="214">
        <v>6</v>
      </c>
      <c r="AE84" s="214">
        <v>2026</v>
      </c>
    </row>
    <row r="85" spans="3:31">
      <c r="C85" s="214">
        <v>78</v>
      </c>
      <c r="D85" s="214">
        <v>6</v>
      </c>
      <c r="F85" s="214" t="s">
        <v>2174</v>
      </c>
      <c r="G85" s="215">
        <v>46176</v>
      </c>
      <c r="H85" s="214">
        <v>2</v>
      </c>
      <c r="I85" s="214">
        <v>69</v>
      </c>
      <c r="J85" s="214" t="s">
        <v>1234</v>
      </c>
      <c r="K85" s="68" t="s">
        <v>1235</v>
      </c>
      <c r="L85" s="149">
        <v>14</v>
      </c>
      <c r="M85" s="149">
        <v>0</v>
      </c>
      <c r="N85" s="68" t="s">
        <v>679</v>
      </c>
      <c r="O85" s="214">
        <v>2</v>
      </c>
      <c r="P85" s="214">
        <v>1</v>
      </c>
      <c r="T85" s="216">
        <v>0.25</v>
      </c>
      <c r="U85" s="216">
        <v>0.25</v>
      </c>
      <c r="V85" s="216">
        <v>0.25</v>
      </c>
      <c r="W85" s="216">
        <v>0</v>
      </c>
      <c r="X85" s="216">
        <v>3.5</v>
      </c>
      <c r="AB85" s="214">
        <v>1</v>
      </c>
      <c r="AC85" s="214">
        <v>1</v>
      </c>
      <c r="AD85" s="214">
        <v>6</v>
      </c>
      <c r="AE85" s="214">
        <v>2026</v>
      </c>
    </row>
    <row r="86" spans="3:31">
      <c r="C86" s="214">
        <v>79</v>
      </c>
      <c r="D86" s="214">
        <v>6</v>
      </c>
      <c r="F86" s="214" t="s">
        <v>2174</v>
      </c>
      <c r="G86" s="215">
        <v>46176</v>
      </c>
      <c r="H86" s="214">
        <v>2</v>
      </c>
      <c r="I86" s="214">
        <v>70</v>
      </c>
      <c r="J86" s="214" t="s">
        <v>906</v>
      </c>
      <c r="K86" s="68" t="s">
        <v>907</v>
      </c>
      <c r="L86" s="149">
        <v>8</v>
      </c>
      <c r="M86" s="149">
        <v>0</v>
      </c>
      <c r="N86" s="68" t="s">
        <v>679</v>
      </c>
      <c r="O86" s="214">
        <v>2</v>
      </c>
      <c r="P86" s="214">
        <v>1</v>
      </c>
      <c r="T86" s="216">
        <v>0.15</v>
      </c>
      <c r="U86" s="216">
        <v>0.15</v>
      </c>
      <c r="V86" s="216">
        <v>0.15</v>
      </c>
      <c r="W86" s="216">
        <v>0</v>
      </c>
      <c r="X86" s="216">
        <v>1.2</v>
      </c>
      <c r="AB86" s="214">
        <v>1</v>
      </c>
      <c r="AC86" s="214">
        <v>1</v>
      </c>
      <c r="AD86" s="214">
        <v>6</v>
      </c>
      <c r="AE86" s="214">
        <v>2026</v>
      </c>
    </row>
    <row r="87" spans="3:31">
      <c r="C87" s="214">
        <v>80</v>
      </c>
      <c r="D87" s="214">
        <v>6</v>
      </c>
      <c r="F87" s="214" t="s">
        <v>2174</v>
      </c>
      <c r="G87" s="215">
        <v>46176</v>
      </c>
      <c r="H87" s="214">
        <v>2</v>
      </c>
      <c r="I87" s="214">
        <v>71</v>
      </c>
      <c r="J87" s="214" t="s">
        <v>2010</v>
      </c>
      <c r="K87" s="68" t="s">
        <v>2011</v>
      </c>
      <c r="L87" s="149">
        <v>4</v>
      </c>
      <c r="M87" s="149">
        <v>0</v>
      </c>
      <c r="N87" s="68" t="s">
        <v>679</v>
      </c>
      <c r="O87" s="214">
        <v>2</v>
      </c>
      <c r="P87" s="214">
        <v>1</v>
      </c>
      <c r="T87" s="216">
        <v>0.11</v>
      </c>
      <c r="U87" s="216">
        <v>0.11</v>
      </c>
      <c r="V87" s="216">
        <v>0.11</v>
      </c>
      <c r="W87" s="216">
        <v>0</v>
      </c>
      <c r="X87" s="216">
        <v>0.44</v>
      </c>
      <c r="AB87" s="214">
        <v>1</v>
      </c>
      <c r="AC87" s="214">
        <v>1</v>
      </c>
      <c r="AD87" s="214">
        <v>6</v>
      </c>
      <c r="AE87" s="214">
        <v>2026</v>
      </c>
    </row>
    <row r="88" spans="3:31">
      <c r="C88" s="214">
        <v>81</v>
      </c>
      <c r="D88" s="214">
        <v>6</v>
      </c>
      <c r="F88" s="214" t="s">
        <v>2174</v>
      </c>
      <c r="G88" s="215">
        <v>46176</v>
      </c>
      <c r="H88" s="214">
        <v>2</v>
      </c>
      <c r="I88" s="214">
        <v>73</v>
      </c>
      <c r="J88" s="214" t="s">
        <v>1303</v>
      </c>
      <c r="K88" s="68" t="s">
        <v>1304</v>
      </c>
      <c r="L88" s="149">
        <v>2</v>
      </c>
      <c r="M88" s="149">
        <v>0</v>
      </c>
      <c r="N88" s="68" t="s">
        <v>679</v>
      </c>
      <c r="O88" s="214">
        <v>2</v>
      </c>
      <c r="P88" s="214">
        <v>1</v>
      </c>
      <c r="T88" s="216">
        <v>0.34</v>
      </c>
      <c r="U88" s="216">
        <v>0.34</v>
      </c>
      <c r="V88" s="216">
        <v>0.34</v>
      </c>
      <c r="W88" s="216">
        <v>0</v>
      </c>
      <c r="X88" s="216">
        <v>0.68</v>
      </c>
      <c r="AB88" s="214">
        <v>1</v>
      </c>
      <c r="AC88" s="214">
        <v>1</v>
      </c>
      <c r="AD88" s="214">
        <v>6</v>
      </c>
      <c r="AE88" s="214">
        <v>2026</v>
      </c>
    </row>
    <row r="89" spans="3:31">
      <c r="C89" s="214">
        <v>82</v>
      </c>
      <c r="D89" s="214">
        <v>6</v>
      </c>
      <c r="F89" s="214" t="s">
        <v>2174</v>
      </c>
      <c r="G89" s="215">
        <v>46176</v>
      </c>
      <c r="H89" s="214">
        <v>2</v>
      </c>
      <c r="I89" s="214">
        <v>74</v>
      </c>
      <c r="J89" s="214" t="s">
        <v>1367</v>
      </c>
      <c r="K89" s="68" t="s">
        <v>1368</v>
      </c>
      <c r="L89" s="149">
        <v>12</v>
      </c>
      <c r="M89" s="149">
        <v>0</v>
      </c>
      <c r="N89" s="68" t="s">
        <v>679</v>
      </c>
      <c r="O89" s="214">
        <v>2</v>
      </c>
      <c r="P89" s="214">
        <v>1</v>
      </c>
      <c r="T89" s="216">
        <v>0.19</v>
      </c>
      <c r="U89" s="216">
        <v>0.19</v>
      </c>
      <c r="V89" s="216">
        <v>0.19</v>
      </c>
      <c r="W89" s="216">
        <v>0</v>
      </c>
      <c r="X89" s="216">
        <v>2.2799999999999998</v>
      </c>
      <c r="AB89" s="214">
        <v>1</v>
      </c>
      <c r="AC89" s="214">
        <v>1</v>
      </c>
      <c r="AD89" s="214">
        <v>6</v>
      </c>
      <c r="AE89" s="214">
        <v>2026</v>
      </c>
    </row>
    <row r="90" spans="3:31">
      <c r="C90" s="214">
        <v>83</v>
      </c>
      <c r="D90" s="214">
        <v>7</v>
      </c>
      <c r="F90" s="214" t="s">
        <v>2190</v>
      </c>
      <c r="G90" s="215">
        <v>46176</v>
      </c>
      <c r="H90" s="214">
        <v>2</v>
      </c>
      <c r="I90" s="214">
        <v>75</v>
      </c>
      <c r="J90" s="214" t="s">
        <v>1381</v>
      </c>
      <c r="K90" s="68" t="s">
        <v>1382</v>
      </c>
      <c r="L90" s="149">
        <v>8</v>
      </c>
      <c r="M90" s="149">
        <v>0</v>
      </c>
      <c r="N90" s="68" t="s">
        <v>679</v>
      </c>
      <c r="O90" s="214">
        <v>2</v>
      </c>
      <c r="P90" s="214">
        <v>1</v>
      </c>
      <c r="T90" s="216">
        <v>0.13</v>
      </c>
      <c r="U90" s="216">
        <v>0.13</v>
      </c>
      <c r="V90" s="216">
        <v>0.13</v>
      </c>
      <c r="W90" s="216">
        <v>0</v>
      </c>
      <c r="X90" s="216">
        <v>1.04</v>
      </c>
      <c r="AB90" s="214">
        <v>1</v>
      </c>
      <c r="AC90" s="214">
        <v>1</v>
      </c>
      <c r="AD90" s="214">
        <v>6</v>
      </c>
      <c r="AE90" s="214">
        <v>2026</v>
      </c>
    </row>
    <row r="91" spans="3:31">
      <c r="C91" s="214">
        <v>84</v>
      </c>
      <c r="D91" s="214">
        <v>7</v>
      </c>
      <c r="F91" s="214" t="s">
        <v>2190</v>
      </c>
      <c r="G91" s="215">
        <v>46176</v>
      </c>
      <c r="H91" s="214">
        <v>2</v>
      </c>
      <c r="I91" s="214">
        <v>76</v>
      </c>
      <c r="J91" s="214" t="s">
        <v>1133</v>
      </c>
      <c r="K91" s="68" t="s">
        <v>1134</v>
      </c>
      <c r="L91" s="149">
        <v>12</v>
      </c>
      <c r="M91" s="149">
        <v>0</v>
      </c>
      <c r="N91" s="68" t="s">
        <v>2193</v>
      </c>
      <c r="O91" s="214">
        <v>52</v>
      </c>
      <c r="P91" s="214">
        <v>1</v>
      </c>
      <c r="T91" s="216">
        <v>1.35</v>
      </c>
      <c r="U91" s="216">
        <v>1.35</v>
      </c>
      <c r="V91" s="216">
        <v>1.35</v>
      </c>
      <c r="W91" s="216">
        <v>0</v>
      </c>
      <c r="X91" s="216">
        <v>16.2</v>
      </c>
      <c r="AB91" s="214">
        <v>1</v>
      </c>
      <c r="AC91" s="214">
        <v>1</v>
      </c>
      <c r="AD91" s="214">
        <v>6</v>
      </c>
      <c r="AE91" s="214">
        <v>2026</v>
      </c>
    </row>
    <row r="92" spans="3:31">
      <c r="C92" s="214">
        <v>85</v>
      </c>
      <c r="D92" s="214">
        <v>7</v>
      </c>
      <c r="F92" s="214" t="s">
        <v>2190</v>
      </c>
      <c r="G92" s="215">
        <v>46176</v>
      </c>
      <c r="H92" s="214">
        <v>2</v>
      </c>
      <c r="I92" s="214">
        <v>77</v>
      </c>
      <c r="J92" s="214" t="s">
        <v>2033</v>
      </c>
      <c r="K92" s="68" t="s">
        <v>2034</v>
      </c>
      <c r="L92" s="149">
        <v>2</v>
      </c>
      <c r="M92" s="149">
        <v>0</v>
      </c>
      <c r="N92" s="68" t="s">
        <v>2195</v>
      </c>
      <c r="O92" s="214">
        <v>45</v>
      </c>
      <c r="P92" s="214">
        <v>1</v>
      </c>
      <c r="T92" s="216">
        <v>8.8000000000000007</v>
      </c>
      <c r="U92" s="216">
        <v>8.8000000000000007</v>
      </c>
      <c r="V92" s="216">
        <v>8.8000000000000007</v>
      </c>
      <c r="W92" s="216">
        <v>0</v>
      </c>
      <c r="X92" s="216">
        <v>17.600000000000001</v>
      </c>
      <c r="AB92" s="214">
        <v>1</v>
      </c>
      <c r="AC92" s="214">
        <v>1</v>
      </c>
      <c r="AD92" s="214">
        <v>6</v>
      </c>
      <c r="AE92" s="214">
        <v>2026</v>
      </c>
    </row>
    <row r="93" spans="3:31">
      <c r="C93" s="214">
        <v>86</v>
      </c>
      <c r="D93" s="214">
        <v>7</v>
      </c>
      <c r="F93" s="214" t="s">
        <v>2190</v>
      </c>
      <c r="G93" s="215">
        <v>46176</v>
      </c>
      <c r="H93" s="214">
        <v>2</v>
      </c>
      <c r="I93" s="214">
        <v>79</v>
      </c>
      <c r="J93" s="214" t="s">
        <v>2027</v>
      </c>
      <c r="K93" s="68" t="s">
        <v>2028</v>
      </c>
      <c r="L93" s="149">
        <v>2</v>
      </c>
      <c r="M93" s="149">
        <v>0</v>
      </c>
      <c r="N93" s="68" t="s">
        <v>2195</v>
      </c>
      <c r="O93" s="214">
        <v>45</v>
      </c>
      <c r="P93" s="214">
        <v>1</v>
      </c>
      <c r="T93" s="216">
        <v>5</v>
      </c>
      <c r="U93" s="216">
        <v>5</v>
      </c>
      <c r="V93" s="216">
        <v>5</v>
      </c>
      <c r="W93" s="216">
        <v>0</v>
      </c>
      <c r="X93" s="216">
        <v>10</v>
      </c>
      <c r="AB93" s="214">
        <v>1</v>
      </c>
      <c r="AC93" s="214">
        <v>1</v>
      </c>
      <c r="AD93" s="214">
        <v>6</v>
      </c>
      <c r="AE93" s="214">
        <v>2026</v>
      </c>
    </row>
    <row r="94" spans="3:31">
      <c r="C94" s="214">
        <v>87</v>
      </c>
      <c r="D94" s="214">
        <v>7</v>
      </c>
      <c r="F94" s="214" t="s">
        <v>2190</v>
      </c>
      <c r="G94" s="215">
        <v>46176</v>
      </c>
      <c r="H94" s="214">
        <v>2</v>
      </c>
      <c r="I94" s="214">
        <v>90</v>
      </c>
      <c r="J94" s="214" t="s">
        <v>1139</v>
      </c>
      <c r="K94" s="68" t="s">
        <v>1140</v>
      </c>
      <c r="L94" s="149">
        <v>16</v>
      </c>
      <c r="M94" s="149">
        <v>0</v>
      </c>
      <c r="N94" s="68" t="s">
        <v>679</v>
      </c>
      <c r="O94" s="214">
        <v>2</v>
      </c>
      <c r="P94" s="214">
        <v>100</v>
      </c>
      <c r="T94" s="216">
        <v>0.18</v>
      </c>
      <c r="U94" s="216">
        <v>0.18</v>
      </c>
      <c r="V94" s="216">
        <v>0.18</v>
      </c>
      <c r="W94" s="216">
        <v>0</v>
      </c>
      <c r="X94" s="216">
        <v>2.88</v>
      </c>
      <c r="AB94" s="214">
        <v>1</v>
      </c>
      <c r="AC94" s="214">
        <v>1</v>
      </c>
      <c r="AD94" s="214">
        <v>6</v>
      </c>
      <c r="AE94" s="214">
        <v>2026</v>
      </c>
    </row>
    <row r="95" spans="3:31">
      <c r="C95" s="214">
        <v>88</v>
      </c>
      <c r="D95" s="214">
        <v>7</v>
      </c>
      <c r="F95" s="214" t="s">
        <v>2190</v>
      </c>
      <c r="G95" s="215">
        <v>46176</v>
      </c>
      <c r="H95" s="214">
        <v>2</v>
      </c>
      <c r="I95" s="214">
        <v>92</v>
      </c>
      <c r="J95" s="214" t="s">
        <v>1313</v>
      </c>
      <c r="K95" s="68" t="s">
        <v>1314</v>
      </c>
      <c r="L95" s="149">
        <v>40</v>
      </c>
      <c r="M95" s="149">
        <v>0</v>
      </c>
      <c r="N95" s="68" t="s">
        <v>2193</v>
      </c>
      <c r="O95" s="214">
        <v>52</v>
      </c>
      <c r="P95" s="214">
        <v>1</v>
      </c>
      <c r="T95" s="216">
        <v>0.78</v>
      </c>
      <c r="U95" s="216">
        <v>0.78</v>
      </c>
      <c r="V95" s="216">
        <v>0.78</v>
      </c>
      <c r="W95" s="216">
        <v>0</v>
      </c>
      <c r="X95" s="216">
        <v>31.2</v>
      </c>
      <c r="AB95" s="214">
        <v>1</v>
      </c>
      <c r="AC95" s="214">
        <v>1</v>
      </c>
      <c r="AD95" s="214">
        <v>6</v>
      </c>
      <c r="AE95" s="214">
        <v>2026</v>
      </c>
    </row>
    <row r="96" spans="3:31">
      <c r="C96" s="214">
        <v>89</v>
      </c>
      <c r="D96" s="214">
        <v>7</v>
      </c>
      <c r="F96" s="214" t="s">
        <v>2190</v>
      </c>
      <c r="G96" s="215">
        <v>46176</v>
      </c>
      <c r="H96" s="214">
        <v>2</v>
      </c>
      <c r="I96" s="214">
        <v>94</v>
      </c>
      <c r="J96" s="214" t="s">
        <v>1323</v>
      </c>
      <c r="K96" s="68" t="s">
        <v>1324</v>
      </c>
      <c r="L96" s="149">
        <v>82</v>
      </c>
      <c r="M96" s="149">
        <v>0</v>
      </c>
      <c r="N96" s="68" t="s">
        <v>679</v>
      </c>
      <c r="O96" s="214">
        <v>2</v>
      </c>
      <c r="P96" s="214">
        <v>180</v>
      </c>
      <c r="T96" s="216">
        <v>0.1</v>
      </c>
      <c r="U96" s="216">
        <v>0.1</v>
      </c>
      <c r="V96" s="216">
        <v>0.1</v>
      </c>
      <c r="W96" s="216">
        <v>0</v>
      </c>
      <c r="X96" s="216">
        <v>8.1999999999999993</v>
      </c>
      <c r="AB96" s="214">
        <v>1</v>
      </c>
      <c r="AC96" s="214">
        <v>1</v>
      </c>
      <c r="AD96" s="214">
        <v>6</v>
      </c>
      <c r="AE96" s="214">
        <v>2026</v>
      </c>
    </row>
    <row r="97" spans="3:31">
      <c r="C97" s="214">
        <v>90</v>
      </c>
      <c r="D97" s="214">
        <v>7</v>
      </c>
      <c r="F97" s="214" t="s">
        <v>2190</v>
      </c>
      <c r="G97" s="215">
        <v>46176</v>
      </c>
      <c r="H97" s="214">
        <v>2</v>
      </c>
      <c r="I97" s="214">
        <v>96</v>
      </c>
      <c r="J97" s="214" t="s">
        <v>632</v>
      </c>
      <c r="K97" s="68" t="s">
        <v>633</v>
      </c>
      <c r="L97" s="149">
        <v>34</v>
      </c>
      <c r="M97" s="149">
        <v>0</v>
      </c>
      <c r="N97" s="68" t="s">
        <v>679</v>
      </c>
      <c r="O97" s="214">
        <v>2</v>
      </c>
      <c r="P97" s="214">
        <v>12</v>
      </c>
      <c r="T97" s="216">
        <v>0.27</v>
      </c>
      <c r="U97" s="216">
        <v>0.27</v>
      </c>
      <c r="V97" s="216">
        <v>0.27</v>
      </c>
      <c r="W97" s="216">
        <v>0</v>
      </c>
      <c r="X97" s="216">
        <v>9.18</v>
      </c>
      <c r="AB97" s="214">
        <v>1</v>
      </c>
      <c r="AC97" s="214">
        <v>1</v>
      </c>
      <c r="AD97" s="214">
        <v>6</v>
      </c>
      <c r="AE97" s="214">
        <v>2026</v>
      </c>
    </row>
    <row r="98" spans="3:31">
      <c r="C98" s="214">
        <v>91</v>
      </c>
      <c r="D98" s="214">
        <v>7</v>
      </c>
      <c r="F98" s="214" t="s">
        <v>2190</v>
      </c>
      <c r="G98" s="215">
        <v>46176</v>
      </c>
      <c r="H98" s="214">
        <v>2</v>
      </c>
      <c r="I98" s="214">
        <v>97</v>
      </c>
      <c r="J98" s="214" t="s">
        <v>637</v>
      </c>
      <c r="K98" s="68" t="s">
        <v>638</v>
      </c>
      <c r="L98" s="149">
        <v>8</v>
      </c>
      <c r="M98" s="149">
        <v>0</v>
      </c>
      <c r="N98" s="68" t="s">
        <v>679</v>
      </c>
      <c r="O98" s="214">
        <v>2</v>
      </c>
      <c r="P98" s="214">
        <v>12</v>
      </c>
      <c r="T98" s="216">
        <v>0.3</v>
      </c>
      <c r="U98" s="216">
        <v>0.3</v>
      </c>
      <c r="V98" s="216">
        <v>0.3</v>
      </c>
      <c r="W98" s="216">
        <v>0</v>
      </c>
      <c r="X98" s="216">
        <v>2.4</v>
      </c>
      <c r="AB98" s="214">
        <v>1</v>
      </c>
      <c r="AC98" s="214">
        <v>1</v>
      </c>
      <c r="AD98" s="214">
        <v>6</v>
      </c>
      <c r="AE98" s="214">
        <v>2026</v>
      </c>
    </row>
    <row r="99" spans="3:31">
      <c r="C99" s="214">
        <v>92</v>
      </c>
      <c r="D99" s="214">
        <v>7</v>
      </c>
      <c r="F99" s="214" t="s">
        <v>2190</v>
      </c>
      <c r="G99" s="215">
        <v>46176</v>
      </c>
      <c r="H99" s="214">
        <v>2</v>
      </c>
      <c r="I99" s="214">
        <v>99</v>
      </c>
      <c r="J99" s="214" t="s">
        <v>883</v>
      </c>
      <c r="K99" s="68" t="s">
        <v>884</v>
      </c>
      <c r="L99" s="149">
        <v>10</v>
      </c>
      <c r="M99" s="149">
        <v>0</v>
      </c>
      <c r="N99" s="68" t="s">
        <v>679</v>
      </c>
      <c r="O99" s="214">
        <v>2</v>
      </c>
      <c r="P99" s="214">
        <v>20</v>
      </c>
      <c r="T99" s="216">
        <v>0.24</v>
      </c>
      <c r="U99" s="216">
        <v>0.24</v>
      </c>
      <c r="V99" s="216">
        <v>0.24</v>
      </c>
      <c r="W99" s="216">
        <v>0</v>
      </c>
      <c r="X99" s="216">
        <v>2.4</v>
      </c>
      <c r="AB99" s="214">
        <v>1</v>
      </c>
      <c r="AC99" s="214">
        <v>1</v>
      </c>
      <c r="AD99" s="214">
        <v>6</v>
      </c>
      <c r="AE99" s="214">
        <v>2026</v>
      </c>
    </row>
    <row r="100" spans="3:31">
      <c r="C100" s="214">
        <v>93</v>
      </c>
      <c r="D100" s="214">
        <v>7</v>
      </c>
      <c r="F100" s="214" t="s">
        <v>2190</v>
      </c>
      <c r="G100" s="215">
        <v>46176</v>
      </c>
      <c r="H100" s="214">
        <v>2</v>
      </c>
      <c r="I100" s="214">
        <v>103</v>
      </c>
      <c r="J100" s="214" t="s">
        <v>1024</v>
      </c>
      <c r="K100" s="68" t="s">
        <v>1025</v>
      </c>
      <c r="L100" s="149">
        <v>6</v>
      </c>
      <c r="M100" s="149">
        <v>0</v>
      </c>
      <c r="N100" s="68" t="s">
        <v>679</v>
      </c>
      <c r="O100" s="214">
        <v>2</v>
      </c>
      <c r="P100" s="214">
        <v>12</v>
      </c>
      <c r="T100" s="216">
        <v>0.75</v>
      </c>
      <c r="U100" s="216">
        <v>0.75</v>
      </c>
      <c r="V100" s="216">
        <v>0.75</v>
      </c>
      <c r="W100" s="216">
        <v>0</v>
      </c>
      <c r="X100" s="216">
        <v>4.5</v>
      </c>
      <c r="AB100" s="214">
        <v>1</v>
      </c>
      <c r="AC100" s="214">
        <v>1</v>
      </c>
      <c r="AD100" s="214">
        <v>6</v>
      </c>
      <c r="AE100" s="214">
        <v>2026</v>
      </c>
    </row>
    <row r="101" spans="3:31">
      <c r="C101" s="214">
        <v>94</v>
      </c>
      <c r="D101" s="214">
        <v>7</v>
      </c>
      <c r="F101" s="214" t="s">
        <v>2190</v>
      </c>
      <c r="G101" s="215">
        <v>46176</v>
      </c>
      <c r="H101" s="214">
        <v>2</v>
      </c>
      <c r="I101" s="214">
        <v>105</v>
      </c>
      <c r="J101" s="214" t="s">
        <v>591</v>
      </c>
      <c r="K101" s="68" t="s">
        <v>592</v>
      </c>
      <c r="L101" s="149">
        <v>4</v>
      </c>
      <c r="M101" s="149">
        <v>0</v>
      </c>
      <c r="N101" s="68" t="s">
        <v>679</v>
      </c>
      <c r="O101" s="214">
        <v>2</v>
      </c>
      <c r="P101" s="214">
        <v>12</v>
      </c>
      <c r="T101" s="216">
        <v>1.1000000000000001</v>
      </c>
      <c r="U101" s="216">
        <v>1.1000000000000001</v>
      </c>
      <c r="V101" s="216">
        <v>1.1000000000000001</v>
      </c>
      <c r="W101" s="216">
        <v>0</v>
      </c>
      <c r="X101" s="216">
        <v>4.4000000000000004</v>
      </c>
      <c r="AB101" s="214">
        <v>1</v>
      </c>
      <c r="AC101" s="214">
        <v>1</v>
      </c>
      <c r="AD101" s="214">
        <v>6</v>
      </c>
      <c r="AE101" s="214">
        <v>2026</v>
      </c>
    </row>
    <row r="102" spans="3:31">
      <c r="C102" s="214">
        <v>95</v>
      </c>
      <c r="D102" s="214">
        <v>7</v>
      </c>
      <c r="F102" s="214" t="s">
        <v>2190</v>
      </c>
      <c r="G102" s="215">
        <v>46176</v>
      </c>
      <c r="H102" s="214">
        <v>2</v>
      </c>
      <c r="I102" s="214">
        <v>108</v>
      </c>
      <c r="J102" s="214" t="s">
        <v>1009</v>
      </c>
      <c r="K102" s="68" t="s">
        <v>1010</v>
      </c>
      <c r="L102" s="149">
        <v>44</v>
      </c>
      <c r="M102" s="149">
        <v>0</v>
      </c>
      <c r="N102" s="68" t="s">
        <v>679</v>
      </c>
      <c r="O102" s="214">
        <v>2</v>
      </c>
      <c r="P102" s="214">
        <v>1</v>
      </c>
      <c r="T102" s="216">
        <v>2.7</v>
      </c>
      <c r="U102" s="216">
        <v>2.7</v>
      </c>
      <c r="V102" s="216">
        <v>2.7</v>
      </c>
      <c r="W102" s="216">
        <v>0</v>
      </c>
      <c r="X102" s="216">
        <v>118.8</v>
      </c>
      <c r="AB102" s="214">
        <v>1</v>
      </c>
      <c r="AC102" s="214">
        <v>1</v>
      </c>
      <c r="AD102" s="214">
        <v>6</v>
      </c>
      <c r="AE102" s="214">
        <v>2026</v>
      </c>
    </row>
    <row r="103" spans="3:31">
      <c r="C103" s="214">
        <v>96</v>
      </c>
      <c r="D103" s="214">
        <v>7</v>
      </c>
      <c r="F103" s="214" t="s">
        <v>2190</v>
      </c>
      <c r="G103" s="215">
        <v>46176</v>
      </c>
      <c r="H103" s="214">
        <v>2</v>
      </c>
      <c r="I103" s="214">
        <v>112</v>
      </c>
      <c r="J103" s="214" t="s">
        <v>2067</v>
      </c>
      <c r="K103" s="68" t="s">
        <v>2068</v>
      </c>
      <c r="L103" s="149">
        <v>2</v>
      </c>
      <c r="M103" s="149">
        <v>0</v>
      </c>
      <c r="N103" s="68" t="s">
        <v>679</v>
      </c>
      <c r="O103" s="214">
        <v>2</v>
      </c>
      <c r="P103" s="214">
        <v>1</v>
      </c>
      <c r="T103" s="216">
        <v>2.6</v>
      </c>
      <c r="U103" s="216">
        <v>2.6</v>
      </c>
      <c r="V103" s="216">
        <v>2.6</v>
      </c>
      <c r="W103" s="216">
        <v>0</v>
      </c>
      <c r="X103" s="216">
        <v>5.2</v>
      </c>
      <c r="AB103" s="214">
        <v>1</v>
      </c>
      <c r="AC103" s="214">
        <v>1</v>
      </c>
      <c r="AD103" s="214">
        <v>6</v>
      </c>
      <c r="AE103" s="214">
        <v>2026</v>
      </c>
    </row>
    <row r="104" spans="3:31">
      <c r="C104" s="214">
        <v>97</v>
      </c>
      <c r="D104" s="214">
        <v>8</v>
      </c>
      <c r="F104" s="214" t="s">
        <v>2208</v>
      </c>
      <c r="G104" s="215">
        <v>46179</v>
      </c>
      <c r="H104" s="214">
        <v>2</v>
      </c>
      <c r="I104" s="214">
        <v>131</v>
      </c>
      <c r="J104" s="214" t="s">
        <v>1155</v>
      </c>
      <c r="K104" s="68" t="s">
        <v>1156</v>
      </c>
      <c r="L104" s="149">
        <v>2</v>
      </c>
      <c r="M104" s="149">
        <v>0</v>
      </c>
      <c r="N104" s="68" t="s">
        <v>679</v>
      </c>
      <c r="O104" s="214">
        <v>2</v>
      </c>
      <c r="P104" s="214">
        <v>1</v>
      </c>
      <c r="T104" s="216">
        <v>0.7</v>
      </c>
      <c r="U104" s="216">
        <v>0.7</v>
      </c>
      <c r="V104" s="216">
        <v>0.7</v>
      </c>
      <c r="W104" s="216">
        <v>0</v>
      </c>
      <c r="X104" s="216">
        <v>1.4</v>
      </c>
      <c r="AB104" s="214">
        <v>1</v>
      </c>
      <c r="AC104" s="214">
        <v>1</v>
      </c>
      <c r="AD104" s="214">
        <v>6</v>
      </c>
      <c r="AE104" s="214">
        <v>2026</v>
      </c>
    </row>
    <row r="105" spans="3:31">
      <c r="C105" s="214">
        <v>98</v>
      </c>
      <c r="D105" s="214">
        <v>8</v>
      </c>
      <c r="F105" s="214" t="s">
        <v>2208</v>
      </c>
      <c r="G105" s="215">
        <v>46179</v>
      </c>
      <c r="H105" s="214">
        <v>2</v>
      </c>
      <c r="I105" s="214">
        <v>136</v>
      </c>
      <c r="J105" s="214" t="s">
        <v>2122</v>
      </c>
      <c r="K105" s="68" t="s">
        <v>2123</v>
      </c>
      <c r="L105" s="149">
        <v>4</v>
      </c>
      <c r="M105" s="149">
        <v>0</v>
      </c>
      <c r="N105" s="68" t="s">
        <v>679</v>
      </c>
      <c r="O105" s="214">
        <v>2</v>
      </c>
      <c r="P105" s="214">
        <v>1</v>
      </c>
      <c r="T105" s="216">
        <v>0.38</v>
      </c>
      <c r="U105" s="216">
        <v>0.38</v>
      </c>
      <c r="V105" s="216">
        <v>0.38</v>
      </c>
      <c r="W105" s="216">
        <v>0</v>
      </c>
      <c r="X105" s="216">
        <v>1.52</v>
      </c>
      <c r="AB105" s="214">
        <v>1</v>
      </c>
      <c r="AC105" s="214">
        <v>1</v>
      </c>
      <c r="AD105" s="214">
        <v>6</v>
      </c>
      <c r="AE105" s="214">
        <v>2026</v>
      </c>
    </row>
    <row r="106" spans="3:31">
      <c r="C106" s="214">
        <v>99</v>
      </c>
      <c r="D106" s="214">
        <v>8</v>
      </c>
      <c r="F106" s="214" t="s">
        <v>2208</v>
      </c>
      <c r="G106" s="215">
        <v>46179</v>
      </c>
      <c r="H106" s="214">
        <v>2</v>
      </c>
      <c r="I106" s="214">
        <v>142</v>
      </c>
      <c r="J106" s="214" t="s">
        <v>798</v>
      </c>
      <c r="K106" s="68" t="s">
        <v>799</v>
      </c>
      <c r="L106" s="149">
        <v>14</v>
      </c>
      <c r="M106" s="149">
        <v>0</v>
      </c>
      <c r="N106" s="68" t="s">
        <v>679</v>
      </c>
      <c r="O106" s="214">
        <v>2</v>
      </c>
      <c r="P106" s="214">
        <v>12</v>
      </c>
      <c r="T106" s="216">
        <v>0.34</v>
      </c>
      <c r="U106" s="216">
        <v>0.34</v>
      </c>
      <c r="V106" s="216">
        <v>0.34</v>
      </c>
      <c r="W106" s="216">
        <v>0</v>
      </c>
      <c r="X106" s="216">
        <v>4.76</v>
      </c>
      <c r="AB106" s="214">
        <v>1</v>
      </c>
      <c r="AC106" s="214">
        <v>1</v>
      </c>
      <c r="AD106" s="214">
        <v>6</v>
      </c>
      <c r="AE106" s="214">
        <v>2026</v>
      </c>
    </row>
    <row r="107" spans="3:31">
      <c r="C107" s="214">
        <v>100</v>
      </c>
      <c r="D107" s="214">
        <v>8</v>
      </c>
      <c r="F107" s="214" t="s">
        <v>2208</v>
      </c>
      <c r="G107" s="215">
        <v>46179</v>
      </c>
      <c r="H107" s="214">
        <v>2</v>
      </c>
      <c r="I107" s="214">
        <v>144</v>
      </c>
      <c r="J107" s="214" t="s">
        <v>996</v>
      </c>
      <c r="K107" s="68" t="s">
        <v>997</v>
      </c>
      <c r="L107" s="149">
        <v>30</v>
      </c>
      <c r="M107" s="149">
        <v>0</v>
      </c>
      <c r="N107" s="68" t="s">
        <v>679</v>
      </c>
      <c r="O107" s="214">
        <v>2</v>
      </c>
      <c r="P107" s="214">
        <v>50</v>
      </c>
      <c r="T107" s="216">
        <v>0.3</v>
      </c>
      <c r="U107" s="216">
        <v>0.3</v>
      </c>
      <c r="V107" s="216">
        <v>0.3</v>
      </c>
      <c r="W107" s="216">
        <v>0</v>
      </c>
      <c r="X107" s="216">
        <v>9</v>
      </c>
      <c r="AB107" s="214">
        <v>1</v>
      </c>
      <c r="AC107" s="214">
        <v>1</v>
      </c>
      <c r="AD107" s="214">
        <v>6</v>
      </c>
      <c r="AE107" s="214">
        <v>2026</v>
      </c>
    </row>
    <row r="108" spans="3:31">
      <c r="C108" s="214">
        <v>101</v>
      </c>
      <c r="D108" s="214">
        <v>8</v>
      </c>
      <c r="F108" s="214" t="s">
        <v>2208</v>
      </c>
      <c r="G108" s="215">
        <v>46179</v>
      </c>
      <c r="H108" s="214">
        <v>2</v>
      </c>
      <c r="I108" s="214">
        <v>145</v>
      </c>
      <c r="J108" s="214" t="s">
        <v>823</v>
      </c>
      <c r="K108" s="68" t="s">
        <v>824</v>
      </c>
      <c r="L108" s="149">
        <v>20</v>
      </c>
      <c r="M108" s="149">
        <v>0</v>
      </c>
      <c r="N108" s="68" t="s">
        <v>679</v>
      </c>
      <c r="O108" s="214">
        <v>2</v>
      </c>
      <c r="P108" s="214">
        <v>12</v>
      </c>
      <c r="T108" s="216">
        <v>0.28999999999999998</v>
      </c>
      <c r="U108" s="216">
        <v>0.28999999999999998</v>
      </c>
      <c r="V108" s="216">
        <v>0.28999999999999998</v>
      </c>
      <c r="W108" s="216">
        <v>0</v>
      </c>
      <c r="X108" s="216">
        <v>5.8</v>
      </c>
      <c r="AB108" s="214">
        <v>1</v>
      </c>
      <c r="AC108" s="214">
        <v>1</v>
      </c>
      <c r="AD108" s="214">
        <v>6</v>
      </c>
      <c r="AE108" s="214">
        <v>2026</v>
      </c>
    </row>
    <row r="109" spans="3:31">
      <c r="C109" s="214">
        <v>102</v>
      </c>
      <c r="D109" s="214">
        <v>8</v>
      </c>
      <c r="F109" s="214" t="s">
        <v>2208</v>
      </c>
      <c r="G109" s="215">
        <v>46179</v>
      </c>
      <c r="H109" s="214">
        <v>2</v>
      </c>
      <c r="I109" s="214">
        <v>146</v>
      </c>
      <c r="J109" s="214" t="s">
        <v>1929</v>
      </c>
      <c r="K109" s="68" t="s">
        <v>1930</v>
      </c>
      <c r="L109" s="149">
        <v>10</v>
      </c>
      <c r="M109" s="149">
        <v>0</v>
      </c>
      <c r="N109" s="68" t="s">
        <v>679</v>
      </c>
      <c r="O109" s="214">
        <v>2</v>
      </c>
      <c r="P109" s="214">
        <v>1</v>
      </c>
      <c r="T109" s="216">
        <v>0.04</v>
      </c>
      <c r="U109" s="216">
        <v>0.04</v>
      </c>
      <c r="V109" s="216">
        <v>0.04</v>
      </c>
      <c r="W109" s="216">
        <v>0</v>
      </c>
      <c r="X109" s="216">
        <v>0.4</v>
      </c>
      <c r="AB109" s="214">
        <v>1</v>
      </c>
      <c r="AC109" s="214">
        <v>1</v>
      </c>
      <c r="AD109" s="214">
        <v>6</v>
      </c>
      <c r="AE109" s="214">
        <v>2026</v>
      </c>
    </row>
    <row r="110" spans="3:31">
      <c r="C110" s="214">
        <v>103</v>
      </c>
      <c r="D110" s="214">
        <v>8</v>
      </c>
      <c r="F110" s="214" t="s">
        <v>2208</v>
      </c>
      <c r="G110" s="215">
        <v>46179</v>
      </c>
      <c r="H110" s="214">
        <v>2</v>
      </c>
      <c r="I110" s="214">
        <v>150</v>
      </c>
      <c r="J110" s="214" t="s">
        <v>1405</v>
      </c>
      <c r="K110" s="68" t="s">
        <v>1406</v>
      </c>
      <c r="L110" s="149">
        <v>88</v>
      </c>
      <c r="M110" s="149">
        <v>0</v>
      </c>
      <c r="N110" s="68" t="s">
        <v>2216</v>
      </c>
      <c r="O110" s="214">
        <v>8</v>
      </c>
      <c r="P110" s="214">
        <v>12</v>
      </c>
      <c r="T110" s="216">
        <v>0.13</v>
      </c>
      <c r="U110" s="216">
        <v>0.13</v>
      </c>
      <c r="V110" s="216">
        <v>0.13</v>
      </c>
      <c r="W110" s="216">
        <v>0</v>
      </c>
      <c r="X110" s="216">
        <v>11.44</v>
      </c>
      <c r="AB110" s="214">
        <v>1</v>
      </c>
      <c r="AC110" s="214">
        <v>1</v>
      </c>
      <c r="AD110" s="214">
        <v>6</v>
      </c>
      <c r="AE110" s="214">
        <v>2026</v>
      </c>
    </row>
    <row r="111" spans="3:31">
      <c r="C111" s="214">
        <v>104</v>
      </c>
      <c r="D111" s="214">
        <v>8</v>
      </c>
      <c r="F111" s="214" t="s">
        <v>2208</v>
      </c>
      <c r="G111" s="215">
        <v>46179</v>
      </c>
      <c r="H111" s="214">
        <v>2</v>
      </c>
      <c r="I111" s="214">
        <v>153</v>
      </c>
      <c r="J111" s="214" t="s">
        <v>554</v>
      </c>
      <c r="K111" s="68" t="s">
        <v>2218</v>
      </c>
      <c r="L111" s="149">
        <v>14</v>
      </c>
      <c r="M111" s="149">
        <v>0</v>
      </c>
      <c r="N111" s="68" t="s">
        <v>679</v>
      </c>
      <c r="O111" s="214">
        <v>2</v>
      </c>
      <c r="P111" s="214">
        <v>12</v>
      </c>
      <c r="T111" s="216">
        <v>3.3</v>
      </c>
      <c r="U111" s="216">
        <v>3.3</v>
      </c>
      <c r="V111" s="216">
        <v>3.3</v>
      </c>
      <c r="W111" s="216">
        <v>0</v>
      </c>
      <c r="X111" s="216">
        <v>46.2</v>
      </c>
      <c r="AB111" s="214">
        <v>1</v>
      </c>
      <c r="AC111" s="214">
        <v>1</v>
      </c>
      <c r="AD111" s="214">
        <v>6</v>
      </c>
      <c r="AE111" s="214">
        <v>2026</v>
      </c>
    </row>
    <row r="112" spans="3:31">
      <c r="C112" s="214">
        <v>105</v>
      </c>
      <c r="D112" s="214">
        <v>8</v>
      </c>
      <c r="F112" s="214" t="s">
        <v>2208</v>
      </c>
      <c r="G112" s="215">
        <v>46179</v>
      </c>
      <c r="H112" s="214">
        <v>2</v>
      </c>
      <c r="I112" s="214">
        <v>156</v>
      </c>
      <c r="J112" s="214" t="s">
        <v>735</v>
      </c>
      <c r="K112" s="68" t="s">
        <v>2220</v>
      </c>
      <c r="L112" s="149">
        <v>4</v>
      </c>
      <c r="M112" s="149">
        <v>0</v>
      </c>
      <c r="N112" s="68" t="s">
        <v>733</v>
      </c>
      <c r="O112" s="214">
        <v>9</v>
      </c>
      <c r="P112" s="214">
        <v>12</v>
      </c>
      <c r="T112" s="216">
        <v>4.41</v>
      </c>
      <c r="U112" s="216">
        <v>4.41</v>
      </c>
      <c r="V112" s="216">
        <v>4.41</v>
      </c>
      <c r="W112" s="216">
        <v>0</v>
      </c>
      <c r="X112" s="216">
        <v>17.64</v>
      </c>
      <c r="AB112" s="214">
        <v>1</v>
      </c>
      <c r="AC112" s="214">
        <v>1</v>
      </c>
      <c r="AD112" s="214">
        <v>6</v>
      </c>
      <c r="AE112" s="214">
        <v>2026</v>
      </c>
    </row>
    <row r="113" spans="3:31">
      <c r="C113" s="214">
        <v>106</v>
      </c>
      <c r="D113" s="214">
        <v>8</v>
      </c>
      <c r="F113" s="214" t="s">
        <v>2208</v>
      </c>
      <c r="G113" s="215">
        <v>46179</v>
      </c>
      <c r="H113" s="214">
        <v>2</v>
      </c>
      <c r="I113" s="214">
        <v>158</v>
      </c>
      <c r="J113" s="214" t="s">
        <v>1702</v>
      </c>
      <c r="K113" s="68" t="s">
        <v>2222</v>
      </c>
      <c r="L113" s="149">
        <v>2</v>
      </c>
      <c r="M113" s="149">
        <v>0</v>
      </c>
      <c r="N113" s="68" t="s">
        <v>743</v>
      </c>
      <c r="O113" s="214">
        <v>27</v>
      </c>
      <c r="P113" s="214">
        <v>1</v>
      </c>
      <c r="T113" s="216">
        <v>53</v>
      </c>
      <c r="U113" s="216">
        <v>53</v>
      </c>
      <c r="V113" s="216">
        <v>53</v>
      </c>
      <c r="W113" s="216">
        <v>0</v>
      </c>
      <c r="X113" s="216">
        <v>106</v>
      </c>
      <c r="AB113" s="214">
        <v>1</v>
      </c>
      <c r="AC113" s="214">
        <v>1</v>
      </c>
      <c r="AD113" s="214">
        <v>6</v>
      </c>
      <c r="AE113" s="214">
        <v>2026</v>
      </c>
    </row>
    <row r="114" spans="3:31">
      <c r="C114" s="214">
        <v>107</v>
      </c>
      <c r="D114" s="214">
        <v>8</v>
      </c>
      <c r="F114" s="214" t="s">
        <v>2208</v>
      </c>
      <c r="G114" s="215">
        <v>46179</v>
      </c>
      <c r="H114" s="214">
        <v>2</v>
      </c>
      <c r="I114" s="214">
        <v>160</v>
      </c>
      <c r="J114" s="214" t="s">
        <v>738</v>
      </c>
      <c r="K114" s="68" t="s">
        <v>2224</v>
      </c>
      <c r="L114" s="149">
        <v>2</v>
      </c>
      <c r="M114" s="149">
        <v>0</v>
      </c>
      <c r="N114" s="68" t="s">
        <v>2225</v>
      </c>
      <c r="O114" s="214">
        <v>42</v>
      </c>
      <c r="P114" s="214">
        <v>1</v>
      </c>
      <c r="T114" s="216">
        <v>47</v>
      </c>
      <c r="U114" s="216">
        <v>47</v>
      </c>
      <c r="V114" s="216">
        <v>47</v>
      </c>
      <c r="W114" s="216">
        <v>0</v>
      </c>
      <c r="X114" s="216">
        <v>94</v>
      </c>
      <c r="AB114" s="214">
        <v>1</v>
      </c>
      <c r="AC114" s="214">
        <v>1</v>
      </c>
      <c r="AD114" s="214">
        <v>6</v>
      </c>
      <c r="AE114" s="214">
        <v>2026</v>
      </c>
    </row>
    <row r="115" spans="3:31">
      <c r="C115" s="214">
        <v>108</v>
      </c>
      <c r="D115" s="214">
        <v>8</v>
      </c>
      <c r="F115" s="214" t="s">
        <v>2208</v>
      </c>
      <c r="G115" s="215">
        <v>46179</v>
      </c>
      <c r="H115" s="214">
        <v>2</v>
      </c>
      <c r="I115" s="214">
        <v>163</v>
      </c>
      <c r="J115" s="214" t="s">
        <v>745</v>
      </c>
      <c r="K115" s="68" t="s">
        <v>2227</v>
      </c>
      <c r="L115" s="149">
        <v>1</v>
      </c>
      <c r="M115" s="149">
        <v>0</v>
      </c>
      <c r="N115" s="68" t="s">
        <v>2225</v>
      </c>
      <c r="O115" s="214">
        <v>42</v>
      </c>
      <c r="P115" s="214">
        <v>1</v>
      </c>
      <c r="T115" s="216">
        <v>51</v>
      </c>
      <c r="U115" s="216">
        <v>51</v>
      </c>
      <c r="V115" s="216">
        <v>51</v>
      </c>
      <c r="W115" s="216">
        <v>0</v>
      </c>
      <c r="X115" s="216">
        <v>51</v>
      </c>
      <c r="AB115" s="214">
        <v>1</v>
      </c>
      <c r="AC115" s="214">
        <v>1</v>
      </c>
      <c r="AD115" s="214">
        <v>6</v>
      </c>
      <c r="AE115" s="214">
        <v>2026</v>
      </c>
    </row>
    <row r="116" spans="3:31">
      <c r="C116" s="214">
        <v>109</v>
      </c>
      <c r="D116" s="214">
        <v>8</v>
      </c>
      <c r="F116" s="214" t="s">
        <v>2208</v>
      </c>
      <c r="G116" s="215">
        <v>46179</v>
      </c>
      <c r="H116" s="214">
        <v>2</v>
      </c>
      <c r="I116" s="214">
        <v>165</v>
      </c>
      <c r="J116" s="214" t="s">
        <v>1708</v>
      </c>
      <c r="K116" s="68" t="s">
        <v>2229</v>
      </c>
      <c r="L116" s="149">
        <v>2</v>
      </c>
      <c r="M116" s="149">
        <v>0</v>
      </c>
      <c r="N116" s="68" t="s">
        <v>733</v>
      </c>
      <c r="O116" s="214">
        <v>9</v>
      </c>
      <c r="P116" s="214">
        <v>4</v>
      </c>
      <c r="T116" s="216">
        <v>20.25</v>
      </c>
      <c r="U116" s="216">
        <v>20.25</v>
      </c>
      <c r="V116" s="216">
        <v>20.25</v>
      </c>
      <c r="W116" s="216">
        <v>0</v>
      </c>
      <c r="X116" s="216">
        <v>40.5</v>
      </c>
      <c r="AB116" s="214">
        <v>1</v>
      </c>
      <c r="AC116" s="214">
        <v>1</v>
      </c>
      <c r="AD116" s="214">
        <v>6</v>
      </c>
      <c r="AE116" s="214">
        <v>2026</v>
      </c>
    </row>
    <row r="117" spans="3:31">
      <c r="C117" s="214">
        <v>110</v>
      </c>
      <c r="D117" s="214">
        <v>8</v>
      </c>
      <c r="F117" s="214" t="s">
        <v>2208</v>
      </c>
      <c r="G117" s="215">
        <v>46179</v>
      </c>
      <c r="H117" s="214">
        <v>2</v>
      </c>
      <c r="I117" s="214">
        <v>167</v>
      </c>
      <c r="J117" s="214" t="s">
        <v>1029</v>
      </c>
      <c r="K117" s="68" t="s">
        <v>1030</v>
      </c>
      <c r="L117" s="149">
        <v>18</v>
      </c>
      <c r="M117" s="149">
        <v>0</v>
      </c>
      <c r="N117" s="68" t="s">
        <v>679</v>
      </c>
      <c r="O117" s="214">
        <v>2</v>
      </c>
      <c r="P117" s="214">
        <v>1</v>
      </c>
      <c r="T117" s="216">
        <v>0.85</v>
      </c>
      <c r="U117" s="216">
        <v>0.85</v>
      </c>
      <c r="V117" s="216">
        <v>0.85</v>
      </c>
      <c r="W117" s="216">
        <v>0</v>
      </c>
      <c r="X117" s="216">
        <v>15.3</v>
      </c>
      <c r="AB117" s="214">
        <v>1</v>
      </c>
      <c r="AC117" s="214">
        <v>1</v>
      </c>
      <c r="AD117" s="214">
        <v>6</v>
      </c>
      <c r="AE117" s="214">
        <v>2026</v>
      </c>
    </row>
    <row r="118" spans="3:31">
      <c r="C118" s="214">
        <v>111</v>
      </c>
      <c r="D118" s="214">
        <v>9</v>
      </c>
      <c r="F118" s="214" t="s">
        <v>2232</v>
      </c>
      <c r="G118" s="215">
        <v>46179</v>
      </c>
      <c r="H118" s="214">
        <v>2</v>
      </c>
      <c r="I118" s="214">
        <v>168</v>
      </c>
      <c r="J118" s="214" t="s">
        <v>2101</v>
      </c>
      <c r="K118" s="68" t="s">
        <v>2102</v>
      </c>
      <c r="L118" s="149">
        <v>4</v>
      </c>
      <c r="M118" s="149">
        <v>0</v>
      </c>
      <c r="N118" s="68" t="s">
        <v>679</v>
      </c>
      <c r="O118" s="214">
        <v>2</v>
      </c>
      <c r="P118" s="214">
        <v>1</v>
      </c>
      <c r="T118" s="216">
        <v>1.2</v>
      </c>
      <c r="U118" s="216">
        <v>1.2</v>
      </c>
      <c r="V118" s="216">
        <v>1.2</v>
      </c>
      <c r="W118" s="216">
        <v>0</v>
      </c>
      <c r="X118" s="216">
        <v>4.8</v>
      </c>
      <c r="AB118" s="214">
        <v>1</v>
      </c>
      <c r="AC118" s="214">
        <v>1</v>
      </c>
      <c r="AD118" s="214">
        <v>6</v>
      </c>
      <c r="AE118" s="214">
        <v>2026</v>
      </c>
    </row>
    <row r="119" spans="3:31">
      <c r="C119" s="214">
        <v>112</v>
      </c>
      <c r="D119" s="214">
        <v>9</v>
      </c>
      <c r="F119" s="214" t="s">
        <v>2232</v>
      </c>
      <c r="G119" s="215">
        <v>46179</v>
      </c>
      <c r="H119" s="214">
        <v>2</v>
      </c>
      <c r="I119" s="214">
        <v>169</v>
      </c>
      <c r="J119" s="214" t="s">
        <v>601</v>
      </c>
      <c r="K119" s="68" t="s">
        <v>602</v>
      </c>
      <c r="L119" s="149">
        <v>32</v>
      </c>
      <c r="M119" s="149">
        <v>0</v>
      </c>
      <c r="N119" s="68" t="s">
        <v>679</v>
      </c>
      <c r="O119" s="214">
        <v>2</v>
      </c>
      <c r="P119" s="214">
        <v>1</v>
      </c>
      <c r="T119" s="216">
        <v>0.5</v>
      </c>
      <c r="U119" s="216">
        <v>0.5</v>
      </c>
      <c r="V119" s="216">
        <v>0.5</v>
      </c>
      <c r="W119" s="216">
        <v>0</v>
      </c>
      <c r="X119" s="216">
        <v>16</v>
      </c>
      <c r="AB119" s="214">
        <v>1</v>
      </c>
      <c r="AC119" s="214">
        <v>1</v>
      </c>
      <c r="AD119" s="214">
        <v>6</v>
      </c>
      <c r="AE119" s="214">
        <v>2026</v>
      </c>
    </row>
    <row r="120" spans="3:31">
      <c r="C120" s="214">
        <v>113</v>
      </c>
      <c r="D120" s="214">
        <v>9</v>
      </c>
      <c r="F120" s="214" t="s">
        <v>2232</v>
      </c>
      <c r="G120" s="215">
        <v>46179</v>
      </c>
      <c r="H120" s="214">
        <v>2</v>
      </c>
      <c r="I120" s="214">
        <v>170</v>
      </c>
      <c r="J120" s="214" t="s">
        <v>1647</v>
      </c>
      <c r="K120" s="68" t="s">
        <v>1648</v>
      </c>
      <c r="L120" s="149">
        <v>20</v>
      </c>
      <c r="M120" s="149">
        <v>0</v>
      </c>
      <c r="N120" s="68" t="s">
        <v>679</v>
      </c>
      <c r="O120" s="214">
        <v>2</v>
      </c>
      <c r="P120" s="214">
        <v>1</v>
      </c>
      <c r="T120" s="216">
        <v>0.4</v>
      </c>
      <c r="U120" s="216">
        <v>0.4</v>
      </c>
      <c r="V120" s="216">
        <v>0.4</v>
      </c>
      <c r="W120" s="216">
        <v>0</v>
      </c>
      <c r="X120" s="216">
        <v>8</v>
      </c>
      <c r="AB120" s="214">
        <v>1</v>
      </c>
      <c r="AC120" s="214">
        <v>1</v>
      </c>
      <c r="AD120" s="214">
        <v>6</v>
      </c>
      <c r="AE120" s="214">
        <v>2026</v>
      </c>
    </row>
    <row r="121" spans="3:31">
      <c r="C121" s="214">
        <v>114</v>
      </c>
      <c r="D121" s="214">
        <v>9</v>
      </c>
      <c r="F121" s="214" t="s">
        <v>2232</v>
      </c>
      <c r="G121" s="215">
        <v>46179</v>
      </c>
      <c r="H121" s="214">
        <v>2</v>
      </c>
      <c r="I121" s="214">
        <v>172</v>
      </c>
      <c r="J121" s="214" t="s">
        <v>2106</v>
      </c>
      <c r="K121" s="68" t="s">
        <v>2107</v>
      </c>
      <c r="L121" s="149">
        <v>4</v>
      </c>
      <c r="M121" s="149">
        <v>0</v>
      </c>
      <c r="N121" s="68" t="s">
        <v>679</v>
      </c>
      <c r="O121" s="214">
        <v>2</v>
      </c>
      <c r="P121" s="214">
        <v>12</v>
      </c>
      <c r="T121" s="216">
        <v>0.1</v>
      </c>
      <c r="U121" s="216">
        <v>0.1</v>
      </c>
      <c r="V121" s="216">
        <v>0.1</v>
      </c>
      <c r="W121" s="216">
        <v>0</v>
      </c>
      <c r="X121" s="216">
        <v>0.4</v>
      </c>
      <c r="AB121" s="214">
        <v>1</v>
      </c>
      <c r="AC121" s="214">
        <v>1</v>
      </c>
      <c r="AD121" s="214">
        <v>6</v>
      </c>
      <c r="AE121" s="214">
        <v>2026</v>
      </c>
    </row>
    <row r="122" spans="3:31">
      <c r="C122" s="214">
        <v>115</v>
      </c>
      <c r="D122" s="214">
        <v>9</v>
      </c>
      <c r="F122" s="214" t="s">
        <v>2232</v>
      </c>
      <c r="G122" s="215">
        <v>46179</v>
      </c>
      <c r="H122" s="214">
        <v>2</v>
      </c>
      <c r="I122" s="214">
        <v>174</v>
      </c>
      <c r="J122" s="214" t="s">
        <v>2096</v>
      </c>
      <c r="K122" s="68" t="s">
        <v>2097</v>
      </c>
      <c r="L122" s="149">
        <v>4</v>
      </c>
      <c r="M122" s="149">
        <v>0</v>
      </c>
      <c r="N122" s="68" t="s">
        <v>679</v>
      </c>
      <c r="O122" s="214">
        <v>2</v>
      </c>
      <c r="P122" s="214">
        <v>12</v>
      </c>
      <c r="T122" s="216">
        <v>0.2</v>
      </c>
      <c r="U122" s="216">
        <v>0.2</v>
      </c>
      <c r="V122" s="216">
        <v>0.2</v>
      </c>
      <c r="W122" s="216">
        <v>0</v>
      </c>
      <c r="X122" s="216">
        <v>0.8</v>
      </c>
      <c r="AB122" s="214">
        <v>1</v>
      </c>
      <c r="AC122" s="214">
        <v>1</v>
      </c>
      <c r="AD122" s="214">
        <v>6</v>
      </c>
      <c r="AE122" s="214">
        <v>2026</v>
      </c>
    </row>
    <row r="123" spans="3:31">
      <c r="C123" s="214">
        <v>116</v>
      </c>
      <c r="D123" s="214">
        <v>9</v>
      </c>
      <c r="F123" s="214" t="s">
        <v>2232</v>
      </c>
      <c r="G123" s="215">
        <v>46179</v>
      </c>
      <c r="H123" s="214">
        <v>2</v>
      </c>
      <c r="I123" s="214">
        <v>181</v>
      </c>
      <c r="J123" s="214" t="s">
        <v>761</v>
      </c>
      <c r="K123" s="68" t="s">
        <v>762</v>
      </c>
      <c r="L123" s="149">
        <v>28</v>
      </c>
      <c r="M123" s="149">
        <v>0</v>
      </c>
      <c r="N123" s="68" t="s">
        <v>763</v>
      </c>
      <c r="O123" s="214">
        <v>54</v>
      </c>
      <c r="P123" s="214">
        <v>1</v>
      </c>
      <c r="T123" s="216">
        <v>1</v>
      </c>
      <c r="U123" s="216">
        <v>1</v>
      </c>
      <c r="V123" s="216">
        <v>1</v>
      </c>
      <c r="W123" s="216">
        <v>0</v>
      </c>
      <c r="X123" s="216">
        <v>28</v>
      </c>
      <c r="AB123" s="214">
        <v>1</v>
      </c>
      <c r="AC123" s="214">
        <v>1</v>
      </c>
      <c r="AD123" s="214">
        <v>6</v>
      </c>
      <c r="AE123" s="214">
        <v>2026</v>
      </c>
    </row>
    <row r="124" spans="3:31">
      <c r="C124" s="214">
        <v>117</v>
      </c>
      <c r="D124" s="214">
        <v>9</v>
      </c>
      <c r="F124" s="214" t="s">
        <v>2232</v>
      </c>
      <c r="G124" s="215">
        <v>46179</v>
      </c>
      <c r="H124" s="214">
        <v>2</v>
      </c>
      <c r="I124" s="214">
        <v>182</v>
      </c>
      <c r="J124" s="214" t="s">
        <v>627</v>
      </c>
      <c r="K124" s="68" t="s">
        <v>628</v>
      </c>
      <c r="L124" s="149">
        <v>22</v>
      </c>
      <c r="M124" s="149">
        <v>0</v>
      </c>
      <c r="N124" s="68" t="s">
        <v>763</v>
      </c>
      <c r="O124" s="214">
        <v>54</v>
      </c>
      <c r="P124" s="214">
        <v>1</v>
      </c>
      <c r="T124" s="216">
        <v>2</v>
      </c>
      <c r="U124" s="216">
        <v>2</v>
      </c>
      <c r="V124" s="216">
        <v>2</v>
      </c>
      <c r="W124" s="216">
        <v>0</v>
      </c>
      <c r="X124" s="216">
        <v>44</v>
      </c>
      <c r="AB124" s="214">
        <v>1</v>
      </c>
      <c r="AC124" s="214">
        <v>1</v>
      </c>
      <c r="AD124" s="214">
        <v>6</v>
      </c>
      <c r="AE124" s="214">
        <v>2026</v>
      </c>
    </row>
    <row r="125" spans="3:31">
      <c r="C125" s="214">
        <v>118</v>
      </c>
      <c r="D125" s="214">
        <v>9</v>
      </c>
      <c r="F125" s="214" t="s">
        <v>2232</v>
      </c>
      <c r="G125" s="215">
        <v>46179</v>
      </c>
      <c r="H125" s="214">
        <v>2</v>
      </c>
      <c r="I125" s="214">
        <v>183</v>
      </c>
      <c r="J125" s="214" t="s">
        <v>766</v>
      </c>
      <c r="K125" s="68" t="s">
        <v>767</v>
      </c>
      <c r="L125" s="149">
        <v>70</v>
      </c>
      <c r="M125" s="149">
        <v>0</v>
      </c>
      <c r="N125" s="68" t="s">
        <v>763</v>
      </c>
      <c r="O125" s="214">
        <v>54</v>
      </c>
      <c r="P125" s="214">
        <v>1</v>
      </c>
      <c r="T125" s="216">
        <v>4</v>
      </c>
      <c r="U125" s="216">
        <v>4</v>
      </c>
      <c r="V125" s="216">
        <v>4</v>
      </c>
      <c r="W125" s="216">
        <v>0</v>
      </c>
      <c r="X125" s="216">
        <v>280</v>
      </c>
      <c r="AB125" s="214">
        <v>1</v>
      </c>
      <c r="AC125" s="214">
        <v>1</v>
      </c>
      <c r="AD125" s="214">
        <v>6</v>
      </c>
      <c r="AE125" s="214">
        <v>2026</v>
      </c>
    </row>
    <row r="126" spans="3:31">
      <c r="C126" s="214">
        <v>119</v>
      </c>
      <c r="D126" s="214">
        <v>9</v>
      </c>
      <c r="F126" s="214" t="s">
        <v>2232</v>
      </c>
      <c r="G126" s="215">
        <v>46179</v>
      </c>
      <c r="H126" s="214">
        <v>2</v>
      </c>
      <c r="I126" s="214">
        <v>184</v>
      </c>
      <c r="J126" s="214" t="s">
        <v>769</v>
      </c>
      <c r="K126" s="68" t="s">
        <v>770</v>
      </c>
      <c r="L126" s="149">
        <v>16</v>
      </c>
      <c r="M126" s="149">
        <v>0</v>
      </c>
      <c r="N126" s="68" t="s">
        <v>763</v>
      </c>
      <c r="O126" s="214">
        <v>54</v>
      </c>
      <c r="P126" s="214">
        <v>1</v>
      </c>
      <c r="T126" s="216">
        <v>6</v>
      </c>
      <c r="U126" s="216">
        <v>6</v>
      </c>
      <c r="V126" s="216">
        <v>6</v>
      </c>
      <c r="W126" s="216">
        <v>0</v>
      </c>
      <c r="X126" s="216">
        <v>96</v>
      </c>
      <c r="AB126" s="214">
        <v>1</v>
      </c>
      <c r="AC126" s="214">
        <v>1</v>
      </c>
      <c r="AD126" s="214">
        <v>6</v>
      </c>
      <c r="AE126" s="214">
        <v>2026</v>
      </c>
    </row>
    <row r="127" spans="3:31">
      <c r="C127" s="214">
        <v>120</v>
      </c>
      <c r="D127" s="214">
        <v>9</v>
      </c>
      <c r="F127" s="214" t="s">
        <v>2232</v>
      </c>
      <c r="G127" s="215">
        <v>46179</v>
      </c>
      <c r="H127" s="214">
        <v>2</v>
      </c>
      <c r="I127" s="214">
        <v>185</v>
      </c>
      <c r="J127" s="214" t="s">
        <v>772</v>
      </c>
      <c r="K127" s="68" t="s">
        <v>773</v>
      </c>
      <c r="L127" s="149">
        <v>2</v>
      </c>
      <c r="M127" s="149">
        <v>0</v>
      </c>
      <c r="N127" s="68" t="s">
        <v>763</v>
      </c>
      <c r="O127" s="214">
        <v>54</v>
      </c>
      <c r="P127" s="214">
        <v>1</v>
      </c>
      <c r="T127" s="216">
        <v>8</v>
      </c>
      <c r="U127" s="216">
        <v>8</v>
      </c>
      <c r="V127" s="216">
        <v>8</v>
      </c>
      <c r="W127" s="216">
        <v>0</v>
      </c>
      <c r="X127" s="216">
        <v>16</v>
      </c>
      <c r="AB127" s="214">
        <v>1</v>
      </c>
      <c r="AC127" s="214">
        <v>1</v>
      </c>
      <c r="AD127" s="214">
        <v>6</v>
      </c>
      <c r="AE127" s="214">
        <v>2026</v>
      </c>
    </row>
    <row r="128" spans="3:31">
      <c r="C128" s="214">
        <v>121</v>
      </c>
      <c r="D128" s="214">
        <v>9</v>
      </c>
      <c r="F128" s="214" t="s">
        <v>2232</v>
      </c>
      <c r="G128" s="215">
        <v>46179</v>
      </c>
      <c r="H128" s="214">
        <v>2</v>
      </c>
      <c r="I128" s="214">
        <v>187</v>
      </c>
      <c r="J128" s="214" t="s">
        <v>576</v>
      </c>
      <c r="K128" s="68" t="s">
        <v>577</v>
      </c>
      <c r="L128" s="149">
        <v>32</v>
      </c>
      <c r="M128" s="149">
        <v>0</v>
      </c>
      <c r="N128" s="68" t="s">
        <v>776</v>
      </c>
      <c r="O128" s="214">
        <v>53</v>
      </c>
      <c r="P128" s="214">
        <v>1</v>
      </c>
      <c r="T128" s="216">
        <v>3.37</v>
      </c>
      <c r="U128" s="216">
        <v>3.37</v>
      </c>
      <c r="V128" s="216">
        <v>3.37</v>
      </c>
      <c r="W128" s="216">
        <v>0</v>
      </c>
      <c r="X128" s="216">
        <v>107.84</v>
      </c>
      <c r="AB128" s="214">
        <v>1</v>
      </c>
      <c r="AC128" s="214">
        <v>1</v>
      </c>
      <c r="AD128" s="214">
        <v>6</v>
      </c>
      <c r="AE128" s="214">
        <v>2026</v>
      </c>
    </row>
    <row r="129" spans="3:31">
      <c r="C129" s="214">
        <v>122</v>
      </c>
      <c r="D129" s="214">
        <v>9</v>
      </c>
      <c r="F129" s="214" t="s">
        <v>2232</v>
      </c>
      <c r="G129" s="215">
        <v>46179</v>
      </c>
      <c r="H129" s="214">
        <v>2</v>
      </c>
      <c r="I129" s="214">
        <v>189</v>
      </c>
      <c r="J129" s="214" t="s">
        <v>778</v>
      </c>
      <c r="K129" s="68" t="s">
        <v>779</v>
      </c>
      <c r="L129" s="149">
        <v>32</v>
      </c>
      <c r="M129" s="149">
        <v>0</v>
      </c>
      <c r="N129" s="68" t="s">
        <v>776</v>
      </c>
      <c r="O129" s="214">
        <v>53</v>
      </c>
      <c r="P129" s="214">
        <v>1</v>
      </c>
      <c r="T129" s="216">
        <v>4.09</v>
      </c>
      <c r="U129" s="216">
        <v>4.09</v>
      </c>
      <c r="V129" s="216">
        <v>4.09</v>
      </c>
      <c r="W129" s="216">
        <v>0</v>
      </c>
      <c r="X129" s="216">
        <v>130.88</v>
      </c>
      <c r="AB129" s="214">
        <v>1</v>
      </c>
      <c r="AC129" s="214">
        <v>1</v>
      </c>
      <c r="AD129" s="214">
        <v>6</v>
      </c>
      <c r="AE129" s="214">
        <v>2026</v>
      </c>
    </row>
    <row r="130" spans="3:31">
      <c r="C130" s="214">
        <v>123</v>
      </c>
      <c r="D130" s="214">
        <v>9</v>
      </c>
      <c r="F130" s="214" t="s">
        <v>2232</v>
      </c>
      <c r="G130" s="215">
        <v>46179</v>
      </c>
      <c r="H130" s="214">
        <v>2</v>
      </c>
      <c r="I130" s="214">
        <v>192</v>
      </c>
      <c r="J130" s="214" t="s">
        <v>570</v>
      </c>
      <c r="K130" s="68" t="s">
        <v>571</v>
      </c>
      <c r="L130" s="149">
        <v>2</v>
      </c>
      <c r="M130" s="149">
        <v>0</v>
      </c>
      <c r="N130" s="68" t="s">
        <v>776</v>
      </c>
      <c r="O130" s="214">
        <v>53</v>
      </c>
      <c r="P130" s="214">
        <v>1</v>
      </c>
      <c r="T130" s="216">
        <v>6.03</v>
      </c>
      <c r="U130" s="216">
        <v>6.03</v>
      </c>
      <c r="V130" s="216">
        <v>6.03</v>
      </c>
      <c r="W130" s="216">
        <v>0</v>
      </c>
      <c r="X130" s="216">
        <v>12.06</v>
      </c>
      <c r="AB130" s="214">
        <v>1</v>
      </c>
      <c r="AC130" s="214">
        <v>1</v>
      </c>
      <c r="AD130" s="214">
        <v>6</v>
      </c>
      <c r="AE130" s="214">
        <v>2026</v>
      </c>
    </row>
    <row r="131" spans="3:31">
      <c r="C131" s="214">
        <v>124</v>
      </c>
      <c r="D131" s="214">
        <v>9</v>
      </c>
      <c r="F131" s="214" t="s">
        <v>2232</v>
      </c>
      <c r="G131" s="215">
        <v>46179</v>
      </c>
      <c r="H131" s="214">
        <v>2</v>
      </c>
      <c r="I131" s="214">
        <v>195</v>
      </c>
      <c r="J131" s="214" t="s">
        <v>608</v>
      </c>
      <c r="K131" s="68" t="s">
        <v>609</v>
      </c>
      <c r="L131" s="149">
        <v>10</v>
      </c>
      <c r="M131" s="149">
        <v>0</v>
      </c>
      <c r="N131" s="68" t="s">
        <v>776</v>
      </c>
      <c r="O131" s="214">
        <v>53</v>
      </c>
      <c r="P131" s="214">
        <v>1</v>
      </c>
      <c r="T131" s="216">
        <v>6.28</v>
      </c>
      <c r="U131" s="216">
        <v>6.28</v>
      </c>
      <c r="V131" s="216">
        <v>6.28</v>
      </c>
      <c r="W131" s="216">
        <v>0</v>
      </c>
      <c r="X131" s="216">
        <v>62.8</v>
      </c>
      <c r="AB131" s="214">
        <v>1</v>
      </c>
      <c r="AC131" s="214">
        <v>1</v>
      </c>
      <c r="AD131" s="214">
        <v>6</v>
      </c>
      <c r="AE131" s="214">
        <v>2026</v>
      </c>
    </row>
    <row r="132" spans="3:31">
      <c r="C132" s="214">
        <v>125</v>
      </c>
      <c r="D132" s="214">
        <v>9</v>
      </c>
      <c r="F132" s="214" t="s">
        <v>2232</v>
      </c>
      <c r="G132" s="215">
        <v>46179</v>
      </c>
      <c r="H132" s="214">
        <v>2</v>
      </c>
      <c r="I132" s="214">
        <v>198</v>
      </c>
      <c r="J132" s="214" t="s">
        <v>1170</v>
      </c>
      <c r="K132" s="68" t="s">
        <v>1171</v>
      </c>
      <c r="L132" s="149">
        <v>8</v>
      </c>
      <c r="M132" s="149">
        <v>0</v>
      </c>
      <c r="N132" s="68" t="s">
        <v>776</v>
      </c>
      <c r="O132" s="214">
        <v>53</v>
      </c>
      <c r="P132" s="214">
        <v>1</v>
      </c>
      <c r="T132" s="216">
        <v>9.48</v>
      </c>
      <c r="U132" s="216">
        <v>9.48</v>
      </c>
      <c r="V132" s="216">
        <v>9.48</v>
      </c>
      <c r="W132" s="216">
        <v>0</v>
      </c>
      <c r="X132" s="216">
        <v>75.84</v>
      </c>
      <c r="AB132" s="214">
        <v>1</v>
      </c>
      <c r="AC132" s="214">
        <v>1</v>
      </c>
      <c r="AD132" s="214">
        <v>6</v>
      </c>
      <c r="AE132" s="214">
        <v>2026</v>
      </c>
    </row>
  </sheetData>
  <autoFilter ref="C7:AH132" xr:uid="{2D9B9AFA-BA8F-4C07-A12D-58813D9627DE}"/>
  <pageMargins left="0.7" right="0.7" top="0.75" bottom="0.75" header="0.3" footer="0.3"/>
  <pageSetup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7">
    <tabColor rgb="FFFFC000"/>
  </sheetPr>
  <dimension ref="A1:AD66"/>
  <sheetViews>
    <sheetView showGridLines="0" topLeftCell="A16" zoomScale="85" zoomScaleNormal="85" zoomScaleSheetLayoutView="55" zoomScalePageLayoutView="70" workbookViewId="0">
      <selection activeCell="C25" sqref="C25:G26"/>
    </sheetView>
  </sheetViews>
  <sheetFormatPr defaultColWidth="8.7109375" defaultRowHeight="23.25"/>
  <cols>
    <col min="1" max="1" width="2.42578125" customWidth="1"/>
    <col min="2" max="2" width="9" customWidth="1"/>
    <col min="3" max="3" width="15.42578125" style="5" customWidth="1"/>
    <col min="4" max="4" width="45.42578125" style="5" customWidth="1"/>
    <col min="5" max="5" width="12.140625" style="2" customWidth="1"/>
    <col min="6" max="6" width="8.7109375" style="1" customWidth="1"/>
    <col min="7" max="7" width="14.42578125" customWidth="1"/>
    <col min="8" max="9" width="19.140625" customWidth="1"/>
    <col min="10" max="10" width="4.42578125" customWidth="1"/>
    <col min="11" max="14" width="3.7109375" customWidth="1"/>
    <col min="15" max="15" width="2.42578125" customWidth="1"/>
    <col min="16" max="24" width="4" customWidth="1"/>
    <col min="25" max="29" width="8.7109375" style="37"/>
  </cols>
  <sheetData>
    <row r="1" spans="1:30" ht="2.85" customHeight="1">
      <c r="AB1" s="37" t="str">
        <f ca="1">MID(K9,1,6)</f>
        <v>(1 )</v>
      </c>
    </row>
    <row r="2" spans="1:30" ht="109.35" customHeight="1" thickBot="1">
      <c r="A2" s="36"/>
      <c r="E2" s="45"/>
      <c r="I2" s="46"/>
      <c r="K2" t="s">
        <v>42</v>
      </c>
      <c r="AB2" s="37" t="str">
        <f ca="1">MID(K9,8,8)</f>
        <v/>
      </c>
      <c r="AD2" s="47"/>
    </row>
    <row r="3" spans="1:30" ht="22.35" customHeight="1" thickBot="1">
      <c r="A3" s="36"/>
      <c r="E3" s="45"/>
      <c r="I3" s="46"/>
      <c r="K3" s="14" t="s">
        <v>43</v>
      </c>
      <c r="L3" s="14">
        <v>0</v>
      </c>
      <c r="M3" s="14">
        <v>0</v>
      </c>
      <c r="N3" s="14">
        <v>9</v>
      </c>
      <c r="O3" s="13" t="s">
        <v>44</v>
      </c>
      <c r="P3" s="14">
        <v>2</v>
      </c>
      <c r="Q3" s="14">
        <v>1</v>
      </c>
      <c r="R3" s="14">
        <v>0</v>
      </c>
      <c r="S3" s="14">
        <v>0</v>
      </c>
      <c r="T3" s="14">
        <v>0</v>
      </c>
      <c r="U3" s="14">
        <v>0</v>
      </c>
      <c r="V3" s="14">
        <v>6</v>
      </c>
      <c r="W3" s="14">
        <v>3</v>
      </c>
      <c r="X3" s="14">
        <v>3</v>
      </c>
      <c r="AB3" s="37" t="str">
        <f>MID(K10,8,8)</f>
        <v/>
      </c>
      <c r="AD3" s="47"/>
    </row>
    <row r="4" spans="1:30" ht="42" customHeight="1" thickBot="1">
      <c r="A4" s="36"/>
      <c r="B4" s="48"/>
      <c r="C4" s="17"/>
      <c r="D4" s="17"/>
      <c r="E4" s="49"/>
      <c r="F4" s="50"/>
      <c r="G4" s="48"/>
      <c r="H4" s="48"/>
      <c r="I4" s="51" t="s">
        <v>45</v>
      </c>
      <c r="P4" s="463"/>
      <c r="Q4" s="463"/>
      <c r="R4" s="463"/>
      <c r="S4" s="463"/>
      <c r="T4" s="463"/>
      <c r="U4" s="463"/>
      <c r="V4" s="463"/>
      <c r="W4" s="463"/>
      <c r="X4" s="463"/>
      <c r="AB4" s="37" t="str">
        <f>MID(K11,8,8)</f>
        <v/>
      </c>
      <c r="AD4" s="47"/>
    </row>
    <row r="5" spans="1:30" ht="11.1" customHeight="1">
      <c r="A5" s="12"/>
      <c r="E5" s="45"/>
      <c r="I5" s="46"/>
      <c r="AB5" s="81" t="str">
        <f>MID(K12,8,8)</f>
        <v>Rate</v>
      </c>
      <c r="AD5" s="47"/>
    </row>
    <row r="6" spans="1:30" ht="50.1" customHeight="1">
      <c r="A6" s="12"/>
      <c r="E6" s="45"/>
      <c r="H6" s="467" t="str">
        <f ca="1">""&amp;I9&amp;""</f>
        <v>STCI21-0001</v>
      </c>
      <c r="I6" s="467"/>
      <c r="AB6" s="37" t="str">
        <f>MID(K13,8,8)</f>
        <v/>
      </c>
      <c r="AD6" s="47"/>
    </row>
    <row r="7" spans="1:30" ht="13.5" customHeight="1">
      <c r="A7" s="12"/>
      <c r="E7" s="45"/>
      <c r="H7" s="467"/>
      <c r="I7" s="467"/>
      <c r="AD7" s="47"/>
    </row>
    <row r="8" spans="1:30" ht="10.35" customHeight="1" thickBot="1">
      <c r="A8" s="12"/>
      <c r="E8" s="45"/>
      <c r="I8" s="46"/>
      <c r="Y8" s="39"/>
    </row>
    <row r="9" spans="1:30" s="52" customFormat="1">
      <c r="A9" s="12"/>
      <c r="B9" s="471"/>
      <c r="C9" s="471"/>
      <c r="E9" s="53"/>
      <c r="F9" s="54"/>
      <c r="H9" s="104" t="s">
        <v>46</v>
      </c>
      <c r="I9" s="472" t="str">
        <f ca="1">"STCI"&amp;RIGHT(YEAR(I11),2)&amp;TEXT(K9,"0000")</f>
        <v>STCI21-0001</v>
      </c>
      <c r="K9" s="81" t="str">
        <f ca="1">MID(MID(CELL("filename",A1),FIND("]",CELL("filename",A1))+1,255),1,40)</f>
        <v>(1 )</v>
      </c>
      <c r="L9"/>
      <c r="M9"/>
      <c r="N9"/>
      <c r="O9"/>
      <c r="Y9" s="37"/>
      <c r="Z9" s="37"/>
      <c r="AA9" s="37"/>
      <c r="AB9" s="37"/>
      <c r="AC9" s="37"/>
    </row>
    <row r="10" spans="1:30" s="52" customFormat="1" ht="21">
      <c r="A10" s="12"/>
      <c r="E10" s="53"/>
      <c r="F10" s="54"/>
      <c r="H10" s="124" t="s">
        <v>47</v>
      </c>
      <c r="I10" s="473"/>
      <c r="M10"/>
      <c r="Y10" s="37"/>
      <c r="Z10" s="37"/>
      <c r="AA10" s="37"/>
      <c r="AB10" s="37"/>
      <c r="AC10" s="37"/>
    </row>
    <row r="11" spans="1:30" s="52" customFormat="1" ht="24" thickBot="1">
      <c r="A11" s="12"/>
      <c r="B11" s="474" t="s">
        <v>48</v>
      </c>
      <c r="C11" s="474"/>
      <c r="E11" s="53"/>
      <c r="F11" s="54"/>
      <c r="H11" s="105" t="s">
        <v>49</v>
      </c>
      <c r="I11" s="80">
        <f>N11</f>
        <v>44308</v>
      </c>
      <c r="K11" s="3" t="s">
        <v>50</v>
      </c>
      <c r="L11" s="82"/>
      <c r="M11" s="82"/>
      <c r="N11" s="468">
        <v>44308</v>
      </c>
      <c r="O11" s="468"/>
      <c r="P11" s="468"/>
      <c r="Q11" s="468"/>
      <c r="U11" s="83"/>
      <c r="Y11" s="37"/>
      <c r="Z11" s="37"/>
      <c r="AA11" s="37"/>
      <c r="AB11" s="37"/>
      <c r="AC11" s="37"/>
    </row>
    <row r="12" spans="1:30" s="52" customFormat="1" ht="21.75" thickBot="1">
      <c r="A12" s="12"/>
      <c r="B12" s="464"/>
      <c r="C12" s="465"/>
      <c r="D12" s="466"/>
      <c r="E12" s="53"/>
      <c r="F12" s="54"/>
      <c r="H12" s="125" t="s">
        <v>50</v>
      </c>
      <c r="I12" s="57"/>
      <c r="K12" t="s">
        <v>51</v>
      </c>
      <c r="N12" s="469">
        <v>4048</v>
      </c>
      <c r="O12" s="469"/>
      <c r="P12" s="469"/>
      <c r="Q12" s="469"/>
      <c r="S12" s="84" t="s">
        <v>52</v>
      </c>
      <c r="T12" s="83"/>
      <c r="U12" s="83"/>
      <c r="Y12" s="37"/>
      <c r="Z12" s="37"/>
      <c r="AA12" s="37"/>
      <c r="AB12" s="37"/>
      <c r="AC12" s="37"/>
    </row>
    <row r="13" spans="1:30" ht="10.35" customHeight="1" thickBot="1">
      <c r="A13" s="5"/>
      <c r="B13" s="5"/>
      <c r="E13" s="5"/>
      <c r="F13" s="5"/>
      <c r="G13" s="5"/>
      <c r="H13" s="5"/>
      <c r="I13" s="5"/>
      <c r="J13" s="5"/>
      <c r="K13" s="5"/>
      <c r="L13" s="2"/>
    </row>
    <row r="14" spans="1:30" ht="24" thickBot="1">
      <c r="A14" s="58">
        <v>-9</v>
      </c>
      <c r="B14" s="59" t="s">
        <v>53</v>
      </c>
      <c r="C14" s="23"/>
      <c r="D14" s="23"/>
      <c r="E14" s="23"/>
      <c r="F14" s="23"/>
      <c r="G14" s="60">
        <v>-3</v>
      </c>
      <c r="H14" s="19"/>
      <c r="I14" s="20"/>
      <c r="J14" s="58"/>
      <c r="L14" s="118"/>
      <c r="M14" s="118"/>
      <c r="N14" s="118"/>
      <c r="P14" s="118" t="s">
        <v>54</v>
      </c>
    </row>
    <row r="15" spans="1:30" ht="26.25" thickBot="1">
      <c r="A15" s="58"/>
      <c r="B15" s="106" t="s">
        <v>55</v>
      </c>
      <c r="C15" s="61"/>
      <c r="D15" s="475"/>
      <c r="E15" s="475"/>
      <c r="F15" s="475"/>
      <c r="G15" s="475"/>
      <c r="H15" s="475"/>
      <c r="I15" s="21"/>
      <c r="J15" s="58"/>
      <c r="K15" s="13"/>
      <c r="L15" s="482" t="e">
        <f>IF(Customer_TIN_Area="","",Customer_TIN_Area)</f>
        <v>#NAME?</v>
      </c>
      <c r="M15" s="483"/>
      <c r="N15" s="483"/>
      <c r="O15" s="483"/>
      <c r="P15" s="483"/>
      <c r="Q15" s="483"/>
      <c r="R15" s="483"/>
      <c r="S15" s="483"/>
      <c r="T15" s="483"/>
      <c r="U15" s="483"/>
      <c r="V15" s="483"/>
      <c r="W15" s="483"/>
      <c r="X15" s="484"/>
    </row>
    <row r="16" spans="1:30">
      <c r="A16" s="58"/>
      <c r="B16" s="18" t="s">
        <v>56</v>
      </c>
      <c r="C16" s="61"/>
      <c r="D16" s="476"/>
      <c r="E16" s="476"/>
      <c r="F16" s="476"/>
      <c r="G16" s="476"/>
      <c r="H16" s="476"/>
      <c r="I16" s="21"/>
      <c r="J16" s="62" t="s">
        <v>57</v>
      </c>
      <c r="K16" s="63" t="s">
        <v>58</v>
      </c>
      <c r="L16" s="37" t="s">
        <v>59</v>
      </c>
      <c r="M16" s="37" t="s">
        <v>59</v>
      </c>
      <c r="N16" s="37" t="s">
        <v>59</v>
      </c>
      <c r="O16" s="37"/>
      <c r="P16" s="37" t="s">
        <v>59</v>
      </c>
      <c r="Q16" s="37" t="s">
        <v>59</v>
      </c>
      <c r="R16" s="37" t="s">
        <v>59</v>
      </c>
      <c r="S16" s="37" t="s">
        <v>59</v>
      </c>
      <c r="T16" s="37" t="s">
        <v>59</v>
      </c>
      <c r="U16" s="37" t="s">
        <v>59</v>
      </c>
      <c r="V16" s="37" t="s">
        <v>59</v>
      </c>
      <c r="W16" s="37" t="s">
        <v>59</v>
      </c>
      <c r="X16" s="37" t="s">
        <v>59</v>
      </c>
    </row>
    <row r="17" spans="1:29">
      <c r="A17" s="58"/>
      <c r="B17" s="107" t="s">
        <v>60</v>
      </c>
      <c r="C17" s="61"/>
      <c r="D17" s="477"/>
      <c r="E17" s="478"/>
      <c r="F17" s="478"/>
      <c r="G17" s="478"/>
      <c r="H17" s="478"/>
      <c r="I17" s="21"/>
      <c r="J17" s="58"/>
      <c r="L17" s="37"/>
      <c r="M17" s="37"/>
      <c r="O17" s="38" t="s">
        <v>61</v>
      </c>
      <c r="P17" s="485"/>
      <c r="Q17" s="485"/>
      <c r="R17" s="485"/>
      <c r="S17" s="485"/>
      <c r="T17" s="485"/>
      <c r="U17" s="485"/>
      <c r="V17" s="485"/>
      <c r="W17" s="485"/>
      <c r="X17" s="485"/>
    </row>
    <row r="18" spans="1:29">
      <c r="A18" s="58"/>
      <c r="B18" s="18" t="s">
        <v>62</v>
      </c>
      <c r="C18" s="61"/>
      <c r="D18" s="479"/>
      <c r="E18" s="479"/>
      <c r="F18" s="479"/>
      <c r="G18" s="479"/>
      <c r="H18" s="479"/>
      <c r="I18" s="21"/>
      <c r="J18" s="58"/>
      <c r="K18" s="58"/>
    </row>
    <row r="19" spans="1:29">
      <c r="A19" s="5"/>
      <c r="B19" s="107" t="s">
        <v>63</v>
      </c>
      <c r="D19" s="44"/>
      <c r="E19" s="108" t="s">
        <v>64</v>
      </c>
      <c r="F19" s="480"/>
      <c r="G19" s="478"/>
      <c r="H19" s="478"/>
      <c r="I19" s="21"/>
      <c r="J19" s="5"/>
      <c r="K19" s="5"/>
    </row>
    <row r="20" spans="1:29">
      <c r="A20" s="5"/>
      <c r="B20" s="25" t="s">
        <v>65</v>
      </c>
      <c r="D20" s="26"/>
      <c r="E20" s="35" t="s">
        <v>66</v>
      </c>
      <c r="F20" s="480"/>
      <c r="G20" s="478"/>
      <c r="H20" s="478"/>
      <c r="I20" s="16"/>
      <c r="J20" s="5"/>
      <c r="K20" s="5"/>
    </row>
    <row r="21" spans="1:29" ht="32.85" customHeight="1" thickBot="1">
      <c r="A21" s="5"/>
      <c r="B21" s="501" t="s">
        <v>67</v>
      </c>
      <c r="C21" s="502"/>
      <c r="D21" s="481" t="e">
        <f>L15</f>
        <v>#NAME?</v>
      </c>
      <c r="E21" s="481"/>
      <c r="F21" s="481"/>
      <c r="G21" s="17"/>
      <c r="H21" s="7"/>
      <c r="I21" s="15"/>
      <c r="J21" s="5"/>
    </row>
    <row r="22" spans="1:29" s="4" customFormat="1" ht="10.35" customHeight="1" thickBot="1">
      <c r="A22"/>
      <c r="C22" s="64"/>
      <c r="D22" s="65"/>
      <c r="E22" s="66"/>
      <c r="F22" s="67"/>
      <c r="H22" s="68"/>
      <c r="I22" s="69"/>
      <c r="M22"/>
      <c r="N22"/>
      <c r="O22"/>
      <c r="P22"/>
      <c r="Q22"/>
      <c r="R22"/>
      <c r="S22"/>
      <c r="Y22" s="40"/>
      <c r="Z22" s="40"/>
      <c r="AA22" s="40"/>
      <c r="AB22" s="40"/>
      <c r="AC22" s="40"/>
    </row>
    <row r="23" spans="1:29" s="3" customFormat="1">
      <c r="B23" s="109" t="s">
        <v>10</v>
      </c>
      <c r="C23" s="110" t="s">
        <v>68</v>
      </c>
      <c r="D23" s="111"/>
      <c r="E23" s="112" t="s">
        <v>69</v>
      </c>
      <c r="F23" s="109" t="s">
        <v>70</v>
      </c>
      <c r="G23" s="109" t="s">
        <v>39</v>
      </c>
      <c r="H23" s="113" t="s">
        <v>71</v>
      </c>
      <c r="I23" s="109" t="s">
        <v>71</v>
      </c>
      <c r="M23"/>
      <c r="N23"/>
      <c r="O23"/>
      <c r="P23"/>
      <c r="Q23"/>
      <c r="R23"/>
      <c r="S23"/>
      <c r="Y23" s="41"/>
      <c r="Z23" s="41"/>
      <c r="AA23" s="41"/>
      <c r="AB23" s="41"/>
      <c r="AC23" s="41"/>
    </row>
    <row r="24" spans="1:29" ht="30">
      <c r="B24" s="70" t="s">
        <v>20</v>
      </c>
      <c r="C24" s="27" t="s">
        <v>27</v>
      </c>
      <c r="D24" s="94"/>
      <c r="E24" s="28" t="s">
        <v>5</v>
      </c>
      <c r="F24" s="29" t="s">
        <v>18</v>
      </c>
      <c r="G24" s="30" t="s">
        <v>72</v>
      </c>
      <c r="H24" s="31" t="s">
        <v>73</v>
      </c>
      <c r="I24" s="31" t="s">
        <v>74</v>
      </c>
    </row>
    <row r="25" spans="1:29" s="34" customFormat="1">
      <c r="B25" s="95">
        <f>IF(C25="","",1)</f>
        <v>1</v>
      </c>
      <c r="C25" s="470" t="s">
        <v>75</v>
      </c>
      <c r="D25" s="470"/>
      <c r="E25" s="85"/>
      <c r="F25" s="86"/>
      <c r="G25" s="87"/>
      <c r="H25" s="88">
        <f>(G25*10%)+G25</f>
        <v>0</v>
      </c>
      <c r="I25" s="119">
        <f>IF(H25="","",H25*$D$38)</f>
        <v>0</v>
      </c>
      <c r="Y25" s="42"/>
      <c r="Z25" s="42"/>
      <c r="AA25" s="42"/>
      <c r="AB25" s="42"/>
      <c r="AC25" s="42"/>
    </row>
    <row r="26" spans="1:29" s="34" customFormat="1">
      <c r="B26" s="95">
        <f>IF(C26="","",B25+1)</f>
        <v>2</v>
      </c>
      <c r="C26" s="503" t="s">
        <v>76</v>
      </c>
      <c r="D26" s="503"/>
      <c r="E26" s="85" t="s">
        <v>77</v>
      </c>
      <c r="F26" s="86">
        <v>4</v>
      </c>
      <c r="G26" s="89">
        <v>12</v>
      </c>
      <c r="H26" s="88">
        <f>(G26*F26*10%)+G26*F26</f>
        <v>52.8</v>
      </c>
      <c r="I26" s="96">
        <f t="shared" ref="I26:I36" si="0">IF(H26="","",H26*$D$38)</f>
        <v>213734.39999999999</v>
      </c>
      <c r="Y26" s="42"/>
      <c r="Z26" s="42"/>
      <c r="AA26" s="42"/>
      <c r="AB26" s="42"/>
      <c r="AC26" s="42"/>
    </row>
    <row r="27" spans="1:29" s="34" customFormat="1">
      <c r="B27" s="95" t="str">
        <f>IF(C27="","",B26+1)</f>
        <v/>
      </c>
      <c r="C27" s="504"/>
      <c r="D27" s="504"/>
      <c r="E27" s="85"/>
      <c r="F27" s="86"/>
      <c r="G27" s="89"/>
      <c r="H27" s="88">
        <f t="shared" ref="H27:H35" si="1">(G27*F27*10%)+G27*F27</f>
        <v>0</v>
      </c>
      <c r="I27" s="96">
        <f t="shared" si="0"/>
        <v>0</v>
      </c>
      <c r="Y27" s="42"/>
      <c r="Z27" s="42"/>
      <c r="AA27" s="42"/>
      <c r="AB27" s="42"/>
      <c r="AC27" s="42"/>
    </row>
    <row r="28" spans="1:29" s="34" customFormat="1">
      <c r="B28" s="95" t="str">
        <f>IF(C28="","",B27+1)</f>
        <v/>
      </c>
      <c r="C28" s="504"/>
      <c r="D28" s="504"/>
      <c r="E28" s="85"/>
      <c r="F28" s="86"/>
      <c r="G28" s="89"/>
      <c r="H28" s="88">
        <f t="shared" si="1"/>
        <v>0</v>
      </c>
      <c r="I28" s="96">
        <f t="shared" si="0"/>
        <v>0</v>
      </c>
      <c r="Y28" s="42"/>
      <c r="Z28" s="42"/>
      <c r="AA28" s="42"/>
      <c r="AB28" s="42"/>
      <c r="AC28" s="42"/>
    </row>
    <row r="29" spans="1:29" s="34" customFormat="1">
      <c r="B29" s="95" t="str">
        <f t="shared" ref="B29:B36" si="2">IF(C29="","",B28+1)</f>
        <v/>
      </c>
      <c r="C29" s="504"/>
      <c r="D29" s="504"/>
      <c r="E29" s="85"/>
      <c r="F29" s="86"/>
      <c r="G29" s="89"/>
      <c r="H29" s="88">
        <f t="shared" si="1"/>
        <v>0</v>
      </c>
      <c r="I29" s="96">
        <f t="shared" si="0"/>
        <v>0</v>
      </c>
      <c r="Y29" s="42"/>
      <c r="Z29" s="42"/>
      <c r="AA29" s="42"/>
      <c r="AB29" s="42"/>
      <c r="AC29" s="42"/>
    </row>
    <row r="30" spans="1:29" s="34" customFormat="1">
      <c r="B30" s="95" t="str">
        <f t="shared" si="2"/>
        <v/>
      </c>
      <c r="C30" s="493"/>
      <c r="D30" s="493"/>
      <c r="E30" s="90"/>
      <c r="F30" s="91"/>
      <c r="G30" s="92"/>
      <c r="H30" s="88">
        <f t="shared" si="1"/>
        <v>0</v>
      </c>
      <c r="I30" s="97">
        <f t="shared" si="0"/>
        <v>0</v>
      </c>
      <c r="Y30" s="42"/>
      <c r="Z30" s="42"/>
      <c r="AA30" s="42"/>
      <c r="AB30" s="42"/>
      <c r="AC30" s="42"/>
    </row>
    <row r="31" spans="1:29" s="34" customFormat="1">
      <c r="B31" s="95" t="str">
        <f t="shared" si="2"/>
        <v/>
      </c>
      <c r="C31" s="493"/>
      <c r="D31" s="493"/>
      <c r="E31" s="93"/>
      <c r="F31" s="91"/>
      <c r="G31" s="92"/>
      <c r="H31" s="88">
        <f t="shared" si="1"/>
        <v>0</v>
      </c>
      <c r="I31" s="97">
        <f t="shared" si="0"/>
        <v>0</v>
      </c>
      <c r="Y31" s="42"/>
      <c r="Z31" s="42"/>
      <c r="AA31" s="42"/>
      <c r="AB31" s="42"/>
      <c r="AC31" s="42"/>
    </row>
    <row r="32" spans="1:29" s="34" customFormat="1">
      <c r="B32" s="95" t="str">
        <f t="shared" si="2"/>
        <v/>
      </c>
      <c r="C32" s="493"/>
      <c r="D32" s="493"/>
      <c r="E32" s="93"/>
      <c r="F32" s="91"/>
      <c r="G32" s="92"/>
      <c r="H32" s="88">
        <f t="shared" si="1"/>
        <v>0</v>
      </c>
      <c r="I32" s="97">
        <f t="shared" si="0"/>
        <v>0</v>
      </c>
      <c r="Y32" s="42"/>
      <c r="Z32" s="42"/>
      <c r="AA32" s="42"/>
      <c r="AB32" s="42"/>
      <c r="AC32" s="42"/>
    </row>
    <row r="33" spans="2:29" s="34" customFormat="1">
      <c r="B33" s="95" t="str">
        <f t="shared" si="2"/>
        <v/>
      </c>
      <c r="C33" s="493"/>
      <c r="D33" s="493"/>
      <c r="E33" s="93"/>
      <c r="F33" s="91"/>
      <c r="G33" s="92"/>
      <c r="H33" s="88">
        <f t="shared" si="1"/>
        <v>0</v>
      </c>
      <c r="I33" s="97">
        <f t="shared" si="0"/>
        <v>0</v>
      </c>
      <c r="Y33" s="42"/>
      <c r="Z33" s="42"/>
      <c r="AA33" s="42"/>
      <c r="AB33" s="42"/>
      <c r="AC33" s="42"/>
    </row>
    <row r="34" spans="2:29" s="34" customFormat="1">
      <c r="B34" s="95" t="str">
        <f t="shared" si="2"/>
        <v/>
      </c>
      <c r="C34" s="493"/>
      <c r="D34" s="493"/>
      <c r="E34" s="93"/>
      <c r="F34" s="91"/>
      <c r="G34" s="92"/>
      <c r="H34" s="88">
        <f t="shared" si="1"/>
        <v>0</v>
      </c>
      <c r="I34" s="97">
        <f t="shared" si="0"/>
        <v>0</v>
      </c>
      <c r="Y34" s="42"/>
      <c r="Z34" s="42"/>
      <c r="AA34" s="42"/>
      <c r="AB34" s="42"/>
      <c r="AC34" s="42"/>
    </row>
    <row r="35" spans="2:29" s="34" customFormat="1">
      <c r="B35" s="95" t="str">
        <f t="shared" si="2"/>
        <v/>
      </c>
      <c r="C35" s="493"/>
      <c r="D35" s="493"/>
      <c r="E35" s="93"/>
      <c r="F35" s="91"/>
      <c r="G35" s="92"/>
      <c r="H35" s="88">
        <f t="shared" si="1"/>
        <v>0</v>
      </c>
      <c r="I35" s="97">
        <f t="shared" si="0"/>
        <v>0</v>
      </c>
      <c r="Y35" s="42"/>
      <c r="Z35" s="42"/>
      <c r="AA35" s="42"/>
      <c r="AB35" s="42"/>
      <c r="AC35" s="42"/>
    </row>
    <row r="36" spans="2:29" s="34" customFormat="1" ht="6.6" customHeight="1" thickBot="1">
      <c r="B36" s="98" t="str">
        <f t="shared" si="2"/>
        <v/>
      </c>
      <c r="C36" s="498"/>
      <c r="D36" s="498"/>
      <c r="E36" s="99"/>
      <c r="F36" s="100"/>
      <c r="G36" s="101"/>
      <c r="H36" s="102" t="str">
        <f>IF(G36="","",F36*G36)</f>
        <v/>
      </c>
      <c r="I36" s="103" t="str">
        <f t="shared" si="0"/>
        <v/>
      </c>
      <c r="Y36" s="42"/>
      <c r="Z36" s="42"/>
      <c r="AA36" s="42"/>
      <c r="AB36" s="42"/>
      <c r="AC36" s="42"/>
    </row>
    <row r="37" spans="2:29">
      <c r="B37" s="499" t="s">
        <v>78</v>
      </c>
      <c r="C37" s="500"/>
      <c r="D37" s="71" t="str">
        <f>SpellNumber(H37)</f>
        <v>Fifty Two US Dollars and Eighty  Cents</v>
      </c>
      <c r="E37" s="22"/>
      <c r="F37" s="19"/>
      <c r="G37" s="114" t="s">
        <v>79</v>
      </c>
      <c r="H37" s="494">
        <f>SUM(H25:H36)</f>
        <v>52.8</v>
      </c>
      <c r="I37" s="496">
        <f>SUM(I25:I36)</f>
        <v>213734.39999999999</v>
      </c>
    </row>
    <row r="38" spans="2:29" ht="24" thickBot="1">
      <c r="B38" s="117" t="s">
        <v>80</v>
      </c>
      <c r="C38" s="9"/>
      <c r="D38" s="43">
        <f>N12</f>
        <v>4048</v>
      </c>
      <c r="E38" s="72"/>
      <c r="F38"/>
      <c r="G38" s="115" t="s">
        <v>81</v>
      </c>
      <c r="H38" s="495"/>
      <c r="I38" s="497"/>
    </row>
    <row r="39" spans="2:29" ht="24" thickBot="1">
      <c r="B39" s="79" t="s">
        <v>82</v>
      </c>
      <c r="C39" s="73"/>
      <c r="D39" s="73"/>
      <c r="E39" s="24"/>
      <c r="F39" s="48"/>
      <c r="G39" s="116"/>
      <c r="H39" s="116"/>
      <c r="I39" s="116"/>
    </row>
    <row r="40" spans="2:29" ht="10.35" customHeight="1" thickBot="1">
      <c r="B40" s="9"/>
      <c r="C40" s="9"/>
      <c r="D40" s="9"/>
      <c r="E40" s="72"/>
      <c r="F40"/>
      <c r="H40" s="5"/>
    </row>
    <row r="41" spans="2:29" ht="80.849999999999994" customHeight="1" thickBot="1">
      <c r="B41" s="74"/>
      <c r="C41" s="75"/>
      <c r="D41" s="75"/>
      <c r="E41" s="32"/>
      <c r="F41" s="76"/>
      <c r="G41" s="76"/>
      <c r="H41" s="33"/>
      <c r="I41" s="77"/>
    </row>
    <row r="42" spans="2:29" ht="10.35" customHeight="1" thickBot="1">
      <c r="B42" s="9"/>
      <c r="C42" s="9"/>
      <c r="D42" s="9"/>
      <c r="E42" s="72"/>
      <c r="F42"/>
    </row>
    <row r="43" spans="2:29" ht="180.6" customHeight="1">
      <c r="B43" s="78"/>
      <c r="C43" s="71"/>
      <c r="D43" s="71"/>
      <c r="E43" s="22"/>
      <c r="F43" s="19"/>
      <c r="G43" s="19"/>
      <c r="H43" s="19"/>
      <c r="I43" s="20"/>
    </row>
    <row r="44" spans="2:29" ht="21">
      <c r="B44" s="486" t="s">
        <v>83</v>
      </c>
      <c r="C44" s="487"/>
      <c r="D44" s="487"/>
      <c r="E44" s="487"/>
      <c r="F44" s="487"/>
      <c r="G44" s="487"/>
      <c r="H44" s="487"/>
      <c r="I44" s="488"/>
    </row>
    <row r="45" spans="2:29" ht="24" thickBot="1">
      <c r="B45" s="489" t="s">
        <v>84</v>
      </c>
      <c r="C45" s="490"/>
      <c r="D45" s="490"/>
      <c r="E45" s="490"/>
      <c r="F45" s="490"/>
      <c r="G45" s="490"/>
      <c r="H45" s="490"/>
      <c r="I45" s="491"/>
    </row>
    <row r="46" spans="2:29" ht="15">
      <c r="B46" s="9"/>
      <c r="C46" s="9"/>
      <c r="D46" s="11"/>
      <c r="E46" s="10"/>
      <c r="F46"/>
    </row>
    <row r="47" spans="2:29" ht="15">
      <c r="C47"/>
      <c r="D47"/>
      <c r="F47"/>
    </row>
    <row r="48" spans="2:29" ht="6" customHeight="1">
      <c r="B48" s="492"/>
      <c r="C48" s="492"/>
      <c r="D48" s="492"/>
      <c r="E48" s="492"/>
      <c r="F48" s="6"/>
      <c r="G48" s="492"/>
      <c r="H48" s="492"/>
      <c r="I48" s="492"/>
    </row>
    <row r="49" spans="2:9" ht="87.6" customHeight="1">
      <c r="B49" s="5"/>
      <c r="E49" s="8"/>
      <c r="F49" s="6"/>
      <c r="G49" s="5"/>
      <c r="H49" s="5"/>
      <c r="I49" s="5"/>
    </row>
    <row r="50" spans="2:9" ht="87.6" customHeight="1">
      <c r="B50" s="5"/>
      <c r="E50" s="8"/>
      <c r="F50" s="6"/>
      <c r="G50" s="5"/>
      <c r="H50" s="5"/>
      <c r="I50" s="5"/>
    </row>
    <row r="51" spans="2:9" ht="94.35" customHeight="1">
      <c r="B51" s="5"/>
      <c r="E51" s="8"/>
      <c r="F51" s="6"/>
      <c r="G51" s="5"/>
      <c r="H51" s="5"/>
      <c r="I51" s="5"/>
    </row>
    <row r="52" spans="2:9">
      <c r="B52" s="5"/>
      <c r="E52" s="8"/>
      <c r="F52" s="6"/>
      <c r="G52" s="5"/>
      <c r="H52" s="5"/>
      <c r="I52" s="5"/>
    </row>
    <row r="53" spans="2:9">
      <c r="B53" s="5"/>
      <c r="E53" s="8"/>
      <c r="F53" s="6"/>
      <c r="G53" s="5"/>
      <c r="H53" s="5"/>
      <c r="I53" s="5"/>
    </row>
    <row r="54" spans="2:9">
      <c r="B54" s="5"/>
      <c r="E54" s="8"/>
      <c r="F54" s="6"/>
      <c r="G54" s="5"/>
      <c r="H54" s="5"/>
      <c r="I54" s="5"/>
    </row>
    <row r="55" spans="2:9">
      <c r="B55" s="5"/>
      <c r="E55" s="8"/>
      <c r="F55" s="6"/>
      <c r="G55" s="5"/>
      <c r="H55" s="5"/>
      <c r="I55" s="5"/>
    </row>
    <row r="56" spans="2:9">
      <c r="B56" s="5"/>
      <c r="E56" s="8"/>
      <c r="F56" s="6"/>
      <c r="G56" s="5"/>
      <c r="H56" s="5"/>
      <c r="I56" s="5"/>
    </row>
    <row r="57" spans="2:9">
      <c r="B57" s="5"/>
      <c r="E57" s="8"/>
      <c r="F57" s="6"/>
      <c r="G57" s="5"/>
      <c r="H57" s="5"/>
      <c r="I57" s="5"/>
    </row>
    <row r="58" spans="2:9">
      <c r="B58" s="5"/>
      <c r="E58" s="8"/>
      <c r="F58" s="6"/>
      <c r="G58" s="5"/>
      <c r="H58" s="5"/>
      <c r="I58" s="5"/>
    </row>
    <row r="59" spans="2:9">
      <c r="B59" s="5"/>
      <c r="E59" s="8"/>
      <c r="F59" s="6"/>
      <c r="G59" s="5"/>
      <c r="H59" s="5"/>
      <c r="I59" s="5"/>
    </row>
    <row r="60" spans="2:9">
      <c r="B60" s="5"/>
      <c r="E60" s="8"/>
      <c r="F60" s="6"/>
      <c r="G60" s="5"/>
      <c r="H60" s="5"/>
      <c r="I60" s="5"/>
    </row>
    <row r="61" spans="2:9">
      <c r="B61" s="5"/>
      <c r="E61" s="8"/>
      <c r="F61" s="6"/>
      <c r="G61" s="5"/>
      <c r="H61" s="5"/>
      <c r="I61" s="5"/>
    </row>
    <row r="62" spans="2:9">
      <c r="B62" s="5"/>
      <c r="E62" s="8"/>
      <c r="F62" s="6"/>
      <c r="G62" s="5"/>
      <c r="H62" s="5"/>
      <c r="I62" s="5"/>
    </row>
    <row r="63" spans="2:9">
      <c r="B63" s="5"/>
      <c r="E63" s="8"/>
      <c r="F63" s="6"/>
      <c r="G63" s="5"/>
      <c r="H63" s="5"/>
      <c r="I63" s="5"/>
    </row>
    <row r="64" spans="2:9">
      <c r="B64" s="5"/>
      <c r="E64" s="8"/>
      <c r="F64" s="6"/>
      <c r="G64" s="5"/>
      <c r="H64" s="5"/>
      <c r="I64" s="5"/>
    </row>
    <row r="65" spans="2:9">
      <c r="B65" s="5"/>
      <c r="E65" s="8"/>
      <c r="F65" s="6"/>
      <c r="G65" s="5"/>
      <c r="H65" s="5"/>
      <c r="I65" s="5"/>
    </row>
    <row r="66" spans="2:9">
      <c r="B66" s="5"/>
      <c r="E66" s="8"/>
      <c r="F66" s="6"/>
      <c r="G66" s="5"/>
      <c r="H66" s="5"/>
      <c r="I66" s="5"/>
    </row>
  </sheetData>
  <sheetProtection selectLockedCells="1"/>
  <mergeCells count="37">
    <mergeCell ref="C26:D26"/>
    <mergeCell ref="C27:D27"/>
    <mergeCell ref="C28:D28"/>
    <mergeCell ref="C29:D29"/>
    <mergeCell ref="C30:D30"/>
    <mergeCell ref="L15:X15"/>
    <mergeCell ref="P17:X17"/>
    <mergeCell ref="B44:I44"/>
    <mergeCell ref="B45:I45"/>
    <mergeCell ref="B48:E48"/>
    <mergeCell ref="G48:I48"/>
    <mergeCell ref="C35:D35"/>
    <mergeCell ref="H37:H38"/>
    <mergeCell ref="I37:I38"/>
    <mergeCell ref="C36:D36"/>
    <mergeCell ref="B37:C37"/>
    <mergeCell ref="C31:D31"/>
    <mergeCell ref="C32:D32"/>
    <mergeCell ref="C33:D33"/>
    <mergeCell ref="C34:D34"/>
    <mergeCell ref="B21:C21"/>
    <mergeCell ref="C25:D25"/>
    <mergeCell ref="B9:C9"/>
    <mergeCell ref="I9:I10"/>
    <mergeCell ref="B11:C11"/>
    <mergeCell ref="D15:H15"/>
    <mergeCell ref="D16:H16"/>
    <mergeCell ref="D17:H17"/>
    <mergeCell ref="D18:H18"/>
    <mergeCell ref="F19:H19"/>
    <mergeCell ref="F20:H20"/>
    <mergeCell ref="D21:F21"/>
    <mergeCell ref="P4:X4"/>
    <mergeCell ref="B12:D12"/>
    <mergeCell ref="H6:I7"/>
    <mergeCell ref="N11:Q11"/>
    <mergeCell ref="N12:Q12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P3:X3 K3:N3 K15" xr:uid="{00000000-0002-0000-1300-000000000000}">
      <formula1>1</formula1>
      <formula2>1</formula2>
    </dataValidation>
    <dataValidation type="textLength" allowBlank="1" showInputMessage="1" showErrorMessage="1" errorTitle="Incorrect" error="បញ្ចូលលេខមិនត្រឹមត្រូវេ! សូមបញ្ចូលលេខប្រអប់ ត្រឹមតែមួយខ្ទង់សម្រាប់មួយប្រអប់។ " sqref="P17:X17" xr:uid="{00000000-0002-0000-1300-000001000000}">
      <formula1>1</formula1>
      <formula2>1</formula2>
    </dataValidation>
  </dataValidations>
  <hyperlinks>
    <hyperlink ref="S12" r:id="rId1" tooltip="Get exchange rate by day from NBC" xr:uid="{00000000-0004-0000-1300-000000000000}"/>
  </hyperlinks>
  <printOptions horizontalCentered="1"/>
  <pageMargins left="0.59055118110236227" right="0.31496062992125984" top="0.23622047244094491" bottom="0.11811023622047245" header="0.31496062992125984" footer="0.23622047244094491"/>
  <pageSetup paperSize="9" scale="64" orientation="portrait" r:id="rId2"/>
  <headerFooter>
    <oddFooter xml:space="preserve">&amp;C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5" name="Button 1">
              <controlPr defaultSize="0" print="0" autoFill="0" autoPict="0" macro="[0]!CopySheetSave_Click">
                <anchor moveWithCells="1">
                  <from>
                    <xdr:col>15</xdr:col>
                    <xdr:colOff>104775</xdr:colOff>
                    <xdr:row>0</xdr:row>
                    <xdr:rowOff>66675</xdr:rowOff>
                  </from>
                  <to>
                    <xdr:col>19</xdr:col>
                    <xdr:colOff>219075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6" name="Button 2">
              <controlPr defaultSize="0" print="0" autoFill="0" autoPict="0" macro="[0]!PRint_Click">
                <anchor moveWithCells="1" sizeWithCells="1">
                  <from>
                    <xdr:col>20</xdr:col>
                    <xdr:colOff>66675</xdr:colOff>
                    <xdr:row>1</xdr:row>
                    <xdr:rowOff>28575</xdr:rowOff>
                  </from>
                  <to>
                    <xdr:col>22</xdr:col>
                    <xdr:colOff>66675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7" name="Button 79">
              <controlPr defaultSize="0" print="0" autoFill="0" autoPict="0" macro="[0]!SaveDraft_Click">
                <anchor moveWithCells="1">
                  <from>
                    <xdr:col>9</xdr:col>
                    <xdr:colOff>304800</xdr:colOff>
                    <xdr:row>1</xdr:row>
                    <xdr:rowOff>28575</xdr:rowOff>
                  </from>
                  <to>
                    <xdr:col>15</xdr:col>
                    <xdr:colOff>9525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8" name="Button 95">
              <controlPr defaultSize="0" print="0" autoFill="0" autoPict="0" macro="[0]!TodayPickdate">
                <anchor moveWithCells="1">
                  <from>
                    <xdr:col>18</xdr:col>
                    <xdr:colOff>0</xdr:colOff>
                    <xdr:row>9</xdr:row>
                    <xdr:rowOff>257175</xdr:rowOff>
                  </from>
                  <to>
                    <xdr:col>19</xdr:col>
                    <xdr:colOff>152400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9" name="Button 98">
              <controlPr defaultSize="0" print="0" autoFill="0" autoPict="0" macro="[0]!Clear">
                <anchor moveWithCells="1">
                  <from>
                    <xdr:col>10</xdr:col>
                    <xdr:colOff>28575</xdr:colOff>
                    <xdr:row>1</xdr:row>
                    <xdr:rowOff>485775</xdr:rowOff>
                  </from>
                  <to>
                    <xdr:col>12</xdr:col>
                    <xdr:colOff>142875</xdr:colOff>
                    <xdr:row>1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" name="Button 99">
              <controlPr defaultSize="0" print="0" autoFill="0" autoPict="0" macro="[0]!CompleteStatus">
                <anchor moveWithCells="1">
                  <from>
                    <xdr:col>22</xdr:col>
                    <xdr:colOff>219075</xdr:colOff>
                    <xdr:row>1</xdr:row>
                    <xdr:rowOff>28575</xdr:rowOff>
                  </from>
                  <to>
                    <xdr:col>24</xdr:col>
                    <xdr:colOff>333375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9">
    <tabColor rgb="FFFFC000"/>
  </sheetPr>
  <dimension ref="A1:AD69"/>
  <sheetViews>
    <sheetView showGridLines="0" topLeftCell="A5" zoomScale="72" zoomScaleNormal="78" zoomScaleSheetLayoutView="55" zoomScalePageLayoutView="70" workbookViewId="0">
      <selection activeCell="C31" sqref="C31:D31"/>
    </sheetView>
  </sheetViews>
  <sheetFormatPr defaultColWidth="8.7109375" defaultRowHeight="23.25"/>
  <cols>
    <col min="1" max="1" width="2.42578125" customWidth="1"/>
    <col min="2" max="2" width="9" customWidth="1"/>
    <col min="3" max="3" width="15.42578125" style="5" customWidth="1"/>
    <col min="4" max="4" width="45.42578125" style="5" customWidth="1"/>
    <col min="5" max="5" width="12.140625" style="2" customWidth="1"/>
    <col min="6" max="6" width="8.7109375" style="1" customWidth="1"/>
    <col min="7" max="7" width="14.42578125" customWidth="1"/>
    <col min="8" max="9" width="19.140625" customWidth="1"/>
    <col min="10" max="10" width="24.140625" customWidth="1"/>
    <col min="11" max="14" width="3.7109375" customWidth="1"/>
    <col min="15" max="15" width="2.42578125" customWidth="1"/>
    <col min="16" max="24" width="4" customWidth="1"/>
    <col min="25" max="29" width="8.7109375" style="37"/>
  </cols>
  <sheetData>
    <row r="1" spans="1:30" ht="2.85" customHeight="1">
      <c r="AB1" s="37" t="str">
        <f ca="1">MID(K12,1,6)</f>
        <v>( 3)</v>
      </c>
    </row>
    <row r="2" spans="1:30" ht="54.75">
      <c r="A2" s="36"/>
      <c r="B2" s="505" t="s">
        <v>454</v>
      </c>
      <c r="C2" s="505"/>
      <c r="D2" s="505"/>
      <c r="E2" s="505"/>
      <c r="F2" s="505"/>
      <c r="G2" s="505"/>
      <c r="H2" s="505"/>
      <c r="I2" s="505"/>
      <c r="AB2" s="37" t="str">
        <f ca="1">MID(K12,8,8)</f>
        <v/>
      </c>
      <c r="AD2" s="47"/>
    </row>
    <row r="3" spans="1:30" ht="29.25" thickBot="1">
      <c r="A3" s="36"/>
      <c r="B3" s="506" t="e">
        <f>company_name_en</f>
        <v>#NAME?</v>
      </c>
      <c r="C3" s="506"/>
      <c r="D3" s="506"/>
      <c r="E3" s="506"/>
      <c r="F3" s="506"/>
      <c r="G3" s="506"/>
      <c r="H3" s="506"/>
      <c r="I3" s="506"/>
      <c r="AD3" s="47"/>
    </row>
    <row r="4" spans="1:30" ht="15.75" thickBot="1">
      <c r="A4" s="36"/>
      <c r="B4" s="507" t="s">
        <v>453</v>
      </c>
      <c r="C4" s="507"/>
      <c r="D4" s="507"/>
      <c r="E4" s="507"/>
      <c r="F4" s="507"/>
      <c r="G4" s="507"/>
      <c r="H4" s="507"/>
      <c r="I4" s="507"/>
      <c r="J4" s="46" t="s">
        <v>85</v>
      </c>
      <c r="K4" s="14" t="s">
        <v>43</v>
      </c>
      <c r="L4" s="14">
        <v>0</v>
      </c>
      <c r="M4" s="14">
        <v>0</v>
      </c>
      <c r="N4" s="14">
        <v>9</v>
      </c>
      <c r="O4" s="13" t="s">
        <v>44</v>
      </c>
      <c r="P4" s="14">
        <v>2</v>
      </c>
      <c r="Q4" s="14">
        <v>1</v>
      </c>
      <c r="R4" s="14">
        <v>0</v>
      </c>
      <c r="S4" s="14">
        <v>0</v>
      </c>
      <c r="T4" s="14">
        <v>0</v>
      </c>
      <c r="U4" s="14">
        <v>0</v>
      </c>
      <c r="V4" s="14">
        <v>6</v>
      </c>
      <c r="W4" s="14">
        <v>3</v>
      </c>
      <c r="X4" s="14">
        <v>3</v>
      </c>
      <c r="AB4" s="37" t="str">
        <f>MID(K13,8,8)</f>
        <v/>
      </c>
      <c r="AD4" s="47"/>
    </row>
    <row r="5" spans="1:30" ht="15">
      <c r="A5" s="36"/>
      <c r="B5" s="507" t="e">
        <f>Address_ENG</f>
        <v>#NAME?</v>
      </c>
      <c r="C5" s="507"/>
      <c r="D5" s="507"/>
      <c r="E5" s="507"/>
      <c r="F5" s="507"/>
      <c r="G5" s="507"/>
      <c r="H5" s="507"/>
      <c r="I5" s="507"/>
      <c r="K5" s="13"/>
      <c r="L5" s="13"/>
      <c r="M5" s="13"/>
      <c r="N5" s="13"/>
      <c r="O5" s="13"/>
      <c r="P5" s="122"/>
      <c r="Q5" s="122"/>
      <c r="R5" s="122"/>
      <c r="S5" s="122"/>
      <c r="T5" s="122"/>
      <c r="U5" s="122"/>
      <c r="V5" s="122"/>
      <c r="W5" s="122"/>
      <c r="X5" s="122"/>
      <c r="AD5" s="47"/>
    </row>
    <row r="6" spans="1:30" ht="15">
      <c r="A6" s="36"/>
      <c r="B6" s="507" t="e">
        <f>c_phone_email</f>
        <v>#NAME?</v>
      </c>
      <c r="C6" s="507"/>
      <c r="D6" s="507"/>
      <c r="E6" s="507"/>
      <c r="F6" s="507"/>
      <c r="G6" s="507"/>
      <c r="H6" s="507"/>
      <c r="I6" s="507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AD6" s="47"/>
    </row>
    <row r="7" spans="1:30" ht="27.6" customHeight="1" thickBot="1">
      <c r="A7" s="36"/>
      <c r="B7" s="508" t="s">
        <v>86</v>
      </c>
      <c r="C7" s="508"/>
      <c r="D7" s="508"/>
      <c r="E7" s="123"/>
      <c r="F7" s="123"/>
      <c r="G7" s="123"/>
      <c r="H7" s="123"/>
      <c r="I7" s="123"/>
      <c r="Y7"/>
      <c r="Z7"/>
      <c r="AB7" s="37" t="str">
        <f>MID(K14,8,8)</f>
        <v/>
      </c>
      <c r="AD7" s="47"/>
    </row>
    <row r="8" spans="1:30" ht="10.35" customHeight="1">
      <c r="A8" s="12"/>
      <c r="E8" s="45"/>
      <c r="I8" s="46"/>
      <c r="AB8" s="81" t="str">
        <f>MID(K15,8,8)</f>
        <v>Rate</v>
      </c>
      <c r="AD8" s="47"/>
    </row>
    <row r="9" spans="1:30" ht="50.1" customHeight="1">
      <c r="A9" s="12"/>
      <c r="E9" s="45"/>
      <c r="H9" s="467" t="str">
        <f ca="1">""&amp;I12&amp;""</f>
        <v>STCI00-0003</v>
      </c>
      <c r="I9" s="467"/>
      <c r="AB9" s="37" t="str">
        <f>MID(K16,8,8)</f>
        <v/>
      </c>
      <c r="AD9" s="47"/>
    </row>
    <row r="10" spans="1:30" ht="21.6" customHeight="1">
      <c r="A10" s="12"/>
      <c r="E10" s="45"/>
      <c r="H10" s="467"/>
      <c r="I10" s="467"/>
      <c r="AD10" s="47"/>
    </row>
    <row r="11" spans="1:30" ht="10.35" customHeight="1" thickBot="1">
      <c r="A11" s="12"/>
      <c r="E11" s="45"/>
      <c r="I11" s="46"/>
      <c r="Y11" s="39"/>
    </row>
    <row r="12" spans="1:30" s="52" customFormat="1">
      <c r="A12" s="12"/>
      <c r="B12" s="471"/>
      <c r="C12" s="471"/>
      <c r="E12" s="53"/>
      <c r="F12" s="54"/>
      <c r="H12" s="104" t="s">
        <v>46</v>
      </c>
      <c r="I12" s="472" t="str">
        <f ca="1">"STCI"&amp;RIGHT(YEAR(I14),2)&amp;TEXT(K12,"0000")</f>
        <v>STCI00-0003</v>
      </c>
      <c r="K12" s="81" t="str">
        <f ca="1">MID(MID(CELL("filename",A1),FIND("]",CELL("filename",A1))+1,255),1,40)</f>
        <v>( 3)</v>
      </c>
      <c r="L12"/>
      <c r="M12"/>
      <c r="N12"/>
      <c r="O12"/>
      <c r="Y12" s="37"/>
      <c r="Z12" s="37"/>
      <c r="AA12" s="37"/>
      <c r="AB12" s="37"/>
      <c r="AC12" s="37"/>
    </row>
    <row r="13" spans="1:30" s="52" customFormat="1" ht="21">
      <c r="A13" s="12"/>
      <c r="E13" s="53"/>
      <c r="F13" s="54"/>
      <c r="H13" s="55" t="s">
        <v>29</v>
      </c>
      <c r="I13" s="473"/>
      <c r="M13"/>
      <c r="Y13" s="37"/>
      <c r="Z13" s="37"/>
      <c r="AA13" s="37"/>
      <c r="AB13" s="37"/>
      <c r="AC13" s="37"/>
    </row>
    <row r="14" spans="1:30" s="52" customFormat="1" ht="24" thickBot="1">
      <c r="A14" s="12"/>
      <c r="B14" s="474" t="s">
        <v>48</v>
      </c>
      <c r="C14" s="474"/>
      <c r="E14" s="53"/>
      <c r="F14" s="54"/>
      <c r="H14" s="105" t="s">
        <v>49</v>
      </c>
      <c r="I14" s="80">
        <f>N14</f>
        <v>0</v>
      </c>
      <c r="K14" s="3" t="s">
        <v>50</v>
      </c>
      <c r="L14" s="82"/>
      <c r="M14" s="82"/>
      <c r="N14" s="468"/>
      <c r="O14" s="468"/>
      <c r="P14" s="468"/>
      <c r="Q14" s="468"/>
      <c r="U14" s="83"/>
      <c r="Y14" s="37"/>
      <c r="Z14" s="37"/>
      <c r="AA14" s="37"/>
      <c r="AB14" s="37"/>
      <c r="AC14" s="37"/>
    </row>
    <row r="15" spans="1:30" s="52" customFormat="1" ht="21.75" thickBot="1">
      <c r="A15" s="12"/>
      <c r="B15" s="464"/>
      <c r="C15" s="465"/>
      <c r="D15" s="466"/>
      <c r="E15" s="53"/>
      <c r="F15" s="54"/>
      <c r="H15" s="56" t="s">
        <v>21</v>
      </c>
      <c r="I15" s="57"/>
      <c r="K15" t="s">
        <v>51</v>
      </c>
      <c r="N15" s="469"/>
      <c r="O15" s="469"/>
      <c r="P15" s="469"/>
      <c r="Q15" s="469"/>
      <c r="S15" s="84" t="s">
        <v>52</v>
      </c>
      <c r="T15" s="83"/>
      <c r="U15" s="83"/>
      <c r="Y15" s="37"/>
      <c r="Z15" s="37"/>
      <c r="AA15" s="37"/>
      <c r="AB15" s="37"/>
      <c r="AC15" s="37"/>
    </row>
    <row r="16" spans="1:30" ht="10.35" customHeight="1" thickBot="1">
      <c r="A16" s="5"/>
      <c r="B16" s="5"/>
      <c r="E16" s="5"/>
      <c r="F16" s="5"/>
      <c r="G16" s="5"/>
      <c r="H16" s="5"/>
      <c r="I16" s="5"/>
      <c r="J16" s="5"/>
      <c r="K16" s="5"/>
      <c r="L16" s="2"/>
    </row>
    <row r="17" spans="1:29" ht="24" thickBot="1">
      <c r="A17" s="58">
        <v>-9</v>
      </c>
      <c r="B17" s="59" t="s">
        <v>87</v>
      </c>
      <c r="C17" s="23"/>
      <c r="D17" s="23"/>
      <c r="E17" s="23"/>
      <c r="F17" s="23"/>
      <c r="G17" s="60">
        <v>-3</v>
      </c>
      <c r="H17" s="19"/>
      <c r="I17" s="20"/>
      <c r="J17" s="58"/>
      <c r="L17" s="118"/>
      <c r="M17" s="118"/>
      <c r="N17" s="118"/>
      <c r="P17" s="118" t="s">
        <v>54</v>
      </c>
    </row>
    <row r="18" spans="1:29" ht="26.25" thickBot="1">
      <c r="A18" s="58"/>
      <c r="B18" s="106" t="s">
        <v>55</v>
      </c>
      <c r="C18" s="61"/>
      <c r="D18" s="475"/>
      <c r="E18" s="475"/>
      <c r="F18" s="475"/>
      <c r="G18" s="475"/>
      <c r="H18" s="475"/>
      <c r="I18" s="21"/>
      <c r="J18" s="58"/>
      <c r="K18" s="13"/>
      <c r="L18" s="482" t="str">
        <f>IF(Customer_TIN_Area="","",Customer_TIN_Area)</f>
        <v/>
      </c>
      <c r="M18" s="483"/>
      <c r="N18" s="483"/>
      <c r="O18" s="483"/>
      <c r="P18" s="483"/>
      <c r="Q18" s="483"/>
      <c r="R18" s="483"/>
      <c r="S18" s="483"/>
      <c r="T18" s="483"/>
      <c r="U18" s="483"/>
      <c r="V18" s="483"/>
      <c r="W18" s="483"/>
      <c r="X18" s="484"/>
    </row>
    <row r="19" spans="1:29">
      <c r="A19" s="58"/>
      <c r="B19" s="18" t="s">
        <v>88</v>
      </c>
      <c r="C19" s="61"/>
      <c r="D19" s="476"/>
      <c r="E19" s="476"/>
      <c r="F19" s="476"/>
      <c r="G19" s="476"/>
      <c r="H19" s="476"/>
      <c r="I19" s="21"/>
      <c r="J19" s="62" t="s">
        <v>57</v>
      </c>
      <c r="K19" s="63" t="s">
        <v>58</v>
      </c>
      <c r="L19" s="37" t="s">
        <v>59</v>
      </c>
      <c r="M19" s="37" t="s">
        <v>59</v>
      </c>
      <c r="N19" s="37" t="s">
        <v>59</v>
      </c>
      <c r="O19" s="37"/>
      <c r="P19" s="37" t="s">
        <v>59</v>
      </c>
      <c r="Q19" s="37" t="s">
        <v>59</v>
      </c>
      <c r="R19" s="37" t="s">
        <v>59</v>
      </c>
      <c r="S19" s="37" t="s">
        <v>59</v>
      </c>
      <c r="T19" s="37" t="s">
        <v>59</v>
      </c>
      <c r="U19" s="37" t="s">
        <v>59</v>
      </c>
      <c r="V19" s="37" t="s">
        <v>59</v>
      </c>
      <c r="W19" s="37" t="s">
        <v>59</v>
      </c>
      <c r="X19" s="37" t="s">
        <v>59</v>
      </c>
    </row>
    <row r="20" spans="1:29">
      <c r="A20" s="58"/>
      <c r="B20" s="107" t="s">
        <v>60</v>
      </c>
      <c r="C20" s="61"/>
      <c r="D20" s="477"/>
      <c r="E20" s="478"/>
      <c r="F20" s="478"/>
      <c r="G20" s="478"/>
      <c r="H20" s="478"/>
      <c r="I20" s="21"/>
      <c r="J20" s="58"/>
      <c r="L20" s="37"/>
      <c r="M20" s="37"/>
      <c r="O20" s="38" t="s">
        <v>61</v>
      </c>
      <c r="P20" s="485"/>
      <c r="Q20" s="485"/>
      <c r="R20" s="485"/>
      <c r="S20" s="485"/>
      <c r="T20" s="485"/>
      <c r="U20" s="485"/>
      <c r="V20" s="485"/>
      <c r="W20" s="485"/>
      <c r="X20" s="485"/>
    </row>
    <row r="21" spans="1:29">
      <c r="A21" s="58"/>
      <c r="B21" s="18" t="s">
        <v>7</v>
      </c>
      <c r="C21" s="61"/>
      <c r="D21" s="479"/>
      <c r="E21" s="479"/>
      <c r="F21" s="479"/>
      <c r="G21" s="479"/>
      <c r="H21" s="479"/>
      <c r="I21" s="21"/>
      <c r="J21" s="58"/>
      <c r="K21" s="58"/>
    </row>
    <row r="22" spans="1:29">
      <c r="A22" s="5"/>
      <c r="B22" s="107" t="s">
        <v>63</v>
      </c>
      <c r="D22" s="44"/>
      <c r="E22" s="108" t="s">
        <v>64</v>
      </c>
      <c r="F22" s="480"/>
      <c r="G22" s="478"/>
      <c r="H22" s="478"/>
      <c r="I22" s="21"/>
      <c r="J22" s="5"/>
      <c r="K22" s="5"/>
    </row>
    <row r="23" spans="1:29">
      <c r="A23" s="5"/>
      <c r="B23" s="25" t="s">
        <v>89</v>
      </c>
      <c r="D23" s="26"/>
      <c r="E23" s="35" t="s">
        <v>66</v>
      </c>
      <c r="F23" s="480"/>
      <c r="G23" s="478"/>
      <c r="H23" s="478"/>
      <c r="I23" s="16"/>
      <c r="J23" s="5"/>
      <c r="K23" s="5"/>
    </row>
    <row r="24" spans="1:29" ht="32.85" customHeight="1" thickBot="1">
      <c r="A24" s="5"/>
      <c r="B24" s="501" t="s">
        <v>90</v>
      </c>
      <c r="C24" s="502"/>
      <c r="D24" s="481" t="str">
        <f>L18</f>
        <v/>
      </c>
      <c r="E24" s="481"/>
      <c r="F24" s="481"/>
      <c r="G24" s="17"/>
      <c r="H24" s="7"/>
      <c r="I24" s="15"/>
      <c r="J24" s="5"/>
    </row>
    <row r="25" spans="1:29" s="4" customFormat="1" ht="10.35" customHeight="1" thickBot="1">
      <c r="A25"/>
      <c r="C25" s="64"/>
      <c r="D25" s="65"/>
      <c r="E25" s="66"/>
      <c r="F25" s="67"/>
      <c r="H25" s="68"/>
      <c r="I25" s="69"/>
      <c r="M25"/>
      <c r="N25"/>
      <c r="O25"/>
      <c r="P25"/>
      <c r="Q25"/>
      <c r="R25"/>
      <c r="S25"/>
      <c r="Y25" s="40"/>
      <c r="Z25" s="40"/>
      <c r="AA25" s="40"/>
      <c r="AB25" s="40"/>
      <c r="AC25" s="40"/>
    </row>
    <row r="26" spans="1:29" s="3" customFormat="1">
      <c r="B26" s="109" t="s">
        <v>10</v>
      </c>
      <c r="C26" s="110" t="s">
        <v>68</v>
      </c>
      <c r="D26" s="111"/>
      <c r="E26" s="112" t="s">
        <v>69</v>
      </c>
      <c r="F26" s="109" t="s">
        <v>70</v>
      </c>
      <c r="G26" s="109" t="s">
        <v>39</v>
      </c>
      <c r="H26" s="113" t="s">
        <v>71</v>
      </c>
      <c r="I26" s="109" t="s">
        <v>71</v>
      </c>
      <c r="M26"/>
      <c r="N26"/>
      <c r="O26"/>
      <c r="P26"/>
      <c r="Q26"/>
      <c r="R26"/>
      <c r="S26"/>
      <c r="Y26" s="41"/>
      <c r="Z26" s="41"/>
      <c r="AA26" s="41"/>
      <c r="AB26" s="41"/>
      <c r="AC26" s="41"/>
    </row>
    <row r="27" spans="1:29" ht="30">
      <c r="B27" s="70" t="s">
        <v>20</v>
      </c>
      <c r="C27" s="27" t="s">
        <v>27</v>
      </c>
      <c r="D27" s="94"/>
      <c r="E27" s="28" t="s">
        <v>5</v>
      </c>
      <c r="F27" s="29" t="s">
        <v>18</v>
      </c>
      <c r="G27" s="30" t="s">
        <v>72</v>
      </c>
      <c r="H27" s="31" t="s">
        <v>73</v>
      </c>
      <c r="I27" s="31" t="s">
        <v>74</v>
      </c>
    </row>
    <row r="28" spans="1:29" s="34" customFormat="1">
      <c r="B28" s="120" t="str">
        <f>IF(C28="","",1)</f>
        <v/>
      </c>
      <c r="C28" s="470"/>
      <c r="D28" s="470"/>
      <c r="E28" s="85"/>
      <c r="F28" s="86"/>
      <c r="G28" s="87"/>
      <c r="H28" s="88">
        <f>(G28*F28*10%)+G28*F28</f>
        <v>0</v>
      </c>
      <c r="I28" s="119">
        <f>IF(H28="","",H28*$D$41)</f>
        <v>0</v>
      </c>
      <c r="Y28" s="42"/>
      <c r="Z28" s="42"/>
      <c r="AA28" s="42"/>
      <c r="AB28" s="42"/>
      <c r="AC28" s="42"/>
    </row>
    <row r="29" spans="1:29" s="34" customFormat="1" ht="41.85" customHeight="1">
      <c r="B29" s="95" t="str">
        <f>IF(C29="","",B28+1)</f>
        <v/>
      </c>
      <c r="C29" s="503"/>
      <c r="D29" s="503"/>
      <c r="E29" s="85"/>
      <c r="F29" s="86"/>
      <c r="G29" s="89"/>
      <c r="H29" s="88">
        <f>(G29*F29*10%)+G29*F29</f>
        <v>0</v>
      </c>
      <c r="I29" s="96">
        <f t="shared" ref="I29:I39" si="0">IF(H29="","",H29*$D$41)</f>
        <v>0</v>
      </c>
      <c r="Y29" s="42"/>
      <c r="Z29" s="42"/>
      <c r="AA29" s="42"/>
      <c r="AB29" s="42"/>
      <c r="AC29" s="42"/>
    </row>
    <row r="30" spans="1:29" s="34" customFormat="1">
      <c r="B30" s="120" t="str">
        <f>IF(C30="","",B29+1)</f>
        <v/>
      </c>
      <c r="C30" s="515"/>
      <c r="D30" s="515"/>
      <c r="E30" s="85"/>
      <c r="F30" s="86"/>
      <c r="G30" s="89"/>
      <c r="H30" s="88">
        <f t="shared" ref="H30:H38" si="1">(G30*F30*10%)+G30*F30</f>
        <v>0</v>
      </c>
      <c r="I30" s="96">
        <f t="shared" si="0"/>
        <v>0</v>
      </c>
      <c r="Y30" s="42"/>
      <c r="Z30" s="42"/>
      <c r="AA30" s="42"/>
      <c r="AB30" s="42"/>
      <c r="AC30" s="42"/>
    </row>
    <row r="31" spans="1:29" s="34" customFormat="1" ht="44.1" customHeight="1">
      <c r="B31" s="95" t="str">
        <f>IF(C31="","",B30+1)</f>
        <v/>
      </c>
      <c r="C31" s="503"/>
      <c r="D31" s="503"/>
      <c r="E31" s="85"/>
      <c r="F31" s="86"/>
      <c r="G31" s="89"/>
      <c r="H31" s="88">
        <f t="shared" si="1"/>
        <v>0</v>
      </c>
      <c r="I31" s="96">
        <f t="shared" si="0"/>
        <v>0</v>
      </c>
      <c r="Y31" s="42"/>
      <c r="Z31" s="42"/>
      <c r="AA31" s="42"/>
      <c r="AB31" s="42"/>
      <c r="AC31" s="42"/>
    </row>
    <row r="32" spans="1:29" s="34" customFormat="1">
      <c r="B32" s="95" t="str">
        <f t="shared" ref="B32:B39" si="2">IF(C32="","",B31+1)</f>
        <v/>
      </c>
      <c r="C32" s="504"/>
      <c r="D32" s="504"/>
      <c r="E32" s="85"/>
      <c r="F32" s="86"/>
      <c r="G32" s="89"/>
      <c r="H32" s="88">
        <f t="shared" si="1"/>
        <v>0</v>
      </c>
      <c r="I32" s="96">
        <f t="shared" si="0"/>
        <v>0</v>
      </c>
      <c r="Y32" s="42"/>
      <c r="Z32" s="42"/>
      <c r="AA32" s="42"/>
      <c r="AB32" s="42"/>
      <c r="AC32" s="42"/>
    </row>
    <row r="33" spans="2:29" s="34" customFormat="1">
      <c r="B33" s="95" t="str">
        <f t="shared" si="2"/>
        <v/>
      </c>
      <c r="C33" s="493"/>
      <c r="D33" s="493"/>
      <c r="E33" s="90"/>
      <c r="F33" s="91"/>
      <c r="G33" s="92"/>
      <c r="H33" s="88">
        <f t="shared" si="1"/>
        <v>0</v>
      </c>
      <c r="I33" s="97">
        <f t="shared" si="0"/>
        <v>0</v>
      </c>
      <c r="Y33" s="42"/>
      <c r="Z33" s="42"/>
      <c r="AA33" s="42"/>
      <c r="AB33" s="42"/>
      <c r="AC33" s="42"/>
    </row>
    <row r="34" spans="2:29" s="34" customFormat="1">
      <c r="B34" s="95" t="str">
        <f t="shared" si="2"/>
        <v/>
      </c>
      <c r="C34" s="493"/>
      <c r="D34" s="493"/>
      <c r="E34" s="93"/>
      <c r="F34" s="91"/>
      <c r="G34" s="92"/>
      <c r="H34" s="88">
        <f t="shared" si="1"/>
        <v>0</v>
      </c>
      <c r="I34" s="97">
        <f t="shared" si="0"/>
        <v>0</v>
      </c>
      <c r="Y34" s="42"/>
      <c r="Z34" s="42"/>
      <c r="AA34" s="42"/>
      <c r="AB34" s="42"/>
      <c r="AC34" s="42"/>
    </row>
    <row r="35" spans="2:29" s="34" customFormat="1">
      <c r="B35" s="95" t="str">
        <f t="shared" si="2"/>
        <v/>
      </c>
      <c r="C35" s="493"/>
      <c r="D35" s="493"/>
      <c r="E35" s="93"/>
      <c r="F35" s="91"/>
      <c r="G35" s="92"/>
      <c r="H35" s="88">
        <f t="shared" si="1"/>
        <v>0</v>
      </c>
      <c r="I35" s="97">
        <f t="shared" si="0"/>
        <v>0</v>
      </c>
      <c r="Y35" s="42"/>
      <c r="Z35" s="42"/>
      <c r="AA35" s="42"/>
      <c r="AB35" s="42"/>
      <c r="AC35" s="42"/>
    </row>
    <row r="36" spans="2:29" s="34" customFormat="1">
      <c r="B36" s="95" t="str">
        <f t="shared" si="2"/>
        <v/>
      </c>
      <c r="C36" s="493"/>
      <c r="D36" s="493"/>
      <c r="E36" s="93"/>
      <c r="F36" s="91"/>
      <c r="G36" s="92"/>
      <c r="H36" s="88">
        <f t="shared" si="1"/>
        <v>0</v>
      </c>
      <c r="I36" s="97">
        <f t="shared" si="0"/>
        <v>0</v>
      </c>
      <c r="Y36" s="42"/>
      <c r="Z36" s="42"/>
      <c r="AA36" s="42"/>
      <c r="AB36" s="42"/>
      <c r="AC36" s="42"/>
    </row>
    <row r="37" spans="2:29" s="34" customFormat="1">
      <c r="B37" s="95" t="str">
        <f t="shared" si="2"/>
        <v/>
      </c>
      <c r="C37" s="493"/>
      <c r="D37" s="493"/>
      <c r="E37" s="93"/>
      <c r="F37" s="91"/>
      <c r="G37" s="92"/>
      <c r="H37" s="88">
        <f t="shared" si="1"/>
        <v>0</v>
      </c>
      <c r="I37" s="97">
        <f t="shared" si="0"/>
        <v>0</v>
      </c>
      <c r="Y37" s="42"/>
      <c r="Z37" s="42"/>
      <c r="AA37" s="42"/>
      <c r="AB37" s="42"/>
      <c r="AC37" s="42"/>
    </row>
    <row r="38" spans="2:29" s="34" customFormat="1">
      <c r="B38" s="95" t="str">
        <f t="shared" si="2"/>
        <v/>
      </c>
      <c r="C38" s="493"/>
      <c r="D38" s="493"/>
      <c r="E38" s="93"/>
      <c r="F38" s="91"/>
      <c r="G38" s="92"/>
      <c r="H38" s="88">
        <f t="shared" si="1"/>
        <v>0</v>
      </c>
      <c r="I38" s="97">
        <f t="shared" si="0"/>
        <v>0</v>
      </c>
      <c r="Y38" s="42"/>
      <c r="Z38" s="42"/>
      <c r="AA38" s="42"/>
      <c r="AB38" s="42"/>
      <c r="AC38" s="42"/>
    </row>
    <row r="39" spans="2:29" s="34" customFormat="1" ht="6.6" customHeight="1" thickBot="1">
      <c r="B39" s="98" t="str">
        <f t="shared" si="2"/>
        <v/>
      </c>
      <c r="C39" s="498"/>
      <c r="D39" s="498"/>
      <c r="E39" s="99"/>
      <c r="F39" s="100"/>
      <c r="G39" s="101"/>
      <c r="H39" s="102" t="str">
        <f>IF(G39="","",F39*G39)</f>
        <v/>
      </c>
      <c r="I39" s="103" t="str">
        <f t="shared" si="0"/>
        <v/>
      </c>
      <c r="Y39" s="42"/>
      <c r="Z39" s="42"/>
      <c r="AA39" s="42"/>
      <c r="AB39" s="42"/>
      <c r="AC39" s="42"/>
    </row>
    <row r="40" spans="2:29">
      <c r="B40" s="499" t="s">
        <v>78</v>
      </c>
      <c r="C40" s="500"/>
      <c r="D40" s="71" t="str">
        <f>SpellNumber(H40)</f>
        <v>Zero US Dollars and Zero Cents</v>
      </c>
      <c r="E40" s="22"/>
      <c r="F40" s="19"/>
      <c r="G40" s="114" t="s">
        <v>79</v>
      </c>
      <c r="H40" s="494">
        <f>SUM(H28:H39)</f>
        <v>0</v>
      </c>
      <c r="I40" s="496">
        <f>SUM(I28:I39)</f>
        <v>0</v>
      </c>
    </row>
    <row r="41" spans="2:29" ht="24" thickBot="1">
      <c r="B41" s="117" t="s">
        <v>80</v>
      </c>
      <c r="C41" s="9"/>
      <c r="D41" s="43">
        <f>N15</f>
        <v>0</v>
      </c>
      <c r="E41" s="72"/>
      <c r="F41"/>
      <c r="G41" s="115" t="s">
        <v>91</v>
      </c>
      <c r="H41" s="495"/>
      <c r="I41" s="497"/>
    </row>
    <row r="42" spans="2:29" ht="24" thickBot="1">
      <c r="B42" s="79" t="s">
        <v>82</v>
      </c>
      <c r="C42" s="73"/>
      <c r="D42" s="73"/>
      <c r="E42" s="24"/>
      <c r="F42" s="48"/>
      <c r="G42" s="116"/>
      <c r="H42" s="116"/>
      <c r="I42" s="116"/>
    </row>
    <row r="43" spans="2:29" ht="10.35" customHeight="1" thickBot="1">
      <c r="B43" s="9"/>
      <c r="C43" s="9"/>
      <c r="D43" s="9"/>
      <c r="E43" s="72"/>
      <c r="F43"/>
      <c r="H43" s="5"/>
    </row>
    <row r="44" spans="2:29" ht="80.849999999999994" customHeight="1" thickBot="1">
      <c r="B44" s="74"/>
      <c r="C44" s="75"/>
      <c r="D44" s="75"/>
      <c r="E44" s="32"/>
      <c r="F44" s="76"/>
      <c r="G44" s="76"/>
      <c r="H44" s="33"/>
      <c r="I44" s="77"/>
    </row>
    <row r="45" spans="2:29" ht="10.35" customHeight="1" thickBot="1">
      <c r="B45" s="9"/>
      <c r="C45" s="9"/>
      <c r="D45" s="9"/>
      <c r="E45" s="72"/>
      <c r="F45"/>
    </row>
    <row r="46" spans="2:29" ht="180.6" customHeight="1">
      <c r="B46" s="78"/>
      <c r="C46" s="71"/>
      <c r="D46" s="71"/>
      <c r="E46" s="22"/>
      <c r="F46" s="19"/>
      <c r="G46" s="19"/>
      <c r="H46" s="19"/>
      <c r="I46" s="20"/>
    </row>
    <row r="47" spans="2:29" ht="21">
      <c r="B47" s="509" t="s">
        <v>92</v>
      </c>
      <c r="C47" s="510"/>
      <c r="D47" s="510"/>
      <c r="E47" s="510"/>
      <c r="F47" s="510"/>
      <c r="G47" s="510"/>
      <c r="H47" s="510"/>
      <c r="I47" s="511"/>
    </row>
    <row r="48" spans="2:29" ht="24" thickBot="1">
      <c r="B48" s="512" t="s">
        <v>93</v>
      </c>
      <c r="C48" s="513"/>
      <c r="D48" s="513"/>
      <c r="E48" s="513"/>
      <c r="F48" s="513"/>
      <c r="G48" s="513"/>
      <c r="H48" s="513"/>
      <c r="I48" s="514"/>
    </row>
    <row r="49" spans="2:9" ht="15">
      <c r="B49" s="9"/>
      <c r="C49" s="9"/>
      <c r="D49" s="11"/>
      <c r="E49" s="10"/>
      <c r="F49"/>
    </row>
    <row r="50" spans="2:9" ht="15">
      <c r="C50"/>
      <c r="D50"/>
      <c r="F50"/>
    </row>
    <row r="51" spans="2:9" ht="6" customHeight="1">
      <c r="B51" s="492"/>
      <c r="C51" s="492"/>
      <c r="D51" s="492"/>
      <c r="E51" s="492"/>
      <c r="F51" s="6"/>
      <c r="G51" s="492"/>
      <c r="H51" s="492"/>
      <c r="I51" s="492"/>
    </row>
    <row r="52" spans="2:9" ht="87.6" customHeight="1">
      <c r="B52" s="5"/>
      <c r="E52" s="8"/>
      <c r="F52" s="6"/>
      <c r="G52" s="5"/>
      <c r="H52" s="5"/>
      <c r="I52" s="5"/>
    </row>
    <row r="53" spans="2:9" ht="87.6" customHeight="1">
      <c r="B53" s="5"/>
      <c r="E53" s="8"/>
      <c r="F53" s="6"/>
      <c r="G53" s="5"/>
      <c r="H53" s="5"/>
      <c r="I53" s="5"/>
    </row>
    <row r="54" spans="2:9" ht="94.35" customHeight="1">
      <c r="B54" s="5"/>
      <c r="E54" s="8"/>
      <c r="F54" s="6"/>
      <c r="G54" s="5"/>
      <c r="H54" s="5"/>
      <c r="I54" s="5"/>
    </row>
    <row r="55" spans="2:9">
      <c r="B55" s="5"/>
      <c r="E55" s="8"/>
      <c r="F55" s="6"/>
      <c r="G55" s="5"/>
      <c r="H55" s="5"/>
      <c r="I55" s="5"/>
    </row>
    <row r="56" spans="2:9">
      <c r="B56" s="5"/>
      <c r="E56" s="8"/>
      <c r="F56" s="6"/>
      <c r="G56" s="5"/>
      <c r="H56" s="5"/>
      <c r="I56" s="5"/>
    </row>
    <row r="57" spans="2:9">
      <c r="B57" s="5"/>
      <c r="E57" s="8"/>
      <c r="F57" s="6"/>
      <c r="G57" s="5"/>
      <c r="H57" s="5"/>
      <c r="I57" s="5"/>
    </row>
    <row r="58" spans="2:9">
      <c r="B58" s="5"/>
      <c r="E58" s="8"/>
      <c r="F58" s="6"/>
      <c r="G58" s="5"/>
      <c r="H58" s="5"/>
      <c r="I58" s="5"/>
    </row>
    <row r="59" spans="2:9">
      <c r="B59" s="5"/>
      <c r="E59" s="8"/>
      <c r="F59" s="6"/>
      <c r="G59" s="5"/>
      <c r="H59" s="5"/>
      <c r="I59" s="5"/>
    </row>
    <row r="60" spans="2:9">
      <c r="B60" s="5"/>
      <c r="E60" s="8"/>
      <c r="F60" s="6"/>
      <c r="G60" s="5"/>
      <c r="H60" s="5"/>
      <c r="I60" s="5"/>
    </row>
    <row r="61" spans="2:9">
      <c r="B61" s="5"/>
      <c r="E61" s="8"/>
      <c r="F61" s="6"/>
      <c r="G61" s="5"/>
      <c r="H61" s="5"/>
      <c r="I61" s="5"/>
    </row>
    <row r="62" spans="2:9">
      <c r="B62" s="5"/>
      <c r="E62" s="8"/>
      <c r="F62" s="6"/>
      <c r="G62" s="5"/>
      <c r="H62" s="5"/>
      <c r="I62" s="5"/>
    </row>
    <row r="63" spans="2:9">
      <c r="B63" s="5"/>
      <c r="E63" s="8"/>
      <c r="F63" s="6"/>
      <c r="G63" s="5"/>
      <c r="H63" s="5"/>
      <c r="I63" s="5"/>
    </row>
    <row r="64" spans="2:9">
      <c r="B64" s="5"/>
      <c r="E64" s="8"/>
      <c r="F64" s="6"/>
      <c r="G64" s="5"/>
      <c r="H64" s="5"/>
      <c r="I64" s="5"/>
    </row>
    <row r="65" spans="2:9">
      <c r="B65" s="5"/>
      <c r="E65" s="8"/>
      <c r="F65" s="6"/>
      <c r="G65" s="5"/>
      <c r="H65" s="5"/>
      <c r="I65" s="5"/>
    </row>
    <row r="66" spans="2:9">
      <c r="B66" s="5"/>
      <c r="E66" s="8"/>
      <c r="F66" s="6"/>
      <c r="G66" s="5"/>
      <c r="H66" s="5"/>
      <c r="I66" s="5"/>
    </row>
    <row r="67" spans="2:9">
      <c r="B67" s="5"/>
      <c r="E67" s="8"/>
      <c r="F67" s="6"/>
      <c r="G67" s="5"/>
      <c r="H67" s="5"/>
      <c r="I67" s="5"/>
    </row>
    <row r="68" spans="2:9">
      <c r="B68" s="5"/>
      <c r="E68" s="8"/>
      <c r="F68" s="6"/>
      <c r="G68" s="5"/>
      <c r="H68" s="5"/>
      <c r="I68" s="5"/>
    </row>
    <row r="69" spans="2:9">
      <c r="B69" s="5"/>
      <c r="E69" s="8"/>
      <c r="F69" s="6"/>
      <c r="G69" s="5"/>
      <c r="H69" s="5"/>
      <c r="I69" s="5"/>
    </row>
  </sheetData>
  <sheetProtection selectLockedCells="1"/>
  <mergeCells count="42">
    <mergeCell ref="H9:I10"/>
    <mergeCell ref="B12:C12"/>
    <mergeCell ref="I12:I13"/>
    <mergeCell ref="B14:C14"/>
    <mergeCell ref="N14:Q14"/>
    <mergeCell ref="C28:D28"/>
    <mergeCell ref="B15:D15"/>
    <mergeCell ref="N15:Q15"/>
    <mergeCell ref="D18:H18"/>
    <mergeCell ref="L18:X18"/>
    <mergeCell ref="D19:H19"/>
    <mergeCell ref="D20:H20"/>
    <mergeCell ref="P20:X20"/>
    <mergeCell ref="B51:E51"/>
    <mergeCell ref="G51:I51"/>
    <mergeCell ref="C35:D35"/>
    <mergeCell ref="C36:D36"/>
    <mergeCell ref="C37:D37"/>
    <mergeCell ref="C38:D38"/>
    <mergeCell ref="C39:D39"/>
    <mergeCell ref="B40:C40"/>
    <mergeCell ref="B7:D7"/>
    <mergeCell ref="H40:H41"/>
    <mergeCell ref="I40:I41"/>
    <mergeCell ref="B47:I47"/>
    <mergeCell ref="B48:I48"/>
    <mergeCell ref="C29:D29"/>
    <mergeCell ref="C30:D30"/>
    <mergeCell ref="C31:D31"/>
    <mergeCell ref="C32:D32"/>
    <mergeCell ref="C33:D33"/>
    <mergeCell ref="C34:D34"/>
    <mergeCell ref="D21:H21"/>
    <mergeCell ref="F22:H22"/>
    <mergeCell ref="F23:H23"/>
    <mergeCell ref="B24:C24"/>
    <mergeCell ref="D24:F24"/>
    <mergeCell ref="B2:I2"/>
    <mergeCell ref="B3:I3"/>
    <mergeCell ref="B4:I4"/>
    <mergeCell ref="B5:I5"/>
    <mergeCell ref="B6:I6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K18 K4:N6 P4:X5 O6:Y6" xr:uid="{00000000-0002-0000-1400-000000000000}">
      <formula1>1</formula1>
      <formula2>1</formula2>
    </dataValidation>
    <dataValidation type="textLength" allowBlank="1" showInputMessage="1" showErrorMessage="1" errorTitle="Incorrect" error="បញ្ចូលលេខមិនត្រឹមត្រូវេ! សូមបញ្ចូលលេខប្រអប់ ត្រឹមតែមួយខ្ទង់សម្រាប់មួយប្រអប់។ " sqref="P20:X20" xr:uid="{00000000-0002-0000-1400-000001000000}">
      <formula1>1</formula1>
      <formula2>1</formula2>
    </dataValidation>
  </dataValidations>
  <hyperlinks>
    <hyperlink ref="S15" r:id="rId1" tooltip="Get exchange rate by day from NBC" xr:uid="{00000000-0004-0000-1400-000000000000}"/>
  </hyperlinks>
  <printOptions horizontalCentered="1"/>
  <pageMargins left="0.59055118110236227" right="0.31496062992125984" top="0.23622047244094491" bottom="0.11811023622047245" header="0.31496062992125984" footer="0.23622047244094491"/>
  <pageSetup paperSize="9" scale="64" orientation="portrait" r:id="rId2"/>
  <headerFooter>
    <oddFooter xml:space="preserve">&amp;C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5" name="Button 1">
              <controlPr defaultSize="0" print="0" autoFill="0" autoPict="0" macro="[0]!CopySheetSave_Click">
                <anchor moveWithCells="1">
                  <from>
                    <xdr:col>10</xdr:col>
                    <xdr:colOff>104775</xdr:colOff>
                    <xdr:row>1</xdr:row>
                    <xdr:rowOff>66675</xdr:rowOff>
                  </from>
                  <to>
                    <xdr:col>15</xdr:col>
                    <xdr:colOff>76200</xdr:colOff>
                    <xdr:row>1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6" name="Button 2">
              <controlPr defaultSize="0" print="0" autoFill="0" autoPict="0" macro="[0]!PRint_Click">
                <anchor moveWithCells="1" sizeWithCells="1">
                  <from>
                    <xdr:col>15</xdr:col>
                    <xdr:colOff>219075</xdr:colOff>
                    <xdr:row>1</xdr:row>
                    <xdr:rowOff>104775</xdr:rowOff>
                  </from>
                  <to>
                    <xdr:col>17</xdr:col>
                    <xdr:colOff>219075</xdr:colOff>
                    <xdr:row>1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7" name="Button 3">
              <controlPr defaultSize="0" print="0" autoFill="0" autoPict="0" macro="[0]!SaveDraft_Click">
                <anchor moveWithCells="1">
                  <from>
                    <xdr:col>9</xdr:col>
                    <xdr:colOff>409575</xdr:colOff>
                    <xdr:row>1</xdr:row>
                    <xdr:rowOff>66675</xdr:rowOff>
                  </from>
                  <to>
                    <xdr:col>10</xdr:col>
                    <xdr:colOff>9525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8" name="Button 4">
              <controlPr defaultSize="0" print="0" autoFill="0" autoPict="0" macro="[0]!TodayPickdate">
                <anchor moveWithCells="1">
                  <from>
                    <xdr:col>18</xdr:col>
                    <xdr:colOff>0</xdr:colOff>
                    <xdr:row>12</xdr:row>
                    <xdr:rowOff>257175</xdr:rowOff>
                  </from>
                  <to>
                    <xdr:col>19</xdr:col>
                    <xdr:colOff>180975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CompleteStatus">
                <anchor moveWithCells="1">
                  <from>
                    <xdr:col>18</xdr:col>
                    <xdr:colOff>76200</xdr:colOff>
                    <xdr:row>1</xdr:row>
                    <xdr:rowOff>76200</xdr:rowOff>
                  </from>
                  <to>
                    <xdr:col>20</xdr:col>
                    <xdr:colOff>219075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0" name="Button 8">
              <controlPr defaultSize="0" print="0" autoFill="0" autoPict="0" macro="[0]!Clear">
                <anchor moveWithCells="1">
                  <from>
                    <xdr:col>9</xdr:col>
                    <xdr:colOff>447675</xdr:colOff>
                    <xdr:row>1</xdr:row>
                    <xdr:rowOff>523875</xdr:rowOff>
                  </from>
                  <to>
                    <xdr:col>9</xdr:col>
                    <xdr:colOff>1095375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customUI/customUI14.xml><?xml version="1.0" encoding="utf-8"?>
<customUI xmlns="http://schemas.microsoft.com/office/2009/07/customui">
  <!-- Set startFromScratch to true to hide the Ribbon and QAT-->
  <ribbon startFromScratch="true">
    <!-- startFromScratch="true" hides all of the Ribbon tabs and it hide the QAT.   -->
    <!-- It not hides the Contextual tabs on the ribbon, for example the             -->
    <!-- Format tab that you see when you select a picture on your worksheet.        -->
    <!-- So if you want to hide them you must use the RibbonX below:                 --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!-- Toolbar Tab -->
    <tabs>
</tabs>
  </ribbon>
  <!--hide all buttons and tabs in Backstage (File)-->
  <backstage>
  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ADC146D0-807C-44AA-9A06-51FA38B5E60F}">
  <ds:schemaRefs/>
</ds:datastoreItem>
</file>

<file path=customXml/itemProps2.xml><?xml version="1.0" encoding="utf-8"?>
<ds:datastoreItem xmlns:ds="http://schemas.openxmlformats.org/officeDocument/2006/customXml" ds:itemID="{ABDB64DC-B77C-4A37-A752-35B6708AB56D}">
  <ds:schemaRefs/>
</ds:datastoreItem>
</file>

<file path=customXml/itemProps3.xml><?xml version="1.0" encoding="utf-8"?>
<ds:datastoreItem xmlns:ds="http://schemas.openxmlformats.org/officeDocument/2006/customXml" ds:itemID="{0720D362-99FC-4441-9DB2-A831ADAF562C}">
  <ds:schemaRefs/>
</ds:datastoreItem>
</file>

<file path=customXml/itemProps4.xml><?xml version="1.0" encoding="utf-8"?>
<ds:datastoreItem xmlns:ds="http://schemas.openxmlformats.org/officeDocument/2006/customXml" ds:itemID="{B5A1DD9B-0F58-4925-8C5B-0E95DAFA040E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B356839B-70F8-494A-9CF4-FDC049176615}">
  <ds:schemaRefs/>
</ds:datastoreItem>
</file>

<file path=customXml/itemProps6.xml><?xml version="1.0" encoding="utf-8"?>
<ds:datastoreItem xmlns:ds="http://schemas.openxmlformats.org/officeDocument/2006/customXml" ds:itemID="{E27BC1BA-2931-412A-BFCF-F6C2AD0824D0}">
  <ds:schemaRefs/>
</ds:datastoreItem>
</file>

<file path=customXml/itemProps7.xml><?xml version="1.0" encoding="utf-8"?>
<ds:datastoreItem xmlns:ds="http://schemas.openxmlformats.org/officeDocument/2006/customXml" ds:itemID="{FDB041EB-1959-4AD0-95DE-CB9C39E33A8B}">
  <ds:schemaRefs/>
</ds:datastoreItem>
</file>

<file path=customXml/itemProps8.xml><?xml version="1.0" encoding="utf-8"?>
<ds:datastoreItem xmlns:ds="http://schemas.openxmlformats.org/officeDocument/2006/customXml" ds:itemID="{947775C8-8CE1-4CBD-8AA9-A1130A8DEA62}">
  <ds:schemaRefs/>
</ds:datastoreItem>
</file>

<file path=customXml/itemProps9.xml><?xml version="1.0" encoding="utf-8"?>
<ds:datastoreItem xmlns:ds="http://schemas.openxmlformats.org/officeDocument/2006/customXml" ds:itemID="{E9512B52-1531-46F8-86D4-273E91CDD994}">
  <ds:schemaRefs/>
</ds:datastoreItem>
</file>

<file path=customXml/itemProps10.xml><?xml version="1.0" encoding="utf-8"?>
<ds:datastoreItem xmlns:ds="http://schemas.openxmlformats.org/officeDocument/2006/customXml" ds:itemID="{B83D4DC2-D1A8-498E-AA5D-F730A26DD6B3}">
  <ds:schemaRefs/>
</ds:datastoreItem>
</file>

<file path=customXml/itemProps11.xml><?xml version="1.0" encoding="utf-8"?>
<ds:datastoreItem xmlns:ds="http://schemas.openxmlformats.org/officeDocument/2006/customXml" ds:itemID="{17649CE1-4875-4997-835F-0FAC38650A09}">
  <ds:schemaRefs/>
</ds:datastoreItem>
</file>

<file path=customXml/itemProps12.xml><?xml version="1.0" encoding="utf-8"?>
<ds:datastoreItem xmlns:ds="http://schemas.openxmlformats.org/officeDocument/2006/customXml" ds:itemID="{63AAF10D-7B32-4C1D-A7E1-FA34FE2DB930}">
  <ds:schemaRefs/>
</ds:datastoreItem>
</file>

<file path=customXml/itemProps13.xml><?xml version="1.0" encoding="utf-8"?>
<ds:datastoreItem xmlns:ds="http://schemas.openxmlformats.org/officeDocument/2006/customXml" ds:itemID="{19A478B7-3E01-47D0-B259-A00B708B2C5A}">
  <ds:schemaRefs/>
</ds:datastoreItem>
</file>

<file path=customXml/itemProps14.xml><?xml version="1.0" encoding="utf-8"?>
<ds:datastoreItem xmlns:ds="http://schemas.openxmlformats.org/officeDocument/2006/customXml" ds:itemID="{68794EC4-9672-462A-A0E1-370C073B0A2D}">
  <ds:schemaRefs/>
</ds:datastoreItem>
</file>

<file path=customXml/itemProps15.xml><?xml version="1.0" encoding="utf-8"?>
<ds:datastoreItem xmlns:ds="http://schemas.openxmlformats.org/officeDocument/2006/customXml" ds:itemID="{D935AE82-1B4A-455F-9B26-99DAC6F8924F}">
  <ds:schemaRefs/>
</ds:datastoreItem>
</file>

<file path=customXml/itemProps16.xml><?xml version="1.0" encoding="utf-8"?>
<ds:datastoreItem xmlns:ds="http://schemas.openxmlformats.org/officeDocument/2006/customXml" ds:itemID="{83BF0940-419E-4063-A803-9DD17FFE76FF}">
  <ds:schemaRefs/>
</ds:datastoreItem>
</file>

<file path=customXml/itemProps17.xml><?xml version="1.0" encoding="utf-8"?>
<ds:datastoreItem xmlns:ds="http://schemas.openxmlformats.org/officeDocument/2006/customXml" ds:itemID="{9F1C1C28-804A-470D-AF23-AD4F525D009C}">
  <ds:schemaRefs/>
</ds:datastoreItem>
</file>

<file path=customXml/itemProps18.xml><?xml version="1.0" encoding="utf-8"?>
<ds:datastoreItem xmlns:ds="http://schemas.openxmlformats.org/officeDocument/2006/customXml" ds:itemID="{267CAF88-E639-45A1-8BA9-EC131FA570F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29</vt:i4>
      </vt:variant>
    </vt:vector>
  </HeadingPairs>
  <TitlesOfParts>
    <vt:vector size="57" baseType="lpstr">
      <vt:lpstr>List of Invoice</vt:lpstr>
      <vt:lpstr>Home</vt:lpstr>
      <vt:lpstr>FilesSetting</vt:lpstr>
      <vt:lpstr>InventoryValuation</vt:lpstr>
      <vt:lpstr>PaidToVendor</vt:lpstr>
      <vt:lpstr>SalesInvoiceReceipt</vt:lpstr>
      <vt:lpstr>ReceivePayment</vt:lpstr>
      <vt:lpstr>ReceivePaymentDetail</vt:lpstr>
      <vt:lpstr>GeneralLedger</vt:lpstr>
      <vt:lpstr>GeneralLedgerDetail</vt:lpstr>
      <vt:lpstr>SaleInvoiceData</vt:lpstr>
      <vt:lpstr>SalesByItemData</vt:lpstr>
      <vt:lpstr>InvAdjData</vt:lpstr>
      <vt:lpstr>InvAdjDetailData</vt:lpstr>
      <vt:lpstr>1_group_totals</vt:lpstr>
      <vt:lpstr>1_group_total_details</vt:lpstr>
      <vt:lpstr>inventories</vt:lpstr>
      <vt:lpstr>1_inventory_totals</vt:lpstr>
      <vt:lpstr>1_inventory_total_details</vt:lpstr>
      <vt:lpstr>2_inventory_totals</vt:lpstr>
      <vt:lpstr>2_inventory_total_details</vt:lpstr>
      <vt:lpstr>QuoteData</vt:lpstr>
      <vt:lpstr>QuoteDetailData</vt:lpstr>
      <vt:lpstr>QuoteServiceData</vt:lpstr>
      <vt:lpstr>PurchaseBill</vt:lpstr>
      <vt:lpstr>PurchaseBillDetail</vt:lpstr>
      <vt:lpstr>(1 )</vt:lpstr>
      <vt:lpstr>( 3)</vt:lpstr>
      <vt:lpstr>'( 3)'!Customer_Detail</vt:lpstr>
      <vt:lpstr>'( 3)'!Customer_TIN_Area</vt:lpstr>
      <vt:lpstr>data_input_path</vt:lpstr>
      <vt:lpstr>database_path</vt:lpstr>
      <vt:lpstr>'( 3)'!Date</vt:lpstr>
      <vt:lpstr>'( 3)'!Description_Area</vt:lpstr>
      <vt:lpstr>'( 3)'!Exchange_Rate</vt:lpstr>
      <vt:lpstr>inv_adj_data_list</vt:lpstr>
      <vt:lpstr>inv_adj_ref_list</vt:lpstr>
      <vt:lpstr>invoice_code_option</vt:lpstr>
      <vt:lpstr>invoice_detail_list</vt:lpstr>
      <vt:lpstr>invoice_list</vt:lpstr>
      <vt:lpstr>invoice_list2</vt:lpstr>
      <vt:lpstr>'( 3)'!Print_Area</vt:lpstr>
      <vt:lpstr>'(1 )'!Print_Area</vt:lpstr>
      <vt:lpstr>Home!Print_Area</vt:lpstr>
      <vt:lpstr>InvAdjData!Print_Area</vt:lpstr>
      <vt:lpstr>InvAdjDetailData!Print_Area</vt:lpstr>
      <vt:lpstr>inventories!Print_Area</vt:lpstr>
      <vt:lpstr>SaleInvoiceData!Print_Area</vt:lpstr>
      <vt:lpstr>InvAdjData!Print_Titles</vt:lpstr>
      <vt:lpstr>InvAdjDetailData!Print_Titles</vt:lpstr>
      <vt:lpstr>SaleInvoiceData!Print_Titles</vt:lpstr>
      <vt:lpstr>quote_list</vt:lpstr>
      <vt:lpstr>'( 3)'!Reference_Area</vt:lpstr>
      <vt:lpstr>sale_invoice_data_list</vt:lpstr>
      <vt:lpstr>sales_by_item_data_list</vt:lpstr>
      <vt:lpstr>'( 3)'!VATRATE</vt:lpstr>
      <vt:lpstr>'(1 )'!VATRATE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ASUS</dc:creator>
  <cp:keywords/>
  <dc:description/>
  <cp:lastModifiedBy>Bou Panha</cp:lastModifiedBy>
  <cp:revision/>
  <cp:lastPrinted>2026-07-24T12:52:14Z</cp:lastPrinted>
  <dcterms:created xsi:type="dcterms:W3CDTF">2019-10-05T07:51:15Z</dcterms:created>
  <dcterms:modified xsi:type="dcterms:W3CDTF">2026-08-21T10:20:09Z</dcterms:modified>
  <cp:category/>
  <cp:contentStatus/>
</cp:coreProperties>
</file>