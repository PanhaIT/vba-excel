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samon_furniture\database\"/>
    </mc:Choice>
  </mc:AlternateContent>
  <xr:revisionPtr revIDLastSave="0" documentId="13_ncr:1_{CBBFB095-0C3B-415F-A1C0-3434AB6EF818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'1_group_total_details'!$C$7:$L$16</definedName>
    <definedName name="_xlnm._FilterDatabase" localSheetId="14" hidden="1">'1_group_totals'!$C$7:$N$124</definedName>
    <definedName name="_xlnm._FilterDatabase" localSheetId="18" hidden="1">'1_inventory_total_details'!$C$7:$K$7</definedName>
    <definedName name="_xlnm._FilterDatabase" localSheetId="17" hidden="1">'1_inventory_totals'!$C$7:$N$116</definedName>
    <definedName name="_xlnm._FilterDatabase" localSheetId="20" hidden="1">'2_inventory_total_details'!$C$7:$K$7</definedName>
    <definedName name="_xlnm._FilterDatabase" localSheetId="9" hidden="1">GeneralLedgerDetail!$C$7:$AD$34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inventories!$C$7:$AD$19</definedName>
    <definedName name="_xlnm._FilterDatabase" localSheetId="3" hidden="1">InventoryValuation!$C$7:$AI$34</definedName>
    <definedName name="_xlnm._FilterDatabase" localSheetId="24" hidden="1">PurchaseBill!$C$7:$AP$16</definedName>
    <definedName name="_xlnm._FilterDatabase" localSheetId="25" hidden="1">PurchaseBillDetail!$C$7:$AH$47</definedName>
    <definedName name="_xlnm._FilterDatabase" localSheetId="22" hidden="1">QuoteDetailData!$C$7:$Z$10</definedName>
    <definedName name="_xlnm._FilterDatabase" localSheetId="10" hidden="1">SaleInvoiceData!$C$7:$AI$894</definedName>
    <definedName name="_xlnm._FilterDatabase" localSheetId="11" hidden="1">SalesByItemData!$C$7:$AB$7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_xlnm.Print_Area" localSheetId="27">'( 3)'!$B$2:$I$48</definedName>
    <definedName name="_xlnm.Print_Area" localSheetId="26">'(1 )'!$B$2:$I$45</definedName>
    <definedName name="_xlnm.Print_Area" localSheetId="1">Home!$C$1:$F$5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9" i="509" l="1"/>
  <c r="AL10" i="509"/>
  <c r="AL11" i="509"/>
  <c r="AL12" i="509"/>
  <c r="AL13" i="509"/>
  <c r="AL14" i="509"/>
  <c r="AL15" i="509"/>
  <c r="AL16" i="509"/>
  <c r="AL17" i="509"/>
  <c r="AL18" i="509"/>
  <c r="AL19" i="509"/>
  <c r="AL20" i="509"/>
  <c r="AL21" i="509"/>
  <c r="AL22" i="509"/>
  <c r="AL23" i="509"/>
  <c r="AL24" i="509"/>
  <c r="AL25" i="509"/>
  <c r="AL26" i="509"/>
  <c r="AL27" i="509"/>
  <c r="AL28" i="509"/>
  <c r="AL29" i="509"/>
  <c r="AL30" i="509"/>
  <c r="AL31" i="509"/>
  <c r="AL32" i="509"/>
  <c r="AL33" i="509"/>
  <c r="AL34" i="509"/>
  <c r="AL35" i="509"/>
  <c r="AL36" i="509"/>
  <c r="AL37" i="509"/>
  <c r="AL38" i="509"/>
  <c r="AL39" i="509"/>
  <c r="AL40" i="509"/>
  <c r="AL41" i="509"/>
  <c r="AL42" i="509"/>
  <c r="AL43" i="509"/>
  <c r="AL44" i="509"/>
  <c r="AL45" i="509"/>
  <c r="AL46" i="509"/>
  <c r="AL47" i="509"/>
  <c r="AL48" i="509"/>
  <c r="AL49" i="509"/>
  <c r="AL50" i="509"/>
  <c r="AL51" i="509"/>
  <c r="AL52" i="509"/>
  <c r="AL53" i="509"/>
  <c r="AL54" i="509"/>
  <c r="AL55" i="509"/>
  <c r="AL56" i="509"/>
  <c r="AL57" i="509"/>
  <c r="AL58" i="509"/>
  <c r="AL59" i="509"/>
  <c r="AL60" i="509"/>
  <c r="AL61" i="509"/>
  <c r="AL62" i="509"/>
  <c r="AL63" i="509"/>
  <c r="AL64" i="509"/>
  <c r="AL65" i="509"/>
  <c r="AL66" i="509"/>
  <c r="AL67" i="509"/>
  <c r="AL68" i="509"/>
  <c r="AL69" i="509"/>
  <c r="AL70" i="509"/>
  <c r="AL71" i="509"/>
  <c r="AL72" i="509"/>
  <c r="AL73" i="509"/>
  <c r="AL74" i="509"/>
  <c r="AL75" i="509"/>
  <c r="AL76" i="509"/>
  <c r="AL77" i="509"/>
  <c r="AL78" i="509"/>
  <c r="AL79" i="509"/>
  <c r="AL80" i="509"/>
  <c r="AL81" i="509"/>
  <c r="AL82" i="509"/>
  <c r="AL83" i="509"/>
  <c r="AL84" i="509"/>
  <c r="AL85" i="509"/>
  <c r="AL86" i="509"/>
  <c r="AL87" i="509"/>
  <c r="AL88" i="509"/>
  <c r="AL89" i="509"/>
  <c r="AL90" i="509"/>
  <c r="AL91" i="509"/>
  <c r="AL92" i="509"/>
  <c r="AL93" i="509"/>
  <c r="AL94" i="509"/>
  <c r="AL95" i="509"/>
  <c r="AL96" i="509"/>
  <c r="AL97" i="509"/>
  <c r="AL98" i="509"/>
  <c r="AL99" i="509"/>
  <c r="AL100" i="509"/>
  <c r="AL101" i="509"/>
  <c r="AL102" i="509"/>
  <c r="AL103" i="509"/>
  <c r="AL104" i="509"/>
  <c r="AL105" i="509"/>
  <c r="AL106" i="509"/>
  <c r="AL107" i="509"/>
  <c r="AL108" i="509"/>
  <c r="AL109" i="509"/>
  <c r="AL110" i="509"/>
  <c r="AL111" i="509"/>
  <c r="AL112" i="509"/>
  <c r="AL113" i="509"/>
  <c r="AL114" i="509"/>
  <c r="AL115" i="509"/>
  <c r="AL116" i="509"/>
  <c r="AL117" i="509"/>
  <c r="AL118" i="509"/>
  <c r="AL119" i="509"/>
  <c r="AL120" i="509"/>
  <c r="AL121" i="509"/>
  <c r="AL122" i="509"/>
  <c r="AL123" i="509"/>
  <c r="AL124" i="509"/>
  <c r="AL125" i="509"/>
  <c r="AL126" i="509"/>
  <c r="AL127" i="509"/>
  <c r="AL128" i="509"/>
  <c r="AL129" i="509"/>
  <c r="AL130" i="509"/>
  <c r="AL131" i="509"/>
  <c r="AL132" i="509"/>
  <c r="AL133" i="509"/>
  <c r="AL134" i="509"/>
  <c r="AL135" i="509"/>
  <c r="AL136" i="509"/>
  <c r="AL137" i="509"/>
  <c r="AL138" i="509"/>
  <c r="AL139" i="509"/>
  <c r="AL140" i="509"/>
  <c r="AL141" i="509"/>
  <c r="AL142" i="509"/>
  <c r="AL143" i="509"/>
  <c r="AL144" i="509"/>
  <c r="AL145" i="509"/>
  <c r="AL146" i="509"/>
  <c r="AL147" i="509"/>
  <c r="AL148" i="509"/>
  <c r="AL149" i="509"/>
  <c r="AL150" i="509"/>
  <c r="AL151" i="509"/>
  <c r="AL152" i="509"/>
  <c r="AL153" i="509"/>
  <c r="AL154" i="509"/>
  <c r="AL155" i="509"/>
  <c r="AL156" i="509"/>
  <c r="AL157" i="509"/>
  <c r="AL158" i="509"/>
  <c r="AL159" i="509"/>
  <c r="AL160" i="509"/>
  <c r="AL161" i="509"/>
  <c r="AL162" i="509"/>
  <c r="AL163" i="509"/>
  <c r="AL164" i="509"/>
  <c r="AL165" i="509"/>
  <c r="AL166" i="509"/>
  <c r="AL167" i="509"/>
  <c r="AL168" i="509"/>
  <c r="AL169" i="509"/>
  <c r="AL170" i="509"/>
  <c r="AL171" i="509"/>
  <c r="AL172" i="509"/>
  <c r="AL173" i="509"/>
  <c r="AL174" i="509"/>
  <c r="AL175" i="509"/>
  <c r="AL176" i="509"/>
  <c r="AL177" i="509"/>
  <c r="AL178" i="509"/>
  <c r="AL179" i="509"/>
  <c r="AL180" i="509"/>
  <c r="AL181" i="509"/>
  <c r="AL182" i="509"/>
  <c r="AL183" i="509"/>
  <c r="AL184" i="509"/>
  <c r="AL185" i="509"/>
  <c r="AL186" i="509"/>
  <c r="AL187" i="509"/>
  <c r="AL188" i="509"/>
  <c r="AL189" i="509"/>
  <c r="AL190" i="509"/>
  <c r="AL191" i="509"/>
  <c r="AL192" i="509"/>
  <c r="AL193" i="509"/>
  <c r="AL194" i="509"/>
  <c r="AL195" i="509"/>
  <c r="AL196" i="509"/>
  <c r="AL197" i="509"/>
  <c r="AL198" i="509"/>
  <c r="AL199" i="509"/>
  <c r="AL200" i="509"/>
  <c r="AL201" i="509"/>
  <c r="AL202" i="509"/>
  <c r="AL203" i="509"/>
  <c r="AL204" i="509"/>
  <c r="AL205" i="509"/>
  <c r="AL206" i="509"/>
  <c r="AL207" i="509"/>
  <c r="AL8" i="509"/>
  <c r="AK8" i="509" a="1"/>
  <c r="L48" i="836"/>
  <c r="M48" i="836"/>
  <c r="AT6" i="792"/>
  <c r="AU6" i="792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L47" i="836"/>
  <c r="M47" i="836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L9" i="836"/>
  <c r="L10" i="836"/>
  <c r="L11" i="836"/>
  <c r="L12" i="836"/>
  <c r="L13" i="836"/>
  <c r="L14" i="836"/>
  <c r="L15" i="836"/>
  <c r="L16" i="836"/>
  <c r="L17" i="836"/>
  <c r="L18" i="836"/>
  <c r="L19" i="836"/>
  <c r="L20" i="836"/>
  <c r="L21" i="836"/>
  <c r="L22" i="836"/>
  <c r="L23" i="836"/>
  <c r="L24" i="836"/>
  <c r="L25" i="836"/>
  <c r="L26" i="836"/>
  <c r="L27" i="836"/>
  <c r="L28" i="836"/>
  <c r="L29" i="836"/>
  <c r="L30" i="836"/>
  <c r="L31" i="836"/>
  <c r="L32" i="836"/>
  <c r="L33" i="836"/>
  <c r="L34" i="836"/>
  <c r="L35" i="836"/>
  <c r="L36" i="836"/>
  <c r="L37" i="836"/>
  <c r="L38" i="836"/>
  <c r="L39" i="836"/>
  <c r="L40" i="836"/>
  <c r="L41" i="836"/>
  <c r="L42" i="836"/>
  <c r="L43" i="836"/>
  <c r="L44" i="836"/>
  <c r="L45" i="836"/>
  <c r="L46" i="836"/>
  <c r="L8" i="836"/>
  <c r="M10" i="836" l="1"/>
  <c r="M20" i="836"/>
  <c r="M25" i="836"/>
  <c r="M34" i="836"/>
  <c r="M43" i="836"/>
  <c r="M16" i="836"/>
  <c r="M40" i="836"/>
  <c r="M15" i="836"/>
  <c r="M27" i="836"/>
  <c r="M37" i="836"/>
  <c r="M12" i="836"/>
  <c r="M22" i="836"/>
  <c r="M24" i="836"/>
  <c r="M33" i="836"/>
  <c r="M44" i="836"/>
  <c r="M18" i="836"/>
  <c r="M32" i="836"/>
  <c r="M42" i="836"/>
  <c r="M11" i="836"/>
  <c r="M17" i="836"/>
  <c r="M23" i="836"/>
  <c r="M31" i="836"/>
  <c r="M39" i="836"/>
  <c r="M9" i="836"/>
  <c r="M21" i="836"/>
  <c r="M30" i="836"/>
  <c r="M36" i="836"/>
  <c r="M46" i="836"/>
  <c r="M13" i="836"/>
  <c r="M26" i="836"/>
  <c r="M38" i="836"/>
  <c r="M14" i="836"/>
  <c r="M29" i="836"/>
  <c r="M41" i="836"/>
  <c r="M8" i="836"/>
  <c r="M19" i="836"/>
  <c r="M28" i="836"/>
  <c r="M35" i="836"/>
  <c r="M45" i="836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<sst xmlns="http://schemas.openxmlformats.org/spreadsheetml/2006/main" count="11680" uniqueCount="2283">
  <si>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</si>
  <si>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</si>
  <si>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</si>
  <si>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</si>
  <si>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</si>
  <si>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</si>
  <si>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</si>
  <si>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</si>
  <si>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</si>
  <si>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</si>
  <si>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</si>
  <si>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</si>
  <si>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</si>
  <si>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</si>
  <si>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</si>
  <si>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</si>
  <si>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</si>
  <si>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</si>
  <si>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</si>
  <si>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</si>
  <si>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</si>
  <si>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</si>
  <si>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</si>
  <si>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</si>
  <si>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</si>
  <si>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</si>
  <si>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</si>
  <si>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</si>
  <si>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</si>
  <si>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</si>
  <si>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</si>
  <si>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</si>
  <si>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</si>
  <si>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</si>
  <si>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</si>
  <si>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</si>
  <si>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</si>
  <si>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</si>
  <si>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</si>
  <si>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</si>
  <si>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</si>
  <si>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</si>
  <si>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</si>
  <si>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</si>
  <si>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</si>
  <si>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</si>
  <si>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</si>
  <si>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</si>
  <si>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</si>
  <si>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</si>
  <si>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</si>
  <si>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</si>
  <si>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</si>
  <si>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</si>
  <si>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</si>
  <si>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</si>
  <si>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</si>
  <si>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</si>
  <si>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</si>
  <si>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</si>
  <si>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</si>
  <si>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</si>
  <si>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</si>
  <si>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</si>
  <si>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</si>
  <si>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</si>
  <si>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</si>
  <si>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</si>
  <si>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</si>
  <si>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</si>
  <si>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</si>
  <si>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</si>
  <si>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</si>
  <si>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</si>
  <si>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</si>
  <si>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</si>
  <si>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</si>
  <si>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</si>
  <si>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</si>
  <si>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</si>
  <si>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</si>
  <si>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</si>
  <si>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</si>
  <si>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</si>
  <si>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</si>
  <si>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</si>
  <si>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</si>
  <si>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</si>
  <si>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</si>
  <si>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</si>
  <si>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</si>
  <si>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</si>
  <si>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</si>
  <si>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</si>
  <si>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</si>
  <si>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</si>
  <si>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</si>
  <si>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</si>
  <si>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</si>
  <si>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</si>
  <si>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</si>
  <si>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</si>
  <si>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</si>
  <si>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</si>
  <si>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</si>
  <si>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</si>
  <si>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</si>
  <si>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</si>
  <si>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</si>
  <si>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</si>
  <si>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</si>
  <si>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</si>
  <si>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</si>
  <si>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</si>
  <si>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</si>
  <si>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</si>
  <si>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</si>
  <si>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</si>
  <si>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</si>
  <si>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</si>
  <si>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</si>
  <si>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</si>
  <si>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</si>
  <si>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</si>
  <si>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</si>
  <si>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</si>
  <si>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</si>
  <si>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</si>
  <si>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</si>
  <si>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</si>
  <si>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</si>
  <si>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</si>
  <si>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</si>
  <si>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</si>
  <si>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</si>
  <si>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</si>
  <si>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</si>
  <si>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</si>
  <si>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</si>
  <si>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</si>
  <si>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</si>
  <si>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</si>
  <si>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</si>
  <si>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</si>
  <si>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</si>
  <si>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</si>
  <si>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</si>
  <si>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</si>
  <si>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</si>
  <si>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</si>
  <si>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</si>
  <si>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</si>
  <si>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</si>
  <si>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</si>
  <si>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</si>
  <si>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</si>
  <si>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</si>
  <si>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</si>
  <si>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</si>
  <si>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</si>
  <si>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</si>
  <si>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</si>
  <si>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</si>
  <si>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</si>
  <si>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</si>
  <si>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</si>
  <si>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</si>
  <si>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</si>
  <si>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</si>
  <si>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</si>
  <si>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</si>
  <si>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</si>
  <si>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</si>
  <si>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</si>
  <si>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</si>
  <si>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</si>
  <si>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</si>
  <si>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</si>
  <si>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</si>
  <si>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</si>
  <si>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</si>
  <si>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</si>
  <si>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</si>
  <si>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</si>
  <si>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</si>
  <si>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</si>
  <si>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</si>
  <si>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</si>
  <si>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</si>
  <si>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</si>
  <si>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</si>
  <si>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</si>
  <si>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</si>
  <si>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</si>
  <si>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</si>
  <si>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</si>
  <si>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</si>
  <si>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</si>
  <si>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</si>
  <si>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</si>
  <si>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</si>
  <si>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</si>
  <si>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</si>
  <si>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</si>
  <si>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</si>
  <si>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</si>
  <si>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</si>
  <si>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</si>
  <si>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</si>
  <si>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</si>
  <si>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</si>
  <si>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</si>
  <si>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</si>
  <si>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</si>
  <si>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</si>
  <si>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</si>
  <si>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</si>
  <si>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</si>
  <si>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</si>
  <si>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</si>
  <si>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</si>
  <si>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</si>
  <si>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</si>
  <si>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</si>
  <si>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</si>
  <si>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</si>
  <si>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</si>
  <si>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</si>
  <si>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</si>
  <si>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</si>
  <si>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</si>
  <si>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</si>
  <si>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</si>
  <si>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</si>
  <si>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</si>
  <si>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</si>
  <si>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</si>
  <si>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</si>
  <si>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</si>
  <si>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</si>
  <si>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</si>
  <si>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</si>
  <si>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</si>
  <si>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</si>
  <si>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</si>
  <si>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</si>
  <si>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</si>
  <si>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</si>
  <si>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</si>
  <si>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</si>
  <si>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</si>
  <si>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</si>
  <si>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</si>
  <si>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</si>
  <si>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</si>
  <si>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</si>
  <si>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</si>
  <si>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</si>
  <si>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</si>
  <si>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</si>
  <si>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</si>
  <si>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</si>
  <si>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</si>
  <si>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</si>
  <si>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</si>
  <si>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</si>
  <si>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</si>
  <si>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</si>
  <si>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</si>
  <si>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</si>
  <si>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</si>
  <si>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</si>
  <si>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</si>
  <si>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</si>
  <si>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</si>
  <si>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</si>
  <si>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</si>
  <si>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</si>
  <si>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</si>
  <si>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</si>
  <si>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</si>
  <si>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</si>
  <si>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</si>
  <si>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</si>
  <si>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</si>
  <si>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</si>
  <si>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</si>
  <si>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</si>
  <si>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</si>
  <si>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</si>
  <si>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</si>
  <si>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</si>
  <si>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</si>
  <si>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</si>
  <si>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</si>
  <si>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</si>
  <si>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</si>
  <si>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</si>
  <si>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</si>
  <si>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</si>
  <si>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</si>
  <si>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</si>
  <si>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</si>
  <si>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</si>
  <si>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</si>
  <si>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</si>
  <si>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</si>
  <si>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</si>
  <si>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</si>
  <si>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</si>
  <si>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</si>
  <si>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</si>
  <si>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</si>
  <si>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</si>
  <si>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</si>
  <si>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</si>
  <si>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</si>
  <si>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</si>
  <si>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</si>
  <si>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</si>
  <si>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</si>
  <si>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</si>
  <si>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</si>
  <si>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</si>
  <si>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</si>
  <si>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</si>
  <si>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</si>
  <si>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</si>
  <si>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</si>
  <si>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</si>
  <si>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</si>
  <si>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</si>
  <si>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</si>
  <si>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</si>
  <si>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</si>
  <si>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</si>
  <si>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</si>
  <si>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</si>
  <si>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</si>
  <si>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</si>
  <si>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</si>
  <si>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</si>
  <si>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</si>
  <si>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</si>
  <si>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</si>
  <si>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</si>
  <si>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</si>
  <si>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</si>
  <si>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</si>
  <si>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</si>
  <si>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</si>
  <si>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</si>
  <si>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</si>
  <si>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</si>
  <si>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</si>
  <si>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</si>
  <si>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</si>
  <si>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</si>
  <si>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</si>
  <si>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</si>
  <si>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</si>
  <si>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</si>
  <si>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</si>
  <si>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</si>
  <si>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</si>
  <si>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</si>
  <si>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</si>
  <si>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</si>
  <si>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</si>
  <si>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</si>
  <si>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</si>
  <si>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</si>
  <si>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</si>
  <si>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</si>
  <si>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</si>
  <si>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</si>
  <si>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</si>
  <si>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</si>
  <si>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</si>
  <si>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</si>
  <si>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</si>
  <si>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</si>
  <si>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</si>
  <si>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</si>
  <si>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</si>
  <si>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</si>
  <si>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</si>
  <si>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</si>
  <si>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</si>
  <si>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</si>
  <si>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</si>
  <si>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</si>
  <si>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</si>
  <si>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</si>
  <si>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</si>
  <si>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</si>
  <si>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</si>
  <si>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</si>
  <si>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</si>
  <si>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</si>
  <si>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</si>
  <si>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</si>
  <si>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</si>
  <si>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</si>
  <si>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</si>
  <si>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</si>
  <si>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</si>
  <si>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</si>
  <si>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</si>
  <si>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</si>
  <si>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</si>
  <si>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</si>
  <si>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</si>
  <si>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</si>
  <si>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</si>
  <si>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</si>
  <si>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</si>
  <si>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</si>
  <si>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</si>
  <si>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</si>
  <si>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</si>
  <si>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</si>
  <si>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</si>
  <si>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</si>
  <si>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</si>
  <si>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</si>
  <si>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</si>
  <si>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</si>
  <si>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</si>
  <si>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</si>
  <si>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</si>
  <si>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</si>
  <si>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</si>
  <si>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</si>
  <si>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</si>
  <si>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</si>
  <si>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</si>
  <si>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</si>
  <si>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</si>
  <si>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</si>
  <si>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</si>
  <si>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</si>
  <si>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</si>
  <si>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</si>
  <si>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</si>
  <si>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</si>
  <si>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</si>
  <si>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</si>
  <si>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</si>
  <si>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</si>
  <si>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</si>
  <si>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</si>
  <si>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</si>
  <si>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</si>
  <si>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</si>
  <si>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</si>
  <si>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</si>
  <si>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</si>
  <si>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</si>
  <si>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</si>
  <si>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</si>
  <si>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</si>
  <si>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</si>
  <si>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</si>
  <si>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</si>
  <si>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</si>
  <si>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</si>
  <si>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</si>
  <si>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</si>
  <si>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</si>
  <si>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</si>
  <si>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</si>
  <si>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</si>
  <si>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</si>
  <si>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</si>
  <si>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</si>
  <si>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D:\1_Documents\1_Companies\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</si>
  <si>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</si>
  <si>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</si>
  <si>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</si>
  <si>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</si>
  <si>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</si>
  <si>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</si>
  <si>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Folder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</si>
  <si>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</si>
  <si>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</si>
  <si>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</si>
  <si>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</si>
  <si>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</si>
  <si>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</si>
  <si>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</si>
  <si>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</si>
  <si>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</si>
  <si>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</si>
  <si>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</si>
  <si>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</si>
  <si>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</si>
  <si>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</si>
  <si>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</si>
  <si>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</si>
  <si>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</si>
  <si>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</si>
  <si>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</si>
  <si>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</si>
  <si>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</si>
  <si>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</si>
  <si>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</si>
  <si>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</si>
  <si>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</si>
  <si>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</si>
  <si>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</si>
  <si>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</si>
  <si>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</si>
  <si>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</si>
  <si>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</si>
  <si>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</si>
  <si>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</si>
  <si>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</si>
  <si>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</si>
  <si>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</si>
  <si>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</si>
  <si>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</si>
  <si>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</si>
  <si>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</si>
  <si>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</si>
  <si>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</si>
  <si>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</si>
  <si>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</si>
  <si>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</si>
  <si>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</si>
  <si>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</si>
  <si>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</si>
  <si>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</si>
  <si>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</si>
  <si>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</si>
  <si>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</si>
  <si>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</si>
  <si>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</si>
  <si>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</si>
  <si>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</si>
  <si>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</si>
  <si>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</si>
  <si>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</si>
  <si>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</si>
  <si>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</si>
  <si>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VLOOKUP("KSINV26-0002",D8:AI10000,17,FALSE)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</si>
  <si>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</si>
  <si>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</si>
  <si>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</si>
  <si>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</si>
  <si>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</si>
  <si>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</si>
  <si>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</si>
  <si>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</si>
  <si>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</si>
  <si>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</si>
  <si>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</si>
  <si>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</si>
  <si>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</si>
  <si>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</si>
  <si>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</si>
  <si>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</si>
  <si>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</si>
  <si>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</si>
  <si>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</si>
  <si>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</si>
  <si>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</si>
  <si>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</si>
  <si>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</si>
  <si>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</si>
  <si>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</si>
  <si>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</si>
  <si>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</si>
  <si>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</si>
  <si>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</si>
  <si>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</si>
  <si>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</si>
  <si>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</si>
  <si>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</si>
  <si>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</si>
  <si>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</si>
  <si>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</si>
  <si>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</si>
  <si>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</si>
  <si>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</si>
  <si>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</si>
  <si>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</si>
  <si>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</si>
  <si>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</si>
  <si>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</si>
  <si>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</si>
  <si>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</si>
  <si>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</si>
  <si>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</si>
  <si>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</si>
  <si>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</si>
  <si>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</si>
  <si>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</si>
  <si>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</si>
  <si>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</si>
  <si>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</si>
  <si>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</si>
  <si>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</si>
  <si>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</si>
  <si>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</si>
  <si>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</si>
  <si>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</si>
  <si>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</si>
  <si>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</si>
  <si>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</si>
  <si>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</si>
  <si>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</si>
  <si>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</si>
  <si>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</si>
  <si>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</si>
  <si>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</si>
  <si>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</si>
  <si>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</si>
  <si>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</si>
  <si>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</si>
  <si>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</si>
  <si>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</si>
  <si>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</si>
  <si>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</si>
  <si>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</si>
  <si>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</si>
  <si>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</si>
  <si>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</si>
  <si>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</si>
  <si>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</si>
  <si>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</si>
  <si>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</si>
  <si>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</si>
  <si>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</si>
  <si>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</si>
  <si>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</si>
  <si>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</si>
  <si>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</si>
  <si>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</si>
  <si>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</si>
  <si>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</si>
  <si>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</si>
  <si>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</si>
  <si>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</si>
  <si>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</si>
  <si>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</si>
  <si>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</si>
  <si>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</si>
  <si>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</si>
  <si>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</si>
  <si>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</si>
  <si>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</si>
  <si>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</si>
  <si>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</si>
  <si>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</si>
  <si>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</si>
  <si>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</si>
  <si>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</si>
  <si>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</si>
  <si>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</si>
  <si>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</si>
  <si>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</si>
  <si>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</si>
  <si>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</si>
  <si>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</si>
  <si>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</si>
  <si>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</si>
  <si>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</si>
  <si>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</si>
  <si>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</si>
  <si>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</si>
  <si>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</si>
  <si>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</si>
  <si>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</si>
  <si>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</si>
  <si>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</si>
  <si>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</si>
  <si>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</si>
  <si>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</si>
  <si>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</si>
  <si>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</si>
  <si>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</si>
  <si>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</si>
  <si>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</si>
  <si>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</si>
  <si>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</si>
  <si>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</si>
  <si>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</si>
  <si>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</si>
  <si>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</si>
  <si>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</si>
  <si>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</si>
  <si>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</si>
  <si>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</si>
  <si>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</si>
  <si>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</si>
  <si>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</si>
  <si>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</si>
  <si>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</si>
  <si>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</si>
  <si>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</si>
  <si>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</si>
  <si>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</si>
  <si>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</si>
  <si>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</si>
  <si>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</si>
  <si>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</si>
  <si>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</si>
  <si>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</si>
  <si>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</si>
  <si>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</si>
  <si>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</si>
  <si>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</si>
  <si>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</si>
  <si>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</si>
  <si>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</si>
  <si>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</si>
  <si>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</si>
  <si>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</si>
  <si>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</si>
  <si>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</si>
  <si>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</si>
  <si>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</si>
  <si>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</si>
  <si>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</si>
  <si>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</si>
  <si>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</si>
  <si>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</si>
  <si>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</si>
  <si>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</si>
  <si>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</si>
  <si>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</si>
  <si>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</si>
  <si>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</si>
  <si>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</si>
  <si>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</si>
  <si>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</si>
  <si>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</si>
  <si>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</si>
  <si>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</si>
  <si>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</si>
  <si>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</si>
  <si>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</si>
  <si>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</si>
  <si>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</si>
  <si>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</si>
  <si>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</si>
  <si>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</si>
  <si>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</si>
  <si>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</si>
  <si>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</si>
  <si>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</si>
  <si>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</si>
  <si>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</si>
  <si>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</si>
  <si>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</si>
  <si>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</si>
  <si>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</si>
  <si>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</si>
  <si>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</si>
  <si>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</si>
  <si>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</si>
  <si>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</si>
  <si>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</si>
  <si>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</si>
  <si>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</si>
  <si>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</si>
  <si>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</si>
  <si>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</si>
  <si>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</si>
  <si>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</si>
  <si>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</si>
  <si>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</si>
  <si>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</si>
  <si>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</si>
  <si>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</si>
  <si>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</si>
  <si>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</si>
  <si>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</si>
  <si>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</si>
  <si>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</si>
  <si>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</si>
  <si>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</si>
  <si>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</si>
  <si>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</si>
  <si>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</si>
  <si>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</si>
  <si>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</si>
  <si>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</si>
  <si>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</si>
  <si>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</si>
  <si>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</si>
  <si>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</si>
  <si>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</si>
  <si>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</si>
  <si>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</si>
  <si>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</si>
  <si>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</si>
  <si>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</si>
  <si>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</si>
  <si>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</si>
  <si>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</si>
  <si>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</si>
  <si>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</si>
  <si>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</si>
  <si>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</si>
  <si>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</si>
  <si>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</si>
  <si>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</si>
  <si>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</si>
  <si>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</si>
  <si>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</si>
  <si>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</si>
  <si>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</si>
  <si>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</si>
  <si>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</si>
  <si>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</si>
  <si>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</si>
  <si>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</si>
  <si>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</si>
  <si>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</si>
  <si>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</si>
  <si>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</si>
  <si>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</si>
  <si>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</si>
  <si>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</si>
  <si>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</si>
  <si>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</si>
  <si>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</si>
  <si>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</si>
  <si>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</si>
  <si>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</si>
  <si>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</si>
  <si>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</si>
  <si>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</si>
  <si>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</si>
  <si>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</si>
  <si>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</si>
  <si>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</si>
  <si>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</si>
  <si>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</si>
  <si>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</si>
  <si>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</si>
  <si>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</si>
  <si>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</si>
  <si>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</si>
  <si>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</si>
  <si>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</si>
  <si>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</si>
  <si>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</si>
  <si>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</si>
  <si>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</si>
  <si>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</si>
  <si>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</si>
  <si>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</si>
  <si>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</si>
  <si>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</si>
  <si>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</si>
  <si>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</si>
  <si>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</si>
  <si>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</si>
  <si>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</si>
  <si>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</si>
  <si>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</si>
  <si>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</si>
  <si>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</si>
  <si>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</si>
  <si>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</si>
  <si>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</si>
  <si>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</si>
  <si>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</si>
  <si>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</si>
  <si>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</si>
  <si>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</si>
  <si>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</si>
  <si>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</si>
  <si>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</si>
  <si>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</si>
  <si>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</si>
  <si>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</si>
  <si>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</si>
  <si>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</si>
  <si>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</si>
  <si>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</si>
  <si>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</si>
  <si>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</si>
  <si>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</si>
  <si>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</si>
  <si>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</si>
  <si>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</si>
  <si>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</si>
  <si>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</si>
  <si>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</si>
  <si>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</si>
  <si>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</si>
  <si>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</si>
  <si>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</si>
  <si>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</si>
  <si>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</si>
  <si>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</si>
  <si>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</si>
  <si>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</si>
  <si>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</si>
  <si>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</si>
  <si>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</si>
  <si>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</si>
  <si>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</si>
  <si>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</si>
  <si>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</si>
  <si>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</si>
  <si>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</si>
  <si>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</si>
  <si>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</si>
  <si>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</si>
  <si>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</si>
  <si>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</si>
  <si>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</si>
  <si>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</si>
  <si>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</si>
  <si>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</si>
  <si>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</si>
  <si>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</si>
  <si>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</si>
  <si>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</si>
  <si>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</si>
  <si>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</si>
  <si>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</si>
  <si>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</si>
  <si>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</si>
  <si>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</si>
  <si>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</si>
  <si>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</si>
  <si>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</si>
  <si>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</si>
  <si>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</si>
  <si>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</si>
  <si>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</si>
  <si>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</si>
  <si>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</si>
  <si>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</si>
  <si>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</si>
  <si>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</si>
  <si>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</si>
  <si>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</si>
  <si>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</si>
  <si>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</si>
  <si>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</si>
  <si>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</si>
  <si>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</si>
  <si>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</si>
  <si>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</si>
  <si>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</si>
  <si>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</si>
  <si>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</si>
  <si>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</si>
  <si>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</si>
  <si>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</si>
  <si>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</si>
  <si>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</si>
  <si>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</si>
  <si>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</si>
  <si>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</si>
  <si>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</si>
  <si>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</si>
  <si>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</si>
  <si>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</si>
  <si>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</si>
  <si>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</si>
  <si>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</si>
  <si>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</si>
  <si>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</si>
  <si>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</si>
  <si>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</si>
  <si>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</si>
  <si>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</si>
  <si>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</si>
  <si>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</si>
  <si>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</si>
  <si>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</si>
  <si>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</si>
  <si>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</si>
  <si>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</si>
  <si>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</si>
  <si>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</si>
  <si>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</si>
  <si>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</si>
  <si>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</si>
  <si>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</si>
  <si>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</si>
  <si>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</si>
  <si>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</si>
  <si>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</si>
  <si>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</si>
  <si>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</si>
  <si>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</si>
  <si>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</si>
  <si>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</si>
  <si>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</si>
  <si>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</si>
  <si>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</si>
  <si>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</si>
  <si>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</si>
  <si>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</si>
  <si>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</si>
  <si>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</si>
  <si>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</si>
  <si>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</si>
  <si>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</si>
  <si>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</si>
  <si>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</si>
  <si>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</si>
  <si>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</si>
  <si>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</si>
  <si>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</si>
  <si>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</si>
  <si>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</si>
  <si>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</si>
  <si>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</si>
  <si>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</si>
  <si>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</si>
  <si>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</si>
  <si>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</si>
  <si>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</si>
  <si>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</si>
  <si>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</si>
  <si>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</si>
  <si>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</si>
  <si>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</si>
  <si>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</si>
  <si>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</si>
  <si>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</si>
  <si>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</si>
  <si>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</si>
  <si>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</si>
  <si>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</si>
  <si>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</si>
  <si>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</si>
  <si>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</si>
  <si>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</si>
  <si>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</si>
  <si>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</si>
  <si>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</si>
  <si>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</si>
  <si>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</si>
  <si>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</si>
  <si>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</si>
  <si>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</si>
  <si>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</si>
  <si>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</si>
  <si>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</si>
  <si>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</si>
  <si>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</si>
  <si>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</si>
  <si>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</si>
  <si>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</si>
  <si>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</si>
  <si>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</si>
  <si>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</si>
  <si>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</si>
  <si>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</si>
  <si>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</si>
  <si>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</si>
  <si>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</si>
  <si>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</si>
  <si>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</si>
  <si>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</si>
  <si>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</si>
  <si>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</si>
  <si>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</si>
  <si>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</si>
  <si>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</si>
  <si>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</si>
  <si>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</si>
  <si>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</si>
  <si>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</si>
  <si>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</si>
  <si>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</si>
  <si>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</si>
  <si>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</si>
  <si>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</si>
  <si>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</si>
  <si>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</si>
  <si>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</si>
  <si>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</si>
  <si>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</si>
  <si>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</si>
  <si>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</si>
  <si>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</si>
  <si>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</si>
  <si>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</si>
  <si>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</si>
  <si>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</si>
  <si>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</si>
  <si>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</si>
  <si>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</si>
  <si>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</si>
  <si>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</si>
  <si>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</si>
  <si>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</si>
  <si>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</si>
  <si>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</si>
  <si>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</si>
  <si>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</si>
  <si>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</si>
  <si>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</si>
  <si>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</si>
  <si>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</si>
  <si>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</si>
  <si>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</si>
  <si>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</si>
  <si>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</si>
  <si>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</si>
  <si>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</si>
  <si>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</si>
  <si>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</si>
  <si>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</si>
  <si>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</si>
  <si>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</si>
  <si>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</si>
  <si>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</si>
  <si>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</si>
  <si>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</si>
  <si>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</si>
  <si>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</si>
  <si>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</si>
  <si>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</si>
  <si>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</si>
  <si>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</si>
  <si>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</si>
  <si>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</si>
  <si>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</si>
  <si>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</si>
  <si>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</si>
  <si>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</si>
  <si>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</si>
  <si>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</si>
  <si>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</si>
  <si>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</si>
  <si>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</si>
  <si>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</si>
  <si>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</si>
  <si>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</si>
  <si>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</si>
  <si>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</si>
  <si>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</si>
  <si>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</si>
  <si>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</si>
  <si>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</si>
  <si>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</si>
  <si>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</si>
  <si>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</si>
  <si>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</si>
  <si>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</si>
  <si>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</si>
  <si>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</si>
  <si>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</si>
  <si>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</si>
  <si>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</si>
  <si>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</si>
  <si>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</si>
  <si>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</si>
  <si>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</si>
  <si>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</si>
  <si>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</si>
  <si>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</si>
  <si>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</si>
  <si>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</si>
  <si>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</si>
  <si>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</si>
  <si>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</si>
  <si>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</si>
  <si>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</si>
  <si>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</si>
  <si>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</si>
  <si>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</si>
  <si>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</si>
  <si>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</si>
  <si>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</si>
  <si>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</si>
  <si>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</si>
  <si>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</si>
  <si>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</si>
  <si>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</si>
  <si>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</si>
  <si>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</si>
  <si>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</si>
  <si>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</si>
  <si>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</si>
  <si>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</si>
  <si>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</si>
  <si>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</si>
  <si>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</si>
  <si>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</si>
  <si>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</si>
  <si>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</si>
  <si>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</si>
  <si>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</si>
  <si>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</si>
  <si>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</si>
  <si>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</si>
  <si>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</si>
  <si>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</si>
  <si>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</si>
  <si>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</si>
  <si>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</si>
  <si>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</si>
  <si>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</si>
  <si>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</si>
  <si>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</si>
  <si>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</si>
  <si>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</si>
  <si>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</si>
  <si>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</si>
  <si>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</si>
  <si>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</si>
  <si>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</si>
  <si>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</si>
  <si>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</si>
  <si>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</si>
  <si>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</si>
  <si>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</si>
  <si>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</si>
  <si>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</si>
  <si>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</si>
  <si>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</si>
  <si>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</si>
  <si>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</si>
  <si>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</si>
  <si>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</si>
  <si>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</si>
  <si>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</si>
  <si>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</si>
  <si>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</si>
  <si>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</si>
  <si>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</si>
  <si>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</si>
  <si>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</si>
  <si>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</si>
  <si>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</si>
  <si>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</si>
  <si>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</si>
  <si>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</si>
  <si>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</si>
  <si>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</si>
  <si>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</si>
  <si>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</si>
  <si>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</si>
  <si>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</si>
  <si>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</si>
  <si>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</si>
  <si>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</si>
  <si>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</si>
  <si>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</si>
  <si>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</si>
  <si>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</si>
  <si>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</si>
  <si>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</si>
  <si>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</si>
  <si>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</si>
  <si>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</si>
  <si>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</si>
  <si>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</si>
  <si>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</si>
  <si>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</si>
  <si>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</si>
  <si>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</si>
  <si>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</si>
  <si>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</si>
  <si>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</si>
  <si>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</si>
  <si>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</si>
  <si>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</si>
  <si>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</si>
  <si>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</si>
  <si>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</si>
  <si>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</si>
  <si>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</si>
  <si>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</si>
  <si>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</si>
  <si>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</si>
  <si>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</si>
  <si>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</si>
  <si>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</si>
  <si>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</si>
  <si>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</si>
  <si>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</si>
  <si>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</si>
  <si>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</si>
  <si>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</si>
  <si>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</si>
  <si>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</si>
  <si>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</si>
  <si>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</si>
  <si>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</si>
  <si>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</si>
  <si>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</si>
  <si>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</si>
  <si>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</si>
  <si>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</si>
  <si>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</si>
  <si>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</si>
  <si>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</si>
  <si>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</si>
  <si>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</si>
  <si>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</si>
  <si>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</si>
  <si>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</si>
  <si>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</si>
  <si>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</si>
  <si>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</si>
  <si>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</si>
  <si>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</si>
  <si>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</si>
  <si>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</si>
  <si>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</si>
  <si>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</si>
  <si>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</si>
  <si>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</si>
  <si>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</si>
  <si>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</si>
  <si>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</si>
  <si>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</si>
  <si>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</si>
  <si>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</si>
  <si>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</si>
  <si>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</si>
  <si>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</si>
  <si>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</si>
  <si>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</si>
  <si>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</si>
  <si>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</si>
  <si>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</si>
  <si>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</si>
  <si>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</si>
  <si>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</si>
  <si>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</si>
  <si>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</si>
  <si>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</si>
  <si>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</si>
  <si>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</si>
  <si>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</si>
  <si>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</si>
  <si>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</si>
  <si>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</si>
  <si>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</si>
  <si>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</si>
  <si>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</si>
  <si>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</si>
  <si>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</si>
  <si>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</si>
  <si>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</si>
  <si>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</si>
  <si>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</si>
  <si>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</si>
  <si>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</si>
  <si>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</si>
  <si>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</si>
  <si>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</si>
  <si>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</si>
  <si>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</si>
  <si>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</si>
  <si>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</si>
  <si>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</si>
  <si>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</si>
  <si>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</si>
  <si>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</si>
  <si>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</si>
  <si>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</si>
  <si>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</si>
  <si>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</si>
  <si>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</si>
  <si>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</si>
  <si>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</si>
  <si>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</si>
  <si>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</si>
  <si>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</si>
  <si>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</si>
  <si>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</si>
  <si>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</si>
  <si>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</si>
  <si>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</si>
  <si>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</si>
  <si>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</si>
  <si>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</si>
  <si>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</si>
  <si>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</si>
  <si>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</si>
  <si>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</si>
  <si>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</si>
  <si>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</si>
  <si>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</si>
  <si>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</si>
  <si>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</si>
  <si>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</si>
  <si>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</si>
  <si>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</si>
  <si>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</si>
  <si>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</si>
  <si>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</si>
  <si>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</si>
  <si>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</si>
  <si>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</si>
  <si>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</si>
  <si>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</si>
  <si>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</si>
  <si>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</si>
  <si>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</si>
  <si>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</si>
  <si>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</si>
  <si>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</si>
  <si>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</si>
  <si>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</si>
  <si>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</si>
  <si>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</si>
  <si>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</si>
  <si>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</si>
  <si>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</si>
  <si>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</si>
  <si>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</si>
  <si>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</si>
  <si>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</si>
  <si>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</si>
  <si>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</si>
  <si>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</si>
  <si>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</si>
  <si>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</si>
  <si>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</si>
  <si>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</si>
  <si>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</si>
  <si>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</si>
  <si>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</si>
  <si>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</si>
  <si>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</si>
  <si>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</si>
  <si>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</si>
  <si>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</si>
  <si>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</si>
  <si>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</si>
  <si>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</si>
  <si>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</si>
  <si>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</si>
  <si>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</si>
  <si>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</si>
  <si>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</si>
  <si>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</si>
  <si>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</si>
  <si>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</si>
  <si>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</si>
  <si>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</si>
  <si>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</si>
  <si>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</si>
  <si>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</si>
  <si>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</si>
  <si>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</si>
  <si>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</si>
  <si>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</si>
  <si>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</si>
  <si>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</si>
  <si>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</si>
  <si>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</si>
  <si>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</si>
  <si>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</si>
  <si>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</si>
  <si>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</si>
  <si>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</si>
  <si>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</si>
  <si>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</si>
  <si>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</si>
  <si>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</si>
  <si>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</si>
  <si>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</si>
  <si>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</si>
  <si>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</si>
  <si>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</si>
  <si>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</si>
  <si>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</si>
  <si>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</si>
  <si>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</si>
  <si>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</si>
  <si>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</si>
  <si>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</si>
  <si>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</si>
  <si>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</si>
  <si>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</si>
  <si>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</si>
  <si>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</si>
  <si>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</si>
  <si>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</si>
  <si>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</si>
  <si>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</si>
  <si>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</si>
  <si>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</si>
  <si>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</si>
  <si>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</si>
  <si>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</si>
  <si>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</si>
  <si>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</si>
  <si>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</si>
  <si>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</si>
  <si>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</si>
  <si>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</si>
  <si>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</si>
  <si>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</si>
  <si>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</si>
  <si>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</si>
  <si>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</si>
  <si>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</si>
  <si>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</si>
  <si>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</si>
  <si>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</si>
  <si>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</si>
  <si>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</si>
  <si>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</si>
  <si>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</si>
  <si>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</si>
  <si>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</si>
  <si>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</si>
  <si>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</si>
  <si>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</si>
  <si>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</si>
  <si>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</si>
  <si>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</si>
  <si>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</si>
  <si>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</si>
  <si>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</si>
  <si>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</si>
  <si>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</si>
  <si>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</si>
  <si>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</si>
  <si>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</si>
  <si>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</si>
  <si>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</si>
  <si>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</si>
  <si>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</si>
  <si>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</si>
  <si>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</si>
  <si>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</si>
  <si>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</si>
  <si>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</si>
  <si>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</si>
  <si>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</si>
  <si>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</si>
  <si>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</si>
  <si>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</si>
  <si>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</si>
  <si>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</si>
  <si>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</si>
  <si>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</si>
  <si>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</si>
  <si>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</si>
  <si>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</si>
  <si>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</si>
  <si>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</si>
  <si>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</si>
  <si>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</si>
  <si>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</si>
  <si>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</si>
  <si>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</si>
  <si>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</si>
  <si>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</si>
  <si>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</si>
  <si>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</si>
  <si>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</si>
  <si>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</si>
  <si>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</si>
  <si>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</si>
  <si>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</si>
  <si>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</si>
  <si>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</si>
  <si>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</si>
  <si>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</si>
  <si>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</si>
  <si>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</si>
  <si>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</si>
  <si>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</si>
  <si>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</si>
  <si>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</si>
  <si>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</si>
  <si>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</si>
  <si>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</si>
  <si>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</si>
  <si>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</si>
  <si>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</si>
  <si>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</si>
  <si>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</si>
  <si>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</si>
  <si>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</si>
  <si>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</si>
  <si>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</si>
  <si>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</si>
  <si>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</si>
  <si>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</si>
  <si>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</si>
  <si>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</si>
  <si>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</si>
  <si>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</si>
  <si>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</si>
  <si>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</si>
  <si>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</si>
  <si>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</si>
  <si>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</si>
  <si>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</si>
  <si>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</si>
  <si>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</si>
  <si>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</si>
  <si>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</si>
  <si>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</si>
  <si>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</si>
  <si>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</si>
  <si>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</si>
  <si>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</si>
  <si>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</si>
  <si>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</si>
  <si>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</si>
  <si>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</si>
  <si>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</si>
  <si>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</si>
  <si>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</si>
  <si>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</si>
  <si>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</si>
  <si>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</si>
  <si>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</si>
  <si>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</si>
  <si>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</si>
  <si>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</si>
  <si>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</si>
  <si>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</si>
  <si>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</si>
  <si>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</si>
  <si>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</si>
  <si>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</si>
  <si>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</si>
  <si>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</si>
  <si>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</si>
  <si>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</si>
  <si>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</si>
  <si>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</si>
  <si>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</si>
  <si>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</si>
  <si>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</si>
  <si>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</si>
  <si>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</si>
  <si>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</si>
  <si>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</si>
  <si>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</si>
  <si>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</si>
  <si>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</si>
  <si>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</si>
  <si>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</si>
  <si>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</si>
  <si>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</si>
  <si>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</si>
  <si>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</si>
  <si>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</si>
  <si>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</si>
  <si>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</si>
  <si>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</si>
  <si>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</si>
  <si>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</si>
  <si>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</si>
  <si>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</si>
  <si>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</si>
  <si>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</si>
  <si>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</si>
  <si>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</si>
  <si>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</si>
  <si>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</si>
  <si>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</si>
  <si>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</si>
  <si>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</si>
  <si>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</si>
  <si>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</si>
  <si>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</si>
  <si>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</si>
  <si>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</si>
  <si>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</si>
  <si>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</si>
  <si>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</si>
  <si>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</si>
  <si>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</si>
  <si>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</si>
  <si>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</si>
  <si>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</si>
  <si>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</si>
  <si>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</si>
  <si>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</si>
  <si>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</si>
  <si>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</si>
  <si>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</si>
  <si>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</si>
  <si>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</si>
  <si>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</si>
  <si>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</si>
  <si>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</si>
  <si>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</si>
  <si>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</si>
  <si>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</si>
  <si>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</si>
  <si>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</si>
  <si>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</si>
  <si>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</si>
  <si>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</si>
  <si>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</si>
  <si>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</si>
  <si>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</si>
  <si>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</si>
  <si>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</si>
  <si>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</si>
  <si>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</si>
  <si>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</si>
  <si>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</si>
  <si>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</si>
  <si>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</si>
  <si>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</si>
  <si>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</si>
  <si>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</si>
  <si>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</si>
  <si>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</si>
  <si>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</si>
  <si>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</si>
  <si>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</si>
  <si>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</si>
  <si>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</si>
  <si>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</si>
  <si>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</si>
  <si>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</si>
  <si>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</si>
  <si>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</si>
  <si>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</si>
  <si>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</si>
  <si>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</si>
  <si>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</si>
  <si>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</si>
  <si>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</si>
  <si>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</si>
  <si>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</si>
  <si>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</si>
  <si>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</si>
  <si>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</si>
  <si>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</si>
  <si>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</si>
  <si>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</si>
  <si>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</si>
  <si>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</si>
  <si>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</si>
  <si>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</si>
  <si>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</si>
  <si>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</si>
  <si>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</si>
  <si>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</si>
  <si>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</si>
  <si>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</si>
  <si>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</si>
  <si>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</si>
  <si>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</si>
  <si>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</si>
  <si>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</si>
  <si>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</si>
  <si>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</si>
  <si>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</si>
  <si>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</si>
  <si>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</si>
  <si>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</si>
  <si>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</si>
  <si>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</si>
  <si>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</si>
  <si>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</si>
  <si>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</si>
  <si>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</si>
  <si>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</si>
  <si>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</si>
  <si>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</si>
  <si>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</si>
  <si>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</si>
  <si>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</si>
  <si>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</si>
  <si>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</si>
  <si>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</si>
  <si>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</si>
  <si>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</si>
  <si>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</si>
  <si>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</si>
  <si>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</si>
  <si>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</si>
  <si>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</si>
  <si>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</si>
  <si>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</si>
  <si>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</si>
  <si>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</si>
  <si>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</si>
  <si>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</si>
  <si>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</si>
  <si>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</si>
  <si>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</si>
  <si>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</si>
  <si>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</si>
  <si>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</si>
  <si>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</si>
  <si>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</si>
  <si>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</si>
  <si>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</si>
  <si>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</si>
  <si>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</si>
  <si>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</si>
  <si>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</si>
  <si>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</si>
  <si>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</si>
  <si>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</si>
  <si>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</si>
  <si>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</si>
  <si>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</si>
  <si>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</si>
  <si>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</si>
  <si>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</si>
  <si>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</si>
  <si>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</si>
  <si>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</si>
  <si>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</si>
  <si>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</si>
  <si>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</si>
  <si>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</si>
  <si>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</si>
  <si>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</si>
  <si>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</si>
  <si>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</si>
  <si>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</si>
  <si>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</si>
  <si>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</si>
  <si>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</si>
  <si>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</si>
  <si>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</si>
  <si>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</si>
  <si>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</si>
  <si>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</si>
  <si>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</si>
  <si>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</si>
  <si>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</si>
  <si>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</si>
  <si>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</si>
  <si>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</si>
  <si>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</si>
  <si>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</si>
  <si>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</si>
  <si>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</si>
  <si>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</si>
  <si>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</si>
  <si>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</si>
  <si>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</si>
  <si>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</si>
  <si>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</si>
  <si>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</si>
  <si>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</si>
  <si>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</si>
  <si>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</si>
  <si>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</si>
  <si>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</si>
  <si>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</si>
  <si>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</si>
  <si>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</si>
  <si>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</si>
  <si>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</si>
  <si>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</si>
  <si>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</si>
  <si>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</si>
  <si>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</si>
  <si>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</si>
  <si>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</si>
  <si>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</si>
  <si>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</si>
  <si>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</si>
  <si>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</si>
  <si>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</si>
  <si>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</si>
  <si>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</si>
  <si>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</si>
  <si>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</si>
  <si>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</si>
  <si>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</si>
  <si>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</si>
  <si>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</si>
  <si>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</si>
  <si>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</si>
  <si>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</si>
  <si>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</si>
  <si>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</si>
  <si>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</si>
  <si>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</si>
  <si>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</si>
  <si>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</si>
  <si>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</si>
  <si>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</si>
  <si>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</si>
  <si>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</si>
  <si>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</si>
  <si>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</si>
  <si>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</si>
  <si>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</si>
  <si>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</si>
  <si>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</si>
  <si>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</si>
  <si>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</si>
  <si>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</si>
  <si>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</si>
  <si>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</si>
  <si>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</si>
  <si>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</si>
  <si>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</si>
  <si>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</si>
  <si>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</si>
  <si>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</si>
  <si>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</si>
  <si>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</si>
  <si>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</si>
  <si>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</si>
  <si>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</si>
  <si>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</si>
  <si>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</si>
  <si>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</si>
  <si>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</si>
  <si>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</si>
  <si>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</si>
  <si>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</si>
  <si>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</si>
  <si>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</si>
  <si>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</si>
  <si>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</si>
  <si>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</si>
  <si>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</si>
  <si>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</si>
  <si>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</si>
  <si>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</si>
  <si>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</si>
  <si>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</si>
  <si>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</si>
  <si>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</si>
  <si>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</si>
  <si>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</si>
  <si>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</si>
  <si>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</si>
  <si>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</si>
  <si>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</si>
  <si>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</si>
  <si>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</si>
  <si>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</si>
  <si>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</si>
  <si>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</si>
  <si>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</si>
  <si>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</si>
  <si>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</si>
  <si>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</si>
  <si>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</si>
  <si>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</si>
  <si>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</si>
  <si>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</si>
  <si>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</si>
  <si>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</si>
  <si>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</si>
  <si>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</si>
  <si>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</si>
  <si>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</si>
  <si>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</si>
  <si>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</si>
  <si>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</si>
  <si>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</si>
  <si>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</si>
  <si>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</si>
  <si>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</si>
  <si>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</si>
  <si>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</si>
  <si>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</si>
  <si>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</si>
  <si>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</si>
  <si>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</si>
  <si>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</si>
  <si>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</si>
  <si>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</si>
  <si>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</si>
  <si>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</si>
  <si>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</si>
  <si>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</si>
  <si>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</si>
  <si>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</si>
  <si>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</si>
  <si>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</si>
  <si>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</si>
  <si>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</si>
  <si>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</si>
  <si>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</si>
  <si>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</si>
  <si>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</si>
  <si>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</si>
  <si>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</si>
  <si>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</si>
  <si>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</si>
  <si>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</si>
  <si>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</si>
  <si>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</si>
  <si>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</si>
  <si>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</si>
  <si>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</si>
  <si>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</si>
  <si>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</si>
  <si>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</si>
  <si>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</si>
  <si>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</si>
  <si>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</si>
  <si>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</si>
  <si>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</si>
  <si>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</si>
  <si>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</si>
  <si>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</si>
  <si>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</si>
  <si>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</si>
  <si>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</si>
  <si>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</si>
  <si>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</si>
  <si>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</si>
  <si>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</si>
  <si>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</si>
  <si>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</si>
  <si>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</si>
  <si>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</si>
  <si>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</si>
  <si>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</si>
  <si>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</si>
  <si>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</si>
  <si>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</si>
  <si>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</si>
  <si>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</si>
  <si>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</si>
  <si>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</si>
  <si>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</si>
  <si>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</si>
  <si>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</si>
  <si>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</si>
  <si>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</si>
  <si>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</si>
  <si>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</si>
  <si>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</si>
  <si>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</si>
  <si>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</si>
  <si>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</si>
  <si>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</si>
  <si>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</si>
  <si>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</si>
  <si>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</si>
  <si>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</si>
  <si>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</si>
  <si>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</si>
  <si>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</si>
  <si>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</si>
  <si>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</si>
  <si>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</si>
  <si>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</si>
  <si>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</si>
  <si>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</si>
  <si>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</si>
  <si>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</si>
  <si>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</si>
  <si>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</si>
  <si>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</si>
  <si>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</si>
  <si>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</si>
  <si>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</si>
  <si>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</si>
  <si>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</si>
  <si>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</si>
  <si>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</si>
  <si>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</si>
  <si>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</si>
  <si>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</si>
  <si>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</si>
  <si>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</si>
  <si>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</si>
  <si>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</si>
  <si>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</si>
  <si>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</si>
  <si>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</si>
  <si>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</si>
  <si>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</si>
  <si>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</si>
  <si>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</si>
  <si>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</si>
  <si>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</si>
  <si>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</si>
  <si>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</si>
  <si>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</si>
  <si>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</si>
  <si>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</si>
  <si>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</si>
  <si>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</si>
  <si>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</si>
  <si>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</si>
  <si>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</si>
  <si>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</si>
  <si>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</si>
  <si>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</si>
  <si>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</si>
  <si>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</si>
  <si>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</si>
  <si>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</si>
  <si>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</si>
  <si>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</si>
  <si>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</si>
  <si>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</si>
  <si>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</si>
  <si>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</si>
  <si>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</si>
  <si>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</si>
  <si>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</si>
  <si>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</si>
  <si>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</si>
  <si>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</si>
  <si>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</si>
  <si>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</si>
  <si>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</si>
  <si>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</si>
  <si>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</si>
  <si>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</si>
  <si>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</si>
  <si>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</si>
  <si>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</si>
  <si>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</si>
  <si>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</si>
  <si>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</si>
  <si>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</si>
  <si>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</si>
  <si>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</si>
  <si>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</si>
  <si>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</si>
  <si>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</si>
  <si>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</si>
  <si>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</si>
  <si>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</si>
  <si>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</si>
  <si>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</si>
  <si>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</si>
  <si>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</si>
  <si>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</si>
  <si>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</si>
  <si>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</si>
  <si>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</si>
  <si>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</si>
  <si>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</si>
  <si>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</si>
  <si>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</si>
  <si>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</si>
  <si>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</si>
  <si>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</si>
  <si>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</si>
  <si>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</si>
  <si>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</si>
  <si>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</si>
  <si>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</si>
  <si>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</si>
  <si>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</si>
  <si>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</si>
  <si>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</si>
  <si>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</si>
  <si>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</si>
  <si>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</si>
  <si>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</si>
  <si>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</si>
  <si>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</si>
  <si>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</si>
  <si>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</si>
  <si>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</si>
  <si>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</si>
  <si>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</si>
  <si>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</si>
  <si>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</si>
  <si>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</si>
  <si>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</si>
  <si>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</si>
  <si>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</si>
  <si>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</si>
  <si>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</si>
  <si>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</si>
  <si>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</si>
  <si>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</si>
  <si>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</si>
  <si>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</si>
  <si>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</si>
  <si>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</si>
  <si>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</si>
  <si>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</si>
  <si>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</si>
  <si>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</si>
  <si>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</si>
  <si>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</si>
  <si>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</si>
  <si>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</si>
  <si>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</si>
  <si>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</si>
  <si>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</si>
  <si>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</si>
  <si>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</si>
  <si>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</si>
  <si>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</si>
  <si>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</si>
  <si>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</si>
  <si>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</si>
  <si>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</si>
  <si>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</si>
  <si>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</si>
  <si>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</si>
  <si>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</si>
  <si>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</si>
  <si>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</si>
  <si>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</si>
  <si>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</si>
  <si>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</si>
  <si>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</si>
  <si>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</si>
  <si>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</si>
  <si>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</si>
  <si>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</si>
  <si>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</si>
  <si>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</si>
  <si>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</si>
  <si>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</si>
  <si>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</si>
  <si>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</si>
  <si>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</si>
  <si>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</si>
  <si>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</si>
  <si>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</si>
  <si>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</si>
  <si>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</si>
  <si>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</si>
  <si>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</si>
  <si>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</si>
  <si>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</si>
  <si>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</si>
  <si>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</si>
  <si>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</si>
  <si>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</si>
  <si>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</si>
  <si>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</si>
  <si>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</si>
  <si>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</si>
  <si>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</si>
  <si>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</si>
  <si>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</si>
  <si>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</si>
  <si>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</si>
  <si>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</si>
  <si>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</si>
  <si>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</si>
  <si>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</si>
  <si>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Tax INV Code</t>
  </si>
  <si>
    <t>Amount</t>
  </si>
  <si>
    <t>samon_furniture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</si>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</sst>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</numFmts>
  <fonts count="8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4"/>
      <color rgb="FF0066CC"/>
      <name val="Kh Muol"/>
    </font>
    <font>
      <sz val="14"/>
      <color rgb="FF0066CC"/>
      <name val="Roboto Medium"/>
    </font>
    <font>
      <sz val="20"/>
      <color rgb="FF0066CC"/>
      <name val="Kh Muol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11"/>
      <color rgb="FF0066CC"/>
      <name val="Khmer OS Battambang"/>
    </font>
    <font>
      <sz val="26"/>
      <color rgb="FF0066CC"/>
      <name val="Roboto Medium"/>
    </font>
    <font>
      <u/>
      <sz val="14"/>
      <color rgb="FF0066CC"/>
      <name val="Roboto"/>
    </font>
    <font>
      <u/>
      <sz val="14"/>
      <color rgb="FF0066CC"/>
      <name val="Roboto Medium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</cellStyleXfs>
  <cellXfs count="499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40" fillId="0" borderId="25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2" fontId="36" fillId="0" borderId="0" xfId="0" applyNumberFormat="1" applyFont="1" applyAlignment="1">
      <alignment horizontal="center" vertical="center"/>
    </xf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70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Continuous" vertical="center"/>
    </xf>
    <xf numFmtId="14" fontId="36" fillId="0" borderId="0" xfId="0" applyNumberFormat="1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2" fontId="36" fillId="0" borderId="0" xfId="0" applyNumberFormat="1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3" fillId="0" borderId="0" xfId="0" applyFont="1" applyAlignment="1">
      <alignment horizontal="centerContinuous" vertical="top"/>
    </xf>
    <xf numFmtId="0" fontId="74" fillId="4" borderId="30" xfId="0" applyFont="1" applyFill="1" applyBorder="1" applyAlignment="1">
      <alignment horizontal="center" vertical="center"/>
    </xf>
    <xf numFmtId="49" fontId="74" fillId="4" borderId="30" xfId="0" applyNumberFormat="1" applyFont="1" applyFill="1" applyBorder="1" applyAlignment="1">
      <alignment horizontal="center" vertical="center"/>
    </xf>
    <xf numFmtId="14" fontId="74" fillId="4" borderId="30" xfId="0" applyNumberFormat="1" applyFont="1" applyFill="1" applyBorder="1" applyAlignment="1">
      <alignment horizontal="center" vertical="center"/>
    </xf>
    <xf numFmtId="0" fontId="75" fillId="4" borderId="31" xfId="0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center" vertical="center"/>
    </xf>
    <xf numFmtId="14" fontId="75" fillId="4" borderId="31" xfId="0" applyNumberFormat="1" applyFont="1" applyFill="1" applyBorder="1" applyAlignment="1">
      <alignment horizontal="center" vertical="center"/>
    </xf>
    <xf numFmtId="0" fontId="76" fillId="4" borderId="30" xfId="0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center" vertical="center"/>
    </xf>
    <xf numFmtId="14" fontId="76" fillId="4" borderId="30" xfId="0" applyNumberFormat="1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left" vertical="center"/>
    </xf>
    <xf numFmtId="169" fontId="76" fillId="4" borderId="30" xfId="0" applyNumberFormat="1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left" vertical="center"/>
    </xf>
    <xf numFmtId="169" fontId="75" fillId="4" borderId="31" xfId="0" applyNumberFormat="1" applyFont="1" applyFill="1" applyBorder="1" applyAlignment="1">
      <alignment horizontal="center" vertical="center"/>
    </xf>
    <xf numFmtId="0" fontId="77" fillId="4" borderId="31" xfId="0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center"/>
    </xf>
    <xf numFmtId="4" fontId="76" fillId="4" borderId="30" xfId="0" applyNumberFormat="1" applyFont="1" applyFill="1" applyBorder="1" applyAlignment="1">
      <alignment horizontal="center" vertical="center"/>
    </xf>
    <xf numFmtId="0" fontId="75" fillId="4" borderId="30" xfId="0" applyFont="1" applyFill="1" applyBorder="1" applyAlignment="1">
      <alignment horizontal="center" vertical="center"/>
    </xf>
    <xf numFmtId="14" fontId="77" fillId="4" borderId="31" xfId="0" applyNumberFormat="1" applyFont="1" applyFill="1" applyBorder="1" applyAlignment="1">
      <alignment horizontal="center" vertical="center"/>
    </xf>
    <xf numFmtId="4" fontId="77" fillId="4" borderId="31" xfId="0" applyNumberFormat="1" applyFont="1" applyFill="1" applyBorder="1" applyAlignment="1">
      <alignment horizontal="center" vertical="center"/>
    </xf>
    <xf numFmtId="0" fontId="78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 vertical="center"/>
    </xf>
    <xf numFmtId="0" fontId="77" fillId="4" borderId="41" xfId="0" applyFont="1" applyFill="1" applyBorder="1" applyAlignment="1">
      <alignment horizontal="center" vertical="top"/>
    </xf>
    <xf numFmtId="0" fontId="77" fillId="4" borderId="39" xfId="0" applyFont="1" applyFill="1" applyBorder="1" applyAlignment="1">
      <alignment horizontal="center"/>
    </xf>
    <xf numFmtId="0" fontId="77" fillId="4" borderId="39" xfId="0" applyFont="1" applyFill="1" applyBorder="1" applyAlignment="1">
      <alignment horizontal="center" textRotation="45"/>
    </xf>
    <xf numFmtId="0" fontId="65" fillId="4" borderId="39" xfId="0" applyFont="1" applyFill="1" applyBorder="1" applyAlignment="1">
      <alignment horizontal="center" vertical="center"/>
    </xf>
    <xf numFmtId="0" fontId="68" fillId="0" borderId="0" xfId="0" applyFont="1" applyAlignment="1">
      <alignment horizontal="centerContinuous"/>
    </xf>
    <xf numFmtId="0" fontId="77" fillId="4" borderId="43" xfId="0" applyFont="1" applyFill="1" applyBorder="1" applyAlignment="1">
      <alignment horizontal="center" textRotation="45"/>
    </xf>
    <xf numFmtId="14" fontId="77" fillId="4" borderId="39" xfId="0" applyNumberFormat="1" applyFont="1" applyFill="1" applyBorder="1" applyAlignment="1">
      <alignment horizontal="center"/>
    </xf>
    <xf numFmtId="14" fontId="77" fillId="4" borderId="43" xfId="0" applyNumberFormat="1" applyFont="1" applyFill="1" applyBorder="1" applyAlignment="1">
      <alignment horizontal="center"/>
    </xf>
    <xf numFmtId="0" fontId="79" fillId="4" borderId="39" xfId="0" applyFont="1" applyFill="1" applyBorder="1" applyAlignment="1">
      <alignment horizontal="center" textRotation="45"/>
    </xf>
    <xf numFmtId="0" fontId="80" fillId="4" borderId="39" xfId="0" applyFont="1" applyFill="1" applyBorder="1" applyAlignment="1">
      <alignment horizontal="center"/>
    </xf>
    <xf numFmtId="172" fontId="80" fillId="4" borderId="39" xfId="0" applyNumberFormat="1" applyFont="1" applyFill="1" applyBorder="1" applyAlignment="1">
      <alignment horizontal="center"/>
    </xf>
    <xf numFmtId="0" fontId="36" fillId="0" borderId="25" xfId="0" applyFont="1" applyBorder="1" applyAlignment="1">
      <alignment horizontal="center" vertical="center"/>
    </xf>
    <xf numFmtId="0" fontId="81" fillId="4" borderId="40" xfId="0" applyFont="1" applyFill="1" applyBorder="1" applyAlignment="1">
      <alignment horizontal="center"/>
    </xf>
    <xf numFmtId="0" fontId="82" fillId="4" borderId="41" xfId="0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 textRotation="45"/>
    </xf>
    <xf numFmtId="0" fontId="83" fillId="4" borderId="41" xfId="0" applyFont="1" applyFill="1" applyBorder="1" applyAlignment="1">
      <alignment horizontal="center" textRotation="45"/>
    </xf>
    <xf numFmtId="0" fontId="79" fillId="4" borderId="41" xfId="0" applyFont="1" applyFill="1" applyBorder="1" applyAlignment="1">
      <alignment horizontal="center" textRotation="45"/>
    </xf>
    <xf numFmtId="2" fontId="81" fillId="4" borderId="40" xfId="0" applyNumberFormat="1" applyFont="1" applyFill="1" applyBorder="1" applyAlignment="1">
      <alignment horizontal="center"/>
    </xf>
    <xf numFmtId="2" fontId="82" fillId="4" borderId="41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/>
    </xf>
    <xf numFmtId="0" fontId="75" fillId="4" borderId="41" xfId="0" applyFont="1" applyFill="1" applyBorder="1" applyAlignment="1">
      <alignment horizontal="center" vertical="top"/>
    </xf>
    <xf numFmtId="0" fontId="77" fillId="4" borderId="31" xfId="0" applyFont="1" applyFill="1" applyBorder="1" applyAlignment="1">
      <alignment horizontal="center" vertical="top"/>
    </xf>
    <xf numFmtId="0" fontId="76" fillId="4" borderId="30" xfId="0" applyFont="1" applyFill="1" applyBorder="1" applyAlignment="1">
      <alignment horizontal="center"/>
    </xf>
    <xf numFmtId="14" fontId="76" fillId="4" borderId="30" xfId="0" applyNumberFormat="1" applyFont="1" applyFill="1" applyBorder="1" applyAlignment="1">
      <alignment horizontal="center"/>
    </xf>
    <xf numFmtId="170" fontId="76" fillId="4" borderId="30" xfId="0" applyNumberFormat="1" applyFont="1" applyFill="1" applyBorder="1" applyAlignment="1">
      <alignment horizontal="center"/>
    </xf>
    <xf numFmtId="169" fontId="76" fillId="4" borderId="30" xfId="0" applyNumberFormat="1" applyFont="1" applyFill="1" applyBorder="1" applyAlignment="1">
      <alignment horizontal="center"/>
    </xf>
    <xf numFmtId="14" fontId="77" fillId="4" borderId="31" xfId="0" applyNumberFormat="1" applyFont="1" applyFill="1" applyBorder="1" applyAlignment="1">
      <alignment horizontal="center" vertical="top"/>
    </xf>
    <xf numFmtId="170" fontId="77" fillId="4" borderId="31" xfId="0" applyNumberFormat="1" applyFont="1" applyFill="1" applyBorder="1" applyAlignment="1">
      <alignment horizontal="center" vertical="top"/>
    </xf>
    <xf numFmtId="169" fontId="77" fillId="4" borderId="31" xfId="0" applyNumberFormat="1" applyFont="1" applyFill="1" applyBorder="1" applyAlignment="1">
      <alignment horizontal="center" vertical="top"/>
    </xf>
    <xf numFmtId="4" fontId="74" fillId="4" borderId="30" xfId="0" applyNumberFormat="1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top"/>
    </xf>
    <xf numFmtId="49" fontId="77" fillId="4" borderId="31" xfId="0" applyNumberFormat="1" applyFont="1" applyFill="1" applyBorder="1" applyAlignment="1">
      <alignment horizontal="center" textRotation="45"/>
    </xf>
    <xf numFmtId="0" fontId="77" fillId="4" borderId="31" xfId="0" applyFont="1" applyFill="1" applyBorder="1" applyAlignment="1">
      <alignment horizontal="center"/>
    </xf>
    <xf numFmtId="4" fontId="77" fillId="4" borderId="31" xfId="0" applyNumberFormat="1" applyFont="1" applyFill="1" applyBorder="1" applyAlignment="1">
      <alignment horizontal="center" vertical="top"/>
    </xf>
    <xf numFmtId="0" fontId="71" fillId="6" borderId="35" xfId="0" applyFont="1" applyFill="1" applyBorder="1" applyAlignment="1">
      <alignment horizontal="center"/>
    </xf>
    <xf numFmtId="0" fontId="71" fillId="6" borderId="36" xfId="0" applyFont="1" applyFill="1" applyBorder="1" applyAlignment="1">
      <alignment horizontal="center"/>
    </xf>
    <xf numFmtId="0" fontId="72" fillId="6" borderId="37" xfId="0" applyFont="1" applyFill="1" applyBorder="1" applyAlignment="1">
      <alignment horizontal="center" vertical="top"/>
    </xf>
    <xf numFmtId="0" fontId="72" fillId="6" borderId="38" xfId="0" applyFont="1" applyFill="1" applyBorder="1" applyAlignment="1">
      <alignment horizontal="center" vertical="top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49" fontId="38" fillId="0" borderId="25" xfId="0" applyNumberFormat="1" applyFont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82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 vertical="top"/>
    </xf>
    <xf numFmtId="14" fontId="76" fillId="0" borderId="0" xfId="0" applyNumberFormat="1" applyFont="1" applyAlignment="1">
      <alignment horizontal="center"/>
    </xf>
    <xf numFmtId="14" fontId="77" fillId="0" borderId="0" xfId="0" applyNumberFormat="1" applyFont="1" applyAlignment="1">
      <alignment horizontal="center" vertical="top"/>
    </xf>
    <xf numFmtId="170" fontId="76" fillId="0" borderId="0" xfId="0" applyNumberFormat="1" applyFont="1" applyAlignment="1">
      <alignment horizontal="center"/>
    </xf>
    <xf numFmtId="170" fontId="77" fillId="0" borderId="0" xfId="0" applyNumberFormat="1" applyFont="1" applyAlignment="1">
      <alignment horizontal="center" vertical="top"/>
    </xf>
    <xf numFmtId="169" fontId="76" fillId="0" borderId="0" xfId="0" applyNumberFormat="1" applyFont="1" applyAlignment="1">
      <alignment horizontal="center"/>
    </xf>
    <xf numFmtId="169" fontId="77" fillId="0" borderId="0" xfId="0" applyNumberFormat="1" applyFont="1" applyAlignment="1">
      <alignment horizontal="center" vertical="top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36" fillId="0" borderId="26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2" fontId="36" fillId="5" borderId="0" xfId="0" applyNumberFormat="1" applyFont="1" applyFill="1" applyAlignment="1">
      <alignment horizontal="center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77" fillId="4" borderId="39" xfId="0" applyFont="1" applyFill="1" applyBorder="1" applyAlignment="1">
      <alignment horizontal="center" vertical="center"/>
    </xf>
    <xf numFmtId="0" fontId="84" fillId="4" borderId="39" xfId="0" applyFont="1" applyFill="1" applyBorder="1" applyAlignment="1">
      <alignment horizontal="center" vertical="center"/>
    </xf>
    <xf numFmtId="0" fontId="68" fillId="0" borderId="0" xfId="0" applyFont="1" applyAlignment="1">
      <alignment horizontal="left" vertical="center" indent="20"/>
    </xf>
    <xf numFmtId="0" fontId="76" fillId="4" borderId="30" xfId="0" applyFont="1" applyFill="1" applyBorder="1" applyAlignment="1">
      <alignment horizontal="left" vertical="center"/>
    </xf>
    <xf numFmtId="0" fontId="75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9" fillId="4" borderId="39" xfId="0" applyFont="1" applyFill="1" applyBorder="1" applyAlignment="1">
      <alignment horizontal="center"/>
    </xf>
    <xf numFmtId="0" fontId="79" fillId="4" borderId="43" xfId="0" applyFont="1" applyFill="1" applyBorder="1" applyAlignment="1">
      <alignment horizontal="center"/>
    </xf>
    <xf numFmtId="0" fontId="79" fillId="4" borderId="44" xfId="0" applyFont="1" applyFill="1" applyBorder="1" applyAlignment="1">
      <alignment horizontal="center" textRotation="45"/>
    </xf>
    <xf numFmtId="0" fontId="79" fillId="4" borderId="42" xfId="0" applyFont="1" applyFill="1" applyBorder="1" applyAlignment="1">
      <alignment horizontal="center"/>
    </xf>
    <xf numFmtId="3" fontId="79" fillId="4" borderId="39" xfId="0" applyNumberFormat="1" applyFont="1" applyFill="1" applyBorder="1" applyAlignment="1">
      <alignment horizontal="center"/>
    </xf>
    <xf numFmtId="4" fontId="79" fillId="4" borderId="39" xfId="0" applyNumberFormat="1" applyFont="1" applyFill="1" applyBorder="1" applyAlignment="1">
      <alignment horizontal="center"/>
    </xf>
    <xf numFmtId="0" fontId="42" fillId="0" borderId="0" xfId="0" applyFont="1"/>
    <xf numFmtId="3" fontId="65" fillId="4" borderId="39" xfId="0" applyNumberFormat="1" applyFont="1" applyFill="1" applyBorder="1" applyAlignment="1">
      <alignment horizontal="center" vertical="center"/>
    </xf>
    <xf numFmtId="4" fontId="65" fillId="4" borderId="39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0" fontId="15" fillId="0" borderId="0" xfId="0" applyFont="1"/>
    <xf numFmtId="44" fontId="15" fillId="0" borderId="0" xfId="0" applyNumberFormat="1" applyFont="1"/>
    <xf numFmtId="168" fontId="15" fillId="0" borderId="0" xfId="0" applyNumberFormat="1" applyFont="1"/>
    <xf numFmtId="2" fontId="42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25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7" fillId="4" borderId="3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5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9" fillId="0" borderId="0" xfId="0" applyNumberFormat="1" applyFont="1" applyAlignment="1">
      <alignment horizontal="center"/>
    </xf>
    <xf numFmtId="14" fontId="58" fillId="0" borderId="0" xfId="0" applyNumberFormat="1" applyFont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86" fillId="0" borderId="33" xfId="0" applyFont="1" applyBorder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14" fontId="7" fillId="2" borderId="0" xfId="0" applyNumberFormat="1" applyFont="1" applyFill="1"/>
    <xf numFmtId="14" fontId="7" fillId="2" borderId="0" xfId="0" applyNumberFormat="1" applyFont="1" applyFill="1" applyAlignment="1">
      <alignment horizontal="left"/>
    </xf>
    <xf numFmtId="14" fontId="0" fillId="2" borderId="0" xfId="0" applyNumberFormat="1" applyFill="1" applyAlignment="1">
      <alignment horizontal="center" vertical="center"/>
    </xf>
    <xf numFmtId="4" fontId="7" fillId="2" borderId="0" xfId="0" applyNumberFormat="1" applyFont="1" applyFill="1"/>
    <xf numFmtId="22" fontId="7" fillId="2" borderId="0" xfId="0" applyNumberFormat="1" applyFont="1" applyFill="1"/>
    <xf numFmtId="0" fontId="0" fillId="2" borderId="0" xfId="0" applyFill="1" applyAlignment="1">
      <alignment horizontal="left" vertical="center"/>
    </xf>
    <xf numFmtId="14" fontId="40" fillId="2" borderId="0" xfId="0" applyNumberFormat="1" applyFont="1" applyFill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49" fontId="77" fillId="0" borderId="0" xfId="0" applyNumberFormat="1" applyFont="1" applyAlignment="1">
      <alignment horizontal="center" vertical="center"/>
    </xf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3" fontId="42" fillId="0" borderId="0" xfId="0" applyNumberFormat="1" applyFont="1"/>
    <xf numFmtId="4" fontId="42" fillId="0" borderId="0" xfId="0" applyNumberFormat="1" applyFont="1"/>
    <xf numFmtId="4" fontId="36" fillId="0" borderId="26" xfId="0" applyNumberFormat="1" applyFont="1" applyBorder="1" applyAlignment="1">
      <alignment horizontal="right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82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8" fillId="0" borderId="17" xfId="0" applyFont="1" applyBorder="1" applyAlignment="1" applyProtection="1">
      <alignment horizontal="center" wrapText="1"/>
      <protection locked="0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6.xml"/><Relationship Id="rId54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484188" y="1381126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484188" y="1957388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484188" y="2547938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484188" y="3148013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484188" y="3748088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484188" y="4348163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484188" y="4942183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484188" y="5551783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908427" y="1381126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908427" y="1951333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973096" y="1381126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672638" y="1381126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8</xdr:row>
      <xdr:rowOff>133351</xdr:rowOff>
    </xdr:from>
    <xdr:to>
      <xdr:col>5</xdr:col>
      <xdr:colOff>2933700</xdr:colOff>
      <xdr:row>14</xdr:row>
      <xdr:rowOff>247649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672638" y="2586039"/>
          <a:ext cx="2762250" cy="2400298"/>
          <a:chOff x="19188906" y="643593"/>
          <a:chExt cx="1163973" cy="501360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ទម្រង់បញ្ចូលសន្និធិ ទិញ </a:t>
            </a:r>
          </a:p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លក់ និងរបាយការណ៍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81103" y="760974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36558" y="643593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0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2</xdr:row>
      <xdr:rowOff>63205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404813" y="130969"/>
          <a:ext cx="1924051" cy="503736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142875</xdr:colOff>
      <xdr:row>3</xdr:row>
      <xdr:rowOff>11906</xdr:rowOff>
    </xdr:from>
    <xdr:to>
      <xdr:col>10</xdr:col>
      <xdr:colOff>342900</xdr:colOff>
      <xdr:row>4</xdr:row>
      <xdr:rowOff>141522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12668250" y="702469"/>
          <a:ext cx="2628900" cy="498709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402167" y="11641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66676"/>
          <a:ext cx="1160004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3</xdr:row>
      <xdr:rowOff>114300</xdr:rowOff>
    </xdr:from>
    <xdr:to>
      <xdr:col>3</xdr:col>
      <xdr:colOff>550404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85775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464344</xdr:rowOff>
    </xdr:from>
    <xdr:to>
      <xdr:col>3</xdr:col>
      <xdr:colOff>797719</xdr:colOff>
      <xdr:row>4</xdr:row>
      <xdr:rowOff>84636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46434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881063</xdr:colOff>
      <xdr:row>2</xdr:row>
      <xdr:rowOff>476250</xdr:rowOff>
    </xdr:from>
    <xdr:to>
      <xdr:col>16</xdr:col>
      <xdr:colOff>261937</xdr:colOff>
      <xdr:row>4</xdr:row>
      <xdr:rowOff>107360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B0E4BC-9C78-8E98-3F39-A6E0451FB047}"/>
            </a:ext>
          </a:extLst>
        </xdr:cNvPr>
        <xdr:cNvGrpSpPr/>
      </xdr:nvGrpSpPr>
      <xdr:grpSpPr>
        <a:xfrm>
          <a:off x="1869282" y="476250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092DFB-C157-EC77-4936-A361B851ED2E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4F92E93F-5DE7-6EBB-E094-40C016F28FF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6F4E7AD0-EE6D-2F34-5EAC-F86FA04C4314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57D1487-7277-AB31-4DBC-7006F9BB275D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6C28E845-E419-11FF-1F04-F4E90884629D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7D235C72-465A-696E-A6B7-9D4671F9DD7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2B9EAA6-2081-7F1F-7477-4577FBCB01B9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8E8AD2B-60D1-B471-28A3-A4BA88CA60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30D43DD4-EBA1-4358-E899-E63573C12BD7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2</xdr:row>
          <xdr:rowOff>533400</xdr:rowOff>
        </xdr:from>
        <xdr:to>
          <xdr:col>31</xdr:col>
          <xdr:colOff>771525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Set Status Icon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61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61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52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526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F5"/>
  <sheetViews>
    <sheetView showGridLines="0" tabSelected="1" zoomScale="80" zoomScaleNormal="80" zoomScaleSheetLayoutView="120" workbookViewId="0">
      <pane ySplit="5" topLeftCell="A6" activePane="bottomLeft" state="frozen"/>
      <selection activeCell="L28" sqref="L28"/>
      <selection pane="bottomLeft" activeCell="H10" sqref="H10"/>
    </sheetView>
  </sheetViews>
  <sheetFormatPr defaultRowHeight="30" customHeight="1"/>
  <cols>
    <col min="1" max="1" width="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</cols>
  <sheetData>
    <row r="1" spans="3:6" ht="10.5" customHeight="1">
      <c r="C1" s="145"/>
      <c r="D1" s="145"/>
      <c r="E1" s="145"/>
      <c r="F1" s="145"/>
    </row>
    <row r="2" spans="3:6" ht="34.5" customHeight="1">
      <c r="C2" s="265" t="s">
        <v>477</v>
      </c>
      <c r="D2" s="232"/>
      <c r="E2" s="232"/>
      <c r="F2" s="232"/>
    </row>
    <row r="3" spans="3:6" ht="9.75" customHeight="1" thickBot="1">
      <c r="C3" s="144"/>
      <c r="D3" s="144"/>
      <c r="E3" s="144"/>
      <c r="F3" s="144"/>
    </row>
    <row r="4" spans="3:6" s="146" customFormat="1" ht="29.25">
      <c r="C4" s="324" t="s">
        <v>126</v>
      </c>
      <c r="D4" s="325" t="s">
        <v>115</v>
      </c>
      <c r="E4" s="325" t="s">
        <v>116</v>
      </c>
      <c r="F4" s="325" t="s">
        <v>114</v>
      </c>
    </row>
    <row r="5" spans="3:6" ht="19.5" thickBot="1">
      <c r="C5" s="326" t="s">
        <v>111</v>
      </c>
      <c r="D5" s="327" t="s">
        <v>117</v>
      </c>
      <c r="E5" s="327" t="s">
        <v>112</v>
      </c>
      <c r="F5" s="327" t="s">
        <v>113</v>
      </c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O48"/>
  <sheetViews>
    <sheetView showGridLines="0" zoomScale="80" zoomScaleNormal="80" workbookViewId="0">
      <pane ySplit="11" topLeftCell="A35" activePane="bottomLeft" state="frozen"/>
      <selection pane="bottomLeft" activeCell="F50" sqref="F50"/>
    </sheetView>
  </sheetViews>
  <sheetFormatPr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40" bestFit="1" customWidth="1"/>
    <col min="5" max="5" width="26.42578125" style="340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40" bestFit="1" customWidth="1"/>
    <col min="10" max="10" width="27" style="139" bestFit="1" customWidth="1"/>
    <col min="11" max="11" width="18.28515625" style="139" customWidth="1"/>
    <col min="12" max="12" width="110.7109375" style="340" bestFit="1" customWidth="1"/>
    <col min="13" max="13" width="32" style="139" bestFit="1" customWidth="1"/>
    <col min="14" max="14" width="9.140625" style="139"/>
    <col min="15" max="15" width="76" style="139" bestFit="1" customWidth="1"/>
    <col min="16" max="16384" width="9.140625" style="139"/>
  </cols>
  <sheetData>
    <row r="1" spans="3:15" customFormat="1" ht="15" hidden="1">
      <c r="D1" s="132"/>
      <c r="E1" s="132"/>
      <c r="I1" s="132"/>
      <c r="L1" s="132"/>
    </row>
    <row r="2" spans="3:15" customFormat="1" ht="15" hidden="1">
      <c r="D2" s="132"/>
      <c r="E2" s="132"/>
      <c r="I2" s="132"/>
      <c r="L2" s="132"/>
    </row>
    <row r="3" spans="3:15" customFormat="1" ht="15" hidden="1">
      <c r="D3" s="132"/>
      <c r="E3" s="132"/>
      <c r="I3" s="132"/>
      <c r="L3" s="132"/>
    </row>
    <row r="4" spans="3:15" customFormat="1" ht="15">
      <c r="D4" s="132"/>
      <c r="E4" s="132"/>
      <c r="I4" s="132"/>
      <c r="L4" s="132"/>
    </row>
    <row r="5" spans="3:15" s="3" customFormat="1" ht="49.5">
      <c r="C5" s="346" t="s">
        <v>544</v>
      </c>
      <c r="D5" s="234"/>
      <c r="E5" s="234"/>
      <c r="F5" s="234"/>
      <c r="G5" s="234"/>
      <c r="H5" s="234"/>
      <c r="I5" s="234"/>
      <c r="J5" s="234"/>
      <c r="K5" s="234"/>
      <c r="L5" s="234"/>
      <c r="M5" s="234"/>
    </row>
    <row r="6" spans="3:15" customFormat="1" ht="6" customHeight="1">
      <c r="D6" s="132"/>
      <c r="E6" s="132"/>
      <c r="I6" s="132"/>
      <c r="L6" s="132"/>
    </row>
    <row r="7" spans="3:15" customFormat="1" ht="35.1" customHeight="1">
      <c r="C7" s="343" t="s">
        <v>1</v>
      </c>
      <c r="D7" s="343" t="s">
        <v>480</v>
      </c>
      <c r="E7" s="343" t="s">
        <v>481</v>
      </c>
      <c r="F7" s="343" t="s">
        <v>482</v>
      </c>
      <c r="G7" s="343" t="s">
        <v>483</v>
      </c>
      <c r="H7" s="343" t="s">
        <v>484</v>
      </c>
      <c r="I7" s="343" t="s">
        <v>485</v>
      </c>
      <c r="J7" s="343" t="s">
        <v>485</v>
      </c>
      <c r="K7" s="343" t="s">
        <v>486</v>
      </c>
      <c r="L7" s="343" t="s">
        <v>487</v>
      </c>
      <c r="M7" s="343" t="s">
        <v>488</v>
      </c>
      <c r="O7" s="340" t="s">
        <v>543</v>
      </c>
    </row>
    <row r="8" spans="3:15" ht="24.95" customHeight="1">
      <c r="C8" s="342">
        <v>1</v>
      </c>
      <c r="D8" s="341" t="s">
        <v>489</v>
      </c>
      <c r="E8" s="341" t="s">
        <v>538</v>
      </c>
      <c r="F8" s="341" t="s">
        <v>476</v>
      </c>
      <c r="G8" s="175" t="s">
        <v>2252</v>
      </c>
      <c r="H8" s="341" t="s">
        <v>489</v>
      </c>
      <c r="I8" s="341"/>
      <c r="J8" s="341"/>
      <c r="K8" s="341"/>
      <c r="L8" s="341" t="str">
        <f>IF(F8="","",F8)&amp;IF(G8="","",G8&amp;"\")&amp;IF(H8="","",H8&amp;"\")&amp;IF(I8="","",I8&amp;"\")&amp;IF(J8="","",J8&amp;"\")&amp;IF(K8="","",K8&amp;"\")</f>
        <v>D:\1_Documents\1_Companies\samon_furniture\database\</v>
      </c>
      <c r="M8" s="421" t="str">
        <f t="shared" ref="M8:M46" si="0">IF(AND(E8="",J8=""),"",HYPERLINK(database_path,IF(J8="",E8,J8)))</f>
        <v>database file</v>
      </c>
      <c r="O8" s="340" t="s">
        <v>476</v>
      </c>
    </row>
    <row r="9" spans="3:15" ht="24.95" customHeight="1">
      <c r="C9" s="175">
        <v>2</v>
      </c>
      <c r="D9" s="341" t="s">
        <v>489</v>
      </c>
      <c r="E9" s="341" t="s">
        <v>539</v>
      </c>
      <c r="F9" s="341" t="s">
        <v>476</v>
      </c>
      <c r="G9" s="175" t="s">
        <v>2252</v>
      </c>
      <c r="H9" s="341" t="s">
        <v>489</v>
      </c>
      <c r="I9" s="341" t="s">
        <v>537</v>
      </c>
      <c r="J9" s="341"/>
      <c r="K9" s="341"/>
      <c r="L9" s="341" t="str">
        <f t="shared" ref="L9:L46" si="1">IF(F9="","",F9)&amp;IF(G9="","",G9&amp;"\")&amp;IF(H9="","",H9&amp;"\")&amp;IF(I9="","",I9&amp;"\")&amp;IF(J9="","",J9&amp;"\")&amp;IF(K9="","",K9&amp;"\")</f>
        <v>D:\1_Documents\1_Companies\samon_furniture\database\database_backup\</v>
      </c>
      <c r="M9" s="421" t="str">
        <f t="shared" si="0"/>
        <v>database backup</v>
      </c>
    </row>
    <row r="10" spans="3:15" ht="24.95" customHeight="1">
      <c r="C10" s="175">
        <v>3</v>
      </c>
      <c r="D10" s="341" t="s">
        <v>490</v>
      </c>
      <c r="E10" s="341" t="s">
        <v>540</v>
      </c>
      <c r="F10" s="341" t="s">
        <v>476</v>
      </c>
      <c r="G10" s="175" t="s">
        <v>2252</v>
      </c>
      <c r="H10" s="341"/>
      <c r="I10" s="341"/>
      <c r="J10" s="341"/>
      <c r="K10" s="341"/>
      <c r="L10" s="341" t="str">
        <f t="shared" si="1"/>
        <v>D:\1_Documents\1_Companies\samon_furniture\</v>
      </c>
      <c r="M10" s="421" t="str">
        <f t="shared" si="0"/>
        <v>system file</v>
      </c>
    </row>
    <row r="11" spans="3:15" ht="24.95" customHeight="1">
      <c r="C11" s="175">
        <v>4</v>
      </c>
      <c r="D11" s="341" t="s">
        <v>490</v>
      </c>
      <c r="E11" s="341" t="s">
        <v>541</v>
      </c>
      <c r="F11" s="341" t="s">
        <v>476</v>
      </c>
      <c r="G11" s="175" t="s">
        <v>2252</v>
      </c>
      <c r="H11" s="341" t="s">
        <v>542</v>
      </c>
      <c r="I11" s="341"/>
      <c r="J11" s="341"/>
      <c r="K11" s="341"/>
      <c r="L11" s="341" t="str">
        <f t="shared" si="1"/>
        <v>D:\1_Documents\1_Companies\samon_furniture\system_backup\</v>
      </c>
      <c r="M11" s="421" t="str">
        <f t="shared" si="0"/>
        <v>system backup</v>
      </c>
    </row>
    <row r="12" spans="3:15" ht="24.95" customHeight="1">
      <c r="C12" s="175">
        <v>5</v>
      </c>
      <c r="D12" s="341" t="s">
        <v>491</v>
      </c>
      <c r="E12" s="341" t="s">
        <v>492</v>
      </c>
      <c r="F12" s="341" t="s">
        <v>476</v>
      </c>
      <c r="G12" s="175" t="s">
        <v>2252</v>
      </c>
      <c r="H12" s="341" t="s">
        <v>493</v>
      </c>
      <c r="I12" s="341" t="s">
        <v>491</v>
      </c>
      <c r="J12" s="344" t="s">
        <v>492</v>
      </c>
      <c r="K12" s="344"/>
      <c r="L12" s="341" t="str">
        <f t="shared" si="1"/>
        <v>D:\1_Documents\1_Companies\samon_furniture\report\inventory\inventory_adjustment\</v>
      </c>
      <c r="M12" s="421" t="str">
        <f t="shared" si="0"/>
        <v>inventory_adjustment</v>
      </c>
    </row>
    <row r="13" spans="3:15" ht="24.95" customHeight="1">
      <c r="C13" s="175">
        <v>6</v>
      </c>
      <c r="D13" s="341" t="s">
        <v>111</v>
      </c>
      <c r="E13" s="341" t="s">
        <v>494</v>
      </c>
      <c r="F13" s="341" t="s">
        <v>476</v>
      </c>
      <c r="G13" s="175" t="s">
        <v>2252</v>
      </c>
      <c r="H13" s="341" t="s">
        <v>493</v>
      </c>
      <c r="I13" s="341" t="s">
        <v>111</v>
      </c>
      <c r="J13" s="344" t="s">
        <v>494</v>
      </c>
      <c r="K13" s="344"/>
      <c r="L13" s="341" t="str">
        <f t="shared" si="1"/>
        <v>D:\1_Documents\1_Companies\samon_furniture\report\Inventory\product\</v>
      </c>
      <c r="M13" s="421" t="str">
        <f t="shared" si="0"/>
        <v>product</v>
      </c>
    </row>
    <row r="14" spans="3:15" ht="24.95" customHeight="1">
      <c r="C14" s="175">
        <v>7</v>
      </c>
      <c r="D14" s="341" t="s">
        <v>111</v>
      </c>
      <c r="E14" s="341" t="s">
        <v>495</v>
      </c>
      <c r="F14" s="341" t="s">
        <v>476</v>
      </c>
      <c r="G14" s="175" t="s">
        <v>2252</v>
      </c>
      <c r="H14" s="341" t="s">
        <v>493</v>
      </c>
      <c r="I14" s="341" t="s">
        <v>111</v>
      </c>
      <c r="J14" s="344" t="s">
        <v>495</v>
      </c>
      <c r="K14" s="344"/>
      <c r="L14" s="341" t="str">
        <f t="shared" si="1"/>
        <v>D:\1_Documents\1_Companies\samon_furniture\report\Inventory\transfer_order\</v>
      </c>
      <c r="M14" s="421" t="str">
        <f t="shared" si="0"/>
        <v>transfer_order</v>
      </c>
    </row>
    <row r="15" spans="3:15" ht="24.95" customHeight="1">
      <c r="C15" s="175">
        <v>8</v>
      </c>
      <c r="D15" s="341" t="s">
        <v>496</v>
      </c>
      <c r="E15" s="341" t="s">
        <v>497</v>
      </c>
      <c r="F15" s="341" t="s">
        <v>476</v>
      </c>
      <c r="G15" s="175" t="s">
        <v>2252</v>
      </c>
      <c r="H15" s="341" t="s">
        <v>493</v>
      </c>
      <c r="I15" s="341" t="s">
        <v>496</v>
      </c>
      <c r="J15" s="344" t="s">
        <v>497</v>
      </c>
      <c r="K15" s="344"/>
      <c r="L15" s="341" t="str">
        <f t="shared" si="1"/>
        <v>D:\1_Documents\1_Companies\samon_furniture\report\purchase\purchase_bill\</v>
      </c>
      <c r="M15" s="421" t="str">
        <f t="shared" si="0"/>
        <v>purchase_bill</v>
      </c>
    </row>
    <row r="16" spans="3:15" ht="24.95" customHeight="1">
      <c r="C16" s="175">
        <v>9</v>
      </c>
      <c r="D16" s="341" t="s">
        <v>496</v>
      </c>
      <c r="E16" s="341" t="s">
        <v>498</v>
      </c>
      <c r="F16" s="341" t="s">
        <v>476</v>
      </c>
      <c r="G16" s="175" t="s">
        <v>2252</v>
      </c>
      <c r="H16" s="341" t="s">
        <v>493</v>
      </c>
      <c r="I16" s="341" t="s">
        <v>496</v>
      </c>
      <c r="J16" s="344" t="s">
        <v>498</v>
      </c>
      <c r="K16" s="344"/>
      <c r="L16" s="341" t="str">
        <f t="shared" si="1"/>
        <v>D:\1_Documents\1_Companies\samon_furniture\report\purchase\purchase_request\</v>
      </c>
      <c r="M16" s="421" t="str">
        <f t="shared" si="0"/>
        <v>purchase_request</v>
      </c>
    </row>
    <row r="17" spans="3:13" ht="24.95" customHeight="1">
      <c r="C17" s="175">
        <v>10</v>
      </c>
      <c r="D17" s="341" t="s">
        <v>496</v>
      </c>
      <c r="E17" s="341" t="s">
        <v>499</v>
      </c>
      <c r="F17" s="341" t="s">
        <v>476</v>
      </c>
      <c r="G17" s="175" t="s">
        <v>2252</v>
      </c>
      <c r="H17" s="341" t="s">
        <v>493</v>
      </c>
      <c r="I17" s="341" t="s">
        <v>496</v>
      </c>
      <c r="J17" s="344" t="s">
        <v>499</v>
      </c>
      <c r="K17" s="344"/>
      <c r="L17" s="341" t="str">
        <f t="shared" si="1"/>
        <v>D:\1_Documents\1_Companies\samon_furniture\report\purchase\other_expense\</v>
      </c>
      <c r="M17" s="421" t="str">
        <f t="shared" si="0"/>
        <v>other_expense</v>
      </c>
    </row>
    <row r="18" spans="3:13" ht="24.95" customHeight="1">
      <c r="C18" s="175">
        <v>11</v>
      </c>
      <c r="D18" s="341" t="s">
        <v>496</v>
      </c>
      <c r="E18" s="341" t="s">
        <v>500</v>
      </c>
      <c r="F18" s="341" t="s">
        <v>476</v>
      </c>
      <c r="G18" s="175" t="s">
        <v>2252</v>
      </c>
      <c r="H18" s="341" t="s">
        <v>493</v>
      </c>
      <c r="I18" s="341" t="s">
        <v>496</v>
      </c>
      <c r="J18" s="344" t="s">
        <v>500</v>
      </c>
      <c r="K18" s="344"/>
      <c r="L18" s="341" t="str">
        <f t="shared" si="1"/>
        <v>D:\1_Documents\1_Companies\samon_furniture\report\purchase\vendor\</v>
      </c>
      <c r="M18" s="421" t="str">
        <f t="shared" si="0"/>
        <v>vendor</v>
      </c>
    </row>
    <row r="19" spans="3:13" ht="24.95" customHeight="1">
      <c r="C19" s="175">
        <v>12</v>
      </c>
      <c r="D19" s="341" t="s">
        <v>501</v>
      </c>
      <c r="E19" s="341" t="s">
        <v>502</v>
      </c>
      <c r="F19" s="341" t="s">
        <v>476</v>
      </c>
      <c r="G19" s="175" t="s">
        <v>2252</v>
      </c>
      <c r="H19" s="341" t="s">
        <v>493</v>
      </c>
      <c r="I19" s="341" t="s">
        <v>501</v>
      </c>
      <c r="J19" s="344" t="s">
        <v>502</v>
      </c>
      <c r="K19" s="344"/>
      <c r="L19" s="341" t="str">
        <f t="shared" si="1"/>
        <v>D:\1_Documents\1_Companies\samon_furniture\report\sales\customer\</v>
      </c>
      <c r="M19" s="421" t="str">
        <f t="shared" si="0"/>
        <v>customer</v>
      </c>
    </row>
    <row r="20" spans="3:13" ht="24.95" customHeight="1">
      <c r="C20" s="175">
        <v>13</v>
      </c>
      <c r="D20" s="341" t="s">
        <v>501</v>
      </c>
      <c r="E20" s="341" t="s">
        <v>503</v>
      </c>
      <c r="F20" s="341" t="s">
        <v>476</v>
      </c>
      <c r="G20" s="175" t="s">
        <v>2252</v>
      </c>
      <c r="H20" s="341" t="s">
        <v>493</v>
      </c>
      <c r="I20" s="341" t="s">
        <v>501</v>
      </c>
      <c r="J20" s="344" t="s">
        <v>503</v>
      </c>
      <c r="K20" s="344"/>
      <c r="L20" s="341" t="str">
        <f t="shared" si="1"/>
        <v>D:\1_Documents\1_Companies\samon_furniture\report\sales\quotation\</v>
      </c>
      <c r="M20" s="421" t="str">
        <f t="shared" si="0"/>
        <v>quotation</v>
      </c>
    </row>
    <row r="21" spans="3:13" ht="24.95" customHeight="1">
      <c r="C21" s="175">
        <v>14</v>
      </c>
      <c r="D21" s="341" t="s">
        <v>501</v>
      </c>
      <c r="E21" s="341" t="s">
        <v>504</v>
      </c>
      <c r="F21" s="341" t="s">
        <v>476</v>
      </c>
      <c r="G21" s="175" t="s">
        <v>2252</v>
      </c>
      <c r="H21" s="341" t="s">
        <v>493</v>
      </c>
      <c r="I21" s="341" t="s">
        <v>501</v>
      </c>
      <c r="J21" s="344" t="s">
        <v>504</v>
      </c>
      <c r="K21" s="344"/>
      <c r="L21" s="341" t="str">
        <f t="shared" si="1"/>
        <v>D:\1_Documents\1_Companies\samon_furniture\report\sales\sales_order\</v>
      </c>
      <c r="M21" s="421" t="str">
        <f t="shared" si="0"/>
        <v>sales_order</v>
      </c>
    </row>
    <row r="22" spans="3:13" ht="24.95" customHeight="1">
      <c r="C22" s="175">
        <v>15</v>
      </c>
      <c r="D22" s="341" t="s">
        <v>501</v>
      </c>
      <c r="E22" s="341" t="s">
        <v>505</v>
      </c>
      <c r="F22" s="341" t="s">
        <v>476</v>
      </c>
      <c r="G22" s="175" t="s">
        <v>2252</v>
      </c>
      <c r="H22" s="341" t="s">
        <v>493</v>
      </c>
      <c r="I22" s="341" t="s">
        <v>501</v>
      </c>
      <c r="J22" s="344" t="s">
        <v>505</v>
      </c>
      <c r="K22" s="344"/>
      <c r="L22" s="341" t="str">
        <f t="shared" si="1"/>
        <v>D:\1_Documents\1_Companies\samon_furniture\report\sales\sales_invoice\</v>
      </c>
      <c r="M22" s="421" t="str">
        <f t="shared" si="0"/>
        <v>sales_invoice</v>
      </c>
    </row>
    <row r="23" spans="3:13" ht="24.95" customHeight="1">
      <c r="C23" s="175">
        <v>16</v>
      </c>
      <c r="D23" s="341" t="s">
        <v>501</v>
      </c>
      <c r="E23" s="341" t="s">
        <v>506</v>
      </c>
      <c r="F23" s="341" t="s">
        <v>476</v>
      </c>
      <c r="G23" s="175" t="s">
        <v>2252</v>
      </c>
      <c r="H23" s="341" t="s">
        <v>493</v>
      </c>
      <c r="I23" s="341" t="s">
        <v>501</v>
      </c>
      <c r="J23" s="344" t="s">
        <v>506</v>
      </c>
      <c r="K23" s="344"/>
      <c r="L23" s="341" t="str">
        <f t="shared" si="1"/>
        <v>D:\1_Documents\1_Companies\samon_furniture\report\sales\pos\</v>
      </c>
      <c r="M23" s="421" t="str">
        <f t="shared" si="0"/>
        <v>pos</v>
      </c>
    </row>
    <row r="24" spans="3:13" ht="24.95" customHeight="1">
      <c r="C24" s="175">
        <v>17</v>
      </c>
      <c r="D24" s="341" t="s">
        <v>501</v>
      </c>
      <c r="E24" s="345" t="s">
        <v>507</v>
      </c>
      <c r="F24" s="341" t="s">
        <v>476</v>
      </c>
      <c r="G24" s="175" t="s">
        <v>2252</v>
      </c>
      <c r="H24" s="341" t="s">
        <v>493</v>
      </c>
      <c r="I24" s="341" t="s">
        <v>501</v>
      </c>
      <c r="J24" s="344" t="s">
        <v>507</v>
      </c>
      <c r="K24" s="344"/>
      <c r="L24" s="341" t="str">
        <f t="shared" si="1"/>
        <v>D:\1_Documents\1_Companies\samon_furniture\report\sales\other_income\</v>
      </c>
      <c r="M24" s="421" t="str">
        <f t="shared" si="0"/>
        <v>other_income</v>
      </c>
    </row>
    <row r="25" spans="3:13" ht="24.95" customHeight="1">
      <c r="C25" s="175">
        <v>18</v>
      </c>
      <c r="D25" s="341" t="s">
        <v>508</v>
      </c>
      <c r="E25" s="341" t="s">
        <v>509</v>
      </c>
      <c r="F25" s="341" t="s">
        <v>476</v>
      </c>
      <c r="G25" s="175" t="s">
        <v>2252</v>
      </c>
      <c r="H25" s="341" t="s">
        <v>493</v>
      </c>
      <c r="I25" s="341" t="s">
        <v>508</v>
      </c>
      <c r="J25" s="344" t="s">
        <v>509</v>
      </c>
      <c r="K25" s="344"/>
      <c r="L25" s="341" t="str">
        <f t="shared" si="1"/>
        <v>D:\1_Documents\1_Companies\samon_furniture\report\setting\employee_and_salary\</v>
      </c>
      <c r="M25" s="421" t="str">
        <f t="shared" si="0"/>
        <v>employee_and_salary</v>
      </c>
    </row>
    <row r="26" spans="3:13" ht="24.95" customHeight="1">
      <c r="C26" s="175">
        <v>19</v>
      </c>
      <c r="D26" s="341" t="s">
        <v>508</v>
      </c>
      <c r="E26" s="341" t="s">
        <v>510</v>
      </c>
      <c r="F26" s="341" t="s">
        <v>476</v>
      </c>
      <c r="G26" s="175" t="s">
        <v>2252</v>
      </c>
      <c r="H26" s="341" t="s">
        <v>493</v>
      </c>
      <c r="I26" s="341" t="s">
        <v>508</v>
      </c>
      <c r="J26" s="344" t="s">
        <v>510</v>
      </c>
      <c r="K26" s="344"/>
      <c r="L26" s="341" t="str">
        <f t="shared" si="1"/>
        <v>D:\1_Documents\1_Companies\samon_furniture\report\setting\chart_account\</v>
      </c>
      <c r="M26" s="421" t="str">
        <f t="shared" si="0"/>
        <v>chart_account</v>
      </c>
    </row>
    <row r="27" spans="3:13" ht="24.95" customHeight="1">
      <c r="C27" s="175">
        <v>20</v>
      </c>
      <c r="D27" s="341" t="s">
        <v>511</v>
      </c>
      <c r="E27" s="341" t="s">
        <v>512</v>
      </c>
      <c r="F27" s="341" t="s">
        <v>476</v>
      </c>
      <c r="G27" s="175" t="s">
        <v>2252</v>
      </c>
      <c r="H27" s="341" t="s">
        <v>493</v>
      </c>
      <c r="I27" s="341" t="s">
        <v>511</v>
      </c>
      <c r="J27" s="344" t="s">
        <v>512</v>
      </c>
      <c r="K27" s="344"/>
      <c r="L27" s="341" t="str">
        <f t="shared" si="1"/>
        <v>D:\1_Documents\1_Companies\samon_furniture\report\report_customer_balance\customer_balance\</v>
      </c>
      <c r="M27" s="421" t="str">
        <f t="shared" si="0"/>
        <v>customer_balance</v>
      </c>
    </row>
    <row r="28" spans="3:13" ht="24.95" customHeight="1">
      <c r="C28" s="175">
        <v>21</v>
      </c>
      <c r="D28" s="341" t="s">
        <v>511</v>
      </c>
      <c r="E28" s="341" t="s">
        <v>513</v>
      </c>
      <c r="F28" s="341" t="s">
        <v>476</v>
      </c>
      <c r="G28" s="175" t="s">
        <v>2252</v>
      </c>
      <c r="H28" s="341" t="s">
        <v>493</v>
      </c>
      <c r="I28" s="341" t="s">
        <v>511</v>
      </c>
      <c r="J28" s="344" t="s">
        <v>513</v>
      </c>
      <c r="K28" s="344"/>
      <c r="L28" s="341" t="str">
        <f t="shared" si="1"/>
        <v>D:\1_Documents\1_Companies\samon_furniture\report\report_customer_balance\open_invoice\</v>
      </c>
      <c r="M28" s="421" t="str">
        <f t="shared" si="0"/>
        <v>open_invoice</v>
      </c>
    </row>
    <row r="29" spans="3:13" ht="24.95" customHeight="1">
      <c r="C29" s="175">
        <v>22</v>
      </c>
      <c r="D29" s="341" t="s">
        <v>511</v>
      </c>
      <c r="E29" s="341" t="s">
        <v>514</v>
      </c>
      <c r="F29" s="341" t="s">
        <v>476</v>
      </c>
      <c r="G29" s="175" t="s">
        <v>2252</v>
      </c>
      <c r="H29" s="341" t="s">
        <v>493</v>
      </c>
      <c r="I29" s="341" t="s">
        <v>511</v>
      </c>
      <c r="J29" s="344" t="s">
        <v>514</v>
      </c>
      <c r="K29" s="344"/>
      <c r="L29" s="341" t="str">
        <f t="shared" si="1"/>
        <v>D:\1_Documents\1_Companies\samon_furniture\report\report_customer_balance\customer_statement\</v>
      </c>
      <c r="M29" s="421" t="str">
        <f t="shared" si="0"/>
        <v>customer_statement</v>
      </c>
    </row>
    <row r="30" spans="3:13" ht="24.95" customHeight="1">
      <c r="C30" s="175">
        <v>23</v>
      </c>
      <c r="D30" s="341" t="s">
        <v>515</v>
      </c>
      <c r="E30" s="341" t="s">
        <v>516</v>
      </c>
      <c r="F30" s="341" t="s">
        <v>476</v>
      </c>
      <c r="G30" s="175" t="s">
        <v>2252</v>
      </c>
      <c r="H30" s="341" t="s">
        <v>493</v>
      </c>
      <c r="I30" s="341" t="s">
        <v>515</v>
      </c>
      <c r="J30" s="344" t="s">
        <v>516</v>
      </c>
      <c r="K30" s="344"/>
      <c r="L30" s="341" t="str">
        <f t="shared" si="1"/>
        <v>D:\1_Documents\1_Companies\samon_furniture\report\report_vendor_balance\vendor_balance\</v>
      </c>
      <c r="M30" s="421" t="str">
        <f t="shared" si="0"/>
        <v>vendor_balance</v>
      </c>
    </row>
    <row r="31" spans="3:13" ht="24.95" customHeight="1">
      <c r="C31" s="175">
        <v>24</v>
      </c>
      <c r="D31" s="341" t="s">
        <v>515</v>
      </c>
      <c r="E31" s="341" t="s">
        <v>517</v>
      </c>
      <c r="F31" s="341" t="s">
        <v>476</v>
      </c>
      <c r="G31" s="175" t="s">
        <v>2252</v>
      </c>
      <c r="H31" s="341" t="s">
        <v>493</v>
      </c>
      <c r="I31" s="341" t="s">
        <v>515</v>
      </c>
      <c r="J31" s="344" t="s">
        <v>517</v>
      </c>
      <c r="K31" s="344"/>
      <c r="L31" s="341" t="str">
        <f t="shared" si="1"/>
        <v>D:\1_Documents\1_Companies\samon_furniture\report\report_vendor_balance\open_bill\</v>
      </c>
      <c r="M31" s="421" t="str">
        <f t="shared" si="0"/>
        <v>open_bill</v>
      </c>
    </row>
    <row r="32" spans="3:13" ht="24.95" customHeight="1">
      <c r="C32" s="175">
        <v>25</v>
      </c>
      <c r="D32" s="341" t="s">
        <v>515</v>
      </c>
      <c r="E32" s="341" t="s">
        <v>518</v>
      </c>
      <c r="F32" s="341" t="s">
        <v>476</v>
      </c>
      <c r="G32" s="175" t="s">
        <v>2252</v>
      </c>
      <c r="H32" s="341" t="s">
        <v>493</v>
      </c>
      <c r="I32" s="341" t="s">
        <v>515</v>
      </c>
      <c r="J32" s="344" t="s">
        <v>518</v>
      </c>
      <c r="K32" s="344"/>
      <c r="L32" s="341" t="str">
        <f t="shared" si="1"/>
        <v>D:\1_Documents\1_Companies\samon_furniture\report\report_vendor_balance\vendor_statement\</v>
      </c>
      <c r="M32" s="421" t="str">
        <f t="shared" si="0"/>
        <v>vendor_statement</v>
      </c>
    </row>
    <row r="33" spans="3:13" ht="24.95" customHeight="1">
      <c r="C33" s="175">
        <v>26</v>
      </c>
      <c r="D33" s="341" t="s">
        <v>519</v>
      </c>
      <c r="E33" s="341" t="s">
        <v>520</v>
      </c>
      <c r="F33" s="341" t="s">
        <v>476</v>
      </c>
      <c r="G33" s="175" t="s">
        <v>2252</v>
      </c>
      <c r="H33" s="341" t="s">
        <v>493</v>
      </c>
      <c r="I33" s="341" t="s">
        <v>519</v>
      </c>
      <c r="J33" s="344" t="s">
        <v>520</v>
      </c>
      <c r="K33" s="344"/>
      <c r="L33" s="341" t="str">
        <f t="shared" si="1"/>
        <v>D:\1_Documents\1_Companies\samon_furniture\report\report_purchase\purchase_by_invoice\</v>
      </c>
      <c r="M33" s="421" t="str">
        <f t="shared" si="0"/>
        <v>purchase_by_invoice</v>
      </c>
    </row>
    <row r="34" spans="3:13" ht="24.95" customHeight="1">
      <c r="C34" s="175">
        <v>27</v>
      </c>
      <c r="D34" s="341" t="s">
        <v>519</v>
      </c>
      <c r="E34" s="341" t="s">
        <v>521</v>
      </c>
      <c r="F34" s="341" t="s">
        <v>476</v>
      </c>
      <c r="G34" s="175" t="s">
        <v>2252</v>
      </c>
      <c r="H34" s="341" t="s">
        <v>493</v>
      </c>
      <c r="I34" s="341" t="s">
        <v>519</v>
      </c>
      <c r="J34" s="344" t="s">
        <v>521</v>
      </c>
      <c r="K34" s="344"/>
      <c r="L34" s="341" t="str">
        <f t="shared" si="1"/>
        <v>D:\1_Documents\1_Companies\samon_furniture\report\report_purchase\purchase_by_item\</v>
      </c>
      <c r="M34" s="421" t="str">
        <f t="shared" si="0"/>
        <v>purchase_by_item</v>
      </c>
    </row>
    <row r="35" spans="3:13" ht="24.95" customHeight="1">
      <c r="C35" s="175">
        <v>28</v>
      </c>
      <c r="D35" s="341" t="s">
        <v>519</v>
      </c>
      <c r="E35" s="341" t="s">
        <v>522</v>
      </c>
      <c r="F35" s="341" t="s">
        <v>476</v>
      </c>
      <c r="G35" s="175" t="s">
        <v>2252</v>
      </c>
      <c r="H35" s="341" t="s">
        <v>493</v>
      </c>
      <c r="I35" s="341" t="s">
        <v>519</v>
      </c>
      <c r="J35" s="344" t="s">
        <v>522</v>
      </c>
      <c r="K35" s="344"/>
      <c r="L35" s="341" t="str">
        <f t="shared" si="1"/>
        <v>D:\1_Documents\1_Companies\samon_furniture\report\report_purchase\pay_bills \</v>
      </c>
      <c r="M35" s="421" t="str">
        <f t="shared" si="0"/>
        <v xml:space="preserve">pay_bills </v>
      </c>
    </row>
    <row r="36" spans="3:13" ht="24.95" customHeight="1">
      <c r="C36" s="175">
        <v>29</v>
      </c>
      <c r="D36" s="341" t="s">
        <v>519</v>
      </c>
      <c r="E36" s="341" t="s">
        <v>523</v>
      </c>
      <c r="F36" s="341" t="s">
        <v>476</v>
      </c>
      <c r="G36" s="175" t="s">
        <v>2252</v>
      </c>
      <c r="H36" s="341" t="s">
        <v>493</v>
      </c>
      <c r="I36" s="341" t="s">
        <v>519</v>
      </c>
      <c r="J36" s="344" t="s">
        <v>523</v>
      </c>
      <c r="K36" s="344"/>
      <c r="L36" s="341" t="str">
        <f t="shared" si="1"/>
        <v>D:\1_Documents\1_Companies\samon_furniture\report\report_purchase\cash_expenses\</v>
      </c>
      <c r="M36" s="421" t="str">
        <f t="shared" si="0"/>
        <v>cash_expenses</v>
      </c>
    </row>
    <row r="37" spans="3:13" ht="24.95" customHeight="1">
      <c r="C37" s="175">
        <v>30</v>
      </c>
      <c r="D37" s="341" t="s">
        <v>524</v>
      </c>
      <c r="E37" s="341" t="s">
        <v>525</v>
      </c>
      <c r="F37" s="341" t="s">
        <v>476</v>
      </c>
      <c r="G37" s="175" t="s">
        <v>2252</v>
      </c>
      <c r="H37" s="341" t="s">
        <v>493</v>
      </c>
      <c r="I37" s="341" t="s">
        <v>524</v>
      </c>
      <c r="J37" s="344" t="s">
        <v>525</v>
      </c>
      <c r="K37" s="344"/>
      <c r="L37" s="341" t="str">
        <f t="shared" si="1"/>
        <v>D:\1_Documents\1_Companies\samon_furniture\report\report_sales\sales_by_item\</v>
      </c>
      <c r="M37" s="421" t="str">
        <f t="shared" si="0"/>
        <v>sales_by_item</v>
      </c>
    </row>
    <row r="38" spans="3:13" ht="24.95" customHeight="1">
      <c r="C38" s="175">
        <v>31</v>
      </c>
      <c r="D38" s="341" t="s">
        <v>524</v>
      </c>
      <c r="E38" s="341" t="s">
        <v>526</v>
      </c>
      <c r="F38" s="341" t="s">
        <v>476</v>
      </c>
      <c r="G38" s="175" t="s">
        <v>2252</v>
      </c>
      <c r="H38" s="341" t="s">
        <v>493</v>
      </c>
      <c r="I38" s="341" t="s">
        <v>524</v>
      </c>
      <c r="J38" s="344" t="s">
        <v>526</v>
      </c>
      <c r="K38" s="344"/>
      <c r="L38" s="341" t="str">
        <f t="shared" si="1"/>
        <v>D:\1_Documents\1_Companies\samon_furniture\report\report_sales\sales_by_item_customer\</v>
      </c>
      <c r="M38" s="421" t="str">
        <f t="shared" si="0"/>
        <v>sales_by_item_customer</v>
      </c>
    </row>
    <row r="39" spans="3:13" ht="24.95" customHeight="1">
      <c r="C39" s="175">
        <v>32</v>
      </c>
      <c r="D39" s="341" t="s">
        <v>524</v>
      </c>
      <c r="E39" s="341" t="s">
        <v>527</v>
      </c>
      <c r="F39" s="341" t="s">
        <v>476</v>
      </c>
      <c r="G39" s="175" t="s">
        <v>2252</v>
      </c>
      <c r="H39" s="341" t="s">
        <v>493</v>
      </c>
      <c r="I39" s="341" t="s">
        <v>524</v>
      </c>
      <c r="J39" s="344" t="s">
        <v>527</v>
      </c>
      <c r="K39" s="344"/>
      <c r="L39" s="341" t="str">
        <f t="shared" si="1"/>
        <v>D:\1_Documents\1_Companies\samon_furniture\report\report_sales\total_sale\</v>
      </c>
      <c r="M39" s="421" t="str">
        <f t="shared" si="0"/>
        <v>total_sale</v>
      </c>
    </row>
    <row r="40" spans="3:13" ht="24.95" customHeight="1">
      <c r="C40" s="175">
        <v>33</v>
      </c>
      <c r="D40" s="341" t="s">
        <v>528</v>
      </c>
      <c r="E40" s="341" t="s">
        <v>529</v>
      </c>
      <c r="F40" s="341" t="s">
        <v>476</v>
      </c>
      <c r="G40" s="175" t="s">
        <v>2252</v>
      </c>
      <c r="H40" s="341" t="s">
        <v>493</v>
      </c>
      <c r="I40" s="341" t="s">
        <v>528</v>
      </c>
      <c r="J40" s="344" t="s">
        <v>529</v>
      </c>
      <c r="K40" s="344"/>
      <c r="L40" s="341" t="str">
        <f t="shared" si="1"/>
        <v>D:\1_Documents\1_Companies\samon_furniture\report\report_inventory\gloable_inventory\</v>
      </c>
      <c r="M40" s="421" t="str">
        <f t="shared" si="0"/>
        <v>gloable_inventory</v>
      </c>
    </row>
    <row r="41" spans="3:13" ht="24.95" customHeight="1">
      <c r="C41" s="175">
        <v>34</v>
      </c>
      <c r="D41" s="341" t="s">
        <v>528</v>
      </c>
      <c r="E41" s="341" t="s">
        <v>530</v>
      </c>
      <c r="F41" s="341" t="s">
        <v>476</v>
      </c>
      <c r="G41" s="175" t="s">
        <v>2252</v>
      </c>
      <c r="H41" s="341" t="s">
        <v>493</v>
      </c>
      <c r="I41" s="341" t="s">
        <v>528</v>
      </c>
      <c r="J41" s="344" t="s">
        <v>530</v>
      </c>
      <c r="K41" s="344"/>
      <c r="L41" s="341" t="str">
        <f t="shared" si="1"/>
        <v>D:\1_Documents\1_Companies\samon_furniture\report\report_inventory\inventory_activity\</v>
      </c>
      <c r="M41" s="421" t="str">
        <f t="shared" si="0"/>
        <v>inventory_activity</v>
      </c>
    </row>
    <row r="42" spans="3:13" ht="24.95" customHeight="1">
      <c r="C42" s="175">
        <v>35</v>
      </c>
      <c r="D42" s="341" t="s">
        <v>528</v>
      </c>
      <c r="E42" s="341" t="s">
        <v>531</v>
      </c>
      <c r="F42" s="341" t="s">
        <v>476</v>
      </c>
      <c r="G42" s="175" t="s">
        <v>2252</v>
      </c>
      <c r="H42" s="341" t="s">
        <v>493</v>
      </c>
      <c r="I42" s="341" t="s">
        <v>528</v>
      </c>
      <c r="J42" s="344" t="s">
        <v>531</v>
      </c>
      <c r="K42" s="344"/>
      <c r="L42" s="341" t="str">
        <f t="shared" si="1"/>
        <v>D:\1_Documents\1_Companies\samon_furniture\report\report_inventory\inventory_valuation\</v>
      </c>
      <c r="M42" s="421" t="str">
        <f t="shared" si="0"/>
        <v>inventory_valuation</v>
      </c>
    </row>
    <row r="43" spans="3:13" ht="24.95" customHeight="1">
      <c r="C43" s="175">
        <v>36</v>
      </c>
      <c r="D43" s="341" t="s">
        <v>532</v>
      </c>
      <c r="E43" s="341" t="s">
        <v>533</v>
      </c>
      <c r="F43" s="341" t="s">
        <v>476</v>
      </c>
      <c r="G43" s="175" t="s">
        <v>2252</v>
      </c>
      <c r="H43" s="341" t="s">
        <v>493</v>
      </c>
      <c r="I43" s="341" t="s">
        <v>532</v>
      </c>
      <c r="J43" s="344" t="s">
        <v>533</v>
      </c>
      <c r="K43" s="344"/>
      <c r="L43" s="341" t="str">
        <f t="shared" si="1"/>
        <v>D:\1_Documents\1_Companies\samon_furniture\report\report_accounting\journal_entry\</v>
      </c>
      <c r="M43" s="421" t="str">
        <f t="shared" si="0"/>
        <v>journal_entry</v>
      </c>
    </row>
    <row r="44" spans="3:13" ht="24.95" customHeight="1">
      <c r="C44" s="175">
        <v>37</v>
      </c>
      <c r="D44" s="341" t="s">
        <v>532</v>
      </c>
      <c r="E44" s="341" t="s">
        <v>534</v>
      </c>
      <c r="F44" s="341" t="s">
        <v>476</v>
      </c>
      <c r="G44" s="175" t="s">
        <v>2252</v>
      </c>
      <c r="H44" s="341" t="s">
        <v>493</v>
      </c>
      <c r="I44" s="341" t="s">
        <v>532</v>
      </c>
      <c r="J44" s="344" t="s">
        <v>534</v>
      </c>
      <c r="K44" s="344"/>
      <c r="L44" s="341" t="str">
        <f t="shared" si="1"/>
        <v>D:\1_Documents\1_Companies\samon_furniture\report\report_accounting\general_ledger\</v>
      </c>
      <c r="M44" s="421" t="str">
        <f t="shared" si="0"/>
        <v>general_ledger</v>
      </c>
    </row>
    <row r="45" spans="3:13" ht="24.95" customHeight="1">
      <c r="C45" s="175">
        <v>38</v>
      </c>
      <c r="D45" s="341" t="s">
        <v>532</v>
      </c>
      <c r="E45" s="341" t="s">
        <v>535</v>
      </c>
      <c r="F45" s="341" t="s">
        <v>476</v>
      </c>
      <c r="G45" s="175" t="s">
        <v>2252</v>
      </c>
      <c r="H45" s="341" t="s">
        <v>493</v>
      </c>
      <c r="I45" s="341" t="s">
        <v>532</v>
      </c>
      <c r="J45" s="344" t="s">
        <v>535</v>
      </c>
      <c r="K45" s="344"/>
      <c r="L45" s="341" t="str">
        <f t="shared" si="1"/>
        <v>D:\1_Documents\1_Companies\samon_furniture\report\report_accounting\balance_sheet\</v>
      </c>
      <c r="M45" s="421" t="str">
        <f t="shared" si="0"/>
        <v>balance_sheet</v>
      </c>
    </row>
    <row r="46" spans="3:13" ht="24.95" customHeight="1">
      <c r="C46" s="175">
        <v>39</v>
      </c>
      <c r="D46" s="341" t="s">
        <v>532</v>
      </c>
      <c r="E46" s="341" t="s">
        <v>536</v>
      </c>
      <c r="F46" s="341" t="s">
        <v>476</v>
      </c>
      <c r="G46" s="175" t="s">
        <v>2252</v>
      </c>
      <c r="H46" s="341" t="s">
        <v>493</v>
      </c>
      <c r="I46" s="341" t="s">
        <v>532</v>
      </c>
      <c r="J46" s="344" t="s">
        <v>536</v>
      </c>
      <c r="K46" s="344"/>
      <c r="L46" s="341" t="str">
        <f t="shared" si="1"/>
        <v>D:\1_Documents\1_Companies\samon_furniture\report\report_accounting\profit_loss\</v>
      </c>
      <c r="M46" s="421" t="str">
        <f t="shared" si="0"/>
        <v>profit_loss</v>
      </c>
    </row>
    <row r="47" spans="3:13" ht="24.95" customHeight="1">
      <c r="C47" s="175">
        <v>40</v>
      </c>
      <c r="D47" s="341" t="s">
        <v>111</v>
      </c>
      <c r="E47" s="341" t="s">
        <v>2263</v>
      </c>
      <c r="F47" s="341" t="s">
        <v>476</v>
      </c>
      <c r="G47" s="175" t="s">
        <v>2252</v>
      </c>
      <c r="H47" s="341" t="s">
        <v>2264</v>
      </c>
      <c r="I47" s="341" t="s">
        <v>2265</v>
      </c>
      <c r="J47" s="341" t="s">
        <v>2263</v>
      </c>
      <c r="K47" s="341"/>
      <c r="L47" s="341" t="str">
        <f t="shared" ref="L47" si="2">IF(F47="","",F47)&amp;IF(G47="","",G47&amp;"\")&amp;IF(H47="","",H47&amp;"\")&amp;IF(I47="","",I47&amp;"\")&amp;IF(J47="","",J47&amp;"\")&amp;IF(K47="","",K47&amp;"\")</f>
        <v>D:\1_Documents\1_Companies\samon_furniture\src\public\product_photo\</v>
      </c>
      <c r="M47" s="421" t="str">
        <f t="shared" ref="M47" si="3">IF(AND(E47="",J47=""),"",HYPERLINK(database_path,IF(J47="",E47,J47)))</f>
        <v>product_photo</v>
      </c>
    </row>
    <row r="48" spans="3:13" ht="24.95" customHeight="1">
      <c r="C48" s="175">
        <v>41</v>
      </c>
      <c r="D48" s="341" t="s">
        <v>501</v>
      </c>
      <c r="E48" s="341" t="s">
        <v>2278</v>
      </c>
      <c r="F48" s="341" t="s">
        <v>476</v>
      </c>
      <c r="G48" s="175" t="s">
        <v>2252</v>
      </c>
      <c r="H48" s="341" t="s">
        <v>493</v>
      </c>
      <c r="I48" s="341" t="s">
        <v>501</v>
      </c>
      <c r="J48" s="341" t="s">
        <v>2278</v>
      </c>
      <c r="K48" s="341"/>
      <c r="L48" s="341" t="str">
        <f t="shared" ref="L48" si="4">IF(F48="","",F48)&amp;IF(G48="","",G48&amp;"\")&amp;IF(H48="","",H48&amp;"\")&amp;IF(I48="","",I48&amp;"\")&amp;IF(J48="","",J48&amp;"\")&amp;IF(K48="","",K48&amp;"\")</f>
        <v>D:\1_Documents\1_Companies\samon_furniture\report\sales\receive_payment\</v>
      </c>
      <c r="M48" s="421" t="str">
        <f t="shared" ref="M48" si="5">IF(AND(E48="",J48=""),"",HYPERLINK(database_path,IF(J48="",E48,J48)))</f>
        <v>receive_payment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F8:F47" xr:uid="{EF8C63D3-1217-47B4-BCCC-67F2408BD734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495"/>
  <sheetViews>
    <sheetView showGridLines="0" topLeftCell="N2" zoomScale="90" zoomScaleNormal="90" workbookViewId="0">
      <pane ySplit="6" topLeftCell="A116" activePane="bottomLeft" state="frozen"/>
      <selection activeCell="L28" sqref="L28"/>
      <selection pane="bottomLeft" activeCell="H17" sqref="H17"/>
    </sheetView>
  </sheetViews>
  <sheetFormatPr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8" customWidth="1"/>
    <col min="22" max="22" width="14.85546875" style="208" bestFit="1" customWidth="1"/>
    <col min="23" max="23" width="20.5703125" style="208" customWidth="1"/>
    <col min="24" max="24" width="15.140625" style="208" customWidth="1"/>
    <col min="25" max="25" width="14.42578125" style="208" customWidth="1"/>
    <col min="26" max="26" width="18.85546875" style="208" customWidth="1"/>
    <col min="27" max="27" width="23.5703125" style="208" customWidth="1"/>
    <col min="28" max="28" width="15" style="208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200"/>
      <c r="V1" s="200"/>
      <c r="W1" s="200"/>
      <c r="X1" s="200"/>
      <c r="Y1" s="200"/>
      <c r="Z1" s="200"/>
      <c r="AA1" s="200"/>
      <c r="AB1" s="200"/>
      <c r="AC1" s="198"/>
      <c r="AD1" s="198"/>
      <c r="AE1" s="198"/>
      <c r="AF1" s="198"/>
      <c r="AG1" s="198"/>
      <c r="AH1" s="198"/>
      <c r="AI1" s="198"/>
    </row>
    <row r="2" spans="3:36" s="13" customFormat="1">
      <c r="U2" s="201"/>
      <c r="V2" s="201"/>
      <c r="W2" s="201"/>
      <c r="X2" s="201"/>
      <c r="Y2" s="201"/>
      <c r="Z2" s="201"/>
      <c r="AA2" s="201"/>
      <c r="AB2" s="201"/>
    </row>
    <row r="3" spans="3:36" s="13" customFormat="1" ht="35.25">
      <c r="C3" s="285" t="s">
        <v>457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9"/>
      <c r="V3" s="239"/>
      <c r="W3" s="239"/>
      <c r="X3" s="239"/>
      <c r="Y3" s="239"/>
      <c r="Z3" s="239"/>
      <c r="AA3" s="239"/>
      <c r="AB3" s="239"/>
      <c r="AC3" s="234"/>
      <c r="AD3" s="234"/>
      <c r="AE3" s="234"/>
      <c r="AF3" s="234"/>
      <c r="AG3" s="234"/>
      <c r="AH3" s="234"/>
      <c r="AI3" s="234"/>
    </row>
    <row r="4" spans="3:36" s="13" customFormat="1">
      <c r="U4" s="201"/>
      <c r="V4" s="201"/>
      <c r="W4" s="201"/>
      <c r="X4" s="201"/>
      <c r="Y4" s="201"/>
      <c r="Z4" s="201"/>
      <c r="AA4" s="201"/>
      <c r="AB4" s="201"/>
    </row>
    <row r="5" spans="3:36" s="13" customFormat="1" hidden="1">
      <c r="U5" s="201"/>
      <c r="V5" s="201"/>
      <c r="W5" s="201"/>
      <c r="X5" s="201"/>
      <c r="Y5" s="201"/>
      <c r="Z5" s="201"/>
      <c r="AA5" s="201"/>
      <c r="AB5" s="201"/>
    </row>
    <row r="6" spans="3:36" s="13" customFormat="1" hidden="1">
      <c r="U6" s="201"/>
      <c r="V6" s="201"/>
      <c r="W6" s="201"/>
      <c r="X6" s="201"/>
      <c r="Y6" s="201"/>
      <c r="Z6" s="201"/>
      <c r="AA6" s="201"/>
      <c r="AB6" s="201"/>
    </row>
    <row r="7" spans="3:36" s="13" customFormat="1" ht="103.5">
      <c r="C7" s="286" t="s">
        <v>295</v>
      </c>
      <c r="D7" s="286" t="s">
        <v>329</v>
      </c>
      <c r="E7" s="286" t="s">
        <v>330</v>
      </c>
      <c r="F7" s="287" t="s">
        <v>305</v>
      </c>
      <c r="G7" s="287" t="s">
        <v>298</v>
      </c>
      <c r="H7" s="287" t="s">
        <v>300</v>
      </c>
      <c r="I7" s="287" t="s">
        <v>302</v>
      </c>
      <c r="J7" s="287" t="s">
        <v>371</v>
      </c>
      <c r="K7" s="287" t="s">
        <v>303</v>
      </c>
      <c r="L7" s="287" t="s">
        <v>372</v>
      </c>
      <c r="M7" s="287" t="s">
        <v>336</v>
      </c>
      <c r="N7" s="287" t="s">
        <v>449</v>
      </c>
      <c r="O7" s="286" t="s">
        <v>159</v>
      </c>
      <c r="P7" s="286" t="s">
        <v>318</v>
      </c>
      <c r="Q7" s="286" t="s">
        <v>339</v>
      </c>
      <c r="R7" s="286" t="s">
        <v>340</v>
      </c>
      <c r="S7" s="286" t="s">
        <v>317</v>
      </c>
      <c r="T7" s="286" t="s">
        <v>331</v>
      </c>
      <c r="U7" s="288" t="s">
        <v>373</v>
      </c>
      <c r="V7" s="288" t="s">
        <v>374</v>
      </c>
      <c r="W7" s="288" t="s">
        <v>375</v>
      </c>
      <c r="X7" s="288" t="s">
        <v>376</v>
      </c>
      <c r="Y7" s="288" t="s">
        <v>377</v>
      </c>
      <c r="Z7" s="288" t="s">
        <v>378</v>
      </c>
      <c r="AA7" s="288" t="s">
        <v>379</v>
      </c>
      <c r="AB7" s="288" t="s">
        <v>380</v>
      </c>
      <c r="AC7" s="286" t="s">
        <v>321</v>
      </c>
      <c r="AD7" s="287" t="s">
        <v>381</v>
      </c>
      <c r="AE7" s="287" t="s">
        <v>382</v>
      </c>
      <c r="AF7" s="287" t="s">
        <v>383</v>
      </c>
      <c r="AG7" s="287" t="s">
        <v>384</v>
      </c>
      <c r="AH7" s="287" t="s">
        <v>385</v>
      </c>
      <c r="AI7" s="287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550</v>
      </c>
      <c r="P8" s="126" t="s">
        <v>547</v>
      </c>
      <c r="Q8" s="126">
        <v>1</v>
      </c>
      <c r="S8" s="162">
        <v>46174</v>
      </c>
      <c r="T8" s="126">
        <v>6</v>
      </c>
      <c r="U8" s="208">
        <v>-10</v>
      </c>
      <c r="V8" s="208">
        <v>-10</v>
      </c>
      <c r="W8" s="208">
        <v>2.89</v>
      </c>
      <c r="X8" s="208">
        <v>0</v>
      </c>
      <c r="Y8" s="208">
        <v>0</v>
      </c>
      <c r="Z8" s="208">
        <v>0</v>
      </c>
      <c r="AA8" s="208">
        <v>2.89</v>
      </c>
      <c r="AB8" s="208">
        <v>0</v>
      </c>
      <c r="AC8" s="237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550</v>
      </c>
      <c r="P9" s="126" t="s">
        <v>547</v>
      </c>
      <c r="Q9" s="126">
        <v>1</v>
      </c>
      <c r="S9" s="162">
        <v>46174</v>
      </c>
      <c r="T9" s="126">
        <v>153</v>
      </c>
      <c r="U9" s="208">
        <v>-1</v>
      </c>
      <c r="V9" s="208">
        <v>-8.3333333333333329E-2</v>
      </c>
      <c r="W9" s="208">
        <v>3.3</v>
      </c>
      <c r="X9" s="208">
        <v>0</v>
      </c>
      <c r="Y9" s="208">
        <v>0</v>
      </c>
      <c r="Z9" s="208">
        <v>0</v>
      </c>
      <c r="AA9" s="208">
        <v>3.3</v>
      </c>
      <c r="AB9" s="208">
        <v>0</v>
      </c>
      <c r="AC9" s="237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550</v>
      </c>
      <c r="P10" s="126" t="s">
        <v>553</v>
      </c>
      <c r="Q10" s="126">
        <v>1</v>
      </c>
      <c r="S10" s="162">
        <v>46174</v>
      </c>
      <c r="T10" s="126">
        <v>179</v>
      </c>
      <c r="U10" s="208">
        <v>-15</v>
      </c>
      <c r="V10" s="208">
        <v>-1.4999999999999999E-2</v>
      </c>
      <c r="W10" s="208">
        <v>0.1</v>
      </c>
      <c r="X10" s="208">
        <v>0</v>
      </c>
      <c r="Y10" s="208">
        <v>0</v>
      </c>
      <c r="Z10" s="208">
        <v>0</v>
      </c>
      <c r="AA10" s="208">
        <v>0.1</v>
      </c>
      <c r="AB10" s="208">
        <v>0</v>
      </c>
      <c r="AC10" s="237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550</v>
      </c>
      <c r="P11" s="126" t="s">
        <v>553</v>
      </c>
      <c r="Q11" s="126">
        <v>1</v>
      </c>
      <c r="S11" s="162">
        <v>46174</v>
      </c>
      <c r="T11" s="126">
        <v>192</v>
      </c>
      <c r="U11" s="208">
        <v>-4</v>
      </c>
      <c r="V11" s="208">
        <v>-1</v>
      </c>
      <c r="W11" s="208">
        <v>6.03</v>
      </c>
      <c r="X11" s="208">
        <v>0</v>
      </c>
      <c r="Y11" s="208">
        <v>0</v>
      </c>
      <c r="Z11" s="208">
        <v>0</v>
      </c>
      <c r="AA11" s="208">
        <v>6.03</v>
      </c>
      <c r="AB11" s="208">
        <v>0</v>
      </c>
      <c r="AC11" s="237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550</v>
      </c>
      <c r="P12" s="126" t="s">
        <v>553</v>
      </c>
      <c r="Q12" s="126">
        <v>1</v>
      </c>
      <c r="S12" s="162">
        <v>46174</v>
      </c>
      <c r="T12" s="126">
        <v>187</v>
      </c>
      <c r="U12" s="208">
        <v>-12</v>
      </c>
      <c r="V12" s="208">
        <v>-3</v>
      </c>
      <c r="W12" s="208">
        <v>3.37</v>
      </c>
      <c r="X12" s="208">
        <v>0</v>
      </c>
      <c r="Y12" s="208">
        <v>0</v>
      </c>
      <c r="Z12" s="208">
        <v>0</v>
      </c>
      <c r="AA12" s="208">
        <v>3.37</v>
      </c>
      <c r="AB12" s="208">
        <v>0</v>
      </c>
      <c r="AC12" s="237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550</v>
      </c>
      <c r="P13" s="126" t="s">
        <v>553</v>
      </c>
      <c r="Q13" s="126">
        <v>1</v>
      </c>
      <c r="S13" s="162">
        <v>46174</v>
      </c>
      <c r="T13" s="126">
        <v>4</v>
      </c>
      <c r="U13" s="208">
        <v>-1</v>
      </c>
      <c r="V13" s="208">
        <v>-1</v>
      </c>
      <c r="W13" s="208">
        <v>5.8</v>
      </c>
      <c r="X13" s="208">
        <v>0</v>
      </c>
      <c r="Y13" s="208">
        <v>0</v>
      </c>
      <c r="Z13" s="208">
        <v>0</v>
      </c>
      <c r="AA13" s="208">
        <v>5.8</v>
      </c>
      <c r="AB13" s="208">
        <v>0</v>
      </c>
      <c r="AC13" s="237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550</v>
      </c>
      <c r="P14" s="126" t="s">
        <v>553</v>
      </c>
      <c r="Q14" s="126">
        <v>1</v>
      </c>
      <c r="S14" s="162">
        <v>46174</v>
      </c>
      <c r="T14" s="126">
        <v>10</v>
      </c>
      <c r="U14" s="208">
        <v>-1</v>
      </c>
      <c r="V14" s="208">
        <v>-1</v>
      </c>
      <c r="W14" s="208">
        <v>14.85</v>
      </c>
      <c r="X14" s="208">
        <v>0</v>
      </c>
      <c r="Y14" s="208">
        <v>0</v>
      </c>
      <c r="Z14" s="208">
        <v>0</v>
      </c>
      <c r="AA14" s="208">
        <v>14.85</v>
      </c>
      <c r="AB14" s="208">
        <v>0</v>
      </c>
      <c r="AC14" s="237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550</v>
      </c>
      <c r="P15" s="126" t="s">
        <v>553</v>
      </c>
      <c r="Q15" s="126">
        <v>1</v>
      </c>
      <c r="S15" s="162">
        <v>46174</v>
      </c>
      <c r="T15" s="126">
        <v>105</v>
      </c>
      <c r="U15" s="208">
        <v>-1</v>
      </c>
      <c r="V15" s="208">
        <v>-8.3333333333333329E-2</v>
      </c>
      <c r="W15" s="208">
        <v>1.1000000000000001</v>
      </c>
      <c r="X15" s="208">
        <v>0</v>
      </c>
      <c r="Y15" s="208">
        <v>0</v>
      </c>
      <c r="Z15" s="208">
        <v>0</v>
      </c>
      <c r="AA15" s="208">
        <v>1.1000000000000001</v>
      </c>
      <c r="AB15" s="208">
        <v>0</v>
      </c>
      <c r="AC15" s="237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550</v>
      </c>
      <c r="P16" s="126" t="s">
        <v>553</v>
      </c>
      <c r="Q16" s="126">
        <v>1</v>
      </c>
      <c r="S16" s="162">
        <v>46174</v>
      </c>
      <c r="T16" s="126">
        <v>48</v>
      </c>
      <c r="U16" s="208">
        <v>-3</v>
      </c>
      <c r="V16" s="208">
        <v>-3</v>
      </c>
      <c r="W16" s="208">
        <v>0.12</v>
      </c>
      <c r="X16" s="208">
        <v>0</v>
      </c>
      <c r="Y16" s="208">
        <v>0</v>
      </c>
      <c r="Z16" s="208">
        <v>0</v>
      </c>
      <c r="AA16" s="208">
        <v>0.12</v>
      </c>
      <c r="AB16" s="208">
        <v>0</v>
      </c>
      <c r="AC16" s="237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550</v>
      </c>
      <c r="P17" s="126" t="s">
        <v>553</v>
      </c>
      <c r="Q17" s="126">
        <v>1</v>
      </c>
      <c r="S17" s="162">
        <v>46174</v>
      </c>
      <c r="T17" s="126">
        <v>169</v>
      </c>
      <c r="U17" s="208">
        <v>-1</v>
      </c>
      <c r="V17" s="208">
        <v>-1</v>
      </c>
      <c r="W17" s="208">
        <v>0.5</v>
      </c>
      <c r="X17" s="208">
        <v>0</v>
      </c>
      <c r="Y17" s="208">
        <v>0</v>
      </c>
      <c r="Z17" s="208">
        <v>0</v>
      </c>
      <c r="AA17" s="208">
        <v>0.5</v>
      </c>
      <c r="AB17" s="208">
        <v>0</v>
      </c>
      <c r="AC17" s="237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550</v>
      </c>
      <c r="P18" s="126" t="s">
        <v>607</v>
      </c>
      <c r="Q18" s="126">
        <v>1</v>
      </c>
      <c r="S18" s="162">
        <v>46175</v>
      </c>
      <c r="T18" s="126">
        <v>195</v>
      </c>
      <c r="U18" s="208">
        <v>-12</v>
      </c>
      <c r="V18" s="208">
        <v>-3</v>
      </c>
      <c r="W18" s="208">
        <v>6.28</v>
      </c>
      <c r="X18" s="208">
        <v>0</v>
      </c>
      <c r="Y18" s="208">
        <v>0</v>
      </c>
      <c r="Z18" s="208">
        <v>0</v>
      </c>
      <c r="AA18" s="208">
        <v>6.28</v>
      </c>
      <c r="AB18" s="208">
        <v>0</v>
      </c>
      <c r="AC18" s="237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550</v>
      </c>
      <c r="P19" s="126" t="s">
        <v>607</v>
      </c>
      <c r="Q19" s="126">
        <v>1</v>
      </c>
      <c r="S19" s="162">
        <v>46175</v>
      </c>
      <c r="T19" s="126">
        <v>187</v>
      </c>
      <c r="U19" s="208">
        <v>-8</v>
      </c>
      <c r="V19" s="208">
        <v>-2</v>
      </c>
      <c r="W19" s="208">
        <v>3.37</v>
      </c>
      <c r="X19" s="208">
        <v>0</v>
      </c>
      <c r="Y19" s="208">
        <v>0</v>
      </c>
      <c r="Z19" s="208">
        <v>0</v>
      </c>
      <c r="AA19" s="208">
        <v>3.37</v>
      </c>
      <c r="AB19" s="208">
        <v>0</v>
      </c>
      <c r="AC19" s="237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550</v>
      </c>
      <c r="P20" s="126" t="s">
        <v>607</v>
      </c>
      <c r="Q20" s="126">
        <v>1</v>
      </c>
      <c r="S20" s="162">
        <v>46175</v>
      </c>
      <c r="T20" s="126">
        <v>186</v>
      </c>
      <c r="U20" s="208">
        <v>-12</v>
      </c>
      <c r="V20" s="208">
        <v>-1</v>
      </c>
      <c r="W20" s="208">
        <v>12</v>
      </c>
      <c r="X20" s="208">
        <v>0</v>
      </c>
      <c r="Y20" s="208">
        <v>0</v>
      </c>
      <c r="Z20" s="208">
        <v>0</v>
      </c>
      <c r="AA20" s="208">
        <v>12</v>
      </c>
      <c r="AB20" s="208">
        <v>0</v>
      </c>
      <c r="AC20" s="237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550</v>
      </c>
      <c r="P21" s="126" t="s">
        <v>607</v>
      </c>
      <c r="Q21" s="126">
        <v>1</v>
      </c>
      <c r="S21" s="162">
        <v>46175</v>
      </c>
      <c r="T21" s="126">
        <v>195</v>
      </c>
      <c r="U21" s="208">
        <v>-12</v>
      </c>
      <c r="V21" s="208">
        <v>-3</v>
      </c>
      <c r="W21" s="208">
        <v>6.28</v>
      </c>
      <c r="X21" s="208">
        <v>0</v>
      </c>
      <c r="Y21" s="208">
        <v>0</v>
      </c>
      <c r="Z21" s="208">
        <v>0</v>
      </c>
      <c r="AA21" s="208">
        <v>6.28</v>
      </c>
      <c r="AB21" s="208">
        <v>0</v>
      </c>
      <c r="AC21" s="237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550</v>
      </c>
      <c r="P22" s="126" t="s">
        <v>623</v>
      </c>
      <c r="Q22" s="126">
        <v>1</v>
      </c>
      <c r="S22" s="162">
        <v>46175</v>
      </c>
      <c r="T22" s="126">
        <v>187</v>
      </c>
      <c r="U22" s="208">
        <v>-24</v>
      </c>
      <c r="V22" s="208">
        <v>-6</v>
      </c>
      <c r="W22" s="208">
        <v>3.37</v>
      </c>
      <c r="X22" s="208">
        <v>0</v>
      </c>
      <c r="Y22" s="208">
        <v>0</v>
      </c>
      <c r="Z22" s="208">
        <v>0</v>
      </c>
      <c r="AA22" s="208">
        <v>3.37</v>
      </c>
      <c r="AB22" s="208">
        <v>0</v>
      </c>
      <c r="AC22" s="237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550</v>
      </c>
      <c r="P23" s="126" t="s">
        <v>623</v>
      </c>
      <c r="Q23" s="126">
        <v>1</v>
      </c>
      <c r="S23" s="162">
        <v>46175</v>
      </c>
      <c r="T23" s="126">
        <v>182</v>
      </c>
      <c r="U23" s="208">
        <v>-60</v>
      </c>
      <c r="V23" s="208">
        <v>-5</v>
      </c>
      <c r="W23" s="208">
        <v>2</v>
      </c>
      <c r="X23" s="208">
        <v>0</v>
      </c>
      <c r="Y23" s="208">
        <v>0</v>
      </c>
      <c r="Z23" s="208">
        <v>0</v>
      </c>
      <c r="AA23" s="208">
        <v>2</v>
      </c>
      <c r="AB23" s="208">
        <v>0</v>
      </c>
      <c r="AC23" s="237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550</v>
      </c>
      <c r="P24" s="126" t="s">
        <v>623</v>
      </c>
      <c r="Q24" s="126">
        <v>1</v>
      </c>
      <c r="S24" s="162">
        <v>46175</v>
      </c>
      <c r="T24" s="126">
        <v>96</v>
      </c>
      <c r="U24" s="208">
        <v>-2</v>
      </c>
      <c r="V24" s="208">
        <v>-0.16666666666666666</v>
      </c>
      <c r="W24" s="208">
        <v>0.27</v>
      </c>
      <c r="X24" s="208">
        <v>0</v>
      </c>
      <c r="Y24" s="208">
        <v>0</v>
      </c>
      <c r="Z24" s="208">
        <v>0</v>
      </c>
      <c r="AA24" s="208">
        <v>0.27</v>
      </c>
      <c r="AB24" s="208">
        <v>0</v>
      </c>
      <c r="AC24" s="237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550</v>
      </c>
      <c r="P25" s="126" t="s">
        <v>623</v>
      </c>
      <c r="Q25" s="126">
        <v>1</v>
      </c>
      <c r="S25" s="162">
        <v>46175</v>
      </c>
      <c r="T25" s="126">
        <v>97</v>
      </c>
      <c r="U25" s="208">
        <v>-2</v>
      </c>
      <c r="V25" s="208">
        <v>-0.16666666666666666</v>
      </c>
      <c r="W25" s="208">
        <v>0.3</v>
      </c>
      <c r="X25" s="208">
        <v>0</v>
      </c>
      <c r="Y25" s="208">
        <v>0</v>
      </c>
      <c r="Z25" s="208">
        <v>0</v>
      </c>
      <c r="AA25" s="208">
        <v>0.3</v>
      </c>
      <c r="AB25" s="208">
        <v>0</v>
      </c>
      <c r="AC25" s="237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550</v>
      </c>
      <c r="P26" s="126" t="s">
        <v>623</v>
      </c>
      <c r="Q26" s="126">
        <v>1</v>
      </c>
      <c r="S26" s="162">
        <v>46175</v>
      </c>
      <c r="T26" s="126">
        <v>22</v>
      </c>
      <c r="U26" s="208">
        <v>-1</v>
      </c>
      <c r="V26" s="208">
        <v>-1</v>
      </c>
      <c r="W26" s="208">
        <v>2.9</v>
      </c>
      <c r="X26" s="208">
        <v>0</v>
      </c>
      <c r="Y26" s="208">
        <v>0</v>
      </c>
      <c r="Z26" s="208">
        <v>0</v>
      </c>
      <c r="AA26" s="208">
        <v>2.9</v>
      </c>
      <c r="AB26" s="208">
        <v>0</v>
      </c>
      <c r="AC26" s="237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550</v>
      </c>
      <c r="P27" s="126" t="s">
        <v>623</v>
      </c>
      <c r="Q27" s="126">
        <v>1</v>
      </c>
      <c r="S27" s="162">
        <v>46175</v>
      </c>
      <c r="T27" s="126">
        <v>46</v>
      </c>
      <c r="U27" s="208">
        <v>-10</v>
      </c>
      <c r="V27" s="208">
        <v>-10</v>
      </c>
      <c r="W27" s="208">
        <v>0.15</v>
      </c>
      <c r="X27" s="208">
        <v>0</v>
      </c>
      <c r="Y27" s="208">
        <v>0</v>
      </c>
      <c r="Z27" s="208">
        <v>0</v>
      </c>
      <c r="AA27" s="208">
        <v>0.15</v>
      </c>
      <c r="AB27" s="208">
        <v>0</v>
      </c>
      <c r="AC27" s="237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550</v>
      </c>
      <c r="P28" s="126" t="s">
        <v>623</v>
      </c>
      <c r="Q28" s="126">
        <v>1</v>
      </c>
      <c r="S28" s="162">
        <v>46175</v>
      </c>
      <c r="T28" s="126">
        <v>197</v>
      </c>
      <c r="U28" s="208">
        <v>-4</v>
      </c>
      <c r="V28" s="208">
        <v>-1</v>
      </c>
      <c r="W28" s="208">
        <v>8.36</v>
      </c>
      <c r="X28" s="208">
        <v>0</v>
      </c>
      <c r="Y28" s="208">
        <v>0</v>
      </c>
      <c r="Z28" s="208">
        <v>0</v>
      </c>
      <c r="AA28" s="208">
        <v>8.36</v>
      </c>
      <c r="AB28" s="208">
        <v>0</v>
      </c>
      <c r="AC28" s="237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550</v>
      </c>
      <c r="P29" s="126" t="s">
        <v>658</v>
      </c>
      <c r="Q29" s="126">
        <v>1</v>
      </c>
      <c r="S29" s="162">
        <v>46175</v>
      </c>
      <c r="T29" s="126">
        <v>187</v>
      </c>
      <c r="U29" s="208">
        <v>-12</v>
      </c>
      <c r="V29" s="208">
        <v>-3</v>
      </c>
      <c r="W29" s="208">
        <v>3.37</v>
      </c>
      <c r="X29" s="208">
        <v>0</v>
      </c>
      <c r="Y29" s="208">
        <v>0</v>
      </c>
      <c r="Z29" s="208">
        <v>0</v>
      </c>
      <c r="AA29" s="208">
        <v>3.37</v>
      </c>
      <c r="AB29" s="208">
        <v>0</v>
      </c>
      <c r="AC29" s="237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550</v>
      </c>
      <c r="P30" s="126" t="s">
        <v>658</v>
      </c>
      <c r="Q30" s="126">
        <v>1</v>
      </c>
      <c r="S30" s="162">
        <v>46175</v>
      </c>
      <c r="T30" s="126">
        <v>17</v>
      </c>
      <c r="U30" s="208">
        <v>-1</v>
      </c>
      <c r="V30" s="208">
        <v>-1</v>
      </c>
      <c r="W30" s="208">
        <v>1.63</v>
      </c>
      <c r="X30" s="208">
        <v>0</v>
      </c>
      <c r="Y30" s="208">
        <v>0</v>
      </c>
      <c r="Z30" s="208">
        <v>0</v>
      </c>
      <c r="AA30" s="208">
        <v>1.63</v>
      </c>
      <c r="AB30" s="208">
        <v>0</v>
      </c>
      <c r="AC30" s="237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550</v>
      </c>
      <c r="P31" s="126" t="s">
        <v>658</v>
      </c>
      <c r="Q31" s="126">
        <v>1</v>
      </c>
      <c r="S31" s="162">
        <v>46175</v>
      </c>
      <c r="T31" s="126">
        <v>155</v>
      </c>
      <c r="U31" s="208">
        <v>-1</v>
      </c>
      <c r="V31" s="208">
        <v>-0.25</v>
      </c>
      <c r="W31" s="208">
        <v>14.5</v>
      </c>
      <c r="X31" s="208">
        <v>0</v>
      </c>
      <c r="Y31" s="208">
        <v>0</v>
      </c>
      <c r="Z31" s="208">
        <v>0</v>
      </c>
      <c r="AA31" s="208">
        <v>14.5</v>
      </c>
      <c r="AB31" s="208">
        <v>0</v>
      </c>
      <c r="AC31" s="237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676</v>
      </c>
      <c r="P32" s="126" t="s">
        <v>674</v>
      </c>
      <c r="R32" s="126">
        <v>2</v>
      </c>
      <c r="S32" s="162">
        <v>46143</v>
      </c>
      <c r="T32" s="126">
        <v>1</v>
      </c>
      <c r="U32" s="208">
        <v>4</v>
      </c>
      <c r="V32" s="208">
        <v>4</v>
      </c>
      <c r="W32" s="208">
        <v>27.34</v>
      </c>
      <c r="X32" s="208">
        <v>0</v>
      </c>
      <c r="Y32" s="208">
        <v>0</v>
      </c>
      <c r="Z32" s="208">
        <v>0</v>
      </c>
      <c r="AA32" s="208">
        <v>27.34</v>
      </c>
      <c r="AB32" s="208">
        <v>0</v>
      </c>
      <c r="AC32" s="237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676</v>
      </c>
      <c r="P33" s="126" t="s">
        <v>674</v>
      </c>
      <c r="R33" s="126">
        <v>2</v>
      </c>
      <c r="S33" s="162">
        <v>46143</v>
      </c>
      <c r="T33" s="126">
        <v>2</v>
      </c>
      <c r="U33" s="208">
        <v>5</v>
      </c>
      <c r="V33" s="208">
        <v>5</v>
      </c>
      <c r="W33" s="208">
        <v>11.32</v>
      </c>
      <c r="X33" s="208">
        <v>0</v>
      </c>
      <c r="Y33" s="208">
        <v>0</v>
      </c>
      <c r="Z33" s="208">
        <v>0</v>
      </c>
      <c r="AA33" s="208">
        <v>11.32</v>
      </c>
      <c r="AB33" s="208">
        <v>0</v>
      </c>
      <c r="AC33" s="237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676</v>
      </c>
      <c r="P34" s="126" t="s">
        <v>674</v>
      </c>
      <c r="R34" s="126">
        <v>2</v>
      </c>
      <c r="S34" s="162">
        <v>46143</v>
      </c>
      <c r="T34" s="126">
        <v>4</v>
      </c>
      <c r="U34" s="208">
        <v>7</v>
      </c>
      <c r="V34" s="208">
        <v>7</v>
      </c>
      <c r="W34" s="208">
        <v>5.8</v>
      </c>
      <c r="X34" s="208">
        <v>0</v>
      </c>
      <c r="Y34" s="208">
        <v>0</v>
      </c>
      <c r="Z34" s="208">
        <v>0</v>
      </c>
      <c r="AA34" s="208">
        <v>5.8</v>
      </c>
      <c r="AB34" s="208">
        <v>0</v>
      </c>
      <c r="AC34" s="237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676</v>
      </c>
      <c r="P35" s="126" t="s">
        <v>674</v>
      </c>
      <c r="R35" s="126">
        <v>2</v>
      </c>
      <c r="S35" s="162">
        <v>46143</v>
      </c>
      <c r="T35" s="126">
        <v>5</v>
      </c>
      <c r="U35" s="208">
        <v>6</v>
      </c>
      <c r="V35" s="208">
        <v>6</v>
      </c>
      <c r="W35" s="208">
        <v>3.74</v>
      </c>
      <c r="X35" s="208">
        <v>0</v>
      </c>
      <c r="Y35" s="208">
        <v>0</v>
      </c>
      <c r="Z35" s="208">
        <v>0</v>
      </c>
      <c r="AA35" s="208">
        <v>3.74</v>
      </c>
      <c r="AB35" s="208">
        <v>0</v>
      </c>
      <c r="AC35" s="237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676</v>
      </c>
      <c r="P36" s="126" t="s">
        <v>674</v>
      </c>
      <c r="R36" s="126">
        <v>2</v>
      </c>
      <c r="S36" s="162">
        <v>46143</v>
      </c>
      <c r="T36" s="126">
        <v>10</v>
      </c>
      <c r="U36" s="208">
        <v>10</v>
      </c>
      <c r="V36" s="208">
        <v>10</v>
      </c>
      <c r="W36" s="208">
        <v>14.85</v>
      </c>
      <c r="X36" s="208">
        <v>0</v>
      </c>
      <c r="Y36" s="208">
        <v>0</v>
      </c>
      <c r="Z36" s="208">
        <v>0</v>
      </c>
      <c r="AA36" s="208">
        <v>14.85</v>
      </c>
      <c r="AB36" s="208">
        <v>0</v>
      </c>
      <c r="AC36" s="237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676</v>
      </c>
      <c r="P37" s="126" t="s">
        <v>674</v>
      </c>
      <c r="R37" s="126">
        <v>2</v>
      </c>
      <c r="S37" s="162">
        <v>46143</v>
      </c>
      <c r="T37" s="126">
        <v>11</v>
      </c>
      <c r="U37" s="208">
        <v>10</v>
      </c>
      <c r="V37" s="208">
        <v>10</v>
      </c>
      <c r="W37" s="208">
        <v>9.52</v>
      </c>
      <c r="X37" s="208">
        <v>0</v>
      </c>
      <c r="Y37" s="208">
        <v>0</v>
      </c>
      <c r="Z37" s="208">
        <v>0</v>
      </c>
      <c r="AA37" s="208">
        <v>9.52</v>
      </c>
      <c r="AB37" s="208">
        <v>0</v>
      </c>
      <c r="AC37" s="237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676</v>
      </c>
      <c r="P38" s="126" t="s">
        <v>674</v>
      </c>
      <c r="R38" s="126">
        <v>2</v>
      </c>
      <c r="S38" s="162">
        <v>46143</v>
      </c>
      <c r="T38" s="126">
        <v>13</v>
      </c>
      <c r="U38" s="208">
        <v>8</v>
      </c>
      <c r="V38" s="208">
        <v>8</v>
      </c>
      <c r="W38" s="208">
        <v>5.3</v>
      </c>
      <c r="X38" s="208">
        <v>0</v>
      </c>
      <c r="Y38" s="208">
        <v>0</v>
      </c>
      <c r="Z38" s="208">
        <v>0</v>
      </c>
      <c r="AA38" s="208">
        <v>5.3</v>
      </c>
      <c r="AB38" s="208">
        <v>0</v>
      </c>
      <c r="AC38" s="237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676</v>
      </c>
      <c r="P39" s="126" t="s">
        <v>674</v>
      </c>
      <c r="R39" s="126">
        <v>2</v>
      </c>
      <c r="S39" s="162">
        <v>46143</v>
      </c>
      <c r="T39" s="126">
        <v>14</v>
      </c>
      <c r="U39" s="208">
        <v>12</v>
      </c>
      <c r="V39" s="208">
        <v>12</v>
      </c>
      <c r="W39" s="208">
        <v>3.3</v>
      </c>
      <c r="X39" s="208">
        <v>0</v>
      </c>
      <c r="Y39" s="208">
        <v>0</v>
      </c>
      <c r="Z39" s="208">
        <v>0</v>
      </c>
      <c r="AA39" s="208">
        <v>3.3</v>
      </c>
      <c r="AB39" s="208">
        <v>0</v>
      </c>
      <c r="AC39" s="237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676</v>
      </c>
      <c r="P40" s="126" t="s">
        <v>674</v>
      </c>
      <c r="R40" s="126">
        <v>2</v>
      </c>
      <c r="S40" s="162">
        <v>46143</v>
      </c>
      <c r="T40" s="126">
        <v>16</v>
      </c>
      <c r="U40" s="208">
        <v>15</v>
      </c>
      <c r="V40" s="208">
        <v>15</v>
      </c>
      <c r="W40" s="208">
        <v>2.1</v>
      </c>
      <c r="X40" s="208">
        <v>0</v>
      </c>
      <c r="Y40" s="208">
        <v>0</v>
      </c>
      <c r="Z40" s="208">
        <v>0</v>
      </c>
      <c r="AA40" s="208">
        <v>2.1</v>
      </c>
      <c r="AB40" s="208">
        <v>0</v>
      </c>
      <c r="AC40" s="237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676</v>
      </c>
      <c r="P41" s="126" t="s">
        <v>674</v>
      </c>
      <c r="R41" s="126">
        <v>2</v>
      </c>
      <c r="S41" s="162">
        <v>46143</v>
      </c>
      <c r="T41" s="126">
        <v>17</v>
      </c>
      <c r="U41" s="208">
        <v>20</v>
      </c>
      <c r="V41" s="208">
        <v>20</v>
      </c>
      <c r="W41" s="208">
        <v>1.63</v>
      </c>
      <c r="X41" s="208">
        <v>0</v>
      </c>
      <c r="Y41" s="208">
        <v>0</v>
      </c>
      <c r="Z41" s="208">
        <v>0</v>
      </c>
      <c r="AA41" s="208">
        <v>1.63</v>
      </c>
      <c r="AB41" s="208">
        <v>0</v>
      </c>
      <c r="AC41" s="237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676</v>
      </c>
      <c r="P42" s="126" t="s">
        <v>674</v>
      </c>
      <c r="R42" s="126">
        <v>2</v>
      </c>
      <c r="S42" s="162">
        <v>46143</v>
      </c>
      <c r="T42" s="126">
        <v>18</v>
      </c>
      <c r="U42" s="208">
        <v>18</v>
      </c>
      <c r="V42" s="208">
        <v>18</v>
      </c>
      <c r="W42" s="208">
        <v>1.35</v>
      </c>
      <c r="X42" s="208">
        <v>0</v>
      </c>
      <c r="Y42" s="208">
        <v>0</v>
      </c>
      <c r="Z42" s="208">
        <v>0</v>
      </c>
      <c r="AA42" s="208">
        <v>1.35</v>
      </c>
      <c r="AB42" s="208">
        <v>0</v>
      </c>
      <c r="AC42" s="237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676</v>
      </c>
      <c r="P43" s="126" t="s">
        <v>674</v>
      </c>
      <c r="R43" s="126">
        <v>2</v>
      </c>
      <c r="S43" s="162">
        <v>46143</v>
      </c>
      <c r="T43" s="126">
        <v>19</v>
      </c>
      <c r="U43" s="208">
        <v>5</v>
      </c>
      <c r="V43" s="208">
        <v>5</v>
      </c>
      <c r="W43" s="208">
        <v>7.49</v>
      </c>
      <c r="X43" s="208">
        <v>0</v>
      </c>
      <c r="Y43" s="208">
        <v>0</v>
      </c>
      <c r="Z43" s="208">
        <v>0</v>
      </c>
      <c r="AA43" s="208">
        <v>7.49</v>
      </c>
      <c r="AB43" s="208">
        <v>0</v>
      </c>
      <c r="AC43" s="237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676</v>
      </c>
      <c r="P44" s="126" t="s">
        <v>674</v>
      </c>
      <c r="R44" s="126">
        <v>2</v>
      </c>
      <c r="S44" s="162">
        <v>46143</v>
      </c>
      <c r="T44" s="126">
        <v>20</v>
      </c>
      <c r="U44" s="208">
        <v>3</v>
      </c>
      <c r="V44" s="208">
        <v>3</v>
      </c>
      <c r="W44" s="208">
        <v>5.03</v>
      </c>
      <c r="X44" s="208">
        <v>0</v>
      </c>
      <c r="Y44" s="208">
        <v>0</v>
      </c>
      <c r="Z44" s="208">
        <v>0</v>
      </c>
      <c r="AA44" s="208">
        <v>5.03</v>
      </c>
      <c r="AB44" s="208">
        <v>0</v>
      </c>
      <c r="AC44" s="237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676</v>
      </c>
      <c r="P45" s="126" t="s">
        <v>674</v>
      </c>
      <c r="R45" s="126">
        <v>2</v>
      </c>
      <c r="S45" s="162">
        <v>46143</v>
      </c>
      <c r="T45" s="126">
        <v>22</v>
      </c>
      <c r="U45" s="208">
        <v>7</v>
      </c>
      <c r="V45" s="208">
        <v>7</v>
      </c>
      <c r="W45" s="208">
        <v>2.9</v>
      </c>
      <c r="X45" s="208">
        <v>0</v>
      </c>
      <c r="Y45" s="208">
        <v>0</v>
      </c>
      <c r="Z45" s="208">
        <v>0</v>
      </c>
      <c r="AA45" s="208">
        <v>2.9</v>
      </c>
      <c r="AB45" s="208">
        <v>0</v>
      </c>
      <c r="AC45" s="237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676</v>
      </c>
      <c r="P46" s="126" t="s">
        <v>714</v>
      </c>
      <c r="R46" s="126">
        <v>2</v>
      </c>
      <c r="S46" s="162">
        <v>46146</v>
      </c>
      <c r="T46" s="126">
        <v>26</v>
      </c>
      <c r="U46" s="208">
        <v>5</v>
      </c>
      <c r="V46" s="208">
        <v>5</v>
      </c>
      <c r="W46" s="208">
        <v>3.01</v>
      </c>
      <c r="X46" s="208">
        <v>0</v>
      </c>
      <c r="Y46" s="208">
        <v>0</v>
      </c>
      <c r="Z46" s="208">
        <v>0</v>
      </c>
      <c r="AA46" s="208">
        <v>3.01</v>
      </c>
      <c r="AB46" s="208">
        <v>0</v>
      </c>
      <c r="AC46" s="237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676</v>
      </c>
      <c r="P47" s="126" t="s">
        <v>714</v>
      </c>
      <c r="R47" s="126">
        <v>2</v>
      </c>
      <c r="S47" s="162">
        <v>46146</v>
      </c>
      <c r="T47" s="126">
        <v>101</v>
      </c>
      <c r="U47" s="208">
        <v>22500</v>
      </c>
      <c r="V47" s="208">
        <v>5</v>
      </c>
      <c r="W47" s="208">
        <v>5</v>
      </c>
      <c r="X47" s="208">
        <v>0</v>
      </c>
      <c r="Y47" s="208">
        <v>0</v>
      </c>
      <c r="Z47" s="208">
        <v>0</v>
      </c>
      <c r="AA47" s="208">
        <v>5</v>
      </c>
      <c r="AB47" s="208">
        <v>0</v>
      </c>
      <c r="AC47" s="237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676</v>
      </c>
      <c r="P48" s="126" t="s">
        <v>714</v>
      </c>
      <c r="R48" s="126">
        <v>2</v>
      </c>
      <c r="S48" s="162">
        <v>46146</v>
      </c>
      <c r="T48" s="126">
        <v>102</v>
      </c>
      <c r="U48" s="208">
        <v>4</v>
      </c>
      <c r="V48" s="208">
        <v>0.16666666666666666</v>
      </c>
      <c r="W48" s="208">
        <v>4.5</v>
      </c>
      <c r="X48" s="208">
        <v>0</v>
      </c>
      <c r="Y48" s="208">
        <v>0</v>
      </c>
      <c r="Z48" s="208">
        <v>0</v>
      </c>
      <c r="AA48" s="208">
        <v>4.5</v>
      </c>
      <c r="AB48" s="208">
        <v>0</v>
      </c>
      <c r="AC48" s="237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676</v>
      </c>
      <c r="P49" s="126" t="s">
        <v>714</v>
      </c>
      <c r="R49" s="126">
        <v>2</v>
      </c>
      <c r="S49" s="162">
        <v>46146</v>
      </c>
      <c r="T49" s="126">
        <v>125</v>
      </c>
      <c r="U49" s="208">
        <v>700</v>
      </c>
      <c r="V49" s="208">
        <v>7</v>
      </c>
      <c r="W49" s="208">
        <v>4</v>
      </c>
      <c r="X49" s="208">
        <v>0</v>
      </c>
      <c r="Y49" s="208">
        <v>0</v>
      </c>
      <c r="Z49" s="208">
        <v>0</v>
      </c>
      <c r="AA49" s="208">
        <v>4</v>
      </c>
      <c r="AB49" s="208">
        <v>0</v>
      </c>
      <c r="AC49" s="237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676</v>
      </c>
      <c r="P50" s="126" t="s">
        <v>714</v>
      </c>
      <c r="R50" s="126">
        <v>2</v>
      </c>
      <c r="S50" s="162">
        <v>46146</v>
      </c>
      <c r="T50" s="126">
        <v>152</v>
      </c>
      <c r="U50" s="208">
        <v>3</v>
      </c>
      <c r="V50" s="208">
        <v>0.75</v>
      </c>
      <c r="W50" s="208">
        <v>11.25</v>
      </c>
      <c r="X50" s="208">
        <v>0</v>
      </c>
      <c r="Y50" s="208">
        <v>0</v>
      </c>
      <c r="Z50" s="208">
        <v>0</v>
      </c>
      <c r="AA50" s="208">
        <v>11.25</v>
      </c>
      <c r="AB50" s="208">
        <v>0</v>
      </c>
      <c r="AC50" s="237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676</v>
      </c>
      <c r="P51" s="126" t="s">
        <v>714</v>
      </c>
      <c r="R51" s="126">
        <v>2</v>
      </c>
      <c r="S51" s="162">
        <v>46146</v>
      </c>
      <c r="T51" s="126">
        <v>155</v>
      </c>
      <c r="U51" s="208">
        <v>3</v>
      </c>
      <c r="V51" s="208">
        <v>0.75</v>
      </c>
      <c r="W51" s="208">
        <v>14.5</v>
      </c>
      <c r="X51" s="208">
        <v>0</v>
      </c>
      <c r="Y51" s="208">
        <v>0</v>
      </c>
      <c r="Z51" s="208">
        <v>0</v>
      </c>
      <c r="AA51" s="208">
        <v>14.5</v>
      </c>
      <c r="AB51" s="208">
        <v>0</v>
      </c>
      <c r="AC51" s="237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676</v>
      </c>
      <c r="P52" s="126" t="s">
        <v>714</v>
      </c>
      <c r="R52" s="126">
        <v>2</v>
      </c>
      <c r="S52" s="162">
        <v>46146</v>
      </c>
      <c r="T52" s="126">
        <v>156</v>
      </c>
      <c r="U52" s="208">
        <v>5</v>
      </c>
      <c r="V52" s="208">
        <v>0.41666666666666669</v>
      </c>
      <c r="W52" s="208">
        <v>4.41</v>
      </c>
      <c r="X52" s="208">
        <v>0</v>
      </c>
      <c r="Y52" s="208">
        <v>0</v>
      </c>
      <c r="Z52" s="208">
        <v>0</v>
      </c>
      <c r="AA52" s="208">
        <v>4.41</v>
      </c>
      <c r="AB52" s="208">
        <v>0</v>
      </c>
      <c r="AC52" s="237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676</v>
      </c>
      <c r="P53" s="126" t="s">
        <v>714</v>
      </c>
      <c r="R53" s="126">
        <v>2</v>
      </c>
      <c r="S53" s="162">
        <v>46146</v>
      </c>
      <c r="T53" s="126">
        <v>160</v>
      </c>
      <c r="U53" s="208">
        <v>2</v>
      </c>
      <c r="V53" s="208">
        <v>0.5</v>
      </c>
      <c r="W53" s="208">
        <v>11.75</v>
      </c>
      <c r="X53" s="208">
        <v>0</v>
      </c>
      <c r="Y53" s="208">
        <v>0</v>
      </c>
      <c r="Z53" s="208">
        <v>0</v>
      </c>
      <c r="AA53" s="208">
        <v>11.75</v>
      </c>
      <c r="AB53" s="208">
        <v>0</v>
      </c>
      <c r="AC53" s="237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676</v>
      </c>
      <c r="P54" s="126" t="s">
        <v>714</v>
      </c>
      <c r="R54" s="126">
        <v>2</v>
      </c>
      <c r="S54" s="162">
        <v>46146</v>
      </c>
      <c r="T54" s="126">
        <v>162</v>
      </c>
      <c r="U54" s="208">
        <v>2</v>
      </c>
      <c r="V54" s="208">
        <v>2</v>
      </c>
      <c r="W54" s="208">
        <v>53</v>
      </c>
      <c r="X54" s="208">
        <v>0</v>
      </c>
      <c r="Y54" s="208">
        <v>0</v>
      </c>
      <c r="Z54" s="208">
        <v>0</v>
      </c>
      <c r="AA54" s="208">
        <v>53</v>
      </c>
      <c r="AB54" s="208">
        <v>0</v>
      </c>
      <c r="AC54" s="237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676</v>
      </c>
      <c r="P55" s="126" t="s">
        <v>714</v>
      </c>
      <c r="R55" s="126">
        <v>2</v>
      </c>
      <c r="S55" s="162">
        <v>46146</v>
      </c>
      <c r="T55" s="126">
        <v>163</v>
      </c>
      <c r="U55" s="208">
        <v>2</v>
      </c>
      <c r="V55" s="208">
        <v>0.5</v>
      </c>
      <c r="W55" s="208">
        <v>12.75</v>
      </c>
      <c r="X55" s="208">
        <v>0</v>
      </c>
      <c r="Y55" s="208">
        <v>0</v>
      </c>
      <c r="Z55" s="208">
        <v>0</v>
      </c>
      <c r="AA55" s="208">
        <v>12.75</v>
      </c>
      <c r="AB55" s="208">
        <v>0</v>
      </c>
      <c r="AC55" s="237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676</v>
      </c>
      <c r="P56" s="126" t="s">
        <v>714</v>
      </c>
      <c r="R56" s="126">
        <v>2</v>
      </c>
      <c r="S56" s="162">
        <v>46146</v>
      </c>
      <c r="T56" s="126">
        <v>176</v>
      </c>
      <c r="U56" s="208">
        <v>5000</v>
      </c>
      <c r="V56" s="208">
        <v>5</v>
      </c>
      <c r="W56" s="208">
        <v>85</v>
      </c>
      <c r="X56" s="208">
        <v>0</v>
      </c>
      <c r="Y56" s="208">
        <v>0</v>
      </c>
      <c r="Z56" s="208">
        <v>0</v>
      </c>
      <c r="AA56" s="208">
        <v>85</v>
      </c>
      <c r="AB56" s="208">
        <v>0</v>
      </c>
      <c r="AC56" s="237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676</v>
      </c>
      <c r="P57" s="126" t="s">
        <v>714</v>
      </c>
      <c r="R57" s="126">
        <v>2</v>
      </c>
      <c r="S57" s="162">
        <v>46146</v>
      </c>
      <c r="T57" s="126">
        <v>177</v>
      </c>
      <c r="U57" s="208">
        <v>12000</v>
      </c>
      <c r="V57" s="208">
        <v>12</v>
      </c>
      <c r="W57" s="208">
        <v>83</v>
      </c>
      <c r="X57" s="208">
        <v>0</v>
      </c>
      <c r="Y57" s="208">
        <v>0</v>
      </c>
      <c r="Z57" s="208">
        <v>0</v>
      </c>
      <c r="AA57" s="208">
        <v>83</v>
      </c>
      <c r="AB57" s="208">
        <v>0</v>
      </c>
      <c r="AC57" s="237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676</v>
      </c>
      <c r="P58" s="126" t="s">
        <v>714</v>
      </c>
      <c r="R58" s="126">
        <v>2</v>
      </c>
      <c r="S58" s="162">
        <v>46146</v>
      </c>
      <c r="T58" s="126">
        <v>178</v>
      </c>
      <c r="U58" s="208">
        <v>6000</v>
      </c>
      <c r="V58" s="208">
        <v>6</v>
      </c>
      <c r="W58" s="208">
        <v>95</v>
      </c>
      <c r="X58" s="208">
        <v>0</v>
      </c>
      <c r="Y58" s="208">
        <v>0</v>
      </c>
      <c r="Z58" s="208">
        <v>0</v>
      </c>
      <c r="AA58" s="208">
        <v>95</v>
      </c>
      <c r="AB58" s="208">
        <v>0</v>
      </c>
      <c r="AC58" s="237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676</v>
      </c>
      <c r="P59" s="126" t="s">
        <v>714</v>
      </c>
      <c r="R59" s="126">
        <v>2</v>
      </c>
      <c r="S59" s="162">
        <v>46146</v>
      </c>
      <c r="T59" s="126">
        <v>179</v>
      </c>
      <c r="U59" s="208">
        <v>4000</v>
      </c>
      <c r="V59" s="208">
        <v>4</v>
      </c>
      <c r="W59" s="208">
        <v>95</v>
      </c>
      <c r="X59" s="208">
        <v>0</v>
      </c>
      <c r="Y59" s="208">
        <v>0</v>
      </c>
      <c r="Z59" s="208">
        <v>0</v>
      </c>
      <c r="AA59" s="208">
        <v>95</v>
      </c>
      <c r="AB59" s="208">
        <v>0</v>
      </c>
      <c r="AC59" s="237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676</v>
      </c>
      <c r="P60" s="126" t="s">
        <v>760</v>
      </c>
      <c r="R60" s="126">
        <v>2</v>
      </c>
      <c r="S60" s="162">
        <v>46148</v>
      </c>
      <c r="T60" s="126">
        <v>181</v>
      </c>
      <c r="U60" s="208">
        <v>180</v>
      </c>
      <c r="V60" s="208">
        <v>15</v>
      </c>
      <c r="W60" s="208">
        <v>1</v>
      </c>
      <c r="X60" s="208">
        <v>0</v>
      </c>
      <c r="Y60" s="208">
        <v>0</v>
      </c>
      <c r="Z60" s="208">
        <v>0</v>
      </c>
      <c r="AA60" s="208">
        <v>1</v>
      </c>
      <c r="AB60" s="208">
        <v>0</v>
      </c>
      <c r="AC60" s="237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676</v>
      </c>
      <c r="P61" s="126" t="s">
        <v>760</v>
      </c>
      <c r="R61" s="126">
        <v>2</v>
      </c>
      <c r="S61" s="162">
        <v>46148</v>
      </c>
      <c r="T61" s="126">
        <v>182</v>
      </c>
      <c r="U61" s="208">
        <v>120</v>
      </c>
      <c r="V61" s="208">
        <v>10</v>
      </c>
      <c r="W61" s="208">
        <v>2</v>
      </c>
      <c r="X61" s="208">
        <v>0</v>
      </c>
      <c r="Y61" s="208">
        <v>0</v>
      </c>
      <c r="Z61" s="208">
        <v>0</v>
      </c>
      <c r="AA61" s="208">
        <v>2</v>
      </c>
      <c r="AB61" s="208">
        <v>0</v>
      </c>
      <c r="AC61" s="237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676</v>
      </c>
      <c r="P62" s="126" t="s">
        <v>760</v>
      </c>
      <c r="R62" s="126">
        <v>2</v>
      </c>
      <c r="S62" s="162">
        <v>46148</v>
      </c>
      <c r="T62" s="126">
        <v>183</v>
      </c>
      <c r="U62" s="208">
        <v>240</v>
      </c>
      <c r="V62" s="208">
        <v>20</v>
      </c>
      <c r="W62" s="208">
        <v>4</v>
      </c>
      <c r="X62" s="208">
        <v>0</v>
      </c>
      <c r="Y62" s="208">
        <v>0</v>
      </c>
      <c r="Z62" s="208">
        <v>0</v>
      </c>
      <c r="AA62" s="208">
        <v>4</v>
      </c>
      <c r="AB62" s="208">
        <v>0</v>
      </c>
      <c r="AC62" s="237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676</v>
      </c>
      <c r="P63" s="126" t="s">
        <v>760</v>
      </c>
      <c r="R63" s="126">
        <v>2</v>
      </c>
      <c r="S63" s="162">
        <v>46148</v>
      </c>
      <c r="T63" s="126">
        <v>184</v>
      </c>
      <c r="U63" s="208">
        <v>168</v>
      </c>
      <c r="V63" s="208">
        <v>14</v>
      </c>
      <c r="W63" s="208">
        <v>6</v>
      </c>
      <c r="X63" s="208">
        <v>0</v>
      </c>
      <c r="Y63" s="208">
        <v>0</v>
      </c>
      <c r="Z63" s="208">
        <v>0</v>
      </c>
      <c r="AA63" s="208">
        <v>6</v>
      </c>
      <c r="AB63" s="208">
        <v>0</v>
      </c>
      <c r="AC63" s="237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676</v>
      </c>
      <c r="P64" s="126" t="s">
        <v>760</v>
      </c>
      <c r="R64" s="126">
        <v>2</v>
      </c>
      <c r="S64" s="162">
        <v>46148</v>
      </c>
      <c r="T64" s="126">
        <v>185</v>
      </c>
      <c r="U64" s="208">
        <v>60</v>
      </c>
      <c r="V64" s="208">
        <v>5</v>
      </c>
      <c r="W64" s="208">
        <v>8</v>
      </c>
      <c r="X64" s="208">
        <v>0</v>
      </c>
      <c r="Y64" s="208">
        <v>0</v>
      </c>
      <c r="Z64" s="208">
        <v>0</v>
      </c>
      <c r="AA64" s="208">
        <v>8</v>
      </c>
      <c r="AB64" s="208">
        <v>0</v>
      </c>
      <c r="AC64" s="237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676</v>
      </c>
      <c r="P65" s="126" t="s">
        <v>760</v>
      </c>
      <c r="R65" s="126">
        <v>2</v>
      </c>
      <c r="S65" s="162">
        <v>46148</v>
      </c>
      <c r="T65" s="126">
        <v>186</v>
      </c>
      <c r="U65" s="208">
        <v>36</v>
      </c>
      <c r="V65" s="208">
        <v>3</v>
      </c>
      <c r="W65" s="208">
        <v>12</v>
      </c>
      <c r="X65" s="208">
        <v>0</v>
      </c>
      <c r="Y65" s="208">
        <v>0</v>
      </c>
      <c r="Z65" s="208">
        <v>0</v>
      </c>
      <c r="AA65" s="208">
        <v>12</v>
      </c>
      <c r="AB65" s="208">
        <v>0</v>
      </c>
      <c r="AC65" s="237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676</v>
      </c>
      <c r="P66" s="126" t="s">
        <v>760</v>
      </c>
      <c r="R66" s="126">
        <v>2</v>
      </c>
      <c r="S66" s="162">
        <v>46148</v>
      </c>
      <c r="T66" s="126">
        <v>187</v>
      </c>
      <c r="U66" s="208">
        <v>128</v>
      </c>
      <c r="V66" s="208">
        <v>32</v>
      </c>
      <c r="W66" s="208">
        <v>3.37</v>
      </c>
      <c r="X66" s="208">
        <v>0</v>
      </c>
      <c r="Y66" s="208">
        <v>0</v>
      </c>
      <c r="Z66" s="208">
        <v>0</v>
      </c>
      <c r="AA66" s="208">
        <v>3.37</v>
      </c>
      <c r="AB66" s="208">
        <v>0</v>
      </c>
      <c r="AC66" s="237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676</v>
      </c>
      <c r="P67" s="126" t="s">
        <v>760</v>
      </c>
      <c r="R67" s="126">
        <v>2</v>
      </c>
      <c r="S67" s="162">
        <v>46148</v>
      </c>
      <c r="T67" s="126">
        <v>189</v>
      </c>
      <c r="U67" s="208">
        <v>52</v>
      </c>
      <c r="V67" s="208">
        <v>13</v>
      </c>
      <c r="W67" s="208">
        <v>4.09</v>
      </c>
      <c r="X67" s="208">
        <v>0</v>
      </c>
      <c r="Y67" s="208">
        <v>0</v>
      </c>
      <c r="Z67" s="208">
        <v>0</v>
      </c>
      <c r="AA67" s="208">
        <v>4.09</v>
      </c>
      <c r="AB67" s="208">
        <v>0</v>
      </c>
      <c r="AC67" s="237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676</v>
      </c>
      <c r="P68" s="126" t="s">
        <v>760</v>
      </c>
      <c r="R68" s="126">
        <v>2</v>
      </c>
      <c r="S68" s="162">
        <v>46148</v>
      </c>
      <c r="T68" s="126">
        <v>191</v>
      </c>
      <c r="U68" s="208">
        <v>64</v>
      </c>
      <c r="V68" s="208">
        <v>16</v>
      </c>
      <c r="W68" s="208">
        <v>4.92</v>
      </c>
      <c r="X68" s="208">
        <v>0</v>
      </c>
      <c r="Y68" s="208">
        <v>0</v>
      </c>
      <c r="Z68" s="208">
        <v>0</v>
      </c>
      <c r="AA68" s="208">
        <v>4.92</v>
      </c>
      <c r="AB68" s="208">
        <v>0</v>
      </c>
      <c r="AC68" s="237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676</v>
      </c>
      <c r="P69" s="126" t="s">
        <v>760</v>
      </c>
      <c r="R69" s="126">
        <v>2</v>
      </c>
      <c r="S69" s="162">
        <v>46148</v>
      </c>
      <c r="T69" s="126">
        <v>193</v>
      </c>
      <c r="U69" s="208">
        <v>60</v>
      </c>
      <c r="V69" s="208">
        <v>15</v>
      </c>
      <c r="W69" s="208">
        <v>3.88</v>
      </c>
      <c r="X69" s="208">
        <v>0</v>
      </c>
      <c r="Y69" s="208">
        <v>0</v>
      </c>
      <c r="Z69" s="208">
        <v>0</v>
      </c>
      <c r="AA69" s="208">
        <v>3.88</v>
      </c>
      <c r="AB69" s="208">
        <v>0</v>
      </c>
      <c r="AC69" s="237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676</v>
      </c>
      <c r="P70" s="126" t="s">
        <v>760</v>
      </c>
      <c r="R70" s="126">
        <v>2</v>
      </c>
      <c r="S70" s="162">
        <v>46148</v>
      </c>
      <c r="T70" s="126">
        <v>195</v>
      </c>
      <c r="U70" s="208">
        <v>100</v>
      </c>
      <c r="V70" s="208">
        <v>25</v>
      </c>
      <c r="W70" s="208">
        <v>6.28</v>
      </c>
      <c r="X70" s="208">
        <v>0</v>
      </c>
      <c r="Y70" s="208">
        <v>0</v>
      </c>
      <c r="Z70" s="208">
        <v>0</v>
      </c>
      <c r="AA70" s="208">
        <v>6.28</v>
      </c>
      <c r="AB70" s="208">
        <v>0</v>
      </c>
      <c r="AC70" s="237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676</v>
      </c>
      <c r="P71" s="126" t="s">
        <v>760</v>
      </c>
      <c r="R71" s="126">
        <v>2</v>
      </c>
      <c r="S71" s="162">
        <v>46148</v>
      </c>
      <c r="T71" s="126">
        <v>197</v>
      </c>
      <c r="U71" s="208">
        <v>72</v>
      </c>
      <c r="V71" s="208">
        <v>18</v>
      </c>
      <c r="W71" s="208">
        <v>8.36</v>
      </c>
      <c r="X71" s="208">
        <v>0</v>
      </c>
      <c r="Y71" s="208">
        <v>0</v>
      </c>
      <c r="Z71" s="208">
        <v>0</v>
      </c>
      <c r="AA71" s="208">
        <v>8.36</v>
      </c>
      <c r="AB71" s="208">
        <v>0</v>
      </c>
      <c r="AC71" s="237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550</v>
      </c>
      <c r="P72" s="126" t="s">
        <v>793</v>
      </c>
      <c r="Q72" s="126">
        <v>1</v>
      </c>
      <c r="S72" s="162">
        <v>46176</v>
      </c>
      <c r="T72" s="126">
        <v>176</v>
      </c>
      <c r="U72" s="208">
        <v>-500</v>
      </c>
      <c r="V72" s="208">
        <v>-0.5</v>
      </c>
      <c r="W72" s="208">
        <v>4.25</v>
      </c>
      <c r="X72" s="208">
        <v>0</v>
      </c>
      <c r="Y72" s="208">
        <v>0</v>
      </c>
      <c r="Z72" s="208">
        <v>0</v>
      </c>
      <c r="AA72" s="208">
        <v>4.25</v>
      </c>
      <c r="AB72" s="208">
        <v>0</v>
      </c>
      <c r="AC72" s="237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550</v>
      </c>
      <c r="P73" s="126" t="s">
        <v>793</v>
      </c>
      <c r="Q73" s="126">
        <v>1</v>
      </c>
      <c r="S73" s="162">
        <v>46176</v>
      </c>
      <c r="T73" s="126">
        <v>142</v>
      </c>
      <c r="U73" s="208">
        <v>-1</v>
      </c>
      <c r="V73" s="208">
        <v>-8.3333333333333329E-2</v>
      </c>
      <c r="W73" s="208">
        <v>0.34</v>
      </c>
      <c r="X73" s="208">
        <v>0</v>
      </c>
      <c r="Y73" s="208">
        <v>0</v>
      </c>
      <c r="Z73" s="208">
        <v>0</v>
      </c>
      <c r="AA73" s="208">
        <v>0.34</v>
      </c>
      <c r="AB73" s="208">
        <v>0</v>
      </c>
      <c r="AC73" s="237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550</v>
      </c>
      <c r="P74" s="126" t="s">
        <v>793</v>
      </c>
      <c r="Q74" s="126">
        <v>1</v>
      </c>
      <c r="S74" s="162">
        <v>46176</v>
      </c>
      <c r="T74" s="126">
        <v>50</v>
      </c>
      <c r="U74" s="208">
        <v>-4</v>
      </c>
      <c r="V74" s="208">
        <v>-4</v>
      </c>
      <c r="W74" s="208">
        <v>0.12</v>
      </c>
      <c r="X74" s="208">
        <v>0</v>
      </c>
      <c r="Y74" s="208">
        <v>0</v>
      </c>
      <c r="Z74" s="208">
        <v>0</v>
      </c>
      <c r="AA74" s="208">
        <v>0.12</v>
      </c>
      <c r="AB74" s="208">
        <v>0</v>
      </c>
      <c r="AC74" s="237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550</v>
      </c>
      <c r="P75" s="126" t="s">
        <v>793</v>
      </c>
      <c r="Q75" s="126">
        <v>1</v>
      </c>
      <c r="S75" s="162">
        <v>46176</v>
      </c>
      <c r="T75" s="126">
        <v>41</v>
      </c>
      <c r="U75" s="208">
        <v>-2</v>
      </c>
      <c r="V75" s="208">
        <v>-2</v>
      </c>
      <c r="W75" s="208">
        <v>0.53</v>
      </c>
      <c r="X75" s="208">
        <v>0</v>
      </c>
      <c r="Y75" s="208">
        <v>0</v>
      </c>
      <c r="Z75" s="208">
        <v>0</v>
      </c>
      <c r="AA75" s="208">
        <v>0.53</v>
      </c>
      <c r="AB75" s="208">
        <v>0</v>
      </c>
      <c r="AC75" s="237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550</v>
      </c>
      <c r="P76" s="126" t="s">
        <v>793</v>
      </c>
      <c r="Q76" s="126">
        <v>1</v>
      </c>
      <c r="S76" s="162">
        <v>46176</v>
      </c>
      <c r="T76" s="126">
        <v>49</v>
      </c>
      <c r="U76" s="208">
        <v>-1</v>
      </c>
      <c r="V76" s="208">
        <v>-1</v>
      </c>
      <c r="W76" s="208">
        <v>0.28000000000000003</v>
      </c>
      <c r="X76" s="208">
        <v>0</v>
      </c>
      <c r="Y76" s="208">
        <v>0</v>
      </c>
      <c r="Z76" s="208">
        <v>0</v>
      </c>
      <c r="AA76" s="208">
        <v>0.28000000000000003</v>
      </c>
      <c r="AB76" s="208">
        <v>0</v>
      </c>
      <c r="AC76" s="237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550</v>
      </c>
      <c r="P77" s="126" t="s">
        <v>793</v>
      </c>
      <c r="Q77" s="126">
        <v>1</v>
      </c>
      <c r="S77" s="162">
        <v>46176</v>
      </c>
      <c r="T77" s="126">
        <v>7</v>
      </c>
      <c r="U77" s="208">
        <v>-1</v>
      </c>
      <c r="V77" s="208">
        <v>-1</v>
      </c>
      <c r="W77" s="208">
        <v>1.79</v>
      </c>
      <c r="X77" s="208">
        <v>0</v>
      </c>
      <c r="Y77" s="208">
        <v>0</v>
      </c>
      <c r="Z77" s="208">
        <v>0</v>
      </c>
      <c r="AA77" s="208">
        <v>1.79</v>
      </c>
      <c r="AB77" s="208">
        <v>0</v>
      </c>
      <c r="AC77" s="237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550</v>
      </c>
      <c r="P78" s="126" t="s">
        <v>793</v>
      </c>
      <c r="Q78" s="126">
        <v>1</v>
      </c>
      <c r="S78" s="162">
        <v>46176</v>
      </c>
      <c r="T78" s="126">
        <v>145</v>
      </c>
      <c r="U78" s="208">
        <v>-2</v>
      </c>
      <c r="V78" s="208">
        <v>-0.16666666666666666</v>
      </c>
      <c r="W78" s="208">
        <v>0.28999999999999998</v>
      </c>
      <c r="X78" s="208">
        <v>0</v>
      </c>
      <c r="Y78" s="208">
        <v>0</v>
      </c>
      <c r="Z78" s="208">
        <v>0</v>
      </c>
      <c r="AA78" s="208">
        <v>0.28999999999999998</v>
      </c>
      <c r="AB78" s="208">
        <v>0</v>
      </c>
      <c r="AC78" s="237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550</v>
      </c>
      <c r="P79" s="126" t="s">
        <v>829</v>
      </c>
      <c r="Q79" s="126">
        <v>1</v>
      </c>
      <c r="S79" s="162">
        <v>46176</v>
      </c>
      <c r="T79" s="126">
        <v>163</v>
      </c>
      <c r="U79" s="208">
        <v>-4</v>
      </c>
      <c r="V79" s="208">
        <v>-1</v>
      </c>
      <c r="W79" s="208">
        <v>12.75</v>
      </c>
      <c r="X79" s="208">
        <v>0</v>
      </c>
      <c r="Y79" s="208">
        <v>0</v>
      </c>
      <c r="Z79" s="208">
        <v>0</v>
      </c>
      <c r="AA79" s="208">
        <v>12.75</v>
      </c>
      <c r="AB79" s="208">
        <v>0</v>
      </c>
      <c r="AC79" s="237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550</v>
      </c>
      <c r="P80" s="126" t="s">
        <v>835</v>
      </c>
      <c r="Q80" s="126">
        <v>1</v>
      </c>
      <c r="S80" s="162">
        <v>46177</v>
      </c>
      <c r="T80" s="126">
        <v>177</v>
      </c>
      <c r="U80" s="208">
        <v>-250</v>
      </c>
      <c r="V80" s="208">
        <v>-0.25</v>
      </c>
      <c r="W80" s="208">
        <v>4.1500000000000004</v>
      </c>
      <c r="X80" s="208">
        <v>0</v>
      </c>
      <c r="Y80" s="208">
        <v>0</v>
      </c>
      <c r="Z80" s="208">
        <v>0</v>
      </c>
      <c r="AA80" s="208">
        <v>4.1500000000000004</v>
      </c>
      <c r="AB80" s="208">
        <v>0</v>
      </c>
      <c r="AC80" s="237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550</v>
      </c>
      <c r="P81" s="126" t="s">
        <v>835</v>
      </c>
      <c r="Q81" s="126">
        <v>1</v>
      </c>
      <c r="S81" s="162">
        <v>46177</v>
      </c>
      <c r="T81" s="126">
        <v>179</v>
      </c>
      <c r="U81" s="208">
        <v>-250</v>
      </c>
      <c r="V81" s="208">
        <v>-0.25</v>
      </c>
      <c r="W81" s="208">
        <v>4.75</v>
      </c>
      <c r="X81" s="208">
        <v>0</v>
      </c>
      <c r="Y81" s="208">
        <v>0</v>
      </c>
      <c r="Z81" s="208">
        <v>0</v>
      </c>
      <c r="AA81" s="208">
        <v>4.75</v>
      </c>
      <c r="AB81" s="208">
        <v>0</v>
      </c>
      <c r="AC81" s="237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550</v>
      </c>
      <c r="P82" s="126" t="s">
        <v>835</v>
      </c>
      <c r="Q82" s="126">
        <v>1</v>
      </c>
      <c r="S82" s="162">
        <v>46177</v>
      </c>
      <c r="T82" s="126">
        <v>11</v>
      </c>
      <c r="U82" s="208">
        <v>-2</v>
      </c>
      <c r="V82" s="208">
        <v>-2</v>
      </c>
      <c r="W82" s="208">
        <v>9.52</v>
      </c>
      <c r="X82" s="208">
        <v>0</v>
      </c>
      <c r="Y82" s="208">
        <v>0</v>
      </c>
      <c r="Z82" s="208">
        <v>0</v>
      </c>
      <c r="AA82" s="208">
        <v>9.52</v>
      </c>
      <c r="AB82" s="208">
        <v>0</v>
      </c>
      <c r="AC82" s="237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550</v>
      </c>
      <c r="P83" s="126" t="s">
        <v>835</v>
      </c>
      <c r="Q83" s="126">
        <v>1</v>
      </c>
      <c r="S83" s="162">
        <v>46177</v>
      </c>
      <c r="T83" s="126">
        <v>18</v>
      </c>
      <c r="U83" s="208">
        <v>-10</v>
      </c>
      <c r="V83" s="208">
        <v>-10</v>
      </c>
      <c r="W83" s="208">
        <v>1.35</v>
      </c>
      <c r="X83" s="208">
        <v>0</v>
      </c>
      <c r="Y83" s="208">
        <v>0</v>
      </c>
      <c r="Z83" s="208">
        <v>0</v>
      </c>
      <c r="AA83" s="208">
        <v>1.35</v>
      </c>
      <c r="AB83" s="208">
        <v>0</v>
      </c>
      <c r="AC83" s="237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550</v>
      </c>
      <c r="P84" s="126" t="s">
        <v>850</v>
      </c>
      <c r="Q84" s="126">
        <v>1</v>
      </c>
      <c r="S84" s="162">
        <v>46177</v>
      </c>
      <c r="T84" s="126">
        <v>195</v>
      </c>
      <c r="U84" s="208">
        <v>-8</v>
      </c>
      <c r="V84" s="208">
        <v>-2</v>
      </c>
      <c r="W84" s="208">
        <v>6.28</v>
      </c>
      <c r="X84" s="208">
        <v>0</v>
      </c>
      <c r="Y84" s="208">
        <v>0</v>
      </c>
      <c r="Z84" s="208">
        <v>0</v>
      </c>
      <c r="AA84" s="208">
        <v>6.28</v>
      </c>
      <c r="AB84" s="208">
        <v>0</v>
      </c>
      <c r="AC84" s="237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550</v>
      </c>
      <c r="P85" s="126" t="s">
        <v>850</v>
      </c>
      <c r="Q85" s="126">
        <v>1</v>
      </c>
      <c r="S85" s="162">
        <v>46177</v>
      </c>
      <c r="T85" s="126">
        <v>11</v>
      </c>
      <c r="U85" s="208">
        <v>-4</v>
      </c>
      <c r="V85" s="208">
        <v>-4</v>
      </c>
      <c r="W85" s="208">
        <v>9.52</v>
      </c>
      <c r="X85" s="208">
        <v>0</v>
      </c>
      <c r="Y85" s="208">
        <v>0</v>
      </c>
      <c r="Z85" s="208">
        <v>0</v>
      </c>
      <c r="AA85" s="208">
        <v>9.52</v>
      </c>
      <c r="AB85" s="208">
        <v>0</v>
      </c>
      <c r="AC85" s="237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550</v>
      </c>
      <c r="P86" s="126" t="s">
        <v>867</v>
      </c>
      <c r="Q86" s="126">
        <v>1</v>
      </c>
      <c r="S86" s="162">
        <v>46177</v>
      </c>
      <c r="T86" s="126">
        <v>102</v>
      </c>
      <c r="U86" s="208">
        <v>-1</v>
      </c>
      <c r="V86" s="208">
        <v>-4.1666666666666664E-2</v>
      </c>
      <c r="W86" s="208">
        <v>4.5</v>
      </c>
      <c r="X86" s="208">
        <v>0</v>
      </c>
      <c r="Y86" s="208">
        <v>0</v>
      </c>
      <c r="Z86" s="208">
        <v>0</v>
      </c>
      <c r="AA86" s="208">
        <v>4.5</v>
      </c>
      <c r="AB86" s="208">
        <v>0</v>
      </c>
      <c r="AC86" s="237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550</v>
      </c>
      <c r="P87" s="126" t="s">
        <v>867</v>
      </c>
      <c r="Q87" s="126">
        <v>1</v>
      </c>
      <c r="S87" s="162">
        <v>46177</v>
      </c>
      <c r="T87" s="126">
        <v>185</v>
      </c>
      <c r="U87" s="208">
        <v>-72</v>
      </c>
      <c r="V87" s="208">
        <v>-6</v>
      </c>
      <c r="W87" s="208">
        <v>8</v>
      </c>
      <c r="X87" s="208">
        <v>0</v>
      </c>
      <c r="Y87" s="208">
        <v>0</v>
      </c>
      <c r="Z87" s="208">
        <v>0</v>
      </c>
      <c r="AA87" s="208">
        <v>8</v>
      </c>
      <c r="AB87" s="208">
        <v>0</v>
      </c>
      <c r="AC87" s="237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550</v>
      </c>
      <c r="P88" s="126" t="s">
        <v>876</v>
      </c>
      <c r="Q88" s="126">
        <v>1</v>
      </c>
      <c r="S88" s="162">
        <v>46178</v>
      </c>
      <c r="T88" s="126">
        <v>176</v>
      </c>
      <c r="U88" s="208">
        <v>-500</v>
      </c>
      <c r="V88" s="208">
        <v>-0.5</v>
      </c>
      <c r="W88" s="208">
        <v>4.25</v>
      </c>
      <c r="X88" s="208">
        <v>0</v>
      </c>
      <c r="Y88" s="208">
        <v>0</v>
      </c>
      <c r="Z88" s="208">
        <v>0</v>
      </c>
      <c r="AA88" s="208">
        <v>4.25</v>
      </c>
      <c r="AB88" s="208">
        <v>0</v>
      </c>
      <c r="AC88" s="237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550</v>
      </c>
      <c r="P89" s="126" t="s">
        <v>882</v>
      </c>
      <c r="Q89" s="126">
        <v>1</v>
      </c>
      <c r="S89" s="162">
        <v>46178</v>
      </c>
      <c r="T89" s="126">
        <v>99</v>
      </c>
      <c r="U89" s="208">
        <v>-1</v>
      </c>
      <c r="V89" s="208">
        <v>-0.05</v>
      </c>
      <c r="W89" s="208">
        <v>0.24</v>
      </c>
      <c r="X89" s="208">
        <v>0</v>
      </c>
      <c r="Y89" s="208">
        <v>0</v>
      </c>
      <c r="Z89" s="208">
        <v>0</v>
      </c>
      <c r="AA89" s="208">
        <v>0.24</v>
      </c>
      <c r="AB89" s="208">
        <v>0</v>
      </c>
      <c r="AC89" s="237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550</v>
      </c>
      <c r="P90" s="126" t="s">
        <v>882</v>
      </c>
      <c r="Q90" s="126">
        <v>1</v>
      </c>
      <c r="S90" s="162">
        <v>46178</v>
      </c>
      <c r="T90" s="126">
        <v>14</v>
      </c>
      <c r="U90" s="208">
        <v>-1</v>
      </c>
      <c r="V90" s="208">
        <v>-1</v>
      </c>
      <c r="W90" s="208">
        <v>3.3</v>
      </c>
      <c r="X90" s="208">
        <v>0</v>
      </c>
      <c r="Y90" s="208">
        <v>0</v>
      </c>
      <c r="Z90" s="208">
        <v>0</v>
      </c>
      <c r="AA90" s="208">
        <v>3.3</v>
      </c>
      <c r="AB90" s="208">
        <v>0</v>
      </c>
      <c r="AC90" s="237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550</v>
      </c>
      <c r="P91" s="126" t="s">
        <v>882</v>
      </c>
      <c r="Q91" s="126">
        <v>1</v>
      </c>
      <c r="S91" s="162">
        <v>46178</v>
      </c>
      <c r="T91" s="126">
        <v>182</v>
      </c>
      <c r="U91" s="208">
        <v>-12</v>
      </c>
      <c r="V91" s="208">
        <v>-1</v>
      </c>
      <c r="W91" s="208">
        <v>2</v>
      </c>
      <c r="X91" s="208">
        <v>0</v>
      </c>
      <c r="Y91" s="208">
        <v>0</v>
      </c>
      <c r="Z91" s="208">
        <v>0</v>
      </c>
      <c r="AA91" s="208">
        <v>2</v>
      </c>
      <c r="AB91" s="208">
        <v>0</v>
      </c>
      <c r="AC91" s="237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550</v>
      </c>
      <c r="P92" s="126" t="s">
        <v>882</v>
      </c>
      <c r="Q92" s="126">
        <v>1</v>
      </c>
      <c r="S92" s="162">
        <v>46178</v>
      </c>
      <c r="T92" s="126">
        <v>160</v>
      </c>
      <c r="U92" s="208">
        <v>-2</v>
      </c>
      <c r="V92" s="208">
        <v>-0.5</v>
      </c>
      <c r="W92" s="208">
        <v>11.75</v>
      </c>
      <c r="X92" s="208">
        <v>0</v>
      </c>
      <c r="Y92" s="208">
        <v>0</v>
      </c>
      <c r="Z92" s="208">
        <v>0</v>
      </c>
      <c r="AA92" s="208">
        <v>11.75</v>
      </c>
      <c r="AB92" s="208">
        <v>0</v>
      </c>
      <c r="AC92" s="237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550</v>
      </c>
      <c r="P93" s="126" t="s">
        <v>882</v>
      </c>
      <c r="Q93" s="126">
        <v>1</v>
      </c>
      <c r="S93" s="162">
        <v>46178</v>
      </c>
      <c r="T93" s="126">
        <v>46</v>
      </c>
      <c r="U93" s="208">
        <v>-1</v>
      </c>
      <c r="V93" s="208">
        <v>-1</v>
      </c>
      <c r="W93" s="208">
        <v>0.15</v>
      </c>
      <c r="X93" s="208">
        <v>0</v>
      </c>
      <c r="Y93" s="208">
        <v>0</v>
      </c>
      <c r="Z93" s="208">
        <v>0</v>
      </c>
      <c r="AA93" s="208">
        <v>0.15</v>
      </c>
      <c r="AB93" s="208">
        <v>0</v>
      </c>
      <c r="AC93" s="237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550</v>
      </c>
      <c r="P94" s="126" t="s">
        <v>882</v>
      </c>
      <c r="Q94" s="126">
        <v>1</v>
      </c>
      <c r="S94" s="162">
        <v>46178</v>
      </c>
      <c r="T94" s="126">
        <v>97</v>
      </c>
      <c r="U94" s="208">
        <v>-2</v>
      </c>
      <c r="V94" s="208">
        <v>-0.16666666666666666</v>
      </c>
      <c r="W94" s="208">
        <v>0.3</v>
      </c>
      <c r="X94" s="208">
        <v>0</v>
      </c>
      <c r="Y94" s="208">
        <v>0</v>
      </c>
      <c r="Z94" s="208">
        <v>0</v>
      </c>
      <c r="AA94" s="208">
        <v>0.3</v>
      </c>
      <c r="AB94" s="208">
        <v>0</v>
      </c>
      <c r="AC94" s="237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550</v>
      </c>
      <c r="P95" s="126" t="s">
        <v>882</v>
      </c>
      <c r="Q95" s="126">
        <v>1</v>
      </c>
      <c r="S95" s="162">
        <v>46178</v>
      </c>
      <c r="T95" s="126">
        <v>96</v>
      </c>
      <c r="U95" s="208">
        <v>-15</v>
      </c>
      <c r="V95" s="208">
        <v>-1.25</v>
      </c>
      <c r="W95" s="208">
        <v>0.27</v>
      </c>
      <c r="X95" s="208">
        <v>0</v>
      </c>
      <c r="Y95" s="208">
        <v>0</v>
      </c>
      <c r="Z95" s="208">
        <v>0</v>
      </c>
      <c r="AA95" s="208">
        <v>0.27</v>
      </c>
      <c r="AB95" s="208">
        <v>0</v>
      </c>
      <c r="AC95" s="237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550</v>
      </c>
      <c r="P96" s="126" t="s">
        <v>882</v>
      </c>
      <c r="Q96" s="126">
        <v>1</v>
      </c>
      <c r="S96" s="162">
        <v>46178</v>
      </c>
      <c r="T96" s="126">
        <v>70</v>
      </c>
      <c r="U96" s="208">
        <v>-1</v>
      </c>
      <c r="V96" s="208">
        <v>-1</v>
      </c>
      <c r="W96" s="208">
        <v>0.15</v>
      </c>
      <c r="X96" s="208">
        <v>0</v>
      </c>
      <c r="Y96" s="208">
        <v>0</v>
      </c>
      <c r="Z96" s="208">
        <v>0</v>
      </c>
      <c r="AA96" s="208">
        <v>0.15</v>
      </c>
      <c r="AB96" s="208">
        <v>0</v>
      </c>
      <c r="AC96" s="237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550</v>
      </c>
      <c r="P97" s="126" t="s">
        <v>912</v>
      </c>
      <c r="Q97" s="126">
        <v>1</v>
      </c>
      <c r="S97" s="162">
        <v>46178</v>
      </c>
      <c r="T97" s="126">
        <v>178</v>
      </c>
      <c r="U97" s="208">
        <v>-450</v>
      </c>
      <c r="V97" s="208">
        <v>-0.45</v>
      </c>
      <c r="W97" s="208">
        <v>4.75</v>
      </c>
      <c r="X97" s="208">
        <v>0</v>
      </c>
      <c r="Y97" s="208">
        <v>0</v>
      </c>
      <c r="Z97" s="208">
        <v>0</v>
      </c>
      <c r="AA97" s="208">
        <v>4.75</v>
      </c>
      <c r="AB97" s="208">
        <v>0</v>
      </c>
      <c r="AC97" s="237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550</v>
      </c>
      <c r="P98" s="126" t="s">
        <v>917</v>
      </c>
      <c r="Q98" s="126">
        <v>1</v>
      </c>
      <c r="S98" s="162">
        <v>46178</v>
      </c>
      <c r="T98" s="126">
        <v>177</v>
      </c>
      <c r="U98" s="208">
        <v>-150</v>
      </c>
      <c r="V98" s="208">
        <v>-0.15</v>
      </c>
      <c r="W98" s="208">
        <v>4.1500000000000004</v>
      </c>
      <c r="X98" s="208">
        <v>0</v>
      </c>
      <c r="Y98" s="208">
        <v>0</v>
      </c>
      <c r="Z98" s="208">
        <v>0</v>
      </c>
      <c r="AA98" s="208">
        <v>4.1500000000000004</v>
      </c>
      <c r="AB98" s="208">
        <v>0</v>
      </c>
      <c r="AC98" s="237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550</v>
      </c>
      <c r="P99" s="126" t="s">
        <v>917</v>
      </c>
      <c r="Q99" s="126">
        <v>1</v>
      </c>
      <c r="S99" s="162">
        <v>46178</v>
      </c>
      <c r="T99" s="126">
        <v>179</v>
      </c>
      <c r="U99" s="208">
        <v>-300</v>
      </c>
      <c r="V99" s="208">
        <v>-0.3</v>
      </c>
      <c r="W99" s="208">
        <v>4.75</v>
      </c>
      <c r="X99" s="208">
        <v>0</v>
      </c>
      <c r="Y99" s="208">
        <v>0</v>
      </c>
      <c r="Z99" s="208">
        <v>0</v>
      </c>
      <c r="AA99" s="208">
        <v>4.75</v>
      </c>
      <c r="AB99" s="208">
        <v>0</v>
      </c>
      <c r="AC99" s="237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550</v>
      </c>
      <c r="P100" s="126" t="s">
        <v>926</v>
      </c>
      <c r="Q100" s="126">
        <v>1</v>
      </c>
      <c r="S100" s="162">
        <v>46179</v>
      </c>
      <c r="T100" s="126">
        <v>178</v>
      </c>
      <c r="U100" s="208">
        <v>-250</v>
      </c>
      <c r="V100" s="208">
        <v>-0.25</v>
      </c>
      <c r="W100" s="208">
        <v>4.75</v>
      </c>
      <c r="X100" s="208">
        <v>0</v>
      </c>
      <c r="Y100" s="208">
        <v>0</v>
      </c>
      <c r="Z100" s="208">
        <v>0</v>
      </c>
      <c r="AA100" s="208">
        <v>4.75</v>
      </c>
      <c r="AB100" s="208">
        <v>0</v>
      </c>
      <c r="AC100" s="237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550</v>
      </c>
      <c r="P101" s="126" t="s">
        <v>926</v>
      </c>
      <c r="Q101" s="126">
        <v>1</v>
      </c>
      <c r="S101" s="162">
        <v>46179</v>
      </c>
      <c r="T101" s="126">
        <v>197</v>
      </c>
      <c r="U101" s="208">
        <v>-12</v>
      </c>
      <c r="V101" s="208">
        <v>-3</v>
      </c>
      <c r="W101" s="208">
        <v>8.36</v>
      </c>
      <c r="X101" s="208">
        <v>0</v>
      </c>
      <c r="Y101" s="208">
        <v>0</v>
      </c>
      <c r="Z101" s="208">
        <v>0</v>
      </c>
      <c r="AA101" s="208">
        <v>8.36</v>
      </c>
      <c r="AB101" s="208">
        <v>0</v>
      </c>
      <c r="AC101" s="237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550</v>
      </c>
      <c r="P102" s="126" t="s">
        <v>926</v>
      </c>
      <c r="Q102" s="126">
        <v>1</v>
      </c>
      <c r="S102" s="162">
        <v>46179</v>
      </c>
      <c r="T102" s="126">
        <v>52</v>
      </c>
      <c r="U102" s="208">
        <v>-11</v>
      </c>
      <c r="V102" s="208">
        <v>-11</v>
      </c>
      <c r="W102" s="208">
        <v>1.91</v>
      </c>
      <c r="X102" s="208">
        <v>0</v>
      </c>
      <c r="Y102" s="208">
        <v>0</v>
      </c>
      <c r="Z102" s="208">
        <v>0</v>
      </c>
      <c r="AA102" s="208">
        <v>1.91</v>
      </c>
      <c r="AB102" s="208">
        <v>0</v>
      </c>
      <c r="AC102" s="237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550</v>
      </c>
      <c r="P103" s="126" t="s">
        <v>939</v>
      </c>
      <c r="Q103" s="126">
        <v>1</v>
      </c>
      <c r="S103" s="162">
        <v>46179</v>
      </c>
      <c r="T103" s="126">
        <v>177</v>
      </c>
      <c r="U103" s="208">
        <v>-1000</v>
      </c>
      <c r="V103" s="208">
        <v>-1</v>
      </c>
      <c r="W103" s="208">
        <v>83</v>
      </c>
      <c r="X103" s="208">
        <v>0</v>
      </c>
      <c r="Y103" s="208">
        <v>0</v>
      </c>
      <c r="Z103" s="208">
        <v>0</v>
      </c>
      <c r="AA103" s="208">
        <v>83</v>
      </c>
      <c r="AB103" s="208">
        <v>0</v>
      </c>
      <c r="AC103" s="237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550</v>
      </c>
      <c r="P104" s="126" t="s">
        <v>946</v>
      </c>
      <c r="Q104" s="126">
        <v>1</v>
      </c>
      <c r="S104" s="162">
        <v>46180</v>
      </c>
      <c r="T104" s="126">
        <v>177</v>
      </c>
      <c r="U104" s="208">
        <v>-200</v>
      </c>
      <c r="V104" s="208">
        <v>-0.2</v>
      </c>
      <c r="W104" s="208">
        <v>4.1500000000000004</v>
      </c>
      <c r="X104" s="208">
        <v>0</v>
      </c>
      <c r="Y104" s="208">
        <v>0</v>
      </c>
      <c r="Z104" s="208">
        <v>0</v>
      </c>
      <c r="AA104" s="208">
        <v>4.1500000000000004</v>
      </c>
      <c r="AB104" s="208">
        <v>0</v>
      </c>
      <c r="AC104" s="237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550</v>
      </c>
      <c r="P105" s="126" t="s">
        <v>946</v>
      </c>
      <c r="Q105" s="126">
        <v>1</v>
      </c>
      <c r="S105" s="162">
        <v>46180</v>
      </c>
      <c r="T105" s="126">
        <v>183</v>
      </c>
      <c r="U105" s="208">
        <v>-60</v>
      </c>
      <c r="V105" s="208">
        <v>-5</v>
      </c>
      <c r="W105" s="208">
        <v>4</v>
      </c>
      <c r="X105" s="208">
        <v>0</v>
      </c>
      <c r="Y105" s="208">
        <v>0</v>
      </c>
      <c r="Z105" s="208">
        <v>0</v>
      </c>
      <c r="AA105" s="208">
        <v>4</v>
      </c>
      <c r="AB105" s="208">
        <v>0</v>
      </c>
      <c r="AC105" s="237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550</v>
      </c>
      <c r="P106" s="126" t="s">
        <v>954</v>
      </c>
      <c r="Q106" s="126">
        <v>1</v>
      </c>
      <c r="S106" s="162">
        <v>46180</v>
      </c>
      <c r="T106" s="126">
        <v>177</v>
      </c>
      <c r="U106" s="208">
        <v>-500</v>
      </c>
      <c r="V106" s="208">
        <v>-0.5</v>
      </c>
      <c r="W106" s="208">
        <v>4.1500000000000004</v>
      </c>
      <c r="X106" s="208">
        <v>0</v>
      </c>
      <c r="Y106" s="208">
        <v>0</v>
      </c>
      <c r="Z106" s="208">
        <v>0</v>
      </c>
      <c r="AA106" s="208">
        <v>4.1500000000000004</v>
      </c>
      <c r="AB106" s="208">
        <v>0</v>
      </c>
      <c r="AC106" s="237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550</v>
      </c>
      <c r="P107" s="126" t="s">
        <v>959</v>
      </c>
      <c r="Q107" s="126">
        <v>1</v>
      </c>
      <c r="S107" s="162">
        <v>46180</v>
      </c>
      <c r="T107" s="126">
        <v>177</v>
      </c>
      <c r="U107" s="208">
        <v>-50</v>
      </c>
      <c r="V107" s="208">
        <v>-0.05</v>
      </c>
      <c r="W107" s="208">
        <v>4.1500000000000004</v>
      </c>
      <c r="X107" s="208">
        <v>0</v>
      </c>
      <c r="Y107" s="208">
        <v>0</v>
      </c>
      <c r="Z107" s="208">
        <v>0</v>
      </c>
      <c r="AA107" s="208">
        <v>4.1500000000000004</v>
      </c>
      <c r="AB107" s="208">
        <v>0</v>
      </c>
      <c r="AC107" s="237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550</v>
      </c>
      <c r="P108" s="126" t="s">
        <v>959</v>
      </c>
      <c r="Q108" s="126">
        <v>1</v>
      </c>
      <c r="S108" s="162">
        <v>46180</v>
      </c>
      <c r="T108" s="126">
        <v>10</v>
      </c>
      <c r="U108" s="208">
        <v>-1</v>
      </c>
      <c r="V108" s="208">
        <v>-1</v>
      </c>
      <c r="W108" s="208">
        <v>14.85</v>
      </c>
      <c r="X108" s="208">
        <v>0</v>
      </c>
      <c r="Y108" s="208">
        <v>0</v>
      </c>
      <c r="Z108" s="208">
        <v>0</v>
      </c>
      <c r="AA108" s="208">
        <v>14.85</v>
      </c>
      <c r="AB108" s="208">
        <v>0</v>
      </c>
      <c r="AC108" s="237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550</v>
      </c>
      <c r="P109" s="126" t="s">
        <v>959</v>
      </c>
      <c r="Q109" s="126">
        <v>1</v>
      </c>
      <c r="S109" s="162">
        <v>46180</v>
      </c>
      <c r="T109" s="126">
        <v>11</v>
      </c>
      <c r="U109" s="208">
        <v>-5</v>
      </c>
      <c r="V109" s="208">
        <v>-5</v>
      </c>
      <c r="W109" s="208">
        <v>9.52</v>
      </c>
      <c r="X109" s="208">
        <v>0</v>
      </c>
      <c r="Y109" s="208">
        <v>0</v>
      </c>
      <c r="Z109" s="208">
        <v>0</v>
      </c>
      <c r="AA109" s="208">
        <v>9.52</v>
      </c>
      <c r="AB109" s="208">
        <v>0</v>
      </c>
      <c r="AC109" s="237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550</v>
      </c>
      <c r="P110" s="126" t="s">
        <v>971</v>
      </c>
      <c r="Q110" s="126">
        <v>1</v>
      </c>
      <c r="S110" s="162">
        <v>46181</v>
      </c>
      <c r="T110" s="126">
        <v>19</v>
      </c>
      <c r="U110" s="208">
        <v>-1</v>
      </c>
      <c r="V110" s="208">
        <v>-1</v>
      </c>
      <c r="W110" s="208">
        <v>7.49</v>
      </c>
      <c r="X110" s="208">
        <v>0</v>
      </c>
      <c r="Y110" s="208">
        <v>0</v>
      </c>
      <c r="Z110" s="208">
        <v>0</v>
      </c>
      <c r="AA110" s="208">
        <v>7.49</v>
      </c>
      <c r="AB110" s="208">
        <v>0</v>
      </c>
      <c r="AC110" s="237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550</v>
      </c>
      <c r="P111" s="126" t="s">
        <v>971</v>
      </c>
      <c r="Q111" s="126">
        <v>1</v>
      </c>
      <c r="S111" s="162">
        <v>46181</v>
      </c>
      <c r="T111" s="126">
        <v>42</v>
      </c>
      <c r="U111" s="208">
        <v>-1</v>
      </c>
      <c r="V111" s="208">
        <v>-1</v>
      </c>
      <c r="W111" s="208">
        <v>0.24</v>
      </c>
      <c r="X111" s="208">
        <v>0</v>
      </c>
      <c r="Y111" s="208">
        <v>0</v>
      </c>
      <c r="Z111" s="208">
        <v>0</v>
      </c>
      <c r="AA111" s="208">
        <v>0.24</v>
      </c>
      <c r="AB111" s="208">
        <v>0</v>
      </c>
      <c r="AC111" s="237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550</v>
      </c>
      <c r="P112" s="126" t="s">
        <v>971</v>
      </c>
      <c r="Q112" s="126">
        <v>1</v>
      </c>
      <c r="S112" s="162">
        <v>46181</v>
      </c>
      <c r="T112" s="126">
        <v>45</v>
      </c>
      <c r="U112" s="208">
        <v>-12</v>
      </c>
      <c r="V112" s="208">
        <v>-12</v>
      </c>
      <c r="W112" s="208">
        <v>0.34</v>
      </c>
      <c r="X112" s="208">
        <v>0</v>
      </c>
      <c r="Y112" s="208">
        <v>0</v>
      </c>
      <c r="Z112" s="208">
        <v>0</v>
      </c>
      <c r="AA112" s="208">
        <v>0.34</v>
      </c>
      <c r="AB112" s="208">
        <v>0</v>
      </c>
      <c r="AC112" s="237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550</v>
      </c>
      <c r="P113" s="126" t="s">
        <v>971</v>
      </c>
      <c r="Q113" s="126">
        <v>1</v>
      </c>
      <c r="S113" s="162">
        <v>46181</v>
      </c>
      <c r="T113" s="126">
        <v>183</v>
      </c>
      <c r="U113" s="208">
        <v>-120</v>
      </c>
      <c r="V113" s="208">
        <v>-10</v>
      </c>
      <c r="W113" s="208">
        <v>4</v>
      </c>
      <c r="X113" s="208">
        <v>0</v>
      </c>
      <c r="Y113" s="208">
        <v>0</v>
      </c>
      <c r="Z113" s="208">
        <v>0</v>
      </c>
      <c r="AA113" s="208">
        <v>4</v>
      </c>
      <c r="AB113" s="208">
        <v>0</v>
      </c>
      <c r="AC113" s="237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550</v>
      </c>
      <c r="P114" s="126" t="s">
        <v>989</v>
      </c>
      <c r="Q114" s="126">
        <v>1</v>
      </c>
      <c r="S114" s="162">
        <v>46181</v>
      </c>
      <c r="T114" s="126">
        <v>16</v>
      </c>
      <c r="U114" s="208">
        <v>-8</v>
      </c>
      <c r="V114" s="208">
        <v>-8</v>
      </c>
      <c r="W114" s="208">
        <v>2.1</v>
      </c>
      <c r="X114" s="208">
        <v>0</v>
      </c>
      <c r="Y114" s="208">
        <v>0</v>
      </c>
      <c r="Z114" s="208">
        <v>0</v>
      </c>
      <c r="AA114" s="208">
        <v>2.1</v>
      </c>
      <c r="AB114" s="208">
        <v>0</v>
      </c>
      <c r="AC114" s="237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550</v>
      </c>
      <c r="P115" s="126" t="s">
        <v>989</v>
      </c>
      <c r="Q115" s="126">
        <v>1</v>
      </c>
      <c r="S115" s="162">
        <v>46181</v>
      </c>
      <c r="T115" s="126">
        <v>41</v>
      </c>
      <c r="U115" s="208">
        <v>-2</v>
      </c>
      <c r="V115" s="208">
        <v>-2</v>
      </c>
      <c r="W115" s="208">
        <v>0.53</v>
      </c>
      <c r="X115" s="208">
        <v>0</v>
      </c>
      <c r="Y115" s="208">
        <v>0</v>
      </c>
      <c r="Z115" s="208">
        <v>0</v>
      </c>
      <c r="AA115" s="208">
        <v>0.53</v>
      </c>
      <c r="AB115" s="208">
        <v>0</v>
      </c>
      <c r="AC115" s="237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550</v>
      </c>
      <c r="P116" s="126" t="s">
        <v>989</v>
      </c>
      <c r="Q116" s="126">
        <v>1</v>
      </c>
      <c r="S116" s="162">
        <v>46181</v>
      </c>
      <c r="T116" s="126">
        <v>144</v>
      </c>
      <c r="U116" s="208">
        <v>-8</v>
      </c>
      <c r="V116" s="208">
        <v>-0.16</v>
      </c>
      <c r="W116" s="208">
        <v>0.3</v>
      </c>
      <c r="X116" s="208">
        <v>0</v>
      </c>
      <c r="Y116" s="208">
        <v>0</v>
      </c>
      <c r="Z116" s="208">
        <v>0</v>
      </c>
      <c r="AA116" s="208">
        <v>0.3</v>
      </c>
      <c r="AB116" s="208">
        <v>0</v>
      </c>
      <c r="AC116" s="237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550</v>
      </c>
      <c r="P117" s="126" t="s">
        <v>989</v>
      </c>
      <c r="Q117" s="126">
        <v>1</v>
      </c>
      <c r="S117" s="162">
        <v>46181</v>
      </c>
      <c r="T117" s="126">
        <v>155</v>
      </c>
      <c r="U117" s="208">
        <v>-2</v>
      </c>
      <c r="V117" s="208">
        <v>-0.5</v>
      </c>
      <c r="W117" s="208">
        <v>14.5</v>
      </c>
      <c r="X117" s="208">
        <v>0</v>
      </c>
      <c r="Y117" s="208">
        <v>0</v>
      </c>
      <c r="Z117" s="208">
        <v>0</v>
      </c>
      <c r="AA117" s="208">
        <v>14.5</v>
      </c>
      <c r="AB117" s="208">
        <v>0</v>
      </c>
      <c r="AC117" s="237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550</v>
      </c>
      <c r="P118" s="126" t="s">
        <v>1005</v>
      </c>
      <c r="Q118" s="126">
        <v>1</v>
      </c>
      <c r="S118" s="162">
        <v>46181</v>
      </c>
      <c r="T118" s="126">
        <v>189</v>
      </c>
      <c r="U118" s="208">
        <v>-32</v>
      </c>
      <c r="V118" s="208">
        <v>-8</v>
      </c>
      <c r="W118" s="208">
        <v>4.09</v>
      </c>
      <c r="X118" s="208">
        <v>0</v>
      </c>
      <c r="Y118" s="208">
        <v>0</v>
      </c>
      <c r="Z118" s="208">
        <v>0</v>
      </c>
      <c r="AA118" s="208">
        <v>4.09</v>
      </c>
      <c r="AB118" s="208">
        <v>0</v>
      </c>
      <c r="AC118" s="237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550</v>
      </c>
      <c r="P119" s="126" t="s">
        <v>1005</v>
      </c>
      <c r="Q119" s="126">
        <v>1</v>
      </c>
      <c r="S119" s="162">
        <v>46181</v>
      </c>
      <c r="T119" s="126">
        <v>108</v>
      </c>
      <c r="U119" s="208">
        <v>-4</v>
      </c>
      <c r="V119" s="208">
        <v>-4</v>
      </c>
      <c r="W119" s="208">
        <v>2.7</v>
      </c>
      <c r="X119" s="208">
        <v>0</v>
      </c>
      <c r="Y119" s="208">
        <v>0</v>
      </c>
      <c r="Z119" s="208">
        <v>0</v>
      </c>
      <c r="AA119" s="208">
        <v>2.7</v>
      </c>
      <c r="AB119" s="208">
        <v>0</v>
      </c>
      <c r="AC119" s="237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550</v>
      </c>
      <c r="P120" s="126" t="s">
        <v>1005</v>
      </c>
      <c r="Q120" s="126">
        <v>1</v>
      </c>
      <c r="S120" s="162">
        <v>46182</v>
      </c>
      <c r="T120" s="126">
        <v>177</v>
      </c>
      <c r="U120" s="208">
        <v>-500</v>
      </c>
      <c r="V120" s="208">
        <v>-0.5</v>
      </c>
      <c r="W120" s="208">
        <v>4.1500000000000004</v>
      </c>
      <c r="X120" s="208">
        <v>0</v>
      </c>
      <c r="Y120" s="208">
        <v>0</v>
      </c>
      <c r="Z120" s="208">
        <v>0</v>
      </c>
      <c r="AA120" s="208">
        <v>4.1500000000000004</v>
      </c>
      <c r="AB120" s="208">
        <v>0</v>
      </c>
      <c r="AC120" s="237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550</v>
      </c>
      <c r="P121" s="126" t="s">
        <v>1005</v>
      </c>
      <c r="Q121" s="126">
        <v>1</v>
      </c>
      <c r="S121" s="162">
        <v>46182</v>
      </c>
      <c r="T121" s="126">
        <v>193</v>
      </c>
      <c r="U121" s="208">
        <v>-16</v>
      </c>
      <c r="V121" s="208">
        <v>-4</v>
      </c>
      <c r="W121" s="208">
        <v>3.88</v>
      </c>
      <c r="X121" s="208">
        <v>0</v>
      </c>
      <c r="Y121" s="208">
        <v>0</v>
      </c>
      <c r="Z121" s="208">
        <v>0</v>
      </c>
      <c r="AA121" s="208">
        <v>3.88</v>
      </c>
      <c r="AB121" s="208">
        <v>0</v>
      </c>
      <c r="AC121" s="237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550</v>
      </c>
      <c r="P122" s="126" t="s">
        <v>1005</v>
      </c>
      <c r="Q122" s="126">
        <v>1</v>
      </c>
      <c r="S122" s="162">
        <v>46182</v>
      </c>
      <c r="T122" s="126">
        <v>103</v>
      </c>
      <c r="U122" s="208">
        <v>-2</v>
      </c>
      <c r="V122" s="208">
        <v>-0.16666666666666666</v>
      </c>
      <c r="W122" s="208">
        <v>0.75</v>
      </c>
      <c r="X122" s="208">
        <v>0</v>
      </c>
      <c r="Y122" s="208">
        <v>0</v>
      </c>
      <c r="Z122" s="208">
        <v>0</v>
      </c>
      <c r="AA122" s="208">
        <v>0.75</v>
      </c>
      <c r="AB122" s="208">
        <v>0</v>
      </c>
      <c r="AC122" s="237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550</v>
      </c>
      <c r="P123" s="126" t="s">
        <v>1005</v>
      </c>
      <c r="Q123" s="126">
        <v>1</v>
      </c>
      <c r="S123" s="162">
        <v>46182</v>
      </c>
      <c r="T123" s="126">
        <v>167</v>
      </c>
      <c r="U123" s="208">
        <v>-2</v>
      </c>
      <c r="V123" s="208">
        <v>-2</v>
      </c>
      <c r="W123" s="208">
        <v>0.85</v>
      </c>
      <c r="X123" s="208">
        <v>0</v>
      </c>
      <c r="Y123" s="208">
        <v>0</v>
      </c>
      <c r="Z123" s="208">
        <v>0</v>
      </c>
      <c r="AA123" s="208">
        <v>0.85</v>
      </c>
      <c r="AB123" s="208">
        <v>0</v>
      </c>
      <c r="AC123" s="237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550</v>
      </c>
      <c r="P124" s="126" t="s">
        <v>1005</v>
      </c>
      <c r="Q124" s="126">
        <v>1</v>
      </c>
      <c r="S124" s="162">
        <v>46182</v>
      </c>
      <c r="T124" s="126">
        <v>184</v>
      </c>
      <c r="U124" s="208">
        <v>-24</v>
      </c>
      <c r="V124" s="208">
        <v>-2</v>
      </c>
      <c r="W124" s="208">
        <v>6</v>
      </c>
      <c r="X124" s="208">
        <v>0</v>
      </c>
      <c r="Y124" s="208">
        <v>0</v>
      </c>
      <c r="Z124" s="208">
        <v>0</v>
      </c>
      <c r="AA124" s="208">
        <v>6</v>
      </c>
      <c r="AB124" s="208">
        <v>0</v>
      </c>
      <c r="AC124" s="237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550</v>
      </c>
      <c r="P125" s="126" t="s">
        <v>1005</v>
      </c>
      <c r="Q125" s="126">
        <v>1</v>
      </c>
      <c r="S125" s="162">
        <v>46182</v>
      </c>
      <c r="T125" s="126">
        <v>63</v>
      </c>
      <c r="U125" s="208">
        <v>-1</v>
      </c>
      <c r="V125" s="208">
        <v>-1</v>
      </c>
      <c r="W125" s="208">
        <v>4.33</v>
      </c>
      <c r="X125" s="208">
        <v>0</v>
      </c>
      <c r="Y125" s="208">
        <v>0</v>
      </c>
      <c r="Z125" s="208">
        <v>0</v>
      </c>
      <c r="AA125" s="208">
        <v>4.33</v>
      </c>
      <c r="AB125" s="208">
        <v>0</v>
      </c>
      <c r="AC125" s="237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550</v>
      </c>
      <c r="P126" s="126" t="s">
        <v>1005</v>
      </c>
      <c r="Q126" s="126">
        <v>1</v>
      </c>
      <c r="S126" s="162">
        <v>46182</v>
      </c>
      <c r="T126" s="126">
        <v>182</v>
      </c>
      <c r="U126" s="208">
        <v>-24</v>
      </c>
      <c r="V126" s="208">
        <v>-2</v>
      </c>
      <c r="W126" s="208">
        <v>2</v>
      </c>
      <c r="X126" s="208">
        <v>0</v>
      </c>
      <c r="Y126" s="208">
        <v>0</v>
      </c>
      <c r="Z126" s="208">
        <v>0</v>
      </c>
      <c r="AA126" s="208">
        <v>2</v>
      </c>
      <c r="AB126" s="208">
        <v>0</v>
      </c>
      <c r="AC126" s="237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550</v>
      </c>
      <c r="P127" s="126" t="s">
        <v>1046</v>
      </c>
      <c r="Q127" s="126">
        <v>1</v>
      </c>
      <c r="S127" s="162">
        <v>46182</v>
      </c>
      <c r="T127" s="126">
        <v>187</v>
      </c>
      <c r="U127" s="208">
        <v>-8</v>
      </c>
      <c r="V127" s="208">
        <v>-2</v>
      </c>
      <c r="W127" s="208">
        <v>3.37</v>
      </c>
      <c r="X127" s="208">
        <v>0</v>
      </c>
      <c r="Y127" s="208">
        <v>0</v>
      </c>
      <c r="Z127" s="208">
        <v>0</v>
      </c>
      <c r="AA127" s="208">
        <v>3.37</v>
      </c>
      <c r="AB127" s="208">
        <v>0</v>
      </c>
      <c r="AC127" s="237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550</v>
      </c>
      <c r="P128" s="126" t="s">
        <v>1046</v>
      </c>
      <c r="Q128" s="126">
        <v>1</v>
      </c>
      <c r="S128" s="162">
        <v>46182</v>
      </c>
      <c r="T128" s="126">
        <v>193</v>
      </c>
      <c r="U128" s="208">
        <v>-4</v>
      </c>
      <c r="V128" s="208">
        <v>-1</v>
      </c>
      <c r="W128" s="208">
        <v>3.88</v>
      </c>
      <c r="X128" s="208">
        <v>0</v>
      </c>
      <c r="Y128" s="208">
        <v>0</v>
      </c>
      <c r="Z128" s="208">
        <v>0</v>
      </c>
      <c r="AA128" s="208">
        <v>3.88</v>
      </c>
      <c r="AB128" s="208">
        <v>0</v>
      </c>
      <c r="AC128" s="237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550</v>
      </c>
      <c r="P129" s="126" t="s">
        <v>1046</v>
      </c>
      <c r="Q129" s="126">
        <v>1</v>
      </c>
      <c r="S129" s="162">
        <v>46182</v>
      </c>
      <c r="T129" s="126">
        <v>195</v>
      </c>
      <c r="U129" s="208">
        <v>-4</v>
      </c>
      <c r="V129" s="208">
        <v>-1</v>
      </c>
      <c r="W129" s="208">
        <v>6.28</v>
      </c>
      <c r="X129" s="208">
        <v>0</v>
      </c>
      <c r="Y129" s="208">
        <v>0</v>
      </c>
      <c r="Z129" s="208">
        <v>0</v>
      </c>
      <c r="AA129" s="208">
        <v>6.28</v>
      </c>
      <c r="AB129" s="208">
        <v>0</v>
      </c>
      <c r="AC129" s="237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550</v>
      </c>
      <c r="P130" s="126" t="s">
        <v>1046</v>
      </c>
      <c r="Q130" s="126">
        <v>1</v>
      </c>
      <c r="S130" s="162">
        <v>46182</v>
      </c>
      <c r="T130" s="126">
        <v>177</v>
      </c>
      <c r="U130" s="208">
        <v>-700</v>
      </c>
      <c r="V130" s="208">
        <v>-0.7</v>
      </c>
      <c r="W130" s="208">
        <v>4.1500000000000004</v>
      </c>
      <c r="X130" s="208">
        <v>0</v>
      </c>
      <c r="Y130" s="208">
        <v>0</v>
      </c>
      <c r="Z130" s="208">
        <v>0</v>
      </c>
      <c r="AA130" s="208">
        <v>4.1500000000000004</v>
      </c>
      <c r="AB130" s="208">
        <v>0</v>
      </c>
      <c r="AC130" s="237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550</v>
      </c>
      <c r="P131" s="126" t="s">
        <v>1046</v>
      </c>
      <c r="Q131" s="126">
        <v>1</v>
      </c>
      <c r="S131" s="162">
        <v>46182</v>
      </c>
      <c r="T131" s="126">
        <v>22</v>
      </c>
      <c r="U131" s="208">
        <v>-1</v>
      </c>
      <c r="V131" s="208">
        <v>-1</v>
      </c>
      <c r="W131" s="208">
        <v>2.9</v>
      </c>
      <c r="X131" s="208">
        <v>0</v>
      </c>
      <c r="Y131" s="208">
        <v>0</v>
      </c>
      <c r="Z131" s="208">
        <v>0</v>
      </c>
      <c r="AA131" s="208">
        <v>2.9</v>
      </c>
      <c r="AB131" s="208">
        <v>0</v>
      </c>
      <c r="AC131" s="237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550</v>
      </c>
      <c r="P132" s="126" t="s">
        <v>1064</v>
      </c>
      <c r="Q132" s="126">
        <v>1</v>
      </c>
      <c r="S132" s="162">
        <v>46183</v>
      </c>
      <c r="T132" s="126">
        <v>177</v>
      </c>
      <c r="U132" s="208">
        <v>-500</v>
      </c>
      <c r="V132" s="208">
        <v>-0.5</v>
      </c>
      <c r="W132" s="208">
        <v>4.1500000000000004</v>
      </c>
      <c r="X132" s="208">
        <v>0</v>
      </c>
      <c r="Y132" s="208">
        <v>0</v>
      </c>
      <c r="Z132" s="208">
        <v>0</v>
      </c>
      <c r="AA132" s="208">
        <v>4.1500000000000004</v>
      </c>
      <c r="AB132" s="208">
        <v>0</v>
      </c>
      <c r="AC132" s="237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550</v>
      </c>
      <c r="P133" s="126" t="s">
        <v>1064</v>
      </c>
      <c r="Q133" s="126">
        <v>1</v>
      </c>
      <c r="S133" s="162">
        <v>46183</v>
      </c>
      <c r="T133" s="126">
        <v>178</v>
      </c>
      <c r="U133" s="208">
        <v>-300</v>
      </c>
      <c r="V133" s="208">
        <v>-0.3</v>
      </c>
      <c r="W133" s="208">
        <v>4.75</v>
      </c>
      <c r="X133" s="208">
        <v>0</v>
      </c>
      <c r="Y133" s="208">
        <v>0</v>
      </c>
      <c r="Z133" s="208">
        <v>0</v>
      </c>
      <c r="AA133" s="208">
        <v>4.75</v>
      </c>
      <c r="AB133" s="208">
        <v>0</v>
      </c>
      <c r="AC133" s="237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550</v>
      </c>
      <c r="P134" s="126" t="s">
        <v>1072</v>
      </c>
      <c r="Q134" s="126">
        <v>1</v>
      </c>
      <c r="S134" s="162">
        <v>46183</v>
      </c>
      <c r="T134" s="126">
        <v>183</v>
      </c>
      <c r="U134" s="208">
        <v>-24</v>
      </c>
      <c r="V134" s="208">
        <v>-2</v>
      </c>
      <c r="W134" s="208">
        <v>4</v>
      </c>
      <c r="X134" s="208">
        <v>0</v>
      </c>
      <c r="Y134" s="208">
        <v>0</v>
      </c>
      <c r="Z134" s="208">
        <v>0</v>
      </c>
      <c r="AA134" s="208">
        <v>4</v>
      </c>
      <c r="AB134" s="208">
        <v>0</v>
      </c>
      <c r="AC134" s="237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550</v>
      </c>
      <c r="P135" s="126" t="s">
        <v>1072</v>
      </c>
      <c r="Q135" s="126">
        <v>1</v>
      </c>
      <c r="S135" s="162">
        <v>46183</v>
      </c>
      <c r="T135" s="126">
        <v>184</v>
      </c>
      <c r="U135" s="208">
        <v>-36</v>
      </c>
      <c r="V135" s="208">
        <v>-3</v>
      </c>
      <c r="W135" s="208">
        <v>6</v>
      </c>
      <c r="X135" s="208">
        <v>0</v>
      </c>
      <c r="Y135" s="208">
        <v>0</v>
      </c>
      <c r="Z135" s="208">
        <v>0</v>
      </c>
      <c r="AA135" s="208">
        <v>6</v>
      </c>
      <c r="AB135" s="208">
        <v>0</v>
      </c>
      <c r="AC135" s="237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550</v>
      </c>
      <c r="P136" s="126" t="s">
        <v>1080</v>
      </c>
      <c r="Q136" s="126">
        <v>1</v>
      </c>
      <c r="S136" s="162">
        <v>46183</v>
      </c>
      <c r="T136" s="126">
        <v>19</v>
      </c>
      <c r="U136" s="208">
        <v>-2</v>
      </c>
      <c r="V136" s="208">
        <v>-2</v>
      </c>
      <c r="W136" s="208">
        <v>7.49</v>
      </c>
      <c r="X136" s="208">
        <v>0</v>
      </c>
      <c r="Y136" s="208">
        <v>0</v>
      </c>
      <c r="Z136" s="208">
        <v>0</v>
      </c>
      <c r="AA136" s="208">
        <v>7.49</v>
      </c>
      <c r="AB136" s="208">
        <v>0</v>
      </c>
      <c r="AC136" s="237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550</v>
      </c>
      <c r="P137" s="126" t="s">
        <v>1080</v>
      </c>
      <c r="Q137" s="126">
        <v>1</v>
      </c>
      <c r="S137" s="162">
        <v>46183</v>
      </c>
      <c r="T137" s="126">
        <v>14</v>
      </c>
      <c r="U137" s="208">
        <v>-1</v>
      </c>
      <c r="V137" s="208">
        <v>-1</v>
      </c>
      <c r="W137" s="208">
        <v>3.3</v>
      </c>
      <c r="X137" s="208">
        <v>0</v>
      </c>
      <c r="Y137" s="208">
        <v>0</v>
      </c>
      <c r="Z137" s="208">
        <v>0</v>
      </c>
      <c r="AA137" s="208">
        <v>3.3</v>
      </c>
      <c r="AB137" s="208">
        <v>0</v>
      </c>
      <c r="AC137" s="237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550</v>
      </c>
      <c r="P138" s="126" t="s">
        <v>1080</v>
      </c>
      <c r="Q138" s="126">
        <v>1</v>
      </c>
      <c r="S138" s="162">
        <v>46183</v>
      </c>
      <c r="T138" s="126">
        <v>184</v>
      </c>
      <c r="U138" s="208">
        <v>-84</v>
      </c>
      <c r="V138" s="208">
        <v>-7</v>
      </c>
      <c r="W138" s="208">
        <v>6</v>
      </c>
      <c r="X138" s="208">
        <v>0</v>
      </c>
      <c r="Y138" s="208">
        <v>0</v>
      </c>
      <c r="Z138" s="208">
        <v>0</v>
      </c>
      <c r="AA138" s="208">
        <v>6</v>
      </c>
      <c r="AB138" s="208">
        <v>0</v>
      </c>
      <c r="AC138" s="237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550</v>
      </c>
      <c r="P139" s="126" t="s">
        <v>1093</v>
      </c>
      <c r="Q139" s="126">
        <v>1</v>
      </c>
      <c r="S139" s="162">
        <v>46184</v>
      </c>
      <c r="T139" s="126">
        <v>178</v>
      </c>
      <c r="U139" s="208">
        <v>-200</v>
      </c>
      <c r="V139" s="208">
        <v>-0.2</v>
      </c>
      <c r="W139" s="208">
        <v>4.75</v>
      </c>
      <c r="X139" s="208">
        <v>0</v>
      </c>
      <c r="Y139" s="208">
        <v>0</v>
      </c>
      <c r="Z139" s="208">
        <v>0</v>
      </c>
      <c r="AA139" s="208">
        <v>4.75</v>
      </c>
      <c r="AB139" s="208">
        <v>0</v>
      </c>
      <c r="AC139" s="237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550</v>
      </c>
      <c r="P140" s="126" t="s">
        <v>1093</v>
      </c>
      <c r="Q140" s="126">
        <v>1</v>
      </c>
      <c r="S140" s="162">
        <v>46184</v>
      </c>
      <c r="T140" s="126">
        <v>17</v>
      </c>
      <c r="U140" s="208">
        <v>-3</v>
      </c>
      <c r="V140" s="208">
        <v>-3</v>
      </c>
      <c r="W140" s="208">
        <v>1.63</v>
      </c>
      <c r="X140" s="208">
        <v>0</v>
      </c>
      <c r="Y140" s="208">
        <v>0</v>
      </c>
      <c r="Z140" s="208">
        <v>0</v>
      </c>
      <c r="AA140" s="208">
        <v>1.63</v>
      </c>
      <c r="AB140" s="208">
        <v>0</v>
      </c>
      <c r="AC140" s="237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550</v>
      </c>
      <c r="P141" s="126" t="s">
        <v>1093</v>
      </c>
      <c r="Q141" s="126">
        <v>1</v>
      </c>
      <c r="S141" s="162">
        <v>46184</v>
      </c>
      <c r="T141" s="126">
        <v>70</v>
      </c>
      <c r="U141" s="208">
        <v>-1</v>
      </c>
      <c r="V141" s="208">
        <v>-1</v>
      </c>
      <c r="W141" s="208">
        <v>0.15</v>
      </c>
      <c r="X141" s="208">
        <v>0</v>
      </c>
      <c r="Y141" s="208">
        <v>0</v>
      </c>
      <c r="Z141" s="208">
        <v>0</v>
      </c>
      <c r="AA141" s="208">
        <v>0.15</v>
      </c>
      <c r="AB141" s="208">
        <v>0</v>
      </c>
      <c r="AC141" s="237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550</v>
      </c>
      <c r="P142" s="126" t="s">
        <v>1093</v>
      </c>
      <c r="Q142" s="126">
        <v>1</v>
      </c>
      <c r="S142" s="162">
        <v>46184</v>
      </c>
      <c r="T142" s="126">
        <v>181</v>
      </c>
      <c r="U142" s="208">
        <v>-36</v>
      </c>
      <c r="V142" s="208">
        <v>-3</v>
      </c>
      <c r="W142" s="208">
        <v>1</v>
      </c>
      <c r="X142" s="208">
        <v>0</v>
      </c>
      <c r="Y142" s="208">
        <v>0</v>
      </c>
      <c r="Z142" s="208">
        <v>0</v>
      </c>
      <c r="AA142" s="208">
        <v>1</v>
      </c>
      <c r="AB142" s="208">
        <v>0</v>
      </c>
      <c r="AC142" s="237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550</v>
      </c>
      <c r="P143" s="126" t="s">
        <v>1107</v>
      </c>
      <c r="Q143" s="126">
        <v>1</v>
      </c>
      <c r="S143" s="162">
        <v>46184</v>
      </c>
      <c r="T143" s="126">
        <v>40</v>
      </c>
      <c r="U143" s="208">
        <v>-2</v>
      </c>
      <c r="V143" s="208">
        <v>-2</v>
      </c>
      <c r="W143" s="208">
        <v>0.23</v>
      </c>
      <c r="X143" s="208">
        <v>0</v>
      </c>
      <c r="Y143" s="208">
        <v>0</v>
      </c>
      <c r="Z143" s="208">
        <v>0</v>
      </c>
      <c r="AA143" s="208">
        <v>0.23</v>
      </c>
      <c r="AB143" s="208">
        <v>0</v>
      </c>
      <c r="AC143" s="237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550</v>
      </c>
      <c r="P144" s="126" t="s">
        <v>1107</v>
      </c>
      <c r="Q144" s="126">
        <v>1</v>
      </c>
      <c r="S144" s="162">
        <v>46184</v>
      </c>
      <c r="T144" s="126">
        <v>38</v>
      </c>
      <c r="U144" s="208">
        <v>-2</v>
      </c>
      <c r="V144" s="208">
        <v>-2</v>
      </c>
      <c r="W144" s="208">
        <v>0.28999999999999998</v>
      </c>
      <c r="X144" s="208">
        <v>0</v>
      </c>
      <c r="Y144" s="208">
        <v>0</v>
      </c>
      <c r="Z144" s="208">
        <v>0</v>
      </c>
      <c r="AA144" s="208">
        <v>0.28999999999999998</v>
      </c>
      <c r="AB144" s="208">
        <v>0</v>
      </c>
      <c r="AC144" s="237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550</v>
      </c>
      <c r="P145" s="126" t="s">
        <v>1107</v>
      </c>
      <c r="Q145" s="126">
        <v>1</v>
      </c>
      <c r="S145" s="162">
        <v>46184</v>
      </c>
      <c r="T145" s="126">
        <v>5</v>
      </c>
      <c r="U145" s="208">
        <v>-1</v>
      </c>
      <c r="V145" s="208">
        <v>-1</v>
      </c>
      <c r="W145" s="208">
        <v>3.74</v>
      </c>
      <c r="X145" s="208">
        <v>0</v>
      </c>
      <c r="Y145" s="208">
        <v>0</v>
      </c>
      <c r="Z145" s="208">
        <v>0</v>
      </c>
      <c r="AA145" s="208">
        <v>3.74</v>
      </c>
      <c r="AB145" s="208">
        <v>0</v>
      </c>
      <c r="AC145" s="237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550</v>
      </c>
      <c r="P146" s="126" t="s">
        <v>1107</v>
      </c>
      <c r="Q146" s="126">
        <v>1</v>
      </c>
      <c r="S146" s="162">
        <v>46184</v>
      </c>
      <c r="T146" s="126">
        <v>182</v>
      </c>
      <c r="U146" s="208">
        <v>-36</v>
      </c>
      <c r="V146" s="208">
        <v>-3</v>
      </c>
      <c r="W146" s="208">
        <v>2</v>
      </c>
      <c r="X146" s="208">
        <v>0</v>
      </c>
      <c r="Y146" s="208">
        <v>0</v>
      </c>
      <c r="Z146" s="208">
        <v>0</v>
      </c>
      <c r="AA146" s="208">
        <v>2</v>
      </c>
      <c r="AB146" s="208">
        <v>0</v>
      </c>
      <c r="AC146" s="237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550</v>
      </c>
      <c r="P147" s="126" t="s">
        <v>1107</v>
      </c>
      <c r="Q147" s="126">
        <v>1</v>
      </c>
      <c r="S147" s="162">
        <v>46184</v>
      </c>
      <c r="T147" s="126">
        <v>8</v>
      </c>
      <c r="U147" s="208">
        <v>-1</v>
      </c>
      <c r="V147" s="208">
        <v>-1</v>
      </c>
      <c r="W147" s="208">
        <v>1.32</v>
      </c>
      <c r="X147" s="208">
        <v>0</v>
      </c>
      <c r="Y147" s="208">
        <v>0</v>
      </c>
      <c r="Z147" s="208">
        <v>0</v>
      </c>
      <c r="AA147" s="208">
        <v>1.32</v>
      </c>
      <c r="AB147" s="208">
        <v>0</v>
      </c>
      <c r="AC147" s="237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550</v>
      </c>
      <c r="P148" s="126" t="s">
        <v>1107</v>
      </c>
      <c r="Q148" s="126">
        <v>1</v>
      </c>
      <c r="S148" s="162">
        <v>46184</v>
      </c>
      <c r="T148" s="126">
        <v>26</v>
      </c>
      <c r="U148" s="208">
        <v>-1</v>
      </c>
      <c r="V148" s="208">
        <v>-1</v>
      </c>
      <c r="W148" s="208">
        <v>3.01</v>
      </c>
      <c r="X148" s="208">
        <v>0</v>
      </c>
      <c r="Y148" s="208">
        <v>0</v>
      </c>
      <c r="Z148" s="208">
        <v>0</v>
      </c>
      <c r="AA148" s="208">
        <v>3.01</v>
      </c>
      <c r="AB148" s="208">
        <v>0</v>
      </c>
      <c r="AC148" s="237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550</v>
      </c>
      <c r="P149" s="126" t="s">
        <v>1107</v>
      </c>
      <c r="Q149" s="126">
        <v>1</v>
      </c>
      <c r="S149" s="162">
        <v>46184</v>
      </c>
      <c r="T149" s="126">
        <v>76</v>
      </c>
      <c r="U149" s="208">
        <v>-5</v>
      </c>
      <c r="V149" s="208">
        <v>-5</v>
      </c>
      <c r="W149" s="208">
        <v>1.35</v>
      </c>
      <c r="X149" s="208">
        <v>0</v>
      </c>
      <c r="Y149" s="208">
        <v>0</v>
      </c>
      <c r="Z149" s="208">
        <v>0</v>
      </c>
      <c r="AA149" s="208">
        <v>1.35</v>
      </c>
      <c r="AB149" s="208">
        <v>0</v>
      </c>
      <c r="AC149" s="237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550</v>
      </c>
      <c r="P150" s="126" t="s">
        <v>1107</v>
      </c>
      <c r="Q150" s="126">
        <v>1</v>
      </c>
      <c r="S150" s="162">
        <v>46184</v>
      </c>
      <c r="T150" s="126">
        <v>90</v>
      </c>
      <c r="U150" s="208">
        <v>-4</v>
      </c>
      <c r="V150" s="208">
        <v>-0.04</v>
      </c>
      <c r="W150" s="208">
        <v>0.18</v>
      </c>
      <c r="X150" s="208">
        <v>0</v>
      </c>
      <c r="Y150" s="208">
        <v>0</v>
      </c>
      <c r="Z150" s="208">
        <v>0</v>
      </c>
      <c r="AA150" s="208">
        <v>0.18</v>
      </c>
      <c r="AB150" s="208">
        <v>0</v>
      </c>
      <c r="AC150" s="237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550</v>
      </c>
      <c r="P151" s="126" t="s">
        <v>1107</v>
      </c>
      <c r="Q151" s="126">
        <v>1</v>
      </c>
      <c r="S151" s="162">
        <v>46184</v>
      </c>
      <c r="T151" s="126">
        <v>39</v>
      </c>
      <c r="U151" s="208">
        <v>-3</v>
      </c>
      <c r="V151" s="208">
        <v>-3</v>
      </c>
      <c r="W151" s="208">
        <v>0.28999999999999998</v>
      </c>
      <c r="X151" s="208">
        <v>0</v>
      </c>
      <c r="Y151" s="208">
        <v>0</v>
      </c>
      <c r="Z151" s="208">
        <v>0</v>
      </c>
      <c r="AA151" s="208">
        <v>0.28999999999999998</v>
      </c>
      <c r="AB151" s="208">
        <v>0</v>
      </c>
      <c r="AC151" s="237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550</v>
      </c>
      <c r="P152" s="126" t="s">
        <v>1107</v>
      </c>
      <c r="Q152" s="126">
        <v>1</v>
      </c>
      <c r="S152" s="162">
        <v>46184</v>
      </c>
      <c r="T152" s="126">
        <v>42</v>
      </c>
      <c r="U152" s="208">
        <v>-3</v>
      </c>
      <c r="V152" s="208">
        <v>-3</v>
      </c>
      <c r="W152" s="208">
        <v>0.24</v>
      </c>
      <c r="X152" s="208">
        <v>0</v>
      </c>
      <c r="Y152" s="208">
        <v>0</v>
      </c>
      <c r="Z152" s="208">
        <v>0</v>
      </c>
      <c r="AA152" s="208">
        <v>0.24</v>
      </c>
      <c r="AB152" s="208">
        <v>0</v>
      </c>
      <c r="AC152" s="237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550</v>
      </c>
      <c r="P153" s="126" t="s">
        <v>1107</v>
      </c>
      <c r="Q153" s="126">
        <v>1</v>
      </c>
      <c r="S153" s="162">
        <v>46184</v>
      </c>
      <c r="T153" s="126">
        <v>169</v>
      </c>
      <c r="U153" s="208">
        <v>-15</v>
      </c>
      <c r="V153" s="208">
        <v>-15</v>
      </c>
      <c r="W153" s="208">
        <v>0.5</v>
      </c>
      <c r="X153" s="208">
        <v>0</v>
      </c>
      <c r="Y153" s="208">
        <v>0</v>
      </c>
      <c r="Z153" s="208">
        <v>0</v>
      </c>
      <c r="AA153" s="208">
        <v>0.5</v>
      </c>
      <c r="AB153" s="208">
        <v>0</v>
      </c>
      <c r="AC153" s="237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550</v>
      </c>
      <c r="P154" s="126" t="s">
        <v>1107</v>
      </c>
      <c r="Q154" s="126">
        <v>1</v>
      </c>
      <c r="S154" s="162">
        <v>46184</v>
      </c>
      <c r="T154" s="126">
        <v>131</v>
      </c>
      <c r="U154" s="208">
        <v>-1</v>
      </c>
      <c r="V154" s="208">
        <v>-1</v>
      </c>
      <c r="W154" s="208">
        <v>0.7</v>
      </c>
      <c r="X154" s="208">
        <v>0</v>
      </c>
      <c r="Y154" s="208">
        <v>0</v>
      </c>
      <c r="Z154" s="208">
        <v>0</v>
      </c>
      <c r="AA154" s="208">
        <v>0.7</v>
      </c>
      <c r="AB154" s="208">
        <v>0</v>
      </c>
      <c r="AC154" s="237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550</v>
      </c>
      <c r="P155" s="126" t="s">
        <v>1161</v>
      </c>
      <c r="Q155" s="126">
        <v>1</v>
      </c>
      <c r="S155" s="162">
        <v>46184</v>
      </c>
      <c r="T155" s="126">
        <v>177</v>
      </c>
      <c r="U155" s="208">
        <v>-250</v>
      </c>
      <c r="V155" s="208">
        <v>-0.25</v>
      </c>
      <c r="W155" s="208">
        <v>4.1500000000000004</v>
      </c>
      <c r="X155" s="208">
        <v>0</v>
      </c>
      <c r="Y155" s="208">
        <v>0</v>
      </c>
      <c r="Z155" s="208">
        <v>0</v>
      </c>
      <c r="AA155" s="208">
        <v>4.1500000000000004</v>
      </c>
      <c r="AB155" s="208">
        <v>0</v>
      </c>
      <c r="AC155" s="237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550</v>
      </c>
      <c r="P156" s="126" t="s">
        <v>1166</v>
      </c>
      <c r="Q156" s="126">
        <v>1</v>
      </c>
      <c r="S156" s="162">
        <v>46184</v>
      </c>
      <c r="T156" s="126">
        <v>197</v>
      </c>
      <c r="U156" s="208">
        <v>-8</v>
      </c>
      <c r="V156" s="208">
        <v>-2</v>
      </c>
      <c r="W156" s="208">
        <v>8.36</v>
      </c>
      <c r="X156" s="208">
        <v>0</v>
      </c>
      <c r="Y156" s="208">
        <v>0</v>
      </c>
      <c r="Z156" s="208">
        <v>0</v>
      </c>
      <c r="AA156" s="208">
        <v>8.36</v>
      </c>
      <c r="AB156" s="208">
        <v>0</v>
      </c>
      <c r="AC156" s="237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550</v>
      </c>
      <c r="P157" s="126" t="s">
        <v>1166</v>
      </c>
      <c r="Q157" s="126">
        <v>1</v>
      </c>
      <c r="S157" s="162">
        <v>46184</v>
      </c>
      <c r="T157" s="126">
        <v>198</v>
      </c>
      <c r="U157" s="208">
        <v>-16</v>
      </c>
      <c r="V157" s="208">
        <v>-4</v>
      </c>
      <c r="W157" s="208">
        <v>9.48</v>
      </c>
      <c r="X157" s="208">
        <v>0</v>
      </c>
      <c r="Y157" s="208">
        <v>0</v>
      </c>
      <c r="Z157" s="208">
        <v>0</v>
      </c>
      <c r="AA157" s="208">
        <v>9.48</v>
      </c>
      <c r="AB157" s="208">
        <v>0</v>
      </c>
      <c r="AC157" s="237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550</v>
      </c>
      <c r="P158" s="126" t="s">
        <v>1166</v>
      </c>
      <c r="Q158" s="126">
        <v>1</v>
      </c>
      <c r="S158" s="162">
        <v>46184</v>
      </c>
      <c r="T158" s="126">
        <v>178</v>
      </c>
      <c r="U158" s="208">
        <v>-300</v>
      </c>
      <c r="V158" s="208">
        <v>-0.3</v>
      </c>
      <c r="W158" s="208">
        <v>4.75</v>
      </c>
      <c r="X158" s="208">
        <v>0</v>
      </c>
      <c r="Y158" s="208">
        <v>0</v>
      </c>
      <c r="Z158" s="208">
        <v>0</v>
      </c>
      <c r="AA158" s="208">
        <v>4.75</v>
      </c>
      <c r="AB158" s="208">
        <v>0</v>
      </c>
      <c r="AC158" s="237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550</v>
      </c>
      <c r="P159" s="126" t="s">
        <v>1180</v>
      </c>
      <c r="Q159" s="126">
        <v>1</v>
      </c>
      <c r="S159" s="162">
        <v>46185</v>
      </c>
      <c r="T159" s="126">
        <v>2</v>
      </c>
      <c r="U159" s="208">
        <v>-2</v>
      </c>
      <c r="V159" s="208">
        <v>-2</v>
      </c>
      <c r="W159" s="208">
        <v>11.32</v>
      </c>
      <c r="X159" s="208">
        <v>0</v>
      </c>
      <c r="Y159" s="208">
        <v>0</v>
      </c>
      <c r="Z159" s="208">
        <v>0</v>
      </c>
      <c r="AA159" s="208">
        <v>11.32</v>
      </c>
      <c r="AB159" s="208">
        <v>0</v>
      </c>
      <c r="AC159" s="237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550</v>
      </c>
      <c r="P160" s="126" t="s">
        <v>1180</v>
      </c>
      <c r="Q160" s="126">
        <v>1</v>
      </c>
      <c r="S160" s="162">
        <v>46185</v>
      </c>
      <c r="T160" s="126">
        <v>7</v>
      </c>
      <c r="U160" s="208">
        <v>-6</v>
      </c>
      <c r="V160" s="208">
        <v>-6</v>
      </c>
      <c r="W160" s="208">
        <v>1.79</v>
      </c>
      <c r="X160" s="208">
        <v>0</v>
      </c>
      <c r="Y160" s="208">
        <v>0</v>
      </c>
      <c r="Z160" s="208">
        <v>0</v>
      </c>
      <c r="AA160" s="208">
        <v>1.79</v>
      </c>
      <c r="AB160" s="208">
        <v>0</v>
      </c>
      <c r="AC160" s="237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550</v>
      </c>
      <c r="P161" s="126" t="s">
        <v>1180</v>
      </c>
      <c r="Q161" s="126">
        <v>1</v>
      </c>
      <c r="S161" s="162">
        <v>46185</v>
      </c>
      <c r="T161" s="126">
        <v>30</v>
      </c>
      <c r="U161" s="208">
        <v>-3</v>
      </c>
      <c r="V161" s="208">
        <v>-3</v>
      </c>
      <c r="W161" s="208">
        <v>1.49</v>
      </c>
      <c r="X161" s="208">
        <v>0</v>
      </c>
      <c r="Y161" s="208">
        <v>0</v>
      </c>
      <c r="Z161" s="208">
        <v>0</v>
      </c>
      <c r="AA161" s="208">
        <v>1.49</v>
      </c>
      <c r="AB161" s="208">
        <v>0</v>
      </c>
      <c r="AC161" s="237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550</v>
      </c>
      <c r="P162" s="126" t="s">
        <v>1180</v>
      </c>
      <c r="Q162" s="126">
        <v>1</v>
      </c>
      <c r="S162" s="162">
        <v>46185</v>
      </c>
      <c r="T162" s="126">
        <v>34</v>
      </c>
      <c r="U162" s="208">
        <v>-2</v>
      </c>
      <c r="V162" s="208">
        <v>-2</v>
      </c>
      <c r="W162" s="208">
        <v>0.5</v>
      </c>
      <c r="X162" s="208">
        <v>0</v>
      </c>
      <c r="Y162" s="208">
        <v>0</v>
      </c>
      <c r="Z162" s="208">
        <v>0</v>
      </c>
      <c r="AA162" s="208">
        <v>0.5</v>
      </c>
      <c r="AB162" s="208">
        <v>0</v>
      </c>
      <c r="AC162" s="237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550</v>
      </c>
      <c r="P163" s="126" t="s">
        <v>1180</v>
      </c>
      <c r="Q163" s="126">
        <v>1</v>
      </c>
      <c r="S163" s="162">
        <v>46185</v>
      </c>
      <c r="T163" s="126">
        <v>33</v>
      </c>
      <c r="U163" s="208">
        <v>-1</v>
      </c>
      <c r="V163" s="208">
        <v>-1</v>
      </c>
      <c r="W163" s="208">
        <v>1.75</v>
      </c>
      <c r="X163" s="208">
        <v>0</v>
      </c>
      <c r="Y163" s="208">
        <v>0</v>
      </c>
      <c r="Z163" s="208">
        <v>0</v>
      </c>
      <c r="AA163" s="208">
        <v>1.75</v>
      </c>
      <c r="AB163" s="208">
        <v>0</v>
      </c>
      <c r="AC163" s="237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550</v>
      </c>
      <c r="P164" s="126" t="s">
        <v>1180</v>
      </c>
      <c r="Q164" s="126">
        <v>1</v>
      </c>
      <c r="S164" s="162">
        <v>46185</v>
      </c>
      <c r="T164" s="126">
        <v>56</v>
      </c>
      <c r="U164" s="208">
        <v>-1</v>
      </c>
      <c r="V164" s="208">
        <v>-1</v>
      </c>
      <c r="W164" s="208">
        <v>0.55000000000000004</v>
      </c>
      <c r="X164" s="208">
        <v>0</v>
      </c>
      <c r="Y164" s="208">
        <v>0</v>
      </c>
      <c r="Z164" s="208">
        <v>0</v>
      </c>
      <c r="AA164" s="208">
        <v>0.55000000000000004</v>
      </c>
      <c r="AB164" s="208">
        <v>0</v>
      </c>
      <c r="AC164" s="237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550</v>
      </c>
      <c r="P165" s="126" t="s">
        <v>1180</v>
      </c>
      <c r="Q165" s="126">
        <v>1</v>
      </c>
      <c r="S165" s="162">
        <v>46185</v>
      </c>
      <c r="T165" s="126">
        <v>108</v>
      </c>
      <c r="U165" s="208">
        <v>-1</v>
      </c>
      <c r="V165" s="208">
        <v>-1</v>
      </c>
      <c r="W165" s="208">
        <v>2.7</v>
      </c>
      <c r="X165" s="208">
        <v>0</v>
      </c>
      <c r="Y165" s="208">
        <v>0</v>
      </c>
      <c r="Z165" s="208">
        <v>0</v>
      </c>
      <c r="AA165" s="208">
        <v>2.7</v>
      </c>
      <c r="AB165" s="208">
        <v>0</v>
      </c>
      <c r="AC165" s="237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550</v>
      </c>
      <c r="P166" s="126" t="s">
        <v>1180</v>
      </c>
      <c r="Q166" s="126">
        <v>1</v>
      </c>
      <c r="S166" s="162">
        <v>46185</v>
      </c>
      <c r="T166" s="126">
        <v>53</v>
      </c>
      <c r="U166" s="208">
        <v>-1</v>
      </c>
      <c r="V166" s="208">
        <v>-1</v>
      </c>
      <c r="W166" s="208">
        <v>0.95</v>
      </c>
      <c r="X166" s="208">
        <v>0</v>
      </c>
      <c r="Y166" s="208">
        <v>0</v>
      </c>
      <c r="Z166" s="208">
        <v>0</v>
      </c>
      <c r="AA166" s="208">
        <v>0.95</v>
      </c>
      <c r="AB166" s="208">
        <v>0</v>
      </c>
      <c r="AC166" s="237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550</v>
      </c>
      <c r="P167" s="126" t="s">
        <v>1180</v>
      </c>
      <c r="Q167" s="126">
        <v>1</v>
      </c>
      <c r="S167" s="162">
        <v>46185</v>
      </c>
      <c r="T167" s="126">
        <v>66</v>
      </c>
      <c r="U167" s="208">
        <v>-1</v>
      </c>
      <c r="V167" s="208">
        <v>-1</v>
      </c>
      <c r="W167" s="208">
        <v>0.41</v>
      </c>
      <c r="X167" s="208">
        <v>0</v>
      </c>
      <c r="Y167" s="208">
        <v>0</v>
      </c>
      <c r="Z167" s="208">
        <v>0</v>
      </c>
      <c r="AA167" s="208">
        <v>0.41</v>
      </c>
      <c r="AB167" s="208">
        <v>0</v>
      </c>
      <c r="AC167" s="237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550</v>
      </c>
      <c r="P168" s="126" t="s">
        <v>1180</v>
      </c>
      <c r="Q168" s="126">
        <v>1</v>
      </c>
      <c r="S168" s="162">
        <v>46185</v>
      </c>
      <c r="T168" s="126">
        <v>64</v>
      </c>
      <c r="U168" s="208">
        <v>-1</v>
      </c>
      <c r="V168" s="208">
        <v>-1</v>
      </c>
      <c r="W168" s="208">
        <v>1.9</v>
      </c>
      <c r="X168" s="208">
        <v>0</v>
      </c>
      <c r="Y168" s="208">
        <v>0</v>
      </c>
      <c r="Z168" s="208">
        <v>0</v>
      </c>
      <c r="AA168" s="208">
        <v>1.9</v>
      </c>
      <c r="AB168" s="208">
        <v>0</v>
      </c>
      <c r="AC168" s="237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550</v>
      </c>
      <c r="P169" s="126" t="s">
        <v>1180</v>
      </c>
      <c r="Q169" s="126">
        <v>1</v>
      </c>
      <c r="S169" s="162">
        <v>46185</v>
      </c>
      <c r="T169" s="126">
        <v>46</v>
      </c>
      <c r="U169" s="208">
        <v>-7</v>
      </c>
      <c r="V169" s="208">
        <v>-7</v>
      </c>
      <c r="W169" s="208">
        <v>0.15</v>
      </c>
      <c r="X169" s="208">
        <v>0</v>
      </c>
      <c r="Y169" s="208">
        <v>0</v>
      </c>
      <c r="Z169" s="208">
        <v>0</v>
      </c>
      <c r="AA169" s="208">
        <v>0.15</v>
      </c>
      <c r="AB169" s="208">
        <v>0</v>
      </c>
      <c r="AC169" s="237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550</v>
      </c>
      <c r="P170" s="126" t="s">
        <v>1180</v>
      </c>
      <c r="Q170" s="126">
        <v>1</v>
      </c>
      <c r="S170" s="162">
        <v>46185</v>
      </c>
      <c r="T170" s="126">
        <v>44</v>
      </c>
      <c r="U170" s="208">
        <v>-2</v>
      </c>
      <c r="V170" s="208">
        <v>-2</v>
      </c>
      <c r="W170" s="208">
        <v>0.22</v>
      </c>
      <c r="X170" s="208">
        <v>0</v>
      </c>
      <c r="Y170" s="208">
        <v>0</v>
      </c>
      <c r="Z170" s="208">
        <v>0</v>
      </c>
      <c r="AA170" s="208">
        <v>0.22</v>
      </c>
      <c r="AB170" s="208">
        <v>0</v>
      </c>
      <c r="AC170" s="237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550</v>
      </c>
      <c r="P171" s="126" t="s">
        <v>1180</v>
      </c>
      <c r="Q171" s="126">
        <v>1</v>
      </c>
      <c r="S171" s="162">
        <v>46185</v>
      </c>
      <c r="T171" s="126">
        <v>69</v>
      </c>
      <c r="U171" s="208">
        <v>-2</v>
      </c>
      <c r="V171" s="208">
        <v>-2</v>
      </c>
      <c r="W171" s="208">
        <v>0.25</v>
      </c>
      <c r="X171" s="208">
        <v>0</v>
      </c>
      <c r="Y171" s="208">
        <v>0</v>
      </c>
      <c r="Z171" s="208">
        <v>0</v>
      </c>
      <c r="AA171" s="208">
        <v>0.25</v>
      </c>
      <c r="AB171" s="208">
        <v>0</v>
      </c>
      <c r="AC171" s="237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550</v>
      </c>
      <c r="P172" s="126" t="s">
        <v>1180</v>
      </c>
      <c r="Q172" s="126">
        <v>1</v>
      </c>
      <c r="S172" s="162">
        <v>46185</v>
      </c>
      <c r="T172" s="126">
        <v>70</v>
      </c>
      <c r="U172" s="208">
        <v>-1</v>
      </c>
      <c r="V172" s="208">
        <v>-1</v>
      </c>
      <c r="W172" s="208">
        <v>0.15</v>
      </c>
      <c r="X172" s="208">
        <v>0</v>
      </c>
      <c r="Y172" s="208">
        <v>0</v>
      </c>
      <c r="Z172" s="208">
        <v>0</v>
      </c>
      <c r="AA172" s="208">
        <v>0.15</v>
      </c>
      <c r="AB172" s="208">
        <v>0</v>
      </c>
      <c r="AC172" s="237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550</v>
      </c>
      <c r="P173" s="126" t="s">
        <v>1180</v>
      </c>
      <c r="Q173" s="126">
        <v>1</v>
      </c>
      <c r="S173" s="162">
        <v>46185</v>
      </c>
      <c r="T173" s="126">
        <v>68</v>
      </c>
      <c r="U173" s="208">
        <v>-1</v>
      </c>
      <c r="V173" s="208">
        <v>-1</v>
      </c>
      <c r="W173" s="208">
        <v>0.53</v>
      </c>
      <c r="X173" s="208">
        <v>0</v>
      </c>
      <c r="Y173" s="208">
        <v>0</v>
      </c>
      <c r="Z173" s="208">
        <v>0</v>
      </c>
      <c r="AA173" s="208">
        <v>0.53</v>
      </c>
      <c r="AB173" s="208">
        <v>0</v>
      </c>
      <c r="AC173" s="237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550</v>
      </c>
      <c r="P174" s="126" t="s">
        <v>1180</v>
      </c>
      <c r="Q174" s="126">
        <v>1</v>
      </c>
      <c r="S174" s="162">
        <v>46185</v>
      </c>
      <c r="T174" s="126">
        <v>156</v>
      </c>
      <c r="U174" s="208">
        <v>-1</v>
      </c>
      <c r="V174" s="208">
        <v>-8.3333333333333329E-2</v>
      </c>
      <c r="W174" s="208">
        <v>4.41</v>
      </c>
      <c r="X174" s="208">
        <v>0</v>
      </c>
      <c r="Y174" s="208">
        <v>0</v>
      </c>
      <c r="Z174" s="208">
        <v>0</v>
      </c>
      <c r="AA174" s="208">
        <v>4.41</v>
      </c>
      <c r="AB174" s="208">
        <v>0</v>
      </c>
      <c r="AC174" s="237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550</v>
      </c>
      <c r="P175" s="126" t="s">
        <v>1251</v>
      </c>
      <c r="Q175" s="126">
        <v>1</v>
      </c>
      <c r="S175" s="162">
        <v>46185</v>
      </c>
      <c r="T175" s="126">
        <v>177</v>
      </c>
      <c r="U175" s="208">
        <v>-500</v>
      </c>
      <c r="V175" s="208">
        <v>-0.5</v>
      </c>
      <c r="W175" s="208">
        <v>4.1500000000000004</v>
      </c>
      <c r="X175" s="208">
        <v>0</v>
      </c>
      <c r="Y175" s="208">
        <v>0</v>
      </c>
      <c r="Z175" s="208">
        <v>0</v>
      </c>
      <c r="AA175" s="208">
        <v>4.1500000000000004</v>
      </c>
      <c r="AB175" s="208">
        <v>0</v>
      </c>
      <c r="AC175" s="237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550</v>
      </c>
      <c r="P176" s="126" t="s">
        <v>1256</v>
      </c>
      <c r="Q176" s="126">
        <v>1</v>
      </c>
      <c r="S176" s="162">
        <v>46185</v>
      </c>
      <c r="T176" s="126">
        <v>179</v>
      </c>
      <c r="U176" s="208">
        <v>-1000</v>
      </c>
      <c r="V176" s="208">
        <v>-1</v>
      </c>
      <c r="W176" s="208">
        <v>95</v>
      </c>
      <c r="X176" s="208">
        <v>0</v>
      </c>
      <c r="Y176" s="208">
        <v>0</v>
      </c>
      <c r="Z176" s="208">
        <v>0</v>
      </c>
      <c r="AA176" s="208">
        <v>95</v>
      </c>
      <c r="AB176" s="208">
        <v>0</v>
      </c>
      <c r="AC176" s="237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550</v>
      </c>
      <c r="P177" s="126" t="s">
        <v>1262</v>
      </c>
      <c r="Q177" s="126">
        <v>1</v>
      </c>
      <c r="S177" s="162">
        <v>46186</v>
      </c>
      <c r="T177" s="126">
        <v>177</v>
      </c>
      <c r="U177" s="208">
        <v>-250</v>
      </c>
      <c r="V177" s="208">
        <v>-0.25</v>
      </c>
      <c r="W177" s="208">
        <v>4.1500000000000004</v>
      </c>
      <c r="X177" s="208">
        <v>0</v>
      </c>
      <c r="Y177" s="208">
        <v>0</v>
      </c>
      <c r="Z177" s="208">
        <v>0</v>
      </c>
      <c r="AA177" s="208">
        <v>4.1500000000000004</v>
      </c>
      <c r="AB177" s="208">
        <v>0</v>
      </c>
      <c r="AC177" s="237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550</v>
      </c>
      <c r="P178" s="126" t="s">
        <v>1262</v>
      </c>
      <c r="Q178" s="126">
        <v>1</v>
      </c>
      <c r="S178" s="162">
        <v>46186</v>
      </c>
      <c r="T178" s="126">
        <v>191</v>
      </c>
      <c r="U178" s="208">
        <v>-20</v>
      </c>
      <c r="V178" s="208">
        <v>-5</v>
      </c>
      <c r="W178" s="208">
        <v>4.92</v>
      </c>
      <c r="X178" s="208">
        <v>0</v>
      </c>
      <c r="Y178" s="208">
        <v>0</v>
      </c>
      <c r="Z178" s="208">
        <v>0</v>
      </c>
      <c r="AA178" s="208">
        <v>4.92</v>
      </c>
      <c r="AB178" s="208">
        <v>0</v>
      </c>
      <c r="AC178" s="237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550</v>
      </c>
      <c r="P179" s="126" t="s">
        <v>1270</v>
      </c>
      <c r="Q179" s="126">
        <v>1</v>
      </c>
      <c r="S179" s="162">
        <v>46186</v>
      </c>
      <c r="T179" s="126">
        <v>41</v>
      </c>
      <c r="U179" s="208">
        <v>-2</v>
      </c>
      <c r="V179" s="208">
        <v>-2</v>
      </c>
      <c r="W179" s="208">
        <v>0.53</v>
      </c>
      <c r="X179" s="208">
        <v>0</v>
      </c>
      <c r="Y179" s="208">
        <v>0</v>
      </c>
      <c r="Z179" s="208">
        <v>0</v>
      </c>
      <c r="AA179" s="208">
        <v>0.53</v>
      </c>
      <c r="AB179" s="208">
        <v>0</v>
      </c>
      <c r="AC179" s="237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550</v>
      </c>
      <c r="P180" s="126" t="s">
        <v>1270</v>
      </c>
      <c r="Q180" s="126">
        <v>1</v>
      </c>
      <c r="S180" s="162">
        <v>46186</v>
      </c>
      <c r="T180" s="126">
        <v>8</v>
      </c>
      <c r="U180" s="208">
        <v>-2</v>
      </c>
      <c r="V180" s="208">
        <v>-2</v>
      </c>
      <c r="W180" s="208">
        <v>1.32</v>
      </c>
      <c r="X180" s="208">
        <v>0</v>
      </c>
      <c r="Y180" s="208">
        <v>0</v>
      </c>
      <c r="Z180" s="208">
        <v>0</v>
      </c>
      <c r="AA180" s="208">
        <v>1.32</v>
      </c>
      <c r="AB180" s="208">
        <v>0</v>
      </c>
      <c r="AC180" s="237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550</v>
      </c>
      <c r="P181" s="126" t="s">
        <v>1270</v>
      </c>
      <c r="Q181" s="126">
        <v>1</v>
      </c>
      <c r="S181" s="162">
        <v>46186</v>
      </c>
      <c r="T181" s="126">
        <v>45</v>
      </c>
      <c r="U181" s="208">
        <v>-3</v>
      </c>
      <c r="V181" s="208">
        <v>-3</v>
      </c>
      <c r="W181" s="208">
        <v>0.34</v>
      </c>
      <c r="X181" s="208">
        <v>0</v>
      </c>
      <c r="Y181" s="208">
        <v>0</v>
      </c>
      <c r="Z181" s="208">
        <v>0</v>
      </c>
      <c r="AA181" s="208">
        <v>0.34</v>
      </c>
      <c r="AB181" s="208">
        <v>0</v>
      </c>
      <c r="AC181" s="237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550</v>
      </c>
      <c r="P182" s="126" t="s">
        <v>1270</v>
      </c>
      <c r="Q182" s="126">
        <v>1</v>
      </c>
      <c r="S182" s="162">
        <v>46186</v>
      </c>
      <c r="T182" s="126">
        <v>42</v>
      </c>
      <c r="U182" s="208">
        <v>-2</v>
      </c>
      <c r="V182" s="208">
        <v>-2</v>
      </c>
      <c r="W182" s="208">
        <v>0.24</v>
      </c>
      <c r="X182" s="208">
        <v>0</v>
      </c>
      <c r="Y182" s="208">
        <v>0</v>
      </c>
      <c r="Z182" s="208">
        <v>0</v>
      </c>
      <c r="AA182" s="208">
        <v>0.24</v>
      </c>
      <c r="AB182" s="208">
        <v>0</v>
      </c>
      <c r="AC182" s="237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550</v>
      </c>
      <c r="P183" s="126" t="s">
        <v>1270</v>
      </c>
      <c r="Q183" s="126">
        <v>1</v>
      </c>
      <c r="S183" s="162">
        <v>46186</v>
      </c>
      <c r="T183" s="126">
        <v>56</v>
      </c>
      <c r="U183" s="208">
        <v>-1</v>
      </c>
      <c r="V183" s="208">
        <v>-1</v>
      </c>
      <c r="W183" s="208">
        <v>0.55000000000000004</v>
      </c>
      <c r="X183" s="208">
        <v>0</v>
      </c>
      <c r="Y183" s="208">
        <v>0</v>
      </c>
      <c r="Z183" s="208">
        <v>0</v>
      </c>
      <c r="AA183" s="208">
        <v>0.55000000000000004</v>
      </c>
      <c r="AB183" s="208">
        <v>0</v>
      </c>
      <c r="AC183" s="237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550</v>
      </c>
      <c r="P184" s="126" t="s">
        <v>1270</v>
      </c>
      <c r="Q184" s="126">
        <v>1</v>
      </c>
      <c r="S184" s="162">
        <v>46186</v>
      </c>
      <c r="T184" s="126">
        <v>68</v>
      </c>
      <c r="U184" s="208">
        <v>-2</v>
      </c>
      <c r="V184" s="208">
        <v>-2</v>
      </c>
      <c r="W184" s="208">
        <v>0.53</v>
      </c>
      <c r="X184" s="208">
        <v>0</v>
      </c>
      <c r="Y184" s="208">
        <v>0</v>
      </c>
      <c r="Z184" s="208">
        <v>0</v>
      </c>
      <c r="AA184" s="208">
        <v>0.53</v>
      </c>
      <c r="AB184" s="208">
        <v>0</v>
      </c>
      <c r="AC184" s="237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550</v>
      </c>
      <c r="P185" s="126" t="s">
        <v>1270</v>
      </c>
      <c r="Q185" s="126">
        <v>1</v>
      </c>
      <c r="S185" s="162">
        <v>46186</v>
      </c>
      <c r="T185" s="126">
        <v>49</v>
      </c>
      <c r="U185" s="208">
        <v>-1</v>
      </c>
      <c r="V185" s="208">
        <v>-1</v>
      </c>
      <c r="W185" s="208">
        <v>0.28000000000000003</v>
      </c>
      <c r="X185" s="208">
        <v>0</v>
      </c>
      <c r="Y185" s="208">
        <v>0</v>
      </c>
      <c r="Z185" s="208">
        <v>0</v>
      </c>
      <c r="AA185" s="208">
        <v>0.28000000000000003</v>
      </c>
      <c r="AB185" s="208">
        <v>0</v>
      </c>
      <c r="AC185" s="237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550</v>
      </c>
      <c r="P186" s="126" t="s">
        <v>1270</v>
      </c>
      <c r="Q186" s="126">
        <v>1</v>
      </c>
      <c r="S186" s="162">
        <v>46186</v>
      </c>
      <c r="T186" s="126">
        <v>69</v>
      </c>
      <c r="U186" s="208">
        <v>-1</v>
      </c>
      <c r="V186" s="208">
        <v>-1</v>
      </c>
      <c r="W186" s="208">
        <v>0.25</v>
      </c>
      <c r="X186" s="208">
        <v>0</v>
      </c>
      <c r="Y186" s="208">
        <v>0</v>
      </c>
      <c r="Z186" s="208">
        <v>0</v>
      </c>
      <c r="AA186" s="208">
        <v>0.25</v>
      </c>
      <c r="AB186" s="208">
        <v>0</v>
      </c>
      <c r="AC186" s="237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550</v>
      </c>
      <c r="P187" s="126" t="s">
        <v>1270</v>
      </c>
      <c r="Q187" s="126">
        <v>1</v>
      </c>
      <c r="S187" s="162">
        <v>46186</v>
      </c>
      <c r="T187" s="126">
        <v>25</v>
      </c>
      <c r="U187" s="208">
        <v>-1</v>
      </c>
      <c r="V187" s="208">
        <v>-1</v>
      </c>
      <c r="W187" s="208">
        <v>1.51</v>
      </c>
      <c r="X187" s="208">
        <v>0</v>
      </c>
      <c r="Y187" s="208">
        <v>0</v>
      </c>
      <c r="Z187" s="208">
        <v>0</v>
      </c>
      <c r="AA187" s="208">
        <v>1.51</v>
      </c>
      <c r="AB187" s="208">
        <v>0</v>
      </c>
      <c r="AC187" s="237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550</v>
      </c>
      <c r="P188" s="126" t="s">
        <v>1270</v>
      </c>
      <c r="Q188" s="126">
        <v>1</v>
      </c>
      <c r="S188" s="162">
        <v>46186</v>
      </c>
      <c r="T188" s="126">
        <v>7</v>
      </c>
      <c r="U188" s="208">
        <v>-1</v>
      </c>
      <c r="V188" s="208">
        <v>-1</v>
      </c>
      <c r="W188" s="208">
        <v>1.79</v>
      </c>
      <c r="X188" s="208">
        <v>0</v>
      </c>
      <c r="Y188" s="208">
        <v>0</v>
      </c>
      <c r="Z188" s="208">
        <v>0</v>
      </c>
      <c r="AA188" s="208">
        <v>1.79</v>
      </c>
      <c r="AB188" s="208">
        <v>0</v>
      </c>
      <c r="AC188" s="237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550</v>
      </c>
      <c r="P189" s="126" t="s">
        <v>1270</v>
      </c>
      <c r="Q189" s="126">
        <v>1</v>
      </c>
      <c r="S189" s="162">
        <v>46186</v>
      </c>
      <c r="T189" s="126">
        <v>73</v>
      </c>
      <c r="U189" s="208">
        <v>-1</v>
      </c>
      <c r="V189" s="208">
        <v>-1</v>
      </c>
      <c r="W189" s="208">
        <v>0.34</v>
      </c>
      <c r="X189" s="208">
        <v>0</v>
      </c>
      <c r="Y189" s="208">
        <v>0</v>
      </c>
      <c r="Z189" s="208">
        <v>0</v>
      </c>
      <c r="AA189" s="208">
        <v>0.34</v>
      </c>
      <c r="AB189" s="208">
        <v>0</v>
      </c>
      <c r="AC189" s="237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550</v>
      </c>
      <c r="P190" s="126" t="s">
        <v>1270</v>
      </c>
      <c r="Q190" s="126">
        <v>1</v>
      </c>
      <c r="S190" s="162">
        <v>46186</v>
      </c>
      <c r="T190" s="126">
        <v>108</v>
      </c>
      <c r="U190" s="208">
        <v>-1</v>
      </c>
      <c r="V190" s="208">
        <v>-1</v>
      </c>
      <c r="W190" s="208">
        <v>2.7</v>
      </c>
      <c r="X190" s="208">
        <v>0</v>
      </c>
      <c r="Y190" s="208">
        <v>0</v>
      </c>
      <c r="Z190" s="208">
        <v>0</v>
      </c>
      <c r="AA190" s="208">
        <v>2.7</v>
      </c>
      <c r="AB190" s="208">
        <v>0</v>
      </c>
      <c r="AC190" s="237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550</v>
      </c>
      <c r="P191" s="126" t="s">
        <v>1312</v>
      </c>
      <c r="Q191" s="126">
        <v>1</v>
      </c>
      <c r="S191" s="162">
        <v>46186</v>
      </c>
      <c r="T191" s="126">
        <v>92</v>
      </c>
      <c r="U191" s="208">
        <v>-20</v>
      </c>
      <c r="V191" s="208">
        <v>-20</v>
      </c>
      <c r="W191" s="208">
        <v>0.78</v>
      </c>
      <c r="X191" s="208">
        <v>0</v>
      </c>
      <c r="Y191" s="208">
        <v>0</v>
      </c>
      <c r="Z191" s="208">
        <v>0</v>
      </c>
      <c r="AA191" s="208">
        <v>0.78</v>
      </c>
      <c r="AB191" s="208">
        <v>0</v>
      </c>
      <c r="AC191" s="237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550</v>
      </c>
      <c r="P192" s="126" t="s">
        <v>1312</v>
      </c>
      <c r="Q192" s="126">
        <v>1</v>
      </c>
      <c r="S192" s="162">
        <v>46186</v>
      </c>
      <c r="T192" s="126">
        <v>50</v>
      </c>
      <c r="U192" s="208">
        <v>-30</v>
      </c>
      <c r="V192" s="208">
        <v>-30</v>
      </c>
      <c r="W192" s="208">
        <v>0.12</v>
      </c>
      <c r="X192" s="208">
        <v>0</v>
      </c>
      <c r="Y192" s="208">
        <v>0</v>
      </c>
      <c r="Z192" s="208">
        <v>0</v>
      </c>
      <c r="AA192" s="208">
        <v>0.12</v>
      </c>
      <c r="AB192" s="208">
        <v>0</v>
      </c>
      <c r="AC192" s="237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550</v>
      </c>
      <c r="P193" s="126" t="s">
        <v>1312</v>
      </c>
      <c r="Q193" s="126">
        <v>1</v>
      </c>
      <c r="S193" s="162">
        <v>46186</v>
      </c>
      <c r="T193" s="126">
        <v>101</v>
      </c>
      <c r="U193" s="208">
        <v>-20</v>
      </c>
      <c r="V193" s="208">
        <v>-4.4444444444444444E-3</v>
      </c>
      <c r="W193" s="208">
        <v>0</v>
      </c>
      <c r="X193" s="208">
        <v>0</v>
      </c>
      <c r="Y193" s="208">
        <v>0</v>
      </c>
      <c r="Z193" s="208">
        <v>0</v>
      </c>
      <c r="AA193" s="208">
        <v>0</v>
      </c>
      <c r="AB193" s="208">
        <v>0</v>
      </c>
      <c r="AC193" s="237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550</v>
      </c>
      <c r="P194" s="126" t="s">
        <v>1312</v>
      </c>
      <c r="Q194" s="126">
        <v>1</v>
      </c>
      <c r="S194" s="162">
        <v>46186</v>
      </c>
      <c r="T194" s="126">
        <v>94</v>
      </c>
      <c r="U194" s="208">
        <v>-40</v>
      </c>
      <c r="V194" s="208">
        <v>-0.22222222222222221</v>
      </c>
      <c r="W194" s="208">
        <v>0.1</v>
      </c>
      <c r="X194" s="208">
        <v>0</v>
      </c>
      <c r="Y194" s="208">
        <v>0</v>
      </c>
      <c r="Z194" s="208">
        <v>0</v>
      </c>
      <c r="AA194" s="208">
        <v>0.1</v>
      </c>
      <c r="AB194" s="208">
        <v>0</v>
      </c>
      <c r="AC194" s="237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550</v>
      </c>
      <c r="P195" s="126" t="s">
        <v>1330</v>
      </c>
      <c r="Q195" s="126">
        <v>1</v>
      </c>
      <c r="S195" s="162">
        <v>46187</v>
      </c>
      <c r="T195" s="126">
        <v>177</v>
      </c>
      <c r="U195" s="208">
        <v>-750</v>
      </c>
      <c r="V195" s="208">
        <v>-0.75</v>
      </c>
      <c r="W195" s="208">
        <v>4.1500000000000004</v>
      </c>
      <c r="X195" s="208">
        <v>0</v>
      </c>
      <c r="Y195" s="208">
        <v>0</v>
      </c>
      <c r="Z195" s="208">
        <v>0</v>
      </c>
      <c r="AA195" s="208">
        <v>4.1500000000000004</v>
      </c>
      <c r="AB195" s="208">
        <v>0</v>
      </c>
      <c r="AC195" s="237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550</v>
      </c>
      <c r="P196" s="126" t="s">
        <v>1335</v>
      </c>
      <c r="Q196" s="126">
        <v>1</v>
      </c>
      <c r="S196" s="162">
        <v>46187</v>
      </c>
      <c r="T196" s="126">
        <v>177</v>
      </c>
      <c r="U196" s="208">
        <v>-500</v>
      </c>
      <c r="V196" s="208">
        <v>-0.5</v>
      </c>
      <c r="W196" s="208">
        <v>4.1500000000000004</v>
      </c>
      <c r="X196" s="208">
        <v>0</v>
      </c>
      <c r="Y196" s="208">
        <v>0</v>
      </c>
      <c r="Z196" s="208">
        <v>0</v>
      </c>
      <c r="AA196" s="208">
        <v>4.1500000000000004</v>
      </c>
      <c r="AB196" s="208">
        <v>0</v>
      </c>
      <c r="AC196" s="237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550</v>
      </c>
      <c r="P197" s="126" t="s">
        <v>1335</v>
      </c>
      <c r="Q197" s="126">
        <v>1</v>
      </c>
      <c r="S197" s="162">
        <v>46187</v>
      </c>
      <c r="T197" s="126">
        <v>51</v>
      </c>
      <c r="U197" s="208">
        <v>-3</v>
      </c>
      <c r="V197" s="208">
        <v>-3</v>
      </c>
      <c r="W197" s="208">
        <v>4.49</v>
      </c>
      <c r="X197" s="208">
        <v>0</v>
      </c>
      <c r="Y197" s="208">
        <v>0</v>
      </c>
      <c r="Z197" s="208">
        <v>0</v>
      </c>
      <c r="AA197" s="208">
        <v>4.49</v>
      </c>
      <c r="AB197" s="208">
        <v>0</v>
      </c>
      <c r="AC197" s="237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550</v>
      </c>
      <c r="P198" s="126" t="s">
        <v>1335</v>
      </c>
      <c r="Q198" s="126">
        <v>1</v>
      </c>
      <c r="S198" s="162">
        <v>46187</v>
      </c>
      <c r="T198" s="126">
        <v>184</v>
      </c>
      <c r="U198" s="208">
        <v>-120</v>
      </c>
      <c r="V198" s="208">
        <v>-10</v>
      </c>
      <c r="W198" s="208">
        <v>6</v>
      </c>
      <c r="X198" s="208">
        <v>0</v>
      </c>
      <c r="Y198" s="208">
        <v>0</v>
      </c>
      <c r="Z198" s="208">
        <v>0</v>
      </c>
      <c r="AA198" s="208">
        <v>6</v>
      </c>
      <c r="AB198" s="208">
        <v>0</v>
      </c>
      <c r="AC198" s="237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550</v>
      </c>
      <c r="P199" s="126" t="s">
        <v>1349</v>
      </c>
      <c r="Q199" s="126">
        <v>1</v>
      </c>
      <c r="S199" s="162">
        <v>46188</v>
      </c>
      <c r="T199" s="126">
        <v>177</v>
      </c>
      <c r="U199" s="208">
        <v>-400</v>
      </c>
      <c r="V199" s="208">
        <v>-0.4</v>
      </c>
      <c r="W199" s="208">
        <v>4.1500000000000004</v>
      </c>
      <c r="X199" s="208">
        <v>0</v>
      </c>
      <c r="Y199" s="208">
        <v>0</v>
      </c>
      <c r="Z199" s="208">
        <v>0</v>
      </c>
      <c r="AA199" s="208">
        <v>4.1500000000000004</v>
      </c>
      <c r="AB199" s="208">
        <v>0</v>
      </c>
      <c r="AC199" s="237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550</v>
      </c>
      <c r="P200" s="126" t="s">
        <v>1349</v>
      </c>
      <c r="Q200" s="126">
        <v>1</v>
      </c>
      <c r="S200" s="162">
        <v>46188</v>
      </c>
      <c r="T200" s="126">
        <v>179</v>
      </c>
      <c r="U200" s="208">
        <v>-150</v>
      </c>
      <c r="V200" s="208">
        <v>-0.15</v>
      </c>
      <c r="W200" s="208">
        <v>4.75</v>
      </c>
      <c r="X200" s="208">
        <v>0</v>
      </c>
      <c r="Y200" s="208">
        <v>0</v>
      </c>
      <c r="Z200" s="208">
        <v>0</v>
      </c>
      <c r="AA200" s="208">
        <v>4.75</v>
      </c>
      <c r="AB200" s="208">
        <v>0</v>
      </c>
      <c r="AC200" s="237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550</v>
      </c>
      <c r="P201" s="126" t="s">
        <v>1357</v>
      </c>
      <c r="Q201" s="126">
        <v>1</v>
      </c>
      <c r="S201" s="162">
        <v>46188</v>
      </c>
      <c r="T201" s="126">
        <v>69</v>
      </c>
      <c r="U201" s="208">
        <v>-4</v>
      </c>
      <c r="V201" s="208">
        <v>-4</v>
      </c>
      <c r="W201" s="208">
        <v>0.25</v>
      </c>
      <c r="X201" s="208">
        <v>0</v>
      </c>
      <c r="Y201" s="208">
        <v>0</v>
      </c>
      <c r="Z201" s="208">
        <v>0</v>
      </c>
      <c r="AA201" s="208">
        <v>0.25</v>
      </c>
      <c r="AB201" s="208">
        <v>0</v>
      </c>
      <c r="AC201" s="237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550</v>
      </c>
      <c r="P202" s="126" t="s">
        <v>1357</v>
      </c>
      <c r="Q202" s="126">
        <v>1</v>
      </c>
      <c r="S202" s="162">
        <v>46188</v>
      </c>
      <c r="T202" s="126">
        <v>181</v>
      </c>
      <c r="U202" s="208">
        <v>-12</v>
      </c>
      <c r="V202" s="208">
        <v>-1</v>
      </c>
      <c r="W202" s="208">
        <v>1</v>
      </c>
      <c r="X202" s="208">
        <v>0</v>
      </c>
      <c r="Y202" s="208">
        <v>0</v>
      </c>
      <c r="Z202" s="208">
        <v>0</v>
      </c>
      <c r="AA202" s="208">
        <v>1</v>
      </c>
      <c r="AB202" s="208">
        <v>0</v>
      </c>
      <c r="AC202" s="237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550</v>
      </c>
      <c r="P203" s="126" t="s">
        <v>1357</v>
      </c>
      <c r="Q203" s="126">
        <v>1</v>
      </c>
      <c r="S203" s="162">
        <v>46188</v>
      </c>
      <c r="T203" s="126">
        <v>42</v>
      </c>
      <c r="U203" s="208">
        <v>-4</v>
      </c>
      <c r="V203" s="208">
        <v>-4</v>
      </c>
      <c r="W203" s="208">
        <v>0.24</v>
      </c>
      <c r="X203" s="208">
        <v>0</v>
      </c>
      <c r="Y203" s="208">
        <v>0</v>
      </c>
      <c r="Z203" s="208">
        <v>0</v>
      </c>
      <c r="AA203" s="208">
        <v>0.24</v>
      </c>
      <c r="AB203" s="208">
        <v>0</v>
      </c>
      <c r="AC203" s="237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550</v>
      </c>
      <c r="P204" s="126" t="s">
        <v>1357</v>
      </c>
      <c r="Q204" s="126">
        <v>1</v>
      </c>
      <c r="S204" s="162">
        <v>46188</v>
      </c>
      <c r="T204" s="126">
        <v>74</v>
      </c>
      <c r="U204" s="208">
        <v>-2</v>
      </c>
      <c r="V204" s="208">
        <v>-2</v>
      </c>
      <c r="W204" s="208">
        <v>0.19</v>
      </c>
      <c r="X204" s="208">
        <v>0</v>
      </c>
      <c r="Y204" s="208">
        <v>0</v>
      </c>
      <c r="Z204" s="208">
        <v>0</v>
      </c>
      <c r="AA204" s="208">
        <v>0.19</v>
      </c>
      <c r="AB204" s="208">
        <v>0</v>
      </c>
      <c r="AC204" s="237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550</v>
      </c>
      <c r="P205" s="126" t="s">
        <v>1357</v>
      </c>
      <c r="Q205" s="126">
        <v>1</v>
      </c>
      <c r="S205" s="162">
        <v>46188</v>
      </c>
      <c r="T205" s="126">
        <v>44</v>
      </c>
      <c r="U205" s="208">
        <v>-2</v>
      </c>
      <c r="V205" s="208">
        <v>-2</v>
      </c>
      <c r="W205" s="208">
        <v>0.22</v>
      </c>
      <c r="X205" s="208">
        <v>0</v>
      </c>
      <c r="Y205" s="208">
        <v>0</v>
      </c>
      <c r="Z205" s="208">
        <v>0</v>
      </c>
      <c r="AA205" s="208">
        <v>0.22</v>
      </c>
      <c r="AB205" s="208">
        <v>0</v>
      </c>
      <c r="AC205" s="237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550</v>
      </c>
      <c r="P206" s="126" t="s">
        <v>1357</v>
      </c>
      <c r="Q206" s="126">
        <v>1</v>
      </c>
      <c r="S206" s="162">
        <v>46188</v>
      </c>
      <c r="T206" s="126">
        <v>46</v>
      </c>
      <c r="U206" s="208">
        <v>-4</v>
      </c>
      <c r="V206" s="208">
        <v>-4</v>
      </c>
      <c r="W206" s="208">
        <v>0.15</v>
      </c>
      <c r="X206" s="208">
        <v>0</v>
      </c>
      <c r="Y206" s="208">
        <v>0</v>
      </c>
      <c r="Z206" s="208">
        <v>0</v>
      </c>
      <c r="AA206" s="208">
        <v>0.15</v>
      </c>
      <c r="AB206" s="208">
        <v>0</v>
      </c>
      <c r="AC206" s="237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550</v>
      </c>
      <c r="P207" s="126" t="s">
        <v>1357</v>
      </c>
      <c r="Q207" s="126">
        <v>1</v>
      </c>
      <c r="S207" s="162">
        <v>46188</v>
      </c>
      <c r="T207" s="126">
        <v>103</v>
      </c>
      <c r="U207" s="208">
        <v>-1</v>
      </c>
      <c r="V207" s="208">
        <v>-8.3333333333333329E-2</v>
      </c>
      <c r="W207" s="208">
        <v>0.75</v>
      </c>
      <c r="X207" s="208">
        <v>0</v>
      </c>
      <c r="Y207" s="208">
        <v>0</v>
      </c>
      <c r="Z207" s="208">
        <v>0</v>
      </c>
      <c r="AA207" s="208">
        <v>0.75</v>
      </c>
      <c r="AB207" s="208">
        <v>0</v>
      </c>
      <c r="AC207" s="237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550</v>
      </c>
      <c r="P208" s="126" t="s">
        <v>1357</v>
      </c>
      <c r="Q208" s="126">
        <v>1</v>
      </c>
      <c r="S208" s="162">
        <v>46188</v>
      </c>
      <c r="T208" s="126">
        <v>75</v>
      </c>
      <c r="U208" s="208">
        <v>-1</v>
      </c>
      <c r="V208" s="208">
        <v>-1</v>
      </c>
      <c r="W208" s="208">
        <v>0.13</v>
      </c>
      <c r="X208" s="208">
        <v>0</v>
      </c>
      <c r="Y208" s="208">
        <v>0</v>
      </c>
      <c r="Z208" s="208">
        <v>0</v>
      </c>
      <c r="AA208" s="208">
        <v>0.13</v>
      </c>
      <c r="AB208" s="208">
        <v>0</v>
      </c>
      <c r="AC208" s="237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550</v>
      </c>
      <c r="P209" s="126" t="s">
        <v>1357</v>
      </c>
      <c r="Q209" s="126">
        <v>1</v>
      </c>
      <c r="S209" s="162">
        <v>46188</v>
      </c>
      <c r="T209" s="126">
        <v>68</v>
      </c>
      <c r="U209" s="208">
        <v>-1</v>
      </c>
      <c r="V209" s="208">
        <v>-1</v>
      </c>
      <c r="W209" s="208">
        <v>0.53</v>
      </c>
      <c r="X209" s="208">
        <v>0</v>
      </c>
      <c r="Y209" s="208">
        <v>0</v>
      </c>
      <c r="Z209" s="208">
        <v>0</v>
      </c>
      <c r="AA209" s="208">
        <v>0.53</v>
      </c>
      <c r="AB209" s="208">
        <v>0</v>
      </c>
      <c r="AC209" s="237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550</v>
      </c>
      <c r="P210" s="126" t="s">
        <v>1390</v>
      </c>
      <c r="Q210" s="126">
        <v>1</v>
      </c>
      <c r="S210" s="162">
        <v>46188</v>
      </c>
      <c r="T210" s="126">
        <v>177</v>
      </c>
      <c r="U210" s="208">
        <v>-250</v>
      </c>
      <c r="V210" s="208">
        <v>-0.25</v>
      </c>
      <c r="W210" s="208">
        <v>4.1500000000000004</v>
      </c>
      <c r="X210" s="208">
        <v>0</v>
      </c>
      <c r="Y210" s="208">
        <v>0</v>
      </c>
      <c r="Z210" s="208">
        <v>0</v>
      </c>
      <c r="AA210" s="208">
        <v>4.1500000000000004</v>
      </c>
      <c r="AB210" s="208">
        <v>0</v>
      </c>
      <c r="AC210" s="237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550</v>
      </c>
      <c r="P211" s="126" t="s">
        <v>1390</v>
      </c>
      <c r="Q211" s="126">
        <v>1</v>
      </c>
      <c r="S211" s="162">
        <v>46188</v>
      </c>
      <c r="T211" s="126">
        <v>179</v>
      </c>
      <c r="U211" s="208">
        <v>-300</v>
      </c>
      <c r="V211" s="208">
        <v>-0.3</v>
      </c>
      <c r="W211" s="208">
        <v>4.75</v>
      </c>
      <c r="X211" s="208">
        <v>0</v>
      </c>
      <c r="Y211" s="208">
        <v>0</v>
      </c>
      <c r="Z211" s="208">
        <v>0</v>
      </c>
      <c r="AA211" s="208">
        <v>4.75</v>
      </c>
      <c r="AB211" s="208">
        <v>0</v>
      </c>
      <c r="AC211" s="237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550</v>
      </c>
      <c r="P212" s="126" t="s">
        <v>1398</v>
      </c>
      <c r="Q212" s="126">
        <v>1</v>
      </c>
      <c r="S212" s="162">
        <v>46188</v>
      </c>
      <c r="T212" s="126">
        <v>179</v>
      </c>
      <c r="U212" s="208">
        <v>-300</v>
      </c>
      <c r="V212" s="208">
        <v>-0.3</v>
      </c>
      <c r="W212" s="208">
        <v>4.75</v>
      </c>
      <c r="X212" s="208">
        <v>0</v>
      </c>
      <c r="Y212" s="208">
        <v>0</v>
      </c>
      <c r="Z212" s="208">
        <v>0</v>
      </c>
      <c r="AA212" s="208">
        <v>4.75</v>
      </c>
      <c r="AB212" s="208">
        <v>0</v>
      </c>
      <c r="AC212" s="237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550</v>
      </c>
      <c r="P213" s="126" t="s">
        <v>1398</v>
      </c>
      <c r="Q213" s="126">
        <v>1</v>
      </c>
      <c r="S213" s="162">
        <v>46188</v>
      </c>
      <c r="T213" s="126">
        <v>177</v>
      </c>
      <c r="U213" s="208">
        <v>-150</v>
      </c>
      <c r="V213" s="208">
        <v>-0.15</v>
      </c>
      <c r="W213" s="208">
        <v>4.1500000000000004</v>
      </c>
      <c r="X213" s="208">
        <v>0</v>
      </c>
      <c r="Y213" s="208">
        <v>0</v>
      </c>
      <c r="Z213" s="208">
        <v>0</v>
      </c>
      <c r="AA213" s="208">
        <v>4.1500000000000004</v>
      </c>
      <c r="AB213" s="208">
        <v>0</v>
      </c>
      <c r="AC213" s="237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550</v>
      </c>
      <c r="P214" s="126" t="s">
        <v>1398</v>
      </c>
      <c r="Q214" s="126">
        <v>1</v>
      </c>
      <c r="S214" s="162">
        <v>46188</v>
      </c>
      <c r="T214" s="126">
        <v>150</v>
      </c>
      <c r="U214" s="208">
        <v>-24</v>
      </c>
      <c r="V214" s="208">
        <v>-2</v>
      </c>
      <c r="W214" s="208">
        <v>1.56</v>
      </c>
      <c r="X214" s="208">
        <v>0</v>
      </c>
      <c r="Y214" s="208">
        <v>0</v>
      </c>
      <c r="Z214" s="208">
        <v>0</v>
      </c>
      <c r="AA214" s="208">
        <v>1.56</v>
      </c>
      <c r="AB214" s="208">
        <v>0</v>
      </c>
      <c r="AC214" s="237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550</v>
      </c>
      <c r="P215" s="126" t="s">
        <v>1398</v>
      </c>
      <c r="Q215" s="126">
        <v>1</v>
      </c>
      <c r="S215" s="162">
        <v>46188</v>
      </c>
      <c r="T215" s="126">
        <v>18</v>
      </c>
      <c r="U215" s="208">
        <v>-2</v>
      </c>
      <c r="V215" s="208">
        <v>-2</v>
      </c>
      <c r="W215" s="208">
        <v>1.35</v>
      </c>
      <c r="X215" s="208">
        <v>0</v>
      </c>
      <c r="Y215" s="208">
        <v>0</v>
      </c>
      <c r="Z215" s="208">
        <v>0</v>
      </c>
      <c r="AA215" s="208">
        <v>1.35</v>
      </c>
      <c r="AB215" s="208">
        <v>0</v>
      </c>
      <c r="AC215" s="237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550</v>
      </c>
      <c r="P216" s="126" t="s">
        <v>1398</v>
      </c>
      <c r="Q216" s="126">
        <v>1</v>
      </c>
      <c r="S216" s="162">
        <v>46188</v>
      </c>
      <c r="T216" s="126">
        <v>108</v>
      </c>
      <c r="U216" s="208">
        <v>-1</v>
      </c>
      <c r="V216" s="208">
        <v>-1</v>
      </c>
      <c r="W216" s="208">
        <v>2.7</v>
      </c>
      <c r="X216" s="208">
        <v>0</v>
      </c>
      <c r="Y216" s="208">
        <v>0</v>
      </c>
      <c r="Z216" s="208">
        <v>0</v>
      </c>
      <c r="AA216" s="208">
        <v>2.7</v>
      </c>
      <c r="AB216" s="208">
        <v>0</v>
      </c>
      <c r="AC216" s="237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550</v>
      </c>
      <c r="P217" s="126" t="s">
        <v>1398</v>
      </c>
      <c r="Q217" s="126">
        <v>1</v>
      </c>
      <c r="S217" s="162">
        <v>46188</v>
      </c>
      <c r="T217" s="126">
        <v>22</v>
      </c>
      <c r="U217" s="208">
        <v>-2</v>
      </c>
      <c r="V217" s="208">
        <v>-2</v>
      </c>
      <c r="W217" s="208">
        <v>2.9</v>
      </c>
      <c r="X217" s="208">
        <v>0</v>
      </c>
      <c r="Y217" s="208">
        <v>0</v>
      </c>
      <c r="Z217" s="208">
        <v>0</v>
      </c>
      <c r="AA217" s="208">
        <v>2.9</v>
      </c>
      <c r="AB217" s="208">
        <v>0</v>
      </c>
      <c r="AC217" s="237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550</v>
      </c>
      <c r="P218" s="126" t="s">
        <v>1398</v>
      </c>
      <c r="Q218" s="126">
        <v>1</v>
      </c>
      <c r="S218" s="162">
        <v>46188</v>
      </c>
      <c r="T218" s="126">
        <v>14</v>
      </c>
      <c r="U218" s="208">
        <v>-1</v>
      </c>
      <c r="V218" s="208">
        <v>-1</v>
      </c>
      <c r="W218" s="208">
        <v>3.3</v>
      </c>
      <c r="X218" s="208">
        <v>0</v>
      </c>
      <c r="Y218" s="208">
        <v>0</v>
      </c>
      <c r="Z218" s="208">
        <v>0</v>
      </c>
      <c r="AA218" s="208">
        <v>3.3</v>
      </c>
      <c r="AB218" s="208">
        <v>0</v>
      </c>
      <c r="AC218" s="237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550</v>
      </c>
      <c r="P219" s="126" t="s">
        <v>1398</v>
      </c>
      <c r="Q219" s="126">
        <v>1</v>
      </c>
      <c r="S219" s="162">
        <v>46188</v>
      </c>
      <c r="T219" s="126">
        <v>16</v>
      </c>
      <c r="U219" s="208">
        <v>-1</v>
      </c>
      <c r="V219" s="208">
        <v>-1</v>
      </c>
      <c r="W219" s="208">
        <v>2.1</v>
      </c>
      <c r="X219" s="208">
        <v>0</v>
      </c>
      <c r="Y219" s="208">
        <v>0</v>
      </c>
      <c r="Z219" s="208">
        <v>0</v>
      </c>
      <c r="AA219" s="208">
        <v>2.1</v>
      </c>
      <c r="AB219" s="208">
        <v>0</v>
      </c>
      <c r="AC219" s="237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550</v>
      </c>
      <c r="P220" s="126" t="s">
        <v>1398</v>
      </c>
      <c r="Q220" s="126">
        <v>1</v>
      </c>
      <c r="S220" s="162">
        <v>46188</v>
      </c>
      <c r="T220" s="126">
        <v>50</v>
      </c>
      <c r="U220" s="208">
        <v>-3</v>
      </c>
      <c r="V220" s="208">
        <v>-3</v>
      </c>
      <c r="W220" s="208">
        <v>0.12</v>
      </c>
      <c r="X220" s="208">
        <v>0</v>
      </c>
      <c r="Y220" s="208">
        <v>0</v>
      </c>
      <c r="Z220" s="208">
        <v>0</v>
      </c>
      <c r="AA220" s="208">
        <v>0.12</v>
      </c>
      <c r="AB220" s="208">
        <v>0</v>
      </c>
      <c r="AC220" s="237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550</v>
      </c>
      <c r="P221" s="126" t="s">
        <v>1431</v>
      </c>
      <c r="Q221" s="126">
        <v>1</v>
      </c>
      <c r="S221" s="162">
        <v>46189</v>
      </c>
      <c r="T221" s="126">
        <v>177</v>
      </c>
      <c r="U221" s="208">
        <v>-500</v>
      </c>
      <c r="V221" s="208">
        <v>-0.5</v>
      </c>
      <c r="W221" s="208">
        <v>4.1500000000000004</v>
      </c>
      <c r="X221" s="208">
        <v>0</v>
      </c>
      <c r="Y221" s="208">
        <v>0</v>
      </c>
      <c r="Z221" s="208">
        <v>0</v>
      </c>
      <c r="AA221" s="208">
        <v>4.1500000000000004</v>
      </c>
      <c r="AB221" s="208">
        <v>0</v>
      </c>
      <c r="AC221" s="237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550</v>
      </c>
      <c r="P222" s="126" t="s">
        <v>1436</v>
      </c>
      <c r="Q222" s="126">
        <v>1</v>
      </c>
      <c r="S222" s="162">
        <v>46189</v>
      </c>
      <c r="T222" s="126">
        <v>177</v>
      </c>
      <c r="U222" s="208">
        <v>-150</v>
      </c>
      <c r="V222" s="208">
        <v>-0.15</v>
      </c>
      <c r="W222" s="208">
        <v>4.1500000000000004</v>
      </c>
      <c r="X222" s="208">
        <v>0</v>
      </c>
      <c r="Y222" s="208">
        <v>0</v>
      </c>
      <c r="Z222" s="208">
        <v>0</v>
      </c>
      <c r="AA222" s="208">
        <v>4.1500000000000004</v>
      </c>
      <c r="AB222" s="208">
        <v>0</v>
      </c>
      <c r="AC222" s="237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550</v>
      </c>
      <c r="P223" s="126" t="s">
        <v>1436</v>
      </c>
      <c r="Q223" s="126">
        <v>1</v>
      </c>
      <c r="S223" s="162">
        <v>46189</v>
      </c>
      <c r="T223" s="126">
        <v>179</v>
      </c>
      <c r="U223" s="208">
        <v>-300</v>
      </c>
      <c r="V223" s="208">
        <v>-0.3</v>
      </c>
      <c r="W223" s="208">
        <v>4.75</v>
      </c>
      <c r="X223" s="208">
        <v>0</v>
      </c>
      <c r="Y223" s="208">
        <v>0</v>
      </c>
      <c r="Z223" s="208">
        <v>0</v>
      </c>
      <c r="AA223" s="208">
        <v>4.75</v>
      </c>
      <c r="AB223" s="208">
        <v>0</v>
      </c>
      <c r="AC223" s="237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550</v>
      </c>
      <c r="P224" s="126" t="s">
        <v>1444</v>
      </c>
      <c r="Q224" s="126">
        <v>1</v>
      </c>
      <c r="S224" s="162">
        <v>46189</v>
      </c>
      <c r="T224" s="126">
        <v>187</v>
      </c>
      <c r="U224" s="208">
        <v>-40</v>
      </c>
      <c r="V224" s="208">
        <v>-10</v>
      </c>
      <c r="W224" s="208">
        <v>3.37</v>
      </c>
      <c r="X224" s="208">
        <v>0</v>
      </c>
      <c r="Y224" s="208">
        <v>0</v>
      </c>
      <c r="Z224" s="208">
        <v>0</v>
      </c>
      <c r="AA224" s="208">
        <v>3.37</v>
      </c>
      <c r="AB224" s="208">
        <v>0</v>
      </c>
      <c r="AC224" s="237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550</v>
      </c>
      <c r="P225" s="126" t="s">
        <v>1444</v>
      </c>
      <c r="Q225" s="126">
        <v>1</v>
      </c>
      <c r="S225" s="162">
        <v>46189</v>
      </c>
      <c r="T225" s="126">
        <v>195</v>
      </c>
      <c r="U225" s="208">
        <v>-12</v>
      </c>
      <c r="V225" s="208">
        <v>-3</v>
      </c>
      <c r="W225" s="208">
        <v>6.28</v>
      </c>
      <c r="X225" s="208">
        <v>0</v>
      </c>
      <c r="Y225" s="208">
        <v>0</v>
      </c>
      <c r="Z225" s="208">
        <v>0</v>
      </c>
      <c r="AA225" s="208">
        <v>6.28</v>
      </c>
      <c r="AB225" s="208">
        <v>0</v>
      </c>
      <c r="AC225" s="237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550</v>
      </c>
      <c r="P226" s="126" t="s">
        <v>1444</v>
      </c>
      <c r="Q226" s="126">
        <v>1</v>
      </c>
      <c r="S226" s="162">
        <v>46189</v>
      </c>
      <c r="T226" s="126">
        <v>16</v>
      </c>
      <c r="U226" s="208">
        <v>-10</v>
      </c>
      <c r="V226" s="208">
        <v>-10</v>
      </c>
      <c r="W226" s="208">
        <v>2.1</v>
      </c>
      <c r="X226" s="208">
        <v>0</v>
      </c>
      <c r="Y226" s="208">
        <v>0</v>
      </c>
      <c r="Z226" s="208">
        <v>0</v>
      </c>
      <c r="AA226" s="208">
        <v>2.1</v>
      </c>
      <c r="AB226" s="208">
        <v>0</v>
      </c>
      <c r="AC226" s="237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550</v>
      </c>
      <c r="P227" s="126" t="s">
        <v>1444</v>
      </c>
      <c r="Q227" s="126">
        <v>1</v>
      </c>
      <c r="S227" s="162">
        <v>46189</v>
      </c>
      <c r="T227" s="126">
        <v>10</v>
      </c>
      <c r="U227" s="208">
        <v>-1</v>
      </c>
      <c r="V227" s="208">
        <v>-1</v>
      </c>
      <c r="W227" s="208">
        <v>14.85</v>
      </c>
      <c r="X227" s="208">
        <v>0</v>
      </c>
      <c r="Y227" s="208">
        <v>0</v>
      </c>
      <c r="Z227" s="208">
        <v>0</v>
      </c>
      <c r="AA227" s="208">
        <v>14.85</v>
      </c>
      <c r="AB227" s="208">
        <v>0</v>
      </c>
      <c r="AC227" s="237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550</v>
      </c>
      <c r="P228" s="126" t="s">
        <v>1444</v>
      </c>
      <c r="Q228" s="126">
        <v>1</v>
      </c>
      <c r="S228" s="162">
        <v>46189</v>
      </c>
      <c r="T228" s="126">
        <v>178</v>
      </c>
      <c r="U228" s="208">
        <v>-200</v>
      </c>
      <c r="V228" s="208">
        <v>-0.2</v>
      </c>
      <c r="W228" s="208">
        <v>4.75</v>
      </c>
      <c r="X228" s="208">
        <v>0</v>
      </c>
      <c r="Y228" s="208">
        <v>0</v>
      </c>
      <c r="Z228" s="208">
        <v>0</v>
      </c>
      <c r="AA228" s="208">
        <v>4.75</v>
      </c>
      <c r="AB228" s="208">
        <v>0</v>
      </c>
      <c r="AC228" s="237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550</v>
      </c>
      <c r="P229" s="126" t="s">
        <v>1462</v>
      </c>
      <c r="Q229" s="126">
        <v>1</v>
      </c>
      <c r="S229" s="162">
        <v>46190</v>
      </c>
      <c r="T229" s="126">
        <v>197</v>
      </c>
      <c r="U229" s="208">
        <v>-8</v>
      </c>
      <c r="V229" s="208">
        <v>-2</v>
      </c>
      <c r="W229" s="208">
        <v>8.36</v>
      </c>
      <c r="X229" s="208">
        <v>0</v>
      </c>
      <c r="Y229" s="208">
        <v>0</v>
      </c>
      <c r="Z229" s="208">
        <v>0</v>
      </c>
      <c r="AA229" s="208">
        <v>8.36</v>
      </c>
      <c r="AB229" s="208">
        <v>0</v>
      </c>
      <c r="AC229" s="237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550</v>
      </c>
      <c r="P230" s="126" t="s">
        <v>1462</v>
      </c>
      <c r="Q230" s="126">
        <v>1</v>
      </c>
      <c r="S230" s="162">
        <v>46190</v>
      </c>
      <c r="T230" s="126">
        <v>181</v>
      </c>
      <c r="U230" s="208">
        <v>-120</v>
      </c>
      <c r="V230" s="208">
        <v>-10</v>
      </c>
      <c r="W230" s="208">
        <v>1</v>
      </c>
      <c r="X230" s="208">
        <v>0</v>
      </c>
      <c r="Y230" s="208">
        <v>0</v>
      </c>
      <c r="Z230" s="208">
        <v>0</v>
      </c>
      <c r="AA230" s="208">
        <v>1</v>
      </c>
      <c r="AB230" s="208">
        <v>0</v>
      </c>
      <c r="AC230" s="237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550</v>
      </c>
      <c r="P231" s="126" t="s">
        <v>1462</v>
      </c>
      <c r="Q231" s="126">
        <v>1</v>
      </c>
      <c r="S231" s="162">
        <v>46190</v>
      </c>
      <c r="T231" s="126">
        <v>178</v>
      </c>
      <c r="U231" s="208">
        <v>-300</v>
      </c>
      <c r="V231" s="208">
        <v>-0.3</v>
      </c>
      <c r="W231" s="208">
        <v>4.75</v>
      </c>
      <c r="X231" s="208">
        <v>0</v>
      </c>
      <c r="Y231" s="208">
        <v>0</v>
      </c>
      <c r="Z231" s="208">
        <v>0</v>
      </c>
      <c r="AA231" s="208">
        <v>4.75</v>
      </c>
      <c r="AB231" s="208">
        <v>0</v>
      </c>
      <c r="AC231" s="237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550</v>
      </c>
      <c r="P232" s="126" t="s">
        <v>1462</v>
      </c>
      <c r="Q232" s="126">
        <v>1</v>
      </c>
      <c r="S232" s="162">
        <v>46190</v>
      </c>
      <c r="T232" s="126">
        <v>178</v>
      </c>
      <c r="U232" s="208">
        <v>-400</v>
      </c>
      <c r="V232" s="208">
        <v>-0.4</v>
      </c>
      <c r="W232" s="208">
        <v>4.75</v>
      </c>
      <c r="X232" s="208">
        <v>0</v>
      </c>
      <c r="Y232" s="208">
        <v>0</v>
      </c>
      <c r="Z232" s="208">
        <v>0</v>
      </c>
      <c r="AA232" s="208">
        <v>4.75</v>
      </c>
      <c r="AB232" s="208">
        <v>0</v>
      </c>
      <c r="AC232" s="237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550</v>
      </c>
      <c r="P233" s="126" t="s">
        <v>1473</v>
      </c>
      <c r="Q233" s="126">
        <v>1</v>
      </c>
      <c r="S233" s="162">
        <v>46190</v>
      </c>
      <c r="T233" s="126">
        <v>177</v>
      </c>
      <c r="U233" s="208">
        <v>-150</v>
      </c>
      <c r="V233" s="208">
        <v>-0.15</v>
      </c>
      <c r="W233" s="208">
        <v>4.1500000000000004</v>
      </c>
      <c r="X233" s="208">
        <v>0</v>
      </c>
      <c r="Y233" s="208">
        <v>0</v>
      </c>
      <c r="Z233" s="208">
        <v>0</v>
      </c>
      <c r="AA233" s="208">
        <v>4.1500000000000004</v>
      </c>
      <c r="AB233" s="208">
        <v>0</v>
      </c>
      <c r="AC233" s="237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550</v>
      </c>
      <c r="P234" s="126" t="s">
        <v>1473</v>
      </c>
      <c r="Q234" s="126">
        <v>1</v>
      </c>
      <c r="S234" s="162">
        <v>46190</v>
      </c>
      <c r="T234" s="126">
        <v>178</v>
      </c>
      <c r="U234" s="208">
        <v>-600</v>
      </c>
      <c r="V234" s="208">
        <v>-0.6</v>
      </c>
      <c r="W234" s="208">
        <v>4.75</v>
      </c>
      <c r="X234" s="208">
        <v>0</v>
      </c>
      <c r="Y234" s="208">
        <v>0</v>
      </c>
      <c r="Z234" s="208">
        <v>0</v>
      </c>
      <c r="AA234" s="208">
        <v>4.75</v>
      </c>
      <c r="AB234" s="208">
        <v>0</v>
      </c>
      <c r="AC234" s="237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550</v>
      </c>
      <c r="P235" s="126" t="s">
        <v>1473</v>
      </c>
      <c r="Q235" s="126">
        <v>1</v>
      </c>
      <c r="S235" s="162">
        <v>46190</v>
      </c>
      <c r="T235" s="126">
        <v>183</v>
      </c>
      <c r="U235" s="208">
        <v>-60</v>
      </c>
      <c r="V235" s="208">
        <v>-5</v>
      </c>
      <c r="W235" s="208">
        <v>4</v>
      </c>
      <c r="X235" s="208">
        <v>0</v>
      </c>
      <c r="Y235" s="208">
        <v>0</v>
      </c>
      <c r="Z235" s="208">
        <v>0</v>
      </c>
      <c r="AA235" s="208">
        <v>4</v>
      </c>
      <c r="AB235" s="208">
        <v>0</v>
      </c>
      <c r="AC235" s="237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550</v>
      </c>
      <c r="P236" s="126" t="s">
        <v>1484</v>
      </c>
      <c r="Q236" s="126">
        <v>1</v>
      </c>
      <c r="S236" s="162">
        <v>46190</v>
      </c>
      <c r="T236" s="126">
        <v>167</v>
      </c>
      <c r="U236" s="208">
        <v>-7</v>
      </c>
      <c r="V236" s="208">
        <v>-7</v>
      </c>
      <c r="W236" s="208">
        <v>0.85</v>
      </c>
      <c r="X236" s="208">
        <v>0</v>
      </c>
      <c r="Y236" s="208">
        <v>0</v>
      </c>
      <c r="Z236" s="208">
        <v>0</v>
      </c>
      <c r="AA236" s="208">
        <v>0.85</v>
      </c>
      <c r="AB236" s="208">
        <v>0</v>
      </c>
      <c r="AC236" s="237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550</v>
      </c>
      <c r="P237" s="126" t="s">
        <v>1484</v>
      </c>
      <c r="Q237" s="126">
        <v>1</v>
      </c>
      <c r="S237" s="162">
        <v>46190</v>
      </c>
      <c r="T237" s="126">
        <v>144</v>
      </c>
      <c r="U237" s="208">
        <v>-4</v>
      </c>
      <c r="V237" s="208">
        <v>-0.08</v>
      </c>
      <c r="W237" s="208">
        <v>0.3</v>
      </c>
      <c r="X237" s="208">
        <v>0</v>
      </c>
      <c r="Y237" s="208">
        <v>0</v>
      </c>
      <c r="Z237" s="208">
        <v>0</v>
      </c>
      <c r="AA237" s="208">
        <v>0.3</v>
      </c>
      <c r="AB237" s="208">
        <v>0</v>
      </c>
      <c r="AC237" s="237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550</v>
      </c>
      <c r="P238" s="126" t="s">
        <v>1484</v>
      </c>
      <c r="Q238" s="126">
        <v>1</v>
      </c>
      <c r="S238" s="162">
        <v>46190</v>
      </c>
      <c r="T238" s="126">
        <v>74</v>
      </c>
      <c r="U238" s="208">
        <v>-4</v>
      </c>
      <c r="V238" s="208">
        <v>-4</v>
      </c>
      <c r="W238" s="208">
        <v>0.19</v>
      </c>
      <c r="X238" s="208">
        <v>0</v>
      </c>
      <c r="Y238" s="208">
        <v>0</v>
      </c>
      <c r="Z238" s="208">
        <v>0</v>
      </c>
      <c r="AA238" s="208">
        <v>0.19</v>
      </c>
      <c r="AB238" s="208">
        <v>0</v>
      </c>
      <c r="AC238" s="237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550</v>
      </c>
      <c r="P239" s="126" t="s">
        <v>1484</v>
      </c>
      <c r="Q239" s="126">
        <v>1</v>
      </c>
      <c r="S239" s="162">
        <v>46190</v>
      </c>
      <c r="T239" s="126">
        <v>90</v>
      </c>
      <c r="U239" s="208">
        <v>-4</v>
      </c>
      <c r="V239" s="208">
        <v>-0.04</v>
      </c>
      <c r="W239" s="208">
        <v>0.18</v>
      </c>
      <c r="X239" s="208">
        <v>0</v>
      </c>
      <c r="Y239" s="208">
        <v>0</v>
      </c>
      <c r="Z239" s="208">
        <v>0</v>
      </c>
      <c r="AA239" s="208">
        <v>0.18</v>
      </c>
      <c r="AB239" s="208">
        <v>0</v>
      </c>
      <c r="AC239" s="237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550</v>
      </c>
      <c r="P240" s="126" t="s">
        <v>1484</v>
      </c>
      <c r="Q240" s="126">
        <v>1</v>
      </c>
      <c r="S240" s="162">
        <v>46190</v>
      </c>
      <c r="T240" s="126">
        <v>49</v>
      </c>
      <c r="U240" s="208">
        <v>-2</v>
      </c>
      <c r="V240" s="208">
        <v>-2</v>
      </c>
      <c r="W240" s="208">
        <v>0.28000000000000003</v>
      </c>
      <c r="X240" s="208">
        <v>0</v>
      </c>
      <c r="Y240" s="208">
        <v>0</v>
      </c>
      <c r="Z240" s="208">
        <v>0</v>
      </c>
      <c r="AA240" s="208">
        <v>0.28000000000000003</v>
      </c>
      <c r="AB240" s="208">
        <v>0</v>
      </c>
      <c r="AC240" s="237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550</v>
      </c>
      <c r="P241" s="126" t="s">
        <v>1484</v>
      </c>
      <c r="Q241" s="126">
        <v>1</v>
      </c>
      <c r="S241" s="162">
        <v>46190</v>
      </c>
      <c r="T241" s="126">
        <v>94</v>
      </c>
      <c r="U241" s="208">
        <v>-1</v>
      </c>
      <c r="V241" s="208">
        <v>-5.5555555555555558E-3</v>
      </c>
      <c r="W241" s="208">
        <v>0.1</v>
      </c>
      <c r="X241" s="208">
        <v>0</v>
      </c>
      <c r="Y241" s="208">
        <v>0</v>
      </c>
      <c r="Z241" s="208">
        <v>0</v>
      </c>
      <c r="AA241" s="208">
        <v>0.1</v>
      </c>
      <c r="AB241" s="208">
        <v>0</v>
      </c>
      <c r="AC241" s="237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550</v>
      </c>
      <c r="P242" s="126" t="s">
        <v>1505</v>
      </c>
      <c r="Q242" s="126">
        <v>1</v>
      </c>
      <c r="S242" s="162">
        <v>46191</v>
      </c>
      <c r="T242" s="126">
        <v>19</v>
      </c>
      <c r="U242" s="208">
        <v>-1</v>
      </c>
      <c r="V242" s="208">
        <v>-1</v>
      </c>
      <c r="W242" s="208">
        <v>7.49</v>
      </c>
      <c r="X242" s="208">
        <v>0</v>
      </c>
      <c r="Y242" s="208">
        <v>0</v>
      </c>
      <c r="Z242" s="208">
        <v>0</v>
      </c>
      <c r="AA242" s="208">
        <v>7.49</v>
      </c>
      <c r="AB242" s="208">
        <v>0</v>
      </c>
      <c r="AC242" s="237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550</v>
      </c>
      <c r="P243" s="126" t="s">
        <v>1505</v>
      </c>
      <c r="Q243" s="126">
        <v>1</v>
      </c>
      <c r="S243" s="162">
        <v>46191</v>
      </c>
      <c r="T243" s="126">
        <v>22</v>
      </c>
      <c r="U243" s="208">
        <v>-1</v>
      </c>
      <c r="V243" s="208">
        <v>-1</v>
      </c>
      <c r="W243" s="208">
        <v>2.9</v>
      </c>
      <c r="X243" s="208">
        <v>0</v>
      </c>
      <c r="Y243" s="208">
        <v>0</v>
      </c>
      <c r="Z243" s="208">
        <v>0</v>
      </c>
      <c r="AA243" s="208">
        <v>2.9</v>
      </c>
      <c r="AB243" s="208">
        <v>0</v>
      </c>
      <c r="AC243" s="237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550</v>
      </c>
      <c r="P244" s="126" t="s">
        <v>1505</v>
      </c>
      <c r="Q244" s="126">
        <v>1</v>
      </c>
      <c r="S244" s="162">
        <v>46191</v>
      </c>
      <c r="T244" s="126">
        <v>34</v>
      </c>
      <c r="U244" s="208">
        <v>-3</v>
      </c>
      <c r="V244" s="208">
        <v>-3</v>
      </c>
      <c r="W244" s="208">
        <v>0.5</v>
      </c>
      <c r="X244" s="208">
        <v>0</v>
      </c>
      <c r="Y244" s="208">
        <v>0</v>
      </c>
      <c r="Z244" s="208">
        <v>0</v>
      </c>
      <c r="AA244" s="208">
        <v>0.5</v>
      </c>
      <c r="AB244" s="208">
        <v>0</v>
      </c>
      <c r="AC244" s="237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550</v>
      </c>
      <c r="P245" s="126" t="s">
        <v>1505</v>
      </c>
      <c r="Q245" s="126">
        <v>1</v>
      </c>
      <c r="S245" s="162">
        <v>46191</v>
      </c>
      <c r="T245" s="126">
        <v>37</v>
      </c>
      <c r="U245" s="208">
        <v>-1</v>
      </c>
      <c r="V245" s="208">
        <v>-1</v>
      </c>
      <c r="W245" s="208">
        <v>0.66</v>
      </c>
      <c r="X245" s="208">
        <v>0</v>
      </c>
      <c r="Y245" s="208">
        <v>0</v>
      </c>
      <c r="Z245" s="208">
        <v>0</v>
      </c>
      <c r="AA245" s="208">
        <v>0.66</v>
      </c>
      <c r="AB245" s="208">
        <v>0</v>
      </c>
      <c r="AC245" s="237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550</v>
      </c>
      <c r="P246" s="126" t="s">
        <v>1505</v>
      </c>
      <c r="Q246" s="126">
        <v>1</v>
      </c>
      <c r="S246" s="162">
        <v>46191</v>
      </c>
      <c r="T246" s="126">
        <v>26</v>
      </c>
      <c r="U246" s="208">
        <v>-2</v>
      </c>
      <c r="V246" s="208">
        <v>-2</v>
      </c>
      <c r="W246" s="208">
        <v>3.01</v>
      </c>
      <c r="X246" s="208">
        <v>0</v>
      </c>
      <c r="Y246" s="208">
        <v>0</v>
      </c>
      <c r="Z246" s="208">
        <v>0</v>
      </c>
      <c r="AA246" s="208">
        <v>3.01</v>
      </c>
      <c r="AB246" s="208">
        <v>0</v>
      </c>
      <c r="AC246" s="237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550</v>
      </c>
      <c r="P247" s="126" t="s">
        <v>1505</v>
      </c>
      <c r="Q247" s="126">
        <v>1</v>
      </c>
      <c r="S247" s="162">
        <v>46191</v>
      </c>
      <c r="T247" s="126">
        <v>29</v>
      </c>
      <c r="U247" s="208">
        <v>-1</v>
      </c>
      <c r="V247" s="208">
        <v>-1</v>
      </c>
      <c r="W247" s="208">
        <v>4.2300000000000004</v>
      </c>
      <c r="X247" s="208">
        <v>0</v>
      </c>
      <c r="Y247" s="208">
        <v>0</v>
      </c>
      <c r="Z247" s="208">
        <v>0</v>
      </c>
      <c r="AA247" s="208">
        <v>4.2300000000000004</v>
      </c>
      <c r="AB247" s="208">
        <v>0</v>
      </c>
      <c r="AC247" s="237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550</v>
      </c>
      <c r="P248" s="126" t="s">
        <v>1505</v>
      </c>
      <c r="Q248" s="126">
        <v>1</v>
      </c>
      <c r="S248" s="162">
        <v>46191</v>
      </c>
      <c r="T248" s="126">
        <v>183</v>
      </c>
      <c r="U248" s="208">
        <v>-120</v>
      </c>
      <c r="V248" s="208">
        <v>-10</v>
      </c>
      <c r="W248" s="208">
        <v>4</v>
      </c>
      <c r="X248" s="208">
        <v>0</v>
      </c>
      <c r="Y248" s="208">
        <v>0</v>
      </c>
      <c r="Z248" s="208">
        <v>0</v>
      </c>
      <c r="AA248" s="208">
        <v>4</v>
      </c>
      <c r="AB248" s="208">
        <v>0</v>
      </c>
      <c r="AC248" s="237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550</v>
      </c>
      <c r="P249" s="126" t="s">
        <v>1505</v>
      </c>
      <c r="Q249" s="126">
        <v>1</v>
      </c>
      <c r="S249" s="162">
        <v>46191</v>
      </c>
      <c r="T249" s="126">
        <v>181</v>
      </c>
      <c r="U249" s="208">
        <v>-12</v>
      </c>
      <c r="V249" s="208">
        <v>-1</v>
      </c>
      <c r="W249" s="208">
        <v>1</v>
      </c>
      <c r="X249" s="208">
        <v>0</v>
      </c>
      <c r="Y249" s="208">
        <v>0</v>
      </c>
      <c r="Z249" s="208">
        <v>0</v>
      </c>
      <c r="AA249" s="208">
        <v>1</v>
      </c>
      <c r="AB249" s="208">
        <v>0</v>
      </c>
      <c r="AC249" s="237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550</v>
      </c>
      <c r="P250" s="126" t="s">
        <v>1505</v>
      </c>
      <c r="Q250" s="126">
        <v>1</v>
      </c>
      <c r="S250" s="162">
        <v>46191</v>
      </c>
      <c r="T250" s="126">
        <v>102</v>
      </c>
      <c r="U250" s="208">
        <v>-1</v>
      </c>
      <c r="V250" s="208">
        <v>-4.1666666666666664E-2</v>
      </c>
      <c r="W250" s="208">
        <v>4.5</v>
      </c>
      <c r="X250" s="208">
        <v>0</v>
      </c>
      <c r="Y250" s="208">
        <v>0</v>
      </c>
      <c r="Z250" s="208">
        <v>0</v>
      </c>
      <c r="AA250" s="208">
        <v>4.5</v>
      </c>
      <c r="AB250" s="208">
        <v>0</v>
      </c>
      <c r="AC250" s="237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550</v>
      </c>
      <c r="P251" s="126" t="s">
        <v>1538</v>
      </c>
      <c r="Q251" s="126">
        <v>1</v>
      </c>
      <c r="S251" s="162">
        <v>46191</v>
      </c>
      <c r="T251" s="126">
        <v>177</v>
      </c>
      <c r="U251" s="208">
        <v>-500</v>
      </c>
      <c r="V251" s="208">
        <v>-0.5</v>
      </c>
      <c r="W251" s="208">
        <v>4.1500000000000004</v>
      </c>
      <c r="X251" s="208">
        <v>0</v>
      </c>
      <c r="Y251" s="208">
        <v>0</v>
      </c>
      <c r="Z251" s="208">
        <v>0</v>
      </c>
      <c r="AA251" s="208">
        <v>4.1500000000000004</v>
      </c>
      <c r="AB251" s="208">
        <v>0</v>
      </c>
      <c r="AC251" s="237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550</v>
      </c>
      <c r="P252" s="126" t="s">
        <v>1543</v>
      </c>
      <c r="Q252" s="126">
        <v>1</v>
      </c>
      <c r="S252" s="162">
        <v>46191</v>
      </c>
      <c r="T252" s="126">
        <v>179</v>
      </c>
      <c r="U252" s="208">
        <v>-300</v>
      </c>
      <c r="V252" s="208">
        <v>-0.3</v>
      </c>
      <c r="W252" s="208">
        <v>4.75</v>
      </c>
      <c r="X252" s="208">
        <v>0</v>
      </c>
      <c r="Y252" s="208">
        <v>0</v>
      </c>
      <c r="Z252" s="208">
        <v>0</v>
      </c>
      <c r="AA252" s="208">
        <v>4.75</v>
      </c>
      <c r="AB252" s="208">
        <v>0</v>
      </c>
      <c r="AC252" s="237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550</v>
      </c>
      <c r="P253" s="126" t="s">
        <v>1543</v>
      </c>
      <c r="Q253" s="126">
        <v>1</v>
      </c>
      <c r="S253" s="162">
        <v>46191</v>
      </c>
      <c r="T253" s="126">
        <v>195</v>
      </c>
      <c r="U253" s="208">
        <v>-8</v>
      </c>
      <c r="V253" s="208">
        <v>-2</v>
      </c>
      <c r="W253" s="208">
        <v>6.28</v>
      </c>
      <c r="X253" s="208">
        <v>0</v>
      </c>
      <c r="Y253" s="208">
        <v>0</v>
      </c>
      <c r="Z253" s="208">
        <v>0</v>
      </c>
      <c r="AA253" s="208">
        <v>6.28</v>
      </c>
      <c r="AB253" s="208">
        <v>0</v>
      </c>
      <c r="AC253" s="237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550</v>
      </c>
      <c r="P254" s="126" t="s">
        <v>1543</v>
      </c>
      <c r="Q254" s="126">
        <v>1</v>
      </c>
      <c r="S254" s="162">
        <v>46191</v>
      </c>
      <c r="T254" s="126">
        <v>187</v>
      </c>
      <c r="U254" s="208">
        <v>-16</v>
      </c>
      <c r="V254" s="208">
        <v>-4</v>
      </c>
      <c r="W254" s="208">
        <v>3.37</v>
      </c>
      <c r="X254" s="208">
        <v>0</v>
      </c>
      <c r="Y254" s="208">
        <v>0</v>
      </c>
      <c r="Z254" s="208">
        <v>0</v>
      </c>
      <c r="AA254" s="208">
        <v>3.37</v>
      </c>
      <c r="AB254" s="208">
        <v>0</v>
      </c>
      <c r="AC254" s="237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550</v>
      </c>
      <c r="P255" s="126" t="s">
        <v>1543</v>
      </c>
      <c r="Q255" s="126">
        <v>1</v>
      </c>
      <c r="S255" s="162">
        <v>46191</v>
      </c>
      <c r="T255" s="126">
        <v>177</v>
      </c>
      <c r="U255" s="208">
        <v>-100</v>
      </c>
      <c r="V255" s="208">
        <v>-0.1</v>
      </c>
      <c r="W255" s="208">
        <v>4.1500000000000004</v>
      </c>
      <c r="X255" s="208">
        <v>0</v>
      </c>
      <c r="Y255" s="208">
        <v>0</v>
      </c>
      <c r="Z255" s="208">
        <v>0</v>
      </c>
      <c r="AA255" s="208">
        <v>4.1500000000000004</v>
      </c>
      <c r="AB255" s="208">
        <v>0</v>
      </c>
      <c r="AC255" s="237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550</v>
      </c>
      <c r="P256" s="126" t="s">
        <v>1543</v>
      </c>
      <c r="Q256" s="126">
        <v>1</v>
      </c>
      <c r="S256" s="162">
        <v>46191</v>
      </c>
      <c r="T256" s="126">
        <v>189</v>
      </c>
      <c r="U256" s="208">
        <v>-12</v>
      </c>
      <c r="V256" s="208">
        <v>-3</v>
      </c>
      <c r="W256" s="208">
        <v>4.09</v>
      </c>
      <c r="X256" s="208">
        <v>0</v>
      </c>
      <c r="Y256" s="208">
        <v>0</v>
      </c>
      <c r="Z256" s="208">
        <v>0</v>
      </c>
      <c r="AA256" s="208">
        <v>4.09</v>
      </c>
      <c r="AB256" s="208">
        <v>0</v>
      </c>
      <c r="AC256" s="237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550</v>
      </c>
      <c r="P257" s="126" t="s">
        <v>1543</v>
      </c>
      <c r="Q257" s="126">
        <v>1</v>
      </c>
      <c r="S257" s="162">
        <v>46191</v>
      </c>
      <c r="T257" s="126">
        <v>14</v>
      </c>
      <c r="U257" s="208">
        <v>-5</v>
      </c>
      <c r="V257" s="208">
        <v>-5</v>
      </c>
      <c r="W257" s="208">
        <v>3.3</v>
      </c>
      <c r="X257" s="208">
        <v>0</v>
      </c>
      <c r="Y257" s="208">
        <v>0</v>
      </c>
      <c r="Z257" s="208">
        <v>0</v>
      </c>
      <c r="AA257" s="208">
        <v>3.3</v>
      </c>
      <c r="AB257" s="208">
        <v>0</v>
      </c>
      <c r="AC257" s="237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550</v>
      </c>
      <c r="P258" s="126" t="s">
        <v>1564</v>
      </c>
      <c r="Q258" s="126">
        <v>1</v>
      </c>
      <c r="S258" s="162">
        <v>46192</v>
      </c>
      <c r="T258" s="126">
        <v>183</v>
      </c>
      <c r="U258" s="208">
        <v>-60</v>
      </c>
      <c r="V258" s="208">
        <v>-5</v>
      </c>
      <c r="W258" s="208">
        <v>4</v>
      </c>
      <c r="X258" s="208">
        <v>0</v>
      </c>
      <c r="Y258" s="208">
        <v>0</v>
      </c>
      <c r="Z258" s="208">
        <v>0</v>
      </c>
      <c r="AA258" s="208">
        <v>4</v>
      </c>
      <c r="AB258" s="208">
        <v>0</v>
      </c>
      <c r="AC258" s="237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550</v>
      </c>
      <c r="P259" s="126" t="s">
        <v>1564</v>
      </c>
      <c r="Q259" s="126">
        <v>1</v>
      </c>
      <c r="S259" s="162">
        <v>46192</v>
      </c>
      <c r="T259" s="126">
        <v>195</v>
      </c>
      <c r="U259" s="208">
        <v>-4</v>
      </c>
      <c r="V259" s="208">
        <v>-1</v>
      </c>
      <c r="W259" s="208">
        <v>6.28</v>
      </c>
      <c r="X259" s="208">
        <v>0</v>
      </c>
      <c r="Y259" s="208">
        <v>0</v>
      </c>
      <c r="Z259" s="208">
        <v>0</v>
      </c>
      <c r="AA259" s="208">
        <v>6.28</v>
      </c>
      <c r="AB259" s="208">
        <v>0</v>
      </c>
      <c r="AC259" s="237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550</v>
      </c>
      <c r="P260" s="126" t="s">
        <v>1564</v>
      </c>
      <c r="Q260" s="126">
        <v>1</v>
      </c>
      <c r="S260" s="162">
        <v>46192</v>
      </c>
      <c r="T260" s="126">
        <v>66</v>
      </c>
      <c r="U260" s="208">
        <v>-1</v>
      </c>
      <c r="V260" s="208">
        <v>-1</v>
      </c>
      <c r="W260" s="208">
        <v>0.41</v>
      </c>
      <c r="X260" s="208">
        <v>0</v>
      </c>
      <c r="Y260" s="208">
        <v>0</v>
      </c>
      <c r="Z260" s="208">
        <v>0</v>
      </c>
      <c r="AA260" s="208">
        <v>0.41</v>
      </c>
      <c r="AB260" s="208">
        <v>0</v>
      </c>
      <c r="AC260" s="237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550</v>
      </c>
      <c r="P261" s="126" t="s">
        <v>1575</v>
      </c>
      <c r="Q261" s="126">
        <v>1</v>
      </c>
      <c r="S261" s="162">
        <v>46192</v>
      </c>
      <c r="T261" s="126">
        <v>178</v>
      </c>
      <c r="U261" s="208">
        <v>-150</v>
      </c>
      <c r="V261" s="208">
        <v>-0.15</v>
      </c>
      <c r="W261" s="208">
        <v>4.75</v>
      </c>
      <c r="X261" s="208">
        <v>0</v>
      </c>
      <c r="Y261" s="208">
        <v>0</v>
      </c>
      <c r="Z261" s="208">
        <v>0</v>
      </c>
      <c r="AA261" s="208">
        <v>4.75</v>
      </c>
      <c r="AB261" s="208">
        <v>0</v>
      </c>
      <c r="AC261" s="237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550</v>
      </c>
      <c r="P262" s="126" t="s">
        <v>1575</v>
      </c>
      <c r="Q262" s="126">
        <v>1</v>
      </c>
      <c r="S262" s="162">
        <v>46192</v>
      </c>
      <c r="T262" s="126">
        <v>181</v>
      </c>
      <c r="U262" s="208">
        <v>-24</v>
      </c>
      <c r="V262" s="208">
        <v>-2</v>
      </c>
      <c r="W262" s="208">
        <v>1</v>
      </c>
      <c r="X262" s="208">
        <v>0</v>
      </c>
      <c r="Y262" s="208">
        <v>0</v>
      </c>
      <c r="Z262" s="208">
        <v>0</v>
      </c>
      <c r="AA262" s="208">
        <v>1</v>
      </c>
      <c r="AB262" s="208">
        <v>0</v>
      </c>
      <c r="AC262" s="237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550</v>
      </c>
      <c r="P263" s="126" t="s">
        <v>1583</v>
      </c>
      <c r="Q263" s="126">
        <v>1</v>
      </c>
      <c r="S263" s="162">
        <v>46192</v>
      </c>
      <c r="T263" s="126">
        <v>176</v>
      </c>
      <c r="U263" s="208">
        <v>-1000</v>
      </c>
      <c r="V263" s="208">
        <v>-1</v>
      </c>
      <c r="W263" s="208">
        <v>85</v>
      </c>
      <c r="X263" s="208">
        <v>0</v>
      </c>
      <c r="Y263" s="208">
        <v>0</v>
      </c>
      <c r="Z263" s="208">
        <v>0</v>
      </c>
      <c r="AA263" s="208">
        <v>85</v>
      </c>
      <c r="AB263" s="208">
        <v>0</v>
      </c>
      <c r="AC263" s="237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550</v>
      </c>
      <c r="P264" s="126" t="s">
        <v>1583</v>
      </c>
      <c r="Q264" s="126">
        <v>1</v>
      </c>
      <c r="S264" s="162">
        <v>46192</v>
      </c>
      <c r="T264" s="126">
        <v>4</v>
      </c>
      <c r="U264" s="208">
        <v>-2</v>
      </c>
      <c r="V264" s="208">
        <v>-2</v>
      </c>
      <c r="W264" s="208">
        <v>5.8</v>
      </c>
      <c r="X264" s="208">
        <v>0</v>
      </c>
      <c r="Y264" s="208">
        <v>0</v>
      </c>
      <c r="Z264" s="208">
        <v>0</v>
      </c>
      <c r="AA264" s="208">
        <v>5.8</v>
      </c>
      <c r="AB264" s="208">
        <v>0</v>
      </c>
      <c r="AC264" s="237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550</v>
      </c>
      <c r="P265" s="126" t="s">
        <v>1583</v>
      </c>
      <c r="Q265" s="126">
        <v>1</v>
      </c>
      <c r="S265" s="162">
        <v>46192</v>
      </c>
      <c r="T265" s="126">
        <v>34</v>
      </c>
      <c r="U265" s="208">
        <v>-2</v>
      </c>
      <c r="V265" s="208">
        <v>-2</v>
      </c>
      <c r="W265" s="208">
        <v>0.5</v>
      </c>
      <c r="X265" s="208">
        <v>0</v>
      </c>
      <c r="Y265" s="208">
        <v>0</v>
      </c>
      <c r="Z265" s="208">
        <v>0</v>
      </c>
      <c r="AA265" s="208">
        <v>0.5</v>
      </c>
      <c r="AB265" s="208">
        <v>0</v>
      </c>
      <c r="AC265" s="237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550</v>
      </c>
      <c r="P266" s="126" t="s">
        <v>1595</v>
      </c>
      <c r="Q266" s="126">
        <v>1</v>
      </c>
      <c r="S266" s="162">
        <v>46193</v>
      </c>
      <c r="T266" s="126">
        <v>178</v>
      </c>
      <c r="U266" s="208">
        <v>-600</v>
      </c>
      <c r="V266" s="208">
        <v>-0.6</v>
      </c>
      <c r="W266" s="208">
        <v>4.75</v>
      </c>
      <c r="X266" s="208">
        <v>0</v>
      </c>
      <c r="Y266" s="208">
        <v>0</v>
      </c>
      <c r="Z266" s="208">
        <v>0</v>
      </c>
      <c r="AA266" s="208">
        <v>4.75</v>
      </c>
      <c r="AB266" s="208">
        <v>0</v>
      </c>
      <c r="AC266" s="237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550</v>
      </c>
      <c r="P267" s="126" t="s">
        <v>1600</v>
      </c>
      <c r="Q267" s="126">
        <v>1</v>
      </c>
      <c r="S267" s="162">
        <v>46193</v>
      </c>
      <c r="T267" s="126">
        <v>197</v>
      </c>
      <c r="U267" s="208">
        <v>-12</v>
      </c>
      <c r="V267" s="208">
        <v>-3</v>
      </c>
      <c r="W267" s="208">
        <v>8.36</v>
      </c>
      <c r="X267" s="208">
        <v>0</v>
      </c>
      <c r="Y267" s="208">
        <v>0</v>
      </c>
      <c r="Z267" s="208">
        <v>0</v>
      </c>
      <c r="AA267" s="208">
        <v>8.36</v>
      </c>
      <c r="AB267" s="208">
        <v>0</v>
      </c>
      <c r="AC267" s="237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550</v>
      </c>
      <c r="P268" s="126" t="s">
        <v>1600</v>
      </c>
      <c r="Q268" s="126">
        <v>1</v>
      </c>
      <c r="S268" s="162">
        <v>46193</v>
      </c>
      <c r="T268" s="126">
        <v>189</v>
      </c>
      <c r="U268" s="208">
        <v>-24</v>
      </c>
      <c r="V268" s="208">
        <v>-6</v>
      </c>
      <c r="W268" s="208">
        <v>4.09</v>
      </c>
      <c r="X268" s="208">
        <v>0</v>
      </c>
      <c r="Y268" s="208">
        <v>0</v>
      </c>
      <c r="Z268" s="208">
        <v>0</v>
      </c>
      <c r="AA268" s="208">
        <v>4.09</v>
      </c>
      <c r="AB268" s="208">
        <v>0</v>
      </c>
      <c r="AC268" s="237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550</v>
      </c>
      <c r="P269" s="126" t="s">
        <v>1600</v>
      </c>
      <c r="Q269" s="126">
        <v>1</v>
      </c>
      <c r="S269" s="162">
        <v>46193</v>
      </c>
      <c r="T269" s="126">
        <v>16</v>
      </c>
      <c r="U269" s="208">
        <v>-2</v>
      </c>
      <c r="V269" s="208">
        <v>-2</v>
      </c>
      <c r="W269" s="208">
        <v>2.1</v>
      </c>
      <c r="X269" s="208">
        <v>0</v>
      </c>
      <c r="Y269" s="208">
        <v>0</v>
      </c>
      <c r="Z269" s="208">
        <v>0</v>
      </c>
      <c r="AA269" s="208">
        <v>2.1</v>
      </c>
      <c r="AB269" s="208">
        <v>0</v>
      </c>
      <c r="AC269" s="237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550</v>
      </c>
      <c r="P270" s="126" t="s">
        <v>1600</v>
      </c>
      <c r="Q270" s="126">
        <v>1</v>
      </c>
      <c r="S270" s="162">
        <v>46193</v>
      </c>
      <c r="T270" s="126">
        <v>99</v>
      </c>
      <c r="U270" s="208">
        <v>-4</v>
      </c>
      <c r="V270" s="208">
        <v>-0.2</v>
      </c>
      <c r="W270" s="208">
        <v>0.24</v>
      </c>
      <c r="X270" s="208">
        <v>0</v>
      </c>
      <c r="Y270" s="208">
        <v>0</v>
      </c>
      <c r="Z270" s="208">
        <v>0</v>
      </c>
      <c r="AA270" s="208">
        <v>0.24</v>
      </c>
      <c r="AB270" s="208">
        <v>0</v>
      </c>
      <c r="AC270" s="237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550</v>
      </c>
      <c r="P271" s="126" t="s">
        <v>1600</v>
      </c>
      <c r="Q271" s="126">
        <v>1</v>
      </c>
      <c r="S271" s="162">
        <v>46193</v>
      </c>
      <c r="T271" s="126">
        <v>8</v>
      </c>
      <c r="U271" s="208">
        <v>-1</v>
      </c>
      <c r="V271" s="208">
        <v>-1</v>
      </c>
      <c r="W271" s="208">
        <v>1.32</v>
      </c>
      <c r="X271" s="208">
        <v>0</v>
      </c>
      <c r="Y271" s="208">
        <v>0</v>
      </c>
      <c r="Z271" s="208">
        <v>0</v>
      </c>
      <c r="AA271" s="208">
        <v>1.32</v>
      </c>
      <c r="AB271" s="208">
        <v>0</v>
      </c>
      <c r="AC271" s="237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550</v>
      </c>
      <c r="P272" s="126" t="s">
        <v>1600</v>
      </c>
      <c r="Q272" s="126">
        <v>1</v>
      </c>
      <c r="S272" s="162">
        <v>46193</v>
      </c>
      <c r="T272" s="126">
        <v>142</v>
      </c>
      <c r="U272" s="208">
        <v>-1</v>
      </c>
      <c r="V272" s="208">
        <v>-8.3333333333333329E-2</v>
      </c>
      <c r="W272" s="208">
        <v>0.34</v>
      </c>
      <c r="X272" s="208">
        <v>0</v>
      </c>
      <c r="Y272" s="208">
        <v>0</v>
      </c>
      <c r="Z272" s="208">
        <v>0</v>
      </c>
      <c r="AA272" s="208">
        <v>0.34</v>
      </c>
      <c r="AB272" s="208">
        <v>0</v>
      </c>
      <c r="AC272" s="237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550</v>
      </c>
      <c r="P273" s="126" t="s">
        <v>1620</v>
      </c>
      <c r="Q273" s="126">
        <v>1</v>
      </c>
      <c r="S273" s="162">
        <v>46193</v>
      </c>
      <c r="T273" s="126">
        <v>177</v>
      </c>
      <c r="U273" s="208">
        <v>-500</v>
      </c>
      <c r="V273" s="208">
        <v>-0.5</v>
      </c>
      <c r="W273" s="208">
        <v>4.1500000000000004</v>
      </c>
      <c r="X273" s="208">
        <v>0</v>
      </c>
      <c r="Y273" s="208">
        <v>0</v>
      </c>
      <c r="Z273" s="208">
        <v>0</v>
      </c>
      <c r="AA273" s="208">
        <v>4.1500000000000004</v>
      </c>
      <c r="AB273" s="208">
        <v>0</v>
      </c>
      <c r="AC273" s="237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550</v>
      </c>
      <c r="P274" s="126" t="s">
        <v>1626</v>
      </c>
      <c r="Q274" s="126">
        <v>1</v>
      </c>
      <c r="S274" s="162">
        <v>46194</v>
      </c>
      <c r="T274" s="126">
        <v>187</v>
      </c>
      <c r="U274" s="208">
        <v>-32</v>
      </c>
      <c r="V274" s="208">
        <v>-8</v>
      </c>
      <c r="W274" s="208">
        <v>3.37</v>
      </c>
      <c r="X274" s="208">
        <v>0</v>
      </c>
      <c r="Y274" s="208">
        <v>0</v>
      </c>
      <c r="Z274" s="208">
        <v>0</v>
      </c>
      <c r="AA274" s="208">
        <v>3.37</v>
      </c>
      <c r="AB274" s="208">
        <v>0</v>
      </c>
      <c r="AC274" s="237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550</v>
      </c>
      <c r="P275" s="126" t="s">
        <v>1626</v>
      </c>
      <c r="Q275" s="126">
        <v>1</v>
      </c>
      <c r="S275" s="162">
        <v>46194</v>
      </c>
      <c r="T275" s="126">
        <v>191</v>
      </c>
      <c r="U275" s="208">
        <v>-16</v>
      </c>
      <c r="V275" s="208">
        <v>-4</v>
      </c>
      <c r="W275" s="208">
        <v>4.92</v>
      </c>
      <c r="X275" s="208">
        <v>0</v>
      </c>
      <c r="Y275" s="208">
        <v>0</v>
      </c>
      <c r="Z275" s="208">
        <v>0</v>
      </c>
      <c r="AA275" s="208">
        <v>4.92</v>
      </c>
      <c r="AB275" s="208">
        <v>0</v>
      </c>
      <c r="AC275" s="237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550</v>
      </c>
      <c r="P276" s="126" t="s">
        <v>1634</v>
      </c>
      <c r="Q276" s="126">
        <v>1</v>
      </c>
      <c r="S276" s="162">
        <v>46194</v>
      </c>
      <c r="T276" s="126">
        <v>189</v>
      </c>
      <c r="U276" s="208">
        <v>-20</v>
      </c>
      <c r="V276" s="208">
        <v>-5</v>
      </c>
      <c r="W276" s="208">
        <v>4.09</v>
      </c>
      <c r="X276" s="208">
        <v>0</v>
      </c>
      <c r="Y276" s="208">
        <v>0</v>
      </c>
      <c r="Z276" s="208">
        <v>0</v>
      </c>
      <c r="AA276" s="208">
        <v>4.09</v>
      </c>
      <c r="AB276" s="208">
        <v>0</v>
      </c>
      <c r="AC276" s="237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550</v>
      </c>
      <c r="P277" s="126" t="s">
        <v>1634</v>
      </c>
      <c r="Q277" s="126">
        <v>1</v>
      </c>
      <c r="S277" s="162">
        <v>46194</v>
      </c>
      <c r="T277" s="126">
        <v>197</v>
      </c>
      <c r="U277" s="208">
        <v>-8</v>
      </c>
      <c r="V277" s="208">
        <v>-2</v>
      </c>
      <c r="W277" s="208">
        <v>8.36</v>
      </c>
      <c r="X277" s="208">
        <v>0</v>
      </c>
      <c r="Y277" s="208">
        <v>0</v>
      </c>
      <c r="Z277" s="208">
        <v>0</v>
      </c>
      <c r="AA277" s="208">
        <v>8.36</v>
      </c>
      <c r="AB277" s="208">
        <v>0</v>
      </c>
      <c r="AC277" s="237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550</v>
      </c>
      <c r="P278" s="126" t="s">
        <v>1642</v>
      </c>
      <c r="Q278" s="126">
        <v>1</v>
      </c>
      <c r="S278" s="162">
        <v>46194</v>
      </c>
      <c r="T278" s="126">
        <v>160</v>
      </c>
      <c r="U278" s="208">
        <v>-4</v>
      </c>
      <c r="V278" s="208">
        <v>-1</v>
      </c>
      <c r="W278" s="208">
        <v>47</v>
      </c>
      <c r="X278" s="208">
        <v>0</v>
      </c>
      <c r="Y278" s="208">
        <v>0</v>
      </c>
      <c r="Z278" s="208">
        <v>0</v>
      </c>
      <c r="AA278" s="208">
        <v>47</v>
      </c>
      <c r="AB278" s="208">
        <v>0</v>
      </c>
      <c r="AC278" s="237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550</v>
      </c>
      <c r="P279" s="126" t="s">
        <v>1642</v>
      </c>
      <c r="Q279" s="126">
        <v>1</v>
      </c>
      <c r="S279" s="162">
        <v>46194</v>
      </c>
      <c r="T279" s="126">
        <v>170</v>
      </c>
      <c r="U279" s="208">
        <v>-10</v>
      </c>
      <c r="V279" s="208">
        <v>-10</v>
      </c>
      <c r="W279" s="208">
        <v>0.4</v>
      </c>
      <c r="X279" s="208">
        <v>0</v>
      </c>
      <c r="Y279" s="208">
        <v>0</v>
      </c>
      <c r="Z279" s="208">
        <v>0</v>
      </c>
      <c r="AA279" s="208">
        <v>0.4</v>
      </c>
      <c r="AB279" s="208">
        <v>0</v>
      </c>
      <c r="AC279" s="237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550</v>
      </c>
      <c r="P280" s="126" t="s">
        <v>1654</v>
      </c>
      <c r="Q280" s="126">
        <v>1</v>
      </c>
      <c r="S280" s="162">
        <v>46195</v>
      </c>
      <c r="T280" s="126">
        <v>176</v>
      </c>
      <c r="U280" s="208">
        <v>-500</v>
      </c>
      <c r="V280" s="208">
        <v>-0.5</v>
      </c>
      <c r="W280" s="208">
        <v>4.25</v>
      </c>
      <c r="X280" s="208">
        <v>0</v>
      </c>
      <c r="Y280" s="208">
        <v>0</v>
      </c>
      <c r="Z280" s="208">
        <v>0</v>
      </c>
      <c r="AA280" s="208">
        <v>4.25</v>
      </c>
      <c r="AB280" s="208">
        <v>0</v>
      </c>
      <c r="AC280" s="237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550</v>
      </c>
      <c r="P281" s="126" t="s">
        <v>1654</v>
      </c>
      <c r="Q281" s="126">
        <v>1</v>
      </c>
      <c r="S281" s="162">
        <v>46195</v>
      </c>
      <c r="T281" s="126">
        <v>177</v>
      </c>
      <c r="U281" s="208">
        <v>-250</v>
      </c>
      <c r="V281" s="208">
        <v>-0.25</v>
      </c>
      <c r="W281" s="208">
        <v>4.1500000000000004</v>
      </c>
      <c r="X281" s="208">
        <v>0</v>
      </c>
      <c r="Y281" s="208">
        <v>0</v>
      </c>
      <c r="Z281" s="208">
        <v>0</v>
      </c>
      <c r="AA281" s="208">
        <v>4.1500000000000004</v>
      </c>
      <c r="AB281" s="208">
        <v>0</v>
      </c>
      <c r="AC281" s="237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550</v>
      </c>
      <c r="P282" s="126" t="s">
        <v>1662</v>
      </c>
      <c r="Q282" s="126">
        <v>1</v>
      </c>
      <c r="S282" s="162">
        <v>46195</v>
      </c>
      <c r="T282" s="126">
        <v>195</v>
      </c>
      <c r="U282" s="208">
        <v>-12</v>
      </c>
      <c r="V282" s="208">
        <v>-3</v>
      </c>
      <c r="W282" s="208">
        <v>6.28</v>
      </c>
      <c r="X282" s="208">
        <v>0</v>
      </c>
      <c r="Y282" s="208">
        <v>0</v>
      </c>
      <c r="Z282" s="208">
        <v>0</v>
      </c>
      <c r="AA282" s="208">
        <v>6.28</v>
      </c>
      <c r="AB282" s="208">
        <v>0</v>
      </c>
      <c r="AC282" s="237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550</v>
      </c>
      <c r="P283" s="126" t="s">
        <v>1662</v>
      </c>
      <c r="Q283" s="126">
        <v>1</v>
      </c>
      <c r="S283" s="162">
        <v>46195</v>
      </c>
      <c r="T283" s="126">
        <v>177</v>
      </c>
      <c r="U283" s="208">
        <v>-150</v>
      </c>
      <c r="V283" s="208">
        <v>-0.15</v>
      </c>
      <c r="W283" s="208">
        <v>4.1500000000000004</v>
      </c>
      <c r="X283" s="208">
        <v>0</v>
      </c>
      <c r="Y283" s="208">
        <v>0</v>
      </c>
      <c r="Z283" s="208">
        <v>0</v>
      </c>
      <c r="AA283" s="208">
        <v>4.1500000000000004</v>
      </c>
      <c r="AB283" s="208">
        <v>0</v>
      </c>
      <c r="AC283" s="237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550</v>
      </c>
      <c r="P284" s="126" t="s">
        <v>1670</v>
      </c>
      <c r="Q284" s="126">
        <v>1</v>
      </c>
      <c r="S284" s="162">
        <v>46195</v>
      </c>
      <c r="T284" s="126">
        <v>177</v>
      </c>
      <c r="U284" s="208">
        <v>-250</v>
      </c>
      <c r="V284" s="208">
        <v>-0.25</v>
      </c>
      <c r="W284" s="208">
        <v>4.1500000000000004</v>
      </c>
      <c r="X284" s="208">
        <v>0</v>
      </c>
      <c r="Y284" s="208">
        <v>0</v>
      </c>
      <c r="Z284" s="208">
        <v>0</v>
      </c>
      <c r="AA284" s="208">
        <v>4.1500000000000004</v>
      </c>
      <c r="AB284" s="208">
        <v>0</v>
      </c>
      <c r="AC284" s="237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550</v>
      </c>
      <c r="P285" s="126" t="s">
        <v>1670</v>
      </c>
      <c r="Q285" s="126">
        <v>1</v>
      </c>
      <c r="S285" s="162">
        <v>46195</v>
      </c>
      <c r="T285" s="126">
        <v>14</v>
      </c>
      <c r="U285" s="208">
        <v>-2</v>
      </c>
      <c r="V285" s="208">
        <v>-2</v>
      </c>
      <c r="W285" s="208">
        <v>3.3</v>
      </c>
      <c r="X285" s="208">
        <v>0</v>
      </c>
      <c r="Y285" s="208">
        <v>0</v>
      </c>
      <c r="Z285" s="208">
        <v>0</v>
      </c>
      <c r="AA285" s="208">
        <v>3.3</v>
      </c>
      <c r="AB285" s="208">
        <v>0</v>
      </c>
      <c r="AC285" s="237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550</v>
      </c>
      <c r="P286" s="126" t="s">
        <v>1670</v>
      </c>
      <c r="Q286" s="126">
        <v>1</v>
      </c>
      <c r="S286" s="162">
        <v>46195</v>
      </c>
      <c r="T286" s="126">
        <v>102</v>
      </c>
      <c r="U286" s="208">
        <v>-2</v>
      </c>
      <c r="V286" s="208">
        <v>-8.3333333333333329E-2</v>
      </c>
      <c r="W286" s="208">
        <v>4.5</v>
      </c>
      <c r="X286" s="208">
        <v>0</v>
      </c>
      <c r="Y286" s="208">
        <v>0</v>
      </c>
      <c r="Z286" s="208">
        <v>0</v>
      </c>
      <c r="AA286" s="208">
        <v>4.5</v>
      </c>
      <c r="AB286" s="208">
        <v>0</v>
      </c>
      <c r="AC286" s="237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550</v>
      </c>
      <c r="P287" s="126" t="s">
        <v>1670</v>
      </c>
      <c r="Q287" s="126">
        <v>1</v>
      </c>
      <c r="S287" s="162">
        <v>46195</v>
      </c>
      <c r="T287" s="126">
        <v>18</v>
      </c>
      <c r="U287" s="208">
        <v>-5</v>
      </c>
      <c r="V287" s="208">
        <v>-5</v>
      </c>
      <c r="W287" s="208">
        <v>1.35</v>
      </c>
      <c r="X287" s="208">
        <v>0</v>
      </c>
      <c r="Y287" s="208">
        <v>0</v>
      </c>
      <c r="Z287" s="208">
        <v>0</v>
      </c>
      <c r="AA287" s="208">
        <v>1.35</v>
      </c>
      <c r="AB287" s="208">
        <v>0</v>
      </c>
      <c r="AC287" s="237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550</v>
      </c>
      <c r="P288" s="126" t="s">
        <v>1684</v>
      </c>
      <c r="Q288" s="126">
        <v>1</v>
      </c>
      <c r="S288" s="162">
        <v>46195</v>
      </c>
      <c r="T288" s="126">
        <v>176</v>
      </c>
      <c r="U288" s="208">
        <v>-500</v>
      </c>
      <c r="V288" s="208">
        <v>-0.5</v>
      </c>
      <c r="W288" s="208">
        <v>4.25</v>
      </c>
      <c r="X288" s="208">
        <v>0</v>
      </c>
      <c r="Y288" s="208">
        <v>0</v>
      </c>
      <c r="Z288" s="208">
        <v>0</v>
      </c>
      <c r="AA288" s="208">
        <v>4.25</v>
      </c>
      <c r="AB288" s="208">
        <v>0</v>
      </c>
      <c r="AC288" s="237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550</v>
      </c>
      <c r="P289" s="126" t="s">
        <v>1689</v>
      </c>
      <c r="Q289" s="126">
        <v>1</v>
      </c>
      <c r="S289" s="162">
        <v>46195</v>
      </c>
      <c r="T289" s="126">
        <v>29</v>
      </c>
      <c r="U289" s="208">
        <v>-3</v>
      </c>
      <c r="V289" s="208">
        <v>-3</v>
      </c>
      <c r="W289" s="208">
        <v>4.2300000000000004</v>
      </c>
      <c r="X289" s="208">
        <v>0</v>
      </c>
      <c r="Y289" s="208">
        <v>0</v>
      </c>
      <c r="Z289" s="208">
        <v>0</v>
      </c>
      <c r="AA289" s="208">
        <v>4.2300000000000004</v>
      </c>
      <c r="AB289" s="208">
        <v>0</v>
      </c>
      <c r="AC289" s="237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550</v>
      </c>
      <c r="P290" s="126" t="s">
        <v>1689</v>
      </c>
      <c r="Q290" s="126">
        <v>1</v>
      </c>
      <c r="S290" s="162">
        <v>46195</v>
      </c>
      <c r="T290" s="126">
        <v>63</v>
      </c>
      <c r="U290" s="208">
        <v>-5</v>
      </c>
      <c r="V290" s="208">
        <v>-5</v>
      </c>
      <c r="W290" s="208">
        <v>4.33</v>
      </c>
      <c r="X290" s="208">
        <v>0</v>
      </c>
      <c r="Y290" s="208">
        <v>0</v>
      </c>
      <c r="Z290" s="208">
        <v>0</v>
      </c>
      <c r="AA290" s="208">
        <v>4.33</v>
      </c>
      <c r="AB290" s="208">
        <v>0</v>
      </c>
      <c r="AC290" s="237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550</v>
      </c>
      <c r="P291" s="126" t="s">
        <v>1689</v>
      </c>
      <c r="Q291" s="126">
        <v>1</v>
      </c>
      <c r="S291" s="162">
        <v>46195</v>
      </c>
      <c r="T291" s="126">
        <v>177</v>
      </c>
      <c r="U291" s="208">
        <v>-250</v>
      </c>
      <c r="V291" s="208">
        <v>-0.25</v>
      </c>
      <c r="W291" s="208">
        <v>4.1500000000000004</v>
      </c>
      <c r="X291" s="208">
        <v>0</v>
      </c>
      <c r="Y291" s="208">
        <v>0</v>
      </c>
      <c r="Z291" s="208">
        <v>0</v>
      </c>
      <c r="AA291" s="208">
        <v>4.1500000000000004</v>
      </c>
      <c r="AB291" s="208">
        <v>0</v>
      </c>
      <c r="AC291" s="237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550</v>
      </c>
      <c r="P292" s="126" t="s">
        <v>1701</v>
      </c>
      <c r="Q292" s="126">
        <v>1</v>
      </c>
      <c r="S292" s="162">
        <v>46196</v>
      </c>
      <c r="T292" s="126">
        <v>158</v>
      </c>
      <c r="U292" s="208">
        <v>-1</v>
      </c>
      <c r="V292" s="208">
        <v>-1</v>
      </c>
      <c r="W292" s="208">
        <v>53</v>
      </c>
      <c r="X292" s="208">
        <v>0</v>
      </c>
      <c r="Y292" s="208">
        <v>0</v>
      </c>
      <c r="Z292" s="208">
        <v>0</v>
      </c>
      <c r="AA292" s="208">
        <v>53</v>
      </c>
      <c r="AB292" s="208">
        <v>0</v>
      </c>
      <c r="AC292" s="237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550</v>
      </c>
      <c r="P293" s="126" t="s">
        <v>1701</v>
      </c>
      <c r="Q293" s="126">
        <v>1</v>
      </c>
      <c r="S293" s="162">
        <v>46196</v>
      </c>
      <c r="T293" s="126">
        <v>165</v>
      </c>
      <c r="U293" s="208">
        <v>-1</v>
      </c>
      <c r="V293" s="208">
        <v>-0.25</v>
      </c>
      <c r="W293" s="208">
        <v>20.25</v>
      </c>
      <c r="X293" s="208">
        <v>0</v>
      </c>
      <c r="Y293" s="208">
        <v>0</v>
      </c>
      <c r="Z293" s="208">
        <v>0</v>
      </c>
      <c r="AA293" s="208">
        <v>20.25</v>
      </c>
      <c r="AB293" s="208">
        <v>0</v>
      </c>
      <c r="AC293" s="237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550</v>
      </c>
      <c r="P294" s="126" t="s">
        <v>1701</v>
      </c>
      <c r="Q294" s="126">
        <v>1</v>
      </c>
      <c r="S294" s="162">
        <v>46196</v>
      </c>
      <c r="T294" s="126">
        <v>191</v>
      </c>
      <c r="U294" s="208">
        <v>-20</v>
      </c>
      <c r="V294" s="208">
        <v>-5</v>
      </c>
      <c r="W294" s="208">
        <v>4.92</v>
      </c>
      <c r="X294" s="208">
        <v>0</v>
      </c>
      <c r="Y294" s="208">
        <v>0</v>
      </c>
      <c r="Z294" s="208">
        <v>0</v>
      </c>
      <c r="AA294" s="208">
        <v>4.92</v>
      </c>
      <c r="AB294" s="208">
        <v>0</v>
      </c>
      <c r="AC294" s="237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550</v>
      </c>
      <c r="P295" s="126" t="s">
        <v>1717</v>
      </c>
      <c r="Q295" s="126">
        <v>1</v>
      </c>
      <c r="S295" s="162">
        <v>46196</v>
      </c>
      <c r="T295" s="126">
        <v>178</v>
      </c>
      <c r="U295" s="208">
        <v>-600</v>
      </c>
      <c r="V295" s="208">
        <v>-0.6</v>
      </c>
      <c r="W295" s="208">
        <v>4.75</v>
      </c>
      <c r="X295" s="208">
        <v>0</v>
      </c>
      <c r="Y295" s="208">
        <v>0</v>
      </c>
      <c r="Z295" s="208">
        <v>0</v>
      </c>
      <c r="AA295" s="208">
        <v>4.75</v>
      </c>
      <c r="AB295" s="208">
        <v>0</v>
      </c>
      <c r="AC295" s="237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550</v>
      </c>
      <c r="P296" s="126" t="s">
        <v>1723</v>
      </c>
      <c r="Q296" s="126">
        <v>1</v>
      </c>
      <c r="S296" s="162">
        <v>46197</v>
      </c>
      <c r="T296" s="126">
        <v>178</v>
      </c>
      <c r="U296" s="208">
        <v>-150</v>
      </c>
      <c r="V296" s="208">
        <v>-0.15</v>
      </c>
      <c r="W296" s="208">
        <v>4.75</v>
      </c>
      <c r="X296" s="208">
        <v>0</v>
      </c>
      <c r="Y296" s="208">
        <v>0</v>
      </c>
      <c r="Z296" s="208">
        <v>0</v>
      </c>
      <c r="AA296" s="208">
        <v>4.75</v>
      </c>
      <c r="AB296" s="208">
        <v>0</v>
      </c>
      <c r="AC296" s="237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550</v>
      </c>
      <c r="P297" s="126" t="s">
        <v>1723</v>
      </c>
      <c r="Q297" s="126">
        <v>1</v>
      </c>
      <c r="S297" s="162">
        <v>46197</v>
      </c>
      <c r="T297" s="126">
        <v>181</v>
      </c>
      <c r="U297" s="208">
        <v>-12</v>
      </c>
      <c r="V297" s="208">
        <v>-1</v>
      </c>
      <c r="W297" s="208">
        <v>1</v>
      </c>
      <c r="X297" s="208">
        <v>0</v>
      </c>
      <c r="Y297" s="208">
        <v>0</v>
      </c>
      <c r="Z297" s="208">
        <v>0</v>
      </c>
      <c r="AA297" s="208">
        <v>1</v>
      </c>
      <c r="AB297" s="208">
        <v>0</v>
      </c>
      <c r="AC297" s="237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550</v>
      </c>
      <c r="P298" s="126" t="s">
        <v>1731</v>
      </c>
      <c r="Q298" s="126">
        <v>1</v>
      </c>
      <c r="S298" s="162">
        <v>46197</v>
      </c>
      <c r="T298" s="126">
        <v>195</v>
      </c>
      <c r="U298" s="208">
        <v>-28</v>
      </c>
      <c r="V298" s="208">
        <v>-7</v>
      </c>
      <c r="W298" s="208">
        <v>6.28</v>
      </c>
      <c r="X298" s="208">
        <v>0</v>
      </c>
      <c r="Y298" s="208">
        <v>0</v>
      </c>
      <c r="Z298" s="208">
        <v>0</v>
      </c>
      <c r="AA298" s="208">
        <v>6.28</v>
      </c>
      <c r="AB298" s="208">
        <v>0</v>
      </c>
      <c r="AC298" s="237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550</v>
      </c>
      <c r="P299" s="126" t="s">
        <v>1731</v>
      </c>
      <c r="Q299" s="126">
        <v>1</v>
      </c>
      <c r="S299" s="162">
        <v>46197</v>
      </c>
      <c r="T299" s="126">
        <v>197</v>
      </c>
      <c r="U299" s="208">
        <v>-8</v>
      </c>
      <c r="V299" s="208">
        <v>-2</v>
      </c>
      <c r="W299" s="208">
        <v>8.36</v>
      </c>
      <c r="X299" s="208">
        <v>0</v>
      </c>
      <c r="Y299" s="208">
        <v>0</v>
      </c>
      <c r="Z299" s="208">
        <v>0</v>
      </c>
      <c r="AA299" s="208">
        <v>8.36</v>
      </c>
      <c r="AB299" s="208">
        <v>0</v>
      </c>
      <c r="AC299" s="237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550</v>
      </c>
      <c r="P300" s="126" t="s">
        <v>1739</v>
      </c>
      <c r="Q300" s="126">
        <v>1</v>
      </c>
      <c r="S300" s="162">
        <v>46197</v>
      </c>
      <c r="T300" s="126">
        <v>177</v>
      </c>
      <c r="U300" s="208">
        <v>-250</v>
      </c>
      <c r="V300" s="208">
        <v>-0.25</v>
      </c>
      <c r="W300" s="208">
        <v>4.1500000000000004</v>
      </c>
      <c r="X300" s="208">
        <v>0</v>
      </c>
      <c r="Y300" s="208">
        <v>0</v>
      </c>
      <c r="Z300" s="208">
        <v>0</v>
      </c>
      <c r="AA300" s="208">
        <v>4.1500000000000004</v>
      </c>
      <c r="AB300" s="208">
        <v>0</v>
      </c>
      <c r="AC300" s="237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550</v>
      </c>
      <c r="P301" s="126" t="s">
        <v>1739</v>
      </c>
      <c r="Q301" s="126">
        <v>1</v>
      </c>
      <c r="S301" s="162">
        <v>46197</v>
      </c>
      <c r="T301" s="126">
        <v>54</v>
      </c>
      <c r="U301" s="208">
        <v>-1</v>
      </c>
      <c r="V301" s="208">
        <v>-1</v>
      </c>
      <c r="W301" s="208">
        <v>2.12</v>
      </c>
      <c r="X301" s="208">
        <v>0</v>
      </c>
      <c r="Y301" s="208">
        <v>0</v>
      </c>
      <c r="Z301" s="208">
        <v>0</v>
      </c>
      <c r="AA301" s="208">
        <v>2.12</v>
      </c>
      <c r="AB301" s="208">
        <v>0</v>
      </c>
      <c r="AC301" s="237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550</v>
      </c>
      <c r="P302" s="126" t="s">
        <v>1739</v>
      </c>
      <c r="Q302" s="126">
        <v>1</v>
      </c>
      <c r="S302" s="162">
        <v>46197</v>
      </c>
      <c r="T302" s="126">
        <v>32</v>
      </c>
      <c r="U302" s="208">
        <v>-1</v>
      </c>
      <c r="V302" s="208">
        <v>-1</v>
      </c>
      <c r="W302" s="208">
        <v>1.04</v>
      </c>
      <c r="X302" s="208">
        <v>0</v>
      </c>
      <c r="Y302" s="208">
        <v>0</v>
      </c>
      <c r="Z302" s="208">
        <v>0</v>
      </c>
      <c r="AA302" s="208">
        <v>1.04</v>
      </c>
      <c r="AB302" s="208">
        <v>0</v>
      </c>
      <c r="AC302" s="237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550</v>
      </c>
      <c r="P303" s="126" t="s">
        <v>1739</v>
      </c>
      <c r="Q303" s="126">
        <v>1</v>
      </c>
      <c r="S303" s="162">
        <v>46197</v>
      </c>
      <c r="T303" s="126">
        <v>162</v>
      </c>
      <c r="U303" s="208">
        <v>-1</v>
      </c>
      <c r="V303" s="208">
        <v>-1</v>
      </c>
      <c r="W303" s="208">
        <v>53</v>
      </c>
      <c r="X303" s="208">
        <v>0</v>
      </c>
      <c r="Y303" s="208">
        <v>0</v>
      </c>
      <c r="Z303" s="208">
        <v>0</v>
      </c>
      <c r="AA303" s="208">
        <v>53</v>
      </c>
      <c r="AB303" s="208">
        <v>0</v>
      </c>
      <c r="AC303" s="237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550</v>
      </c>
      <c r="P304" s="126" t="s">
        <v>1757</v>
      </c>
      <c r="Q304" s="126">
        <v>1</v>
      </c>
      <c r="S304" s="162">
        <v>46197</v>
      </c>
      <c r="T304" s="126">
        <v>179</v>
      </c>
      <c r="U304" s="208">
        <v>-250</v>
      </c>
      <c r="V304" s="208">
        <v>-0.25</v>
      </c>
      <c r="W304" s="208">
        <v>4.75</v>
      </c>
      <c r="X304" s="208">
        <v>0</v>
      </c>
      <c r="Y304" s="208">
        <v>0</v>
      </c>
      <c r="Z304" s="208">
        <v>0</v>
      </c>
      <c r="AA304" s="208">
        <v>4.75</v>
      </c>
      <c r="AB304" s="208">
        <v>0</v>
      </c>
      <c r="AC304" s="237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550</v>
      </c>
      <c r="P305" s="126" t="s">
        <v>1757</v>
      </c>
      <c r="Q305" s="126">
        <v>1</v>
      </c>
      <c r="S305" s="162">
        <v>46197</v>
      </c>
      <c r="T305" s="126">
        <v>54</v>
      </c>
      <c r="U305" s="208">
        <v>-7</v>
      </c>
      <c r="V305" s="208">
        <v>-7</v>
      </c>
      <c r="W305" s="208">
        <v>2.12</v>
      </c>
      <c r="X305" s="208">
        <v>0</v>
      </c>
      <c r="Y305" s="208">
        <v>0</v>
      </c>
      <c r="Z305" s="208">
        <v>0</v>
      </c>
      <c r="AA305" s="208">
        <v>2.12</v>
      </c>
      <c r="AB305" s="208">
        <v>0</v>
      </c>
      <c r="AC305" s="237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550</v>
      </c>
      <c r="P306" s="126" t="s">
        <v>1757</v>
      </c>
      <c r="Q306" s="126">
        <v>1</v>
      </c>
      <c r="S306" s="162">
        <v>46197</v>
      </c>
      <c r="T306" s="126">
        <v>16</v>
      </c>
      <c r="U306" s="208">
        <v>-7</v>
      </c>
      <c r="V306" s="208">
        <v>-7</v>
      </c>
      <c r="W306" s="208">
        <v>2.1</v>
      </c>
      <c r="X306" s="208">
        <v>0</v>
      </c>
      <c r="Y306" s="208">
        <v>0</v>
      </c>
      <c r="Z306" s="208">
        <v>0</v>
      </c>
      <c r="AA306" s="208">
        <v>2.1</v>
      </c>
      <c r="AB306" s="208">
        <v>0</v>
      </c>
      <c r="AC306" s="237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550</v>
      </c>
      <c r="P307" s="126" t="s">
        <v>1757</v>
      </c>
      <c r="Q307" s="126">
        <v>1</v>
      </c>
      <c r="S307" s="162">
        <v>46197</v>
      </c>
      <c r="T307" s="126">
        <v>182</v>
      </c>
      <c r="U307" s="208">
        <v>-84</v>
      </c>
      <c r="V307" s="208">
        <v>-7</v>
      </c>
      <c r="W307" s="208">
        <v>2</v>
      </c>
      <c r="X307" s="208">
        <v>0</v>
      </c>
      <c r="Y307" s="208">
        <v>0</v>
      </c>
      <c r="Z307" s="208">
        <v>0</v>
      </c>
      <c r="AA307" s="208">
        <v>2</v>
      </c>
      <c r="AB307" s="208">
        <v>0</v>
      </c>
      <c r="AC307" s="237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550</v>
      </c>
      <c r="P308" s="126" t="s">
        <v>1772</v>
      </c>
      <c r="Q308" s="126">
        <v>1</v>
      </c>
      <c r="S308" s="162">
        <v>46198</v>
      </c>
      <c r="T308" s="126">
        <v>177</v>
      </c>
      <c r="U308" s="208">
        <v>-300</v>
      </c>
      <c r="V308" s="208">
        <v>-0.3</v>
      </c>
      <c r="W308" s="208">
        <v>4.1500000000000004</v>
      </c>
      <c r="X308" s="208">
        <v>0</v>
      </c>
      <c r="Y308" s="208">
        <v>0</v>
      </c>
      <c r="Z308" s="208">
        <v>0</v>
      </c>
      <c r="AA308" s="208">
        <v>4.1500000000000004</v>
      </c>
      <c r="AB308" s="208">
        <v>0</v>
      </c>
      <c r="AC308" s="237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550</v>
      </c>
      <c r="P309" s="126" t="s">
        <v>1772</v>
      </c>
      <c r="Q309" s="126">
        <v>1</v>
      </c>
      <c r="S309" s="162">
        <v>46198</v>
      </c>
      <c r="T309" s="126">
        <v>189</v>
      </c>
      <c r="U309" s="208">
        <v>-8</v>
      </c>
      <c r="V309" s="208">
        <v>-2</v>
      </c>
      <c r="W309" s="208">
        <v>4.09</v>
      </c>
      <c r="X309" s="208">
        <v>0</v>
      </c>
      <c r="Y309" s="208">
        <v>0</v>
      </c>
      <c r="Z309" s="208">
        <v>0</v>
      </c>
      <c r="AA309" s="208">
        <v>4.09</v>
      </c>
      <c r="AB309" s="208">
        <v>0</v>
      </c>
      <c r="AC309" s="237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550</v>
      </c>
      <c r="P310" s="126" t="s">
        <v>1772</v>
      </c>
      <c r="Q310" s="126">
        <v>1</v>
      </c>
      <c r="S310" s="162">
        <v>46198</v>
      </c>
      <c r="T310" s="126">
        <v>51</v>
      </c>
      <c r="U310" s="208">
        <v>-5</v>
      </c>
      <c r="V310" s="208">
        <v>-5</v>
      </c>
      <c r="W310" s="208">
        <v>4.49</v>
      </c>
      <c r="X310" s="208">
        <v>0</v>
      </c>
      <c r="Y310" s="208">
        <v>0</v>
      </c>
      <c r="Z310" s="208">
        <v>0</v>
      </c>
      <c r="AA310" s="208">
        <v>4.49</v>
      </c>
      <c r="AB310" s="208">
        <v>0</v>
      </c>
      <c r="AC310" s="237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550</v>
      </c>
      <c r="P311" s="126" t="s">
        <v>1783</v>
      </c>
      <c r="Q311" s="126">
        <v>1</v>
      </c>
      <c r="S311" s="162">
        <v>46198</v>
      </c>
      <c r="T311" s="126">
        <v>195</v>
      </c>
      <c r="U311" s="208">
        <v>-12</v>
      </c>
      <c r="V311" s="208">
        <v>-3</v>
      </c>
      <c r="W311" s="208">
        <v>6.28</v>
      </c>
      <c r="X311" s="208">
        <v>0</v>
      </c>
      <c r="Y311" s="208">
        <v>0</v>
      </c>
      <c r="Z311" s="208">
        <v>0</v>
      </c>
      <c r="AA311" s="208">
        <v>6.28</v>
      </c>
      <c r="AB311" s="208">
        <v>0</v>
      </c>
      <c r="AC311" s="237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550</v>
      </c>
      <c r="P312" s="126" t="s">
        <v>1783</v>
      </c>
      <c r="Q312" s="126">
        <v>1</v>
      </c>
      <c r="S312" s="162">
        <v>46198</v>
      </c>
      <c r="T312" s="126">
        <v>187</v>
      </c>
      <c r="U312" s="208">
        <v>-24</v>
      </c>
      <c r="V312" s="208">
        <v>-6</v>
      </c>
      <c r="W312" s="208">
        <v>3.37</v>
      </c>
      <c r="X312" s="208">
        <v>0</v>
      </c>
      <c r="Y312" s="208">
        <v>0</v>
      </c>
      <c r="Z312" s="208">
        <v>0</v>
      </c>
      <c r="AA312" s="208">
        <v>3.37</v>
      </c>
      <c r="AB312" s="208">
        <v>0</v>
      </c>
      <c r="AC312" s="237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550</v>
      </c>
      <c r="P313" s="126" t="s">
        <v>1783</v>
      </c>
      <c r="Q313" s="126">
        <v>1</v>
      </c>
      <c r="S313" s="162">
        <v>46198</v>
      </c>
      <c r="T313" s="126">
        <v>153</v>
      </c>
      <c r="U313" s="208">
        <v>-4</v>
      </c>
      <c r="V313" s="208">
        <v>-0.33333333333333331</v>
      </c>
      <c r="W313" s="208">
        <v>3.3</v>
      </c>
      <c r="X313" s="208">
        <v>0</v>
      </c>
      <c r="Y313" s="208">
        <v>0</v>
      </c>
      <c r="Z313" s="208">
        <v>0</v>
      </c>
      <c r="AA313" s="208">
        <v>3.3</v>
      </c>
      <c r="AB313" s="208">
        <v>0</v>
      </c>
      <c r="AC313" s="237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550</v>
      </c>
      <c r="P314" s="126" t="s">
        <v>1783</v>
      </c>
      <c r="Q314" s="126">
        <v>1</v>
      </c>
      <c r="S314" s="162">
        <v>46198</v>
      </c>
      <c r="T314" s="126">
        <v>182</v>
      </c>
      <c r="U314" s="208">
        <v>-24</v>
      </c>
      <c r="V314" s="208">
        <v>-2</v>
      </c>
      <c r="W314" s="208">
        <v>2</v>
      </c>
      <c r="X314" s="208">
        <v>0</v>
      </c>
      <c r="Y314" s="208">
        <v>0</v>
      </c>
      <c r="Z314" s="208">
        <v>0</v>
      </c>
      <c r="AA314" s="208">
        <v>2</v>
      </c>
      <c r="AB314" s="208">
        <v>0</v>
      </c>
      <c r="AC314" s="237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550</v>
      </c>
      <c r="P315" s="126" t="s">
        <v>1783</v>
      </c>
      <c r="Q315" s="126">
        <v>1</v>
      </c>
      <c r="S315" s="162">
        <v>46198</v>
      </c>
      <c r="T315" s="126">
        <v>49</v>
      </c>
      <c r="U315" s="208">
        <v>-1</v>
      </c>
      <c r="V315" s="208">
        <v>-1</v>
      </c>
      <c r="W315" s="208">
        <v>0.28000000000000003</v>
      </c>
      <c r="X315" s="208">
        <v>0</v>
      </c>
      <c r="Y315" s="208">
        <v>0</v>
      </c>
      <c r="Z315" s="208">
        <v>0</v>
      </c>
      <c r="AA315" s="208">
        <v>0.28000000000000003</v>
      </c>
      <c r="AB315" s="208">
        <v>0</v>
      </c>
      <c r="AC315" s="237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550</v>
      </c>
      <c r="P316" s="126" t="s">
        <v>1800</v>
      </c>
      <c r="Q316" s="126">
        <v>1</v>
      </c>
      <c r="S316" s="162">
        <v>46198</v>
      </c>
      <c r="T316" s="126">
        <v>48</v>
      </c>
      <c r="U316" s="208">
        <v>-4</v>
      </c>
      <c r="V316" s="208">
        <v>-4</v>
      </c>
      <c r="W316" s="208">
        <v>0.12</v>
      </c>
      <c r="X316" s="208">
        <v>0</v>
      </c>
      <c r="Y316" s="208">
        <v>0</v>
      </c>
      <c r="Z316" s="208">
        <v>0</v>
      </c>
      <c r="AA316" s="208">
        <v>0.12</v>
      </c>
      <c r="AB316" s="208">
        <v>0</v>
      </c>
      <c r="AC316" s="237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550</v>
      </c>
      <c r="P317" s="126" t="s">
        <v>1800</v>
      </c>
      <c r="Q317" s="126">
        <v>1</v>
      </c>
      <c r="S317" s="162">
        <v>46198</v>
      </c>
      <c r="T317" s="126">
        <v>46</v>
      </c>
      <c r="U317" s="208">
        <v>-6</v>
      </c>
      <c r="V317" s="208">
        <v>-6</v>
      </c>
      <c r="W317" s="208">
        <v>0.15</v>
      </c>
      <c r="X317" s="208">
        <v>0</v>
      </c>
      <c r="Y317" s="208">
        <v>0</v>
      </c>
      <c r="Z317" s="208">
        <v>0</v>
      </c>
      <c r="AA317" s="208">
        <v>0.15</v>
      </c>
      <c r="AB317" s="208">
        <v>0</v>
      </c>
      <c r="AC317" s="237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550</v>
      </c>
      <c r="P318" s="126" t="s">
        <v>1800</v>
      </c>
      <c r="Q318" s="126">
        <v>1</v>
      </c>
      <c r="S318" s="162">
        <v>46198</v>
      </c>
      <c r="T318" s="126">
        <v>42</v>
      </c>
      <c r="U318" s="208">
        <v>-6</v>
      </c>
      <c r="V318" s="208">
        <v>-6</v>
      </c>
      <c r="W318" s="208">
        <v>0.24</v>
      </c>
      <c r="X318" s="208">
        <v>0</v>
      </c>
      <c r="Y318" s="208">
        <v>0</v>
      </c>
      <c r="Z318" s="208">
        <v>0</v>
      </c>
      <c r="AA318" s="208">
        <v>0.24</v>
      </c>
      <c r="AB318" s="208">
        <v>0</v>
      </c>
      <c r="AC318" s="237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550</v>
      </c>
      <c r="P319" s="126" t="s">
        <v>1800</v>
      </c>
      <c r="Q319" s="126">
        <v>1</v>
      </c>
      <c r="S319" s="162">
        <v>46198</v>
      </c>
      <c r="T319" s="126">
        <v>50</v>
      </c>
      <c r="U319" s="208">
        <v>-6</v>
      </c>
      <c r="V319" s="208">
        <v>-6</v>
      </c>
      <c r="W319" s="208">
        <v>0.12</v>
      </c>
      <c r="X319" s="208">
        <v>0</v>
      </c>
      <c r="Y319" s="208">
        <v>0</v>
      </c>
      <c r="Z319" s="208">
        <v>0</v>
      </c>
      <c r="AA319" s="208">
        <v>0.12</v>
      </c>
      <c r="AB319" s="208">
        <v>0</v>
      </c>
      <c r="AC319" s="237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550</v>
      </c>
      <c r="P320" s="126" t="s">
        <v>1800</v>
      </c>
      <c r="Q320" s="126">
        <v>1</v>
      </c>
      <c r="S320" s="162">
        <v>46198</v>
      </c>
      <c r="T320" s="126">
        <v>9</v>
      </c>
      <c r="U320" s="208">
        <v>-7</v>
      </c>
      <c r="V320" s="208">
        <v>-7</v>
      </c>
      <c r="W320" s="208">
        <v>1.1499999999999999</v>
      </c>
      <c r="X320" s="208">
        <v>0</v>
      </c>
      <c r="Y320" s="208">
        <v>0</v>
      </c>
      <c r="Z320" s="208">
        <v>0</v>
      </c>
      <c r="AA320" s="208">
        <v>1.1499999999999999</v>
      </c>
      <c r="AB320" s="208">
        <v>0</v>
      </c>
      <c r="AC320" s="237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550</v>
      </c>
      <c r="P321" s="126" t="s">
        <v>1800</v>
      </c>
      <c r="Q321" s="126">
        <v>1</v>
      </c>
      <c r="S321" s="162">
        <v>46198</v>
      </c>
      <c r="T321" s="126">
        <v>8</v>
      </c>
      <c r="U321" s="208">
        <v>-2</v>
      </c>
      <c r="V321" s="208">
        <v>-2</v>
      </c>
      <c r="W321" s="208">
        <v>1.32</v>
      </c>
      <c r="X321" s="208">
        <v>0</v>
      </c>
      <c r="Y321" s="208">
        <v>0</v>
      </c>
      <c r="Z321" s="208">
        <v>0</v>
      </c>
      <c r="AA321" s="208">
        <v>1.32</v>
      </c>
      <c r="AB321" s="208">
        <v>0</v>
      </c>
      <c r="AC321" s="237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550</v>
      </c>
      <c r="P322" s="126" t="s">
        <v>1800</v>
      </c>
      <c r="Q322" s="126">
        <v>1</v>
      </c>
      <c r="S322" s="162">
        <v>46198</v>
      </c>
      <c r="T322" s="126">
        <v>75</v>
      </c>
      <c r="U322" s="208">
        <v>-1</v>
      </c>
      <c r="V322" s="208">
        <v>-1</v>
      </c>
      <c r="W322" s="208">
        <v>0.13</v>
      </c>
      <c r="X322" s="208">
        <v>0</v>
      </c>
      <c r="Y322" s="208">
        <v>0</v>
      </c>
      <c r="Z322" s="208">
        <v>0</v>
      </c>
      <c r="AA322" s="208">
        <v>0.13</v>
      </c>
      <c r="AB322" s="208">
        <v>0</v>
      </c>
      <c r="AC322" s="237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550</v>
      </c>
      <c r="P323" s="126" t="s">
        <v>1800</v>
      </c>
      <c r="Q323" s="126">
        <v>1</v>
      </c>
      <c r="S323" s="162">
        <v>46198</v>
      </c>
      <c r="T323" s="126">
        <v>56</v>
      </c>
      <c r="U323" s="208">
        <v>-1</v>
      </c>
      <c r="V323" s="208">
        <v>-1</v>
      </c>
      <c r="W323" s="208">
        <v>0.55000000000000004</v>
      </c>
      <c r="X323" s="208">
        <v>0</v>
      </c>
      <c r="Y323" s="208">
        <v>0</v>
      </c>
      <c r="Z323" s="208">
        <v>0</v>
      </c>
      <c r="AA323" s="208">
        <v>0.55000000000000004</v>
      </c>
      <c r="AB323" s="208">
        <v>0</v>
      </c>
      <c r="AC323" s="237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550</v>
      </c>
      <c r="P324" s="126" t="s">
        <v>1828</v>
      </c>
      <c r="Q324" s="126">
        <v>1</v>
      </c>
      <c r="S324" s="162">
        <v>46198</v>
      </c>
      <c r="T324" s="126">
        <v>46</v>
      </c>
      <c r="U324" s="208">
        <v>-2</v>
      </c>
      <c r="V324" s="208">
        <v>-2</v>
      </c>
      <c r="W324" s="208">
        <v>0.15</v>
      </c>
      <c r="X324" s="208">
        <v>0</v>
      </c>
      <c r="Y324" s="208">
        <v>0</v>
      </c>
      <c r="Z324" s="208">
        <v>0</v>
      </c>
      <c r="AA324" s="208">
        <v>0.15</v>
      </c>
      <c r="AB324" s="208">
        <v>0</v>
      </c>
      <c r="AC324" s="237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550</v>
      </c>
      <c r="P325" s="126" t="s">
        <v>1828</v>
      </c>
      <c r="Q325" s="126">
        <v>1</v>
      </c>
      <c r="S325" s="162">
        <v>46198</v>
      </c>
      <c r="T325" s="126">
        <v>41</v>
      </c>
      <c r="U325" s="208">
        <v>-2</v>
      </c>
      <c r="V325" s="208">
        <v>-2</v>
      </c>
      <c r="W325" s="208">
        <v>0.53</v>
      </c>
      <c r="X325" s="208">
        <v>0</v>
      </c>
      <c r="Y325" s="208">
        <v>0</v>
      </c>
      <c r="Z325" s="208">
        <v>0</v>
      </c>
      <c r="AA325" s="208">
        <v>0.53</v>
      </c>
      <c r="AB325" s="208">
        <v>0</v>
      </c>
      <c r="AC325" s="237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550</v>
      </c>
      <c r="P326" s="126" t="s">
        <v>1828</v>
      </c>
      <c r="Q326" s="126">
        <v>1</v>
      </c>
      <c r="S326" s="162">
        <v>46198</v>
      </c>
      <c r="T326" s="126">
        <v>68</v>
      </c>
      <c r="U326" s="208">
        <v>-2</v>
      </c>
      <c r="V326" s="208">
        <v>-2</v>
      </c>
      <c r="W326" s="208">
        <v>0.53</v>
      </c>
      <c r="X326" s="208">
        <v>0</v>
      </c>
      <c r="Y326" s="208">
        <v>0</v>
      </c>
      <c r="Z326" s="208">
        <v>0</v>
      </c>
      <c r="AA326" s="208">
        <v>0.53</v>
      </c>
      <c r="AB326" s="208">
        <v>0</v>
      </c>
      <c r="AC326" s="237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550</v>
      </c>
      <c r="P327" s="126" t="s">
        <v>1828</v>
      </c>
      <c r="Q327" s="126">
        <v>1</v>
      </c>
      <c r="S327" s="162">
        <v>46198</v>
      </c>
      <c r="T327" s="126">
        <v>177</v>
      </c>
      <c r="U327" s="208">
        <v>-250</v>
      </c>
      <c r="V327" s="208">
        <v>-0.25</v>
      </c>
      <c r="W327" s="208">
        <v>4.1500000000000004</v>
      </c>
      <c r="X327" s="208">
        <v>0</v>
      </c>
      <c r="Y327" s="208">
        <v>0</v>
      </c>
      <c r="Z327" s="208">
        <v>0</v>
      </c>
      <c r="AA327" s="208">
        <v>4.1500000000000004</v>
      </c>
      <c r="AB327" s="208">
        <v>0</v>
      </c>
      <c r="AC327" s="237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550</v>
      </c>
      <c r="P328" s="126" t="s">
        <v>1828</v>
      </c>
      <c r="Q328" s="126">
        <v>1</v>
      </c>
      <c r="S328" s="162">
        <v>46198</v>
      </c>
      <c r="T328" s="126">
        <v>108</v>
      </c>
      <c r="U328" s="208">
        <v>-1</v>
      </c>
      <c r="V328" s="208">
        <v>-1</v>
      </c>
      <c r="W328" s="208">
        <v>2.7</v>
      </c>
      <c r="X328" s="208">
        <v>0</v>
      </c>
      <c r="Y328" s="208">
        <v>0</v>
      </c>
      <c r="Z328" s="208">
        <v>0</v>
      </c>
      <c r="AA328" s="208">
        <v>2.7</v>
      </c>
      <c r="AB328" s="208">
        <v>0</v>
      </c>
      <c r="AC328" s="237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550</v>
      </c>
      <c r="P329" s="126" t="s">
        <v>1828</v>
      </c>
      <c r="Q329" s="126">
        <v>1</v>
      </c>
      <c r="S329" s="162">
        <v>46198</v>
      </c>
      <c r="T329" s="126">
        <v>14</v>
      </c>
      <c r="U329" s="208">
        <v>-1</v>
      </c>
      <c r="V329" s="208">
        <v>-1</v>
      </c>
      <c r="W329" s="208">
        <v>3.3</v>
      </c>
      <c r="X329" s="208">
        <v>0</v>
      </c>
      <c r="Y329" s="208">
        <v>0</v>
      </c>
      <c r="Z329" s="208">
        <v>0</v>
      </c>
      <c r="AA329" s="208">
        <v>3.3</v>
      </c>
      <c r="AB329" s="208">
        <v>0</v>
      </c>
      <c r="AC329" s="237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550</v>
      </c>
      <c r="P330" s="126" t="s">
        <v>1828</v>
      </c>
      <c r="Q330" s="126">
        <v>1</v>
      </c>
      <c r="S330" s="162">
        <v>46198</v>
      </c>
      <c r="T330" s="126">
        <v>56</v>
      </c>
      <c r="U330" s="208">
        <v>-2</v>
      </c>
      <c r="V330" s="208">
        <v>-2</v>
      </c>
      <c r="W330" s="208">
        <v>0.55000000000000004</v>
      </c>
      <c r="X330" s="208">
        <v>0</v>
      </c>
      <c r="Y330" s="208">
        <v>0</v>
      </c>
      <c r="Z330" s="208">
        <v>0</v>
      </c>
      <c r="AA330" s="208">
        <v>0.55000000000000004</v>
      </c>
      <c r="AB330" s="208">
        <v>0</v>
      </c>
      <c r="AC330" s="237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550</v>
      </c>
      <c r="P331" s="126" t="s">
        <v>1828</v>
      </c>
      <c r="Q331" s="126">
        <v>1</v>
      </c>
      <c r="S331" s="162">
        <v>46198</v>
      </c>
      <c r="T331" s="126">
        <v>18</v>
      </c>
      <c r="U331" s="208">
        <v>-2</v>
      </c>
      <c r="V331" s="208">
        <v>-2</v>
      </c>
      <c r="W331" s="208">
        <v>1.35</v>
      </c>
      <c r="X331" s="208">
        <v>0</v>
      </c>
      <c r="Y331" s="208">
        <v>0</v>
      </c>
      <c r="Z331" s="208">
        <v>0</v>
      </c>
      <c r="AA331" s="208">
        <v>1.35</v>
      </c>
      <c r="AB331" s="208">
        <v>0</v>
      </c>
      <c r="AC331" s="237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550</v>
      </c>
      <c r="P332" s="126" t="s">
        <v>1828</v>
      </c>
      <c r="Q332" s="126">
        <v>1</v>
      </c>
      <c r="S332" s="162">
        <v>46198</v>
      </c>
      <c r="T332" s="126">
        <v>29</v>
      </c>
      <c r="U332" s="208">
        <v>-2</v>
      </c>
      <c r="V332" s="208">
        <v>-2</v>
      </c>
      <c r="W332" s="208">
        <v>4.2300000000000004</v>
      </c>
      <c r="X332" s="208">
        <v>0</v>
      </c>
      <c r="Y332" s="208">
        <v>0</v>
      </c>
      <c r="Z332" s="208">
        <v>0</v>
      </c>
      <c r="AA332" s="208">
        <v>4.2300000000000004</v>
      </c>
      <c r="AB332" s="208">
        <v>0</v>
      </c>
      <c r="AC332" s="237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550</v>
      </c>
      <c r="P333" s="126" t="s">
        <v>1858</v>
      </c>
      <c r="Q333" s="126">
        <v>1</v>
      </c>
      <c r="S333" s="162">
        <v>46199</v>
      </c>
      <c r="T333" s="126">
        <v>11</v>
      </c>
      <c r="U333" s="208">
        <v>-2</v>
      </c>
      <c r="V333" s="208">
        <v>-2</v>
      </c>
      <c r="W333" s="208">
        <v>9.52</v>
      </c>
      <c r="X333" s="208">
        <v>0</v>
      </c>
      <c r="Y333" s="208">
        <v>0</v>
      </c>
      <c r="Z333" s="208">
        <v>0</v>
      </c>
      <c r="AA333" s="208">
        <v>9.52</v>
      </c>
      <c r="AB333" s="208">
        <v>0</v>
      </c>
      <c r="AC333" s="237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550</v>
      </c>
      <c r="P334" s="126" t="s">
        <v>1858</v>
      </c>
      <c r="Q334" s="126">
        <v>1</v>
      </c>
      <c r="S334" s="162">
        <v>46199</v>
      </c>
      <c r="T334" s="126">
        <v>9</v>
      </c>
      <c r="U334" s="208">
        <v>-8</v>
      </c>
      <c r="V334" s="208">
        <v>-8</v>
      </c>
      <c r="W334" s="208">
        <v>1.1499999999999999</v>
      </c>
      <c r="X334" s="208">
        <v>0</v>
      </c>
      <c r="Y334" s="208">
        <v>0</v>
      </c>
      <c r="Z334" s="208">
        <v>0</v>
      </c>
      <c r="AA334" s="208">
        <v>1.1499999999999999</v>
      </c>
      <c r="AB334" s="208">
        <v>0</v>
      </c>
      <c r="AC334" s="237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550</v>
      </c>
      <c r="P335" s="126" t="s">
        <v>1858</v>
      </c>
      <c r="Q335" s="126">
        <v>1</v>
      </c>
      <c r="S335" s="162">
        <v>46199</v>
      </c>
      <c r="T335" s="126">
        <v>50</v>
      </c>
      <c r="U335" s="208">
        <v>-5</v>
      </c>
      <c r="V335" s="208">
        <v>-5</v>
      </c>
      <c r="W335" s="208">
        <v>0.12</v>
      </c>
      <c r="X335" s="208">
        <v>0</v>
      </c>
      <c r="Y335" s="208">
        <v>0</v>
      </c>
      <c r="Z335" s="208">
        <v>0</v>
      </c>
      <c r="AA335" s="208">
        <v>0.12</v>
      </c>
      <c r="AB335" s="208">
        <v>0</v>
      </c>
      <c r="AC335" s="237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550</v>
      </c>
      <c r="P336" s="126" t="s">
        <v>1858</v>
      </c>
      <c r="Q336" s="126">
        <v>1</v>
      </c>
      <c r="S336" s="162">
        <v>46199</v>
      </c>
      <c r="T336" s="126">
        <v>49</v>
      </c>
      <c r="U336" s="208">
        <v>-2</v>
      </c>
      <c r="V336" s="208">
        <v>-2</v>
      </c>
      <c r="W336" s="208">
        <v>0.28000000000000003</v>
      </c>
      <c r="X336" s="208">
        <v>0</v>
      </c>
      <c r="Y336" s="208">
        <v>0</v>
      </c>
      <c r="Z336" s="208">
        <v>0</v>
      </c>
      <c r="AA336" s="208">
        <v>0.28000000000000003</v>
      </c>
      <c r="AB336" s="208">
        <v>0</v>
      </c>
      <c r="AC336" s="237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550</v>
      </c>
      <c r="P337" s="126" t="s">
        <v>1858</v>
      </c>
      <c r="Q337" s="126">
        <v>1</v>
      </c>
      <c r="S337" s="162">
        <v>46199</v>
      </c>
      <c r="T337" s="126">
        <v>66</v>
      </c>
      <c r="U337" s="208">
        <v>-2</v>
      </c>
      <c r="V337" s="208">
        <v>-2</v>
      </c>
      <c r="W337" s="208">
        <v>0.41</v>
      </c>
      <c r="X337" s="208">
        <v>0</v>
      </c>
      <c r="Y337" s="208">
        <v>0</v>
      </c>
      <c r="Z337" s="208">
        <v>0</v>
      </c>
      <c r="AA337" s="208">
        <v>0.41</v>
      </c>
      <c r="AB337" s="208">
        <v>0</v>
      </c>
      <c r="AC337" s="237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550</v>
      </c>
      <c r="P338" s="126" t="s">
        <v>1875</v>
      </c>
      <c r="Q338" s="126">
        <v>1</v>
      </c>
      <c r="S338" s="162">
        <v>46199</v>
      </c>
      <c r="T338" s="126">
        <v>177</v>
      </c>
      <c r="U338" s="208">
        <v>-500</v>
      </c>
      <c r="V338" s="208">
        <v>-0.5</v>
      </c>
      <c r="W338" s="208">
        <v>4.1500000000000004</v>
      </c>
      <c r="X338" s="208">
        <v>0</v>
      </c>
      <c r="Y338" s="208">
        <v>0</v>
      </c>
      <c r="Z338" s="208">
        <v>0</v>
      </c>
      <c r="AA338" s="208">
        <v>4.1500000000000004</v>
      </c>
      <c r="AB338" s="208">
        <v>0</v>
      </c>
      <c r="AC338" s="237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550</v>
      </c>
      <c r="P339" s="126" t="s">
        <v>1880</v>
      </c>
      <c r="Q339" s="126">
        <v>1</v>
      </c>
      <c r="S339" s="162">
        <v>46199</v>
      </c>
      <c r="T339" s="126">
        <v>177</v>
      </c>
      <c r="U339" s="208">
        <v>-250</v>
      </c>
      <c r="V339" s="208">
        <v>-0.25</v>
      </c>
      <c r="W339" s="208">
        <v>4.1500000000000004</v>
      </c>
      <c r="X339" s="208">
        <v>0</v>
      </c>
      <c r="Y339" s="208">
        <v>0</v>
      </c>
      <c r="Z339" s="208">
        <v>0</v>
      </c>
      <c r="AA339" s="208">
        <v>4.1500000000000004</v>
      </c>
      <c r="AB339" s="208">
        <v>0</v>
      </c>
      <c r="AC339" s="237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550</v>
      </c>
      <c r="P340" s="126" t="s">
        <v>1880</v>
      </c>
      <c r="Q340" s="126">
        <v>1</v>
      </c>
      <c r="S340" s="162">
        <v>46199</v>
      </c>
      <c r="T340" s="126">
        <v>108</v>
      </c>
      <c r="U340" s="208">
        <v>-5</v>
      </c>
      <c r="V340" s="208">
        <v>-5</v>
      </c>
      <c r="W340" s="208">
        <v>2.7</v>
      </c>
      <c r="X340" s="208">
        <v>0</v>
      </c>
      <c r="Y340" s="208">
        <v>0</v>
      </c>
      <c r="Z340" s="208">
        <v>0</v>
      </c>
      <c r="AA340" s="208">
        <v>2.7</v>
      </c>
      <c r="AB340" s="208">
        <v>0</v>
      </c>
      <c r="AC340" s="237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550</v>
      </c>
      <c r="P341" s="126" t="s">
        <v>1880</v>
      </c>
      <c r="Q341" s="126">
        <v>1</v>
      </c>
      <c r="S341" s="162">
        <v>46199</v>
      </c>
      <c r="T341" s="126">
        <v>29</v>
      </c>
      <c r="U341" s="208">
        <v>-4</v>
      </c>
      <c r="V341" s="208">
        <v>-4</v>
      </c>
      <c r="W341" s="208">
        <v>4.2300000000000004</v>
      </c>
      <c r="X341" s="208">
        <v>0</v>
      </c>
      <c r="Y341" s="208">
        <v>0</v>
      </c>
      <c r="Z341" s="208">
        <v>0</v>
      </c>
      <c r="AA341" s="208">
        <v>4.2300000000000004</v>
      </c>
      <c r="AB341" s="208">
        <v>0</v>
      </c>
      <c r="AC341" s="237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550</v>
      </c>
      <c r="P342" s="126" t="s">
        <v>1892</v>
      </c>
      <c r="Q342" s="126">
        <v>1</v>
      </c>
      <c r="S342" s="162">
        <v>46200</v>
      </c>
      <c r="T342" s="126">
        <v>51</v>
      </c>
      <c r="U342" s="208">
        <v>-9</v>
      </c>
      <c r="V342" s="208">
        <v>-9</v>
      </c>
      <c r="W342" s="208">
        <v>4.49</v>
      </c>
      <c r="X342" s="208">
        <v>0</v>
      </c>
      <c r="Y342" s="208">
        <v>0</v>
      </c>
      <c r="Z342" s="208">
        <v>0</v>
      </c>
      <c r="AA342" s="208">
        <v>4.49</v>
      </c>
      <c r="AB342" s="208">
        <v>0</v>
      </c>
      <c r="AC342" s="237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550</v>
      </c>
      <c r="P343" s="126" t="s">
        <v>1897</v>
      </c>
      <c r="Q343" s="126">
        <v>1</v>
      </c>
      <c r="S343" s="162">
        <v>46200</v>
      </c>
      <c r="T343" s="126">
        <v>183</v>
      </c>
      <c r="U343" s="208">
        <v>-192</v>
      </c>
      <c r="V343" s="208">
        <v>-16</v>
      </c>
      <c r="W343" s="208">
        <v>4</v>
      </c>
      <c r="X343" s="208">
        <v>0</v>
      </c>
      <c r="Y343" s="208">
        <v>0</v>
      </c>
      <c r="Z343" s="208">
        <v>0</v>
      </c>
      <c r="AA343" s="208">
        <v>4</v>
      </c>
      <c r="AB343" s="208">
        <v>0</v>
      </c>
      <c r="AC343" s="237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550</v>
      </c>
      <c r="P344" s="126" t="s">
        <v>1897</v>
      </c>
      <c r="Q344" s="126">
        <v>1</v>
      </c>
      <c r="S344" s="162">
        <v>46200</v>
      </c>
      <c r="T344" s="126">
        <v>181</v>
      </c>
      <c r="U344" s="208">
        <v>-120</v>
      </c>
      <c r="V344" s="208">
        <v>-10</v>
      </c>
      <c r="W344" s="208">
        <v>1</v>
      </c>
      <c r="X344" s="208">
        <v>0</v>
      </c>
      <c r="Y344" s="208">
        <v>0</v>
      </c>
      <c r="Z344" s="208">
        <v>0</v>
      </c>
      <c r="AA344" s="208">
        <v>1</v>
      </c>
      <c r="AB344" s="208">
        <v>0</v>
      </c>
      <c r="AC344" s="237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550</v>
      </c>
      <c r="P345" s="126" t="s">
        <v>1897</v>
      </c>
      <c r="Q345" s="126">
        <v>1</v>
      </c>
      <c r="S345" s="162">
        <v>46200</v>
      </c>
      <c r="T345" s="126">
        <v>195</v>
      </c>
      <c r="U345" s="208">
        <v>-8</v>
      </c>
      <c r="V345" s="208">
        <v>-2</v>
      </c>
      <c r="W345" s="208">
        <v>6.28</v>
      </c>
      <c r="X345" s="208">
        <v>0</v>
      </c>
      <c r="Y345" s="208">
        <v>0</v>
      </c>
      <c r="Z345" s="208">
        <v>0</v>
      </c>
      <c r="AA345" s="208">
        <v>6.28</v>
      </c>
      <c r="AB345" s="208">
        <v>0</v>
      </c>
      <c r="AC345" s="237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550</v>
      </c>
      <c r="P346" s="126" t="s">
        <v>1897</v>
      </c>
      <c r="Q346" s="126">
        <v>1</v>
      </c>
      <c r="S346" s="162">
        <v>46200</v>
      </c>
      <c r="T346" s="126">
        <v>16</v>
      </c>
      <c r="U346" s="208">
        <v>-2</v>
      </c>
      <c r="V346" s="208">
        <v>-2</v>
      </c>
      <c r="W346" s="208">
        <v>2.1</v>
      </c>
      <c r="X346" s="208">
        <v>0</v>
      </c>
      <c r="Y346" s="208">
        <v>0</v>
      </c>
      <c r="Z346" s="208">
        <v>0</v>
      </c>
      <c r="AA346" s="208">
        <v>2.1</v>
      </c>
      <c r="AB346" s="208">
        <v>0</v>
      </c>
      <c r="AC346" s="237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550</v>
      </c>
      <c r="P347" s="126" t="s">
        <v>1911</v>
      </c>
      <c r="Q347" s="126">
        <v>1</v>
      </c>
      <c r="S347" s="162">
        <v>46200</v>
      </c>
      <c r="T347" s="126">
        <v>177</v>
      </c>
      <c r="U347" s="208">
        <v>-250</v>
      </c>
      <c r="V347" s="208">
        <v>-0.25</v>
      </c>
      <c r="W347" s="208">
        <v>4.1500000000000004</v>
      </c>
      <c r="X347" s="208">
        <v>0</v>
      </c>
      <c r="Y347" s="208">
        <v>0</v>
      </c>
      <c r="Z347" s="208">
        <v>0</v>
      </c>
      <c r="AA347" s="208">
        <v>4.1500000000000004</v>
      </c>
      <c r="AB347" s="208">
        <v>0</v>
      </c>
      <c r="AC347" s="237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550</v>
      </c>
      <c r="P348" s="126" t="s">
        <v>1911</v>
      </c>
      <c r="Q348" s="126">
        <v>1</v>
      </c>
      <c r="S348" s="162">
        <v>46200</v>
      </c>
      <c r="T348" s="126">
        <v>4</v>
      </c>
      <c r="U348" s="208">
        <v>-7</v>
      </c>
      <c r="V348" s="208">
        <v>-7</v>
      </c>
      <c r="W348" s="208">
        <v>5.8</v>
      </c>
      <c r="X348" s="208">
        <v>0</v>
      </c>
      <c r="Y348" s="208">
        <v>0</v>
      </c>
      <c r="Z348" s="208">
        <v>0</v>
      </c>
      <c r="AA348" s="208">
        <v>5.8</v>
      </c>
      <c r="AB348" s="208">
        <v>0</v>
      </c>
      <c r="AC348" s="237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550</v>
      </c>
      <c r="P349" s="126" t="s">
        <v>1920</v>
      </c>
      <c r="Q349" s="126">
        <v>1</v>
      </c>
      <c r="S349" s="162">
        <v>46201</v>
      </c>
      <c r="T349" s="126">
        <v>177</v>
      </c>
      <c r="U349" s="208">
        <v>-500</v>
      </c>
      <c r="V349" s="208">
        <v>-0.5</v>
      </c>
      <c r="W349" s="208">
        <v>4.1500000000000004</v>
      </c>
      <c r="X349" s="208">
        <v>0</v>
      </c>
      <c r="Y349" s="208">
        <v>0</v>
      </c>
      <c r="Z349" s="208">
        <v>0</v>
      </c>
      <c r="AA349" s="208">
        <v>4.1500000000000004</v>
      </c>
      <c r="AB349" s="208">
        <v>0</v>
      </c>
      <c r="AC349" s="237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550</v>
      </c>
      <c r="P350" s="126" t="s">
        <v>1920</v>
      </c>
      <c r="Q350" s="126">
        <v>1</v>
      </c>
      <c r="S350" s="162">
        <v>46201</v>
      </c>
      <c r="T350" s="126">
        <v>61</v>
      </c>
      <c r="U350" s="208">
        <v>-1</v>
      </c>
      <c r="V350" s="208">
        <v>-1</v>
      </c>
      <c r="W350" s="208">
        <v>6.41</v>
      </c>
      <c r="X350" s="208">
        <v>0</v>
      </c>
      <c r="Y350" s="208">
        <v>0</v>
      </c>
      <c r="Z350" s="208">
        <v>0</v>
      </c>
      <c r="AA350" s="208">
        <v>6.41</v>
      </c>
      <c r="AB350" s="208">
        <v>0</v>
      </c>
      <c r="AC350" s="237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550</v>
      </c>
      <c r="P351" s="126" t="s">
        <v>1920</v>
      </c>
      <c r="Q351" s="126">
        <v>1</v>
      </c>
      <c r="S351" s="162">
        <v>46201</v>
      </c>
      <c r="T351" s="126">
        <v>146</v>
      </c>
      <c r="U351" s="208">
        <v>-5</v>
      </c>
      <c r="V351" s="208">
        <v>-5</v>
      </c>
      <c r="W351" s="208">
        <v>0.04</v>
      </c>
      <c r="X351" s="208">
        <v>0</v>
      </c>
      <c r="Y351" s="208">
        <v>0</v>
      </c>
      <c r="Z351" s="208">
        <v>0</v>
      </c>
      <c r="AA351" s="208">
        <v>0.04</v>
      </c>
      <c r="AB351" s="208">
        <v>0</v>
      </c>
      <c r="AC351" s="237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550</v>
      </c>
      <c r="P352" s="126" t="s">
        <v>1935</v>
      </c>
      <c r="Q352" s="126">
        <v>1</v>
      </c>
      <c r="S352" s="162">
        <v>46201</v>
      </c>
      <c r="T352" s="126">
        <v>176</v>
      </c>
      <c r="U352" s="208">
        <v>-50</v>
      </c>
      <c r="V352" s="208">
        <v>-0.05</v>
      </c>
      <c r="W352" s="208">
        <v>4.25</v>
      </c>
      <c r="X352" s="208">
        <v>0</v>
      </c>
      <c r="Y352" s="208">
        <v>0</v>
      </c>
      <c r="Z352" s="208">
        <v>0</v>
      </c>
      <c r="AA352" s="208">
        <v>4.25</v>
      </c>
      <c r="AB352" s="208">
        <v>0</v>
      </c>
      <c r="AC352" s="237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550</v>
      </c>
      <c r="P353" s="126" t="s">
        <v>1935</v>
      </c>
      <c r="Q353" s="126">
        <v>1</v>
      </c>
      <c r="S353" s="162">
        <v>46201</v>
      </c>
      <c r="T353" s="126">
        <v>66</v>
      </c>
      <c r="U353" s="208">
        <v>-2</v>
      </c>
      <c r="V353" s="208">
        <v>-2</v>
      </c>
      <c r="W353" s="208">
        <v>0.41</v>
      </c>
      <c r="X353" s="208">
        <v>0</v>
      </c>
      <c r="Y353" s="208">
        <v>0</v>
      </c>
      <c r="Z353" s="208">
        <v>0</v>
      </c>
      <c r="AA353" s="208">
        <v>0.41</v>
      </c>
      <c r="AB353" s="208">
        <v>0</v>
      </c>
      <c r="AC353" s="237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550</v>
      </c>
      <c r="P354" s="126" t="s">
        <v>1935</v>
      </c>
      <c r="Q354" s="126">
        <v>1</v>
      </c>
      <c r="S354" s="162">
        <v>46201</v>
      </c>
      <c r="T354" s="126">
        <v>75</v>
      </c>
      <c r="U354" s="208">
        <v>-2</v>
      </c>
      <c r="V354" s="208">
        <v>-2</v>
      </c>
      <c r="W354" s="208">
        <v>0.13</v>
      </c>
      <c r="X354" s="208">
        <v>0</v>
      </c>
      <c r="Y354" s="208">
        <v>0</v>
      </c>
      <c r="Z354" s="208">
        <v>0</v>
      </c>
      <c r="AA354" s="208">
        <v>0.13</v>
      </c>
      <c r="AB354" s="208">
        <v>0</v>
      </c>
      <c r="AC354" s="237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550</v>
      </c>
      <c r="P355" s="126" t="s">
        <v>1935</v>
      </c>
      <c r="Q355" s="126">
        <v>1</v>
      </c>
      <c r="S355" s="162">
        <v>46201</v>
      </c>
      <c r="T355" s="126">
        <v>182</v>
      </c>
      <c r="U355" s="208">
        <v>-12</v>
      </c>
      <c r="V355" s="208">
        <v>-1</v>
      </c>
      <c r="W355" s="208">
        <v>2</v>
      </c>
      <c r="X355" s="208">
        <v>0</v>
      </c>
      <c r="Y355" s="208">
        <v>0</v>
      </c>
      <c r="Z355" s="208">
        <v>0</v>
      </c>
      <c r="AA355" s="208">
        <v>2</v>
      </c>
      <c r="AB355" s="208">
        <v>0</v>
      </c>
      <c r="AC355" s="237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550</v>
      </c>
      <c r="P356" s="126" t="s">
        <v>1935</v>
      </c>
      <c r="Q356" s="126">
        <v>1</v>
      </c>
      <c r="S356" s="162">
        <v>46201</v>
      </c>
      <c r="T356" s="126">
        <v>105</v>
      </c>
      <c r="U356" s="208">
        <v>-1</v>
      </c>
      <c r="V356" s="208">
        <v>-8.3333333333333329E-2</v>
      </c>
      <c r="W356" s="208">
        <v>1.1000000000000001</v>
      </c>
      <c r="X356" s="208">
        <v>0</v>
      </c>
      <c r="Y356" s="208">
        <v>0</v>
      </c>
      <c r="Z356" s="208">
        <v>0</v>
      </c>
      <c r="AA356" s="208">
        <v>1.1000000000000001</v>
      </c>
      <c r="AB356" s="208">
        <v>0</v>
      </c>
      <c r="AC356" s="237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550</v>
      </c>
      <c r="P357" s="126" t="s">
        <v>1935</v>
      </c>
      <c r="Q357" s="126">
        <v>1</v>
      </c>
      <c r="S357" s="162">
        <v>46201</v>
      </c>
      <c r="T357" s="126">
        <v>34</v>
      </c>
      <c r="U357" s="208">
        <v>-1</v>
      </c>
      <c r="V357" s="208">
        <v>-1</v>
      </c>
      <c r="W357" s="208">
        <v>0.5</v>
      </c>
      <c r="X357" s="208">
        <v>0</v>
      </c>
      <c r="Y357" s="208">
        <v>0</v>
      </c>
      <c r="Z357" s="208">
        <v>0</v>
      </c>
      <c r="AA357" s="208">
        <v>0.5</v>
      </c>
      <c r="AB357" s="208">
        <v>0</v>
      </c>
      <c r="AC357" s="237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550</v>
      </c>
      <c r="P358" s="126" t="s">
        <v>1935</v>
      </c>
      <c r="Q358" s="126">
        <v>1</v>
      </c>
      <c r="S358" s="162">
        <v>46201</v>
      </c>
      <c r="T358" s="126">
        <v>50</v>
      </c>
      <c r="U358" s="208">
        <v>-4</v>
      </c>
      <c r="V358" s="208">
        <v>-4</v>
      </c>
      <c r="W358" s="208">
        <v>0.12</v>
      </c>
      <c r="X358" s="208">
        <v>0</v>
      </c>
      <c r="Y358" s="208">
        <v>0</v>
      </c>
      <c r="Z358" s="208">
        <v>0</v>
      </c>
      <c r="AA358" s="208">
        <v>0.12</v>
      </c>
      <c r="AB358" s="208">
        <v>0</v>
      </c>
      <c r="AC358" s="237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550</v>
      </c>
      <c r="P359" s="126" t="s">
        <v>1935</v>
      </c>
      <c r="Q359" s="126">
        <v>1</v>
      </c>
      <c r="S359" s="162">
        <v>46201</v>
      </c>
      <c r="T359" s="126">
        <v>142</v>
      </c>
      <c r="U359" s="208">
        <v>-3</v>
      </c>
      <c r="V359" s="208">
        <v>-0.25</v>
      </c>
      <c r="W359" s="208">
        <v>0.34</v>
      </c>
      <c r="X359" s="208">
        <v>0</v>
      </c>
      <c r="Y359" s="208">
        <v>0</v>
      </c>
      <c r="Z359" s="208">
        <v>0</v>
      </c>
      <c r="AA359" s="208">
        <v>0.34</v>
      </c>
      <c r="AB359" s="208">
        <v>0</v>
      </c>
      <c r="AC359" s="237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550</v>
      </c>
      <c r="P360" s="126" t="s">
        <v>1935</v>
      </c>
      <c r="Q360" s="126">
        <v>1</v>
      </c>
      <c r="S360" s="162">
        <v>46201</v>
      </c>
      <c r="T360" s="126">
        <v>144</v>
      </c>
      <c r="U360" s="208">
        <v>-2</v>
      </c>
      <c r="V360" s="208">
        <v>-0.04</v>
      </c>
      <c r="W360" s="208">
        <v>0.3</v>
      </c>
      <c r="X360" s="208">
        <v>0</v>
      </c>
      <c r="Y360" s="208">
        <v>0</v>
      </c>
      <c r="Z360" s="208">
        <v>0</v>
      </c>
      <c r="AA360" s="208">
        <v>0.3</v>
      </c>
      <c r="AB360" s="208">
        <v>0</v>
      </c>
      <c r="AC360" s="237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550</v>
      </c>
      <c r="P361" s="126" t="s">
        <v>1935</v>
      </c>
      <c r="Q361" s="126">
        <v>1</v>
      </c>
      <c r="S361" s="162">
        <v>46201</v>
      </c>
      <c r="T361" s="126">
        <v>29</v>
      </c>
      <c r="U361" s="208">
        <v>-2</v>
      </c>
      <c r="V361" s="208">
        <v>-2</v>
      </c>
      <c r="W361" s="208">
        <v>4.2300000000000004</v>
      </c>
      <c r="X361" s="208">
        <v>0</v>
      </c>
      <c r="Y361" s="208">
        <v>0</v>
      </c>
      <c r="Z361" s="208">
        <v>0</v>
      </c>
      <c r="AA361" s="208">
        <v>4.2300000000000004</v>
      </c>
      <c r="AB361" s="208">
        <v>0</v>
      </c>
      <c r="AC361" s="237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550</v>
      </c>
      <c r="P362" s="126" t="s">
        <v>1935</v>
      </c>
      <c r="Q362" s="126">
        <v>1</v>
      </c>
      <c r="S362" s="162">
        <v>46201</v>
      </c>
      <c r="T362" s="126">
        <v>37</v>
      </c>
      <c r="U362" s="208">
        <v>-1</v>
      </c>
      <c r="V362" s="208">
        <v>-1</v>
      </c>
      <c r="W362" s="208">
        <v>0.66</v>
      </c>
      <c r="X362" s="208">
        <v>0</v>
      </c>
      <c r="Y362" s="208">
        <v>0</v>
      </c>
      <c r="Z362" s="208">
        <v>0</v>
      </c>
      <c r="AA362" s="208">
        <v>0.66</v>
      </c>
      <c r="AB362" s="208">
        <v>0</v>
      </c>
      <c r="AC362" s="237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550</v>
      </c>
      <c r="P363" s="126" t="s">
        <v>1935</v>
      </c>
      <c r="Q363" s="126">
        <v>1</v>
      </c>
      <c r="S363" s="162">
        <v>46201</v>
      </c>
      <c r="T363" s="126">
        <v>49</v>
      </c>
      <c r="U363" s="208">
        <v>-3</v>
      </c>
      <c r="V363" s="208">
        <v>-3</v>
      </c>
      <c r="W363" s="208">
        <v>0.28000000000000003</v>
      </c>
      <c r="X363" s="208">
        <v>0</v>
      </c>
      <c r="Y363" s="208">
        <v>0</v>
      </c>
      <c r="Z363" s="208">
        <v>0</v>
      </c>
      <c r="AA363" s="208">
        <v>0.28000000000000003</v>
      </c>
      <c r="AB363" s="208">
        <v>0</v>
      </c>
      <c r="AC363" s="237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550</v>
      </c>
      <c r="P364" s="126" t="s">
        <v>1935</v>
      </c>
      <c r="Q364" s="126">
        <v>1</v>
      </c>
      <c r="S364" s="162">
        <v>46201</v>
      </c>
      <c r="T364" s="126">
        <v>108</v>
      </c>
      <c r="U364" s="208">
        <v>-1</v>
      </c>
      <c r="V364" s="208">
        <v>-1</v>
      </c>
      <c r="W364" s="208">
        <v>2.7</v>
      </c>
      <c r="X364" s="208">
        <v>0</v>
      </c>
      <c r="Y364" s="208">
        <v>0</v>
      </c>
      <c r="Z364" s="208">
        <v>0</v>
      </c>
      <c r="AA364" s="208">
        <v>2.7</v>
      </c>
      <c r="AB364" s="208">
        <v>0</v>
      </c>
      <c r="AC364" s="237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550</v>
      </c>
      <c r="P365" s="126" t="s">
        <v>1935</v>
      </c>
      <c r="Q365" s="126">
        <v>1</v>
      </c>
      <c r="S365" s="162">
        <v>46201</v>
      </c>
      <c r="T365" s="126">
        <v>153</v>
      </c>
      <c r="U365" s="208">
        <v>-2</v>
      </c>
      <c r="V365" s="208">
        <v>-0.16666666666666666</v>
      </c>
      <c r="W365" s="208">
        <v>3.3</v>
      </c>
      <c r="X365" s="208">
        <v>0</v>
      </c>
      <c r="Y365" s="208">
        <v>0</v>
      </c>
      <c r="Z365" s="208">
        <v>0</v>
      </c>
      <c r="AA365" s="208">
        <v>3.3</v>
      </c>
      <c r="AB365" s="208">
        <v>0</v>
      </c>
      <c r="AC365" s="237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550</v>
      </c>
      <c r="P366" s="126" t="s">
        <v>1935</v>
      </c>
      <c r="Q366" s="126">
        <v>1</v>
      </c>
      <c r="S366" s="162">
        <v>46201</v>
      </c>
      <c r="T366" s="126">
        <v>181</v>
      </c>
      <c r="U366" s="208">
        <v>-12</v>
      </c>
      <c r="V366" s="208">
        <v>-1</v>
      </c>
      <c r="W366" s="208">
        <v>1</v>
      </c>
      <c r="X366" s="208">
        <v>0</v>
      </c>
      <c r="Y366" s="208">
        <v>0</v>
      </c>
      <c r="Z366" s="208">
        <v>0</v>
      </c>
      <c r="AA366" s="208">
        <v>1</v>
      </c>
      <c r="AB366" s="208">
        <v>0</v>
      </c>
      <c r="AC366" s="237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550</v>
      </c>
      <c r="P367" s="126" t="s">
        <v>1935</v>
      </c>
      <c r="Q367" s="126">
        <v>1</v>
      </c>
      <c r="S367" s="162">
        <v>46201</v>
      </c>
      <c r="T367" s="126">
        <v>101</v>
      </c>
      <c r="U367" s="208">
        <v>-500</v>
      </c>
      <c r="V367" s="208">
        <v>-0.1111111111111111</v>
      </c>
      <c r="W367" s="208">
        <v>0</v>
      </c>
      <c r="X367" s="208">
        <v>0</v>
      </c>
      <c r="Y367" s="208">
        <v>0</v>
      </c>
      <c r="Z367" s="208">
        <v>0</v>
      </c>
      <c r="AA367" s="208">
        <v>0</v>
      </c>
      <c r="AB367" s="208">
        <v>0</v>
      </c>
      <c r="AC367" s="237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550</v>
      </c>
      <c r="P368" s="126" t="s">
        <v>1935</v>
      </c>
      <c r="Q368" s="126">
        <v>1</v>
      </c>
      <c r="S368" s="162">
        <v>46201</v>
      </c>
      <c r="T368" s="126">
        <v>7</v>
      </c>
      <c r="U368" s="208">
        <v>-1</v>
      </c>
      <c r="V368" s="208">
        <v>-1</v>
      </c>
      <c r="W368" s="208">
        <v>1.79</v>
      </c>
      <c r="X368" s="208">
        <v>0</v>
      </c>
      <c r="Y368" s="208">
        <v>0</v>
      </c>
      <c r="Z368" s="208">
        <v>0</v>
      </c>
      <c r="AA368" s="208">
        <v>1.79</v>
      </c>
      <c r="AB368" s="208">
        <v>0</v>
      </c>
      <c r="AC368" s="237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550</v>
      </c>
      <c r="P369" s="126" t="s">
        <v>1935</v>
      </c>
      <c r="Q369" s="126">
        <v>1</v>
      </c>
      <c r="S369" s="162">
        <v>46201</v>
      </c>
      <c r="T369" s="126">
        <v>13</v>
      </c>
      <c r="U369" s="208">
        <v>-1</v>
      </c>
      <c r="V369" s="208">
        <v>-1</v>
      </c>
      <c r="W369" s="208">
        <v>5.3</v>
      </c>
      <c r="X369" s="208">
        <v>0</v>
      </c>
      <c r="Y369" s="208">
        <v>0</v>
      </c>
      <c r="Z369" s="208">
        <v>0</v>
      </c>
      <c r="AA369" s="208">
        <v>5.3</v>
      </c>
      <c r="AB369" s="208">
        <v>0</v>
      </c>
      <c r="AC369" s="237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550</v>
      </c>
      <c r="P370" s="126" t="s">
        <v>1988</v>
      </c>
      <c r="Q370" s="126">
        <v>1</v>
      </c>
      <c r="S370" s="162">
        <v>46201</v>
      </c>
      <c r="T370" s="126">
        <v>1</v>
      </c>
      <c r="U370" s="208">
        <v>-1</v>
      </c>
      <c r="V370" s="208">
        <v>-1</v>
      </c>
      <c r="W370" s="208">
        <v>27.34</v>
      </c>
      <c r="X370" s="208">
        <v>0</v>
      </c>
      <c r="Y370" s="208">
        <v>0</v>
      </c>
      <c r="Z370" s="208">
        <v>0</v>
      </c>
      <c r="AA370" s="208">
        <v>27.34</v>
      </c>
      <c r="AB370" s="208">
        <v>0</v>
      </c>
      <c r="AC370" s="237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550</v>
      </c>
      <c r="P371" s="126" t="s">
        <v>1988</v>
      </c>
      <c r="Q371" s="126">
        <v>1</v>
      </c>
      <c r="S371" s="162">
        <v>46201</v>
      </c>
      <c r="T371" s="126">
        <v>26</v>
      </c>
      <c r="U371" s="208">
        <v>-1</v>
      </c>
      <c r="V371" s="208">
        <v>-1</v>
      </c>
      <c r="W371" s="208">
        <v>3.01</v>
      </c>
      <c r="X371" s="208">
        <v>0</v>
      </c>
      <c r="Y371" s="208">
        <v>0</v>
      </c>
      <c r="Z371" s="208">
        <v>0</v>
      </c>
      <c r="AA371" s="208">
        <v>3.01</v>
      </c>
      <c r="AB371" s="208">
        <v>0</v>
      </c>
      <c r="AC371" s="237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550</v>
      </c>
      <c r="P372" s="126" t="s">
        <v>1988</v>
      </c>
      <c r="Q372" s="126">
        <v>1</v>
      </c>
      <c r="S372" s="162">
        <v>46201</v>
      </c>
      <c r="T372" s="126">
        <v>4</v>
      </c>
      <c r="U372" s="208">
        <v>-1</v>
      </c>
      <c r="V372" s="208">
        <v>-1</v>
      </c>
      <c r="W372" s="208">
        <v>5.8</v>
      </c>
      <c r="X372" s="208">
        <v>0</v>
      </c>
      <c r="Y372" s="208">
        <v>0</v>
      </c>
      <c r="Z372" s="208">
        <v>0</v>
      </c>
      <c r="AA372" s="208">
        <v>5.8</v>
      </c>
      <c r="AB372" s="208">
        <v>0</v>
      </c>
      <c r="AC372" s="237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550</v>
      </c>
      <c r="P373" s="126" t="s">
        <v>1988</v>
      </c>
      <c r="Q373" s="126">
        <v>1</v>
      </c>
      <c r="S373" s="162">
        <v>46201</v>
      </c>
      <c r="T373" s="126">
        <v>34</v>
      </c>
      <c r="U373" s="208">
        <v>-1</v>
      </c>
      <c r="V373" s="208">
        <v>-1</v>
      </c>
      <c r="W373" s="208">
        <v>0.5</v>
      </c>
      <c r="X373" s="208">
        <v>0</v>
      </c>
      <c r="Y373" s="208">
        <v>0</v>
      </c>
      <c r="Z373" s="208">
        <v>0</v>
      </c>
      <c r="AA373" s="208">
        <v>0.5</v>
      </c>
      <c r="AB373" s="208">
        <v>0</v>
      </c>
      <c r="AC373" s="237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550</v>
      </c>
      <c r="P374" s="126" t="s">
        <v>1988</v>
      </c>
      <c r="Q374" s="126">
        <v>1</v>
      </c>
      <c r="S374" s="162">
        <v>46201</v>
      </c>
      <c r="T374" s="126">
        <v>20</v>
      </c>
      <c r="U374" s="208">
        <v>-10</v>
      </c>
      <c r="V374" s="208">
        <v>-10</v>
      </c>
      <c r="W374" s="208">
        <v>5.03</v>
      </c>
      <c r="X374" s="208">
        <v>0</v>
      </c>
      <c r="Y374" s="208">
        <v>0</v>
      </c>
      <c r="Z374" s="208">
        <v>0</v>
      </c>
      <c r="AA374" s="208">
        <v>5.03</v>
      </c>
      <c r="AB374" s="208">
        <v>0</v>
      </c>
      <c r="AC374" s="237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550</v>
      </c>
      <c r="P375" s="126" t="s">
        <v>1988</v>
      </c>
      <c r="Q375" s="126">
        <v>1</v>
      </c>
      <c r="S375" s="162">
        <v>46201</v>
      </c>
      <c r="T375" s="126">
        <v>49</v>
      </c>
      <c r="U375" s="208">
        <v>-5</v>
      </c>
      <c r="V375" s="208">
        <v>-5</v>
      </c>
      <c r="W375" s="208">
        <v>0.28000000000000003</v>
      </c>
      <c r="X375" s="208">
        <v>0</v>
      </c>
      <c r="Y375" s="208">
        <v>0</v>
      </c>
      <c r="Z375" s="208">
        <v>0</v>
      </c>
      <c r="AA375" s="208">
        <v>0.28000000000000003</v>
      </c>
      <c r="AB375" s="208">
        <v>0</v>
      </c>
      <c r="AC375" s="237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550</v>
      </c>
      <c r="P376" s="126" t="s">
        <v>1988</v>
      </c>
      <c r="Q376" s="126">
        <v>1</v>
      </c>
      <c r="S376" s="162">
        <v>46201</v>
      </c>
      <c r="T376" s="126">
        <v>50</v>
      </c>
      <c r="U376" s="208">
        <v>-5</v>
      </c>
      <c r="V376" s="208">
        <v>-5</v>
      </c>
      <c r="W376" s="208">
        <v>0.12</v>
      </c>
      <c r="X376" s="208">
        <v>0</v>
      </c>
      <c r="Y376" s="208">
        <v>0</v>
      </c>
      <c r="Z376" s="208">
        <v>0</v>
      </c>
      <c r="AA376" s="208">
        <v>0.12</v>
      </c>
      <c r="AB376" s="208">
        <v>0</v>
      </c>
      <c r="AC376" s="237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550</v>
      </c>
      <c r="P377" s="126" t="s">
        <v>1988</v>
      </c>
      <c r="Q377" s="126">
        <v>1</v>
      </c>
      <c r="S377" s="162">
        <v>46201</v>
      </c>
      <c r="T377" s="126">
        <v>71</v>
      </c>
      <c r="U377" s="208">
        <v>-2</v>
      </c>
      <c r="V377" s="208">
        <v>-2</v>
      </c>
      <c r="W377" s="208">
        <v>0.11</v>
      </c>
      <c r="X377" s="208">
        <v>0</v>
      </c>
      <c r="Y377" s="208">
        <v>0</v>
      </c>
      <c r="Z377" s="208">
        <v>0</v>
      </c>
      <c r="AA377" s="208">
        <v>0.11</v>
      </c>
      <c r="AB377" s="208">
        <v>0</v>
      </c>
      <c r="AC377" s="237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550</v>
      </c>
      <c r="P378" s="126" t="s">
        <v>1988</v>
      </c>
      <c r="Q378" s="126">
        <v>1</v>
      </c>
      <c r="S378" s="162">
        <v>46201</v>
      </c>
      <c r="T378" s="126">
        <v>9</v>
      </c>
      <c r="U378" s="208">
        <v>-3</v>
      </c>
      <c r="V378" s="208">
        <v>-3</v>
      </c>
      <c r="W378" s="208">
        <v>1.1499999999999999</v>
      </c>
      <c r="X378" s="208">
        <v>0</v>
      </c>
      <c r="Y378" s="208">
        <v>0</v>
      </c>
      <c r="Z378" s="208">
        <v>0</v>
      </c>
      <c r="AA378" s="208">
        <v>1.1499999999999999</v>
      </c>
      <c r="AB378" s="208">
        <v>0</v>
      </c>
      <c r="AC378" s="237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550</v>
      </c>
      <c r="P379" s="126" t="s">
        <v>1988</v>
      </c>
      <c r="Q379" s="126">
        <v>1</v>
      </c>
      <c r="S379" s="162">
        <v>46201</v>
      </c>
      <c r="T379" s="126">
        <v>70</v>
      </c>
      <c r="U379" s="208">
        <v>-1</v>
      </c>
      <c r="V379" s="208">
        <v>-1</v>
      </c>
      <c r="W379" s="208">
        <v>0.15</v>
      </c>
      <c r="X379" s="208">
        <v>0</v>
      </c>
      <c r="Y379" s="208">
        <v>0</v>
      </c>
      <c r="Z379" s="208">
        <v>0</v>
      </c>
      <c r="AA379" s="208">
        <v>0.15</v>
      </c>
      <c r="AB379" s="208">
        <v>0</v>
      </c>
      <c r="AC379" s="237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550</v>
      </c>
      <c r="P380" s="126" t="s">
        <v>1988</v>
      </c>
      <c r="Q380" s="126">
        <v>1</v>
      </c>
      <c r="S380" s="162">
        <v>46201</v>
      </c>
      <c r="T380" s="126">
        <v>108</v>
      </c>
      <c r="U380" s="208">
        <v>-1</v>
      </c>
      <c r="V380" s="208">
        <v>-1</v>
      </c>
      <c r="W380" s="208">
        <v>2.7</v>
      </c>
      <c r="X380" s="208">
        <v>0</v>
      </c>
      <c r="Y380" s="208">
        <v>0</v>
      </c>
      <c r="Z380" s="208">
        <v>0</v>
      </c>
      <c r="AA380" s="208">
        <v>2.7</v>
      </c>
      <c r="AB380" s="208">
        <v>0</v>
      </c>
      <c r="AC380" s="237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550</v>
      </c>
      <c r="P381" s="126" t="s">
        <v>1988</v>
      </c>
      <c r="Q381" s="126">
        <v>1</v>
      </c>
      <c r="S381" s="162">
        <v>46201</v>
      </c>
      <c r="T381" s="126">
        <v>17</v>
      </c>
      <c r="U381" s="208">
        <v>-1</v>
      </c>
      <c r="V381" s="208">
        <v>-1</v>
      </c>
      <c r="W381" s="208">
        <v>1.63</v>
      </c>
      <c r="X381" s="208">
        <v>0</v>
      </c>
      <c r="Y381" s="208">
        <v>0</v>
      </c>
      <c r="Z381" s="208">
        <v>0</v>
      </c>
      <c r="AA381" s="208">
        <v>1.63</v>
      </c>
      <c r="AB381" s="208">
        <v>0</v>
      </c>
      <c r="AC381" s="237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550</v>
      </c>
      <c r="P382" s="126" t="s">
        <v>1988</v>
      </c>
      <c r="Q382" s="126">
        <v>1</v>
      </c>
      <c r="S382" s="162">
        <v>46201</v>
      </c>
      <c r="T382" s="126">
        <v>79</v>
      </c>
      <c r="U382" s="208">
        <v>-50</v>
      </c>
      <c r="V382" s="208">
        <v>-1</v>
      </c>
      <c r="W382" s="208">
        <v>5</v>
      </c>
      <c r="X382" s="208">
        <v>0</v>
      </c>
      <c r="Y382" s="208">
        <v>0</v>
      </c>
      <c r="Z382" s="208">
        <v>0</v>
      </c>
      <c r="AA382" s="208">
        <v>5</v>
      </c>
      <c r="AB382" s="208">
        <v>0</v>
      </c>
      <c r="AC382" s="237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550</v>
      </c>
      <c r="P383" s="126" t="s">
        <v>1988</v>
      </c>
      <c r="Q383" s="126">
        <v>1</v>
      </c>
      <c r="S383" s="162">
        <v>46201</v>
      </c>
      <c r="T383" s="126">
        <v>77</v>
      </c>
      <c r="U383" s="208">
        <v>-50</v>
      </c>
      <c r="V383" s="208">
        <v>-1</v>
      </c>
      <c r="W383" s="208">
        <v>8.8000000000000007</v>
      </c>
      <c r="X383" s="208">
        <v>0</v>
      </c>
      <c r="Y383" s="208">
        <v>0</v>
      </c>
      <c r="Z383" s="208">
        <v>0</v>
      </c>
      <c r="AA383" s="208">
        <v>8.8000000000000007</v>
      </c>
      <c r="AB383" s="208">
        <v>0</v>
      </c>
      <c r="AC383" s="237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550</v>
      </c>
      <c r="P384" s="126" t="s">
        <v>1988</v>
      </c>
      <c r="Q384" s="126">
        <v>1</v>
      </c>
      <c r="S384" s="162">
        <v>46201</v>
      </c>
      <c r="T384" s="126">
        <v>32</v>
      </c>
      <c r="U384" s="208">
        <v>-1</v>
      </c>
      <c r="V384" s="208">
        <v>-1</v>
      </c>
      <c r="W384" s="208">
        <v>1.04</v>
      </c>
      <c r="X384" s="208">
        <v>0</v>
      </c>
      <c r="Y384" s="208">
        <v>0</v>
      </c>
      <c r="Z384" s="208">
        <v>0</v>
      </c>
      <c r="AA384" s="208">
        <v>1.04</v>
      </c>
      <c r="AB384" s="208">
        <v>0</v>
      </c>
      <c r="AC384" s="237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550</v>
      </c>
      <c r="P385" s="126" t="s">
        <v>2043</v>
      </c>
      <c r="Q385" s="126">
        <v>1</v>
      </c>
      <c r="S385" s="162">
        <v>46202</v>
      </c>
      <c r="T385" s="126">
        <v>176</v>
      </c>
      <c r="U385" s="208">
        <v>-500</v>
      </c>
      <c r="V385" s="208">
        <v>-0.5</v>
      </c>
      <c r="W385" s="208">
        <v>4.25</v>
      </c>
      <c r="X385" s="208">
        <v>0</v>
      </c>
      <c r="Y385" s="208">
        <v>0</v>
      </c>
      <c r="Z385" s="208">
        <v>0</v>
      </c>
      <c r="AA385" s="208">
        <v>4.25</v>
      </c>
      <c r="AB385" s="208">
        <v>0</v>
      </c>
      <c r="AC385" s="237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550</v>
      </c>
      <c r="P386" s="126" t="s">
        <v>2048</v>
      </c>
      <c r="Q386" s="126">
        <v>1</v>
      </c>
      <c r="S386" s="162">
        <v>46202</v>
      </c>
      <c r="T386" s="126">
        <v>176</v>
      </c>
      <c r="U386" s="208">
        <v>-250</v>
      </c>
      <c r="V386" s="208">
        <v>-0.25</v>
      </c>
      <c r="W386" s="208">
        <v>4.25</v>
      </c>
      <c r="X386" s="208">
        <v>0</v>
      </c>
      <c r="Y386" s="208">
        <v>0</v>
      </c>
      <c r="Z386" s="208">
        <v>0</v>
      </c>
      <c r="AA386" s="208">
        <v>4.25</v>
      </c>
      <c r="AB386" s="208">
        <v>0</v>
      </c>
      <c r="AC386" s="237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550</v>
      </c>
      <c r="P387" s="126" t="s">
        <v>2048</v>
      </c>
      <c r="Q387" s="126">
        <v>1</v>
      </c>
      <c r="S387" s="162">
        <v>46202</v>
      </c>
      <c r="T387" s="126">
        <v>156</v>
      </c>
      <c r="U387" s="208">
        <v>-6</v>
      </c>
      <c r="V387" s="208">
        <v>-0.5</v>
      </c>
      <c r="W387" s="208">
        <v>4.41</v>
      </c>
      <c r="X387" s="208">
        <v>0</v>
      </c>
      <c r="Y387" s="208">
        <v>0</v>
      </c>
      <c r="Z387" s="208">
        <v>0</v>
      </c>
      <c r="AA387" s="208">
        <v>4.41</v>
      </c>
      <c r="AB387" s="208">
        <v>0</v>
      </c>
      <c r="AC387" s="237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550</v>
      </c>
      <c r="P388" s="126" t="s">
        <v>2048</v>
      </c>
      <c r="Q388" s="126">
        <v>1</v>
      </c>
      <c r="S388" s="162">
        <v>46202</v>
      </c>
      <c r="T388" s="126">
        <v>162</v>
      </c>
      <c r="U388" s="208">
        <v>-1</v>
      </c>
      <c r="V388" s="208">
        <v>-1</v>
      </c>
      <c r="W388" s="208">
        <v>53</v>
      </c>
      <c r="X388" s="208">
        <v>0</v>
      </c>
      <c r="Y388" s="208">
        <v>0</v>
      </c>
      <c r="Z388" s="208">
        <v>0</v>
      </c>
      <c r="AA388" s="208">
        <v>53</v>
      </c>
      <c r="AB388" s="208">
        <v>0</v>
      </c>
      <c r="AC388" s="237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550</v>
      </c>
      <c r="P389" s="126" t="s">
        <v>2059</v>
      </c>
      <c r="Q389" s="126">
        <v>1</v>
      </c>
      <c r="S389" s="162">
        <v>46202</v>
      </c>
      <c r="T389" s="126">
        <v>108</v>
      </c>
      <c r="U389" s="208">
        <v>-7</v>
      </c>
      <c r="V389" s="208">
        <v>-7</v>
      </c>
      <c r="W389" s="208">
        <v>2.7</v>
      </c>
      <c r="X389" s="208">
        <v>0</v>
      </c>
      <c r="Y389" s="208">
        <v>0</v>
      </c>
      <c r="Z389" s="208">
        <v>0</v>
      </c>
      <c r="AA389" s="208">
        <v>2.7</v>
      </c>
      <c r="AB389" s="208">
        <v>0</v>
      </c>
      <c r="AC389" s="237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550</v>
      </c>
      <c r="P390" s="126" t="s">
        <v>2059</v>
      </c>
      <c r="Q390" s="126">
        <v>1</v>
      </c>
      <c r="S390" s="162">
        <v>46202</v>
      </c>
      <c r="T390" s="126">
        <v>150</v>
      </c>
      <c r="U390" s="208">
        <v>-20</v>
      </c>
      <c r="V390" s="208">
        <v>-1.6666666666666667</v>
      </c>
      <c r="W390" s="208">
        <v>0.13</v>
      </c>
      <c r="X390" s="208">
        <v>0</v>
      </c>
      <c r="Y390" s="208">
        <v>0</v>
      </c>
      <c r="Z390" s="208">
        <v>0</v>
      </c>
      <c r="AA390" s="208">
        <v>0.13</v>
      </c>
      <c r="AB390" s="208">
        <v>0</v>
      </c>
      <c r="AC390" s="237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550</v>
      </c>
      <c r="P391" s="126" t="s">
        <v>2059</v>
      </c>
      <c r="Q391" s="126">
        <v>1</v>
      </c>
      <c r="S391" s="162">
        <v>46202</v>
      </c>
      <c r="T391" s="126">
        <v>112</v>
      </c>
      <c r="U391" s="208">
        <v>-1</v>
      </c>
      <c r="V391" s="208">
        <v>-1</v>
      </c>
      <c r="W391" s="208">
        <v>2.6</v>
      </c>
      <c r="X391" s="208">
        <v>0</v>
      </c>
      <c r="Y391" s="208">
        <v>0</v>
      </c>
      <c r="Z391" s="208">
        <v>0</v>
      </c>
      <c r="AA391" s="208">
        <v>2.6</v>
      </c>
      <c r="AB391" s="208">
        <v>0</v>
      </c>
      <c r="AC391" s="237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550</v>
      </c>
      <c r="P392" s="126" t="s">
        <v>2059</v>
      </c>
      <c r="Q392" s="126">
        <v>1</v>
      </c>
      <c r="S392" s="162">
        <v>46202</v>
      </c>
      <c r="T392" s="126">
        <v>76</v>
      </c>
      <c r="U392" s="208">
        <v>-1</v>
      </c>
      <c r="V392" s="208">
        <v>-1</v>
      </c>
      <c r="W392" s="208">
        <v>1.35</v>
      </c>
      <c r="X392" s="208">
        <v>0</v>
      </c>
      <c r="Y392" s="208">
        <v>0</v>
      </c>
      <c r="Z392" s="208">
        <v>0</v>
      </c>
      <c r="AA392" s="208">
        <v>1.35</v>
      </c>
      <c r="AB392" s="208">
        <v>0</v>
      </c>
      <c r="AC392" s="237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550</v>
      </c>
      <c r="P393" s="126" t="s">
        <v>2059</v>
      </c>
      <c r="Q393" s="126">
        <v>1</v>
      </c>
      <c r="S393" s="162">
        <v>46202</v>
      </c>
      <c r="T393" s="126">
        <v>142</v>
      </c>
      <c r="U393" s="208">
        <v>-1</v>
      </c>
      <c r="V393" s="208">
        <v>-8.3333333333333329E-2</v>
      </c>
      <c r="W393" s="208">
        <v>0.34</v>
      </c>
      <c r="X393" s="208">
        <v>0</v>
      </c>
      <c r="Y393" s="208">
        <v>0</v>
      </c>
      <c r="Z393" s="208">
        <v>0</v>
      </c>
      <c r="AA393" s="208">
        <v>0.34</v>
      </c>
      <c r="AB393" s="208">
        <v>0</v>
      </c>
      <c r="AC393" s="237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550</v>
      </c>
      <c r="P394" s="126" t="s">
        <v>2059</v>
      </c>
      <c r="Q394" s="126">
        <v>1</v>
      </c>
      <c r="S394" s="162">
        <v>46202</v>
      </c>
      <c r="T394" s="126">
        <v>187</v>
      </c>
      <c r="U394" s="208">
        <v>-16</v>
      </c>
      <c r="V394" s="208">
        <v>-4</v>
      </c>
      <c r="W394" s="208">
        <v>3.37</v>
      </c>
      <c r="X394" s="208">
        <v>0</v>
      </c>
      <c r="Y394" s="208">
        <v>0</v>
      </c>
      <c r="Z394" s="208">
        <v>0</v>
      </c>
      <c r="AA394" s="208">
        <v>3.37</v>
      </c>
      <c r="AB394" s="208">
        <v>0</v>
      </c>
      <c r="AC394" s="237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550</v>
      </c>
      <c r="P395" s="126" t="s">
        <v>2059</v>
      </c>
      <c r="Q395" s="126">
        <v>1</v>
      </c>
      <c r="S395" s="162">
        <v>46202</v>
      </c>
      <c r="T395" s="126">
        <v>145</v>
      </c>
      <c r="U395" s="208">
        <v>-8</v>
      </c>
      <c r="V395" s="208">
        <v>-0.66666666666666663</v>
      </c>
      <c r="W395" s="208">
        <v>0.28999999999999998</v>
      </c>
      <c r="X395" s="208">
        <v>0</v>
      </c>
      <c r="Y395" s="208">
        <v>0</v>
      </c>
      <c r="Z395" s="208">
        <v>0</v>
      </c>
      <c r="AA395" s="208">
        <v>0.28999999999999998</v>
      </c>
      <c r="AB395" s="208">
        <v>0</v>
      </c>
      <c r="AC395" s="237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550</v>
      </c>
      <c r="P396" s="126" t="s">
        <v>2059</v>
      </c>
      <c r="Q396" s="126">
        <v>1</v>
      </c>
      <c r="S396" s="162">
        <v>46202</v>
      </c>
      <c r="T396" s="126">
        <v>144</v>
      </c>
      <c r="U396" s="208">
        <v>-1</v>
      </c>
      <c r="V396" s="208">
        <v>-0.02</v>
      </c>
      <c r="W396" s="208">
        <v>0.3</v>
      </c>
      <c r="X396" s="208">
        <v>0</v>
      </c>
      <c r="Y396" s="208">
        <v>0</v>
      </c>
      <c r="Z396" s="208">
        <v>0</v>
      </c>
      <c r="AA396" s="208">
        <v>0.3</v>
      </c>
      <c r="AB396" s="208">
        <v>0</v>
      </c>
      <c r="AC396" s="237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550</v>
      </c>
      <c r="P397" s="126" t="s">
        <v>2059</v>
      </c>
      <c r="Q397" s="126">
        <v>1</v>
      </c>
      <c r="S397" s="162">
        <v>46202</v>
      </c>
      <c r="T397" s="126">
        <v>8</v>
      </c>
      <c r="U397" s="208">
        <v>-1</v>
      </c>
      <c r="V397" s="208">
        <v>-1</v>
      </c>
      <c r="W397" s="208">
        <v>1.32</v>
      </c>
      <c r="X397" s="208">
        <v>0</v>
      </c>
      <c r="Y397" s="208">
        <v>0</v>
      </c>
      <c r="Z397" s="208">
        <v>0</v>
      </c>
      <c r="AA397" s="208">
        <v>1.32</v>
      </c>
      <c r="AB397" s="208">
        <v>0</v>
      </c>
      <c r="AC397" s="237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550</v>
      </c>
      <c r="P398" s="126" t="s">
        <v>2092</v>
      </c>
      <c r="Q398" s="126">
        <v>1</v>
      </c>
      <c r="S398" s="162">
        <v>46203</v>
      </c>
      <c r="T398" s="126">
        <v>1</v>
      </c>
      <c r="U398" s="208">
        <v>-1</v>
      </c>
      <c r="V398" s="208">
        <v>-1</v>
      </c>
      <c r="W398" s="208">
        <v>27.34</v>
      </c>
      <c r="X398" s="208">
        <v>0</v>
      </c>
      <c r="Y398" s="208">
        <v>0</v>
      </c>
      <c r="Z398" s="208">
        <v>0</v>
      </c>
      <c r="AA398" s="208">
        <v>27.34</v>
      </c>
      <c r="AB398" s="208">
        <v>0</v>
      </c>
      <c r="AC398" s="237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550</v>
      </c>
      <c r="P399" s="126" t="s">
        <v>2092</v>
      </c>
      <c r="Q399" s="126">
        <v>1</v>
      </c>
      <c r="S399" s="162">
        <v>46203</v>
      </c>
      <c r="T399" s="126">
        <v>174</v>
      </c>
      <c r="U399" s="208">
        <v>-2</v>
      </c>
      <c r="V399" s="208">
        <v>-0.16666666666666666</v>
      </c>
      <c r="W399" s="208">
        <v>0.2</v>
      </c>
      <c r="X399" s="208">
        <v>0</v>
      </c>
      <c r="Y399" s="208">
        <v>0</v>
      </c>
      <c r="Z399" s="208">
        <v>0</v>
      </c>
      <c r="AA399" s="208">
        <v>0.2</v>
      </c>
      <c r="AB399" s="208">
        <v>0</v>
      </c>
      <c r="AC399" s="237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550</v>
      </c>
      <c r="P400" s="126" t="s">
        <v>2092</v>
      </c>
      <c r="Q400" s="126">
        <v>1</v>
      </c>
      <c r="S400" s="162">
        <v>46203</v>
      </c>
      <c r="T400" s="126">
        <v>168</v>
      </c>
      <c r="U400" s="208">
        <v>-2</v>
      </c>
      <c r="V400" s="208">
        <v>-2</v>
      </c>
      <c r="W400" s="208">
        <v>1.2</v>
      </c>
      <c r="X400" s="208">
        <v>0</v>
      </c>
      <c r="Y400" s="208">
        <v>0</v>
      </c>
      <c r="Z400" s="208">
        <v>0</v>
      </c>
      <c r="AA400" s="208">
        <v>1.2</v>
      </c>
      <c r="AB400" s="208">
        <v>0</v>
      </c>
      <c r="AC400" s="237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550</v>
      </c>
      <c r="P401" s="126" t="s">
        <v>2092</v>
      </c>
      <c r="Q401" s="126">
        <v>1</v>
      </c>
      <c r="S401" s="162">
        <v>46203</v>
      </c>
      <c r="T401" s="126">
        <v>172</v>
      </c>
      <c r="U401" s="208">
        <v>-2</v>
      </c>
      <c r="V401" s="208">
        <v>-0.16666666666666666</v>
      </c>
      <c r="W401" s="208">
        <v>0.1</v>
      </c>
      <c r="X401" s="208">
        <v>0</v>
      </c>
      <c r="Y401" s="208">
        <v>0</v>
      </c>
      <c r="Z401" s="208">
        <v>0</v>
      </c>
      <c r="AA401" s="208">
        <v>0.1</v>
      </c>
      <c r="AB401" s="208">
        <v>0</v>
      </c>
      <c r="AC401" s="237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550</v>
      </c>
      <c r="P402" s="126" t="s">
        <v>2092</v>
      </c>
      <c r="Q402" s="126">
        <v>1</v>
      </c>
      <c r="S402" s="162">
        <v>46203</v>
      </c>
      <c r="T402" s="126">
        <v>10</v>
      </c>
      <c r="U402" s="208">
        <v>-2</v>
      </c>
      <c r="V402" s="208">
        <v>-2</v>
      </c>
      <c r="W402" s="208">
        <v>14.85</v>
      </c>
      <c r="X402" s="208">
        <v>0</v>
      </c>
      <c r="Y402" s="208">
        <v>0</v>
      </c>
      <c r="Z402" s="208">
        <v>0</v>
      </c>
      <c r="AA402" s="208">
        <v>14.85</v>
      </c>
      <c r="AB402" s="208">
        <v>0</v>
      </c>
      <c r="AC402" s="237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550</v>
      </c>
      <c r="P403" s="126" t="s">
        <v>2115</v>
      </c>
      <c r="Q403" s="126">
        <v>1</v>
      </c>
      <c r="S403" s="162">
        <v>46203</v>
      </c>
      <c r="T403" s="126">
        <v>189</v>
      </c>
      <c r="U403" s="208">
        <v>-20</v>
      </c>
      <c r="V403" s="208">
        <v>-5</v>
      </c>
      <c r="W403" s="208">
        <v>4.09</v>
      </c>
      <c r="X403" s="208">
        <v>0</v>
      </c>
      <c r="Y403" s="208">
        <v>0</v>
      </c>
      <c r="Z403" s="208">
        <v>0</v>
      </c>
      <c r="AA403" s="208">
        <v>4.09</v>
      </c>
      <c r="AB403" s="208">
        <v>0</v>
      </c>
      <c r="AC403" s="237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550</v>
      </c>
      <c r="P404" s="126" t="s">
        <v>2115</v>
      </c>
      <c r="Q404" s="126">
        <v>1</v>
      </c>
      <c r="S404" s="162">
        <v>46203</v>
      </c>
      <c r="T404" s="126">
        <v>183</v>
      </c>
      <c r="U404" s="208">
        <v>-24</v>
      </c>
      <c r="V404" s="208">
        <v>-2</v>
      </c>
      <c r="W404" s="208">
        <v>4</v>
      </c>
      <c r="X404" s="208">
        <v>0</v>
      </c>
      <c r="Y404" s="208">
        <v>0</v>
      </c>
      <c r="Z404" s="208">
        <v>0</v>
      </c>
      <c r="AA404" s="208">
        <v>4</v>
      </c>
      <c r="AB404" s="208">
        <v>0</v>
      </c>
      <c r="AC404" s="237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550</v>
      </c>
      <c r="P405" s="126" t="s">
        <v>2115</v>
      </c>
      <c r="Q405" s="126">
        <v>1</v>
      </c>
      <c r="S405" s="162">
        <v>46203</v>
      </c>
      <c r="T405" s="126">
        <v>136</v>
      </c>
      <c r="U405" s="208">
        <v>-2</v>
      </c>
      <c r="V405" s="208">
        <v>-2</v>
      </c>
      <c r="W405" s="208">
        <v>0.38</v>
      </c>
      <c r="X405" s="208">
        <v>0</v>
      </c>
      <c r="Y405" s="208">
        <v>0</v>
      </c>
      <c r="Z405" s="208">
        <v>0</v>
      </c>
      <c r="AA405" s="208">
        <v>0.38</v>
      </c>
      <c r="AB405" s="208">
        <v>0</v>
      </c>
      <c r="AC405" s="237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550</v>
      </c>
      <c r="P406" s="126" t="s">
        <v>2115</v>
      </c>
      <c r="Q406" s="126">
        <v>1</v>
      </c>
      <c r="S406" s="162">
        <v>46203</v>
      </c>
      <c r="T406" s="126">
        <v>142</v>
      </c>
      <c r="U406" s="208">
        <v>-1</v>
      </c>
      <c r="V406" s="208">
        <v>-8.3333333333333329E-2</v>
      </c>
      <c r="W406" s="208">
        <v>0.34</v>
      </c>
      <c r="X406" s="208">
        <v>0</v>
      </c>
      <c r="Y406" s="208">
        <v>0</v>
      </c>
      <c r="Z406" s="208">
        <v>0</v>
      </c>
      <c r="AA406" s="208">
        <v>0.34</v>
      </c>
      <c r="AB406" s="208">
        <v>0</v>
      </c>
      <c r="AC406" s="237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550</v>
      </c>
      <c r="P407" s="126" t="s">
        <v>2115</v>
      </c>
      <c r="Q407" s="126">
        <v>1</v>
      </c>
      <c r="S407" s="162">
        <v>46203</v>
      </c>
      <c r="T407" s="126">
        <v>53</v>
      </c>
      <c r="U407" s="208">
        <v>-1</v>
      </c>
      <c r="V407" s="208">
        <v>-1</v>
      </c>
      <c r="W407" s="208">
        <v>0.95</v>
      </c>
      <c r="X407" s="208">
        <v>0</v>
      </c>
      <c r="Y407" s="208">
        <v>0</v>
      </c>
      <c r="Z407" s="208">
        <v>0</v>
      </c>
      <c r="AA407" s="208">
        <v>0.95</v>
      </c>
      <c r="AB407" s="208">
        <v>0</v>
      </c>
      <c r="AC407" s="237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550</v>
      </c>
      <c r="P408" s="126" t="s">
        <v>2115</v>
      </c>
      <c r="Q408" s="126">
        <v>1</v>
      </c>
      <c r="S408" s="162">
        <v>46203</v>
      </c>
      <c r="T408" s="126">
        <v>50</v>
      </c>
      <c r="U408" s="208">
        <v>-2</v>
      </c>
      <c r="V408" s="208">
        <v>-2</v>
      </c>
      <c r="W408" s="208">
        <v>0.12</v>
      </c>
      <c r="X408" s="208">
        <v>0</v>
      </c>
      <c r="Y408" s="208">
        <v>0</v>
      </c>
      <c r="Z408" s="208">
        <v>0</v>
      </c>
      <c r="AA408" s="208">
        <v>0.12</v>
      </c>
      <c r="AB408" s="208">
        <v>0</v>
      </c>
      <c r="AC408" s="237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550</v>
      </c>
      <c r="P409" s="126" t="s">
        <v>2115</v>
      </c>
      <c r="Q409" s="126">
        <v>1</v>
      </c>
      <c r="S409" s="162">
        <v>46203</v>
      </c>
      <c r="T409" s="126">
        <v>56</v>
      </c>
      <c r="U409" s="208">
        <v>-2</v>
      </c>
      <c r="V409" s="208">
        <v>-2</v>
      </c>
      <c r="W409" s="208">
        <v>0.55000000000000004</v>
      </c>
      <c r="X409" s="208">
        <v>0</v>
      </c>
      <c r="Y409" s="208">
        <v>0</v>
      </c>
      <c r="Z409" s="208">
        <v>0</v>
      </c>
      <c r="AA409" s="208">
        <v>0.55000000000000004</v>
      </c>
      <c r="AB409" s="208">
        <v>0</v>
      </c>
      <c r="AC409" s="237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550</v>
      </c>
      <c r="P410" s="126" t="s">
        <v>2115</v>
      </c>
      <c r="Q410" s="126">
        <v>1</v>
      </c>
      <c r="S410" s="162">
        <v>46203</v>
      </c>
      <c r="T410" s="126">
        <v>34</v>
      </c>
      <c r="U410" s="208">
        <v>-1</v>
      </c>
      <c r="V410" s="208">
        <v>-1</v>
      </c>
      <c r="W410" s="208">
        <v>0.5</v>
      </c>
      <c r="X410" s="208">
        <v>0</v>
      </c>
      <c r="Y410" s="208">
        <v>0</v>
      </c>
      <c r="Z410" s="208">
        <v>0</v>
      </c>
      <c r="AA410" s="208">
        <v>0.5</v>
      </c>
      <c r="AB410" s="208">
        <v>0</v>
      </c>
      <c r="AC410" s="237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676</v>
      </c>
      <c r="P411" s="126" t="s">
        <v>2143</v>
      </c>
      <c r="R411" s="126">
        <v>2</v>
      </c>
      <c r="S411" s="162">
        <v>46174</v>
      </c>
      <c r="T411" s="126">
        <v>4</v>
      </c>
      <c r="U411" s="208">
        <v>8</v>
      </c>
      <c r="V411" s="208">
        <v>8</v>
      </c>
      <c r="W411" s="208">
        <v>5.8</v>
      </c>
      <c r="X411" s="208">
        <v>0</v>
      </c>
      <c r="Y411" s="208">
        <v>0</v>
      </c>
      <c r="Z411" s="208">
        <v>0</v>
      </c>
      <c r="AA411" s="208">
        <v>5.8</v>
      </c>
      <c r="AB411" s="208">
        <v>0</v>
      </c>
      <c r="AC411" s="237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676</v>
      </c>
      <c r="P412" s="126" t="s">
        <v>2143</v>
      </c>
      <c r="R412" s="126">
        <v>2</v>
      </c>
      <c r="S412" s="162">
        <v>46174</v>
      </c>
      <c r="T412" s="126">
        <v>6</v>
      </c>
      <c r="U412" s="208">
        <v>20</v>
      </c>
      <c r="V412" s="208">
        <v>20</v>
      </c>
      <c r="W412" s="208">
        <v>2.89</v>
      </c>
      <c r="X412" s="208">
        <v>0</v>
      </c>
      <c r="Y412" s="208">
        <v>0</v>
      </c>
      <c r="Z412" s="208">
        <v>0</v>
      </c>
      <c r="AA412" s="208">
        <v>2.89</v>
      </c>
      <c r="AB412" s="208">
        <v>0</v>
      </c>
      <c r="AC412" s="237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676</v>
      </c>
      <c r="P413" s="126" t="s">
        <v>2143</v>
      </c>
      <c r="R413" s="126">
        <v>2</v>
      </c>
      <c r="S413" s="162">
        <v>46174</v>
      </c>
      <c r="T413" s="126">
        <v>7</v>
      </c>
      <c r="U413" s="208">
        <v>18</v>
      </c>
      <c r="V413" s="208">
        <v>18</v>
      </c>
      <c r="W413" s="208">
        <v>1.79</v>
      </c>
      <c r="X413" s="208">
        <v>0</v>
      </c>
      <c r="Y413" s="208">
        <v>0</v>
      </c>
      <c r="Z413" s="208">
        <v>0</v>
      </c>
      <c r="AA413" s="208">
        <v>1.79</v>
      </c>
      <c r="AB413" s="208">
        <v>0</v>
      </c>
      <c r="AC413" s="237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676</v>
      </c>
      <c r="P414" s="126" t="s">
        <v>2143</v>
      </c>
      <c r="R414" s="126">
        <v>2</v>
      </c>
      <c r="S414" s="162">
        <v>46174</v>
      </c>
      <c r="T414" s="126">
        <v>8</v>
      </c>
      <c r="U414" s="208">
        <v>14</v>
      </c>
      <c r="V414" s="208">
        <v>14</v>
      </c>
      <c r="W414" s="208">
        <v>1.32</v>
      </c>
      <c r="X414" s="208">
        <v>0</v>
      </c>
      <c r="Y414" s="208">
        <v>0</v>
      </c>
      <c r="Z414" s="208">
        <v>0</v>
      </c>
      <c r="AA414" s="208">
        <v>1.32</v>
      </c>
      <c r="AB414" s="208">
        <v>0</v>
      </c>
      <c r="AC414" s="237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676</v>
      </c>
      <c r="P415" s="126" t="s">
        <v>2143</v>
      </c>
      <c r="R415" s="126">
        <v>2</v>
      </c>
      <c r="S415" s="162">
        <v>46174</v>
      </c>
      <c r="T415" s="126">
        <v>9</v>
      </c>
      <c r="U415" s="208">
        <v>36</v>
      </c>
      <c r="V415" s="208">
        <v>36</v>
      </c>
      <c r="W415" s="208">
        <v>1.1499999999999999</v>
      </c>
      <c r="X415" s="208">
        <v>0</v>
      </c>
      <c r="Y415" s="208">
        <v>0</v>
      </c>
      <c r="Z415" s="208">
        <v>0</v>
      </c>
      <c r="AA415" s="208">
        <v>1.1499999999999999</v>
      </c>
      <c r="AB415" s="208">
        <v>0</v>
      </c>
      <c r="AC415" s="237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676</v>
      </c>
      <c r="P416" s="126" t="s">
        <v>2143</v>
      </c>
      <c r="R416" s="126">
        <v>2</v>
      </c>
      <c r="S416" s="162">
        <v>46174</v>
      </c>
      <c r="T416" s="126">
        <v>11</v>
      </c>
      <c r="U416" s="208">
        <v>6</v>
      </c>
      <c r="V416" s="208">
        <v>6</v>
      </c>
      <c r="W416" s="208">
        <v>9.52</v>
      </c>
      <c r="X416" s="208">
        <v>0</v>
      </c>
      <c r="Y416" s="208">
        <v>0</v>
      </c>
      <c r="Z416" s="208">
        <v>0</v>
      </c>
      <c r="AA416" s="208">
        <v>9.52</v>
      </c>
      <c r="AB416" s="208">
        <v>0</v>
      </c>
      <c r="AC416" s="237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676</v>
      </c>
      <c r="P417" s="126" t="s">
        <v>2143</v>
      </c>
      <c r="R417" s="126">
        <v>2</v>
      </c>
      <c r="S417" s="162">
        <v>46174</v>
      </c>
      <c r="T417" s="126">
        <v>16</v>
      </c>
      <c r="U417" s="208">
        <v>30</v>
      </c>
      <c r="V417" s="208">
        <v>30</v>
      </c>
      <c r="W417" s="208">
        <v>2.1</v>
      </c>
      <c r="X417" s="208">
        <v>0</v>
      </c>
      <c r="Y417" s="208">
        <v>0</v>
      </c>
      <c r="Z417" s="208">
        <v>0</v>
      </c>
      <c r="AA417" s="208">
        <v>2.1</v>
      </c>
      <c r="AB417" s="208">
        <v>0</v>
      </c>
      <c r="AC417" s="237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676</v>
      </c>
      <c r="P418" s="126" t="s">
        <v>2143</v>
      </c>
      <c r="R418" s="126">
        <v>2</v>
      </c>
      <c r="S418" s="162">
        <v>46174</v>
      </c>
      <c r="T418" s="126">
        <v>18</v>
      </c>
      <c r="U418" s="208">
        <v>2</v>
      </c>
      <c r="V418" s="208">
        <v>2</v>
      </c>
      <c r="W418" s="208">
        <v>1.35</v>
      </c>
      <c r="X418" s="208">
        <v>0</v>
      </c>
      <c r="Y418" s="208">
        <v>0</v>
      </c>
      <c r="Z418" s="208">
        <v>0</v>
      </c>
      <c r="AA418" s="208">
        <v>1.35</v>
      </c>
      <c r="AB418" s="208">
        <v>0</v>
      </c>
      <c r="AC418" s="237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676</v>
      </c>
      <c r="P419" s="126" t="s">
        <v>2143</v>
      </c>
      <c r="R419" s="126">
        <v>2</v>
      </c>
      <c r="S419" s="162">
        <v>46174</v>
      </c>
      <c r="T419" s="126">
        <v>20</v>
      </c>
      <c r="U419" s="208">
        <v>14</v>
      </c>
      <c r="V419" s="208">
        <v>14</v>
      </c>
      <c r="W419" s="208">
        <v>5.03</v>
      </c>
      <c r="X419" s="208">
        <v>0</v>
      </c>
      <c r="Y419" s="208">
        <v>0</v>
      </c>
      <c r="Z419" s="208">
        <v>0</v>
      </c>
      <c r="AA419" s="208">
        <v>5.03</v>
      </c>
      <c r="AB419" s="208">
        <v>0</v>
      </c>
      <c r="AC419" s="237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676</v>
      </c>
      <c r="P420" s="126" t="s">
        <v>2143</v>
      </c>
      <c r="R420" s="126">
        <v>2</v>
      </c>
      <c r="S420" s="162">
        <v>46174</v>
      </c>
      <c r="T420" s="126">
        <v>25</v>
      </c>
      <c r="U420" s="208">
        <v>2</v>
      </c>
      <c r="V420" s="208">
        <v>2</v>
      </c>
      <c r="W420" s="208">
        <v>1.51</v>
      </c>
      <c r="X420" s="208">
        <v>0</v>
      </c>
      <c r="Y420" s="208">
        <v>0</v>
      </c>
      <c r="Z420" s="208">
        <v>0</v>
      </c>
      <c r="AA420" s="208">
        <v>1.51</v>
      </c>
      <c r="AB420" s="208">
        <v>0</v>
      </c>
      <c r="AC420" s="237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676</v>
      </c>
      <c r="P421" s="126" t="s">
        <v>2143</v>
      </c>
      <c r="R421" s="126">
        <v>2</v>
      </c>
      <c r="S421" s="162">
        <v>46174</v>
      </c>
      <c r="T421" s="126">
        <v>29</v>
      </c>
      <c r="U421" s="208">
        <v>24</v>
      </c>
      <c r="V421" s="208">
        <v>24</v>
      </c>
      <c r="W421" s="208">
        <v>4.2300000000000004</v>
      </c>
      <c r="X421" s="208">
        <v>0</v>
      </c>
      <c r="Y421" s="208">
        <v>0</v>
      </c>
      <c r="Z421" s="208">
        <v>0</v>
      </c>
      <c r="AA421" s="208">
        <v>4.2300000000000004</v>
      </c>
      <c r="AB421" s="208">
        <v>0</v>
      </c>
      <c r="AC421" s="237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676</v>
      </c>
      <c r="P422" s="126" t="s">
        <v>2143</v>
      </c>
      <c r="R422" s="126">
        <v>2</v>
      </c>
      <c r="S422" s="162">
        <v>46174</v>
      </c>
      <c r="T422" s="126">
        <v>30</v>
      </c>
      <c r="U422" s="208">
        <v>6</v>
      </c>
      <c r="V422" s="208">
        <v>6</v>
      </c>
      <c r="W422" s="208">
        <v>1.49</v>
      </c>
      <c r="X422" s="208">
        <v>0</v>
      </c>
      <c r="Y422" s="208">
        <v>0</v>
      </c>
      <c r="Z422" s="208">
        <v>0</v>
      </c>
      <c r="AA422" s="208">
        <v>1.49</v>
      </c>
      <c r="AB422" s="208">
        <v>0</v>
      </c>
      <c r="AC422" s="237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676</v>
      </c>
      <c r="P423" s="126" t="s">
        <v>2143</v>
      </c>
      <c r="R423" s="126">
        <v>2</v>
      </c>
      <c r="S423" s="162">
        <v>46174</v>
      </c>
      <c r="T423" s="126">
        <v>32</v>
      </c>
      <c r="U423" s="208">
        <v>4</v>
      </c>
      <c r="V423" s="208">
        <v>4</v>
      </c>
      <c r="W423" s="208">
        <v>1.04</v>
      </c>
      <c r="X423" s="208">
        <v>0</v>
      </c>
      <c r="Y423" s="208">
        <v>0</v>
      </c>
      <c r="Z423" s="208">
        <v>0</v>
      </c>
      <c r="AA423" s="208">
        <v>1.04</v>
      </c>
      <c r="AB423" s="208">
        <v>0</v>
      </c>
      <c r="AC423" s="237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676</v>
      </c>
      <c r="P424" s="126" t="s">
        <v>2143</v>
      </c>
      <c r="R424" s="126">
        <v>2</v>
      </c>
      <c r="S424" s="162">
        <v>46174</v>
      </c>
      <c r="T424" s="126">
        <v>33</v>
      </c>
      <c r="U424" s="208">
        <v>2</v>
      </c>
      <c r="V424" s="208">
        <v>2</v>
      </c>
      <c r="W424" s="208">
        <v>1.75</v>
      </c>
      <c r="X424" s="208">
        <v>0</v>
      </c>
      <c r="Y424" s="208">
        <v>0</v>
      </c>
      <c r="Z424" s="208">
        <v>0</v>
      </c>
      <c r="AA424" s="208">
        <v>1.75</v>
      </c>
      <c r="AB424" s="208">
        <v>0</v>
      </c>
      <c r="AC424" s="237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676</v>
      </c>
      <c r="P425" s="126" t="s">
        <v>2159</v>
      </c>
      <c r="R425" s="126">
        <v>2</v>
      </c>
      <c r="S425" s="162">
        <v>46174</v>
      </c>
      <c r="T425" s="126">
        <v>34</v>
      </c>
      <c r="U425" s="208">
        <v>20</v>
      </c>
      <c r="V425" s="208">
        <v>20</v>
      </c>
      <c r="W425" s="208">
        <v>0.5</v>
      </c>
      <c r="X425" s="208">
        <v>0</v>
      </c>
      <c r="Y425" s="208">
        <v>0</v>
      </c>
      <c r="Z425" s="208">
        <v>0</v>
      </c>
      <c r="AA425" s="208">
        <v>0.5</v>
      </c>
      <c r="AB425" s="208">
        <v>0</v>
      </c>
      <c r="AC425" s="237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676</v>
      </c>
      <c r="P426" s="126" t="s">
        <v>2159</v>
      </c>
      <c r="R426" s="126">
        <v>2</v>
      </c>
      <c r="S426" s="162">
        <v>46174</v>
      </c>
      <c r="T426" s="126">
        <v>37</v>
      </c>
      <c r="U426" s="208">
        <v>4</v>
      </c>
      <c r="V426" s="208">
        <v>4</v>
      </c>
      <c r="W426" s="208">
        <v>0.66</v>
      </c>
      <c r="X426" s="208">
        <v>0</v>
      </c>
      <c r="Y426" s="208">
        <v>0</v>
      </c>
      <c r="Z426" s="208">
        <v>0</v>
      </c>
      <c r="AA426" s="208">
        <v>0.66</v>
      </c>
      <c r="AB426" s="208">
        <v>0</v>
      </c>
      <c r="AC426" s="237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676</v>
      </c>
      <c r="P427" s="126" t="s">
        <v>2159</v>
      </c>
      <c r="R427" s="126">
        <v>2</v>
      </c>
      <c r="S427" s="162">
        <v>46174</v>
      </c>
      <c r="T427" s="126">
        <v>38</v>
      </c>
      <c r="U427" s="208">
        <v>4</v>
      </c>
      <c r="V427" s="208">
        <v>4</v>
      </c>
      <c r="W427" s="208">
        <v>0.28999999999999998</v>
      </c>
      <c r="X427" s="208">
        <v>0</v>
      </c>
      <c r="Y427" s="208">
        <v>0</v>
      </c>
      <c r="Z427" s="208">
        <v>0</v>
      </c>
      <c r="AA427" s="208">
        <v>0.28999999999999998</v>
      </c>
      <c r="AB427" s="208">
        <v>0</v>
      </c>
      <c r="AC427" s="237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676</v>
      </c>
      <c r="P428" s="126" t="s">
        <v>2159</v>
      </c>
      <c r="R428" s="126">
        <v>2</v>
      </c>
      <c r="S428" s="162">
        <v>46174</v>
      </c>
      <c r="T428" s="126">
        <v>39</v>
      </c>
      <c r="U428" s="208">
        <v>6</v>
      </c>
      <c r="V428" s="208">
        <v>6</v>
      </c>
      <c r="W428" s="208">
        <v>0.28999999999999998</v>
      </c>
      <c r="X428" s="208">
        <v>0</v>
      </c>
      <c r="Y428" s="208">
        <v>0</v>
      </c>
      <c r="Z428" s="208">
        <v>0</v>
      </c>
      <c r="AA428" s="208">
        <v>0.28999999999999998</v>
      </c>
      <c r="AB428" s="208">
        <v>0</v>
      </c>
      <c r="AC428" s="237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676</v>
      </c>
      <c r="P429" s="126" t="s">
        <v>2159</v>
      </c>
      <c r="R429" s="126">
        <v>2</v>
      </c>
      <c r="S429" s="162">
        <v>46174</v>
      </c>
      <c r="T429" s="126">
        <v>40</v>
      </c>
      <c r="U429" s="208">
        <v>4</v>
      </c>
      <c r="V429" s="208">
        <v>4</v>
      </c>
      <c r="W429" s="208">
        <v>0.23</v>
      </c>
      <c r="X429" s="208">
        <v>0</v>
      </c>
      <c r="Y429" s="208">
        <v>0</v>
      </c>
      <c r="Z429" s="208">
        <v>0</v>
      </c>
      <c r="AA429" s="208">
        <v>0.23</v>
      </c>
      <c r="AB429" s="208">
        <v>0</v>
      </c>
      <c r="AC429" s="237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676</v>
      </c>
      <c r="P430" s="126" t="s">
        <v>2159</v>
      </c>
      <c r="R430" s="126">
        <v>2</v>
      </c>
      <c r="S430" s="162">
        <v>46174</v>
      </c>
      <c r="T430" s="126">
        <v>41</v>
      </c>
      <c r="U430" s="208">
        <v>16</v>
      </c>
      <c r="V430" s="208">
        <v>16</v>
      </c>
      <c r="W430" s="208">
        <v>0.53</v>
      </c>
      <c r="X430" s="208">
        <v>0</v>
      </c>
      <c r="Y430" s="208">
        <v>0</v>
      </c>
      <c r="Z430" s="208">
        <v>0</v>
      </c>
      <c r="AA430" s="208">
        <v>0.53</v>
      </c>
      <c r="AB430" s="208">
        <v>0</v>
      </c>
      <c r="AC430" s="237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676</v>
      </c>
      <c r="P431" s="126" t="s">
        <v>2159</v>
      </c>
      <c r="R431" s="126">
        <v>2</v>
      </c>
      <c r="S431" s="162">
        <v>46174</v>
      </c>
      <c r="T431" s="126">
        <v>42</v>
      </c>
      <c r="U431" s="208">
        <v>32</v>
      </c>
      <c r="V431" s="208">
        <v>32</v>
      </c>
      <c r="W431" s="208">
        <v>0.24</v>
      </c>
      <c r="X431" s="208">
        <v>0</v>
      </c>
      <c r="Y431" s="208">
        <v>0</v>
      </c>
      <c r="Z431" s="208">
        <v>0</v>
      </c>
      <c r="AA431" s="208">
        <v>0.24</v>
      </c>
      <c r="AB431" s="208">
        <v>0</v>
      </c>
      <c r="AC431" s="237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676</v>
      </c>
      <c r="P432" s="126" t="s">
        <v>2159</v>
      </c>
      <c r="R432" s="126">
        <v>2</v>
      </c>
      <c r="S432" s="162">
        <v>46174</v>
      </c>
      <c r="T432" s="126">
        <v>44</v>
      </c>
      <c r="U432" s="208">
        <v>8</v>
      </c>
      <c r="V432" s="208">
        <v>8</v>
      </c>
      <c r="W432" s="208">
        <v>0.22</v>
      </c>
      <c r="X432" s="208">
        <v>0</v>
      </c>
      <c r="Y432" s="208">
        <v>0</v>
      </c>
      <c r="Z432" s="208">
        <v>0</v>
      </c>
      <c r="AA432" s="208">
        <v>0.22</v>
      </c>
      <c r="AB432" s="208">
        <v>0</v>
      </c>
      <c r="AC432" s="237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676</v>
      </c>
      <c r="P433" s="126" t="s">
        <v>2159</v>
      </c>
      <c r="R433" s="126">
        <v>2</v>
      </c>
      <c r="S433" s="162">
        <v>46174</v>
      </c>
      <c r="T433" s="126">
        <v>45</v>
      </c>
      <c r="U433" s="208">
        <v>30</v>
      </c>
      <c r="V433" s="208">
        <v>30</v>
      </c>
      <c r="W433" s="208">
        <v>0.34</v>
      </c>
      <c r="X433" s="208">
        <v>0</v>
      </c>
      <c r="Y433" s="208">
        <v>0</v>
      </c>
      <c r="Z433" s="208">
        <v>0</v>
      </c>
      <c r="AA433" s="208">
        <v>0.34</v>
      </c>
      <c r="AB433" s="208">
        <v>0</v>
      </c>
      <c r="AC433" s="237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676</v>
      </c>
      <c r="P434" s="126" t="s">
        <v>2159</v>
      </c>
      <c r="R434" s="126">
        <v>2</v>
      </c>
      <c r="S434" s="162">
        <v>46174</v>
      </c>
      <c r="T434" s="126">
        <v>46</v>
      </c>
      <c r="U434" s="208">
        <v>60</v>
      </c>
      <c r="V434" s="208">
        <v>60</v>
      </c>
      <c r="W434" s="208">
        <v>0.15</v>
      </c>
      <c r="X434" s="208">
        <v>0</v>
      </c>
      <c r="Y434" s="208">
        <v>0</v>
      </c>
      <c r="Z434" s="208">
        <v>0</v>
      </c>
      <c r="AA434" s="208">
        <v>0.15</v>
      </c>
      <c r="AB434" s="208">
        <v>0</v>
      </c>
      <c r="AC434" s="237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676</v>
      </c>
      <c r="P435" s="126" t="s">
        <v>2159</v>
      </c>
      <c r="R435" s="126">
        <v>2</v>
      </c>
      <c r="S435" s="162">
        <v>46174</v>
      </c>
      <c r="T435" s="126">
        <v>48</v>
      </c>
      <c r="U435" s="208">
        <v>14</v>
      </c>
      <c r="V435" s="208">
        <v>14</v>
      </c>
      <c r="W435" s="208">
        <v>0.12</v>
      </c>
      <c r="X435" s="208">
        <v>0</v>
      </c>
      <c r="Y435" s="208">
        <v>0</v>
      </c>
      <c r="Z435" s="208">
        <v>0</v>
      </c>
      <c r="AA435" s="208">
        <v>0.12</v>
      </c>
      <c r="AB435" s="208">
        <v>0</v>
      </c>
      <c r="AC435" s="237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676</v>
      </c>
      <c r="P436" s="126" t="s">
        <v>2159</v>
      </c>
      <c r="R436" s="126">
        <v>2</v>
      </c>
      <c r="S436" s="162">
        <v>46174</v>
      </c>
      <c r="T436" s="126">
        <v>49</v>
      </c>
      <c r="U436" s="208">
        <v>30</v>
      </c>
      <c r="V436" s="208">
        <v>30</v>
      </c>
      <c r="W436" s="208">
        <v>0.28000000000000003</v>
      </c>
      <c r="X436" s="208">
        <v>0</v>
      </c>
      <c r="Y436" s="208">
        <v>0</v>
      </c>
      <c r="Z436" s="208">
        <v>0</v>
      </c>
      <c r="AA436" s="208">
        <v>0.28000000000000003</v>
      </c>
      <c r="AB436" s="208">
        <v>0</v>
      </c>
      <c r="AC436" s="237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676</v>
      </c>
      <c r="P437" s="126" t="s">
        <v>2159</v>
      </c>
      <c r="R437" s="126">
        <v>2</v>
      </c>
      <c r="S437" s="162">
        <v>46174</v>
      </c>
      <c r="T437" s="126">
        <v>50</v>
      </c>
      <c r="U437" s="208">
        <v>118</v>
      </c>
      <c r="V437" s="208">
        <v>118</v>
      </c>
      <c r="W437" s="208">
        <v>0.12</v>
      </c>
      <c r="X437" s="208">
        <v>0</v>
      </c>
      <c r="Y437" s="208">
        <v>0</v>
      </c>
      <c r="Z437" s="208">
        <v>0</v>
      </c>
      <c r="AA437" s="208">
        <v>0.12</v>
      </c>
      <c r="AB437" s="208">
        <v>0</v>
      </c>
      <c r="AC437" s="237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676</v>
      </c>
      <c r="P438" s="126" t="s">
        <v>2159</v>
      </c>
      <c r="R438" s="126">
        <v>2</v>
      </c>
      <c r="S438" s="162">
        <v>46174</v>
      </c>
      <c r="T438" s="126">
        <v>51</v>
      </c>
      <c r="U438" s="208">
        <v>34</v>
      </c>
      <c r="V438" s="208">
        <v>34</v>
      </c>
      <c r="W438" s="208">
        <v>4.49</v>
      </c>
      <c r="X438" s="208">
        <v>0</v>
      </c>
      <c r="Y438" s="208">
        <v>0</v>
      </c>
      <c r="Z438" s="208">
        <v>0</v>
      </c>
      <c r="AA438" s="208">
        <v>4.49</v>
      </c>
      <c r="AB438" s="208">
        <v>0</v>
      </c>
      <c r="AC438" s="237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676</v>
      </c>
      <c r="P439" s="126" t="s">
        <v>2175</v>
      </c>
      <c r="R439" s="126">
        <v>2</v>
      </c>
      <c r="S439" s="162">
        <v>46176</v>
      </c>
      <c r="T439" s="126">
        <v>52</v>
      </c>
      <c r="U439" s="208">
        <v>22</v>
      </c>
      <c r="V439" s="208">
        <v>22</v>
      </c>
      <c r="W439" s="208">
        <v>1.91</v>
      </c>
      <c r="X439" s="208">
        <v>0</v>
      </c>
      <c r="Y439" s="208">
        <v>0</v>
      </c>
      <c r="Z439" s="208">
        <v>0</v>
      </c>
      <c r="AA439" s="208">
        <v>1.91</v>
      </c>
      <c r="AB439" s="208">
        <v>0</v>
      </c>
      <c r="AC439" s="237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676</v>
      </c>
      <c r="P440" s="126" t="s">
        <v>2175</v>
      </c>
      <c r="R440" s="126">
        <v>2</v>
      </c>
      <c r="S440" s="162">
        <v>46176</v>
      </c>
      <c r="T440" s="126">
        <v>53</v>
      </c>
      <c r="U440" s="208">
        <v>4</v>
      </c>
      <c r="V440" s="208">
        <v>4</v>
      </c>
      <c r="W440" s="208">
        <v>0.95</v>
      </c>
      <c r="X440" s="208">
        <v>0</v>
      </c>
      <c r="Y440" s="208">
        <v>0</v>
      </c>
      <c r="Z440" s="208">
        <v>0</v>
      </c>
      <c r="AA440" s="208">
        <v>0.95</v>
      </c>
      <c r="AB440" s="208">
        <v>0</v>
      </c>
      <c r="AC440" s="237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676</v>
      </c>
      <c r="P441" s="126" t="s">
        <v>2175</v>
      </c>
      <c r="R441" s="126">
        <v>2</v>
      </c>
      <c r="S441" s="162">
        <v>46176</v>
      </c>
      <c r="T441" s="126">
        <v>54</v>
      </c>
      <c r="U441" s="208">
        <v>16</v>
      </c>
      <c r="V441" s="208">
        <v>16</v>
      </c>
      <c r="W441" s="208">
        <v>2.12</v>
      </c>
      <c r="X441" s="208">
        <v>0</v>
      </c>
      <c r="Y441" s="208">
        <v>0</v>
      </c>
      <c r="Z441" s="208">
        <v>0</v>
      </c>
      <c r="AA441" s="208">
        <v>2.12</v>
      </c>
      <c r="AB441" s="208">
        <v>0</v>
      </c>
      <c r="AC441" s="237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676</v>
      </c>
      <c r="P442" s="126" t="s">
        <v>2175</v>
      </c>
      <c r="R442" s="126">
        <v>2</v>
      </c>
      <c r="S442" s="162">
        <v>46176</v>
      </c>
      <c r="T442" s="126">
        <v>56</v>
      </c>
      <c r="U442" s="208">
        <v>14</v>
      </c>
      <c r="V442" s="208">
        <v>14</v>
      </c>
      <c r="W442" s="208">
        <v>0.55000000000000004</v>
      </c>
      <c r="X442" s="208">
        <v>0</v>
      </c>
      <c r="Y442" s="208">
        <v>0</v>
      </c>
      <c r="Z442" s="208">
        <v>0</v>
      </c>
      <c r="AA442" s="208">
        <v>0.55000000000000004</v>
      </c>
      <c r="AB442" s="208">
        <v>0</v>
      </c>
      <c r="AC442" s="237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676</v>
      </c>
      <c r="P443" s="126" t="s">
        <v>2175</v>
      </c>
      <c r="R443" s="126">
        <v>2</v>
      </c>
      <c r="S443" s="162">
        <v>46176</v>
      </c>
      <c r="T443" s="126">
        <v>61</v>
      </c>
      <c r="U443" s="208">
        <v>2</v>
      </c>
      <c r="V443" s="208">
        <v>2</v>
      </c>
      <c r="W443" s="208">
        <v>6.41</v>
      </c>
      <c r="X443" s="208">
        <v>0</v>
      </c>
      <c r="Y443" s="208">
        <v>0</v>
      </c>
      <c r="Z443" s="208">
        <v>0</v>
      </c>
      <c r="AA443" s="208">
        <v>6.41</v>
      </c>
      <c r="AB443" s="208">
        <v>0</v>
      </c>
      <c r="AC443" s="237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676</v>
      </c>
      <c r="P444" s="126" t="s">
        <v>2175</v>
      </c>
      <c r="R444" s="126">
        <v>2</v>
      </c>
      <c r="S444" s="162">
        <v>46176</v>
      </c>
      <c r="T444" s="126">
        <v>63</v>
      </c>
      <c r="U444" s="208">
        <v>12</v>
      </c>
      <c r="V444" s="208">
        <v>12</v>
      </c>
      <c r="W444" s="208">
        <v>4.33</v>
      </c>
      <c r="X444" s="208">
        <v>0</v>
      </c>
      <c r="Y444" s="208">
        <v>0</v>
      </c>
      <c r="Z444" s="208">
        <v>0</v>
      </c>
      <c r="AA444" s="208">
        <v>4.33</v>
      </c>
      <c r="AB444" s="208">
        <v>0</v>
      </c>
      <c r="AC444" s="237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676</v>
      </c>
      <c r="P445" s="126" t="s">
        <v>2175</v>
      </c>
      <c r="R445" s="126">
        <v>2</v>
      </c>
      <c r="S445" s="162">
        <v>46176</v>
      </c>
      <c r="T445" s="126">
        <v>64</v>
      </c>
      <c r="U445" s="208">
        <v>2</v>
      </c>
      <c r="V445" s="208">
        <v>2</v>
      </c>
      <c r="W445" s="208">
        <v>1.9</v>
      </c>
      <c r="X445" s="208">
        <v>0</v>
      </c>
      <c r="Y445" s="208">
        <v>0</v>
      </c>
      <c r="Z445" s="208">
        <v>0</v>
      </c>
      <c r="AA445" s="208">
        <v>1.9</v>
      </c>
      <c r="AB445" s="208">
        <v>0</v>
      </c>
      <c r="AC445" s="237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676</v>
      </c>
      <c r="P446" s="126" t="s">
        <v>2175</v>
      </c>
      <c r="R446" s="126">
        <v>2</v>
      </c>
      <c r="S446" s="162">
        <v>46176</v>
      </c>
      <c r="T446" s="126">
        <v>66</v>
      </c>
      <c r="U446" s="208">
        <v>12</v>
      </c>
      <c r="V446" s="208">
        <v>12</v>
      </c>
      <c r="W446" s="208">
        <v>0.41</v>
      </c>
      <c r="X446" s="208">
        <v>0</v>
      </c>
      <c r="Y446" s="208">
        <v>0</v>
      </c>
      <c r="Z446" s="208">
        <v>0</v>
      </c>
      <c r="AA446" s="208">
        <v>0.41</v>
      </c>
      <c r="AB446" s="208">
        <v>0</v>
      </c>
      <c r="AC446" s="237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676</v>
      </c>
      <c r="P447" s="126" t="s">
        <v>2175</v>
      </c>
      <c r="R447" s="126">
        <v>2</v>
      </c>
      <c r="S447" s="162">
        <v>46176</v>
      </c>
      <c r="T447" s="126">
        <v>68</v>
      </c>
      <c r="U447" s="208">
        <v>12</v>
      </c>
      <c r="V447" s="208">
        <v>12</v>
      </c>
      <c r="W447" s="208">
        <v>0.53</v>
      </c>
      <c r="X447" s="208">
        <v>0</v>
      </c>
      <c r="Y447" s="208">
        <v>0</v>
      </c>
      <c r="Z447" s="208">
        <v>0</v>
      </c>
      <c r="AA447" s="208">
        <v>0.53</v>
      </c>
      <c r="AB447" s="208">
        <v>0</v>
      </c>
      <c r="AC447" s="237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676</v>
      </c>
      <c r="P448" s="126" t="s">
        <v>2175</v>
      </c>
      <c r="R448" s="126">
        <v>2</v>
      </c>
      <c r="S448" s="162">
        <v>46176</v>
      </c>
      <c r="T448" s="126">
        <v>69</v>
      </c>
      <c r="U448" s="208">
        <v>14</v>
      </c>
      <c r="V448" s="208">
        <v>14</v>
      </c>
      <c r="W448" s="208">
        <v>0.25</v>
      </c>
      <c r="X448" s="208">
        <v>0</v>
      </c>
      <c r="Y448" s="208">
        <v>0</v>
      </c>
      <c r="Z448" s="208">
        <v>0</v>
      </c>
      <c r="AA448" s="208">
        <v>0.25</v>
      </c>
      <c r="AB448" s="208">
        <v>0</v>
      </c>
      <c r="AC448" s="237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676</v>
      </c>
      <c r="P449" s="126" t="s">
        <v>2175</v>
      </c>
      <c r="R449" s="126">
        <v>2</v>
      </c>
      <c r="S449" s="162">
        <v>46176</v>
      </c>
      <c r="T449" s="126">
        <v>70</v>
      </c>
      <c r="U449" s="208">
        <v>8</v>
      </c>
      <c r="V449" s="208">
        <v>8</v>
      </c>
      <c r="W449" s="208">
        <v>0.15</v>
      </c>
      <c r="X449" s="208">
        <v>0</v>
      </c>
      <c r="Y449" s="208">
        <v>0</v>
      </c>
      <c r="Z449" s="208">
        <v>0</v>
      </c>
      <c r="AA449" s="208">
        <v>0.15</v>
      </c>
      <c r="AB449" s="208">
        <v>0</v>
      </c>
      <c r="AC449" s="237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676</v>
      </c>
      <c r="P450" s="126" t="s">
        <v>2175</v>
      </c>
      <c r="R450" s="126">
        <v>2</v>
      </c>
      <c r="S450" s="162">
        <v>46176</v>
      </c>
      <c r="T450" s="126">
        <v>71</v>
      </c>
      <c r="U450" s="208">
        <v>4</v>
      </c>
      <c r="V450" s="208">
        <v>4</v>
      </c>
      <c r="W450" s="208">
        <v>0.11</v>
      </c>
      <c r="X450" s="208">
        <v>0</v>
      </c>
      <c r="Y450" s="208">
        <v>0</v>
      </c>
      <c r="Z450" s="208">
        <v>0</v>
      </c>
      <c r="AA450" s="208">
        <v>0.11</v>
      </c>
      <c r="AB450" s="208">
        <v>0</v>
      </c>
      <c r="AC450" s="237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676</v>
      </c>
      <c r="P451" s="126" t="s">
        <v>2175</v>
      </c>
      <c r="R451" s="126">
        <v>2</v>
      </c>
      <c r="S451" s="162">
        <v>46176</v>
      </c>
      <c r="T451" s="126">
        <v>73</v>
      </c>
      <c r="U451" s="208">
        <v>2</v>
      </c>
      <c r="V451" s="208">
        <v>2</v>
      </c>
      <c r="W451" s="208">
        <v>0.34</v>
      </c>
      <c r="X451" s="208">
        <v>0</v>
      </c>
      <c r="Y451" s="208">
        <v>0</v>
      </c>
      <c r="Z451" s="208">
        <v>0</v>
      </c>
      <c r="AA451" s="208">
        <v>0.34</v>
      </c>
      <c r="AB451" s="208">
        <v>0</v>
      </c>
      <c r="AC451" s="237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676</v>
      </c>
      <c r="P452" s="126" t="s">
        <v>2175</v>
      </c>
      <c r="R452" s="126">
        <v>2</v>
      </c>
      <c r="S452" s="162">
        <v>46176</v>
      </c>
      <c r="T452" s="126">
        <v>74</v>
      </c>
      <c r="U452" s="208">
        <v>12</v>
      </c>
      <c r="V452" s="208">
        <v>12</v>
      </c>
      <c r="W452" s="208">
        <v>0.19</v>
      </c>
      <c r="X452" s="208">
        <v>0</v>
      </c>
      <c r="Y452" s="208">
        <v>0</v>
      </c>
      <c r="Z452" s="208">
        <v>0</v>
      </c>
      <c r="AA452" s="208">
        <v>0.19</v>
      </c>
      <c r="AB452" s="208">
        <v>0</v>
      </c>
      <c r="AC452" s="237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676</v>
      </c>
      <c r="P453" s="126" t="s">
        <v>2191</v>
      </c>
      <c r="R453" s="126">
        <v>2</v>
      </c>
      <c r="S453" s="162">
        <v>46176</v>
      </c>
      <c r="T453" s="126">
        <v>75</v>
      </c>
      <c r="U453" s="208">
        <v>8</v>
      </c>
      <c r="V453" s="208">
        <v>8</v>
      </c>
      <c r="W453" s="208">
        <v>0.13</v>
      </c>
      <c r="X453" s="208">
        <v>0</v>
      </c>
      <c r="Y453" s="208">
        <v>0</v>
      </c>
      <c r="Z453" s="208">
        <v>0</v>
      </c>
      <c r="AA453" s="208">
        <v>0.13</v>
      </c>
      <c r="AB453" s="208">
        <v>0</v>
      </c>
      <c r="AC453" s="237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676</v>
      </c>
      <c r="P454" s="126" t="s">
        <v>2191</v>
      </c>
      <c r="R454" s="126">
        <v>2</v>
      </c>
      <c r="S454" s="162">
        <v>46176</v>
      </c>
      <c r="T454" s="126">
        <v>76</v>
      </c>
      <c r="U454" s="208">
        <v>12</v>
      </c>
      <c r="V454" s="208">
        <v>12</v>
      </c>
      <c r="W454" s="208">
        <v>1.35</v>
      </c>
      <c r="X454" s="208">
        <v>0</v>
      </c>
      <c r="Y454" s="208">
        <v>0</v>
      </c>
      <c r="Z454" s="208">
        <v>0</v>
      </c>
      <c r="AA454" s="208">
        <v>1.35</v>
      </c>
      <c r="AB454" s="208">
        <v>0</v>
      </c>
      <c r="AC454" s="237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676</v>
      </c>
      <c r="P455" s="126" t="s">
        <v>2191</v>
      </c>
      <c r="R455" s="126">
        <v>2</v>
      </c>
      <c r="S455" s="162">
        <v>46176</v>
      </c>
      <c r="T455" s="126">
        <v>77</v>
      </c>
      <c r="U455" s="208">
        <v>100</v>
      </c>
      <c r="V455" s="208">
        <v>2</v>
      </c>
      <c r="W455" s="208">
        <v>8.8000000000000007</v>
      </c>
      <c r="X455" s="208">
        <v>0</v>
      </c>
      <c r="Y455" s="208">
        <v>0</v>
      </c>
      <c r="Z455" s="208">
        <v>0</v>
      </c>
      <c r="AA455" s="208">
        <v>8.8000000000000007</v>
      </c>
      <c r="AB455" s="208">
        <v>0</v>
      </c>
      <c r="AC455" s="237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676</v>
      </c>
      <c r="P456" s="126" t="s">
        <v>2191</v>
      </c>
      <c r="R456" s="126">
        <v>2</v>
      </c>
      <c r="S456" s="162">
        <v>46176</v>
      </c>
      <c r="T456" s="126">
        <v>79</v>
      </c>
      <c r="U456" s="208">
        <v>100</v>
      </c>
      <c r="V456" s="208">
        <v>2</v>
      </c>
      <c r="W456" s="208">
        <v>5</v>
      </c>
      <c r="X456" s="208">
        <v>0</v>
      </c>
      <c r="Y456" s="208">
        <v>0</v>
      </c>
      <c r="Z456" s="208">
        <v>0</v>
      </c>
      <c r="AA456" s="208">
        <v>5</v>
      </c>
      <c r="AB456" s="208">
        <v>0</v>
      </c>
      <c r="AC456" s="237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676</v>
      </c>
      <c r="P457" s="126" t="s">
        <v>2191</v>
      </c>
      <c r="R457" s="126">
        <v>2</v>
      </c>
      <c r="S457" s="162">
        <v>46176</v>
      </c>
      <c r="T457" s="126">
        <v>90</v>
      </c>
      <c r="U457" s="208">
        <v>16</v>
      </c>
      <c r="V457" s="208">
        <v>0.16</v>
      </c>
      <c r="W457" s="208">
        <v>0.18</v>
      </c>
      <c r="X457" s="208">
        <v>0</v>
      </c>
      <c r="Y457" s="208">
        <v>0</v>
      </c>
      <c r="Z457" s="208">
        <v>0</v>
      </c>
      <c r="AA457" s="208">
        <v>0.18</v>
      </c>
      <c r="AB457" s="208">
        <v>0</v>
      </c>
      <c r="AC457" s="237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676</v>
      </c>
      <c r="P458" s="126" t="s">
        <v>2191</v>
      </c>
      <c r="R458" s="126">
        <v>2</v>
      </c>
      <c r="S458" s="162">
        <v>46176</v>
      </c>
      <c r="T458" s="126">
        <v>92</v>
      </c>
      <c r="U458" s="208">
        <v>40</v>
      </c>
      <c r="V458" s="208">
        <v>40</v>
      </c>
      <c r="W458" s="208">
        <v>0.78</v>
      </c>
      <c r="X458" s="208">
        <v>0</v>
      </c>
      <c r="Y458" s="208">
        <v>0</v>
      </c>
      <c r="Z458" s="208">
        <v>0</v>
      </c>
      <c r="AA458" s="208">
        <v>0.78</v>
      </c>
      <c r="AB458" s="208">
        <v>0</v>
      </c>
      <c r="AC458" s="237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676</v>
      </c>
      <c r="P459" s="126" t="s">
        <v>2191</v>
      </c>
      <c r="R459" s="126">
        <v>2</v>
      </c>
      <c r="S459" s="162">
        <v>46176</v>
      </c>
      <c r="T459" s="126">
        <v>94</v>
      </c>
      <c r="U459" s="208">
        <v>82</v>
      </c>
      <c r="V459" s="208">
        <v>0.45555555555555555</v>
      </c>
      <c r="W459" s="208">
        <v>0.1</v>
      </c>
      <c r="X459" s="208">
        <v>0</v>
      </c>
      <c r="Y459" s="208">
        <v>0</v>
      </c>
      <c r="Z459" s="208">
        <v>0</v>
      </c>
      <c r="AA459" s="208">
        <v>0.1</v>
      </c>
      <c r="AB459" s="208">
        <v>0</v>
      </c>
      <c r="AC459" s="237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676</v>
      </c>
      <c r="P460" s="126" t="s">
        <v>2191</v>
      </c>
      <c r="R460" s="126">
        <v>2</v>
      </c>
      <c r="S460" s="162">
        <v>46176</v>
      </c>
      <c r="T460" s="126">
        <v>96</v>
      </c>
      <c r="U460" s="208">
        <v>34</v>
      </c>
      <c r="V460" s="208">
        <v>2.8333333333333335</v>
      </c>
      <c r="W460" s="208">
        <v>0.27</v>
      </c>
      <c r="X460" s="208">
        <v>0</v>
      </c>
      <c r="Y460" s="208">
        <v>0</v>
      </c>
      <c r="Z460" s="208">
        <v>0</v>
      </c>
      <c r="AA460" s="208">
        <v>0.27</v>
      </c>
      <c r="AB460" s="208">
        <v>0</v>
      </c>
      <c r="AC460" s="237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676</v>
      </c>
      <c r="P461" s="126" t="s">
        <v>2191</v>
      </c>
      <c r="R461" s="126">
        <v>2</v>
      </c>
      <c r="S461" s="162">
        <v>46176</v>
      </c>
      <c r="T461" s="126">
        <v>97</v>
      </c>
      <c r="U461" s="208">
        <v>8</v>
      </c>
      <c r="V461" s="208">
        <v>0.66666666666666663</v>
      </c>
      <c r="W461" s="208">
        <v>0.3</v>
      </c>
      <c r="X461" s="208">
        <v>0</v>
      </c>
      <c r="Y461" s="208">
        <v>0</v>
      </c>
      <c r="Z461" s="208">
        <v>0</v>
      </c>
      <c r="AA461" s="208">
        <v>0.3</v>
      </c>
      <c r="AB461" s="208">
        <v>0</v>
      </c>
      <c r="AC461" s="237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676</v>
      </c>
      <c r="P462" s="126" t="s">
        <v>2191</v>
      </c>
      <c r="R462" s="126">
        <v>2</v>
      </c>
      <c r="S462" s="162">
        <v>46176</v>
      </c>
      <c r="T462" s="126">
        <v>99</v>
      </c>
      <c r="U462" s="208">
        <v>10</v>
      </c>
      <c r="V462" s="208">
        <v>0.5</v>
      </c>
      <c r="W462" s="208">
        <v>0.24</v>
      </c>
      <c r="X462" s="208">
        <v>0</v>
      </c>
      <c r="Y462" s="208">
        <v>0</v>
      </c>
      <c r="Z462" s="208">
        <v>0</v>
      </c>
      <c r="AA462" s="208">
        <v>0.24</v>
      </c>
      <c r="AB462" s="208">
        <v>0</v>
      </c>
      <c r="AC462" s="237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676</v>
      </c>
      <c r="P463" s="126" t="s">
        <v>2191</v>
      </c>
      <c r="R463" s="126">
        <v>2</v>
      </c>
      <c r="S463" s="162">
        <v>46176</v>
      </c>
      <c r="T463" s="126">
        <v>103</v>
      </c>
      <c r="U463" s="208">
        <v>6</v>
      </c>
      <c r="V463" s="208">
        <v>0.5</v>
      </c>
      <c r="W463" s="208">
        <v>0.75</v>
      </c>
      <c r="X463" s="208">
        <v>0</v>
      </c>
      <c r="Y463" s="208">
        <v>0</v>
      </c>
      <c r="Z463" s="208">
        <v>0</v>
      </c>
      <c r="AA463" s="208">
        <v>0.75</v>
      </c>
      <c r="AB463" s="208">
        <v>0</v>
      </c>
      <c r="AC463" s="237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676</v>
      </c>
      <c r="P464" s="126" t="s">
        <v>2191</v>
      </c>
      <c r="R464" s="126">
        <v>2</v>
      </c>
      <c r="S464" s="162">
        <v>46176</v>
      </c>
      <c r="T464" s="126">
        <v>105</v>
      </c>
      <c r="U464" s="208">
        <v>4</v>
      </c>
      <c r="V464" s="208">
        <v>0.33333333333333331</v>
      </c>
      <c r="W464" s="208">
        <v>1.1000000000000001</v>
      </c>
      <c r="X464" s="208">
        <v>0</v>
      </c>
      <c r="Y464" s="208">
        <v>0</v>
      </c>
      <c r="Z464" s="208">
        <v>0</v>
      </c>
      <c r="AA464" s="208">
        <v>1.1000000000000001</v>
      </c>
      <c r="AB464" s="208">
        <v>0</v>
      </c>
      <c r="AC464" s="237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676</v>
      </c>
      <c r="P465" s="126" t="s">
        <v>2191</v>
      </c>
      <c r="R465" s="126">
        <v>2</v>
      </c>
      <c r="S465" s="162">
        <v>46176</v>
      </c>
      <c r="T465" s="126">
        <v>108</v>
      </c>
      <c r="U465" s="208">
        <v>44</v>
      </c>
      <c r="V465" s="208">
        <v>44</v>
      </c>
      <c r="W465" s="208">
        <v>2.7</v>
      </c>
      <c r="X465" s="208">
        <v>0</v>
      </c>
      <c r="Y465" s="208">
        <v>0</v>
      </c>
      <c r="Z465" s="208">
        <v>0</v>
      </c>
      <c r="AA465" s="208">
        <v>2.7</v>
      </c>
      <c r="AB465" s="208">
        <v>0</v>
      </c>
      <c r="AC465" s="237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676</v>
      </c>
      <c r="P466" s="126" t="s">
        <v>2191</v>
      </c>
      <c r="R466" s="126">
        <v>2</v>
      </c>
      <c r="S466" s="162">
        <v>46176</v>
      </c>
      <c r="T466" s="126">
        <v>112</v>
      </c>
      <c r="U466" s="208">
        <v>2</v>
      </c>
      <c r="V466" s="208">
        <v>2</v>
      </c>
      <c r="W466" s="208">
        <v>2.6</v>
      </c>
      <c r="X466" s="208">
        <v>0</v>
      </c>
      <c r="Y466" s="208">
        <v>0</v>
      </c>
      <c r="Z466" s="208">
        <v>0</v>
      </c>
      <c r="AA466" s="208">
        <v>2.6</v>
      </c>
      <c r="AB466" s="208">
        <v>0</v>
      </c>
      <c r="AC466" s="237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676</v>
      </c>
      <c r="P467" s="126" t="s">
        <v>2209</v>
      </c>
      <c r="R467" s="126">
        <v>2</v>
      </c>
      <c r="S467" s="162">
        <v>46179</v>
      </c>
      <c r="T467" s="126">
        <v>131</v>
      </c>
      <c r="U467" s="208">
        <v>2</v>
      </c>
      <c r="V467" s="208">
        <v>2</v>
      </c>
      <c r="W467" s="208">
        <v>0.7</v>
      </c>
      <c r="X467" s="208">
        <v>0</v>
      </c>
      <c r="Y467" s="208">
        <v>0</v>
      </c>
      <c r="Z467" s="208">
        <v>0</v>
      </c>
      <c r="AA467" s="208">
        <v>0.7</v>
      </c>
      <c r="AB467" s="208">
        <v>0</v>
      </c>
      <c r="AC467" s="237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676</v>
      </c>
      <c r="P468" s="126" t="s">
        <v>2209</v>
      </c>
      <c r="R468" s="126">
        <v>2</v>
      </c>
      <c r="S468" s="162">
        <v>46179</v>
      </c>
      <c r="T468" s="126">
        <v>136</v>
      </c>
      <c r="U468" s="208">
        <v>4</v>
      </c>
      <c r="V468" s="208">
        <v>4</v>
      </c>
      <c r="W468" s="208">
        <v>0.38</v>
      </c>
      <c r="X468" s="208">
        <v>0</v>
      </c>
      <c r="Y468" s="208">
        <v>0</v>
      </c>
      <c r="Z468" s="208">
        <v>0</v>
      </c>
      <c r="AA468" s="208">
        <v>0.38</v>
      </c>
      <c r="AB468" s="208">
        <v>0</v>
      </c>
      <c r="AC468" s="237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676</v>
      </c>
      <c r="P469" s="126" t="s">
        <v>2209</v>
      </c>
      <c r="R469" s="126">
        <v>2</v>
      </c>
      <c r="S469" s="162">
        <v>46179</v>
      </c>
      <c r="T469" s="126">
        <v>142</v>
      </c>
      <c r="U469" s="208">
        <v>14</v>
      </c>
      <c r="V469" s="208">
        <v>1.1666666666666667</v>
      </c>
      <c r="W469" s="208">
        <v>0.34</v>
      </c>
      <c r="X469" s="208">
        <v>0</v>
      </c>
      <c r="Y469" s="208">
        <v>0</v>
      </c>
      <c r="Z469" s="208">
        <v>0</v>
      </c>
      <c r="AA469" s="208">
        <v>0.34</v>
      </c>
      <c r="AB469" s="208">
        <v>0</v>
      </c>
      <c r="AC469" s="237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676</v>
      </c>
      <c r="P470" s="126" t="s">
        <v>2209</v>
      </c>
      <c r="R470" s="126">
        <v>2</v>
      </c>
      <c r="S470" s="162">
        <v>46179</v>
      </c>
      <c r="T470" s="126">
        <v>144</v>
      </c>
      <c r="U470" s="208">
        <v>30</v>
      </c>
      <c r="V470" s="208">
        <v>0.6</v>
      </c>
      <c r="W470" s="208">
        <v>0.3</v>
      </c>
      <c r="X470" s="208">
        <v>0</v>
      </c>
      <c r="Y470" s="208">
        <v>0</v>
      </c>
      <c r="Z470" s="208">
        <v>0</v>
      </c>
      <c r="AA470" s="208">
        <v>0.3</v>
      </c>
      <c r="AB470" s="208">
        <v>0</v>
      </c>
      <c r="AC470" s="237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676</v>
      </c>
      <c r="P471" s="126" t="s">
        <v>2209</v>
      </c>
      <c r="R471" s="126">
        <v>2</v>
      </c>
      <c r="S471" s="162">
        <v>46179</v>
      </c>
      <c r="T471" s="126">
        <v>145</v>
      </c>
      <c r="U471" s="208">
        <v>20</v>
      </c>
      <c r="V471" s="208">
        <v>1.6666666666666667</v>
      </c>
      <c r="W471" s="208">
        <v>0.28999999999999998</v>
      </c>
      <c r="X471" s="208">
        <v>0</v>
      </c>
      <c r="Y471" s="208">
        <v>0</v>
      </c>
      <c r="Z471" s="208">
        <v>0</v>
      </c>
      <c r="AA471" s="208">
        <v>0.28999999999999998</v>
      </c>
      <c r="AB471" s="208">
        <v>0</v>
      </c>
      <c r="AC471" s="237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676</v>
      </c>
      <c r="P472" s="126" t="s">
        <v>2209</v>
      </c>
      <c r="R472" s="126">
        <v>2</v>
      </c>
      <c r="S472" s="162">
        <v>46179</v>
      </c>
      <c r="T472" s="126">
        <v>146</v>
      </c>
      <c r="U472" s="208">
        <v>10</v>
      </c>
      <c r="V472" s="208">
        <v>10</v>
      </c>
      <c r="W472" s="208">
        <v>0.04</v>
      </c>
      <c r="X472" s="208">
        <v>0</v>
      </c>
      <c r="Y472" s="208">
        <v>0</v>
      </c>
      <c r="Z472" s="208">
        <v>0</v>
      </c>
      <c r="AA472" s="208">
        <v>0.04</v>
      </c>
      <c r="AB472" s="208">
        <v>0</v>
      </c>
      <c r="AC472" s="237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676</v>
      </c>
      <c r="P473" s="126" t="s">
        <v>2209</v>
      </c>
      <c r="R473" s="126">
        <v>2</v>
      </c>
      <c r="S473" s="162">
        <v>46179</v>
      </c>
      <c r="T473" s="126">
        <v>150</v>
      </c>
      <c r="U473" s="208">
        <v>88</v>
      </c>
      <c r="V473" s="208">
        <v>7.333333333333333</v>
      </c>
      <c r="W473" s="208">
        <v>0.13</v>
      </c>
      <c r="X473" s="208">
        <v>0</v>
      </c>
      <c r="Y473" s="208">
        <v>0</v>
      </c>
      <c r="Z473" s="208">
        <v>0</v>
      </c>
      <c r="AA473" s="208">
        <v>0.13</v>
      </c>
      <c r="AB473" s="208">
        <v>0</v>
      </c>
      <c r="AC473" s="237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676</v>
      </c>
      <c r="P474" s="126" t="s">
        <v>2209</v>
      </c>
      <c r="R474" s="126">
        <v>2</v>
      </c>
      <c r="S474" s="162">
        <v>46179</v>
      </c>
      <c r="T474" s="126">
        <v>153</v>
      </c>
      <c r="U474" s="208">
        <v>14</v>
      </c>
      <c r="V474" s="208">
        <v>1.1666666666666667</v>
      </c>
      <c r="W474" s="208">
        <v>3.3</v>
      </c>
      <c r="X474" s="208">
        <v>0</v>
      </c>
      <c r="Y474" s="208">
        <v>0</v>
      </c>
      <c r="Z474" s="208">
        <v>0</v>
      </c>
      <c r="AA474" s="208">
        <v>3.3</v>
      </c>
      <c r="AB474" s="208">
        <v>0</v>
      </c>
      <c r="AC474" s="237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676</v>
      </c>
      <c r="P475" s="126" t="s">
        <v>2209</v>
      </c>
      <c r="R475" s="126">
        <v>2</v>
      </c>
      <c r="S475" s="162">
        <v>46179</v>
      </c>
      <c r="T475" s="126">
        <v>156</v>
      </c>
      <c r="U475" s="208">
        <v>4</v>
      </c>
      <c r="V475" s="208">
        <v>0.33333333333333331</v>
      </c>
      <c r="W475" s="208">
        <v>4.41</v>
      </c>
      <c r="X475" s="208">
        <v>0</v>
      </c>
      <c r="Y475" s="208">
        <v>0</v>
      </c>
      <c r="Z475" s="208">
        <v>0</v>
      </c>
      <c r="AA475" s="208">
        <v>4.41</v>
      </c>
      <c r="AB475" s="208">
        <v>0</v>
      </c>
      <c r="AC475" s="237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676</v>
      </c>
      <c r="P476" s="126" t="s">
        <v>2209</v>
      </c>
      <c r="R476" s="126">
        <v>2</v>
      </c>
      <c r="S476" s="162">
        <v>46179</v>
      </c>
      <c r="T476" s="126">
        <v>158</v>
      </c>
      <c r="U476" s="208">
        <v>2</v>
      </c>
      <c r="V476" s="208">
        <v>2</v>
      </c>
      <c r="W476" s="208">
        <v>53</v>
      </c>
      <c r="X476" s="208">
        <v>0</v>
      </c>
      <c r="Y476" s="208">
        <v>0</v>
      </c>
      <c r="Z476" s="208">
        <v>0</v>
      </c>
      <c r="AA476" s="208">
        <v>53</v>
      </c>
      <c r="AB476" s="208">
        <v>0</v>
      </c>
      <c r="AC476" s="237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676</v>
      </c>
      <c r="P477" s="126" t="s">
        <v>2209</v>
      </c>
      <c r="R477" s="126">
        <v>2</v>
      </c>
      <c r="S477" s="162">
        <v>46179</v>
      </c>
      <c r="T477" s="126">
        <v>160</v>
      </c>
      <c r="U477" s="208">
        <v>8</v>
      </c>
      <c r="V477" s="208">
        <v>2</v>
      </c>
      <c r="W477" s="208">
        <v>47</v>
      </c>
      <c r="X477" s="208">
        <v>0</v>
      </c>
      <c r="Y477" s="208">
        <v>0</v>
      </c>
      <c r="Z477" s="208">
        <v>0</v>
      </c>
      <c r="AA477" s="208">
        <v>47</v>
      </c>
      <c r="AB477" s="208">
        <v>0</v>
      </c>
      <c r="AC477" s="237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676</v>
      </c>
      <c r="P478" s="126" t="s">
        <v>2209</v>
      </c>
      <c r="R478" s="126">
        <v>2</v>
      </c>
      <c r="S478" s="162">
        <v>46179</v>
      </c>
      <c r="T478" s="126">
        <v>163</v>
      </c>
      <c r="U478" s="208">
        <v>4</v>
      </c>
      <c r="V478" s="208">
        <v>1</v>
      </c>
      <c r="W478" s="208">
        <v>51</v>
      </c>
      <c r="X478" s="208">
        <v>0</v>
      </c>
      <c r="Y478" s="208">
        <v>0</v>
      </c>
      <c r="Z478" s="208">
        <v>0</v>
      </c>
      <c r="AA478" s="208">
        <v>51</v>
      </c>
      <c r="AB478" s="208">
        <v>0</v>
      </c>
      <c r="AC478" s="237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676</v>
      </c>
      <c r="P479" s="126" t="s">
        <v>2209</v>
      </c>
      <c r="R479" s="126">
        <v>2</v>
      </c>
      <c r="S479" s="162">
        <v>46179</v>
      </c>
      <c r="T479" s="126">
        <v>165</v>
      </c>
      <c r="U479" s="208">
        <v>2</v>
      </c>
      <c r="V479" s="208">
        <v>0.5</v>
      </c>
      <c r="W479" s="208">
        <v>20.25</v>
      </c>
      <c r="X479" s="208">
        <v>0</v>
      </c>
      <c r="Y479" s="208">
        <v>0</v>
      </c>
      <c r="Z479" s="208">
        <v>0</v>
      </c>
      <c r="AA479" s="208">
        <v>20.25</v>
      </c>
      <c r="AB479" s="208">
        <v>0</v>
      </c>
      <c r="AC479" s="237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676</v>
      </c>
      <c r="P480" s="126" t="s">
        <v>2209</v>
      </c>
      <c r="R480" s="126">
        <v>2</v>
      </c>
      <c r="S480" s="162">
        <v>46179</v>
      </c>
      <c r="T480" s="126">
        <v>167</v>
      </c>
      <c r="U480" s="208">
        <v>18</v>
      </c>
      <c r="V480" s="208">
        <v>18</v>
      </c>
      <c r="W480" s="208">
        <v>0.85</v>
      </c>
      <c r="X480" s="208">
        <v>0</v>
      </c>
      <c r="Y480" s="208">
        <v>0</v>
      </c>
      <c r="Z480" s="208">
        <v>0</v>
      </c>
      <c r="AA480" s="208">
        <v>0.85</v>
      </c>
      <c r="AB480" s="208">
        <v>0</v>
      </c>
      <c r="AC480" s="237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4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676</v>
      </c>
      <c r="P481" s="126" t="s">
        <v>2233</v>
      </c>
      <c r="R481" s="126">
        <v>2</v>
      </c>
      <c r="S481" s="162">
        <v>46179</v>
      </c>
      <c r="T481" s="126">
        <v>168</v>
      </c>
      <c r="U481" s="208">
        <v>4</v>
      </c>
      <c r="V481" s="208">
        <v>4</v>
      </c>
      <c r="W481" s="208">
        <v>1.2</v>
      </c>
      <c r="X481" s="208">
        <v>0</v>
      </c>
      <c r="Y481" s="208">
        <v>0</v>
      </c>
      <c r="Z481" s="208">
        <v>0</v>
      </c>
      <c r="AA481" s="208">
        <v>1.2</v>
      </c>
      <c r="AB481" s="208">
        <v>0</v>
      </c>
      <c r="AC481" s="237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4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676</v>
      </c>
      <c r="P482" s="126" t="s">
        <v>2233</v>
      </c>
      <c r="R482" s="126">
        <v>2</v>
      </c>
      <c r="S482" s="162">
        <v>46179</v>
      </c>
      <c r="T482" s="126">
        <v>169</v>
      </c>
      <c r="U482" s="208">
        <v>32</v>
      </c>
      <c r="V482" s="208">
        <v>32</v>
      </c>
      <c r="W482" s="208">
        <v>0.5</v>
      </c>
      <c r="X482" s="208">
        <v>0</v>
      </c>
      <c r="Y482" s="208">
        <v>0</v>
      </c>
      <c r="Z482" s="208">
        <v>0</v>
      </c>
      <c r="AA482" s="208">
        <v>0.5</v>
      </c>
      <c r="AB482" s="208">
        <v>0</v>
      </c>
      <c r="AC482" s="237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4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676</v>
      </c>
      <c r="P483" s="126" t="s">
        <v>2233</v>
      </c>
      <c r="R483" s="126">
        <v>2</v>
      </c>
      <c r="S483" s="162">
        <v>46179</v>
      </c>
      <c r="T483" s="126">
        <v>170</v>
      </c>
      <c r="U483" s="208">
        <v>20</v>
      </c>
      <c r="V483" s="208">
        <v>20</v>
      </c>
      <c r="W483" s="208">
        <v>0.4</v>
      </c>
      <c r="X483" s="208">
        <v>0</v>
      </c>
      <c r="Y483" s="208">
        <v>0</v>
      </c>
      <c r="Z483" s="208">
        <v>0</v>
      </c>
      <c r="AA483" s="208">
        <v>0.4</v>
      </c>
      <c r="AB483" s="208">
        <v>0</v>
      </c>
      <c r="AC483" s="237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4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676</v>
      </c>
      <c r="P484" s="126" t="s">
        <v>2233</v>
      </c>
      <c r="R484" s="126">
        <v>2</v>
      </c>
      <c r="S484" s="162">
        <v>46179</v>
      </c>
      <c r="T484" s="126">
        <v>172</v>
      </c>
      <c r="U484" s="208">
        <v>4</v>
      </c>
      <c r="V484" s="208">
        <v>0.33333333333333331</v>
      </c>
      <c r="W484" s="208">
        <v>0.1</v>
      </c>
      <c r="X484" s="208">
        <v>0</v>
      </c>
      <c r="Y484" s="208">
        <v>0</v>
      </c>
      <c r="Z484" s="208">
        <v>0</v>
      </c>
      <c r="AA484" s="208">
        <v>0.1</v>
      </c>
      <c r="AB484" s="208">
        <v>0</v>
      </c>
      <c r="AC484" s="237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4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676</v>
      </c>
      <c r="P485" s="126" t="s">
        <v>2233</v>
      </c>
      <c r="R485" s="126">
        <v>2</v>
      </c>
      <c r="S485" s="162">
        <v>46179</v>
      </c>
      <c r="T485" s="126">
        <v>174</v>
      </c>
      <c r="U485" s="208">
        <v>4</v>
      </c>
      <c r="V485" s="208">
        <v>0.33333333333333331</v>
      </c>
      <c r="W485" s="208">
        <v>0.2</v>
      </c>
      <c r="X485" s="208">
        <v>0</v>
      </c>
      <c r="Y485" s="208">
        <v>0</v>
      </c>
      <c r="Z485" s="208">
        <v>0</v>
      </c>
      <c r="AA485" s="208">
        <v>0.2</v>
      </c>
      <c r="AB485" s="208">
        <v>0</v>
      </c>
      <c r="AC485" s="237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4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676</v>
      </c>
      <c r="P486" s="126" t="s">
        <v>2233</v>
      </c>
      <c r="R486" s="126">
        <v>2</v>
      </c>
      <c r="S486" s="162">
        <v>46179</v>
      </c>
      <c r="T486" s="126">
        <v>181</v>
      </c>
      <c r="U486" s="208">
        <v>336</v>
      </c>
      <c r="V486" s="208">
        <v>28</v>
      </c>
      <c r="W486" s="208">
        <v>1</v>
      </c>
      <c r="X486" s="208">
        <v>0</v>
      </c>
      <c r="Y486" s="208">
        <v>0</v>
      </c>
      <c r="Z486" s="208">
        <v>0</v>
      </c>
      <c r="AA486" s="208">
        <v>1</v>
      </c>
      <c r="AB486" s="208">
        <v>0</v>
      </c>
      <c r="AC486" s="237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4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676</v>
      </c>
      <c r="P487" s="126" t="s">
        <v>2233</v>
      </c>
      <c r="R487" s="126">
        <v>2</v>
      </c>
      <c r="S487" s="162">
        <v>46179</v>
      </c>
      <c r="T487" s="126">
        <v>182</v>
      </c>
      <c r="U487" s="208">
        <v>264</v>
      </c>
      <c r="V487" s="208">
        <v>22</v>
      </c>
      <c r="W487" s="208">
        <v>2</v>
      </c>
      <c r="X487" s="208">
        <v>0</v>
      </c>
      <c r="Y487" s="208">
        <v>0</v>
      </c>
      <c r="Z487" s="208">
        <v>0</v>
      </c>
      <c r="AA487" s="208">
        <v>2</v>
      </c>
      <c r="AB487" s="208">
        <v>0</v>
      </c>
      <c r="AC487" s="237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4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676</v>
      </c>
      <c r="P488" s="126" t="s">
        <v>2233</v>
      </c>
      <c r="R488" s="126">
        <v>2</v>
      </c>
      <c r="S488" s="162">
        <v>46179</v>
      </c>
      <c r="T488" s="126">
        <v>183</v>
      </c>
      <c r="U488" s="208">
        <v>840</v>
      </c>
      <c r="V488" s="208">
        <v>70</v>
      </c>
      <c r="W488" s="208">
        <v>4</v>
      </c>
      <c r="X488" s="208">
        <v>0</v>
      </c>
      <c r="Y488" s="208">
        <v>0</v>
      </c>
      <c r="Z488" s="208">
        <v>0</v>
      </c>
      <c r="AA488" s="208">
        <v>4</v>
      </c>
      <c r="AB488" s="208">
        <v>0</v>
      </c>
      <c r="AC488" s="237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4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676</v>
      </c>
      <c r="P489" s="126" t="s">
        <v>2233</v>
      </c>
      <c r="R489" s="126">
        <v>2</v>
      </c>
      <c r="S489" s="162">
        <v>46179</v>
      </c>
      <c r="T489" s="126">
        <v>184</v>
      </c>
      <c r="U489" s="208">
        <v>192</v>
      </c>
      <c r="V489" s="208">
        <v>16</v>
      </c>
      <c r="W489" s="208">
        <v>6</v>
      </c>
      <c r="X489" s="208">
        <v>0</v>
      </c>
      <c r="Y489" s="208">
        <v>0</v>
      </c>
      <c r="Z489" s="208">
        <v>0</v>
      </c>
      <c r="AA489" s="208">
        <v>6</v>
      </c>
      <c r="AB489" s="208">
        <v>0</v>
      </c>
      <c r="AC489" s="237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4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676</v>
      </c>
      <c r="P490" s="126" t="s">
        <v>2233</v>
      </c>
      <c r="R490" s="126">
        <v>2</v>
      </c>
      <c r="S490" s="162">
        <v>46179</v>
      </c>
      <c r="T490" s="126">
        <v>185</v>
      </c>
      <c r="U490" s="208">
        <v>24</v>
      </c>
      <c r="V490" s="208">
        <v>2</v>
      </c>
      <c r="W490" s="208">
        <v>8</v>
      </c>
      <c r="X490" s="208">
        <v>0</v>
      </c>
      <c r="Y490" s="208">
        <v>0</v>
      </c>
      <c r="Z490" s="208">
        <v>0</v>
      </c>
      <c r="AA490" s="208">
        <v>8</v>
      </c>
      <c r="AB490" s="208">
        <v>0</v>
      </c>
      <c r="AC490" s="237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4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676</v>
      </c>
      <c r="P491" s="126" t="s">
        <v>2233</v>
      </c>
      <c r="R491" s="126">
        <v>2</v>
      </c>
      <c r="S491" s="162">
        <v>46179</v>
      </c>
      <c r="T491" s="126">
        <v>187</v>
      </c>
      <c r="U491" s="208">
        <v>128</v>
      </c>
      <c r="V491" s="208">
        <v>32</v>
      </c>
      <c r="W491" s="208">
        <v>3.37</v>
      </c>
      <c r="X491" s="208">
        <v>0</v>
      </c>
      <c r="Y491" s="208">
        <v>0</v>
      </c>
      <c r="Z491" s="208">
        <v>0</v>
      </c>
      <c r="AA491" s="208">
        <v>3.37</v>
      </c>
      <c r="AB491" s="208">
        <v>0</v>
      </c>
      <c r="AC491" s="237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4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676</v>
      </c>
      <c r="P492" s="126" t="s">
        <v>2233</v>
      </c>
      <c r="R492" s="126">
        <v>2</v>
      </c>
      <c r="S492" s="162">
        <v>46179</v>
      </c>
      <c r="T492" s="126">
        <v>189</v>
      </c>
      <c r="U492" s="208">
        <v>128</v>
      </c>
      <c r="V492" s="208">
        <v>32</v>
      </c>
      <c r="W492" s="208">
        <v>4.09</v>
      </c>
      <c r="X492" s="208">
        <v>0</v>
      </c>
      <c r="Y492" s="208">
        <v>0</v>
      </c>
      <c r="Z492" s="208">
        <v>0</v>
      </c>
      <c r="AA492" s="208">
        <v>4.09</v>
      </c>
      <c r="AB492" s="208">
        <v>0</v>
      </c>
      <c r="AC492" s="237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4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676</v>
      </c>
      <c r="P493" s="126" t="s">
        <v>2233</v>
      </c>
      <c r="R493" s="126">
        <v>2</v>
      </c>
      <c r="S493" s="162">
        <v>46179</v>
      </c>
      <c r="T493" s="126">
        <v>192</v>
      </c>
      <c r="U493" s="208">
        <v>8</v>
      </c>
      <c r="V493" s="208">
        <v>2</v>
      </c>
      <c r="W493" s="208">
        <v>6.03</v>
      </c>
      <c r="X493" s="208">
        <v>0</v>
      </c>
      <c r="Y493" s="208">
        <v>0</v>
      </c>
      <c r="Z493" s="208">
        <v>0</v>
      </c>
      <c r="AA493" s="208">
        <v>6.03</v>
      </c>
      <c r="AB493" s="208">
        <v>0</v>
      </c>
      <c r="AC493" s="237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4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676</v>
      </c>
      <c r="P494" s="126" t="s">
        <v>2233</v>
      </c>
      <c r="R494" s="126">
        <v>2</v>
      </c>
      <c r="S494" s="162">
        <v>46179</v>
      </c>
      <c r="T494" s="126">
        <v>195</v>
      </c>
      <c r="U494" s="208">
        <v>40</v>
      </c>
      <c r="V494" s="208">
        <v>10</v>
      </c>
      <c r="W494" s="208">
        <v>6.28</v>
      </c>
      <c r="X494" s="208">
        <v>0</v>
      </c>
      <c r="Y494" s="208">
        <v>0</v>
      </c>
      <c r="Z494" s="208">
        <v>0</v>
      </c>
      <c r="AA494" s="208">
        <v>6.28</v>
      </c>
      <c r="AB494" s="208">
        <v>0</v>
      </c>
      <c r="AC494" s="237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4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676</v>
      </c>
      <c r="P495" s="126" t="s">
        <v>2233</v>
      </c>
      <c r="R495" s="126">
        <v>2</v>
      </c>
      <c r="S495" s="162">
        <v>46179</v>
      </c>
      <c r="T495" s="126">
        <v>198</v>
      </c>
      <c r="U495" s="208">
        <v>32</v>
      </c>
      <c r="V495" s="208">
        <v>8</v>
      </c>
      <c r="W495" s="208">
        <v>9.48</v>
      </c>
      <c r="X495" s="208">
        <v>0</v>
      </c>
      <c r="Y495" s="208">
        <v>0</v>
      </c>
      <c r="Z495" s="208">
        <v>0</v>
      </c>
      <c r="AA495" s="208">
        <v>9.48</v>
      </c>
      <c r="AB495" s="208">
        <v>0</v>
      </c>
      <c r="AC495" s="237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U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6" sqref="M16"/>
    </sheetView>
  </sheetViews>
  <sheetFormatPr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16384" width="9.140625" style="139"/>
  </cols>
  <sheetData>
    <row r="1" spans="3:21" customFormat="1" ht="15" hidden="1"/>
    <row r="2" spans="3:21" customFormat="1" ht="15" hidden="1"/>
    <row r="3" spans="3:21" customFormat="1" ht="15" hidden="1"/>
    <row r="4" spans="3:21" customFormat="1" ht="53.25" customHeight="1">
      <c r="C4" s="285" t="s">
        <v>448</v>
      </c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</row>
    <row r="5" spans="3:21" customFormat="1" ht="15"/>
    <row r="6" spans="3:21" customFormat="1" ht="25.5">
      <c r="C6" s="289" t="s">
        <v>10</v>
      </c>
      <c r="D6" s="289" t="s">
        <v>426</v>
      </c>
      <c r="E6" s="289" t="s">
        <v>107</v>
      </c>
      <c r="F6" s="289" t="s">
        <v>432</v>
      </c>
      <c r="G6" s="289" t="s">
        <v>225</v>
      </c>
      <c r="H6" s="289" t="s">
        <v>220</v>
      </c>
      <c r="I6" s="289" t="s">
        <v>297</v>
      </c>
      <c r="J6" s="289" t="s">
        <v>94</v>
      </c>
      <c r="K6" s="289" t="s">
        <v>436</v>
      </c>
      <c r="L6" s="289" t="s">
        <v>433</v>
      </c>
      <c r="M6" s="289" t="s">
        <v>434</v>
      </c>
      <c r="N6" s="289" t="s">
        <v>445</v>
      </c>
      <c r="O6" s="289" t="s">
        <v>439</v>
      </c>
      <c r="P6" s="289" t="s">
        <v>444</v>
      </c>
      <c r="Q6" s="289" t="s">
        <v>441</v>
      </c>
      <c r="R6" s="289" t="s">
        <v>395</v>
      </c>
      <c r="S6" s="289" t="s">
        <v>209</v>
      </c>
      <c r="T6" s="289" t="s">
        <v>447</v>
      </c>
      <c r="U6" s="289" t="s">
        <v>109</v>
      </c>
    </row>
    <row r="7" spans="3:21" customFormat="1" ht="20.25" customHeight="1">
      <c r="C7" s="290" t="s">
        <v>139</v>
      </c>
      <c r="D7" s="290" t="s">
        <v>427</v>
      </c>
      <c r="E7" s="290" t="s">
        <v>124</v>
      </c>
      <c r="F7" s="290" t="s">
        <v>428</v>
      </c>
      <c r="G7" s="290" t="s">
        <v>3</v>
      </c>
      <c r="H7" s="290" t="s">
        <v>219</v>
      </c>
      <c r="I7" s="290" t="s">
        <v>296</v>
      </c>
      <c r="J7" s="290" t="s">
        <v>429</v>
      </c>
      <c r="K7" s="290" t="s">
        <v>435</v>
      </c>
      <c r="L7" s="290" t="s">
        <v>437</v>
      </c>
      <c r="M7" s="290" t="s">
        <v>438</v>
      </c>
      <c r="N7" s="290" t="s">
        <v>446</v>
      </c>
      <c r="O7" s="290" t="s">
        <v>440</v>
      </c>
      <c r="P7" s="290" t="s">
        <v>443</v>
      </c>
      <c r="Q7" s="290" t="s">
        <v>442</v>
      </c>
      <c r="R7" s="290" t="s">
        <v>430</v>
      </c>
      <c r="S7" s="290" t="s">
        <v>203</v>
      </c>
      <c r="T7" s="290" t="s">
        <v>191</v>
      </c>
      <c r="U7" s="290" t="s">
        <v>431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90" zoomScaleNormal="90" workbookViewId="0">
      <pane ySplit="3" topLeftCell="A8" activePane="bottomLeft" state="frozen"/>
      <selection activeCell="L28" sqref="L28"/>
      <selection pane="bottomLeft" activeCell="L21" sqref="L21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5" width="19.85546875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408" customWidth="1"/>
    <col min="12" max="14" width="19.5703125" style="409" customWidth="1"/>
    <col min="15" max="15" width="22.42578125" style="409" customWidth="1"/>
    <col min="16" max="16" width="21.42578125" style="139" customWidth="1"/>
    <col min="17" max="17" width="20.140625" style="409" customWidth="1"/>
    <col min="18" max="18" width="17.7109375" style="409" customWidth="1"/>
    <col min="19" max="19" width="12" style="409" customWidth="1"/>
    <col min="20" max="20" width="15.28515625" style="409" customWidth="1"/>
    <col min="21" max="21" width="10.7109375" style="409" customWidth="1"/>
    <col min="22" max="22" width="17.28515625" style="409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411" customWidth="1"/>
    <col min="27" max="27" width="12" style="139" customWidth="1"/>
    <col min="29" max="29" width="11.140625" customWidth="1"/>
    <col min="30" max="30" width="14.5703125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1017</v>
      </c>
      <c r="D1" s="13">
        <v>1</v>
      </c>
      <c r="E1" s="13"/>
      <c r="F1" s="13">
        <v>1</v>
      </c>
      <c r="G1" s="13">
        <v>1</v>
      </c>
      <c r="H1" s="13" t="s">
        <v>2277</v>
      </c>
      <c r="I1" s="13">
        <v>4000</v>
      </c>
      <c r="J1" s="13">
        <v>50</v>
      </c>
      <c r="K1" s="377"/>
      <c r="L1" s="210">
        <v>0</v>
      </c>
      <c r="M1" s="210"/>
      <c r="N1" s="210"/>
      <c r="O1" s="210">
        <v>0</v>
      </c>
      <c r="P1" s="13">
        <v>0</v>
      </c>
      <c r="Q1" s="210">
        <v>40.5</v>
      </c>
      <c r="R1" s="210">
        <v>0</v>
      </c>
      <c r="S1" s="210">
        <v>9</v>
      </c>
      <c r="T1" s="210">
        <v>2000</v>
      </c>
      <c r="U1" s="210">
        <v>46239</v>
      </c>
      <c r="V1" s="210"/>
      <c r="W1" s="194">
        <v>46239.383703703701</v>
      </c>
      <c r="X1" s="13" t="s">
        <v>2260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77"/>
      <c r="L2" s="210"/>
      <c r="M2" s="210"/>
      <c r="N2" s="210"/>
      <c r="O2" s="210"/>
      <c r="P2" s="13"/>
      <c r="Q2" s="210"/>
      <c r="R2" s="210"/>
      <c r="S2" s="210"/>
      <c r="T2" s="210"/>
      <c r="U2" s="210"/>
      <c r="V2" s="210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77"/>
      <c r="L3" s="210"/>
      <c r="M3" s="210"/>
      <c r="N3" s="210"/>
      <c r="O3" s="210"/>
      <c r="P3" s="13"/>
      <c r="Q3" s="210"/>
      <c r="R3" s="210"/>
      <c r="S3" s="210"/>
      <c r="T3" s="210"/>
      <c r="U3" s="210"/>
      <c r="V3" s="210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77"/>
      <c r="L4" s="210"/>
      <c r="M4" s="210"/>
      <c r="N4" s="210"/>
      <c r="O4" s="210"/>
      <c r="P4" s="13"/>
      <c r="Q4" s="210"/>
      <c r="R4" s="210"/>
      <c r="S4" s="210"/>
      <c r="T4" s="210"/>
      <c r="U4" s="210"/>
      <c r="V4" s="210"/>
      <c r="W4" s="13"/>
      <c r="X4" s="13"/>
      <c r="Y4" s="13"/>
      <c r="Z4" s="159"/>
      <c r="AA4" s="13"/>
    </row>
    <row r="5" spans="1:35" ht="49.5" customHeight="1">
      <c r="C5" s="376" t="s">
        <v>458</v>
      </c>
      <c r="D5" s="13"/>
      <c r="E5" s="13"/>
      <c r="F5" s="13"/>
      <c r="G5" s="13"/>
      <c r="H5" s="13"/>
      <c r="I5" s="13"/>
      <c r="J5" s="13"/>
      <c r="K5" s="377"/>
      <c r="L5" s="210"/>
      <c r="M5" s="210"/>
      <c r="N5" s="210"/>
      <c r="O5" s="210"/>
      <c r="P5" s="13"/>
      <c r="Q5" s="210"/>
      <c r="R5" s="210"/>
      <c r="S5" s="210"/>
      <c r="T5" s="210"/>
      <c r="U5" s="210"/>
      <c r="V5" s="210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77"/>
      <c r="L6" s="210"/>
      <c r="M6" s="210"/>
      <c r="N6" s="210"/>
      <c r="O6" s="210"/>
      <c r="P6" s="13"/>
      <c r="Q6" s="210"/>
      <c r="R6" s="210"/>
      <c r="S6" s="210"/>
      <c r="T6" s="210"/>
      <c r="U6" s="210"/>
      <c r="V6" s="210"/>
      <c r="W6" s="13"/>
      <c r="X6" s="13"/>
      <c r="Y6" s="13"/>
      <c r="Z6" s="159"/>
      <c r="AA6" s="13"/>
    </row>
    <row r="7" spans="1:35" s="139" customFormat="1" ht="84">
      <c r="C7" s="378" t="s">
        <v>295</v>
      </c>
      <c r="D7" s="378" t="s">
        <v>298</v>
      </c>
      <c r="E7" s="379" t="s">
        <v>2275</v>
      </c>
      <c r="F7" s="379" t="s">
        <v>330</v>
      </c>
      <c r="G7" s="298" t="s">
        <v>345</v>
      </c>
      <c r="H7" s="380" t="s">
        <v>346</v>
      </c>
      <c r="I7" s="298" t="s">
        <v>328</v>
      </c>
      <c r="J7" s="381" t="s">
        <v>347</v>
      </c>
      <c r="K7" s="382" t="s">
        <v>3</v>
      </c>
      <c r="L7" s="383" t="s">
        <v>360</v>
      </c>
      <c r="M7" s="383" t="s">
        <v>2279</v>
      </c>
      <c r="N7" s="383" t="s">
        <v>2280</v>
      </c>
      <c r="O7" s="383" t="s">
        <v>2281</v>
      </c>
      <c r="P7" s="378" t="s">
        <v>349</v>
      </c>
      <c r="Q7" s="383" t="s">
        <v>348</v>
      </c>
      <c r="R7" s="383" t="s">
        <v>350</v>
      </c>
      <c r="S7" s="383" t="s">
        <v>351</v>
      </c>
      <c r="T7" s="383" t="s">
        <v>352</v>
      </c>
      <c r="U7" s="383" t="s">
        <v>353</v>
      </c>
      <c r="V7" s="383" t="s">
        <v>354</v>
      </c>
      <c r="W7" s="378" t="s">
        <v>355</v>
      </c>
      <c r="X7" s="378" t="s">
        <v>356</v>
      </c>
      <c r="Y7" s="378" t="s">
        <v>321</v>
      </c>
      <c r="Z7" s="378" t="s">
        <v>322</v>
      </c>
      <c r="AA7" s="378" t="s">
        <v>357</v>
      </c>
      <c r="AB7" s="378" t="s">
        <v>26</v>
      </c>
      <c r="AC7" s="378" t="s">
        <v>2</v>
      </c>
      <c r="AD7" s="378" t="s">
        <v>121</v>
      </c>
      <c r="AE7" s="384"/>
      <c r="AF7" s="384"/>
      <c r="AG7" s="384"/>
      <c r="AH7" s="384"/>
      <c r="AI7" s="384"/>
    </row>
    <row r="8" spans="1:35">
      <c r="W8" s="168"/>
      <c r="X8" s="168"/>
      <c r="Y8" s="410"/>
      <c r="AD8" s="384"/>
    </row>
    <row r="9" spans="1:35">
      <c r="W9" s="168"/>
      <c r="X9" s="168"/>
      <c r="Y9" s="410"/>
      <c r="AD9" s="384"/>
    </row>
    <row r="10" spans="1:35">
      <c r="W10" s="168"/>
      <c r="X10" s="168"/>
      <c r="Y10" s="410"/>
      <c r="AD10" s="384"/>
    </row>
    <row r="11" spans="1:35">
      <c r="W11" s="168"/>
      <c r="X11" s="168"/>
      <c r="Y11" s="410"/>
      <c r="AD11" s="384"/>
    </row>
    <row r="12" spans="1:35">
      <c r="W12" s="168"/>
      <c r="X12" s="168"/>
      <c r="Y12" s="410"/>
      <c r="AD12" s="384"/>
    </row>
    <row r="13" spans="1:35">
      <c r="W13" s="168"/>
      <c r="X13" s="168"/>
      <c r="Y13" s="410"/>
      <c r="AD13" s="384"/>
    </row>
    <row r="14" spans="1:35">
      <c r="W14" s="168"/>
      <c r="X14" s="168"/>
      <c r="Y14" s="410"/>
      <c r="AD14" s="384"/>
    </row>
    <row r="15" spans="1:35">
      <c r="W15" s="168"/>
      <c r="X15" s="168"/>
      <c r="Y15" s="410"/>
      <c r="AD15" s="384"/>
    </row>
    <row r="16" spans="1:35">
      <c r="W16" s="168"/>
      <c r="Y16" s="410"/>
      <c r="AD16" s="435"/>
    </row>
    <row r="17" spans="23:30">
      <c r="W17" s="168"/>
      <c r="Y17" s="410"/>
      <c r="AD17" s="436"/>
    </row>
    <row r="18" spans="23:30">
      <c r="W18" s="168"/>
      <c r="Y18" s="410"/>
      <c r="AD18" s="436"/>
    </row>
    <row r="19" spans="23:30">
      <c r="W19" s="168"/>
      <c r="Y19" s="410"/>
      <c r="AD19" s="436"/>
    </row>
    <row r="20" spans="23:30">
      <c r="W20" s="168"/>
      <c r="Y20" s="410"/>
      <c r="AD20" s="436"/>
    </row>
    <row r="21" spans="23:30">
      <c r="W21" s="168"/>
      <c r="Y21" s="410"/>
      <c r="AD21" s="384"/>
    </row>
    <row r="22" spans="23:30">
      <c r="W22" s="168"/>
      <c r="Y22" s="410"/>
      <c r="AD22" s="436"/>
    </row>
    <row r="23" spans="23:30">
      <c r="W23" s="168"/>
      <c r="Y23" s="410"/>
      <c r="AD23" s="436"/>
    </row>
    <row r="24" spans="23:30">
      <c r="AD24" s="436"/>
    </row>
    <row r="25" spans="23:30">
      <c r="AD25" s="436"/>
    </row>
    <row r="26" spans="23:30">
      <c r="AD26" s="436"/>
    </row>
    <row r="27" spans="23:30">
      <c r="AD27" s="436"/>
    </row>
    <row r="28" spans="23:30">
      <c r="AD28" s="384"/>
    </row>
    <row r="29" spans="23:30">
      <c r="AD29" s="384"/>
    </row>
    <row r="30" spans="23:30">
      <c r="AD30" s="384"/>
    </row>
    <row r="31" spans="23:30">
      <c r="AD31" s="384"/>
    </row>
    <row r="32" spans="23:30">
      <c r="AD32" s="384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workbookViewId="0">
      <pane ySplit="7" topLeftCell="A8" activePane="bottomLeft" state="frozen"/>
      <selection activeCell="L28" sqref="L28"/>
      <selection pane="bottomLeft" activeCell="P9" sqref="P9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414" customWidth="1"/>
    <col min="12" max="12" width="24.140625" style="126" customWidth="1"/>
    <col min="13" max="13" width="28.140625" style="159" bestFit="1" customWidth="1"/>
    <col min="14" max="14" width="12.28515625" style="126" customWidth="1"/>
    <col min="16" max="16" width="13" style="132" customWidth="1"/>
    <col min="17" max="17" width="12" style="132" bestFit="1" customWidth="1"/>
    <col min="18" max="18" width="13.7109375" style="132" bestFit="1" customWidth="1"/>
  </cols>
  <sheetData>
    <row r="1" spans="1:18" hidden="1">
      <c r="A1">
        <v>1</v>
      </c>
      <c r="K1" s="412"/>
      <c r="M1" s="149"/>
    </row>
    <row r="2" spans="1:18" hidden="1">
      <c r="K2" s="412"/>
      <c r="M2" s="149"/>
    </row>
    <row r="3" spans="1:18" hidden="1">
      <c r="K3" s="412"/>
      <c r="M3" s="149"/>
    </row>
    <row r="4" spans="1:18" hidden="1">
      <c r="K4" s="412"/>
      <c r="M4" s="149"/>
    </row>
    <row r="5" spans="1:18" ht="33.75">
      <c r="C5" s="415" t="s">
        <v>459</v>
      </c>
      <c r="K5" s="412"/>
      <c r="M5" s="149"/>
    </row>
    <row r="6" spans="1:18" ht="10.5" customHeight="1">
      <c r="K6" s="412"/>
      <c r="M6" s="149"/>
    </row>
    <row r="7" spans="1:18" s="13" customFormat="1" ht="33" customHeight="1">
      <c r="B7" s="161"/>
      <c r="C7" s="371" t="s">
        <v>295</v>
      </c>
      <c r="D7" s="371" t="s">
        <v>317</v>
      </c>
      <c r="E7" s="371" t="s">
        <v>329</v>
      </c>
      <c r="F7" s="371" t="s">
        <v>330</v>
      </c>
      <c r="G7" s="371" t="s">
        <v>358</v>
      </c>
      <c r="H7" s="371" t="s">
        <v>339</v>
      </c>
      <c r="I7" s="371" t="s">
        <v>328</v>
      </c>
      <c r="J7" s="371" t="s">
        <v>318</v>
      </c>
      <c r="K7" s="413" t="s">
        <v>320</v>
      </c>
      <c r="L7" s="371" t="s">
        <v>321</v>
      </c>
      <c r="M7" s="372" t="s">
        <v>322</v>
      </c>
      <c r="N7" s="371" t="s">
        <v>327</v>
      </c>
      <c r="O7" s="371" t="s">
        <v>26</v>
      </c>
      <c r="P7" s="371" t="s">
        <v>2</v>
      </c>
      <c r="Q7" s="371" t="s">
        <v>121</v>
      </c>
      <c r="R7" s="121"/>
    </row>
    <row r="8" spans="1:18">
      <c r="D8" s="162"/>
      <c r="L8" s="237"/>
    </row>
    <row r="9" spans="1:18">
      <c r="D9" s="162"/>
      <c r="L9" s="237"/>
      <c r="Q9" s="121"/>
    </row>
    <row r="10" spans="1:18">
      <c r="D10" s="162"/>
      <c r="L10" s="237"/>
      <c r="Q10" s="121"/>
    </row>
    <row r="11" spans="1:18">
      <c r="D11" s="162"/>
      <c r="L11" s="237"/>
      <c r="Q11" s="121"/>
    </row>
    <row r="12" spans="1:18">
      <c r="D12" s="162"/>
      <c r="L12" s="237"/>
      <c r="Q12" s="121"/>
    </row>
    <row r="13" spans="1:18">
      <c r="D13" s="162"/>
      <c r="L13" s="237"/>
      <c r="Q13" s="121"/>
    </row>
    <row r="14" spans="1:18">
      <c r="D14" s="162"/>
      <c r="L14" s="237"/>
      <c r="Q14" s="121"/>
    </row>
    <row r="15" spans="1:18">
      <c r="D15" s="162"/>
      <c r="L15" s="237"/>
      <c r="Q15" s="121"/>
    </row>
    <row r="16" spans="1:18">
      <c r="D16" s="162"/>
      <c r="L16" s="237"/>
      <c r="Q16" s="121"/>
    </row>
    <row r="17" spans="4:17">
      <c r="D17" s="162"/>
      <c r="L17" s="237"/>
      <c r="Q17" s="121"/>
    </row>
    <row r="18" spans="4:17">
      <c r="D18" s="162"/>
      <c r="L18" s="237"/>
      <c r="Q18" s="121"/>
    </row>
    <row r="19" spans="4:17">
      <c r="D19" s="162"/>
      <c r="L19" s="237"/>
      <c r="Q19" s="121"/>
    </row>
    <row r="20" spans="4:17">
      <c r="D20" s="162"/>
      <c r="L20" s="237"/>
      <c r="Q20" s="121"/>
    </row>
    <row r="21" spans="4:17">
      <c r="D21" s="162"/>
      <c r="L21" s="237"/>
    </row>
    <row r="22" spans="4:17">
      <c r="D22" s="162"/>
      <c r="L22" s="237"/>
    </row>
    <row r="23" spans="4:17">
      <c r="D23" s="162"/>
      <c r="L23" s="237"/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workbookViewId="0">
      <pane ySplit="4" topLeftCell="A8" activePane="bottomLeft" state="frozen"/>
      <selection activeCell="L28" sqref="L28"/>
      <selection pane="bottomLeft" activeCell="U11" sqref="U11"/>
    </sheetView>
  </sheetViews>
  <sheetFormatPr defaultRowHeight="15"/>
  <cols>
    <col min="1" max="1" width="3.5703125" customWidth="1"/>
    <col min="2" max="2" width="4" customWidth="1"/>
    <col min="3" max="3" width="8.85546875" style="13" customWidth="1"/>
    <col min="4" max="4" width="22.5703125" style="13" customWidth="1"/>
    <col min="5" max="6" width="20.140625" style="13" customWidth="1"/>
    <col min="7" max="7" width="25.5703125" style="13" customWidth="1"/>
    <col min="8" max="9" width="25.85546875" style="13" customWidth="1"/>
    <col min="10" max="10" width="20.42578125" style="377" customWidth="1"/>
    <col min="11" max="11" width="12.28515625" style="210" bestFit="1" customWidth="1"/>
    <col min="12" max="12" width="9.5703125" style="210" customWidth="1"/>
    <col min="13" max="13" width="15" style="210" customWidth="1"/>
    <col min="14" max="14" width="10.85546875" style="210" customWidth="1"/>
    <col min="15" max="15" width="16.5703125" style="13" bestFit="1" customWidth="1"/>
    <col min="16" max="16" width="14.5703125" style="210" bestFit="1" customWidth="1"/>
    <col min="17" max="17" width="11.85546875" style="210" customWidth="1"/>
    <col min="18" max="18" width="12" style="13" customWidth="1"/>
    <col min="19" max="19" width="9.7109375" style="13" customWidth="1"/>
    <col min="22" max="22" width="9.140625" style="132" customWidth="1"/>
    <col min="23" max="23" width="23.7109375" style="132" bestFit="1" customWidth="1"/>
    <col min="24" max="25" width="9.140625" style="132"/>
  </cols>
  <sheetData>
    <row r="1" spans="1:23" hidden="1">
      <c r="A1">
        <v>1</v>
      </c>
      <c r="B1">
        <v>1</v>
      </c>
      <c r="C1" s="13" t="s">
        <v>1017</v>
      </c>
      <c r="D1" s="13">
        <v>1</v>
      </c>
      <c r="E1" s="13">
        <v>1</v>
      </c>
      <c r="H1" s="13">
        <v>4000</v>
      </c>
      <c r="I1" s="13">
        <v>40.5</v>
      </c>
      <c r="J1" s="377">
        <v>50</v>
      </c>
      <c r="L1" s="210">
        <v>0</v>
      </c>
      <c r="M1" s="210">
        <v>0</v>
      </c>
      <c r="N1" s="210">
        <v>0</v>
      </c>
      <c r="O1" s="13">
        <v>0</v>
      </c>
      <c r="Q1" s="210">
        <v>0</v>
      </c>
    </row>
    <row r="2" spans="1:23" hidden="1"/>
    <row r="3" spans="1:23" hidden="1"/>
    <row r="5" spans="1:23" ht="30.75">
      <c r="C5" s="373" t="s">
        <v>460</v>
      </c>
    </row>
    <row r="6" spans="1:23" ht="12" customHeight="1"/>
    <row r="7" spans="1:23" ht="24.75" customHeight="1">
      <c r="C7" s="293" t="s">
        <v>295</v>
      </c>
      <c r="D7" s="293" t="s">
        <v>306</v>
      </c>
      <c r="E7" s="293" t="s">
        <v>2275</v>
      </c>
      <c r="F7" s="293" t="s">
        <v>298</v>
      </c>
      <c r="G7" s="293" t="s">
        <v>299</v>
      </c>
      <c r="H7" s="293" t="s">
        <v>359</v>
      </c>
      <c r="I7" s="293" t="s">
        <v>2276</v>
      </c>
      <c r="J7" s="385" t="s">
        <v>3</v>
      </c>
      <c r="K7" s="386" t="s">
        <v>360</v>
      </c>
      <c r="L7" s="386" t="s">
        <v>361</v>
      </c>
      <c r="M7" s="386" t="s">
        <v>362</v>
      </c>
      <c r="N7" s="386" t="s">
        <v>363</v>
      </c>
      <c r="O7" s="293" t="s">
        <v>349</v>
      </c>
      <c r="P7" s="386" t="s">
        <v>350</v>
      </c>
      <c r="Q7" s="386" t="s">
        <v>351</v>
      </c>
      <c r="R7" s="293" t="s">
        <v>356</v>
      </c>
      <c r="S7" s="293" t="s">
        <v>357</v>
      </c>
      <c r="T7" s="293" t="s">
        <v>26</v>
      </c>
      <c r="U7" s="293" t="s">
        <v>2</v>
      </c>
      <c r="V7" s="293" t="s">
        <v>121</v>
      </c>
    </row>
    <row r="8" spans="1:23">
      <c r="R8" s="161"/>
    </row>
    <row r="9" spans="1:23">
      <c r="R9" s="161"/>
      <c r="W9" s="121"/>
    </row>
    <row r="10" spans="1:23">
      <c r="R10" s="161"/>
      <c r="W10" s="121"/>
    </row>
    <row r="11" spans="1:23">
      <c r="R11" s="161"/>
      <c r="W11" s="121"/>
    </row>
    <row r="12" spans="1:23">
      <c r="R12" s="161"/>
      <c r="W12" s="121"/>
    </row>
    <row r="13" spans="1:23">
      <c r="R13" s="161"/>
      <c r="W13" s="121"/>
    </row>
    <row r="14" spans="1:23">
      <c r="R14" s="161"/>
      <c r="W14" s="121"/>
    </row>
    <row r="15" spans="1:23">
      <c r="R15" s="161"/>
      <c r="W15" s="121"/>
    </row>
    <row r="16" spans="1:23">
      <c r="W16" s="121"/>
    </row>
    <row r="17" spans="23:23">
      <c r="W17" s="121"/>
    </row>
    <row r="18" spans="23:23">
      <c r="W18" s="121"/>
    </row>
    <row r="19" spans="23:23">
      <c r="W19" s="121"/>
    </row>
    <row r="20" spans="23:23">
      <c r="W20" s="121"/>
    </row>
    <row r="21" spans="23:23">
      <c r="W21" s="121"/>
    </row>
    <row r="22" spans="23:23">
      <c r="W22" s="121"/>
    </row>
    <row r="23" spans="23:23">
      <c r="W23" s="121"/>
    </row>
    <row r="24" spans="23:23">
      <c r="W24" s="121"/>
    </row>
    <row r="25" spans="23:23">
      <c r="W25" s="121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107"/>
  <sheetViews>
    <sheetView zoomScale="90" zoomScaleNormal="90" workbookViewId="0">
      <pane ySplit="7" topLeftCell="A8" activePane="bottomLeft" state="frozen"/>
      <selection activeCell="L28" sqref="L28"/>
      <selection pane="bottomLeft" activeCell="Y7" sqref="Y7"/>
    </sheetView>
  </sheetViews>
  <sheetFormatPr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26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9" t="s">
        <v>456</v>
      </c>
      <c r="D5" s="234"/>
      <c r="E5" s="234"/>
      <c r="F5" s="234"/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34"/>
      <c r="X5" s="234"/>
      <c r="Y5" s="238"/>
      <c r="Z5" s="234"/>
      <c r="AA5" s="234"/>
      <c r="AB5" s="234"/>
      <c r="AC5" s="234"/>
      <c r="AD5" s="234"/>
      <c r="AE5" s="234"/>
      <c r="AF5" s="234"/>
      <c r="AG5" s="234"/>
      <c r="AH5" s="234"/>
      <c r="AI5" s="234"/>
      <c r="AJ5" s="234"/>
      <c r="AK5" s="234"/>
      <c r="AL5" s="234"/>
      <c r="AM5" s="234"/>
      <c r="AN5" s="234"/>
    </row>
    <row r="6" spans="3:40" s="13" customFormat="1" ht="15">
      <c r="Y6" s="161"/>
      <c r="AC6" s="194"/>
    </row>
    <row r="7" spans="3:40" ht="108">
      <c r="C7" s="292" t="s">
        <v>295</v>
      </c>
      <c r="D7" s="292" t="s">
        <v>305</v>
      </c>
      <c r="E7" s="292" t="s">
        <v>298</v>
      </c>
      <c r="F7" s="292" t="s">
        <v>299</v>
      </c>
      <c r="G7" s="292" t="s">
        <v>306</v>
      </c>
      <c r="H7" s="292" t="s">
        <v>308</v>
      </c>
      <c r="I7" s="292" t="s">
        <v>300</v>
      </c>
      <c r="J7" s="292" t="s">
        <v>301</v>
      </c>
      <c r="K7" s="292" t="s">
        <v>302</v>
      </c>
      <c r="L7" s="292" t="s">
        <v>314</v>
      </c>
      <c r="M7" s="292" t="s">
        <v>343</v>
      </c>
      <c r="N7" s="292" t="s">
        <v>307</v>
      </c>
      <c r="O7" s="292" t="s">
        <v>309</v>
      </c>
      <c r="P7" s="292" t="s">
        <v>303</v>
      </c>
      <c r="Q7" s="292" t="s">
        <v>304</v>
      </c>
      <c r="R7" s="292" t="s">
        <v>310</v>
      </c>
      <c r="S7" s="292" t="s">
        <v>311</v>
      </c>
      <c r="T7" s="292" t="s">
        <v>312</v>
      </c>
      <c r="U7" s="292" t="s">
        <v>344</v>
      </c>
      <c r="V7" s="292" t="s">
        <v>313</v>
      </c>
      <c r="W7" s="295" t="s">
        <v>315</v>
      </c>
      <c r="X7" s="291" t="s">
        <v>316</v>
      </c>
      <c r="Y7" s="296" t="s">
        <v>317</v>
      </c>
      <c r="Z7" s="296" t="s">
        <v>318</v>
      </c>
      <c r="AA7" s="296" t="s">
        <v>319</v>
      </c>
      <c r="AB7" s="296" t="s">
        <v>320</v>
      </c>
      <c r="AC7" s="297" t="s">
        <v>321</v>
      </c>
      <c r="AD7" s="292" t="s">
        <v>322</v>
      </c>
      <c r="AE7" s="292" t="s">
        <v>387</v>
      </c>
      <c r="AF7" s="292" t="s">
        <v>388</v>
      </c>
      <c r="AG7" s="292" t="s">
        <v>323</v>
      </c>
      <c r="AH7" s="292" t="s">
        <v>324</v>
      </c>
      <c r="AI7" s="292" t="s">
        <v>325</v>
      </c>
      <c r="AJ7" s="292" t="s">
        <v>326</v>
      </c>
      <c r="AK7" s="292" t="s">
        <v>327</v>
      </c>
      <c r="AL7" s="292" t="s">
        <v>364</v>
      </c>
      <c r="AM7" s="292" t="s">
        <v>365</v>
      </c>
      <c r="AN7" s="292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547</v>
      </c>
      <c r="AA8" s="126">
        <v>0</v>
      </c>
      <c r="AC8" s="237">
        <v>46222.63009259259</v>
      </c>
      <c r="AD8" s="126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547</v>
      </c>
      <c r="AA9" s="126">
        <v>0</v>
      </c>
      <c r="AC9" s="237">
        <v>46222.633958333332</v>
      </c>
      <c r="AD9" s="126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553</v>
      </c>
      <c r="AA10" s="126">
        <v>0</v>
      </c>
      <c r="AC10" s="237">
        <v>46222.698009259257</v>
      </c>
      <c r="AD10" s="126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607</v>
      </c>
      <c r="AA11" s="126">
        <v>0</v>
      </c>
      <c r="AC11" s="237">
        <v>46223.450949074075</v>
      </c>
      <c r="AD11" s="126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623</v>
      </c>
      <c r="AA12" s="126">
        <v>0</v>
      </c>
      <c r="AC12" s="237">
        <v>46223.52480324074</v>
      </c>
      <c r="AD12" s="126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658</v>
      </c>
      <c r="AA13" s="126">
        <v>0</v>
      </c>
      <c r="AC13" s="237">
        <v>46223.656875000001</v>
      </c>
      <c r="AD13" s="126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674</v>
      </c>
      <c r="AA14" s="126">
        <v>0</v>
      </c>
      <c r="AC14" s="237">
        <v>46224.761064814818</v>
      </c>
      <c r="AD14" s="126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714</v>
      </c>
      <c r="AA15" s="126">
        <v>0</v>
      </c>
      <c r="AC15" s="237">
        <v>46224.769317129627</v>
      </c>
      <c r="AD15" s="126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760</v>
      </c>
      <c r="AA16" s="126">
        <v>0</v>
      </c>
      <c r="AC16" s="237">
        <v>46224.785381944443</v>
      </c>
      <c r="AD16" s="126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793</v>
      </c>
      <c r="AA17" s="126">
        <v>0</v>
      </c>
      <c r="AC17" s="237">
        <v>46224.857037037036</v>
      </c>
      <c r="AD17" s="126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829</v>
      </c>
      <c r="AA18" s="126">
        <v>0</v>
      </c>
      <c r="AC18" s="237">
        <v>46224.890914351854</v>
      </c>
      <c r="AD18" s="126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835</v>
      </c>
      <c r="AA19" s="126">
        <v>0</v>
      </c>
      <c r="AC19" s="237">
        <v>46225.027615740742</v>
      </c>
      <c r="AD19" s="126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850</v>
      </c>
      <c r="AA20" s="126">
        <v>0</v>
      </c>
      <c r="AC20" s="237">
        <v>46225.055312500001</v>
      </c>
      <c r="AD20" s="126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867</v>
      </c>
      <c r="AA21" s="126">
        <v>0</v>
      </c>
      <c r="AC21" s="237">
        <v>46225.08792824074</v>
      </c>
      <c r="AD21" s="126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876</v>
      </c>
      <c r="AA22" s="126">
        <v>0</v>
      </c>
      <c r="AC22" s="237">
        <v>46225.101134259261</v>
      </c>
      <c r="AD22" s="126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882</v>
      </c>
      <c r="AA23" s="126">
        <v>0</v>
      </c>
      <c r="AC23" s="237">
        <v>46225.352233796293</v>
      </c>
      <c r="AD23" s="126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912</v>
      </c>
      <c r="AA24" s="126">
        <v>0</v>
      </c>
      <c r="AC24" s="237">
        <v>46225.355312500003</v>
      </c>
      <c r="AD24" s="126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917</v>
      </c>
      <c r="AA25" s="126">
        <v>0</v>
      </c>
      <c r="AC25" s="237">
        <v>46225.358194444445</v>
      </c>
      <c r="AD25" s="126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926</v>
      </c>
      <c r="AA26" s="126">
        <v>0</v>
      </c>
      <c r="AC26" s="237">
        <v>46225.385636574072</v>
      </c>
      <c r="AD26" s="126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939</v>
      </c>
      <c r="AA27" s="126">
        <v>0</v>
      </c>
      <c r="AC27" s="237">
        <v>46225.388078703705</v>
      </c>
      <c r="AD27" s="126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946</v>
      </c>
      <c r="AA28" s="126">
        <v>0</v>
      </c>
      <c r="AC28" s="237">
        <v>46225.41233796296</v>
      </c>
      <c r="AD28" s="126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954</v>
      </c>
      <c r="AA29" s="126">
        <v>0</v>
      </c>
      <c r="AC29" s="237">
        <v>46225.415694444448</v>
      </c>
      <c r="AD29" s="126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959</v>
      </c>
      <c r="AA30" s="126">
        <v>0</v>
      </c>
      <c r="AC30" s="237">
        <v>46225.425000000003</v>
      </c>
      <c r="AD30" s="126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971</v>
      </c>
      <c r="AA31" s="126">
        <v>0</v>
      </c>
      <c r="AC31" s="237">
        <v>46225.441111111111</v>
      </c>
      <c r="AD31" s="126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989</v>
      </c>
      <c r="AA32" s="126">
        <v>0</v>
      </c>
      <c r="AC32" s="237">
        <v>46225.459583333337</v>
      </c>
      <c r="AD32" s="126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1005</v>
      </c>
      <c r="AA33" s="126">
        <v>0</v>
      </c>
      <c r="AC33" s="237">
        <v>46225.463854166665</v>
      </c>
      <c r="AD33" s="126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1005</v>
      </c>
      <c r="AA34" s="126">
        <v>0</v>
      </c>
      <c r="AC34" s="237">
        <v>46225.630381944444</v>
      </c>
      <c r="AD34" s="126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1046</v>
      </c>
      <c r="AA35" s="126">
        <v>0</v>
      </c>
      <c r="AC35" s="237">
        <v>46225.644062500003</v>
      </c>
      <c r="AD35" s="126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1064</v>
      </c>
      <c r="AA36" s="126">
        <v>0</v>
      </c>
      <c r="AC36" s="237">
        <v>46225.651469907411</v>
      </c>
      <c r="AD36" s="126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1072</v>
      </c>
      <c r="AA37" s="126">
        <v>0</v>
      </c>
      <c r="AC37" s="237">
        <v>46225.658680555556</v>
      </c>
      <c r="AD37" s="126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1080</v>
      </c>
      <c r="AA38" s="126">
        <v>0</v>
      </c>
      <c r="AC38" s="237">
        <v>46225.670752314814</v>
      </c>
      <c r="AD38" s="126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1093</v>
      </c>
      <c r="AA39" s="126">
        <v>0</v>
      </c>
      <c r="AC39" s="237">
        <v>46225.685636574075</v>
      </c>
      <c r="AD39" s="126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1107</v>
      </c>
      <c r="AA40" s="126">
        <v>0</v>
      </c>
      <c r="AC40" s="237">
        <v>46225.798460648148</v>
      </c>
      <c r="AD40" s="126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1161</v>
      </c>
      <c r="AA41" s="126">
        <v>0</v>
      </c>
      <c r="AC41" s="237">
        <v>46226.015185185184</v>
      </c>
      <c r="AD41" s="126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1166</v>
      </c>
      <c r="AA42" s="126">
        <v>0</v>
      </c>
      <c r="AC42" s="237">
        <v>46226.024560185186</v>
      </c>
      <c r="AD42" s="126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1180</v>
      </c>
      <c r="AA43" s="126">
        <v>0</v>
      </c>
      <c r="AC43" s="237">
        <v>46226.247384259259</v>
      </c>
      <c r="AD43" s="126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1251</v>
      </c>
      <c r="AA44" s="126">
        <v>0</v>
      </c>
      <c r="AC44" s="237">
        <v>46226.249699074076</v>
      </c>
      <c r="AD44" s="126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1256</v>
      </c>
      <c r="AA45" s="126">
        <v>0</v>
      </c>
      <c r="AC45" s="237">
        <v>46226.254780092589</v>
      </c>
      <c r="AD45" s="126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1262</v>
      </c>
      <c r="AA46" s="126">
        <v>0</v>
      </c>
      <c r="AC46" s="237">
        <v>46226.263368055559</v>
      </c>
      <c r="AD46" s="126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1270</v>
      </c>
      <c r="AA47" s="126">
        <v>0</v>
      </c>
      <c r="AC47" s="237">
        <v>46226.32471064815</v>
      </c>
      <c r="AD47" s="126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1312</v>
      </c>
      <c r="AA48" s="126">
        <v>0</v>
      </c>
      <c r="AC48" s="237">
        <v>46226.391192129631</v>
      </c>
      <c r="AD48" s="126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1330</v>
      </c>
      <c r="AA49" s="126">
        <v>0</v>
      </c>
      <c r="AC49" s="237">
        <v>46226.400694444441</v>
      </c>
      <c r="AD49" s="126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1335</v>
      </c>
      <c r="AA50" s="126">
        <v>0</v>
      </c>
      <c r="AC50" s="237">
        <v>46226.454305555555</v>
      </c>
      <c r="AD50" s="126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1349</v>
      </c>
      <c r="AA51" s="126">
        <v>0</v>
      </c>
      <c r="AC51" s="237">
        <v>46226.458645833336</v>
      </c>
      <c r="AD51" s="126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1357</v>
      </c>
      <c r="AA52" s="126">
        <v>0</v>
      </c>
      <c r="AC52" s="237">
        <v>46226.472453703704</v>
      </c>
      <c r="AD52" s="126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1390</v>
      </c>
      <c r="AA53" s="126">
        <v>0</v>
      </c>
      <c r="AC53" s="237">
        <v>46226.481585648151</v>
      </c>
      <c r="AD53" s="126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1398</v>
      </c>
      <c r="AA54" s="126">
        <v>0</v>
      </c>
      <c r="AC54" s="237">
        <v>46226.53361111111</v>
      </c>
      <c r="AD54" s="126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1431</v>
      </c>
      <c r="AA55" s="126">
        <v>0</v>
      </c>
      <c r="AC55" s="237">
        <v>46226.670694444445</v>
      </c>
      <c r="AD55" s="126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1436</v>
      </c>
      <c r="AA56" s="126">
        <v>0</v>
      </c>
      <c r="AC56" s="237">
        <v>46226.673831018517</v>
      </c>
      <c r="AD56" s="126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1444</v>
      </c>
      <c r="AA57" s="126">
        <v>0</v>
      </c>
      <c r="AC57" s="237">
        <v>46226.685115740744</v>
      </c>
      <c r="AD57" s="126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1462</v>
      </c>
      <c r="AA58" s="126">
        <v>0</v>
      </c>
      <c r="AC58" s="237">
        <v>46226.695104166669</v>
      </c>
      <c r="AD58" s="126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1473</v>
      </c>
      <c r="AA59" s="126">
        <v>0</v>
      </c>
      <c r="AC59" s="237">
        <v>46226.702476851853</v>
      </c>
      <c r="AD59" s="126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1484</v>
      </c>
      <c r="AA60" s="126">
        <v>0</v>
      </c>
      <c r="AC60" s="237">
        <v>46226.759652777779</v>
      </c>
      <c r="AD60" s="126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1505</v>
      </c>
      <c r="AA61" s="126">
        <v>0</v>
      </c>
      <c r="AC61" s="237">
        <v>46226.767488425925</v>
      </c>
      <c r="AD61" s="126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1538</v>
      </c>
      <c r="AA62" s="126">
        <v>0</v>
      </c>
      <c r="AC62" s="237">
        <v>46226.775509259256</v>
      </c>
      <c r="AD62" s="126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1543</v>
      </c>
      <c r="AA63" s="126">
        <v>0</v>
      </c>
      <c r="AC63" s="237">
        <v>46226.782534722224</v>
      </c>
      <c r="AD63" s="126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1564</v>
      </c>
      <c r="AA64" s="126">
        <v>0</v>
      </c>
      <c r="AC64" s="237">
        <v>46226.786620370367</v>
      </c>
      <c r="AD64" s="126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1575</v>
      </c>
      <c r="AA65" s="126">
        <v>0</v>
      </c>
      <c r="AC65" s="237">
        <v>46226.787731481483</v>
      </c>
      <c r="AD65" s="126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1583</v>
      </c>
      <c r="AA66" s="126">
        <v>0</v>
      </c>
      <c r="AC66" s="237">
        <v>46226.809293981481</v>
      </c>
      <c r="AD66" s="126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1595</v>
      </c>
      <c r="AA67" s="126">
        <v>0</v>
      </c>
      <c r="AC67" s="237">
        <v>46226.811782407407</v>
      </c>
      <c r="AD67" s="126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1600</v>
      </c>
      <c r="AA68" s="126">
        <v>0</v>
      </c>
      <c r="AC68" s="237">
        <v>46226.869756944441</v>
      </c>
      <c r="AD68" s="126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1620</v>
      </c>
      <c r="AA69" s="126">
        <v>0</v>
      </c>
      <c r="AC69" s="237">
        <v>46226.870567129627</v>
      </c>
      <c r="AD69" s="126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1626</v>
      </c>
      <c r="AA70" s="126">
        <v>0</v>
      </c>
      <c r="AC70" s="237">
        <v>46226.878495370373</v>
      </c>
      <c r="AD70" s="126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1634</v>
      </c>
      <c r="AA71" s="126">
        <v>0</v>
      </c>
      <c r="AC71" s="237">
        <v>46226.879999999997</v>
      </c>
      <c r="AD71" s="126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1642</v>
      </c>
      <c r="AA72" s="126">
        <v>0</v>
      </c>
      <c r="AC72" s="237">
        <v>46226.885972222219</v>
      </c>
      <c r="AD72" s="126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1654</v>
      </c>
      <c r="AA73" s="126">
        <v>0</v>
      </c>
      <c r="AC73" s="237">
        <v>46226.899259259262</v>
      </c>
      <c r="AD73" s="126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1662</v>
      </c>
      <c r="AA74" s="126">
        <v>0</v>
      </c>
      <c r="AC74" s="237">
        <v>46226.902592592596</v>
      </c>
      <c r="AD74" s="126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1670</v>
      </c>
      <c r="AA75" s="126">
        <v>0</v>
      </c>
      <c r="AC75" s="237">
        <v>46226.922083333331</v>
      </c>
      <c r="AD75" s="126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1684</v>
      </c>
      <c r="AA76" s="126">
        <v>0</v>
      </c>
      <c r="AC76" s="237">
        <v>46226.923055555555</v>
      </c>
      <c r="AD76" s="126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1689</v>
      </c>
      <c r="AA77" s="126">
        <v>0</v>
      </c>
      <c r="AC77" s="237">
        <v>46226.932488425926</v>
      </c>
      <c r="AD77" s="126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1701</v>
      </c>
      <c r="AA78" s="126">
        <v>0</v>
      </c>
      <c r="AC78" s="237">
        <v>46226.942037037035</v>
      </c>
      <c r="AD78" s="126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1717</v>
      </c>
      <c r="AA79" s="126">
        <v>0</v>
      </c>
      <c r="AC79" s="237">
        <v>46226.947048611109</v>
      </c>
      <c r="AD79" s="126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1723</v>
      </c>
      <c r="AA80" s="126">
        <v>0</v>
      </c>
      <c r="AC80" s="237">
        <v>46226.956666666665</v>
      </c>
      <c r="AD80" s="126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1731</v>
      </c>
      <c r="AA81" s="126">
        <v>0</v>
      </c>
      <c r="AC81" s="237">
        <v>46226.960601851853</v>
      </c>
      <c r="AD81" s="126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1739</v>
      </c>
      <c r="AA82" s="126">
        <v>0</v>
      </c>
      <c r="AC82" s="237">
        <v>46226.967905092592</v>
      </c>
      <c r="AD82" s="126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1757</v>
      </c>
      <c r="AA83" s="126">
        <v>0</v>
      </c>
      <c r="AC83" s="237">
        <v>46226.975428240738</v>
      </c>
      <c r="AD83" s="126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1772</v>
      </c>
      <c r="AA84" s="126">
        <v>0</v>
      </c>
      <c r="AC84" s="237">
        <v>46226.983715277776</v>
      </c>
      <c r="AD84" s="126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1783</v>
      </c>
      <c r="AA85" s="126">
        <v>0</v>
      </c>
      <c r="AC85" s="237">
        <v>46227.027627314812</v>
      </c>
      <c r="AD85" s="126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1800</v>
      </c>
      <c r="AA86" s="126">
        <v>0</v>
      </c>
      <c r="AC86" s="237">
        <v>46227.038923611108</v>
      </c>
      <c r="AD86" s="126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1828</v>
      </c>
      <c r="AA87" s="126">
        <v>0</v>
      </c>
      <c r="AC87" s="237">
        <v>46227.066759259258</v>
      </c>
      <c r="AD87" s="126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1858</v>
      </c>
      <c r="AA88" s="126">
        <v>0</v>
      </c>
      <c r="AC88" s="237">
        <v>46227.073946759258</v>
      </c>
      <c r="AD88" s="126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1875</v>
      </c>
      <c r="AA89" s="126">
        <v>0</v>
      </c>
      <c r="AC89" s="237">
        <v>46227.075613425928</v>
      </c>
      <c r="AD89" s="126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1880</v>
      </c>
      <c r="AA90" s="126">
        <v>0</v>
      </c>
      <c r="AC90" s="237">
        <v>46227.084236111114</v>
      </c>
      <c r="AD90" s="126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1892</v>
      </c>
      <c r="AA91" s="126">
        <v>0</v>
      </c>
      <c r="AC91" s="237">
        <v>46227.27244212963</v>
      </c>
      <c r="AD91" s="126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1897</v>
      </c>
      <c r="AA92" s="126">
        <v>0</v>
      </c>
      <c r="AC92" s="237">
        <v>46227.276273148149</v>
      </c>
      <c r="AD92" s="126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1911</v>
      </c>
      <c r="AA93" s="126">
        <v>0</v>
      </c>
      <c r="AC93" s="237">
        <v>46227.278680555559</v>
      </c>
      <c r="AD93" s="126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1920</v>
      </c>
      <c r="AA94" s="126">
        <v>0</v>
      </c>
      <c r="AC94" s="237">
        <v>46227.298263888886</v>
      </c>
      <c r="AD94" s="126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1935</v>
      </c>
      <c r="AA95" s="126">
        <v>0</v>
      </c>
      <c r="AC95" s="237">
        <v>46227.418321759258</v>
      </c>
      <c r="AD95" s="126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1988</v>
      </c>
      <c r="AA96" s="126">
        <v>0</v>
      </c>
      <c r="AC96" s="237">
        <v>46227.447060185186</v>
      </c>
      <c r="AD96" s="126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2043</v>
      </c>
      <c r="AA97" s="126">
        <v>0</v>
      </c>
      <c r="AC97" s="237">
        <v>46227.454108796293</v>
      </c>
      <c r="AD97" s="126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2048</v>
      </c>
      <c r="AA98" s="126">
        <v>0</v>
      </c>
      <c r="AC98" s="237">
        <v>46227.458807870367</v>
      </c>
      <c r="AD98" s="126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2059</v>
      </c>
      <c r="AA99" s="126">
        <v>0</v>
      </c>
      <c r="AC99" s="237">
        <v>46227.464999999997</v>
      </c>
      <c r="AD99" s="126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2092</v>
      </c>
      <c r="AA100" s="126">
        <v>0</v>
      </c>
      <c r="AC100" s="237">
        <v>46227.474745370368</v>
      </c>
      <c r="AD100" s="126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2115</v>
      </c>
      <c r="AA101" s="126">
        <v>0</v>
      </c>
      <c r="AC101" s="237">
        <v>46227.47934027778</v>
      </c>
      <c r="AD101" s="126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2143</v>
      </c>
      <c r="AA102" s="126">
        <v>0</v>
      </c>
      <c r="AC102" s="237">
        <v>46227.616331018522</v>
      </c>
      <c r="AD102" s="126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2159</v>
      </c>
      <c r="AA103" s="126">
        <v>0</v>
      </c>
      <c r="AC103" s="237">
        <v>46227.645428240743</v>
      </c>
      <c r="AD103" s="126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2175</v>
      </c>
      <c r="AA104" s="126">
        <v>0</v>
      </c>
      <c r="AC104" s="237">
        <v>46227.67759259259</v>
      </c>
      <c r="AD104" s="126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2191</v>
      </c>
      <c r="AA105" s="126">
        <v>0</v>
      </c>
      <c r="AC105" s="237">
        <v>46227.690370370372</v>
      </c>
      <c r="AD105" s="126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2209</v>
      </c>
      <c r="AA106" s="126">
        <v>0</v>
      </c>
      <c r="AC106" s="237">
        <v>46227.702025462961</v>
      </c>
      <c r="AD106" s="126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2233</v>
      </c>
      <c r="AA107" s="126">
        <v>0</v>
      </c>
      <c r="AC107" s="237">
        <v>46227.724502314813</v>
      </c>
      <c r="AD107" s="126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1322"/>
  <sheetViews>
    <sheetView topLeftCell="A5" zoomScale="80" zoomScaleNormal="80" workbookViewId="0">
      <pane ySplit="3" topLeftCell="A1304" activePane="bottomLeft" state="frozen"/>
      <selection activeCell="L28" sqref="L28"/>
      <selection pane="bottomLeft" activeCell="E7" sqref="E7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6" width="4.7109375" style="126" customWidth="1"/>
    <col min="17" max="17" width="4.42578125" style="130" bestFit="1" customWidth="1"/>
    <col min="18" max="18" width="17.85546875" style="126" customWidth="1"/>
    <col min="19" max="19" width="18.85546875" style="261" customWidth="1"/>
    <col min="20" max="20" width="18.140625" style="261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59"/>
      <c r="T1" s="259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59"/>
      <c r="T2" s="259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59"/>
      <c r="T3" s="259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59"/>
      <c r="T4" s="259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33" t="s">
        <v>455</v>
      </c>
      <c r="D5" s="234"/>
      <c r="E5" s="234"/>
      <c r="F5" s="234"/>
      <c r="G5" s="234"/>
      <c r="H5" s="234"/>
      <c r="I5" s="234"/>
      <c r="J5" s="234"/>
      <c r="K5" s="235"/>
      <c r="L5" s="235"/>
      <c r="M5" s="234"/>
      <c r="N5" s="234"/>
      <c r="O5" s="234"/>
      <c r="P5" s="234"/>
      <c r="Q5" s="235"/>
      <c r="R5" s="234"/>
      <c r="S5" s="260"/>
      <c r="T5" s="260"/>
      <c r="U5" s="235"/>
      <c r="V5" s="235"/>
      <c r="W5" s="235"/>
      <c r="X5" s="235"/>
      <c r="Y5" s="235"/>
      <c r="Z5" s="235"/>
      <c r="AA5" s="235"/>
      <c r="AB5" s="235"/>
      <c r="AC5" s="235"/>
      <c r="AD5" s="235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59"/>
      <c r="T6" s="259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98" t="s">
        <v>295</v>
      </c>
      <c r="D7" s="298" t="s">
        <v>468</v>
      </c>
      <c r="E7" s="298" t="s">
        <v>328</v>
      </c>
      <c r="F7" s="298" t="s">
        <v>329</v>
      </c>
      <c r="G7" s="298" t="s">
        <v>330</v>
      </c>
      <c r="H7" s="298" t="s">
        <v>469</v>
      </c>
      <c r="I7" s="298" t="s">
        <v>470</v>
      </c>
      <c r="J7" s="298" t="s">
        <v>331</v>
      </c>
      <c r="K7" s="298" t="s">
        <v>332</v>
      </c>
      <c r="L7" s="298" t="s">
        <v>333</v>
      </c>
      <c r="M7" s="298" t="s">
        <v>334</v>
      </c>
      <c r="N7" s="298" t="s">
        <v>335</v>
      </c>
      <c r="O7" s="298" t="s">
        <v>450</v>
      </c>
      <c r="P7" s="298" t="s">
        <v>337</v>
      </c>
      <c r="Q7" s="298" t="s">
        <v>338</v>
      </c>
      <c r="R7" s="299" t="s">
        <v>159</v>
      </c>
      <c r="S7" s="300" t="s">
        <v>471</v>
      </c>
      <c r="T7" s="300" t="s">
        <v>472</v>
      </c>
      <c r="U7" s="300" t="s">
        <v>473</v>
      </c>
      <c r="V7" s="298" t="s">
        <v>339</v>
      </c>
      <c r="W7" s="298" t="s">
        <v>340</v>
      </c>
      <c r="X7" s="298" t="s">
        <v>341</v>
      </c>
      <c r="Y7" s="298" t="s">
        <v>342</v>
      </c>
      <c r="Z7" s="298" t="s">
        <v>474</v>
      </c>
      <c r="AA7" s="298" t="s">
        <v>327</v>
      </c>
      <c r="AB7" s="298" t="s">
        <v>475</v>
      </c>
      <c r="AC7" s="298" t="s">
        <v>365</v>
      </c>
      <c r="AD7" s="298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550</v>
      </c>
      <c r="S8" s="261">
        <v>40.5</v>
      </c>
      <c r="T8" s="261">
        <v>0</v>
      </c>
      <c r="U8" s="68" t="s">
        <v>551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550</v>
      </c>
      <c r="S9" s="261">
        <v>0</v>
      </c>
      <c r="T9" s="261">
        <v>3.3</v>
      </c>
      <c r="U9" s="68" t="s">
        <v>557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550</v>
      </c>
      <c r="S10" s="261">
        <v>3.3</v>
      </c>
      <c r="T10" s="261">
        <v>0</v>
      </c>
      <c r="U10" s="68" t="s">
        <v>558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550</v>
      </c>
      <c r="S11" s="261">
        <v>0</v>
      </c>
      <c r="T11" s="261">
        <v>5.5</v>
      </c>
      <c r="U11" s="68" t="s">
        <v>559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550</v>
      </c>
      <c r="S12" s="261">
        <v>0</v>
      </c>
      <c r="T12" s="261">
        <v>28.900000000000002</v>
      </c>
      <c r="U12" s="68" t="s">
        <v>562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550</v>
      </c>
      <c r="S13" s="261">
        <v>28.900000000000002</v>
      </c>
      <c r="T13" s="261">
        <v>0</v>
      </c>
      <c r="U13" s="68" t="s">
        <v>563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550</v>
      </c>
      <c r="S14" s="261">
        <v>0</v>
      </c>
      <c r="T14" s="261">
        <v>35</v>
      </c>
      <c r="U14" s="68" t="s">
        <v>564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550</v>
      </c>
      <c r="S15" s="261">
        <v>40.5</v>
      </c>
      <c r="T15" s="261">
        <v>0</v>
      </c>
      <c r="U15" s="68" t="s">
        <v>551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550</v>
      </c>
      <c r="S16" s="261">
        <v>0</v>
      </c>
      <c r="T16" s="261">
        <v>28.900000000000002</v>
      </c>
      <c r="U16" s="68" t="s">
        <v>562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550</v>
      </c>
      <c r="S17" s="261">
        <v>28.900000000000002</v>
      </c>
      <c r="T17" s="261">
        <v>0</v>
      </c>
      <c r="U17" s="68" t="s">
        <v>563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550</v>
      </c>
      <c r="S18" s="261">
        <v>0</v>
      </c>
      <c r="T18" s="261">
        <v>35</v>
      </c>
      <c r="U18" s="68" t="s">
        <v>564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550</v>
      </c>
      <c r="S19" s="261">
        <v>0</v>
      </c>
      <c r="T19" s="261">
        <v>3.3</v>
      </c>
      <c r="U19" s="68" t="s">
        <v>557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550</v>
      </c>
      <c r="S20" s="261">
        <v>3.3</v>
      </c>
      <c r="T20" s="261">
        <v>0</v>
      </c>
      <c r="U20" s="68" t="s">
        <v>558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550</v>
      </c>
      <c r="S21" s="261">
        <v>0</v>
      </c>
      <c r="T21" s="261">
        <v>5.5</v>
      </c>
      <c r="U21" s="68" t="s">
        <v>559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63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550</v>
      </c>
      <c r="S22" s="261">
        <v>43.26</v>
      </c>
      <c r="T22" s="261">
        <v>0</v>
      </c>
      <c r="U22" s="68" t="s">
        <v>554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550</v>
      </c>
      <c r="S23" s="261">
        <v>0</v>
      </c>
      <c r="T23" s="261">
        <v>1.5</v>
      </c>
      <c r="U23" s="68" t="s">
        <v>568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550</v>
      </c>
      <c r="S24" s="261">
        <v>1.5</v>
      </c>
      <c r="T24" s="261">
        <v>0</v>
      </c>
      <c r="U24" s="68" t="s">
        <v>569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550</v>
      </c>
      <c r="S25" s="261">
        <v>0</v>
      </c>
      <c r="T25" s="261">
        <v>2.7</v>
      </c>
      <c r="U25" s="68" t="s">
        <v>570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550</v>
      </c>
      <c r="S26" s="261">
        <v>0</v>
      </c>
      <c r="T26" s="261">
        <v>6.03</v>
      </c>
      <c r="U26" s="68" t="s">
        <v>574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550</v>
      </c>
      <c r="S27" s="261">
        <v>6.03</v>
      </c>
      <c r="T27" s="261">
        <v>0</v>
      </c>
      <c r="U27" s="68" t="s">
        <v>575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550</v>
      </c>
      <c r="S28" s="261">
        <v>0</v>
      </c>
      <c r="T28" s="261">
        <v>6.5</v>
      </c>
      <c r="U28" s="68" t="s">
        <v>576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550</v>
      </c>
      <c r="S29" s="261">
        <v>0</v>
      </c>
      <c r="T29" s="261">
        <v>10.11</v>
      </c>
      <c r="U29" s="68" t="s">
        <v>579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550</v>
      </c>
      <c r="S30" s="261">
        <v>10.11</v>
      </c>
      <c r="T30" s="261">
        <v>0</v>
      </c>
      <c r="U30" s="68" t="s">
        <v>580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550</v>
      </c>
      <c r="S31" s="261">
        <v>0</v>
      </c>
      <c r="T31" s="261">
        <v>10.5</v>
      </c>
      <c r="U31" s="68" t="s">
        <v>581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550</v>
      </c>
      <c r="S32" s="261">
        <v>0</v>
      </c>
      <c r="T32" s="261">
        <v>5.8</v>
      </c>
      <c r="U32" s="68" t="s">
        <v>584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550</v>
      </c>
      <c r="S33" s="261">
        <v>5.8</v>
      </c>
      <c r="T33" s="261">
        <v>0</v>
      </c>
      <c r="U33" s="68" t="s">
        <v>585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550</v>
      </c>
      <c r="S34" s="261">
        <v>0</v>
      </c>
      <c r="T34" s="261">
        <v>6</v>
      </c>
      <c r="U34" s="68" t="s">
        <v>586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550</v>
      </c>
      <c r="S35" s="261">
        <v>0</v>
      </c>
      <c r="T35" s="261">
        <v>14.85</v>
      </c>
      <c r="U35" s="68" t="s">
        <v>589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550</v>
      </c>
      <c r="S36" s="261">
        <v>14.85</v>
      </c>
      <c r="T36" s="261">
        <v>0</v>
      </c>
      <c r="U36" s="68" t="s">
        <v>590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550</v>
      </c>
      <c r="S37" s="261">
        <v>0</v>
      </c>
      <c r="T37" s="261">
        <v>15</v>
      </c>
      <c r="U37" s="68" t="s">
        <v>591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550</v>
      </c>
      <c r="S38" s="261">
        <v>0</v>
      </c>
      <c r="T38" s="261">
        <v>1.1000000000000001</v>
      </c>
      <c r="U38" s="68" t="s">
        <v>594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550</v>
      </c>
      <c r="S39" s="261">
        <v>1.1000000000000001</v>
      </c>
      <c r="T39" s="261">
        <v>0</v>
      </c>
      <c r="U39" s="68" t="s">
        <v>595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550</v>
      </c>
      <c r="S40" s="261">
        <v>0</v>
      </c>
      <c r="T40" s="261">
        <v>1.25</v>
      </c>
      <c r="U40" s="68" t="s">
        <v>596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550</v>
      </c>
      <c r="S41" s="261">
        <v>0</v>
      </c>
      <c r="T41" s="261">
        <v>0.36</v>
      </c>
      <c r="U41" s="68" t="s">
        <v>599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550</v>
      </c>
      <c r="S42" s="261">
        <v>0.36</v>
      </c>
      <c r="T42" s="261">
        <v>0</v>
      </c>
      <c r="U42" s="68" t="s">
        <v>600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550</v>
      </c>
      <c r="S43" s="261">
        <v>0</v>
      </c>
      <c r="T43" s="261">
        <v>0.75</v>
      </c>
      <c r="U43" s="68" t="s">
        <v>601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550</v>
      </c>
      <c r="S44" s="261">
        <v>0</v>
      </c>
      <c r="T44" s="261">
        <v>0.5</v>
      </c>
      <c r="U44" s="68" t="s">
        <v>604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550</v>
      </c>
      <c r="S45" s="261">
        <v>0.5</v>
      </c>
      <c r="T45" s="261">
        <v>0</v>
      </c>
      <c r="U45" s="68" t="s">
        <v>605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550</v>
      </c>
      <c r="S46" s="261">
        <v>0</v>
      </c>
      <c r="T46" s="261">
        <v>0.63</v>
      </c>
      <c r="U46" s="68" t="s">
        <v>606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550</v>
      </c>
      <c r="S47" s="261">
        <v>58</v>
      </c>
      <c r="T47" s="261">
        <v>0</v>
      </c>
      <c r="U47" s="68" t="s">
        <v>608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550</v>
      </c>
      <c r="S48" s="261">
        <v>0</v>
      </c>
      <c r="T48" s="261">
        <v>18.84</v>
      </c>
      <c r="U48" s="68" t="s">
        <v>611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550</v>
      </c>
      <c r="S49" s="261">
        <v>18.84</v>
      </c>
      <c r="T49" s="261">
        <v>0</v>
      </c>
      <c r="U49" s="68" t="s">
        <v>612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550</v>
      </c>
      <c r="S50" s="261">
        <v>0</v>
      </c>
      <c r="T50" s="261">
        <v>18</v>
      </c>
      <c r="U50" s="68" t="s">
        <v>613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550</v>
      </c>
      <c r="S51" s="261">
        <v>0</v>
      </c>
      <c r="T51" s="261">
        <v>6.74</v>
      </c>
      <c r="U51" s="68" t="s">
        <v>614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550</v>
      </c>
      <c r="S52" s="261">
        <v>6.74</v>
      </c>
      <c r="T52" s="261">
        <v>0</v>
      </c>
      <c r="U52" s="68" t="s">
        <v>615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550</v>
      </c>
      <c r="S53" s="261">
        <v>0</v>
      </c>
      <c r="T53" s="261">
        <v>7</v>
      </c>
      <c r="U53" s="68" t="s">
        <v>616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550</v>
      </c>
      <c r="S54" s="261">
        <v>0</v>
      </c>
      <c r="T54" s="261">
        <v>12</v>
      </c>
      <c r="U54" s="68" t="s">
        <v>620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550</v>
      </c>
      <c r="S55" s="261">
        <v>12</v>
      </c>
      <c r="T55" s="261">
        <v>0</v>
      </c>
      <c r="U55" s="68" t="s">
        <v>621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550</v>
      </c>
      <c r="S56" s="261">
        <v>0</v>
      </c>
      <c r="T56" s="261">
        <v>12</v>
      </c>
      <c r="U56" s="68" t="s">
        <v>622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550</v>
      </c>
      <c r="S57" s="261">
        <v>0</v>
      </c>
      <c r="T57" s="261">
        <v>18.84</v>
      </c>
      <c r="U57" s="68" t="s">
        <v>611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550</v>
      </c>
      <c r="S58" s="261">
        <v>18.84</v>
      </c>
      <c r="T58" s="261">
        <v>0</v>
      </c>
      <c r="U58" s="68" t="s">
        <v>612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550</v>
      </c>
      <c r="S59" s="261">
        <v>0</v>
      </c>
      <c r="T59" s="261">
        <v>21</v>
      </c>
      <c r="U59" s="68" t="s">
        <v>613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550</v>
      </c>
      <c r="S60" s="261">
        <v>54.5</v>
      </c>
      <c r="T60" s="261">
        <v>0</v>
      </c>
      <c r="U60" s="68" t="s">
        <v>624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550</v>
      </c>
      <c r="S61" s="261">
        <v>0</v>
      </c>
      <c r="T61" s="261">
        <v>20.22</v>
      </c>
      <c r="U61" s="68" t="s">
        <v>625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550</v>
      </c>
      <c r="S62" s="261">
        <v>20.22</v>
      </c>
      <c r="T62" s="261">
        <v>0</v>
      </c>
      <c r="U62" s="68" t="s">
        <v>626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550</v>
      </c>
      <c r="S63" s="261">
        <v>0</v>
      </c>
      <c r="T63" s="261">
        <v>21</v>
      </c>
      <c r="U63" s="68" t="s">
        <v>627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550</v>
      </c>
      <c r="S64" s="261">
        <v>0</v>
      </c>
      <c r="T64" s="261">
        <v>10</v>
      </c>
      <c r="U64" s="68" t="s">
        <v>630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550</v>
      </c>
      <c r="S65" s="261">
        <v>10</v>
      </c>
      <c r="T65" s="261">
        <v>0</v>
      </c>
      <c r="U65" s="68" t="s">
        <v>631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550</v>
      </c>
      <c r="S66" s="261">
        <v>0</v>
      </c>
      <c r="T66" s="261">
        <v>15</v>
      </c>
      <c r="U66" s="68" t="s">
        <v>632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550</v>
      </c>
      <c r="S67" s="261">
        <v>0</v>
      </c>
      <c r="T67" s="261">
        <v>0.54</v>
      </c>
      <c r="U67" s="68" t="s">
        <v>635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550</v>
      </c>
      <c r="S68" s="261">
        <v>0.54</v>
      </c>
      <c r="T68" s="261">
        <v>0</v>
      </c>
      <c r="U68" s="68" t="s">
        <v>636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550</v>
      </c>
      <c r="S69" s="261">
        <v>0</v>
      </c>
      <c r="T69" s="261">
        <v>0.76</v>
      </c>
      <c r="U69" s="68" t="s">
        <v>637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550</v>
      </c>
      <c r="S70" s="261">
        <v>0</v>
      </c>
      <c r="T70" s="261">
        <v>0.6</v>
      </c>
      <c r="U70" s="68" t="s">
        <v>640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550</v>
      </c>
      <c r="S71" s="261">
        <v>0.6</v>
      </c>
      <c r="T71" s="261">
        <v>0</v>
      </c>
      <c r="U71" s="68" t="s">
        <v>641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550</v>
      </c>
      <c r="S72" s="261">
        <v>0</v>
      </c>
      <c r="T72" s="261">
        <v>2.74</v>
      </c>
      <c r="U72" s="68" t="s">
        <v>642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550</v>
      </c>
      <c r="S73" s="261">
        <v>0</v>
      </c>
      <c r="T73" s="261">
        <v>2.9</v>
      </c>
      <c r="U73" s="68" t="s">
        <v>645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550</v>
      </c>
      <c r="S74" s="261">
        <v>2.9</v>
      </c>
      <c r="T74" s="261">
        <v>0</v>
      </c>
      <c r="U74" s="68" t="s">
        <v>646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550</v>
      </c>
      <c r="S75" s="261">
        <v>0</v>
      </c>
      <c r="T75" s="261">
        <v>3.25</v>
      </c>
      <c r="U75" s="68" t="s">
        <v>647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550</v>
      </c>
      <c r="S76" s="261">
        <v>0</v>
      </c>
      <c r="T76" s="261">
        <v>1.5</v>
      </c>
      <c r="U76" s="68" t="s">
        <v>650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550</v>
      </c>
      <c r="S77" s="261">
        <v>1.5</v>
      </c>
      <c r="T77" s="261">
        <v>0</v>
      </c>
      <c r="U77" s="68" t="s">
        <v>651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550</v>
      </c>
      <c r="S78" s="261">
        <v>0</v>
      </c>
      <c r="T78" s="261">
        <v>3</v>
      </c>
      <c r="U78" s="68" t="s">
        <v>652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550</v>
      </c>
      <c r="S79" s="261">
        <v>0</v>
      </c>
      <c r="T79" s="261">
        <v>8.36</v>
      </c>
      <c r="U79" s="68" t="s">
        <v>655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550</v>
      </c>
      <c r="S80" s="261">
        <v>8.36</v>
      </c>
      <c r="T80" s="261">
        <v>0</v>
      </c>
      <c r="U80" s="68" t="s">
        <v>656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550</v>
      </c>
      <c r="S81" s="261">
        <v>0</v>
      </c>
      <c r="T81" s="261">
        <v>8.75</v>
      </c>
      <c r="U81" s="68" t="s">
        <v>657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550</v>
      </c>
      <c r="S82" s="261">
        <v>27.75</v>
      </c>
      <c r="T82" s="261">
        <v>0</v>
      </c>
      <c r="U82" s="68" t="s">
        <v>659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550</v>
      </c>
      <c r="S83" s="261">
        <v>0</v>
      </c>
      <c r="T83" s="261">
        <v>10.11</v>
      </c>
      <c r="U83" s="68" t="s">
        <v>660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550</v>
      </c>
      <c r="S84" s="261">
        <v>10.11</v>
      </c>
      <c r="T84" s="261">
        <v>0</v>
      </c>
      <c r="U84" s="68" t="s">
        <v>661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550</v>
      </c>
      <c r="S85" s="261">
        <v>0</v>
      </c>
      <c r="T85" s="261">
        <v>10.5</v>
      </c>
      <c r="U85" s="68" t="s">
        <v>662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550</v>
      </c>
      <c r="S86" s="261">
        <v>0</v>
      </c>
      <c r="T86" s="261">
        <v>1.63</v>
      </c>
      <c r="U86" s="68" t="s">
        <v>665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550</v>
      </c>
      <c r="S87" s="261">
        <v>1.63</v>
      </c>
      <c r="T87" s="261">
        <v>0</v>
      </c>
      <c r="U87" s="68" t="s">
        <v>666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550</v>
      </c>
      <c r="S88" s="261">
        <v>0</v>
      </c>
      <c r="T88" s="261">
        <v>2.25</v>
      </c>
      <c r="U88" s="68" t="s">
        <v>667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550</v>
      </c>
      <c r="S89" s="261">
        <v>0</v>
      </c>
      <c r="T89" s="261">
        <v>14.5</v>
      </c>
      <c r="U89" s="68" t="s">
        <v>671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550</v>
      </c>
      <c r="S90" s="261">
        <v>14.5</v>
      </c>
      <c r="T90" s="261">
        <v>0</v>
      </c>
      <c r="U90" s="68" t="s">
        <v>672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550</v>
      </c>
      <c r="S91" s="261">
        <v>0</v>
      </c>
      <c r="T91" s="261">
        <v>15</v>
      </c>
      <c r="U91" s="68" t="s">
        <v>673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676</v>
      </c>
      <c r="S92" s="261">
        <v>0</v>
      </c>
      <c r="T92" s="261">
        <v>715.94</v>
      </c>
      <c r="U92" s="68" t="s">
        <v>677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676</v>
      </c>
      <c r="S93" s="261">
        <v>109.36</v>
      </c>
      <c r="T93" s="261">
        <v>0</v>
      </c>
      <c r="U93" s="68" t="s">
        <v>681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676</v>
      </c>
      <c r="S94" s="261">
        <v>56.6</v>
      </c>
      <c r="T94" s="261">
        <v>0</v>
      </c>
      <c r="U94" s="68" t="s">
        <v>685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676</v>
      </c>
      <c r="S95" s="261">
        <v>40.6</v>
      </c>
      <c r="T95" s="261">
        <v>0</v>
      </c>
      <c r="U95" s="68" t="s">
        <v>686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676</v>
      </c>
      <c r="S96" s="261">
        <v>22.44</v>
      </c>
      <c r="T96" s="261">
        <v>0</v>
      </c>
      <c r="U96" s="68" t="s">
        <v>689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676</v>
      </c>
      <c r="S97" s="261">
        <v>148.5</v>
      </c>
      <c r="T97" s="261">
        <v>0</v>
      </c>
      <c r="U97" s="68" t="s">
        <v>690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676</v>
      </c>
      <c r="S98" s="261">
        <v>95.2</v>
      </c>
      <c r="T98" s="261">
        <v>0</v>
      </c>
      <c r="U98" s="68" t="s">
        <v>693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676</v>
      </c>
      <c r="S99" s="261">
        <v>42.4</v>
      </c>
      <c r="T99" s="261">
        <v>0</v>
      </c>
      <c r="U99" s="68" t="s">
        <v>696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676</v>
      </c>
      <c r="S100" s="261">
        <v>39.6</v>
      </c>
      <c r="T100" s="261">
        <v>0</v>
      </c>
      <c r="U100" s="68" t="s">
        <v>699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676</v>
      </c>
      <c r="S101" s="261">
        <v>31.5</v>
      </c>
      <c r="T101" s="261">
        <v>0</v>
      </c>
      <c r="U101" s="68" t="s">
        <v>702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676</v>
      </c>
      <c r="S102" s="261">
        <v>32.6</v>
      </c>
      <c r="T102" s="261">
        <v>0</v>
      </c>
      <c r="U102" s="68" t="s">
        <v>703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676</v>
      </c>
      <c r="S103" s="261">
        <v>24.3</v>
      </c>
      <c r="T103" s="261">
        <v>0</v>
      </c>
      <c r="U103" s="68" t="s">
        <v>706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676</v>
      </c>
      <c r="S104" s="261">
        <v>37.450000000000003</v>
      </c>
      <c r="T104" s="261">
        <v>0</v>
      </c>
      <c r="U104" s="68" t="s">
        <v>709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676</v>
      </c>
      <c r="S105" s="261">
        <v>15.09</v>
      </c>
      <c r="T105" s="261">
        <v>0</v>
      </c>
      <c r="U105" s="68" t="s">
        <v>712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676</v>
      </c>
      <c r="S106" s="261">
        <v>20.3</v>
      </c>
      <c r="T106" s="261">
        <v>0</v>
      </c>
      <c r="U106" s="68" t="s">
        <v>713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676</v>
      </c>
      <c r="S107" s="261">
        <v>0</v>
      </c>
      <c r="T107" s="261">
        <v>2711.37</v>
      </c>
      <c r="U107" s="68" t="s">
        <v>715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676</v>
      </c>
      <c r="S108" s="261">
        <v>15.07</v>
      </c>
      <c r="T108" s="261">
        <v>0</v>
      </c>
      <c r="U108" s="68" t="s">
        <v>718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676</v>
      </c>
      <c r="S109" s="261">
        <v>25</v>
      </c>
      <c r="T109" s="261">
        <v>0</v>
      </c>
      <c r="U109" s="68" t="s">
        <v>722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676</v>
      </c>
      <c r="S110" s="261">
        <v>18</v>
      </c>
      <c r="T110" s="261">
        <v>0</v>
      </c>
      <c r="U110" s="68" t="s">
        <v>726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676</v>
      </c>
      <c r="S111" s="261">
        <v>28</v>
      </c>
      <c r="T111" s="261">
        <v>0</v>
      </c>
      <c r="U111" s="264" t="s">
        <v>730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676</v>
      </c>
      <c r="S112" s="261">
        <v>33.75</v>
      </c>
      <c r="T112" s="261">
        <v>0</v>
      </c>
      <c r="U112" s="68" t="s">
        <v>733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676</v>
      </c>
      <c r="S113" s="261">
        <v>43.5</v>
      </c>
      <c r="T113" s="261">
        <v>0</v>
      </c>
      <c r="U113" s="68" t="s">
        <v>735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676</v>
      </c>
      <c r="S114" s="261">
        <v>22.05</v>
      </c>
      <c r="T114" s="261">
        <v>0</v>
      </c>
      <c r="U114" s="68" t="s">
        <v>738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676</v>
      </c>
      <c r="S115" s="261">
        <v>23.5</v>
      </c>
      <c r="T115" s="261">
        <v>0</v>
      </c>
      <c r="U115" s="68" t="s">
        <v>741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676</v>
      </c>
      <c r="S116" s="261">
        <v>106</v>
      </c>
      <c r="T116" s="261">
        <v>0</v>
      </c>
      <c r="U116" s="68" t="s">
        <v>745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676</v>
      </c>
      <c r="S117" s="261">
        <v>25.5</v>
      </c>
      <c r="T117" s="261">
        <v>0</v>
      </c>
      <c r="U117" s="68" t="s">
        <v>748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676</v>
      </c>
      <c r="S118" s="261">
        <v>425</v>
      </c>
      <c r="T118" s="261">
        <v>0</v>
      </c>
      <c r="U118" s="68" t="s">
        <v>752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676</v>
      </c>
      <c r="S119" s="261">
        <v>996</v>
      </c>
      <c r="T119" s="261">
        <v>0</v>
      </c>
      <c r="U119" s="68" t="s">
        <v>755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676</v>
      </c>
      <c r="S120" s="261">
        <v>570</v>
      </c>
      <c r="T120" s="261">
        <v>0</v>
      </c>
      <c r="U120" s="68" t="s">
        <v>758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676</v>
      </c>
      <c r="S121" s="261">
        <v>380</v>
      </c>
      <c r="T121" s="261">
        <v>0</v>
      </c>
      <c r="U121" s="68" t="s">
        <v>759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676</v>
      </c>
      <c r="S122" s="261">
        <v>0</v>
      </c>
      <c r="T122" s="261">
        <v>880.41000000000008</v>
      </c>
      <c r="U122" s="68" t="s">
        <v>761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676</v>
      </c>
      <c r="S123" s="261">
        <v>15</v>
      </c>
      <c r="T123" s="261">
        <v>0</v>
      </c>
      <c r="U123" s="68" t="s">
        <v>765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676</v>
      </c>
      <c r="S124" s="261">
        <v>20</v>
      </c>
      <c r="T124" s="261">
        <v>0</v>
      </c>
      <c r="U124" s="68" t="s">
        <v>766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676</v>
      </c>
      <c r="S125" s="261">
        <v>80</v>
      </c>
      <c r="T125" s="261">
        <v>0</v>
      </c>
      <c r="U125" s="68" t="s">
        <v>769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676</v>
      </c>
      <c r="S126" s="261">
        <v>84</v>
      </c>
      <c r="T126" s="261">
        <v>0</v>
      </c>
      <c r="U126" s="68" t="s">
        <v>772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676</v>
      </c>
      <c r="S127" s="261">
        <v>40</v>
      </c>
      <c r="T127" s="261">
        <v>0</v>
      </c>
      <c r="U127" s="68" t="s">
        <v>775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676</v>
      </c>
      <c r="S128" s="261">
        <v>36</v>
      </c>
      <c r="T128" s="261">
        <v>0</v>
      </c>
      <c r="U128" s="68" t="s">
        <v>776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676</v>
      </c>
      <c r="S129" s="261">
        <v>107.84</v>
      </c>
      <c r="T129" s="261">
        <v>0</v>
      </c>
      <c r="U129" s="68" t="s">
        <v>778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676</v>
      </c>
      <c r="S130" s="261">
        <v>53.17</v>
      </c>
      <c r="T130" s="261">
        <v>0</v>
      </c>
      <c r="U130" s="68" t="s">
        <v>781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676</v>
      </c>
      <c r="S131" s="261">
        <v>78.72</v>
      </c>
      <c r="T131" s="261">
        <v>0</v>
      </c>
      <c r="U131" s="68" t="s">
        <v>784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676</v>
      </c>
      <c r="S132" s="261">
        <v>58.2</v>
      </c>
      <c r="T132" s="261">
        <v>0</v>
      </c>
      <c r="U132" s="68" t="s">
        <v>787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676</v>
      </c>
      <c r="S133" s="261">
        <v>157</v>
      </c>
      <c r="T133" s="261">
        <v>0</v>
      </c>
      <c r="U133" s="68" t="s">
        <v>788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676</v>
      </c>
      <c r="S134" s="261">
        <v>150.47999999999999</v>
      </c>
      <c r="T134" s="261">
        <v>0</v>
      </c>
      <c r="U134" s="68" t="s">
        <v>789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550</v>
      </c>
      <c r="S135" s="261">
        <v>52.26</v>
      </c>
      <c r="T135" s="261">
        <v>0</v>
      </c>
      <c r="U135" s="68" t="s">
        <v>794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550</v>
      </c>
      <c r="S136" s="261">
        <v>0</v>
      </c>
      <c r="T136" s="261">
        <v>42.5</v>
      </c>
      <c r="U136" s="68" t="s">
        <v>796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550</v>
      </c>
      <c r="S137" s="261">
        <v>42.5</v>
      </c>
      <c r="T137" s="261">
        <v>0</v>
      </c>
      <c r="U137" s="68" t="s">
        <v>797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550</v>
      </c>
      <c r="S138" s="261">
        <v>0</v>
      </c>
      <c r="T138" s="261">
        <v>45</v>
      </c>
      <c r="U138" s="68" t="s">
        <v>798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550</v>
      </c>
      <c r="S139" s="261">
        <v>0</v>
      </c>
      <c r="T139" s="261">
        <v>0.34</v>
      </c>
      <c r="U139" s="68" t="s">
        <v>801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550</v>
      </c>
      <c r="S140" s="261">
        <v>0.34</v>
      </c>
      <c r="T140" s="261">
        <v>0</v>
      </c>
      <c r="U140" s="68" t="s">
        <v>802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550</v>
      </c>
      <c r="S141" s="261">
        <v>0</v>
      </c>
      <c r="T141" s="261">
        <v>0.88</v>
      </c>
      <c r="U141" s="68" t="s">
        <v>803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550</v>
      </c>
      <c r="S142" s="261">
        <v>0</v>
      </c>
      <c r="T142" s="261">
        <v>0.48</v>
      </c>
      <c r="U142" s="68" t="s">
        <v>806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550</v>
      </c>
      <c r="S143" s="261">
        <v>0.48</v>
      </c>
      <c r="T143" s="261">
        <v>0</v>
      </c>
      <c r="U143" s="68" t="s">
        <v>807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550</v>
      </c>
      <c r="S144" s="261">
        <v>0</v>
      </c>
      <c r="T144" s="261">
        <v>1</v>
      </c>
      <c r="U144" s="68" t="s">
        <v>808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550</v>
      </c>
      <c r="S145" s="261">
        <v>0</v>
      </c>
      <c r="T145" s="261">
        <v>1.06</v>
      </c>
      <c r="U145" s="68" t="s">
        <v>811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550</v>
      </c>
      <c r="S146" s="261">
        <v>1.06</v>
      </c>
      <c r="T146" s="261">
        <v>0</v>
      </c>
      <c r="U146" s="68" t="s">
        <v>812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550</v>
      </c>
      <c r="S147" s="261">
        <v>0</v>
      </c>
      <c r="T147" s="261">
        <v>1.5</v>
      </c>
      <c r="U147" s="68" t="s">
        <v>813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550</v>
      </c>
      <c r="S148" s="261">
        <v>0</v>
      </c>
      <c r="T148" s="261">
        <v>0.28000000000000003</v>
      </c>
      <c r="U148" s="68" t="s">
        <v>816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550</v>
      </c>
      <c r="S149" s="261">
        <v>0.28000000000000003</v>
      </c>
      <c r="T149" s="261">
        <v>0</v>
      </c>
      <c r="U149" s="68" t="s">
        <v>817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550</v>
      </c>
      <c r="S150" s="261">
        <v>0</v>
      </c>
      <c r="T150" s="261">
        <v>0.38</v>
      </c>
      <c r="U150" s="68" t="s">
        <v>818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550</v>
      </c>
      <c r="S151" s="261">
        <v>0</v>
      </c>
      <c r="T151" s="261">
        <v>1.79</v>
      </c>
      <c r="U151" s="68" t="s">
        <v>821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550</v>
      </c>
      <c r="S152" s="261">
        <v>1.79</v>
      </c>
      <c r="T152" s="261">
        <v>0</v>
      </c>
      <c r="U152" s="68" t="s">
        <v>822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550</v>
      </c>
      <c r="S153" s="261">
        <v>0</v>
      </c>
      <c r="T153" s="261">
        <v>2.5</v>
      </c>
      <c r="U153" s="68" t="s">
        <v>823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550</v>
      </c>
      <c r="S154" s="261">
        <v>0</v>
      </c>
      <c r="T154" s="261">
        <v>0.57999999999999996</v>
      </c>
      <c r="U154" s="68" t="s">
        <v>826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550</v>
      </c>
      <c r="S155" s="261">
        <v>0.57999999999999996</v>
      </c>
      <c r="T155" s="261">
        <v>0</v>
      </c>
      <c r="U155" s="68" t="s">
        <v>827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550</v>
      </c>
      <c r="S156" s="261">
        <v>0</v>
      </c>
      <c r="T156" s="261">
        <v>1</v>
      </c>
      <c r="U156" s="68" t="s">
        <v>828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550</v>
      </c>
      <c r="S157" s="261">
        <v>52</v>
      </c>
      <c r="T157" s="261">
        <v>0</v>
      </c>
      <c r="U157" s="68" t="s">
        <v>830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550</v>
      </c>
      <c r="S158" s="261">
        <v>0</v>
      </c>
      <c r="T158" s="261">
        <v>51</v>
      </c>
      <c r="U158" s="68" t="s">
        <v>831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550</v>
      </c>
      <c r="S159" s="261">
        <v>51</v>
      </c>
      <c r="T159" s="261">
        <v>0</v>
      </c>
      <c r="U159" s="68" t="s">
        <v>832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550</v>
      </c>
      <c r="S160" s="261">
        <v>0</v>
      </c>
      <c r="T160" s="261">
        <v>52</v>
      </c>
      <c r="U160" s="68" t="s">
        <v>833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550</v>
      </c>
      <c r="S161" s="261">
        <v>93.75</v>
      </c>
      <c r="T161" s="261">
        <v>0</v>
      </c>
      <c r="U161" s="68" t="s">
        <v>836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550</v>
      </c>
      <c r="S162" s="261">
        <v>0</v>
      </c>
      <c r="T162" s="261">
        <v>20.75</v>
      </c>
      <c r="U162" s="68" t="s">
        <v>837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550</v>
      </c>
      <c r="S163" s="261">
        <v>20.75</v>
      </c>
      <c r="T163" s="261">
        <v>0</v>
      </c>
      <c r="U163" s="68" t="s">
        <v>838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550</v>
      </c>
      <c r="S164" s="261">
        <v>0</v>
      </c>
      <c r="T164" s="261">
        <v>23.75</v>
      </c>
      <c r="U164" s="68" t="s">
        <v>839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550</v>
      </c>
      <c r="S165" s="261">
        <v>0</v>
      </c>
      <c r="T165" s="261">
        <v>23.75</v>
      </c>
      <c r="U165" s="68" t="s">
        <v>840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550</v>
      </c>
      <c r="S166" s="261">
        <v>23.75</v>
      </c>
      <c r="T166" s="261">
        <v>0</v>
      </c>
      <c r="U166" s="68" t="s">
        <v>841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550</v>
      </c>
      <c r="S167" s="261">
        <v>0</v>
      </c>
      <c r="T167" s="261">
        <v>25</v>
      </c>
      <c r="U167" s="68" t="s">
        <v>842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550</v>
      </c>
      <c r="S168" s="261">
        <v>0</v>
      </c>
      <c r="T168" s="261">
        <v>19.04</v>
      </c>
      <c r="U168" s="68" t="s">
        <v>843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550</v>
      </c>
      <c r="S169" s="261">
        <v>19.04</v>
      </c>
      <c r="T169" s="261">
        <v>0</v>
      </c>
      <c r="U169" s="68" t="s">
        <v>844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550</v>
      </c>
      <c r="S170" s="261">
        <v>0</v>
      </c>
      <c r="T170" s="261">
        <v>20</v>
      </c>
      <c r="U170" s="68" t="s">
        <v>845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550</v>
      </c>
      <c r="S171" s="261">
        <v>0</v>
      </c>
      <c r="T171" s="261">
        <v>13.5</v>
      </c>
      <c r="U171" s="68" t="s">
        <v>846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550</v>
      </c>
      <c r="S172" s="261">
        <v>13.5</v>
      </c>
      <c r="T172" s="261">
        <v>0</v>
      </c>
      <c r="U172" s="68" t="s">
        <v>847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550</v>
      </c>
      <c r="S173" s="261">
        <v>0</v>
      </c>
      <c r="T173" s="261">
        <v>25</v>
      </c>
      <c r="U173" s="68" t="s">
        <v>848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550</v>
      </c>
      <c r="S174" s="261">
        <v>59</v>
      </c>
      <c r="T174" s="261">
        <v>0</v>
      </c>
      <c r="U174" s="68" t="s">
        <v>851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550</v>
      </c>
      <c r="S175" s="261">
        <v>0</v>
      </c>
      <c r="T175" s="261">
        <v>12.56</v>
      </c>
      <c r="U175" s="68" t="s">
        <v>852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550</v>
      </c>
      <c r="S176" s="261">
        <v>12.56</v>
      </c>
      <c r="T176" s="261">
        <v>0</v>
      </c>
      <c r="U176" s="68" t="s">
        <v>853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550</v>
      </c>
      <c r="S177" s="261">
        <v>0</v>
      </c>
      <c r="T177" s="261">
        <v>15</v>
      </c>
      <c r="U177" s="68" t="s">
        <v>854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550</v>
      </c>
      <c r="S178" s="261">
        <v>0</v>
      </c>
      <c r="T178" s="261">
        <v>38.08</v>
      </c>
      <c r="U178" s="68" t="s">
        <v>855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550</v>
      </c>
      <c r="S179" s="261">
        <v>38.08</v>
      </c>
      <c r="T179" s="261">
        <v>0</v>
      </c>
      <c r="U179" s="68" t="s">
        <v>856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550</v>
      </c>
      <c r="S180" s="261">
        <v>0</v>
      </c>
      <c r="T180" s="261">
        <v>44</v>
      </c>
      <c r="U180" s="68" t="s">
        <v>857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550</v>
      </c>
      <c r="S181" s="261">
        <v>56.3</v>
      </c>
      <c r="T181" s="261">
        <v>0</v>
      </c>
      <c r="U181" s="68" t="s">
        <v>868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550</v>
      </c>
      <c r="S182" s="261">
        <v>0</v>
      </c>
      <c r="T182" s="261">
        <v>4.5</v>
      </c>
      <c r="U182" s="68" t="s">
        <v>870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550</v>
      </c>
      <c r="S183" s="261">
        <v>4.5</v>
      </c>
      <c r="T183" s="261">
        <v>0</v>
      </c>
      <c r="U183" s="68" t="s">
        <v>871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550</v>
      </c>
      <c r="S184" s="261">
        <v>0</v>
      </c>
      <c r="T184" s="261">
        <v>5</v>
      </c>
      <c r="U184" s="68" t="s">
        <v>872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550</v>
      </c>
      <c r="S185" s="261">
        <v>0</v>
      </c>
      <c r="T185" s="261">
        <v>48</v>
      </c>
      <c r="U185" s="68" t="s">
        <v>873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550</v>
      </c>
      <c r="S186" s="261">
        <v>48</v>
      </c>
      <c r="T186" s="261">
        <v>0</v>
      </c>
      <c r="U186" s="68" t="s">
        <v>874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550</v>
      </c>
      <c r="S187" s="261">
        <v>0</v>
      </c>
      <c r="T187" s="261">
        <v>51.3</v>
      </c>
      <c r="U187" s="68" t="s">
        <v>875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550</v>
      </c>
      <c r="S188" s="261">
        <v>47.5</v>
      </c>
      <c r="T188" s="261">
        <v>0</v>
      </c>
      <c r="U188" s="68" t="s">
        <v>877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550</v>
      </c>
      <c r="S189" s="261">
        <v>0</v>
      </c>
      <c r="T189" s="261">
        <v>42.5</v>
      </c>
      <c r="U189" s="68" t="s">
        <v>878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550</v>
      </c>
      <c r="S190" s="261">
        <v>42.5</v>
      </c>
      <c r="T190" s="261">
        <v>0</v>
      </c>
      <c r="U190" s="68" t="s">
        <v>879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550</v>
      </c>
      <c r="S191" s="261">
        <v>0</v>
      </c>
      <c r="T191" s="261">
        <v>47.5</v>
      </c>
      <c r="U191" s="68" t="s">
        <v>880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550</v>
      </c>
      <c r="S192" s="261">
        <v>38.25</v>
      </c>
      <c r="T192" s="261">
        <v>0</v>
      </c>
      <c r="U192" s="68" t="s">
        <v>883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550</v>
      </c>
      <c r="S193" s="261">
        <v>0</v>
      </c>
      <c r="T193" s="261">
        <v>0.24</v>
      </c>
      <c r="U193" s="68" t="s">
        <v>886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550</v>
      </c>
      <c r="S194" s="261">
        <v>0.24</v>
      </c>
      <c r="T194" s="261">
        <v>0</v>
      </c>
      <c r="U194" s="68" t="s">
        <v>887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550</v>
      </c>
      <c r="S195" s="261">
        <v>0</v>
      </c>
      <c r="T195" s="261">
        <v>0.74</v>
      </c>
      <c r="U195" s="68" t="s">
        <v>888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550</v>
      </c>
      <c r="S196" s="261">
        <v>0</v>
      </c>
      <c r="T196" s="261">
        <v>3.3</v>
      </c>
      <c r="U196" s="68" t="s">
        <v>889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550</v>
      </c>
      <c r="S197" s="261">
        <v>3.3</v>
      </c>
      <c r="T197" s="261">
        <v>0</v>
      </c>
      <c r="U197" s="68" t="s">
        <v>890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550</v>
      </c>
      <c r="S198" s="261">
        <v>0</v>
      </c>
      <c r="T198" s="261">
        <v>3.75</v>
      </c>
      <c r="U198" s="68" t="s">
        <v>891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550</v>
      </c>
      <c r="S199" s="261">
        <v>0</v>
      </c>
      <c r="T199" s="261">
        <v>2</v>
      </c>
      <c r="U199" s="68" t="s">
        <v>892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550</v>
      </c>
      <c r="S200" s="261">
        <v>2</v>
      </c>
      <c r="T200" s="261">
        <v>0</v>
      </c>
      <c r="U200" s="68" t="s">
        <v>893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550</v>
      </c>
      <c r="S201" s="261">
        <v>0</v>
      </c>
      <c r="T201" s="261">
        <v>2.5</v>
      </c>
      <c r="U201" s="68" t="s">
        <v>894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550</v>
      </c>
      <c r="S202" s="261">
        <v>0</v>
      </c>
      <c r="T202" s="261">
        <v>23.5</v>
      </c>
      <c r="U202" s="68" t="s">
        <v>895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550</v>
      </c>
      <c r="S203" s="261">
        <v>23.5</v>
      </c>
      <c r="T203" s="261">
        <v>0</v>
      </c>
      <c r="U203" s="68" t="s">
        <v>896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550</v>
      </c>
      <c r="S204" s="261">
        <v>0</v>
      </c>
      <c r="T204" s="261">
        <v>24</v>
      </c>
      <c r="U204" s="68" t="s">
        <v>897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550</v>
      </c>
      <c r="S205" s="261">
        <v>0</v>
      </c>
      <c r="T205" s="261">
        <v>0.15</v>
      </c>
      <c r="U205" s="68" t="s">
        <v>898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550</v>
      </c>
      <c r="S206" s="261">
        <v>0.15</v>
      </c>
      <c r="T206" s="261">
        <v>0</v>
      </c>
      <c r="U206" s="68" t="s">
        <v>899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550</v>
      </c>
      <c r="S207" s="261">
        <v>0</v>
      </c>
      <c r="T207" s="261">
        <v>0.38</v>
      </c>
      <c r="U207" s="68" t="s">
        <v>900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550</v>
      </c>
      <c r="S208" s="261">
        <v>0</v>
      </c>
      <c r="T208" s="261">
        <v>0.6</v>
      </c>
      <c r="U208" s="68" t="s">
        <v>901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550</v>
      </c>
      <c r="S209" s="261">
        <v>0.6</v>
      </c>
      <c r="T209" s="261">
        <v>0</v>
      </c>
      <c r="U209" s="68" t="s">
        <v>902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550</v>
      </c>
      <c r="S210" s="261">
        <v>0</v>
      </c>
      <c r="T210" s="261">
        <v>1</v>
      </c>
      <c r="U210" s="68" t="s">
        <v>903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550</v>
      </c>
      <c r="S211" s="261">
        <v>0</v>
      </c>
      <c r="T211" s="261">
        <v>4.0500000000000007</v>
      </c>
      <c r="U211" s="68" t="s">
        <v>904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550</v>
      </c>
      <c r="S212" s="261">
        <v>4.0500000000000007</v>
      </c>
      <c r="T212" s="261">
        <v>0</v>
      </c>
      <c r="U212" s="68" t="s">
        <v>905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550</v>
      </c>
      <c r="S213" s="261">
        <v>0</v>
      </c>
      <c r="T213" s="261">
        <v>5.7</v>
      </c>
      <c r="U213" s="68" t="s">
        <v>906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550</v>
      </c>
      <c r="S214" s="261">
        <v>0</v>
      </c>
      <c r="T214" s="261">
        <v>0.15</v>
      </c>
      <c r="U214" s="68" t="s">
        <v>909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550</v>
      </c>
      <c r="S215" s="261">
        <v>0.15</v>
      </c>
      <c r="T215" s="261">
        <v>0</v>
      </c>
      <c r="U215" s="68" t="s">
        <v>910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550</v>
      </c>
      <c r="S216" s="261">
        <v>0</v>
      </c>
      <c r="T216" s="261">
        <v>0.25</v>
      </c>
      <c r="U216" s="68" t="s">
        <v>911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550</v>
      </c>
      <c r="S217" s="261">
        <v>45</v>
      </c>
      <c r="T217" s="261">
        <v>0</v>
      </c>
      <c r="U217" s="68" t="s">
        <v>913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550</v>
      </c>
      <c r="S218" s="261">
        <v>0</v>
      </c>
      <c r="T218" s="261">
        <v>42.75</v>
      </c>
      <c r="U218" s="68" t="s">
        <v>914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550</v>
      </c>
      <c r="S219" s="261">
        <v>42.75</v>
      </c>
      <c r="T219" s="261">
        <v>0</v>
      </c>
      <c r="U219" s="68" t="s">
        <v>915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550</v>
      </c>
      <c r="S220" s="261">
        <v>0</v>
      </c>
      <c r="T220" s="261">
        <v>45</v>
      </c>
      <c r="U220" s="68" t="s">
        <v>916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550</v>
      </c>
      <c r="S221" s="261">
        <v>44.25</v>
      </c>
      <c r="T221" s="261">
        <v>0</v>
      </c>
      <c r="U221" s="68" t="s">
        <v>918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550</v>
      </c>
      <c r="S222" s="261">
        <v>0</v>
      </c>
      <c r="T222" s="261">
        <v>12.450000000000001</v>
      </c>
      <c r="U222" s="68" t="s">
        <v>919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550</v>
      </c>
      <c r="S223" s="261">
        <v>12.450000000000001</v>
      </c>
      <c r="T223" s="261">
        <v>0</v>
      </c>
      <c r="U223" s="68" t="s">
        <v>920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550</v>
      </c>
      <c r="S224" s="261">
        <v>0</v>
      </c>
      <c r="T224" s="261">
        <v>14.25</v>
      </c>
      <c r="U224" s="68" t="s">
        <v>921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550</v>
      </c>
      <c r="S225" s="261">
        <v>0</v>
      </c>
      <c r="T225" s="261">
        <v>28.5</v>
      </c>
      <c r="U225" s="68" t="s">
        <v>922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550</v>
      </c>
      <c r="S226" s="261">
        <v>28.5</v>
      </c>
      <c r="T226" s="261">
        <v>0</v>
      </c>
      <c r="U226" s="68" t="s">
        <v>923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550</v>
      </c>
      <c r="S227" s="261">
        <v>0</v>
      </c>
      <c r="T227" s="261">
        <v>30</v>
      </c>
      <c r="U227" s="68" t="s">
        <v>924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550</v>
      </c>
      <c r="S228" s="261">
        <v>75.55</v>
      </c>
      <c r="T228" s="261">
        <v>0</v>
      </c>
      <c r="U228" s="68" t="s">
        <v>927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550</v>
      </c>
      <c r="S229" s="261">
        <v>0</v>
      </c>
      <c r="T229" s="261">
        <v>23.75</v>
      </c>
      <c r="U229" s="68" t="s">
        <v>928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550</v>
      </c>
      <c r="S230" s="261">
        <v>23.75</v>
      </c>
      <c r="T230" s="261">
        <v>0</v>
      </c>
      <c r="U230" s="68" t="s">
        <v>929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550</v>
      </c>
      <c r="S231" s="261">
        <v>0</v>
      </c>
      <c r="T231" s="261">
        <v>23.75</v>
      </c>
      <c r="U231" s="68" t="s">
        <v>930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550</v>
      </c>
      <c r="S232" s="261">
        <v>0</v>
      </c>
      <c r="T232" s="261">
        <v>25.08</v>
      </c>
      <c r="U232" s="68" t="s">
        <v>931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550</v>
      </c>
      <c r="S233" s="261">
        <v>25.08</v>
      </c>
      <c r="T233" s="261">
        <v>0</v>
      </c>
      <c r="U233" s="68" t="s">
        <v>932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550</v>
      </c>
      <c r="S234" s="261">
        <v>0</v>
      </c>
      <c r="T234" s="261">
        <v>24.3</v>
      </c>
      <c r="U234" s="68" t="s">
        <v>933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550</v>
      </c>
      <c r="S235" s="261">
        <v>0</v>
      </c>
      <c r="T235" s="261">
        <v>21.009999999999998</v>
      </c>
      <c r="U235" s="68" t="s">
        <v>936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550</v>
      </c>
      <c r="S236" s="261">
        <v>21.009999999999998</v>
      </c>
      <c r="T236" s="261">
        <v>0</v>
      </c>
      <c r="U236" s="68" t="s">
        <v>937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550</v>
      </c>
      <c r="S237" s="261">
        <v>0</v>
      </c>
      <c r="T237" s="261">
        <v>27.5</v>
      </c>
      <c r="U237" s="68" t="s">
        <v>938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550</v>
      </c>
      <c r="S238" s="261">
        <v>90</v>
      </c>
      <c r="T238" s="261">
        <v>0</v>
      </c>
      <c r="U238" s="68" t="s">
        <v>940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550</v>
      </c>
      <c r="S239" s="261">
        <v>0</v>
      </c>
      <c r="T239" s="261">
        <v>83</v>
      </c>
      <c r="U239" s="68" t="s">
        <v>942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550</v>
      </c>
      <c r="S240" s="261">
        <v>83</v>
      </c>
      <c r="T240" s="261">
        <v>0</v>
      </c>
      <c r="U240" s="68" t="s">
        <v>943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550</v>
      </c>
      <c r="S241" s="261">
        <v>0</v>
      </c>
      <c r="T241" s="261">
        <v>90</v>
      </c>
      <c r="U241" s="68" t="s">
        <v>944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550</v>
      </c>
      <c r="S242" s="261">
        <v>44</v>
      </c>
      <c r="T242" s="261">
        <v>0</v>
      </c>
      <c r="U242" s="68" t="s">
        <v>947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550</v>
      </c>
      <c r="S243" s="261">
        <v>0</v>
      </c>
      <c r="T243" s="261">
        <v>16.600000000000001</v>
      </c>
      <c r="U243" s="68" t="s">
        <v>948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550</v>
      </c>
      <c r="S244" s="261">
        <v>16.600000000000001</v>
      </c>
      <c r="T244" s="261">
        <v>0</v>
      </c>
      <c r="U244" s="68" t="s">
        <v>949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550</v>
      </c>
      <c r="S245" s="261">
        <v>0</v>
      </c>
      <c r="T245" s="261">
        <v>19</v>
      </c>
      <c r="U245" s="68" t="s">
        <v>950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550</v>
      </c>
      <c r="S246" s="261">
        <v>0</v>
      </c>
      <c r="T246" s="261">
        <v>20</v>
      </c>
      <c r="U246" s="68" t="s">
        <v>951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550</v>
      </c>
      <c r="S247" s="261">
        <v>20</v>
      </c>
      <c r="T247" s="261">
        <v>0</v>
      </c>
      <c r="U247" s="68" t="s">
        <v>952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550</v>
      </c>
      <c r="S248" s="261">
        <v>0</v>
      </c>
      <c r="T248" s="261">
        <v>25</v>
      </c>
      <c r="U248" s="68" t="s">
        <v>953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550</v>
      </c>
      <c r="S249" s="261">
        <v>47.5</v>
      </c>
      <c r="T249" s="261">
        <v>0</v>
      </c>
      <c r="U249" s="68" t="s">
        <v>955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550</v>
      </c>
      <c r="S250" s="261">
        <v>0</v>
      </c>
      <c r="T250" s="261">
        <v>41.5</v>
      </c>
      <c r="U250" s="68" t="s">
        <v>956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550</v>
      </c>
      <c r="S251" s="261">
        <v>41.5</v>
      </c>
      <c r="T251" s="261">
        <v>0</v>
      </c>
      <c r="U251" s="68" t="s">
        <v>957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550</v>
      </c>
      <c r="S252" s="261">
        <v>0</v>
      </c>
      <c r="T252" s="261">
        <v>47.5</v>
      </c>
      <c r="U252" s="68" t="s">
        <v>958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550</v>
      </c>
      <c r="S253" s="261">
        <v>69.75</v>
      </c>
      <c r="T253" s="261">
        <v>0</v>
      </c>
      <c r="U253" s="68" t="s">
        <v>960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550</v>
      </c>
      <c r="S254" s="261">
        <v>0</v>
      </c>
      <c r="T254" s="261">
        <v>4.1500000000000004</v>
      </c>
      <c r="U254" s="68" t="s">
        <v>961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550</v>
      </c>
      <c r="S255" s="261">
        <v>4.1500000000000004</v>
      </c>
      <c r="T255" s="261">
        <v>0</v>
      </c>
      <c r="U255" s="68" t="s">
        <v>962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550</v>
      </c>
      <c r="S256" s="261">
        <v>0</v>
      </c>
      <c r="T256" s="261">
        <v>4.75</v>
      </c>
      <c r="U256" s="68" t="s">
        <v>963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550</v>
      </c>
      <c r="S257" s="261">
        <v>0</v>
      </c>
      <c r="T257" s="261">
        <v>14.85</v>
      </c>
      <c r="U257" s="68" t="s">
        <v>964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550</v>
      </c>
      <c r="S258" s="261">
        <v>14.85</v>
      </c>
      <c r="T258" s="261">
        <v>0</v>
      </c>
      <c r="U258" s="68" t="s">
        <v>965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550</v>
      </c>
      <c r="S259" s="261">
        <v>0</v>
      </c>
      <c r="T259" s="261">
        <v>15</v>
      </c>
      <c r="U259" s="68" t="s">
        <v>966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550</v>
      </c>
      <c r="S260" s="261">
        <v>0</v>
      </c>
      <c r="T260" s="261">
        <v>47.599999999999994</v>
      </c>
      <c r="U260" s="68" t="s">
        <v>967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550</v>
      </c>
      <c r="S261" s="261">
        <v>47.599999999999994</v>
      </c>
      <c r="T261" s="261">
        <v>0</v>
      </c>
      <c r="U261" s="68" t="s">
        <v>968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550</v>
      </c>
      <c r="S262" s="261">
        <v>0</v>
      </c>
      <c r="T262" s="261">
        <v>50</v>
      </c>
      <c r="U262" s="68" t="s">
        <v>969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550</v>
      </c>
      <c r="S263" s="261">
        <v>64.5</v>
      </c>
      <c r="T263" s="261">
        <v>0</v>
      </c>
      <c r="U263" s="68" t="s">
        <v>972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550</v>
      </c>
      <c r="S264" s="261">
        <v>0</v>
      </c>
      <c r="T264" s="261">
        <v>7.49</v>
      </c>
      <c r="U264" s="68" t="s">
        <v>973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550</v>
      </c>
      <c r="S265" s="261">
        <v>7.49</v>
      </c>
      <c r="T265" s="261">
        <v>0</v>
      </c>
      <c r="U265" s="68" t="s">
        <v>974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550</v>
      </c>
      <c r="S266" s="261">
        <v>0</v>
      </c>
      <c r="T266" s="261">
        <v>8</v>
      </c>
      <c r="U266" s="68" t="s">
        <v>975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550</v>
      </c>
      <c r="S267" s="261">
        <v>0</v>
      </c>
      <c r="T267" s="261">
        <v>0.24</v>
      </c>
      <c r="U267" s="68" t="s">
        <v>978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550</v>
      </c>
      <c r="S268" s="261">
        <v>0.24</v>
      </c>
      <c r="T268" s="261">
        <v>0</v>
      </c>
      <c r="U268" s="68" t="s">
        <v>979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550</v>
      </c>
      <c r="S269" s="261">
        <v>0</v>
      </c>
      <c r="T269" s="261">
        <v>0.5</v>
      </c>
      <c r="U269" s="68" t="s">
        <v>980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550</v>
      </c>
      <c r="S270" s="261">
        <v>0</v>
      </c>
      <c r="T270" s="261">
        <v>4.08</v>
      </c>
      <c r="U270" s="68" t="s">
        <v>983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550</v>
      </c>
      <c r="S271" s="261">
        <v>4.08</v>
      </c>
      <c r="T271" s="261">
        <v>0</v>
      </c>
      <c r="U271" s="68" t="s">
        <v>984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550</v>
      </c>
      <c r="S272" s="261">
        <v>0</v>
      </c>
      <c r="T272" s="261">
        <v>6</v>
      </c>
      <c r="U272" s="68" t="s">
        <v>985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550</v>
      </c>
      <c r="S273" s="261">
        <v>0</v>
      </c>
      <c r="T273" s="261">
        <v>40</v>
      </c>
      <c r="U273" s="68" t="s">
        <v>986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550</v>
      </c>
      <c r="S274" s="261">
        <v>40</v>
      </c>
      <c r="T274" s="261">
        <v>0</v>
      </c>
      <c r="U274" s="68" t="s">
        <v>987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550</v>
      </c>
      <c r="S275" s="261">
        <v>0</v>
      </c>
      <c r="T275" s="261">
        <v>50</v>
      </c>
      <c r="U275" s="68" t="s">
        <v>988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550</v>
      </c>
      <c r="S276" s="261">
        <v>60.6</v>
      </c>
      <c r="T276" s="261">
        <v>0</v>
      </c>
      <c r="U276" s="68" t="s">
        <v>990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550</v>
      </c>
      <c r="S277" s="261">
        <v>0</v>
      </c>
      <c r="T277" s="261">
        <v>16.8</v>
      </c>
      <c r="U277" s="68" t="s">
        <v>991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550</v>
      </c>
      <c r="S278" s="261">
        <v>16.8</v>
      </c>
      <c r="T278" s="261">
        <v>0</v>
      </c>
      <c r="U278" s="68" t="s">
        <v>992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550</v>
      </c>
      <c r="S279" s="261">
        <v>0</v>
      </c>
      <c r="T279" s="261">
        <v>24</v>
      </c>
      <c r="U279" s="68" t="s">
        <v>993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550</v>
      </c>
      <c r="S280" s="261">
        <v>0</v>
      </c>
      <c r="T280" s="261">
        <v>1.06</v>
      </c>
      <c r="U280" s="68" t="s">
        <v>994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550</v>
      </c>
      <c r="S281" s="261">
        <v>1.06</v>
      </c>
      <c r="T281" s="261">
        <v>0</v>
      </c>
      <c r="U281" s="68" t="s">
        <v>995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550</v>
      </c>
      <c r="S282" s="261">
        <v>0</v>
      </c>
      <c r="T282" s="261">
        <v>1.6</v>
      </c>
      <c r="U282" s="68" t="s">
        <v>996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550</v>
      </c>
      <c r="S283" s="261">
        <v>0</v>
      </c>
      <c r="T283" s="261">
        <v>2.4</v>
      </c>
      <c r="U283" s="68" t="s">
        <v>999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550</v>
      </c>
      <c r="S284" s="261">
        <v>2.4</v>
      </c>
      <c r="T284" s="261">
        <v>0</v>
      </c>
      <c r="U284" s="68" t="s">
        <v>1000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550</v>
      </c>
      <c r="S285" s="261">
        <v>0</v>
      </c>
      <c r="T285" s="261">
        <v>5.04</v>
      </c>
      <c r="U285" s="68" t="s">
        <v>1001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550</v>
      </c>
      <c r="S286" s="261">
        <v>0</v>
      </c>
      <c r="T286" s="261">
        <v>29</v>
      </c>
      <c r="U286" s="68" t="s">
        <v>1002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550</v>
      </c>
      <c r="S287" s="261">
        <v>29</v>
      </c>
      <c r="T287" s="261">
        <v>0</v>
      </c>
      <c r="U287" s="68" t="s">
        <v>1003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550</v>
      </c>
      <c r="S288" s="261">
        <v>0</v>
      </c>
      <c r="T288" s="261">
        <v>30</v>
      </c>
      <c r="U288" s="68" t="s">
        <v>1004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550</v>
      </c>
      <c r="S289" s="261">
        <v>48</v>
      </c>
      <c r="T289" s="261">
        <v>0</v>
      </c>
      <c r="U289" s="68" t="s">
        <v>1006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550</v>
      </c>
      <c r="S290" s="261">
        <v>0</v>
      </c>
      <c r="T290" s="261">
        <v>32.72</v>
      </c>
      <c r="U290" s="68" t="s">
        <v>1007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550</v>
      </c>
      <c r="S291" s="261">
        <v>32.72</v>
      </c>
      <c r="T291" s="261">
        <v>0</v>
      </c>
      <c r="U291" s="68" t="s">
        <v>1008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550</v>
      </c>
      <c r="S292" s="261">
        <v>0</v>
      </c>
      <c r="T292" s="261">
        <v>36</v>
      </c>
      <c r="U292" s="68" t="s">
        <v>1009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550</v>
      </c>
      <c r="S293" s="261">
        <v>0</v>
      </c>
      <c r="T293" s="261">
        <v>10.8</v>
      </c>
      <c r="U293" s="68" t="s">
        <v>1012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550</v>
      </c>
      <c r="S294" s="261">
        <v>10.8</v>
      </c>
      <c r="T294" s="261">
        <v>0</v>
      </c>
      <c r="U294" s="68" t="s">
        <v>1013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550</v>
      </c>
      <c r="S295" s="261">
        <v>0</v>
      </c>
      <c r="T295" s="261">
        <v>12</v>
      </c>
      <c r="U295" s="68" t="s">
        <v>1014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550</v>
      </c>
      <c r="S296" s="261">
        <v>91</v>
      </c>
      <c r="T296" s="261">
        <v>0</v>
      </c>
      <c r="U296" s="68" t="s">
        <v>1006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550</v>
      </c>
      <c r="S297" s="261">
        <v>0</v>
      </c>
      <c r="T297" s="261">
        <v>41.5</v>
      </c>
      <c r="U297" s="68" t="s">
        <v>1019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550</v>
      </c>
      <c r="S298" s="261">
        <v>41.5</v>
      </c>
      <c r="T298" s="261">
        <v>0</v>
      </c>
      <c r="U298" s="68" t="s">
        <v>1020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550</v>
      </c>
      <c r="S299" s="261">
        <v>0</v>
      </c>
      <c r="T299" s="261">
        <v>45</v>
      </c>
      <c r="U299" s="68" t="s">
        <v>1021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550</v>
      </c>
      <c r="S300" s="261">
        <v>0</v>
      </c>
      <c r="T300" s="261">
        <v>15.52</v>
      </c>
      <c r="U300" s="68" t="s">
        <v>1022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550</v>
      </c>
      <c r="S301" s="261">
        <v>15.52</v>
      </c>
      <c r="T301" s="261">
        <v>0</v>
      </c>
      <c r="U301" s="68" t="s">
        <v>1023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550</v>
      </c>
      <c r="S302" s="261">
        <v>0</v>
      </c>
      <c r="T302" s="261">
        <v>18</v>
      </c>
      <c r="U302" s="68" t="s">
        <v>1024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550</v>
      </c>
      <c r="S303" s="261">
        <v>0</v>
      </c>
      <c r="T303" s="261">
        <v>1.5</v>
      </c>
      <c r="U303" s="68" t="s">
        <v>1027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550</v>
      </c>
      <c r="S304" s="261">
        <v>1.5</v>
      </c>
      <c r="T304" s="261">
        <v>0</v>
      </c>
      <c r="U304" s="68" t="s">
        <v>1028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550</v>
      </c>
      <c r="S305" s="261">
        <v>0</v>
      </c>
      <c r="T305" s="261">
        <v>2</v>
      </c>
      <c r="U305" s="68" t="s">
        <v>1029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550</v>
      </c>
      <c r="S306" s="261">
        <v>0</v>
      </c>
      <c r="T306" s="261">
        <v>1.7</v>
      </c>
      <c r="U306" s="68" t="s">
        <v>1032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550</v>
      </c>
      <c r="S307" s="261">
        <v>1.7</v>
      </c>
      <c r="T307" s="261">
        <v>0</v>
      </c>
      <c r="U307" s="68" t="s">
        <v>1033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550</v>
      </c>
      <c r="S308" s="261">
        <v>0</v>
      </c>
      <c r="T308" s="261">
        <v>2</v>
      </c>
      <c r="U308" s="68" t="s">
        <v>1034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550</v>
      </c>
      <c r="S309" s="261">
        <v>0</v>
      </c>
      <c r="T309" s="261">
        <v>12</v>
      </c>
      <c r="U309" s="68" t="s">
        <v>1035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550</v>
      </c>
      <c r="S310" s="261">
        <v>12</v>
      </c>
      <c r="T310" s="261">
        <v>0</v>
      </c>
      <c r="U310" s="68" t="s">
        <v>1036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550</v>
      </c>
      <c r="S311" s="261">
        <v>0</v>
      </c>
      <c r="T311" s="261">
        <v>13</v>
      </c>
      <c r="U311" s="68" t="s">
        <v>1037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550</v>
      </c>
      <c r="S312" s="261">
        <v>0</v>
      </c>
      <c r="T312" s="261">
        <v>4.33</v>
      </c>
      <c r="U312" s="68" t="s">
        <v>1040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550</v>
      </c>
      <c r="S313" s="261">
        <v>4.33</v>
      </c>
      <c r="T313" s="261">
        <v>0</v>
      </c>
      <c r="U313" s="68" t="s">
        <v>1041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550</v>
      </c>
      <c r="S314" s="261">
        <v>0</v>
      </c>
      <c r="T314" s="261">
        <v>6</v>
      </c>
      <c r="U314" s="68" t="s">
        <v>1042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550</v>
      </c>
      <c r="S315" s="261">
        <v>0</v>
      </c>
      <c r="T315" s="261">
        <v>4</v>
      </c>
      <c r="U315" s="68" t="s">
        <v>1043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550</v>
      </c>
      <c r="S316" s="261">
        <v>4</v>
      </c>
      <c r="T316" s="261">
        <v>0</v>
      </c>
      <c r="U316" s="68" t="s">
        <v>1044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550</v>
      </c>
      <c r="S317" s="261">
        <v>0</v>
      </c>
      <c r="T317" s="261">
        <v>5</v>
      </c>
      <c r="U317" s="68" t="s">
        <v>1045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550</v>
      </c>
      <c r="S318" s="261">
        <v>84</v>
      </c>
      <c r="T318" s="261">
        <v>0</v>
      </c>
      <c r="U318" s="68" t="s">
        <v>1047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550</v>
      </c>
      <c r="S319" s="261">
        <v>0</v>
      </c>
      <c r="T319" s="261">
        <v>6.74</v>
      </c>
      <c r="U319" s="68" t="s">
        <v>1048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550</v>
      </c>
      <c r="S320" s="261">
        <v>6.74</v>
      </c>
      <c r="T320" s="261">
        <v>0</v>
      </c>
      <c r="U320" s="68" t="s">
        <v>1049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550</v>
      </c>
      <c r="S321" s="261">
        <v>0</v>
      </c>
      <c r="T321" s="261">
        <v>7</v>
      </c>
      <c r="U321" s="68" t="s">
        <v>1050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550</v>
      </c>
      <c r="S322" s="261">
        <v>0</v>
      </c>
      <c r="T322" s="261">
        <v>3.88</v>
      </c>
      <c r="U322" s="68" t="s">
        <v>1051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550</v>
      </c>
      <c r="S323" s="261">
        <v>3.88</v>
      </c>
      <c r="T323" s="261">
        <v>0</v>
      </c>
      <c r="U323" s="68" t="s">
        <v>1052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550</v>
      </c>
      <c r="S324" s="261">
        <v>0</v>
      </c>
      <c r="T324" s="261">
        <v>4.3</v>
      </c>
      <c r="U324" s="68" t="s">
        <v>1053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550</v>
      </c>
      <c r="S325" s="261">
        <v>0</v>
      </c>
      <c r="T325" s="261">
        <v>6.28</v>
      </c>
      <c r="U325" s="68" t="s">
        <v>1054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550</v>
      </c>
      <c r="S326" s="261">
        <v>6.28</v>
      </c>
      <c r="T326" s="261">
        <v>0</v>
      </c>
      <c r="U326" s="68" t="s">
        <v>1055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550</v>
      </c>
      <c r="S327" s="261">
        <v>0</v>
      </c>
      <c r="T327" s="261">
        <v>6.7</v>
      </c>
      <c r="U327" s="68" t="s">
        <v>1056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550</v>
      </c>
      <c r="S328" s="261">
        <v>0</v>
      </c>
      <c r="T328" s="261">
        <v>58.100000000000009</v>
      </c>
      <c r="U328" s="68" t="s">
        <v>1057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550</v>
      </c>
      <c r="S329" s="261">
        <v>58.100000000000009</v>
      </c>
      <c r="T329" s="261">
        <v>0</v>
      </c>
      <c r="U329" s="68" t="s">
        <v>1058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550</v>
      </c>
      <c r="S330" s="261">
        <v>0</v>
      </c>
      <c r="T330" s="261">
        <v>63</v>
      </c>
      <c r="U330" s="68" t="s">
        <v>1059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550</v>
      </c>
      <c r="S331" s="261">
        <v>0</v>
      </c>
      <c r="T331" s="261">
        <v>2.9</v>
      </c>
      <c r="U331" s="68" t="s">
        <v>1060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550</v>
      </c>
      <c r="S332" s="261">
        <v>2.9</v>
      </c>
      <c r="T332" s="261">
        <v>0</v>
      </c>
      <c r="U332" s="68" t="s">
        <v>1061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550</v>
      </c>
      <c r="S333" s="261">
        <v>0</v>
      </c>
      <c r="T333" s="261">
        <v>3</v>
      </c>
      <c r="U333" s="68" t="s">
        <v>1062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550</v>
      </c>
      <c r="S334" s="261">
        <v>77.5</v>
      </c>
      <c r="T334" s="261">
        <v>0</v>
      </c>
      <c r="U334" s="68" t="s">
        <v>1065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550</v>
      </c>
      <c r="S335" s="261">
        <v>0</v>
      </c>
      <c r="T335" s="261">
        <v>41.5</v>
      </c>
      <c r="U335" s="68" t="s">
        <v>1066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550</v>
      </c>
      <c r="S336" s="261">
        <v>41.5</v>
      </c>
      <c r="T336" s="261">
        <v>0</v>
      </c>
      <c r="U336" s="68" t="s">
        <v>1067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550</v>
      </c>
      <c r="S337" s="261">
        <v>0</v>
      </c>
      <c r="T337" s="261">
        <v>47.5</v>
      </c>
      <c r="U337" s="68" t="s">
        <v>1068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550</v>
      </c>
      <c r="S338" s="261">
        <v>0</v>
      </c>
      <c r="T338" s="261">
        <v>28.5</v>
      </c>
      <c r="U338" s="68" t="s">
        <v>1069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550</v>
      </c>
      <c r="S339" s="261">
        <v>28.5</v>
      </c>
      <c r="T339" s="261">
        <v>0</v>
      </c>
      <c r="U339" s="68" t="s">
        <v>1070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550</v>
      </c>
      <c r="S340" s="261">
        <v>0</v>
      </c>
      <c r="T340" s="261">
        <v>30</v>
      </c>
      <c r="U340" s="68" t="s">
        <v>1071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550</v>
      </c>
      <c r="S341" s="261">
        <v>30.4</v>
      </c>
      <c r="T341" s="261">
        <v>0</v>
      </c>
      <c r="U341" s="68" t="s">
        <v>1073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550</v>
      </c>
      <c r="S342" s="261">
        <v>0</v>
      </c>
      <c r="T342" s="261">
        <v>8</v>
      </c>
      <c r="U342" s="68" t="s">
        <v>1074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550</v>
      </c>
      <c r="S343" s="261">
        <v>8</v>
      </c>
      <c r="T343" s="261">
        <v>0</v>
      </c>
      <c r="U343" s="68" t="s">
        <v>1075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550</v>
      </c>
      <c r="S344" s="261">
        <v>0</v>
      </c>
      <c r="T344" s="261">
        <v>10</v>
      </c>
      <c r="U344" s="68" t="s">
        <v>1076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550</v>
      </c>
      <c r="S345" s="261">
        <v>0</v>
      </c>
      <c r="T345" s="261">
        <v>18</v>
      </c>
      <c r="U345" s="68" t="s">
        <v>1077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550</v>
      </c>
      <c r="S346" s="261">
        <v>18</v>
      </c>
      <c r="T346" s="261">
        <v>0</v>
      </c>
      <c r="U346" s="68" t="s">
        <v>1078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550</v>
      </c>
      <c r="S347" s="261">
        <v>0</v>
      </c>
      <c r="T347" s="261">
        <v>20.399999999999999</v>
      </c>
      <c r="U347" s="68" t="s">
        <v>1079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550</v>
      </c>
      <c r="S348" s="261">
        <v>68.75</v>
      </c>
      <c r="T348" s="261">
        <v>0</v>
      </c>
      <c r="U348" s="68" t="s">
        <v>1081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550</v>
      </c>
      <c r="S349" s="261">
        <v>0</v>
      </c>
      <c r="T349" s="261">
        <v>14.98</v>
      </c>
      <c r="U349" s="68" t="s">
        <v>1082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550</v>
      </c>
      <c r="S350" s="261">
        <v>14.98</v>
      </c>
      <c r="T350" s="261">
        <v>0</v>
      </c>
      <c r="U350" s="68" t="s">
        <v>1083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550</v>
      </c>
      <c r="S351" s="261">
        <v>0</v>
      </c>
      <c r="T351" s="261">
        <v>16</v>
      </c>
      <c r="U351" s="68" t="s">
        <v>1084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550</v>
      </c>
      <c r="S352" s="261">
        <v>0</v>
      </c>
      <c r="T352" s="261">
        <v>3.3</v>
      </c>
      <c r="U352" s="68" t="s">
        <v>1085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550</v>
      </c>
      <c r="S353" s="261">
        <v>3.3</v>
      </c>
      <c r="T353" s="261">
        <v>0</v>
      </c>
      <c r="U353" s="68" t="s">
        <v>1086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550</v>
      </c>
      <c r="S354" s="261">
        <v>0</v>
      </c>
      <c r="T354" s="261">
        <v>3.75</v>
      </c>
      <c r="U354" s="68" t="s">
        <v>1087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550</v>
      </c>
      <c r="S355" s="261">
        <v>0</v>
      </c>
      <c r="T355" s="261">
        <v>42</v>
      </c>
      <c r="U355" s="68" t="s">
        <v>1088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550</v>
      </c>
      <c r="S356" s="261">
        <v>42</v>
      </c>
      <c r="T356" s="261">
        <v>0</v>
      </c>
      <c r="U356" s="68" t="s">
        <v>1089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550</v>
      </c>
      <c r="S357" s="261">
        <v>0</v>
      </c>
      <c r="T357" s="261">
        <v>49</v>
      </c>
      <c r="U357" s="68" t="s">
        <v>1090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550</v>
      </c>
      <c r="S358" s="261">
        <v>32.5</v>
      </c>
      <c r="T358" s="261">
        <v>0</v>
      </c>
      <c r="U358" s="68" t="s">
        <v>1094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550</v>
      </c>
      <c r="S359" s="261">
        <v>0</v>
      </c>
      <c r="T359" s="261">
        <v>19</v>
      </c>
      <c r="U359" s="68" t="s">
        <v>1095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550</v>
      </c>
      <c r="S360" s="261">
        <v>19</v>
      </c>
      <c r="T360" s="261">
        <v>0</v>
      </c>
      <c r="U360" s="68" t="s">
        <v>1096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550</v>
      </c>
      <c r="S361" s="261">
        <v>0</v>
      </c>
      <c r="T361" s="261">
        <v>21</v>
      </c>
      <c r="U361" s="68" t="s">
        <v>1097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550</v>
      </c>
      <c r="S362" s="261">
        <v>0</v>
      </c>
      <c r="T362" s="261">
        <v>4.8899999999999997</v>
      </c>
      <c r="U362" s="68" t="s">
        <v>1098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550</v>
      </c>
      <c r="S363" s="261">
        <v>4.8899999999999997</v>
      </c>
      <c r="T363" s="261">
        <v>0</v>
      </c>
      <c r="U363" s="68" t="s">
        <v>1099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550</v>
      </c>
      <c r="S364" s="261">
        <v>0</v>
      </c>
      <c r="T364" s="261">
        <v>6.75</v>
      </c>
      <c r="U364" s="68" t="s">
        <v>1100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550</v>
      </c>
      <c r="S365" s="261">
        <v>0</v>
      </c>
      <c r="T365" s="261">
        <v>0.15</v>
      </c>
      <c r="U365" s="68" t="s">
        <v>1101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550</v>
      </c>
      <c r="S366" s="261">
        <v>0.15</v>
      </c>
      <c r="T366" s="261">
        <v>0</v>
      </c>
      <c r="U366" s="68" t="s">
        <v>1102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550</v>
      </c>
      <c r="S367" s="261">
        <v>0</v>
      </c>
      <c r="T367" s="261">
        <v>0.25</v>
      </c>
      <c r="U367" s="68" t="s">
        <v>1103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550</v>
      </c>
      <c r="S368" s="261">
        <v>0</v>
      </c>
      <c r="T368" s="261">
        <v>3</v>
      </c>
      <c r="U368" s="68" t="s">
        <v>1104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550</v>
      </c>
      <c r="S369" s="261">
        <v>3</v>
      </c>
      <c r="T369" s="261">
        <v>0</v>
      </c>
      <c r="U369" s="68" t="s">
        <v>1105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550</v>
      </c>
      <c r="S370" s="261">
        <v>0</v>
      </c>
      <c r="T370" s="261">
        <v>4.5</v>
      </c>
      <c r="U370" s="68" t="s">
        <v>1106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550</v>
      </c>
      <c r="S371" s="261">
        <v>42.13</v>
      </c>
      <c r="T371" s="261">
        <v>0</v>
      </c>
      <c r="U371" s="68" t="s">
        <v>1108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550</v>
      </c>
      <c r="S372" s="261">
        <v>0</v>
      </c>
      <c r="T372" s="261">
        <v>0.46</v>
      </c>
      <c r="U372" s="68" t="s">
        <v>1111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550</v>
      </c>
      <c r="S373" s="261">
        <v>0.46</v>
      </c>
      <c r="T373" s="261">
        <v>0</v>
      </c>
      <c r="U373" s="68" t="s">
        <v>1112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550</v>
      </c>
      <c r="S374" s="261">
        <v>0</v>
      </c>
      <c r="T374" s="261">
        <v>2</v>
      </c>
      <c r="U374" s="68" t="s">
        <v>1113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550</v>
      </c>
      <c r="S375" s="261">
        <v>0</v>
      </c>
      <c r="T375" s="261">
        <v>0.57999999999999996</v>
      </c>
      <c r="U375" s="68" t="s">
        <v>1116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550</v>
      </c>
      <c r="S376" s="261">
        <v>0.57999999999999996</v>
      </c>
      <c r="T376" s="261">
        <v>0</v>
      </c>
      <c r="U376" s="68" t="s">
        <v>1117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550</v>
      </c>
      <c r="S377" s="261">
        <v>0</v>
      </c>
      <c r="T377" s="261">
        <v>2</v>
      </c>
      <c r="U377" s="68" t="s">
        <v>1118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550</v>
      </c>
      <c r="S378" s="261">
        <v>0</v>
      </c>
      <c r="T378" s="261">
        <v>3.74</v>
      </c>
      <c r="U378" s="68" t="s">
        <v>1120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550</v>
      </c>
      <c r="S379" s="261">
        <v>3.74</v>
      </c>
      <c r="T379" s="261">
        <v>0</v>
      </c>
      <c r="U379" s="68" t="s">
        <v>1121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550</v>
      </c>
      <c r="S380" s="261">
        <v>0</v>
      </c>
      <c r="T380" s="261">
        <v>1</v>
      </c>
      <c r="U380" s="68" t="s">
        <v>1122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550</v>
      </c>
      <c r="S381" s="261">
        <v>0</v>
      </c>
      <c r="T381" s="261">
        <v>6</v>
      </c>
      <c r="U381" s="68" t="s">
        <v>1123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550</v>
      </c>
      <c r="S382" s="261">
        <v>6</v>
      </c>
      <c r="T382" s="261">
        <v>0</v>
      </c>
      <c r="U382" s="68" t="s">
        <v>1124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550</v>
      </c>
      <c r="S383" s="261">
        <v>0</v>
      </c>
      <c r="T383" s="261">
        <v>7.5</v>
      </c>
      <c r="U383" s="68" t="s">
        <v>1125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550</v>
      </c>
      <c r="S384" s="261">
        <v>0</v>
      </c>
      <c r="T384" s="261">
        <v>1.32</v>
      </c>
      <c r="U384" s="68" t="s">
        <v>1128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550</v>
      </c>
      <c r="S385" s="261">
        <v>1.32</v>
      </c>
      <c r="T385" s="261">
        <v>0</v>
      </c>
      <c r="U385" s="68" t="s">
        <v>1129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550</v>
      </c>
      <c r="S386" s="261">
        <v>0</v>
      </c>
      <c r="T386" s="261">
        <v>1.75</v>
      </c>
      <c r="U386" s="68" t="s">
        <v>1130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550</v>
      </c>
      <c r="S387" s="261">
        <v>0</v>
      </c>
      <c r="T387" s="261">
        <v>3.01</v>
      </c>
      <c r="U387" s="68" t="s">
        <v>1131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550</v>
      </c>
      <c r="S388" s="261">
        <v>3.01</v>
      </c>
      <c r="T388" s="261">
        <v>0</v>
      </c>
      <c r="U388" s="68" t="s">
        <v>1132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550</v>
      </c>
      <c r="S389" s="261">
        <v>0</v>
      </c>
      <c r="T389" s="261">
        <v>3.5</v>
      </c>
      <c r="U389" s="68" t="s">
        <v>1133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550</v>
      </c>
      <c r="S390" s="261">
        <v>0</v>
      </c>
      <c r="T390" s="261">
        <v>6.75</v>
      </c>
      <c r="U390" s="68" t="s">
        <v>1137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550</v>
      </c>
      <c r="S391" s="261">
        <v>6.75</v>
      </c>
      <c r="T391" s="261">
        <v>0</v>
      </c>
      <c r="U391" s="68" t="s">
        <v>1138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550</v>
      </c>
      <c r="S392" s="261">
        <v>0</v>
      </c>
      <c r="T392" s="261">
        <v>8.75</v>
      </c>
      <c r="U392" s="68" t="s">
        <v>1139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550</v>
      </c>
      <c r="S393" s="261">
        <v>0</v>
      </c>
      <c r="T393" s="261">
        <v>0.72</v>
      </c>
      <c r="U393" s="68" t="s">
        <v>1142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550</v>
      </c>
      <c r="S394" s="261">
        <v>0.72</v>
      </c>
      <c r="T394" s="261">
        <v>0</v>
      </c>
      <c r="U394" s="68" t="s">
        <v>1143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550</v>
      </c>
      <c r="S395" s="261">
        <v>0</v>
      </c>
      <c r="T395" s="261">
        <v>2</v>
      </c>
      <c r="U395" s="68" t="s">
        <v>1144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550</v>
      </c>
      <c r="S396" s="261">
        <v>0</v>
      </c>
      <c r="T396" s="261">
        <v>0.86999999999999988</v>
      </c>
      <c r="U396" s="68" t="s">
        <v>1147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550</v>
      </c>
      <c r="S397" s="261">
        <v>0.86999999999999988</v>
      </c>
      <c r="T397" s="261">
        <v>0</v>
      </c>
      <c r="U397" s="68" t="s">
        <v>1148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550</v>
      </c>
      <c r="S398" s="261">
        <v>0</v>
      </c>
      <c r="T398" s="261">
        <v>1.5</v>
      </c>
      <c r="U398" s="68" t="s">
        <v>1149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550</v>
      </c>
      <c r="S399" s="261">
        <v>0</v>
      </c>
      <c r="T399" s="261">
        <v>0.72</v>
      </c>
      <c r="U399" s="68" t="s">
        <v>1150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550</v>
      </c>
      <c r="S400" s="261">
        <v>0.72</v>
      </c>
      <c r="T400" s="261">
        <v>0</v>
      </c>
      <c r="U400" s="68" t="s">
        <v>1151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550</v>
      </c>
      <c r="S401" s="261">
        <v>0</v>
      </c>
      <c r="T401" s="261">
        <v>1.5</v>
      </c>
      <c r="U401" s="68" t="s">
        <v>1152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550</v>
      </c>
      <c r="S402" s="261">
        <v>0</v>
      </c>
      <c r="T402" s="261">
        <v>7.5</v>
      </c>
      <c r="U402" s="68" t="s">
        <v>1153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550</v>
      </c>
      <c r="S403" s="261">
        <v>7.5</v>
      </c>
      <c r="T403" s="261">
        <v>0</v>
      </c>
      <c r="U403" s="68" t="s">
        <v>1154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550</v>
      </c>
      <c r="S404" s="261">
        <v>0</v>
      </c>
      <c r="T404" s="261">
        <v>9.4499999999999993</v>
      </c>
      <c r="U404" s="68" t="s">
        <v>1155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550</v>
      </c>
      <c r="S405" s="261">
        <v>0</v>
      </c>
      <c r="T405" s="261">
        <v>0.7</v>
      </c>
      <c r="U405" s="68" t="s">
        <v>1158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550</v>
      </c>
      <c r="S406" s="261">
        <v>0.7</v>
      </c>
      <c r="T406" s="261">
        <v>0</v>
      </c>
      <c r="U406" s="68" t="s">
        <v>1159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550</v>
      </c>
      <c r="S407" s="261">
        <v>0</v>
      </c>
      <c r="T407" s="261">
        <v>1.25</v>
      </c>
      <c r="U407" s="68" t="s">
        <v>1160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550</v>
      </c>
      <c r="S408" s="261">
        <v>23.75</v>
      </c>
      <c r="T408" s="261">
        <v>0</v>
      </c>
      <c r="U408" s="68" t="s">
        <v>1162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550</v>
      </c>
      <c r="S409" s="261">
        <v>0</v>
      </c>
      <c r="T409" s="261">
        <v>20.75</v>
      </c>
      <c r="U409" s="68" t="s">
        <v>1163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550</v>
      </c>
      <c r="S410" s="261">
        <v>20.75</v>
      </c>
      <c r="T410" s="261">
        <v>0</v>
      </c>
      <c r="U410" s="68" t="s">
        <v>1164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550</v>
      </c>
      <c r="S411" s="261">
        <v>0</v>
      </c>
      <c r="T411" s="261">
        <v>23.75</v>
      </c>
      <c r="U411" s="68" t="s">
        <v>1165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550</v>
      </c>
      <c r="S412" s="261">
        <v>88.5</v>
      </c>
      <c r="T412" s="261">
        <v>0</v>
      </c>
      <c r="U412" s="68" t="s">
        <v>1167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550</v>
      </c>
      <c r="S413" s="261">
        <v>0</v>
      </c>
      <c r="T413" s="261">
        <v>16.72</v>
      </c>
      <c r="U413" s="68" t="s">
        <v>1168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550</v>
      </c>
      <c r="S414" s="261">
        <v>16.72</v>
      </c>
      <c r="T414" s="261">
        <v>0</v>
      </c>
      <c r="U414" s="68" t="s">
        <v>1169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550</v>
      </c>
      <c r="S415" s="261">
        <v>0</v>
      </c>
      <c r="T415" s="261">
        <v>16.5</v>
      </c>
      <c r="U415" s="68" t="s">
        <v>1170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550</v>
      </c>
      <c r="S416" s="261">
        <v>0</v>
      </c>
      <c r="T416" s="261">
        <v>37.92</v>
      </c>
      <c r="U416" s="68" t="s">
        <v>1173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550</v>
      </c>
      <c r="S417" s="261">
        <v>37.92</v>
      </c>
      <c r="T417" s="261">
        <v>0</v>
      </c>
      <c r="U417" s="68" t="s">
        <v>1174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550</v>
      </c>
      <c r="S418" s="261">
        <v>0</v>
      </c>
      <c r="T418" s="261">
        <v>42</v>
      </c>
      <c r="U418" s="68" t="s">
        <v>1175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550</v>
      </c>
      <c r="S419" s="261">
        <v>0</v>
      </c>
      <c r="T419" s="261">
        <v>28.5</v>
      </c>
      <c r="U419" s="68" t="s">
        <v>1176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550</v>
      </c>
      <c r="S420" s="261">
        <v>28.5</v>
      </c>
      <c r="T420" s="261">
        <v>0</v>
      </c>
      <c r="U420" s="68" t="s">
        <v>1177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550</v>
      </c>
      <c r="S421" s="261">
        <v>0</v>
      </c>
      <c r="T421" s="261">
        <v>30</v>
      </c>
      <c r="U421" s="68" t="s">
        <v>1178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550</v>
      </c>
      <c r="S422" s="261">
        <v>69.540000000000006</v>
      </c>
      <c r="T422" s="261">
        <v>0</v>
      </c>
      <c r="U422" s="68" t="s">
        <v>1181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550</v>
      </c>
      <c r="S423" s="261">
        <v>0</v>
      </c>
      <c r="T423" s="261">
        <v>22.64</v>
      </c>
      <c r="U423" s="68" t="s">
        <v>1182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550</v>
      </c>
      <c r="S424" s="261">
        <v>22.64</v>
      </c>
      <c r="T424" s="261">
        <v>0</v>
      </c>
      <c r="U424" s="68" t="s">
        <v>1183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550</v>
      </c>
      <c r="S425" s="261">
        <v>0</v>
      </c>
      <c r="T425" s="261">
        <v>20</v>
      </c>
      <c r="U425" s="68" t="s">
        <v>1184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550</v>
      </c>
      <c r="S426" s="261">
        <v>0</v>
      </c>
      <c r="T426" s="261">
        <v>10.74</v>
      </c>
      <c r="U426" s="68" t="s">
        <v>1185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550</v>
      </c>
      <c r="S427" s="261">
        <v>10.74</v>
      </c>
      <c r="T427" s="261">
        <v>0</v>
      </c>
      <c r="U427" s="68" t="s">
        <v>1186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550</v>
      </c>
      <c r="S428" s="261">
        <v>0</v>
      </c>
      <c r="T428" s="261">
        <v>21</v>
      </c>
      <c r="U428" s="68" t="s">
        <v>1187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550</v>
      </c>
      <c r="S429" s="261">
        <v>0</v>
      </c>
      <c r="T429" s="261">
        <v>4.47</v>
      </c>
      <c r="U429" s="68" t="s">
        <v>1191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550</v>
      </c>
      <c r="S430" s="261">
        <v>4.47</v>
      </c>
      <c r="T430" s="261">
        <v>0</v>
      </c>
      <c r="U430" s="68" t="s">
        <v>1192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550</v>
      </c>
      <c r="S431" s="261">
        <v>0</v>
      </c>
      <c r="T431" s="261">
        <v>6</v>
      </c>
      <c r="U431" s="68" t="s">
        <v>1193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550</v>
      </c>
      <c r="S432" s="261">
        <v>0</v>
      </c>
      <c r="T432" s="261">
        <v>1</v>
      </c>
      <c r="U432" s="68" t="s">
        <v>1196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550</v>
      </c>
      <c r="S433" s="261">
        <v>1</v>
      </c>
      <c r="T433" s="261">
        <v>0</v>
      </c>
      <c r="U433" s="68" t="s">
        <v>1197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550</v>
      </c>
      <c r="S434" s="261">
        <v>0</v>
      </c>
      <c r="T434" s="261">
        <v>1.26</v>
      </c>
      <c r="U434" s="68" t="s">
        <v>1198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550</v>
      </c>
      <c r="S435" s="261">
        <v>0</v>
      </c>
      <c r="T435" s="261">
        <v>1.75</v>
      </c>
      <c r="U435" s="68" t="s">
        <v>1201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550</v>
      </c>
      <c r="S436" s="261">
        <v>1.75</v>
      </c>
      <c r="T436" s="261">
        <v>0</v>
      </c>
      <c r="U436" s="68" t="s">
        <v>1202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550</v>
      </c>
      <c r="S437" s="261">
        <v>0</v>
      </c>
      <c r="T437" s="261">
        <v>2</v>
      </c>
      <c r="U437" s="68" t="s">
        <v>1203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550</v>
      </c>
      <c r="S438" s="261">
        <v>0</v>
      </c>
      <c r="T438" s="261">
        <v>0.55000000000000004</v>
      </c>
      <c r="U438" s="68" t="s">
        <v>1206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550</v>
      </c>
      <c r="S439" s="261">
        <v>0.55000000000000004</v>
      </c>
      <c r="T439" s="261">
        <v>0</v>
      </c>
      <c r="U439" s="68" t="s">
        <v>1207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550</v>
      </c>
      <c r="S440" s="261">
        <v>0</v>
      </c>
      <c r="T440" s="261">
        <v>1.1299999999999999</v>
      </c>
      <c r="U440" s="68" t="s">
        <v>1208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550</v>
      </c>
      <c r="S441" s="261">
        <v>0</v>
      </c>
      <c r="T441" s="261">
        <v>2.7</v>
      </c>
      <c r="U441" s="68" t="s">
        <v>1209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550</v>
      </c>
      <c r="S442" s="261">
        <v>2.7</v>
      </c>
      <c r="T442" s="261">
        <v>0</v>
      </c>
      <c r="U442" s="68" t="s">
        <v>1210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550</v>
      </c>
      <c r="S443" s="261">
        <v>0</v>
      </c>
      <c r="T443" s="261">
        <v>3</v>
      </c>
      <c r="U443" s="68" t="s">
        <v>1211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550</v>
      </c>
      <c r="S444" s="261">
        <v>0</v>
      </c>
      <c r="T444" s="261">
        <v>0.95</v>
      </c>
      <c r="U444" s="68" t="s">
        <v>1214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550</v>
      </c>
      <c r="S445" s="261">
        <v>0.95</v>
      </c>
      <c r="T445" s="261">
        <v>0</v>
      </c>
      <c r="U445" s="68" t="s">
        <v>1215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550</v>
      </c>
      <c r="S446" s="261">
        <v>0</v>
      </c>
      <c r="T446" s="261">
        <v>1.5</v>
      </c>
      <c r="U446" s="68" t="s">
        <v>1216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550</v>
      </c>
      <c r="S447" s="261">
        <v>0</v>
      </c>
      <c r="T447" s="261">
        <v>0.41</v>
      </c>
      <c r="U447" s="68" t="s">
        <v>1219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550</v>
      </c>
      <c r="S448" s="261">
        <v>0.41</v>
      </c>
      <c r="T448" s="261">
        <v>0</v>
      </c>
      <c r="U448" s="68" t="s">
        <v>1220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550</v>
      </c>
      <c r="S449" s="261">
        <v>0</v>
      </c>
      <c r="T449" s="261">
        <v>0.75</v>
      </c>
      <c r="U449" s="68" t="s">
        <v>1221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550</v>
      </c>
      <c r="S450" s="261">
        <v>0</v>
      </c>
      <c r="T450" s="261">
        <v>1.9</v>
      </c>
      <c r="U450" s="68" t="s">
        <v>1224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550</v>
      </c>
      <c r="S451" s="261">
        <v>1.9</v>
      </c>
      <c r="T451" s="261">
        <v>0</v>
      </c>
      <c r="U451" s="68" t="s">
        <v>1225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550</v>
      </c>
      <c r="S452" s="261">
        <v>0</v>
      </c>
      <c r="T452" s="261">
        <v>2.25</v>
      </c>
      <c r="U452" s="68" t="s">
        <v>1226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550</v>
      </c>
      <c r="S453" s="261">
        <v>0</v>
      </c>
      <c r="T453" s="261">
        <v>1.05</v>
      </c>
      <c r="U453" s="68" t="s">
        <v>1227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550</v>
      </c>
      <c r="S454" s="261">
        <v>1.05</v>
      </c>
      <c r="T454" s="261">
        <v>0</v>
      </c>
      <c r="U454" s="68" t="s">
        <v>1228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550</v>
      </c>
      <c r="S455" s="261">
        <v>0</v>
      </c>
      <c r="T455" s="261">
        <v>2.66</v>
      </c>
      <c r="U455" s="68" t="s">
        <v>1229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550</v>
      </c>
      <c r="S456" s="261">
        <v>0</v>
      </c>
      <c r="T456" s="261">
        <v>0.44</v>
      </c>
      <c r="U456" s="68" t="s">
        <v>1232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550</v>
      </c>
      <c r="S457" s="261">
        <v>0.44</v>
      </c>
      <c r="T457" s="261">
        <v>0</v>
      </c>
      <c r="U457" s="68" t="s">
        <v>1233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550</v>
      </c>
      <c r="S458" s="261">
        <v>0</v>
      </c>
      <c r="T458" s="261">
        <v>0.76</v>
      </c>
      <c r="U458" s="68" t="s">
        <v>1234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550</v>
      </c>
      <c r="S459" s="261">
        <v>0</v>
      </c>
      <c r="T459" s="261">
        <v>0.5</v>
      </c>
      <c r="U459" s="68" t="s">
        <v>1237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550</v>
      </c>
      <c r="S460" s="261">
        <v>0.5</v>
      </c>
      <c r="T460" s="261">
        <v>0</v>
      </c>
      <c r="U460" s="68" t="s">
        <v>1238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550</v>
      </c>
      <c r="S461" s="261">
        <v>0</v>
      </c>
      <c r="T461" s="261">
        <v>1</v>
      </c>
      <c r="U461" s="68" t="s">
        <v>1239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550</v>
      </c>
      <c r="S462" s="261">
        <v>0</v>
      </c>
      <c r="T462" s="261">
        <v>0.15</v>
      </c>
      <c r="U462" s="68" t="s">
        <v>1240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550</v>
      </c>
      <c r="S463" s="261">
        <v>0.15</v>
      </c>
      <c r="T463" s="261">
        <v>0</v>
      </c>
      <c r="U463" s="68" t="s">
        <v>1241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550</v>
      </c>
      <c r="S464" s="261">
        <v>0</v>
      </c>
      <c r="T464" s="261">
        <v>0.25</v>
      </c>
      <c r="U464" s="68" t="s">
        <v>1242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550</v>
      </c>
      <c r="S465" s="261">
        <v>0</v>
      </c>
      <c r="T465" s="261">
        <v>0.53</v>
      </c>
      <c r="U465" s="68" t="s">
        <v>1245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550</v>
      </c>
      <c r="S466" s="261">
        <v>0.53</v>
      </c>
      <c r="T466" s="261">
        <v>0</v>
      </c>
      <c r="U466" s="68" t="s">
        <v>1246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550</v>
      </c>
      <c r="S467" s="261">
        <v>0</v>
      </c>
      <c r="T467" s="261">
        <v>1</v>
      </c>
      <c r="U467" s="68" t="s">
        <v>1247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550</v>
      </c>
      <c r="S468" s="261">
        <v>0</v>
      </c>
      <c r="T468" s="261">
        <v>4.41</v>
      </c>
      <c r="U468" s="68" t="s">
        <v>1248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550</v>
      </c>
      <c r="S469" s="261">
        <v>4.41</v>
      </c>
      <c r="T469" s="261">
        <v>0</v>
      </c>
      <c r="U469" s="68" t="s">
        <v>1249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550</v>
      </c>
      <c r="S470" s="261">
        <v>0</v>
      </c>
      <c r="T470" s="261">
        <v>5</v>
      </c>
      <c r="U470" s="68" t="s">
        <v>1250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550</v>
      </c>
      <c r="S471" s="261">
        <v>45</v>
      </c>
      <c r="T471" s="261">
        <v>0</v>
      </c>
      <c r="U471" s="68" t="s">
        <v>1252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550</v>
      </c>
      <c r="S472" s="261">
        <v>0</v>
      </c>
      <c r="T472" s="261">
        <v>41.5</v>
      </c>
      <c r="U472" s="68" t="s">
        <v>1253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550</v>
      </c>
      <c r="S473" s="261">
        <v>41.5</v>
      </c>
      <c r="T473" s="261">
        <v>0</v>
      </c>
      <c r="U473" s="68" t="s">
        <v>1254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550</v>
      </c>
      <c r="S474" s="261">
        <v>0</v>
      </c>
      <c r="T474" s="261">
        <v>45</v>
      </c>
      <c r="U474" s="68" t="s">
        <v>1255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550</v>
      </c>
      <c r="S475" s="261">
        <v>95</v>
      </c>
      <c r="T475" s="261">
        <v>0</v>
      </c>
      <c r="U475" s="68" t="s">
        <v>1257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550</v>
      </c>
      <c r="S476" s="261">
        <v>0</v>
      </c>
      <c r="T476" s="261">
        <v>95</v>
      </c>
      <c r="U476" s="68" t="s">
        <v>1258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550</v>
      </c>
      <c r="S477" s="261">
        <v>95</v>
      </c>
      <c r="T477" s="261">
        <v>0</v>
      </c>
      <c r="U477" s="68" t="s">
        <v>1259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550</v>
      </c>
      <c r="S478" s="261">
        <v>0</v>
      </c>
      <c r="T478" s="261">
        <v>95</v>
      </c>
      <c r="U478" s="68" t="s">
        <v>1260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550</v>
      </c>
      <c r="S479" s="261">
        <v>48.75</v>
      </c>
      <c r="T479" s="261">
        <v>0</v>
      </c>
      <c r="U479" s="68" t="s">
        <v>1263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550</v>
      </c>
      <c r="S480" s="261">
        <v>0</v>
      </c>
      <c r="T480" s="261">
        <v>20.75</v>
      </c>
      <c r="U480" s="68" t="s">
        <v>1264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550</v>
      </c>
      <c r="S481" s="261">
        <v>20.75</v>
      </c>
      <c r="T481" s="261">
        <v>0</v>
      </c>
      <c r="U481" s="68" t="s">
        <v>1265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550</v>
      </c>
      <c r="S482" s="261">
        <v>0</v>
      </c>
      <c r="T482" s="261">
        <v>23.75</v>
      </c>
      <c r="U482" s="68" t="s">
        <v>1266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550</v>
      </c>
      <c r="S483" s="261">
        <v>0</v>
      </c>
      <c r="T483" s="261">
        <v>24.6</v>
      </c>
      <c r="U483" s="68" t="s">
        <v>1267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550</v>
      </c>
      <c r="S484" s="261">
        <v>24.6</v>
      </c>
      <c r="T484" s="261">
        <v>0</v>
      </c>
      <c r="U484" s="68" t="s">
        <v>1268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550</v>
      </c>
      <c r="S485" s="261">
        <v>0</v>
      </c>
      <c r="T485" s="261">
        <v>25</v>
      </c>
      <c r="U485" s="68" t="s">
        <v>1269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550</v>
      </c>
      <c r="S486" s="261">
        <v>19</v>
      </c>
      <c r="T486" s="261">
        <v>0</v>
      </c>
      <c r="U486" s="68" t="s">
        <v>1271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550</v>
      </c>
      <c r="S487" s="261">
        <v>0</v>
      </c>
      <c r="T487" s="261">
        <v>1.06</v>
      </c>
      <c r="U487" s="68" t="s">
        <v>1272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550</v>
      </c>
      <c r="S488" s="261">
        <v>1.06</v>
      </c>
      <c r="T488" s="261">
        <v>0</v>
      </c>
      <c r="U488" s="68" t="s">
        <v>1273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550</v>
      </c>
      <c r="S489" s="261">
        <v>0</v>
      </c>
      <c r="T489" s="261">
        <v>1.5</v>
      </c>
      <c r="U489" s="68" t="s">
        <v>1274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550</v>
      </c>
      <c r="S490" s="261">
        <v>0</v>
      </c>
      <c r="T490" s="261">
        <v>2.64</v>
      </c>
      <c r="U490" s="68" t="s">
        <v>1275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550</v>
      </c>
      <c r="S491" s="261">
        <v>2.64</v>
      </c>
      <c r="T491" s="261">
        <v>0</v>
      </c>
      <c r="U491" s="68" t="s">
        <v>1276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550</v>
      </c>
      <c r="S492" s="261">
        <v>0</v>
      </c>
      <c r="T492" s="261">
        <v>3.5</v>
      </c>
      <c r="U492" s="68" t="s">
        <v>1277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550</v>
      </c>
      <c r="S493" s="261">
        <v>0</v>
      </c>
      <c r="T493" s="261">
        <v>1.02</v>
      </c>
      <c r="U493" s="68" t="s">
        <v>1278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550</v>
      </c>
      <c r="S494" s="261">
        <v>1.02</v>
      </c>
      <c r="T494" s="261">
        <v>0</v>
      </c>
      <c r="U494" s="68" t="s">
        <v>1279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550</v>
      </c>
      <c r="S495" s="261">
        <v>0</v>
      </c>
      <c r="T495" s="261">
        <v>2.25</v>
      </c>
      <c r="U495" s="68" t="s">
        <v>1280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550</v>
      </c>
      <c r="S496" s="261">
        <v>0</v>
      </c>
      <c r="T496" s="261">
        <v>0.48</v>
      </c>
      <c r="U496" s="68" t="s">
        <v>1281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550</v>
      </c>
      <c r="S497" s="261">
        <v>0.48</v>
      </c>
      <c r="T497" s="261">
        <v>0</v>
      </c>
      <c r="U497" s="68" t="s">
        <v>1282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550</v>
      </c>
      <c r="S498" s="261">
        <v>0</v>
      </c>
      <c r="T498" s="261">
        <v>1</v>
      </c>
      <c r="U498" s="68" t="s">
        <v>1283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550</v>
      </c>
      <c r="S499" s="261">
        <v>0</v>
      </c>
      <c r="T499" s="261">
        <v>0.55000000000000004</v>
      </c>
      <c r="U499" s="68" t="s">
        <v>1284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550</v>
      </c>
      <c r="S500" s="261">
        <v>0.55000000000000004</v>
      </c>
      <c r="T500" s="261">
        <v>0</v>
      </c>
      <c r="U500" s="68" t="s">
        <v>1285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550</v>
      </c>
      <c r="S501" s="261">
        <v>0</v>
      </c>
      <c r="T501" s="261">
        <v>0.75</v>
      </c>
      <c r="U501" s="68" t="s">
        <v>1286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550</v>
      </c>
      <c r="S502" s="261">
        <v>0</v>
      </c>
      <c r="T502" s="261">
        <v>1.06</v>
      </c>
      <c r="U502" s="68" t="s">
        <v>1287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550</v>
      </c>
      <c r="S503" s="261">
        <v>1.06</v>
      </c>
      <c r="T503" s="261">
        <v>0</v>
      </c>
      <c r="U503" s="68" t="s">
        <v>1288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550</v>
      </c>
      <c r="S504" s="261">
        <v>0</v>
      </c>
      <c r="T504" s="261">
        <v>1</v>
      </c>
      <c r="U504" s="68" t="s">
        <v>1289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550</v>
      </c>
      <c r="S505" s="261">
        <v>0</v>
      </c>
      <c r="T505" s="261">
        <v>0.28000000000000003</v>
      </c>
      <c r="U505" s="68" t="s">
        <v>1290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550</v>
      </c>
      <c r="S506" s="261">
        <v>0.28000000000000003</v>
      </c>
      <c r="T506" s="261">
        <v>0</v>
      </c>
      <c r="U506" s="68" t="s">
        <v>1291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550</v>
      </c>
      <c r="S507" s="261">
        <v>0</v>
      </c>
      <c r="T507" s="261">
        <v>0.5</v>
      </c>
      <c r="U507" s="68" t="s">
        <v>1292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550</v>
      </c>
      <c r="S508" s="261">
        <v>0</v>
      </c>
      <c r="T508" s="261">
        <v>0.25</v>
      </c>
      <c r="U508" s="68" t="s">
        <v>1293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550</v>
      </c>
      <c r="S509" s="261">
        <v>0.25</v>
      </c>
      <c r="T509" s="261">
        <v>0</v>
      </c>
      <c r="U509" s="68" t="s">
        <v>1294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550</v>
      </c>
      <c r="S510" s="261">
        <v>0</v>
      </c>
      <c r="T510" s="261">
        <v>0.5</v>
      </c>
      <c r="U510" s="68" t="s">
        <v>1295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550</v>
      </c>
      <c r="S511" s="261">
        <v>0</v>
      </c>
      <c r="T511" s="261">
        <v>1.51</v>
      </c>
      <c r="U511" s="68" t="s">
        <v>1298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550</v>
      </c>
      <c r="S512" s="261">
        <v>1.51</v>
      </c>
      <c r="T512" s="261">
        <v>0</v>
      </c>
      <c r="U512" s="68" t="s">
        <v>1299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550</v>
      </c>
      <c r="S513" s="261">
        <v>0</v>
      </c>
      <c r="T513" s="261">
        <v>2</v>
      </c>
      <c r="U513" s="68" t="s">
        <v>1300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550</v>
      </c>
      <c r="S514" s="261">
        <v>0</v>
      </c>
      <c r="T514" s="261">
        <v>1.79</v>
      </c>
      <c r="U514" s="68" t="s">
        <v>1301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550</v>
      </c>
      <c r="S515" s="261">
        <v>1.79</v>
      </c>
      <c r="T515" s="261">
        <v>0</v>
      </c>
      <c r="U515" s="68" t="s">
        <v>1302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550</v>
      </c>
      <c r="S516" s="261">
        <v>0</v>
      </c>
      <c r="T516" s="261">
        <v>2.5</v>
      </c>
      <c r="U516" s="68" t="s">
        <v>1303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550</v>
      </c>
      <c r="S517" s="261">
        <v>0</v>
      </c>
      <c r="T517" s="261">
        <v>0.34</v>
      </c>
      <c r="U517" s="68" t="s">
        <v>1306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550</v>
      </c>
      <c r="S518" s="261">
        <v>0.34</v>
      </c>
      <c r="T518" s="261">
        <v>0</v>
      </c>
      <c r="U518" s="68" t="s">
        <v>1307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550</v>
      </c>
      <c r="S519" s="261">
        <v>0</v>
      </c>
      <c r="T519" s="261">
        <v>0.5</v>
      </c>
      <c r="U519" s="68" t="s">
        <v>1308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550</v>
      </c>
      <c r="S520" s="261">
        <v>0</v>
      </c>
      <c r="T520" s="261">
        <v>2.7</v>
      </c>
      <c r="U520" s="68" t="s">
        <v>1309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550</v>
      </c>
      <c r="S521" s="261">
        <v>2.7</v>
      </c>
      <c r="T521" s="261">
        <v>0</v>
      </c>
      <c r="U521" s="68" t="s">
        <v>1310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550</v>
      </c>
      <c r="S522" s="261">
        <v>0</v>
      </c>
      <c r="T522" s="261">
        <v>3</v>
      </c>
      <c r="U522" s="68" t="s">
        <v>1311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550</v>
      </c>
      <c r="S523" s="261">
        <v>41</v>
      </c>
      <c r="T523" s="261">
        <v>0</v>
      </c>
      <c r="U523" s="68" t="s">
        <v>1313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550</v>
      </c>
      <c r="S524" s="261">
        <v>0</v>
      </c>
      <c r="T524" s="261">
        <v>15.600000000000001</v>
      </c>
      <c r="U524" s="68" t="s">
        <v>1316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550</v>
      </c>
      <c r="S525" s="261">
        <v>15.600000000000001</v>
      </c>
      <c r="T525" s="261">
        <v>0</v>
      </c>
      <c r="U525" s="68" t="s">
        <v>1317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550</v>
      </c>
      <c r="S526" s="261">
        <v>0</v>
      </c>
      <c r="T526" s="261">
        <v>27.6</v>
      </c>
      <c r="U526" s="68" t="s">
        <v>1318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550</v>
      </c>
      <c r="S527" s="261">
        <v>0</v>
      </c>
      <c r="T527" s="261">
        <v>3.5999999999999996</v>
      </c>
      <c r="U527" s="68" t="s">
        <v>1319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550</v>
      </c>
      <c r="S528" s="261">
        <v>3.5999999999999996</v>
      </c>
      <c r="T528" s="261">
        <v>0</v>
      </c>
      <c r="U528" s="68" t="s">
        <v>1320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550</v>
      </c>
      <c r="S529" s="261">
        <v>0</v>
      </c>
      <c r="T529" s="261">
        <v>7.5</v>
      </c>
      <c r="U529" s="68" t="s">
        <v>1321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550</v>
      </c>
      <c r="S530" s="261">
        <v>0</v>
      </c>
      <c r="T530" s="261">
        <v>1</v>
      </c>
      <c r="U530" s="68" t="s">
        <v>1323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550</v>
      </c>
      <c r="S531" s="261">
        <v>0</v>
      </c>
      <c r="T531" s="261">
        <v>4</v>
      </c>
      <c r="U531" s="68" t="s">
        <v>1326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550</v>
      </c>
      <c r="S532" s="261">
        <v>4</v>
      </c>
      <c r="T532" s="261">
        <v>0</v>
      </c>
      <c r="U532" s="68" t="s">
        <v>1327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550</v>
      </c>
      <c r="S533" s="261">
        <v>0</v>
      </c>
      <c r="T533" s="261">
        <v>5.2</v>
      </c>
      <c r="U533" s="68" t="s">
        <v>1328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550</v>
      </c>
      <c r="S534" s="261">
        <v>67.5</v>
      </c>
      <c r="T534" s="261">
        <v>0</v>
      </c>
      <c r="U534" s="68" t="s">
        <v>1331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550</v>
      </c>
      <c r="S535" s="261">
        <v>0</v>
      </c>
      <c r="T535" s="261">
        <v>62.250000000000007</v>
      </c>
      <c r="U535" s="68" t="s">
        <v>1332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550</v>
      </c>
      <c r="S536" s="261">
        <v>62.250000000000007</v>
      </c>
      <c r="T536" s="261">
        <v>0</v>
      </c>
      <c r="U536" s="68" t="s">
        <v>1333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550</v>
      </c>
      <c r="S537" s="261">
        <v>0</v>
      </c>
      <c r="T537" s="261">
        <v>67.5</v>
      </c>
      <c r="U537" s="68" t="s">
        <v>1334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550</v>
      </c>
      <c r="S538" s="261">
        <v>127.5</v>
      </c>
      <c r="T538" s="261">
        <v>0</v>
      </c>
      <c r="U538" s="68" t="s">
        <v>1336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550</v>
      </c>
      <c r="S539" s="261">
        <v>0</v>
      </c>
      <c r="T539" s="261">
        <v>41.5</v>
      </c>
      <c r="U539" s="68" t="s">
        <v>1337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550</v>
      </c>
      <c r="S540" s="261">
        <v>41.5</v>
      </c>
      <c r="T540" s="261">
        <v>0</v>
      </c>
      <c r="U540" s="68" t="s">
        <v>1338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550</v>
      </c>
      <c r="S541" s="261">
        <v>0</v>
      </c>
      <c r="T541" s="261">
        <v>47.5</v>
      </c>
      <c r="U541" s="68" t="s">
        <v>1339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550</v>
      </c>
      <c r="S542" s="261">
        <v>0</v>
      </c>
      <c r="T542" s="261">
        <v>13.47</v>
      </c>
      <c r="U542" s="68" t="s">
        <v>1342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550</v>
      </c>
      <c r="S543" s="261">
        <v>13.47</v>
      </c>
      <c r="T543" s="261">
        <v>0</v>
      </c>
      <c r="U543" s="68" t="s">
        <v>1343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550</v>
      </c>
      <c r="S544" s="261">
        <v>0</v>
      </c>
      <c r="T544" s="261">
        <v>15</v>
      </c>
      <c r="U544" s="68" t="s">
        <v>1344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550</v>
      </c>
      <c r="S545" s="261">
        <v>0</v>
      </c>
      <c r="T545" s="261">
        <v>60</v>
      </c>
      <c r="U545" s="68" t="s">
        <v>1345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550</v>
      </c>
      <c r="S546" s="261">
        <v>60</v>
      </c>
      <c r="T546" s="261">
        <v>0</v>
      </c>
      <c r="U546" s="68" t="s">
        <v>1346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550</v>
      </c>
      <c r="S547" s="261">
        <v>0</v>
      </c>
      <c r="T547" s="261">
        <v>65</v>
      </c>
      <c r="U547" s="68" t="s">
        <v>1347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550</v>
      </c>
      <c r="S548" s="261">
        <v>53</v>
      </c>
      <c r="T548" s="261">
        <v>0</v>
      </c>
      <c r="U548" s="68" t="s">
        <v>1350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550</v>
      </c>
      <c r="S549" s="261">
        <v>0</v>
      </c>
      <c r="T549" s="261">
        <v>33.200000000000003</v>
      </c>
      <c r="U549" s="68" t="s">
        <v>1351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550</v>
      </c>
      <c r="S550" s="261">
        <v>33.200000000000003</v>
      </c>
      <c r="T550" s="261">
        <v>0</v>
      </c>
      <c r="U550" s="68" t="s">
        <v>1352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550</v>
      </c>
      <c r="S551" s="261">
        <v>0</v>
      </c>
      <c r="T551" s="261">
        <v>38</v>
      </c>
      <c r="U551" s="68" t="s">
        <v>1353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550</v>
      </c>
      <c r="S552" s="261">
        <v>0</v>
      </c>
      <c r="T552" s="261">
        <v>14.25</v>
      </c>
      <c r="U552" s="68" t="s">
        <v>1354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550</v>
      </c>
      <c r="S553" s="261">
        <v>14.25</v>
      </c>
      <c r="T553" s="261">
        <v>0</v>
      </c>
      <c r="U553" s="68" t="s">
        <v>1355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550</v>
      </c>
      <c r="S554" s="261">
        <v>0</v>
      </c>
      <c r="T554" s="261">
        <v>15</v>
      </c>
      <c r="U554" s="68" t="s">
        <v>1356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550</v>
      </c>
      <c r="S555" s="261">
        <v>10.5</v>
      </c>
      <c r="T555" s="261">
        <v>0</v>
      </c>
      <c r="U555" s="68" t="s">
        <v>1358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550</v>
      </c>
      <c r="S556" s="261">
        <v>0</v>
      </c>
      <c r="T556" s="261">
        <v>1</v>
      </c>
      <c r="U556" s="68" t="s">
        <v>1359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550</v>
      </c>
      <c r="S557" s="261">
        <v>1</v>
      </c>
      <c r="T557" s="261">
        <v>0</v>
      </c>
      <c r="U557" s="68" t="s">
        <v>1360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550</v>
      </c>
      <c r="S558" s="261">
        <v>0</v>
      </c>
      <c r="T558" s="261">
        <v>2</v>
      </c>
      <c r="U558" s="68" t="s">
        <v>1361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550</v>
      </c>
      <c r="S559" s="261">
        <v>0</v>
      </c>
      <c r="T559" s="261">
        <v>1</v>
      </c>
      <c r="U559" s="68" t="s">
        <v>1362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550</v>
      </c>
      <c r="S560" s="261">
        <v>1</v>
      </c>
      <c r="T560" s="261">
        <v>0</v>
      </c>
      <c r="U560" s="68" t="s">
        <v>1363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550</v>
      </c>
      <c r="S561" s="261">
        <v>0</v>
      </c>
      <c r="T561" s="261">
        <v>1.5</v>
      </c>
      <c r="U561" s="68" t="s">
        <v>1364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550</v>
      </c>
      <c r="S562" s="261">
        <v>0</v>
      </c>
      <c r="T562" s="261">
        <v>0.96</v>
      </c>
      <c r="U562" s="68" t="s">
        <v>1365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550</v>
      </c>
      <c r="S563" s="261">
        <v>0.96</v>
      </c>
      <c r="T563" s="261">
        <v>0</v>
      </c>
      <c r="U563" s="68" t="s">
        <v>1366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550</v>
      </c>
      <c r="S564" s="261">
        <v>0</v>
      </c>
      <c r="T564" s="261">
        <v>2</v>
      </c>
      <c r="U564" s="68" t="s">
        <v>1367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550</v>
      </c>
      <c r="S565" s="261">
        <v>0</v>
      </c>
      <c r="T565" s="261">
        <v>0.38</v>
      </c>
      <c r="U565" s="68" t="s">
        <v>1370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550</v>
      </c>
      <c r="S566" s="261">
        <v>0.38</v>
      </c>
      <c r="T566" s="261">
        <v>0</v>
      </c>
      <c r="U566" s="68" t="s">
        <v>1371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550</v>
      </c>
      <c r="S567" s="261">
        <v>0</v>
      </c>
      <c r="T567" s="261">
        <v>0.5</v>
      </c>
      <c r="U567" s="68" t="s">
        <v>1372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550</v>
      </c>
      <c r="S568" s="261">
        <v>0</v>
      </c>
      <c r="T568" s="261">
        <v>0.44</v>
      </c>
      <c r="U568" s="68" t="s">
        <v>1373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550</v>
      </c>
      <c r="S569" s="261">
        <v>0.44</v>
      </c>
      <c r="T569" s="261">
        <v>0</v>
      </c>
      <c r="U569" s="68" t="s">
        <v>1374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550</v>
      </c>
      <c r="S570" s="261">
        <v>0</v>
      </c>
      <c r="T570" s="261">
        <v>0.76</v>
      </c>
      <c r="U570" s="68" t="s">
        <v>1375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550</v>
      </c>
      <c r="S571" s="261">
        <v>0</v>
      </c>
      <c r="T571" s="261">
        <v>0.6</v>
      </c>
      <c r="U571" s="68" t="s">
        <v>1376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550</v>
      </c>
      <c r="S572" s="261">
        <v>0.6</v>
      </c>
      <c r="T572" s="261">
        <v>0</v>
      </c>
      <c r="U572" s="68" t="s">
        <v>1377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550</v>
      </c>
      <c r="S573" s="261">
        <v>0</v>
      </c>
      <c r="T573" s="261">
        <v>1.52</v>
      </c>
      <c r="U573" s="68" t="s">
        <v>1378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550</v>
      </c>
      <c r="S574" s="261">
        <v>0</v>
      </c>
      <c r="T574" s="261">
        <v>0.75</v>
      </c>
      <c r="U574" s="68" t="s">
        <v>1379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550</v>
      </c>
      <c r="S575" s="261">
        <v>0.75</v>
      </c>
      <c r="T575" s="261">
        <v>0</v>
      </c>
      <c r="U575" s="68" t="s">
        <v>1380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550</v>
      </c>
      <c r="S576" s="261">
        <v>0</v>
      </c>
      <c r="T576" s="261">
        <v>1</v>
      </c>
      <c r="U576" s="68" t="s">
        <v>1381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550</v>
      </c>
      <c r="S577" s="261">
        <v>0</v>
      </c>
      <c r="T577" s="261">
        <v>0.13</v>
      </c>
      <c r="U577" s="68" t="s">
        <v>1384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550</v>
      </c>
      <c r="S578" s="261">
        <v>0.13</v>
      </c>
      <c r="T578" s="261">
        <v>0</v>
      </c>
      <c r="U578" s="68" t="s">
        <v>1385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550</v>
      </c>
      <c r="S579" s="261">
        <v>0</v>
      </c>
      <c r="T579" s="261">
        <v>0.5</v>
      </c>
      <c r="U579" s="68" t="s">
        <v>1386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550</v>
      </c>
      <c r="S580" s="261">
        <v>0</v>
      </c>
      <c r="T580" s="261">
        <v>0.53</v>
      </c>
      <c r="U580" s="68" t="s">
        <v>1387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550</v>
      </c>
      <c r="S581" s="261">
        <v>0.53</v>
      </c>
      <c r="T581" s="261">
        <v>0</v>
      </c>
      <c r="U581" s="68" t="s">
        <v>1388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550</v>
      </c>
      <c r="S582" s="261">
        <v>0</v>
      </c>
      <c r="T582" s="261">
        <v>0.75</v>
      </c>
      <c r="U582" s="68" t="s">
        <v>1389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550</v>
      </c>
      <c r="S583" s="261">
        <v>53.75</v>
      </c>
      <c r="T583" s="261">
        <v>0</v>
      </c>
      <c r="U583" s="68" t="s">
        <v>1391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550</v>
      </c>
      <c r="S584" s="261">
        <v>0</v>
      </c>
      <c r="T584" s="261">
        <v>20.75</v>
      </c>
      <c r="U584" s="68" t="s">
        <v>1392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550</v>
      </c>
      <c r="S585" s="261">
        <v>20.75</v>
      </c>
      <c r="T585" s="261">
        <v>0</v>
      </c>
      <c r="U585" s="68" t="s">
        <v>1393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550</v>
      </c>
      <c r="S586" s="261">
        <v>0</v>
      </c>
      <c r="T586" s="261">
        <v>23.75</v>
      </c>
      <c r="U586" s="68" t="s">
        <v>1394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550</v>
      </c>
      <c r="S587" s="261">
        <v>0</v>
      </c>
      <c r="T587" s="261">
        <v>28.5</v>
      </c>
      <c r="U587" s="68" t="s">
        <v>1395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550</v>
      </c>
      <c r="S588" s="261">
        <v>28.5</v>
      </c>
      <c r="T588" s="261">
        <v>0</v>
      </c>
      <c r="U588" s="68" t="s">
        <v>1396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550</v>
      </c>
      <c r="S589" s="261">
        <v>0</v>
      </c>
      <c r="T589" s="261">
        <v>30</v>
      </c>
      <c r="U589" s="68" t="s">
        <v>1397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550</v>
      </c>
      <c r="S590" s="261">
        <v>72</v>
      </c>
      <c r="T590" s="261">
        <v>0</v>
      </c>
      <c r="U590" s="68" t="s">
        <v>1399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550</v>
      </c>
      <c r="S591" s="261">
        <v>0</v>
      </c>
      <c r="T591" s="261">
        <v>28.5</v>
      </c>
      <c r="U591" s="68" t="s">
        <v>1400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550</v>
      </c>
      <c r="S592" s="261">
        <v>28.5</v>
      </c>
      <c r="T592" s="261">
        <v>0</v>
      </c>
      <c r="U592" s="68" t="s">
        <v>1401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550</v>
      </c>
      <c r="S593" s="261">
        <v>0</v>
      </c>
      <c r="T593" s="261">
        <v>30</v>
      </c>
      <c r="U593" s="68" t="s">
        <v>1402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550</v>
      </c>
      <c r="S594" s="261">
        <v>0</v>
      </c>
      <c r="T594" s="261">
        <v>12.450000000000001</v>
      </c>
      <c r="U594" s="68" t="s">
        <v>1403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550</v>
      </c>
      <c r="S595" s="261">
        <v>12.450000000000001</v>
      </c>
      <c r="T595" s="261">
        <v>0</v>
      </c>
      <c r="U595" s="68" t="s">
        <v>1404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550</v>
      </c>
      <c r="S596" s="261">
        <v>0</v>
      </c>
      <c r="T596" s="261">
        <v>14.25</v>
      </c>
      <c r="U596" s="68" t="s">
        <v>1405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550</v>
      </c>
      <c r="S597" s="261">
        <v>0</v>
      </c>
      <c r="T597" s="261">
        <v>3.12</v>
      </c>
      <c r="U597" s="68" t="s">
        <v>1409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550</v>
      </c>
      <c r="S598" s="261">
        <v>3.12</v>
      </c>
      <c r="T598" s="261">
        <v>0</v>
      </c>
      <c r="U598" s="68" t="s">
        <v>1410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550</v>
      </c>
      <c r="S599" s="261">
        <v>0</v>
      </c>
      <c r="T599" s="261">
        <v>6</v>
      </c>
      <c r="U599" s="68" t="s">
        <v>1411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550</v>
      </c>
      <c r="S600" s="261">
        <v>0</v>
      </c>
      <c r="T600" s="261">
        <v>2.7</v>
      </c>
      <c r="U600" s="68" t="s">
        <v>1412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550</v>
      </c>
      <c r="S601" s="261">
        <v>2.7</v>
      </c>
      <c r="T601" s="261">
        <v>0</v>
      </c>
      <c r="U601" s="68" t="s">
        <v>1413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550</v>
      </c>
      <c r="S602" s="261">
        <v>0</v>
      </c>
      <c r="T602" s="261">
        <v>4</v>
      </c>
      <c r="U602" s="68" t="s">
        <v>1414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550</v>
      </c>
      <c r="S603" s="261">
        <v>0</v>
      </c>
      <c r="T603" s="261">
        <v>2.7</v>
      </c>
      <c r="U603" s="68" t="s">
        <v>1415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550</v>
      </c>
      <c r="S604" s="261">
        <v>2.7</v>
      </c>
      <c r="T604" s="261">
        <v>0</v>
      </c>
      <c r="U604" s="68" t="s">
        <v>1416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550</v>
      </c>
      <c r="S605" s="261">
        <v>0</v>
      </c>
      <c r="T605" s="261">
        <v>3</v>
      </c>
      <c r="U605" s="68" t="s">
        <v>1417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550</v>
      </c>
      <c r="S606" s="261">
        <v>0</v>
      </c>
      <c r="T606" s="261">
        <v>5.8</v>
      </c>
      <c r="U606" s="68" t="s">
        <v>1418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550</v>
      </c>
      <c r="S607" s="261">
        <v>5.8</v>
      </c>
      <c r="T607" s="261">
        <v>0</v>
      </c>
      <c r="U607" s="68" t="s">
        <v>1419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550</v>
      </c>
      <c r="S608" s="261">
        <v>0</v>
      </c>
      <c r="T608" s="261">
        <v>7</v>
      </c>
      <c r="U608" s="68" t="s">
        <v>1420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550</v>
      </c>
      <c r="S609" s="261">
        <v>0</v>
      </c>
      <c r="T609" s="261">
        <v>3.3</v>
      </c>
      <c r="U609" s="68" t="s">
        <v>1421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550</v>
      </c>
      <c r="S610" s="261">
        <v>3.3</v>
      </c>
      <c r="T610" s="261">
        <v>0</v>
      </c>
      <c r="U610" s="68" t="s">
        <v>1422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550</v>
      </c>
      <c r="S611" s="261">
        <v>0</v>
      </c>
      <c r="T611" s="261">
        <v>4</v>
      </c>
      <c r="U611" s="68" t="s">
        <v>1423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550</v>
      </c>
      <c r="S612" s="261">
        <v>0</v>
      </c>
      <c r="T612" s="261">
        <v>2.1</v>
      </c>
      <c r="U612" s="68" t="s">
        <v>1424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550</v>
      </c>
      <c r="S613" s="261">
        <v>2.1</v>
      </c>
      <c r="T613" s="261">
        <v>0</v>
      </c>
      <c r="U613" s="68" t="s">
        <v>1425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550</v>
      </c>
      <c r="S614" s="261">
        <v>0</v>
      </c>
      <c r="T614" s="261">
        <v>3</v>
      </c>
      <c r="U614" s="68" t="s">
        <v>1426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550</v>
      </c>
      <c r="S615" s="261">
        <v>0</v>
      </c>
      <c r="T615" s="261">
        <v>0.36</v>
      </c>
      <c r="U615" s="68" t="s">
        <v>1427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550</v>
      </c>
      <c r="S616" s="261">
        <v>0.36</v>
      </c>
      <c r="T616" s="261">
        <v>0</v>
      </c>
      <c r="U616" s="68" t="s">
        <v>1428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550</v>
      </c>
      <c r="S617" s="261">
        <v>0</v>
      </c>
      <c r="T617" s="261">
        <v>0.75</v>
      </c>
      <c r="U617" s="68" t="s">
        <v>1429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550</v>
      </c>
      <c r="S618" s="261">
        <v>47.5</v>
      </c>
      <c r="T618" s="261">
        <v>0</v>
      </c>
      <c r="U618" s="68" t="s">
        <v>1432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550</v>
      </c>
      <c r="S619" s="261">
        <v>0</v>
      </c>
      <c r="T619" s="261">
        <v>41.5</v>
      </c>
      <c r="U619" s="68" t="s">
        <v>1433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550</v>
      </c>
      <c r="S620" s="261">
        <v>41.5</v>
      </c>
      <c r="T620" s="261">
        <v>0</v>
      </c>
      <c r="U620" s="68" t="s">
        <v>1434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550</v>
      </c>
      <c r="S621" s="261">
        <v>0</v>
      </c>
      <c r="T621" s="261">
        <v>47.5</v>
      </c>
      <c r="U621" s="68" t="s">
        <v>1435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550</v>
      </c>
      <c r="S622" s="261">
        <v>44.25</v>
      </c>
      <c r="T622" s="261">
        <v>0</v>
      </c>
      <c r="U622" s="68" t="s">
        <v>1437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550</v>
      </c>
      <c r="S623" s="261">
        <v>0</v>
      </c>
      <c r="T623" s="261">
        <v>12.450000000000001</v>
      </c>
      <c r="U623" s="68" t="s">
        <v>1438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550</v>
      </c>
      <c r="S624" s="261">
        <v>12.450000000000001</v>
      </c>
      <c r="T624" s="261">
        <v>0</v>
      </c>
      <c r="U624" s="68" t="s">
        <v>1439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550</v>
      </c>
      <c r="S625" s="261">
        <v>0</v>
      </c>
      <c r="T625" s="261">
        <v>14.25</v>
      </c>
      <c r="U625" s="68" t="s">
        <v>1440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550</v>
      </c>
      <c r="S626" s="261">
        <v>0</v>
      </c>
      <c r="T626" s="261">
        <v>28.5</v>
      </c>
      <c r="U626" s="68" t="s">
        <v>1441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550</v>
      </c>
      <c r="S627" s="261">
        <v>28.5</v>
      </c>
      <c r="T627" s="261">
        <v>0</v>
      </c>
      <c r="U627" s="68" t="s">
        <v>1442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550</v>
      </c>
      <c r="S628" s="261">
        <v>0</v>
      </c>
      <c r="T628" s="261">
        <v>30</v>
      </c>
      <c r="U628" s="68" t="s">
        <v>1443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550</v>
      </c>
      <c r="S629" s="261">
        <v>120.5</v>
      </c>
      <c r="T629" s="261">
        <v>0</v>
      </c>
      <c r="U629" s="68" t="s">
        <v>1445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550</v>
      </c>
      <c r="S630" s="261">
        <v>0</v>
      </c>
      <c r="T630" s="261">
        <v>33.700000000000003</v>
      </c>
      <c r="U630" s="68" t="s">
        <v>1446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550</v>
      </c>
      <c r="S631" s="261">
        <v>33.700000000000003</v>
      </c>
      <c r="T631" s="261">
        <v>0</v>
      </c>
      <c r="U631" s="68" t="s">
        <v>1447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550</v>
      </c>
      <c r="S632" s="261">
        <v>0</v>
      </c>
      <c r="T632" s="261">
        <v>35</v>
      </c>
      <c r="U632" s="68" t="s">
        <v>1448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550</v>
      </c>
      <c r="S633" s="261">
        <v>0</v>
      </c>
      <c r="T633" s="261">
        <v>18.84</v>
      </c>
      <c r="U633" s="68" t="s">
        <v>1449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550</v>
      </c>
      <c r="S634" s="261">
        <v>18.84</v>
      </c>
      <c r="T634" s="261">
        <v>0</v>
      </c>
      <c r="U634" s="68" t="s">
        <v>1450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550</v>
      </c>
      <c r="S635" s="261">
        <v>0</v>
      </c>
      <c r="T635" s="261">
        <v>18</v>
      </c>
      <c r="U635" s="68" t="s">
        <v>1451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550</v>
      </c>
      <c r="S636" s="261">
        <v>0</v>
      </c>
      <c r="T636" s="261">
        <v>21</v>
      </c>
      <c r="U636" s="68" t="s">
        <v>1452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550</v>
      </c>
      <c r="S637" s="261">
        <v>21</v>
      </c>
      <c r="T637" s="261">
        <v>0</v>
      </c>
      <c r="U637" s="68" t="s">
        <v>1453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550</v>
      </c>
      <c r="S638" s="261">
        <v>0</v>
      </c>
      <c r="T638" s="261">
        <v>32.5</v>
      </c>
      <c r="U638" s="68" t="s">
        <v>1454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550</v>
      </c>
      <c r="S639" s="261">
        <v>0</v>
      </c>
      <c r="T639" s="261">
        <v>14.85</v>
      </c>
      <c r="U639" s="68" t="s">
        <v>1455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550</v>
      </c>
      <c r="S640" s="261">
        <v>14.85</v>
      </c>
      <c r="T640" s="261">
        <v>0</v>
      </c>
      <c r="U640" s="68" t="s">
        <v>1456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550</v>
      </c>
      <c r="S641" s="261">
        <v>0</v>
      </c>
      <c r="T641" s="261">
        <v>15</v>
      </c>
      <c r="U641" s="68" t="s">
        <v>1457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550</v>
      </c>
      <c r="S642" s="261">
        <v>0</v>
      </c>
      <c r="T642" s="261">
        <v>19</v>
      </c>
      <c r="U642" s="68" t="s">
        <v>1458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550</v>
      </c>
      <c r="S643" s="261">
        <v>19</v>
      </c>
      <c r="T643" s="261">
        <v>0</v>
      </c>
      <c r="U643" s="68" t="s">
        <v>1459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550</v>
      </c>
      <c r="S644" s="261">
        <v>0</v>
      </c>
      <c r="T644" s="261">
        <v>20</v>
      </c>
      <c r="U644" s="68" t="s">
        <v>1460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550</v>
      </c>
      <c r="S645" s="261">
        <v>101.5</v>
      </c>
      <c r="T645" s="261">
        <v>0</v>
      </c>
      <c r="U645" s="68" t="s">
        <v>1463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550</v>
      </c>
      <c r="S646" s="261">
        <v>0</v>
      </c>
      <c r="T646" s="261">
        <v>16.72</v>
      </c>
      <c r="U646" s="68" t="s">
        <v>1464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550</v>
      </c>
      <c r="S647" s="261">
        <v>16.72</v>
      </c>
      <c r="T647" s="261">
        <v>0</v>
      </c>
      <c r="U647" s="68" t="s">
        <v>1465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550</v>
      </c>
      <c r="S648" s="261">
        <v>0</v>
      </c>
      <c r="T648" s="261">
        <v>16.5</v>
      </c>
      <c r="U648" s="68" t="s">
        <v>1466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550</v>
      </c>
      <c r="S649" s="261">
        <v>0</v>
      </c>
      <c r="T649" s="261">
        <v>10</v>
      </c>
      <c r="U649" s="68" t="s">
        <v>1467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550</v>
      </c>
      <c r="S650" s="261">
        <v>10</v>
      </c>
      <c r="T650" s="261">
        <v>0</v>
      </c>
      <c r="U650" s="68" t="s">
        <v>1468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550</v>
      </c>
      <c r="S651" s="261">
        <v>0</v>
      </c>
      <c r="T651" s="261">
        <v>15</v>
      </c>
      <c r="U651" s="68" t="s">
        <v>1469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550</v>
      </c>
      <c r="S652" s="261">
        <v>0</v>
      </c>
      <c r="T652" s="261">
        <v>28.5</v>
      </c>
      <c r="U652" s="68" t="s">
        <v>1470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550</v>
      </c>
      <c r="S653" s="261">
        <v>28.5</v>
      </c>
      <c r="T653" s="261">
        <v>0</v>
      </c>
      <c r="U653" s="68" t="s">
        <v>1471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550</v>
      </c>
      <c r="S654" s="261">
        <v>0</v>
      </c>
      <c r="T654" s="261">
        <v>30</v>
      </c>
      <c r="U654" s="68" t="s">
        <v>1472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550</v>
      </c>
      <c r="S655" s="261">
        <v>0</v>
      </c>
      <c r="T655" s="261">
        <v>38</v>
      </c>
      <c r="U655" s="68" t="s">
        <v>1470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550</v>
      </c>
      <c r="S656" s="261">
        <v>38</v>
      </c>
      <c r="T656" s="261">
        <v>0</v>
      </c>
      <c r="U656" s="68" t="s">
        <v>1471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550</v>
      </c>
      <c r="S657" s="261">
        <v>0</v>
      </c>
      <c r="T657" s="261">
        <v>40</v>
      </c>
      <c r="U657" s="68" t="s">
        <v>1472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550</v>
      </c>
      <c r="S658" s="261">
        <v>99.25</v>
      </c>
      <c r="T658" s="261">
        <v>0</v>
      </c>
      <c r="U658" s="68" t="s">
        <v>1474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550</v>
      </c>
      <c r="S659" s="261">
        <v>0</v>
      </c>
      <c r="T659" s="261">
        <v>12.450000000000001</v>
      </c>
      <c r="U659" s="68" t="s">
        <v>1475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550</v>
      </c>
      <c r="S660" s="261">
        <v>12.450000000000001</v>
      </c>
      <c r="T660" s="261">
        <v>0</v>
      </c>
      <c r="U660" s="68" t="s">
        <v>1476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550</v>
      </c>
      <c r="S661" s="261">
        <v>0</v>
      </c>
      <c r="T661" s="261">
        <v>14.25</v>
      </c>
      <c r="U661" s="68" t="s">
        <v>1477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550</v>
      </c>
      <c r="S662" s="261">
        <v>0</v>
      </c>
      <c r="T662" s="261">
        <v>57</v>
      </c>
      <c r="U662" s="68" t="s">
        <v>1478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550</v>
      </c>
      <c r="S663" s="261">
        <v>57</v>
      </c>
      <c r="T663" s="261">
        <v>0</v>
      </c>
      <c r="U663" s="68" t="s">
        <v>1479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550</v>
      </c>
      <c r="S664" s="261">
        <v>0</v>
      </c>
      <c r="T664" s="261">
        <v>60</v>
      </c>
      <c r="U664" s="68" t="s">
        <v>1480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550</v>
      </c>
      <c r="S665" s="261">
        <v>0</v>
      </c>
      <c r="T665" s="261">
        <v>20</v>
      </c>
      <c r="U665" s="68" t="s">
        <v>1481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550</v>
      </c>
      <c r="S666" s="261">
        <v>20</v>
      </c>
      <c r="T666" s="261">
        <v>0</v>
      </c>
      <c r="U666" s="68" t="s">
        <v>1482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550</v>
      </c>
      <c r="S667" s="261">
        <v>0</v>
      </c>
      <c r="T667" s="261">
        <v>25</v>
      </c>
      <c r="U667" s="68" t="s">
        <v>1483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550</v>
      </c>
      <c r="S668" s="261">
        <v>13.4</v>
      </c>
      <c r="T668" s="261">
        <v>0</v>
      </c>
      <c r="U668" s="68" t="s">
        <v>1485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550</v>
      </c>
      <c r="S669" s="261">
        <v>0</v>
      </c>
      <c r="T669" s="261">
        <v>5.95</v>
      </c>
      <c r="U669" s="68" t="s">
        <v>1486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550</v>
      </c>
      <c r="S670" s="261">
        <v>5.95</v>
      </c>
      <c r="T670" s="261">
        <v>0</v>
      </c>
      <c r="U670" s="68" t="s">
        <v>1487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550</v>
      </c>
      <c r="S671" s="261">
        <v>0</v>
      </c>
      <c r="T671" s="261">
        <v>7</v>
      </c>
      <c r="U671" s="68" t="s">
        <v>1488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550</v>
      </c>
      <c r="S672" s="261">
        <v>0</v>
      </c>
      <c r="T672" s="261">
        <v>1.2</v>
      </c>
      <c r="U672" s="68" t="s">
        <v>1489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550</v>
      </c>
      <c r="S673" s="261">
        <v>1.2</v>
      </c>
      <c r="T673" s="261">
        <v>0</v>
      </c>
      <c r="U673" s="68" t="s">
        <v>1490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550</v>
      </c>
      <c r="S674" s="261">
        <v>0</v>
      </c>
      <c r="T674" s="261">
        <v>2.52</v>
      </c>
      <c r="U674" s="68" t="s">
        <v>1491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550</v>
      </c>
      <c r="S675" s="261">
        <v>0</v>
      </c>
      <c r="T675" s="261">
        <v>0.76</v>
      </c>
      <c r="U675" s="68" t="s">
        <v>1492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550</v>
      </c>
      <c r="S676" s="261">
        <v>0.76</v>
      </c>
      <c r="T676" s="261">
        <v>0</v>
      </c>
      <c r="U676" s="68" t="s">
        <v>1493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550</v>
      </c>
      <c r="S677" s="261">
        <v>0</v>
      </c>
      <c r="T677" s="261">
        <v>1</v>
      </c>
      <c r="U677" s="68" t="s">
        <v>1494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550</v>
      </c>
      <c r="S678" s="261">
        <v>0</v>
      </c>
      <c r="T678" s="261">
        <v>0.72</v>
      </c>
      <c r="U678" s="68" t="s">
        <v>1495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550</v>
      </c>
      <c r="S679" s="261">
        <v>0.72</v>
      </c>
      <c r="T679" s="261">
        <v>0</v>
      </c>
      <c r="U679" s="68" t="s">
        <v>1496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550</v>
      </c>
      <c r="S680" s="261">
        <v>0</v>
      </c>
      <c r="T680" s="261">
        <v>2</v>
      </c>
      <c r="U680" s="68" t="s">
        <v>1497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550</v>
      </c>
      <c r="S681" s="261">
        <v>0</v>
      </c>
      <c r="T681" s="261">
        <v>0.56000000000000005</v>
      </c>
      <c r="U681" s="68" t="s">
        <v>1498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550</v>
      </c>
      <c r="S682" s="261">
        <v>0.56000000000000005</v>
      </c>
      <c r="T682" s="261">
        <v>0</v>
      </c>
      <c r="U682" s="68" t="s">
        <v>1499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550</v>
      </c>
      <c r="S683" s="261">
        <v>0</v>
      </c>
      <c r="T683" s="261">
        <v>0.76</v>
      </c>
      <c r="U683" s="68" t="s">
        <v>1500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550</v>
      </c>
      <c r="S684" s="261">
        <v>0</v>
      </c>
      <c r="T684" s="261">
        <v>0.1</v>
      </c>
      <c r="U684" s="68" t="s">
        <v>1501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550</v>
      </c>
      <c r="S685" s="261">
        <v>0.1</v>
      </c>
      <c r="T685" s="261">
        <v>0</v>
      </c>
      <c r="U685" s="68" t="s">
        <v>1502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550</v>
      </c>
      <c r="S686" s="261">
        <v>0</v>
      </c>
      <c r="T686" s="261">
        <v>0.13</v>
      </c>
      <c r="U686" s="68" t="s">
        <v>1503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550</v>
      </c>
      <c r="S687" s="261">
        <v>71.39</v>
      </c>
      <c r="T687" s="261">
        <v>0</v>
      </c>
      <c r="U687" s="68" t="s">
        <v>1506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550</v>
      </c>
      <c r="S688" s="261">
        <v>0</v>
      </c>
      <c r="T688" s="261">
        <v>7.49</v>
      </c>
      <c r="U688" s="68" t="s">
        <v>1507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550</v>
      </c>
      <c r="S689" s="261">
        <v>7.49</v>
      </c>
      <c r="T689" s="261">
        <v>0</v>
      </c>
      <c r="U689" s="68" t="s">
        <v>1508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550</v>
      </c>
      <c r="S690" s="261">
        <v>0</v>
      </c>
      <c r="T690" s="261">
        <v>8</v>
      </c>
      <c r="U690" s="68" t="s">
        <v>1509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550</v>
      </c>
      <c r="S691" s="261">
        <v>0</v>
      </c>
      <c r="T691" s="261">
        <v>2.9</v>
      </c>
      <c r="U691" s="68" t="s">
        <v>1510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550</v>
      </c>
      <c r="S692" s="261">
        <v>2.9</v>
      </c>
      <c r="T692" s="261">
        <v>0</v>
      </c>
      <c r="U692" s="68" t="s">
        <v>1511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550</v>
      </c>
      <c r="S693" s="261">
        <v>0</v>
      </c>
      <c r="T693" s="261">
        <v>3</v>
      </c>
      <c r="U693" s="68" t="s">
        <v>1512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550</v>
      </c>
      <c r="S694" s="261">
        <v>0</v>
      </c>
      <c r="T694" s="261">
        <v>1.5</v>
      </c>
      <c r="U694" s="68" t="s">
        <v>1513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550</v>
      </c>
      <c r="S695" s="261">
        <v>1.5</v>
      </c>
      <c r="T695" s="261">
        <v>0</v>
      </c>
      <c r="U695" s="68" t="s">
        <v>1514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550</v>
      </c>
      <c r="S696" s="261">
        <v>0</v>
      </c>
      <c r="T696" s="261">
        <v>2.64</v>
      </c>
      <c r="U696" s="68" t="s">
        <v>1515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550</v>
      </c>
      <c r="S697" s="261">
        <v>0</v>
      </c>
      <c r="T697" s="261">
        <v>0.66</v>
      </c>
      <c r="U697" s="68" t="s">
        <v>1518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550</v>
      </c>
      <c r="S698" s="261">
        <v>0.66</v>
      </c>
      <c r="T698" s="261">
        <v>0</v>
      </c>
      <c r="U698" s="68" t="s">
        <v>1519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550</v>
      </c>
      <c r="S699" s="261">
        <v>0</v>
      </c>
      <c r="T699" s="261">
        <v>1.25</v>
      </c>
      <c r="U699" s="68" t="s">
        <v>1520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550</v>
      </c>
      <c r="S700" s="261">
        <v>0</v>
      </c>
      <c r="T700" s="261">
        <v>6.02</v>
      </c>
      <c r="U700" s="68" t="s">
        <v>1521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550</v>
      </c>
      <c r="S701" s="261">
        <v>6.02</v>
      </c>
      <c r="T701" s="261">
        <v>0</v>
      </c>
      <c r="U701" s="68" t="s">
        <v>1522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550</v>
      </c>
      <c r="S702" s="261">
        <v>0</v>
      </c>
      <c r="T702" s="261">
        <v>4</v>
      </c>
      <c r="U702" s="68" t="s">
        <v>1523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550</v>
      </c>
      <c r="S703" s="261">
        <v>0</v>
      </c>
      <c r="T703" s="261">
        <v>4.2300000000000004</v>
      </c>
      <c r="U703" s="68" t="s">
        <v>1526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550</v>
      </c>
      <c r="S704" s="261">
        <v>4.2300000000000004</v>
      </c>
      <c r="T704" s="261">
        <v>0</v>
      </c>
      <c r="U704" s="68" t="s">
        <v>1527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550</v>
      </c>
      <c r="S705" s="261">
        <v>0</v>
      </c>
      <c r="T705" s="261">
        <v>3.5</v>
      </c>
      <c r="U705" s="68" t="s">
        <v>1528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550</v>
      </c>
      <c r="S706" s="261">
        <v>0</v>
      </c>
      <c r="T706" s="261">
        <v>40</v>
      </c>
      <c r="U706" s="68" t="s">
        <v>1529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550</v>
      </c>
      <c r="S707" s="261">
        <v>40</v>
      </c>
      <c r="T707" s="261">
        <v>0</v>
      </c>
      <c r="U707" s="68" t="s">
        <v>1530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550</v>
      </c>
      <c r="S708" s="261">
        <v>0</v>
      </c>
      <c r="T708" s="261">
        <v>42.5</v>
      </c>
      <c r="U708" s="68" t="s">
        <v>1531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550</v>
      </c>
      <c r="S709" s="261">
        <v>0</v>
      </c>
      <c r="T709" s="261">
        <v>1</v>
      </c>
      <c r="U709" s="68" t="s">
        <v>1532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550</v>
      </c>
      <c r="S710" s="261">
        <v>1</v>
      </c>
      <c r="T710" s="261">
        <v>0</v>
      </c>
      <c r="U710" s="68" t="s">
        <v>1533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550</v>
      </c>
      <c r="S711" s="261">
        <v>0</v>
      </c>
      <c r="T711" s="261">
        <v>1.5</v>
      </c>
      <c r="U711" s="68" t="s">
        <v>1534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550</v>
      </c>
      <c r="S712" s="261">
        <v>0</v>
      </c>
      <c r="T712" s="261">
        <v>4.5</v>
      </c>
      <c r="U712" s="68" t="s">
        <v>1535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550</v>
      </c>
      <c r="S713" s="261">
        <v>4.5</v>
      </c>
      <c r="T713" s="261">
        <v>0</v>
      </c>
      <c r="U713" s="68" t="s">
        <v>1536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550</v>
      </c>
      <c r="S714" s="261">
        <v>0</v>
      </c>
      <c r="T714" s="261">
        <v>5</v>
      </c>
      <c r="U714" s="68" t="s">
        <v>1537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550</v>
      </c>
      <c r="S715" s="261">
        <v>47.5</v>
      </c>
      <c r="T715" s="261">
        <v>0</v>
      </c>
      <c r="U715" s="68" t="s">
        <v>1539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550</v>
      </c>
      <c r="S716" s="261">
        <v>0</v>
      </c>
      <c r="T716" s="261">
        <v>41.5</v>
      </c>
      <c r="U716" s="68" t="s">
        <v>1540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550</v>
      </c>
      <c r="S717" s="261">
        <v>41.5</v>
      </c>
      <c r="T717" s="261">
        <v>0</v>
      </c>
      <c r="U717" s="68" t="s">
        <v>1541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550</v>
      </c>
      <c r="S718" s="261">
        <v>0</v>
      </c>
      <c r="T718" s="261">
        <v>47.5</v>
      </c>
      <c r="U718" s="68" t="s">
        <v>1542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550</v>
      </c>
      <c r="S719" s="261">
        <v>101</v>
      </c>
      <c r="T719" s="261">
        <v>0</v>
      </c>
      <c r="U719" s="68" t="s">
        <v>1544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550</v>
      </c>
      <c r="S720" s="261">
        <v>0</v>
      </c>
      <c r="T720" s="261">
        <v>28.5</v>
      </c>
      <c r="U720" s="68" t="s">
        <v>1545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550</v>
      </c>
      <c r="S721" s="261">
        <v>28.5</v>
      </c>
      <c r="T721" s="261">
        <v>0</v>
      </c>
      <c r="U721" s="68" t="s">
        <v>1546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550</v>
      </c>
      <c r="S722" s="261">
        <v>0</v>
      </c>
      <c r="T722" s="261">
        <v>30</v>
      </c>
      <c r="U722" s="68" t="s">
        <v>1547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550</v>
      </c>
      <c r="S723" s="261">
        <v>0</v>
      </c>
      <c r="T723" s="261">
        <v>12.56</v>
      </c>
      <c r="U723" s="68" t="s">
        <v>1548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550</v>
      </c>
      <c r="S724" s="261">
        <v>12.56</v>
      </c>
      <c r="T724" s="261">
        <v>0</v>
      </c>
      <c r="U724" s="68" t="s">
        <v>1549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550</v>
      </c>
      <c r="S725" s="261">
        <v>0</v>
      </c>
      <c r="T725" s="261">
        <v>12.5</v>
      </c>
      <c r="U725" s="68" t="s">
        <v>1550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550</v>
      </c>
      <c r="S726" s="261">
        <v>0</v>
      </c>
      <c r="T726" s="261">
        <v>13.48</v>
      </c>
      <c r="U726" s="68" t="s">
        <v>1551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550</v>
      </c>
      <c r="S727" s="261">
        <v>13.48</v>
      </c>
      <c r="T727" s="261">
        <v>0</v>
      </c>
      <c r="U727" s="68" t="s">
        <v>1552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550</v>
      </c>
      <c r="S728" s="261">
        <v>0</v>
      </c>
      <c r="T728" s="261">
        <v>14</v>
      </c>
      <c r="U728" s="68" t="s">
        <v>1553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550</v>
      </c>
      <c r="S729" s="261">
        <v>0</v>
      </c>
      <c r="T729" s="261">
        <v>8.3000000000000007</v>
      </c>
      <c r="U729" s="68" t="s">
        <v>1554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550</v>
      </c>
      <c r="S730" s="261">
        <v>8.3000000000000007</v>
      </c>
      <c r="T730" s="261">
        <v>0</v>
      </c>
      <c r="U730" s="68" t="s">
        <v>1555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550</v>
      </c>
      <c r="S731" s="261">
        <v>0</v>
      </c>
      <c r="T731" s="261">
        <v>9.5</v>
      </c>
      <c r="U731" s="68" t="s">
        <v>1556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550</v>
      </c>
      <c r="S732" s="261">
        <v>0</v>
      </c>
      <c r="T732" s="261">
        <v>12.27</v>
      </c>
      <c r="U732" s="68" t="s">
        <v>1557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550</v>
      </c>
      <c r="S733" s="261">
        <v>12.27</v>
      </c>
      <c r="T733" s="261">
        <v>0</v>
      </c>
      <c r="U733" s="68" t="s">
        <v>1558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550</v>
      </c>
      <c r="S734" s="261">
        <v>0</v>
      </c>
      <c r="T734" s="261">
        <v>15</v>
      </c>
      <c r="U734" s="68" t="s">
        <v>1559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550</v>
      </c>
      <c r="S735" s="261">
        <v>0</v>
      </c>
      <c r="T735" s="261">
        <v>16.5</v>
      </c>
      <c r="U735" s="68" t="s">
        <v>1560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550</v>
      </c>
      <c r="S736" s="261">
        <v>16.5</v>
      </c>
      <c r="T736" s="261">
        <v>0</v>
      </c>
      <c r="U736" s="68" t="s">
        <v>1561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550</v>
      </c>
      <c r="S737" s="261">
        <v>0</v>
      </c>
      <c r="T737" s="261">
        <v>20</v>
      </c>
      <c r="U737" s="68" t="s">
        <v>1562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550</v>
      </c>
      <c r="S738" s="261">
        <v>28.13</v>
      </c>
      <c r="T738" s="261">
        <v>0</v>
      </c>
      <c r="U738" s="68" t="s">
        <v>1565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550</v>
      </c>
      <c r="S739" s="261">
        <v>0</v>
      </c>
      <c r="T739" s="261">
        <v>20</v>
      </c>
      <c r="U739" s="68" t="s">
        <v>1566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550</v>
      </c>
      <c r="S740" s="261">
        <v>20</v>
      </c>
      <c r="T740" s="261">
        <v>0</v>
      </c>
      <c r="U740" s="68" t="s">
        <v>1567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550</v>
      </c>
      <c r="S741" s="261">
        <v>0</v>
      </c>
      <c r="T741" s="261">
        <v>21.25</v>
      </c>
      <c r="U741" s="68" t="s">
        <v>1568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550</v>
      </c>
      <c r="S742" s="261">
        <v>0</v>
      </c>
      <c r="T742" s="261">
        <v>6.28</v>
      </c>
      <c r="U742" s="68" t="s">
        <v>1569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550</v>
      </c>
      <c r="S743" s="261">
        <v>6.28</v>
      </c>
      <c r="T743" s="261">
        <v>0</v>
      </c>
      <c r="U743" s="68" t="s">
        <v>1570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550</v>
      </c>
      <c r="S744" s="261">
        <v>0</v>
      </c>
      <c r="T744" s="261">
        <v>6</v>
      </c>
      <c r="U744" s="68" t="s">
        <v>1571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550</v>
      </c>
      <c r="S745" s="261">
        <v>0</v>
      </c>
      <c r="T745" s="261">
        <v>0.41</v>
      </c>
      <c r="U745" s="68" t="s">
        <v>1572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550</v>
      </c>
      <c r="S746" s="261">
        <v>0.41</v>
      </c>
      <c r="T746" s="261">
        <v>0</v>
      </c>
      <c r="U746" s="68" t="s">
        <v>1573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550</v>
      </c>
      <c r="S747" s="261">
        <v>0</v>
      </c>
      <c r="T747" s="261">
        <v>0.88</v>
      </c>
      <c r="U747" s="68" t="s">
        <v>1574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550</v>
      </c>
      <c r="S748" s="261">
        <v>18</v>
      </c>
      <c r="T748" s="261">
        <v>0</v>
      </c>
      <c r="U748" s="68" t="s">
        <v>1576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550</v>
      </c>
      <c r="S749" s="261">
        <v>0</v>
      </c>
      <c r="T749" s="261">
        <v>14.25</v>
      </c>
      <c r="U749" s="68" t="s">
        <v>1577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550</v>
      </c>
      <c r="S750" s="261">
        <v>14.25</v>
      </c>
      <c r="T750" s="261">
        <v>0</v>
      </c>
      <c r="U750" s="68" t="s">
        <v>1578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550</v>
      </c>
      <c r="S751" s="261">
        <v>0</v>
      </c>
      <c r="T751" s="261">
        <v>15</v>
      </c>
      <c r="U751" s="68" t="s">
        <v>1579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550</v>
      </c>
      <c r="S752" s="261">
        <v>0</v>
      </c>
      <c r="T752" s="261">
        <v>2</v>
      </c>
      <c r="U752" s="68" t="s">
        <v>1580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550</v>
      </c>
      <c r="S753" s="261">
        <v>2</v>
      </c>
      <c r="T753" s="261">
        <v>0</v>
      </c>
      <c r="U753" s="68" t="s">
        <v>1581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550</v>
      </c>
      <c r="S754" s="261">
        <v>0</v>
      </c>
      <c r="T754" s="261">
        <v>3</v>
      </c>
      <c r="U754" s="68" t="s">
        <v>1582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550</v>
      </c>
      <c r="S755" s="261">
        <v>103.5</v>
      </c>
      <c r="T755" s="261">
        <v>0</v>
      </c>
      <c r="U755" s="68" t="s">
        <v>1584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550</v>
      </c>
      <c r="S756" s="261">
        <v>0</v>
      </c>
      <c r="T756" s="261">
        <v>85</v>
      </c>
      <c r="U756" s="68" t="s">
        <v>1585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550</v>
      </c>
      <c r="S757" s="261">
        <v>85</v>
      </c>
      <c r="T757" s="261">
        <v>0</v>
      </c>
      <c r="U757" s="68" t="s">
        <v>1586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550</v>
      </c>
      <c r="S758" s="261">
        <v>0</v>
      </c>
      <c r="T758" s="261">
        <v>90</v>
      </c>
      <c r="U758" s="68" t="s">
        <v>1587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550</v>
      </c>
      <c r="S759" s="261">
        <v>0</v>
      </c>
      <c r="T759" s="261">
        <v>11.6</v>
      </c>
      <c r="U759" s="68" t="s">
        <v>1588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550</v>
      </c>
      <c r="S760" s="261">
        <v>11.6</v>
      </c>
      <c r="T760" s="261">
        <v>0</v>
      </c>
      <c r="U760" s="68" t="s">
        <v>1589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550</v>
      </c>
      <c r="S761" s="261">
        <v>0</v>
      </c>
      <c r="T761" s="261">
        <v>10</v>
      </c>
      <c r="U761" s="68" t="s">
        <v>1590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550</v>
      </c>
      <c r="S762" s="261">
        <v>0</v>
      </c>
      <c r="T762" s="261">
        <v>1</v>
      </c>
      <c r="U762" s="68" t="s">
        <v>1591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550</v>
      </c>
      <c r="S763" s="261">
        <v>1</v>
      </c>
      <c r="T763" s="261">
        <v>0</v>
      </c>
      <c r="U763" s="68" t="s">
        <v>1592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550</v>
      </c>
      <c r="S764" s="261">
        <v>0</v>
      </c>
      <c r="T764" s="261">
        <v>3.5</v>
      </c>
      <c r="U764" s="68" t="s">
        <v>1593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550</v>
      </c>
      <c r="S765" s="261">
        <v>60</v>
      </c>
      <c r="T765" s="261">
        <v>0</v>
      </c>
      <c r="U765" s="68" t="s">
        <v>1596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550</v>
      </c>
      <c r="S766" s="261">
        <v>0</v>
      </c>
      <c r="T766" s="261">
        <v>57</v>
      </c>
      <c r="U766" s="68" t="s">
        <v>1597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550</v>
      </c>
      <c r="S767" s="261">
        <v>57</v>
      </c>
      <c r="T767" s="261">
        <v>0</v>
      </c>
      <c r="U767" s="68" t="s">
        <v>1598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550</v>
      </c>
      <c r="S768" s="261">
        <v>0</v>
      </c>
      <c r="T768" s="261">
        <v>60</v>
      </c>
      <c r="U768" s="68" t="s">
        <v>1599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550</v>
      </c>
      <c r="S769" s="261">
        <v>64</v>
      </c>
      <c r="T769" s="261">
        <v>0</v>
      </c>
      <c r="U769" s="68" t="s">
        <v>1601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550</v>
      </c>
      <c r="S770" s="261">
        <v>0</v>
      </c>
      <c r="T770" s="261">
        <v>25.08</v>
      </c>
      <c r="U770" s="68" t="s">
        <v>1602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550</v>
      </c>
      <c r="S771" s="261">
        <v>25.08</v>
      </c>
      <c r="T771" s="261">
        <v>0</v>
      </c>
      <c r="U771" s="68" t="s">
        <v>1603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550</v>
      </c>
      <c r="S772" s="261">
        <v>0</v>
      </c>
      <c r="T772" s="261">
        <v>27</v>
      </c>
      <c r="U772" s="68" t="s">
        <v>1604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550</v>
      </c>
      <c r="S773" s="261">
        <v>0</v>
      </c>
      <c r="T773" s="261">
        <v>24.54</v>
      </c>
      <c r="U773" s="68" t="s">
        <v>1605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550</v>
      </c>
      <c r="S774" s="261">
        <v>24.54</v>
      </c>
      <c r="T774" s="261">
        <v>0</v>
      </c>
      <c r="U774" s="68" t="s">
        <v>1606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550</v>
      </c>
      <c r="S775" s="261">
        <v>0</v>
      </c>
      <c r="T775" s="261">
        <v>27</v>
      </c>
      <c r="U775" s="68" t="s">
        <v>1607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550</v>
      </c>
      <c r="S776" s="261">
        <v>0</v>
      </c>
      <c r="T776" s="261">
        <v>4.2</v>
      </c>
      <c r="U776" s="68" t="s">
        <v>1608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550</v>
      </c>
      <c r="S777" s="261">
        <v>4.2</v>
      </c>
      <c r="T777" s="261">
        <v>0</v>
      </c>
      <c r="U777" s="68" t="s">
        <v>1609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550</v>
      </c>
      <c r="S778" s="261">
        <v>0</v>
      </c>
      <c r="T778" s="261">
        <v>5.5</v>
      </c>
      <c r="U778" s="68" t="s">
        <v>1610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550</v>
      </c>
      <c r="S779" s="261">
        <v>0</v>
      </c>
      <c r="T779" s="261">
        <v>0.96</v>
      </c>
      <c r="U779" s="68" t="s">
        <v>1611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550</v>
      </c>
      <c r="S780" s="261">
        <v>0.96</v>
      </c>
      <c r="T780" s="261">
        <v>0</v>
      </c>
      <c r="U780" s="68" t="s">
        <v>1612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550</v>
      </c>
      <c r="S781" s="261">
        <v>0</v>
      </c>
      <c r="T781" s="261">
        <v>2</v>
      </c>
      <c r="U781" s="68" t="s">
        <v>1613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550</v>
      </c>
      <c r="S782" s="261">
        <v>0</v>
      </c>
      <c r="T782" s="261">
        <v>1.32</v>
      </c>
      <c r="U782" s="68" t="s">
        <v>1614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550</v>
      </c>
      <c r="S783" s="261">
        <v>1.32</v>
      </c>
      <c r="T783" s="261">
        <v>0</v>
      </c>
      <c r="U783" s="68" t="s">
        <v>1615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550</v>
      </c>
      <c r="S784" s="261">
        <v>0</v>
      </c>
      <c r="T784" s="261">
        <v>1.75</v>
      </c>
      <c r="U784" s="68" t="s">
        <v>1616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550</v>
      </c>
      <c r="S785" s="261">
        <v>0</v>
      </c>
      <c r="T785" s="261">
        <v>0.34</v>
      </c>
      <c r="U785" s="68" t="s">
        <v>1617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550</v>
      </c>
      <c r="S786" s="261">
        <v>0.34</v>
      </c>
      <c r="T786" s="261">
        <v>0</v>
      </c>
      <c r="U786" s="68" t="s">
        <v>1618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550</v>
      </c>
      <c r="S787" s="261">
        <v>0</v>
      </c>
      <c r="T787" s="261">
        <v>0.75</v>
      </c>
      <c r="U787" s="68" t="s">
        <v>1619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550</v>
      </c>
      <c r="S788" s="261">
        <v>45</v>
      </c>
      <c r="T788" s="261">
        <v>0</v>
      </c>
      <c r="U788" s="68" t="s">
        <v>1621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550</v>
      </c>
      <c r="S789" s="261">
        <v>0</v>
      </c>
      <c r="T789" s="261">
        <v>41.5</v>
      </c>
      <c r="U789" s="68" t="s">
        <v>1622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550</v>
      </c>
      <c r="S790" s="261">
        <v>41.5</v>
      </c>
      <c r="T790" s="261">
        <v>0</v>
      </c>
      <c r="U790" s="68" t="s">
        <v>1623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550</v>
      </c>
      <c r="S791" s="261">
        <v>0</v>
      </c>
      <c r="T791" s="261">
        <v>45</v>
      </c>
      <c r="U791" s="68" t="s">
        <v>1624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550</v>
      </c>
      <c r="S792" s="261">
        <v>50.8</v>
      </c>
      <c r="T792" s="261">
        <v>0</v>
      </c>
      <c r="U792" s="68" t="s">
        <v>1627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550</v>
      </c>
      <c r="S793" s="261">
        <v>0</v>
      </c>
      <c r="T793" s="261">
        <v>26.96</v>
      </c>
      <c r="U793" s="68" t="s">
        <v>1628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550</v>
      </c>
      <c r="S794" s="261">
        <v>26.96</v>
      </c>
      <c r="T794" s="261">
        <v>0</v>
      </c>
      <c r="U794" s="68" t="s">
        <v>1629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550</v>
      </c>
      <c r="S795" s="261">
        <v>0</v>
      </c>
      <c r="T795" s="261">
        <v>28</v>
      </c>
      <c r="U795" s="68" t="s">
        <v>1630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550</v>
      </c>
      <c r="S796" s="261">
        <v>0</v>
      </c>
      <c r="T796" s="261">
        <v>19.68</v>
      </c>
      <c r="U796" s="68" t="s">
        <v>1631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550</v>
      </c>
      <c r="S797" s="261">
        <v>19.68</v>
      </c>
      <c r="T797" s="261">
        <v>0</v>
      </c>
      <c r="U797" s="68" t="s">
        <v>1632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550</v>
      </c>
      <c r="S798" s="261">
        <v>0</v>
      </c>
      <c r="T798" s="261">
        <v>22.8</v>
      </c>
      <c r="U798" s="68" t="s">
        <v>1633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550</v>
      </c>
      <c r="S799" s="261">
        <v>39</v>
      </c>
      <c r="T799" s="261">
        <v>0</v>
      </c>
      <c r="U799" s="68" t="s">
        <v>1635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550</v>
      </c>
      <c r="S800" s="261">
        <v>0</v>
      </c>
      <c r="T800" s="261">
        <v>20.45</v>
      </c>
      <c r="U800" s="68" t="s">
        <v>1636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550</v>
      </c>
      <c r="S801" s="261">
        <v>20.45</v>
      </c>
      <c r="T801" s="261">
        <v>0</v>
      </c>
      <c r="U801" s="68" t="s">
        <v>1637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550</v>
      </c>
      <c r="S802" s="261">
        <v>0</v>
      </c>
      <c r="T802" s="261">
        <v>22.5</v>
      </c>
      <c r="U802" s="68" t="s">
        <v>1638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550</v>
      </c>
      <c r="S803" s="261">
        <v>0</v>
      </c>
      <c r="T803" s="261">
        <v>16.72</v>
      </c>
      <c r="U803" s="68" t="s">
        <v>1639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550</v>
      </c>
      <c r="S804" s="261">
        <v>16.72</v>
      </c>
      <c r="T804" s="261">
        <v>0</v>
      </c>
      <c r="U804" s="68" t="s">
        <v>1640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550</v>
      </c>
      <c r="S805" s="261">
        <v>0</v>
      </c>
      <c r="T805" s="261">
        <v>16.5</v>
      </c>
      <c r="U805" s="68" t="s">
        <v>1641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550</v>
      </c>
      <c r="S806" s="261">
        <v>51.5</v>
      </c>
      <c r="T806" s="261">
        <v>0</v>
      </c>
      <c r="U806" s="68" t="s">
        <v>1643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550</v>
      </c>
      <c r="S807" s="261">
        <v>0</v>
      </c>
      <c r="T807" s="261">
        <v>47</v>
      </c>
      <c r="U807" s="68" t="s">
        <v>1645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550</v>
      </c>
      <c r="S808" s="261">
        <v>47</v>
      </c>
      <c r="T808" s="261">
        <v>0</v>
      </c>
      <c r="U808" s="68" t="s">
        <v>1646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550</v>
      </c>
      <c r="S809" s="261">
        <v>0</v>
      </c>
      <c r="T809" s="261">
        <v>50</v>
      </c>
      <c r="U809" s="68" t="s">
        <v>1647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550</v>
      </c>
      <c r="S810" s="261">
        <v>0</v>
      </c>
      <c r="T810" s="261">
        <v>4</v>
      </c>
      <c r="U810" s="68" t="s">
        <v>1650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550</v>
      </c>
      <c r="S811" s="261">
        <v>4</v>
      </c>
      <c r="T811" s="261">
        <v>0</v>
      </c>
      <c r="U811" s="68" t="s">
        <v>1651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550</v>
      </c>
      <c r="S812" s="261">
        <v>0</v>
      </c>
      <c r="T812" s="261">
        <v>1.5</v>
      </c>
      <c r="U812" s="68" t="s">
        <v>1652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550</v>
      </c>
      <c r="S813" s="261">
        <v>71.25</v>
      </c>
      <c r="T813" s="261">
        <v>0</v>
      </c>
      <c r="U813" s="68" t="s">
        <v>1655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550</v>
      </c>
      <c r="S814" s="261">
        <v>0</v>
      </c>
      <c r="T814" s="261">
        <v>42.5</v>
      </c>
      <c r="U814" s="68" t="s">
        <v>1656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550</v>
      </c>
      <c r="S815" s="261">
        <v>42.5</v>
      </c>
      <c r="T815" s="261">
        <v>0</v>
      </c>
      <c r="U815" s="68" t="s">
        <v>1657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550</v>
      </c>
      <c r="S816" s="261">
        <v>0</v>
      </c>
      <c r="T816" s="261">
        <v>47.5</v>
      </c>
      <c r="U816" s="68" t="s">
        <v>1658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550</v>
      </c>
      <c r="S817" s="261">
        <v>0</v>
      </c>
      <c r="T817" s="261">
        <v>20.75</v>
      </c>
      <c r="U817" s="68" t="s">
        <v>1659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550</v>
      </c>
      <c r="S818" s="261">
        <v>20.75</v>
      </c>
      <c r="T818" s="261">
        <v>0</v>
      </c>
      <c r="U818" s="68" t="s">
        <v>1660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550</v>
      </c>
      <c r="S819" s="261">
        <v>0</v>
      </c>
      <c r="T819" s="261">
        <v>23.75</v>
      </c>
      <c r="U819" s="68" t="s">
        <v>1661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550</v>
      </c>
      <c r="S820" s="261">
        <v>35.25</v>
      </c>
      <c r="T820" s="261">
        <v>0</v>
      </c>
      <c r="U820" s="68" t="s">
        <v>1663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550</v>
      </c>
      <c r="S821" s="261">
        <v>0</v>
      </c>
      <c r="T821" s="261">
        <v>18.84</v>
      </c>
      <c r="U821" s="68" t="s">
        <v>1664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550</v>
      </c>
      <c r="S822" s="261">
        <v>18.84</v>
      </c>
      <c r="T822" s="261">
        <v>0</v>
      </c>
      <c r="U822" s="68" t="s">
        <v>1665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550</v>
      </c>
      <c r="S823" s="261">
        <v>0</v>
      </c>
      <c r="T823" s="261">
        <v>21</v>
      </c>
      <c r="U823" s="68" t="s">
        <v>1666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550</v>
      </c>
      <c r="S824" s="261">
        <v>0</v>
      </c>
      <c r="T824" s="261">
        <v>12.450000000000001</v>
      </c>
      <c r="U824" s="68" t="s">
        <v>1667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550</v>
      </c>
      <c r="S825" s="261">
        <v>12.450000000000001</v>
      </c>
      <c r="T825" s="261">
        <v>0</v>
      </c>
      <c r="U825" s="68" t="s">
        <v>1668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550</v>
      </c>
      <c r="S826" s="261">
        <v>0</v>
      </c>
      <c r="T826" s="261">
        <v>14.25</v>
      </c>
      <c r="U826" s="68" t="s">
        <v>1669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550</v>
      </c>
      <c r="S827" s="261">
        <v>51.25</v>
      </c>
      <c r="T827" s="261">
        <v>0</v>
      </c>
      <c r="U827" s="68" t="s">
        <v>1671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550</v>
      </c>
      <c r="S828" s="261">
        <v>0</v>
      </c>
      <c r="T828" s="261">
        <v>20.75</v>
      </c>
      <c r="U828" s="68" t="s">
        <v>1672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550</v>
      </c>
      <c r="S829" s="261">
        <v>20.75</v>
      </c>
      <c r="T829" s="261">
        <v>0</v>
      </c>
      <c r="U829" s="68" t="s">
        <v>1673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550</v>
      </c>
      <c r="S830" s="261">
        <v>0</v>
      </c>
      <c r="T830" s="261">
        <v>23.75</v>
      </c>
      <c r="U830" s="68" t="s">
        <v>1674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550</v>
      </c>
      <c r="S831" s="261">
        <v>0</v>
      </c>
      <c r="T831" s="261">
        <v>6.6</v>
      </c>
      <c r="U831" s="68" t="s">
        <v>1675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550</v>
      </c>
      <c r="S832" s="261">
        <v>6.6</v>
      </c>
      <c r="T832" s="261">
        <v>0</v>
      </c>
      <c r="U832" s="68" t="s">
        <v>1676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550</v>
      </c>
      <c r="S833" s="261">
        <v>0</v>
      </c>
      <c r="T833" s="261">
        <v>7.5</v>
      </c>
      <c r="U833" s="68" t="s">
        <v>1677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550</v>
      </c>
      <c r="S834" s="261">
        <v>0</v>
      </c>
      <c r="T834" s="261">
        <v>9</v>
      </c>
      <c r="U834" s="68" t="s">
        <v>1678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550</v>
      </c>
      <c r="S835" s="261">
        <v>9</v>
      </c>
      <c r="T835" s="261">
        <v>0</v>
      </c>
      <c r="U835" s="68" t="s">
        <v>1679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550</v>
      </c>
      <c r="S836" s="261">
        <v>0</v>
      </c>
      <c r="T836" s="261">
        <v>10</v>
      </c>
      <c r="U836" s="68" t="s">
        <v>1680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550</v>
      </c>
      <c r="S837" s="261">
        <v>0</v>
      </c>
      <c r="T837" s="261">
        <v>6.75</v>
      </c>
      <c r="U837" s="68" t="s">
        <v>1681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550</v>
      </c>
      <c r="S838" s="261">
        <v>6.75</v>
      </c>
      <c r="T838" s="261">
        <v>0</v>
      </c>
      <c r="U838" s="68" t="s">
        <v>1682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550</v>
      </c>
      <c r="S839" s="261">
        <v>0</v>
      </c>
      <c r="T839" s="261">
        <v>10</v>
      </c>
      <c r="U839" s="68" t="s">
        <v>1683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550</v>
      </c>
      <c r="S840" s="261">
        <v>45</v>
      </c>
      <c r="T840" s="261">
        <v>0</v>
      </c>
      <c r="U840" s="68" t="s">
        <v>1685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550</v>
      </c>
      <c r="S841" s="261">
        <v>0</v>
      </c>
      <c r="T841" s="261">
        <v>42.5</v>
      </c>
      <c r="U841" s="68" t="s">
        <v>1686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550</v>
      </c>
      <c r="S842" s="261">
        <v>42.5</v>
      </c>
      <c r="T842" s="261">
        <v>0</v>
      </c>
      <c r="U842" s="68" t="s">
        <v>1687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550</v>
      </c>
      <c r="S843" s="261">
        <v>0</v>
      </c>
      <c r="T843" s="261">
        <v>45</v>
      </c>
      <c r="U843" s="68" t="s">
        <v>1688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550</v>
      </c>
      <c r="S844" s="261">
        <v>63.75</v>
      </c>
      <c r="T844" s="261">
        <v>0</v>
      </c>
      <c r="U844" s="68" t="s">
        <v>1690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550</v>
      </c>
      <c r="S845" s="261">
        <v>0</v>
      </c>
      <c r="T845" s="261">
        <v>12.690000000000001</v>
      </c>
      <c r="U845" s="68" t="s">
        <v>1691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550</v>
      </c>
      <c r="S846" s="261">
        <v>12.690000000000001</v>
      </c>
      <c r="T846" s="261">
        <v>0</v>
      </c>
      <c r="U846" s="68" t="s">
        <v>1692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550</v>
      </c>
      <c r="S847" s="261">
        <v>0</v>
      </c>
      <c r="T847" s="261">
        <v>15</v>
      </c>
      <c r="U847" s="68" t="s">
        <v>1693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550</v>
      </c>
      <c r="S848" s="261">
        <v>0</v>
      </c>
      <c r="T848" s="261">
        <v>21.65</v>
      </c>
      <c r="U848" s="68" t="s">
        <v>1694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550</v>
      </c>
      <c r="S849" s="261">
        <v>21.65</v>
      </c>
      <c r="T849" s="261">
        <v>0</v>
      </c>
      <c r="U849" s="68" t="s">
        <v>1695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550</v>
      </c>
      <c r="S850" s="261">
        <v>0</v>
      </c>
      <c r="T850" s="261">
        <v>25</v>
      </c>
      <c r="U850" s="68" t="s">
        <v>1696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550</v>
      </c>
      <c r="S851" s="261">
        <v>0</v>
      </c>
      <c r="T851" s="261">
        <v>20.75</v>
      </c>
      <c r="U851" s="68" t="s">
        <v>1697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550</v>
      </c>
      <c r="S852" s="261">
        <v>20.75</v>
      </c>
      <c r="T852" s="261">
        <v>0</v>
      </c>
      <c r="U852" s="68" t="s">
        <v>1698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550</v>
      </c>
      <c r="S853" s="261">
        <v>0</v>
      </c>
      <c r="T853" s="261">
        <v>23.75</v>
      </c>
      <c r="U853" s="68" t="s">
        <v>1699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550</v>
      </c>
      <c r="S854" s="261">
        <v>116</v>
      </c>
      <c r="T854" s="261">
        <v>0</v>
      </c>
      <c r="U854" s="68" t="s">
        <v>1702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550</v>
      </c>
      <c r="S855" s="261">
        <v>0</v>
      </c>
      <c r="T855" s="261">
        <v>53</v>
      </c>
      <c r="U855" s="68" t="s">
        <v>1706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550</v>
      </c>
      <c r="S856" s="261">
        <v>53</v>
      </c>
      <c r="T856" s="261">
        <v>0</v>
      </c>
      <c r="U856" s="68" t="s">
        <v>1707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550</v>
      </c>
      <c r="S857" s="261">
        <v>0</v>
      </c>
      <c r="T857" s="261">
        <v>60</v>
      </c>
      <c r="U857" s="68" t="s">
        <v>1708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550</v>
      </c>
      <c r="S858" s="261">
        <v>0</v>
      </c>
      <c r="T858" s="261">
        <v>20.25</v>
      </c>
      <c r="U858" s="68" t="s">
        <v>1711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550</v>
      </c>
      <c r="S859" s="261">
        <v>20.25</v>
      </c>
      <c r="T859" s="261">
        <v>0</v>
      </c>
      <c r="U859" s="68" t="s">
        <v>1712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550</v>
      </c>
      <c r="S860" s="261">
        <v>0</v>
      </c>
      <c r="T860" s="261">
        <v>26</v>
      </c>
      <c r="U860" s="68" t="s">
        <v>1713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550</v>
      </c>
      <c r="S861" s="261">
        <v>0</v>
      </c>
      <c r="T861" s="261">
        <v>24.6</v>
      </c>
      <c r="U861" s="68" t="s">
        <v>1714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550</v>
      </c>
      <c r="S862" s="261">
        <v>24.6</v>
      </c>
      <c r="T862" s="261">
        <v>0</v>
      </c>
      <c r="U862" s="68" t="s">
        <v>1715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550</v>
      </c>
      <c r="S863" s="261">
        <v>0</v>
      </c>
      <c r="T863" s="261">
        <v>30</v>
      </c>
      <c r="U863" s="68" t="s">
        <v>1716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550</v>
      </c>
      <c r="S864" s="261">
        <v>60</v>
      </c>
      <c r="T864" s="261">
        <v>0</v>
      </c>
      <c r="U864" s="68" t="s">
        <v>1718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550</v>
      </c>
      <c r="S865" s="261">
        <v>0</v>
      </c>
      <c r="T865" s="261">
        <v>57</v>
      </c>
      <c r="U865" s="68" t="s">
        <v>1719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550</v>
      </c>
      <c r="S866" s="261">
        <v>57</v>
      </c>
      <c r="T866" s="261">
        <v>0</v>
      </c>
      <c r="U866" s="68" t="s">
        <v>1720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550</v>
      </c>
      <c r="S867" s="261">
        <v>0</v>
      </c>
      <c r="T867" s="261">
        <v>60</v>
      </c>
      <c r="U867" s="68" t="s">
        <v>1721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550</v>
      </c>
      <c r="S868" s="261">
        <v>16.5</v>
      </c>
      <c r="T868" s="261">
        <v>0</v>
      </c>
      <c r="U868" s="68" t="s">
        <v>1724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550</v>
      </c>
      <c r="S869" s="261">
        <v>0</v>
      </c>
      <c r="T869" s="261">
        <v>14.25</v>
      </c>
      <c r="U869" s="68" t="s">
        <v>1725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550</v>
      </c>
      <c r="S870" s="261">
        <v>14.25</v>
      </c>
      <c r="T870" s="261">
        <v>0</v>
      </c>
      <c r="U870" s="68" t="s">
        <v>1726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550</v>
      </c>
      <c r="S871" s="261">
        <v>0</v>
      </c>
      <c r="T871" s="261">
        <v>15</v>
      </c>
      <c r="U871" s="68" t="s">
        <v>1727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550</v>
      </c>
      <c r="S872" s="261">
        <v>0</v>
      </c>
      <c r="T872" s="261">
        <v>1</v>
      </c>
      <c r="U872" s="68" t="s">
        <v>1728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550</v>
      </c>
      <c r="S873" s="261">
        <v>1</v>
      </c>
      <c r="T873" s="261">
        <v>0</v>
      </c>
      <c r="U873" s="68" t="s">
        <v>1729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550</v>
      </c>
      <c r="S874" s="261">
        <v>0</v>
      </c>
      <c r="T874" s="261">
        <v>1.5</v>
      </c>
      <c r="U874" s="68" t="s">
        <v>1730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550</v>
      </c>
      <c r="S875" s="261">
        <v>60.25</v>
      </c>
      <c r="T875" s="261">
        <v>0</v>
      </c>
      <c r="U875" s="68" t="s">
        <v>1732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550</v>
      </c>
      <c r="S876" s="261">
        <v>0</v>
      </c>
      <c r="T876" s="261">
        <v>43.96</v>
      </c>
      <c r="U876" s="68" t="s">
        <v>1733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550</v>
      </c>
      <c r="S877" s="261">
        <v>43.96</v>
      </c>
      <c r="T877" s="261">
        <v>0</v>
      </c>
      <c r="U877" s="68" t="s">
        <v>1734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550</v>
      </c>
      <c r="S878" s="261">
        <v>0</v>
      </c>
      <c r="T878" s="261">
        <v>43.75</v>
      </c>
      <c r="U878" s="68" t="s">
        <v>1735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550</v>
      </c>
      <c r="S879" s="261">
        <v>0</v>
      </c>
      <c r="T879" s="261">
        <v>16.72</v>
      </c>
      <c r="U879" s="68" t="s">
        <v>1736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550</v>
      </c>
      <c r="S880" s="261">
        <v>16.72</v>
      </c>
      <c r="T880" s="261">
        <v>0</v>
      </c>
      <c r="U880" s="68" t="s">
        <v>1737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550</v>
      </c>
      <c r="S881" s="261">
        <v>0</v>
      </c>
      <c r="T881" s="261">
        <v>16.5</v>
      </c>
      <c r="U881" s="68" t="s">
        <v>1738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550</v>
      </c>
      <c r="S882" s="261">
        <v>81.75</v>
      </c>
      <c r="T882" s="261">
        <v>0</v>
      </c>
      <c r="U882" s="68" t="s">
        <v>1740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550</v>
      </c>
      <c r="S883" s="261">
        <v>0</v>
      </c>
      <c r="T883" s="261">
        <v>20.75</v>
      </c>
      <c r="U883" s="68" t="s">
        <v>1741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550</v>
      </c>
      <c r="S884" s="261">
        <v>20.75</v>
      </c>
      <c r="T884" s="261">
        <v>0</v>
      </c>
      <c r="U884" s="68" t="s">
        <v>1742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550</v>
      </c>
      <c r="S885" s="261">
        <v>0</v>
      </c>
      <c r="T885" s="261">
        <v>22.5</v>
      </c>
      <c r="U885" s="68" t="s">
        <v>1743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550</v>
      </c>
      <c r="S886" s="261">
        <v>0</v>
      </c>
      <c r="T886" s="261">
        <v>2.12</v>
      </c>
      <c r="U886" s="68" t="s">
        <v>1746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550</v>
      </c>
      <c r="S887" s="261">
        <v>2.12</v>
      </c>
      <c r="T887" s="261">
        <v>0</v>
      </c>
      <c r="U887" s="68" t="s">
        <v>1747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550</v>
      </c>
      <c r="S888" s="261">
        <v>0</v>
      </c>
      <c r="T888" s="261">
        <v>2.25</v>
      </c>
      <c r="U888" s="68" t="s">
        <v>1748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550</v>
      </c>
      <c r="S889" s="261">
        <v>0</v>
      </c>
      <c r="T889" s="261">
        <v>1.04</v>
      </c>
      <c r="U889" s="68" t="s">
        <v>1751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550</v>
      </c>
      <c r="S890" s="261">
        <v>1.04</v>
      </c>
      <c r="T890" s="261">
        <v>0</v>
      </c>
      <c r="U890" s="68" t="s">
        <v>1752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550</v>
      </c>
      <c r="S891" s="261">
        <v>0</v>
      </c>
      <c r="T891" s="261">
        <v>2.5</v>
      </c>
      <c r="U891" s="68" t="s">
        <v>1753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550</v>
      </c>
      <c r="S892" s="261">
        <v>0</v>
      </c>
      <c r="T892" s="261">
        <v>53</v>
      </c>
      <c r="U892" s="68" t="s">
        <v>1754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550</v>
      </c>
      <c r="S893" s="261">
        <v>53</v>
      </c>
      <c r="T893" s="261">
        <v>0</v>
      </c>
      <c r="U893" s="68" t="s">
        <v>1755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550</v>
      </c>
      <c r="S894" s="261">
        <v>0</v>
      </c>
      <c r="T894" s="261">
        <v>54.5</v>
      </c>
      <c r="U894" s="68" t="s">
        <v>1756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550</v>
      </c>
      <c r="S895" s="261">
        <v>89.25</v>
      </c>
      <c r="T895" s="261">
        <v>0</v>
      </c>
      <c r="U895" s="68" t="s">
        <v>1758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550</v>
      </c>
      <c r="S896" s="261">
        <v>0</v>
      </c>
      <c r="T896" s="261">
        <v>23.75</v>
      </c>
      <c r="U896" s="68" t="s">
        <v>1759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550</v>
      </c>
      <c r="S897" s="261">
        <v>23.75</v>
      </c>
      <c r="T897" s="261">
        <v>0</v>
      </c>
      <c r="U897" s="68" t="s">
        <v>1760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550</v>
      </c>
      <c r="S898" s="261">
        <v>0</v>
      </c>
      <c r="T898" s="261">
        <v>26.25</v>
      </c>
      <c r="U898" s="68" t="s">
        <v>1761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550</v>
      </c>
      <c r="S899" s="261">
        <v>0</v>
      </c>
      <c r="T899" s="261">
        <v>14.84</v>
      </c>
      <c r="U899" s="68" t="s">
        <v>1762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550</v>
      </c>
      <c r="S900" s="261">
        <v>14.84</v>
      </c>
      <c r="T900" s="261">
        <v>0</v>
      </c>
      <c r="U900" s="68" t="s">
        <v>1763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550</v>
      </c>
      <c r="S901" s="261">
        <v>0</v>
      </c>
      <c r="T901" s="261">
        <v>21</v>
      </c>
      <c r="U901" s="68" t="s">
        <v>1764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550</v>
      </c>
      <c r="S902" s="261">
        <v>0</v>
      </c>
      <c r="T902" s="261">
        <v>14.700000000000001</v>
      </c>
      <c r="U902" s="68" t="s">
        <v>1765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550</v>
      </c>
      <c r="S903" s="261">
        <v>14.700000000000001</v>
      </c>
      <c r="T903" s="261">
        <v>0</v>
      </c>
      <c r="U903" s="68" t="s">
        <v>1766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550</v>
      </c>
      <c r="S904" s="261">
        <v>0</v>
      </c>
      <c r="T904" s="261">
        <v>21</v>
      </c>
      <c r="U904" s="68" t="s">
        <v>1767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550</v>
      </c>
      <c r="S905" s="261">
        <v>0</v>
      </c>
      <c r="T905" s="261">
        <v>14</v>
      </c>
      <c r="U905" s="68" t="s">
        <v>1768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550</v>
      </c>
      <c r="S906" s="261">
        <v>14</v>
      </c>
      <c r="T906" s="261">
        <v>0</v>
      </c>
      <c r="U906" s="68" t="s">
        <v>1769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550</v>
      </c>
      <c r="S907" s="261">
        <v>0</v>
      </c>
      <c r="T907" s="261">
        <v>21</v>
      </c>
      <c r="U907" s="68" t="s">
        <v>1770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550</v>
      </c>
      <c r="S908" s="261">
        <v>62.5</v>
      </c>
      <c r="T908" s="261">
        <v>0</v>
      </c>
      <c r="U908" s="68" t="s">
        <v>1773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550</v>
      </c>
      <c r="S909" s="261">
        <v>0</v>
      </c>
      <c r="T909" s="261">
        <v>24.900000000000002</v>
      </c>
      <c r="U909" s="68" t="s">
        <v>1774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550</v>
      </c>
      <c r="S910" s="261">
        <v>24.900000000000002</v>
      </c>
      <c r="T910" s="261">
        <v>0</v>
      </c>
      <c r="U910" s="68" t="s">
        <v>1775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550</v>
      </c>
      <c r="S911" s="261">
        <v>0</v>
      </c>
      <c r="T911" s="261">
        <v>28.5</v>
      </c>
      <c r="U911" s="68" t="s">
        <v>1776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550</v>
      </c>
      <c r="S912" s="261">
        <v>0</v>
      </c>
      <c r="T912" s="261">
        <v>8.18</v>
      </c>
      <c r="U912" s="68" t="s">
        <v>1777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550</v>
      </c>
      <c r="S913" s="261">
        <v>8.18</v>
      </c>
      <c r="T913" s="261">
        <v>0</v>
      </c>
      <c r="U913" s="68" t="s">
        <v>1778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550</v>
      </c>
      <c r="S914" s="261">
        <v>0</v>
      </c>
      <c r="T914" s="261">
        <v>9</v>
      </c>
      <c r="U914" s="68" t="s">
        <v>1779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550</v>
      </c>
      <c r="S915" s="261">
        <v>0</v>
      </c>
      <c r="T915" s="261">
        <v>22.450000000000003</v>
      </c>
      <c r="U915" s="68" t="s">
        <v>1780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550</v>
      </c>
      <c r="S916" s="261">
        <v>22.450000000000003</v>
      </c>
      <c r="T916" s="261">
        <v>0</v>
      </c>
      <c r="U916" s="68" t="s">
        <v>1781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550</v>
      </c>
      <c r="S917" s="261">
        <v>0</v>
      </c>
      <c r="T917" s="261">
        <v>25</v>
      </c>
      <c r="U917" s="68" t="s">
        <v>1782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550</v>
      </c>
      <c r="S918" s="261">
        <v>59.58</v>
      </c>
      <c r="T918" s="261">
        <v>0</v>
      </c>
      <c r="U918" s="68" t="s">
        <v>1784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550</v>
      </c>
      <c r="S919" s="261">
        <v>0</v>
      </c>
      <c r="T919" s="261">
        <v>18.84</v>
      </c>
      <c r="U919" s="68" t="s">
        <v>1785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550</v>
      </c>
      <c r="S920" s="261">
        <v>18.84</v>
      </c>
      <c r="T920" s="261">
        <v>0</v>
      </c>
      <c r="U920" s="68" t="s">
        <v>1786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550</v>
      </c>
      <c r="S921" s="261">
        <v>0</v>
      </c>
      <c r="T921" s="261">
        <v>18</v>
      </c>
      <c r="U921" s="68" t="s">
        <v>1787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550</v>
      </c>
      <c r="S922" s="261">
        <v>0</v>
      </c>
      <c r="T922" s="261">
        <v>20.22</v>
      </c>
      <c r="U922" s="68" t="s">
        <v>1788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550</v>
      </c>
      <c r="S923" s="261">
        <v>20.22</v>
      </c>
      <c r="T923" s="261">
        <v>0</v>
      </c>
      <c r="U923" s="68" t="s">
        <v>1789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550</v>
      </c>
      <c r="S924" s="261">
        <v>0</v>
      </c>
      <c r="T924" s="261">
        <v>21</v>
      </c>
      <c r="U924" s="68" t="s">
        <v>1790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550</v>
      </c>
      <c r="S925" s="261">
        <v>0</v>
      </c>
      <c r="T925" s="261">
        <v>13.2</v>
      </c>
      <c r="U925" s="68" t="s">
        <v>1791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550</v>
      </c>
      <c r="S926" s="261">
        <v>13.2</v>
      </c>
      <c r="T926" s="261">
        <v>0</v>
      </c>
      <c r="U926" s="68" t="s">
        <v>1792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550</v>
      </c>
      <c r="S927" s="261">
        <v>0</v>
      </c>
      <c r="T927" s="261">
        <v>15.2</v>
      </c>
      <c r="U927" s="68" t="s">
        <v>1793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550</v>
      </c>
      <c r="S928" s="261">
        <v>0</v>
      </c>
      <c r="T928" s="261">
        <v>4</v>
      </c>
      <c r="U928" s="68" t="s">
        <v>1794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550</v>
      </c>
      <c r="S929" s="261">
        <v>4</v>
      </c>
      <c r="T929" s="261">
        <v>0</v>
      </c>
      <c r="U929" s="68" t="s">
        <v>1795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550</v>
      </c>
      <c r="S930" s="261">
        <v>0</v>
      </c>
      <c r="T930" s="261">
        <v>5</v>
      </c>
      <c r="U930" s="68" t="s">
        <v>1796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550</v>
      </c>
      <c r="S931" s="261">
        <v>0</v>
      </c>
      <c r="T931" s="261">
        <v>0.28000000000000003</v>
      </c>
      <c r="U931" s="68" t="s">
        <v>1797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550</v>
      </c>
      <c r="S932" s="261">
        <v>0.28000000000000003</v>
      </c>
      <c r="T932" s="261">
        <v>0</v>
      </c>
      <c r="U932" s="68" t="s">
        <v>1798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550</v>
      </c>
      <c r="S933" s="261">
        <v>0</v>
      </c>
      <c r="T933" s="261">
        <v>0.38</v>
      </c>
      <c r="U933" s="68" t="s">
        <v>1799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550</v>
      </c>
      <c r="S934" s="261">
        <v>23</v>
      </c>
      <c r="T934" s="261">
        <v>0</v>
      </c>
      <c r="U934" s="68" t="s">
        <v>1801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550</v>
      </c>
      <c r="S935" s="261">
        <v>0</v>
      </c>
      <c r="T935" s="261">
        <v>0.48</v>
      </c>
      <c r="U935" s="68" t="s">
        <v>1802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550</v>
      </c>
      <c r="S936" s="261">
        <v>0.48</v>
      </c>
      <c r="T936" s="261">
        <v>0</v>
      </c>
      <c r="U936" s="68" t="s">
        <v>1803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550</v>
      </c>
      <c r="S937" s="261">
        <v>0</v>
      </c>
      <c r="T937" s="261">
        <v>1</v>
      </c>
      <c r="U937" s="68" t="s">
        <v>1804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550</v>
      </c>
      <c r="S938" s="261">
        <v>0</v>
      </c>
      <c r="T938" s="261">
        <v>0.89999999999999991</v>
      </c>
      <c r="U938" s="68" t="s">
        <v>1805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550</v>
      </c>
      <c r="S939" s="261">
        <v>0.89999999999999991</v>
      </c>
      <c r="T939" s="261">
        <v>0</v>
      </c>
      <c r="U939" s="68" t="s">
        <v>1806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550</v>
      </c>
      <c r="S940" s="261">
        <v>0</v>
      </c>
      <c r="T940" s="261">
        <v>2.2799999999999998</v>
      </c>
      <c r="U940" s="68" t="s">
        <v>1807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550</v>
      </c>
      <c r="S941" s="261">
        <v>0</v>
      </c>
      <c r="T941" s="261">
        <v>1.44</v>
      </c>
      <c r="U941" s="68" t="s">
        <v>1808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550</v>
      </c>
      <c r="S942" s="261">
        <v>1.44</v>
      </c>
      <c r="T942" s="261">
        <v>0</v>
      </c>
      <c r="U942" s="68" t="s">
        <v>1809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550</v>
      </c>
      <c r="S943" s="261">
        <v>0</v>
      </c>
      <c r="T943" s="261">
        <v>3</v>
      </c>
      <c r="U943" s="68" t="s">
        <v>1810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550</v>
      </c>
      <c r="S944" s="261">
        <v>0</v>
      </c>
      <c r="T944" s="261">
        <v>0.72</v>
      </c>
      <c r="U944" s="68" t="s">
        <v>1811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550</v>
      </c>
      <c r="S945" s="261">
        <v>0.72</v>
      </c>
      <c r="T945" s="261">
        <v>0</v>
      </c>
      <c r="U945" s="68" t="s">
        <v>1812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550</v>
      </c>
      <c r="S946" s="261">
        <v>0</v>
      </c>
      <c r="T946" s="261">
        <v>1.5</v>
      </c>
      <c r="U946" s="68" t="s">
        <v>1813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550</v>
      </c>
      <c r="S947" s="261">
        <v>0</v>
      </c>
      <c r="T947" s="261">
        <v>8.0499999999999989</v>
      </c>
      <c r="U947" s="68" t="s">
        <v>1816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550</v>
      </c>
      <c r="S948" s="261">
        <v>8.0499999999999989</v>
      </c>
      <c r="T948" s="261">
        <v>0</v>
      </c>
      <c r="U948" s="68" t="s">
        <v>1817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550</v>
      </c>
      <c r="S949" s="261">
        <v>0</v>
      </c>
      <c r="T949" s="261">
        <v>10.5</v>
      </c>
      <c r="U949" s="68" t="s">
        <v>1818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550</v>
      </c>
      <c r="S950" s="261">
        <v>0</v>
      </c>
      <c r="T950" s="261">
        <v>2.64</v>
      </c>
      <c r="U950" s="68" t="s">
        <v>1819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550</v>
      </c>
      <c r="S951" s="261">
        <v>2.64</v>
      </c>
      <c r="T951" s="261">
        <v>0</v>
      </c>
      <c r="U951" s="68" t="s">
        <v>1820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550</v>
      </c>
      <c r="S952" s="261">
        <v>0</v>
      </c>
      <c r="T952" s="261">
        <v>3.76</v>
      </c>
      <c r="U952" s="68" t="s">
        <v>1821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550</v>
      </c>
      <c r="S953" s="261">
        <v>0</v>
      </c>
      <c r="T953" s="261">
        <v>0.13</v>
      </c>
      <c r="U953" s="68" t="s">
        <v>1822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550</v>
      </c>
      <c r="S954" s="261">
        <v>0.13</v>
      </c>
      <c r="T954" s="261">
        <v>0</v>
      </c>
      <c r="U954" s="68" t="s">
        <v>1823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550</v>
      </c>
      <c r="S955" s="261">
        <v>0</v>
      </c>
      <c r="T955" s="261">
        <v>0.25</v>
      </c>
      <c r="U955" s="68" t="s">
        <v>1824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550</v>
      </c>
      <c r="S956" s="261">
        <v>0</v>
      </c>
      <c r="T956" s="261">
        <v>0.55000000000000004</v>
      </c>
      <c r="U956" s="68" t="s">
        <v>1825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550</v>
      </c>
      <c r="S957" s="261">
        <v>0.55000000000000004</v>
      </c>
      <c r="T957" s="261">
        <v>0</v>
      </c>
      <c r="U957" s="68" t="s">
        <v>1826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550</v>
      </c>
      <c r="S958" s="261">
        <v>0</v>
      </c>
      <c r="T958" s="261">
        <v>0.75</v>
      </c>
      <c r="U958" s="68" t="s">
        <v>1827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550</v>
      </c>
      <c r="S959" s="261">
        <v>50.5</v>
      </c>
      <c r="T959" s="261">
        <v>0</v>
      </c>
      <c r="U959" s="68" t="s">
        <v>1829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550</v>
      </c>
      <c r="S960" s="261">
        <v>0</v>
      </c>
      <c r="T960" s="261">
        <v>0.3</v>
      </c>
      <c r="U960" s="68" t="s">
        <v>1830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550</v>
      </c>
      <c r="S961" s="261">
        <v>0.3</v>
      </c>
      <c r="T961" s="261">
        <v>0</v>
      </c>
      <c r="U961" s="68" t="s">
        <v>1831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550</v>
      </c>
      <c r="S962" s="261">
        <v>0</v>
      </c>
      <c r="T962" s="261">
        <v>0.76</v>
      </c>
      <c r="U962" s="68" t="s">
        <v>1832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550</v>
      </c>
      <c r="S963" s="261">
        <v>0</v>
      </c>
      <c r="T963" s="261">
        <v>1.06</v>
      </c>
      <c r="U963" s="68" t="s">
        <v>1833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550</v>
      </c>
      <c r="S964" s="261">
        <v>1.06</v>
      </c>
      <c r="T964" s="261">
        <v>0</v>
      </c>
      <c r="U964" s="68" t="s">
        <v>1834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550</v>
      </c>
      <c r="S965" s="261">
        <v>0</v>
      </c>
      <c r="T965" s="261">
        <v>3</v>
      </c>
      <c r="U965" s="68" t="s">
        <v>1835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550</v>
      </c>
      <c r="S966" s="261">
        <v>0</v>
      </c>
      <c r="T966" s="261">
        <v>1.06</v>
      </c>
      <c r="U966" s="68" t="s">
        <v>1836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550</v>
      </c>
      <c r="S967" s="261">
        <v>1.06</v>
      </c>
      <c r="T967" s="261">
        <v>0</v>
      </c>
      <c r="U967" s="68" t="s">
        <v>1837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550</v>
      </c>
      <c r="S968" s="261">
        <v>0</v>
      </c>
      <c r="T968" s="261">
        <v>2</v>
      </c>
      <c r="U968" s="68" t="s">
        <v>1838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550</v>
      </c>
      <c r="S969" s="261">
        <v>0</v>
      </c>
      <c r="T969" s="261">
        <v>20.75</v>
      </c>
      <c r="U969" s="68" t="s">
        <v>1839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550</v>
      </c>
      <c r="S970" s="261">
        <v>20.75</v>
      </c>
      <c r="T970" s="261">
        <v>0</v>
      </c>
      <c r="U970" s="68" t="s">
        <v>1840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550</v>
      </c>
      <c r="S971" s="261">
        <v>0</v>
      </c>
      <c r="T971" s="261">
        <v>22.5</v>
      </c>
      <c r="U971" s="68" t="s">
        <v>1841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550</v>
      </c>
      <c r="S972" s="261">
        <v>0</v>
      </c>
      <c r="T972" s="261">
        <v>2.7</v>
      </c>
      <c r="U972" s="68" t="s">
        <v>1842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550</v>
      </c>
      <c r="S973" s="261">
        <v>2.7</v>
      </c>
      <c r="T973" s="261">
        <v>0</v>
      </c>
      <c r="U973" s="68" t="s">
        <v>1843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550</v>
      </c>
      <c r="S974" s="261">
        <v>0</v>
      </c>
      <c r="T974" s="261">
        <v>3</v>
      </c>
      <c r="U974" s="68" t="s">
        <v>1844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550</v>
      </c>
      <c r="S975" s="261">
        <v>0</v>
      </c>
      <c r="T975" s="261">
        <v>3.3</v>
      </c>
      <c r="U975" s="68" t="s">
        <v>1845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550</v>
      </c>
      <c r="S976" s="261">
        <v>3.3</v>
      </c>
      <c r="T976" s="261">
        <v>0</v>
      </c>
      <c r="U976" s="68" t="s">
        <v>1846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550</v>
      </c>
      <c r="S977" s="261">
        <v>0</v>
      </c>
      <c r="T977" s="261">
        <v>3.75</v>
      </c>
      <c r="U977" s="68" t="s">
        <v>1847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550</v>
      </c>
      <c r="S978" s="261">
        <v>0</v>
      </c>
      <c r="T978" s="261">
        <v>1.1000000000000001</v>
      </c>
      <c r="U978" s="68" t="s">
        <v>1848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550</v>
      </c>
      <c r="S979" s="261">
        <v>1.1000000000000001</v>
      </c>
      <c r="T979" s="261">
        <v>0</v>
      </c>
      <c r="U979" s="68" t="s">
        <v>1849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550</v>
      </c>
      <c r="S980" s="261">
        <v>0</v>
      </c>
      <c r="T980" s="261">
        <v>1.5</v>
      </c>
      <c r="U980" s="68" t="s">
        <v>1850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550</v>
      </c>
      <c r="S981" s="261">
        <v>0</v>
      </c>
      <c r="T981" s="261">
        <v>2.7</v>
      </c>
      <c r="U981" s="68" t="s">
        <v>1851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550</v>
      </c>
      <c r="S982" s="261">
        <v>2.7</v>
      </c>
      <c r="T982" s="261">
        <v>0</v>
      </c>
      <c r="U982" s="68" t="s">
        <v>1852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550</v>
      </c>
      <c r="S983" s="261">
        <v>0</v>
      </c>
      <c r="T983" s="261">
        <v>4</v>
      </c>
      <c r="U983" s="68" t="s">
        <v>1853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550</v>
      </c>
      <c r="S984" s="261">
        <v>0</v>
      </c>
      <c r="T984" s="261">
        <v>8.4600000000000009</v>
      </c>
      <c r="U984" s="68" t="s">
        <v>1854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550</v>
      </c>
      <c r="S985" s="261">
        <v>8.4600000000000009</v>
      </c>
      <c r="T985" s="261">
        <v>0</v>
      </c>
      <c r="U985" s="68" t="s">
        <v>1855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550</v>
      </c>
      <c r="S986" s="261">
        <v>0</v>
      </c>
      <c r="T986" s="261">
        <v>10</v>
      </c>
      <c r="U986" s="68" t="s">
        <v>1856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550</v>
      </c>
      <c r="S987" s="261">
        <v>39.5</v>
      </c>
      <c r="T987" s="261">
        <v>0</v>
      </c>
      <c r="U987" s="68" t="s">
        <v>1859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550</v>
      </c>
      <c r="S988" s="261">
        <v>0</v>
      </c>
      <c r="T988" s="261">
        <v>19.04</v>
      </c>
      <c r="U988" s="68" t="s">
        <v>1860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550</v>
      </c>
      <c r="S989" s="261">
        <v>19.04</v>
      </c>
      <c r="T989" s="261">
        <v>0</v>
      </c>
      <c r="U989" s="68" t="s">
        <v>1861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550</v>
      </c>
      <c r="S990" s="261">
        <v>0</v>
      </c>
      <c r="T990" s="261">
        <v>20</v>
      </c>
      <c r="U990" s="68" t="s">
        <v>1862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550</v>
      </c>
      <c r="S991" s="261">
        <v>0</v>
      </c>
      <c r="T991" s="261">
        <v>9.1999999999999993</v>
      </c>
      <c r="U991" s="68" t="s">
        <v>1863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550</v>
      </c>
      <c r="S992" s="261">
        <v>9.1999999999999993</v>
      </c>
      <c r="T992" s="261">
        <v>0</v>
      </c>
      <c r="U992" s="68" t="s">
        <v>1864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550</v>
      </c>
      <c r="S993" s="261">
        <v>0</v>
      </c>
      <c r="T993" s="261">
        <v>16</v>
      </c>
      <c r="U993" s="68" t="s">
        <v>1865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550</v>
      </c>
      <c r="S994" s="261">
        <v>0</v>
      </c>
      <c r="T994" s="261">
        <v>0.6</v>
      </c>
      <c r="U994" s="68" t="s">
        <v>1866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550</v>
      </c>
      <c r="S995" s="261">
        <v>0.6</v>
      </c>
      <c r="T995" s="261">
        <v>0</v>
      </c>
      <c r="U995" s="68" t="s">
        <v>1867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550</v>
      </c>
      <c r="S996" s="261">
        <v>0</v>
      </c>
      <c r="T996" s="261">
        <v>1.25</v>
      </c>
      <c r="U996" s="68" t="s">
        <v>1868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550</v>
      </c>
      <c r="S997" s="261">
        <v>0</v>
      </c>
      <c r="T997" s="261">
        <v>0.56000000000000005</v>
      </c>
      <c r="U997" s="68" t="s">
        <v>1869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550</v>
      </c>
      <c r="S998" s="261">
        <v>0.56000000000000005</v>
      </c>
      <c r="T998" s="261">
        <v>0</v>
      </c>
      <c r="U998" s="68" t="s">
        <v>1870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550</v>
      </c>
      <c r="S999" s="261">
        <v>0</v>
      </c>
      <c r="T999" s="261">
        <v>0.76</v>
      </c>
      <c r="U999" s="68" t="s">
        <v>1871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550</v>
      </c>
      <c r="S1000" s="261">
        <v>0</v>
      </c>
      <c r="T1000" s="261">
        <v>0.82</v>
      </c>
      <c r="U1000" s="68" t="s">
        <v>1872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550</v>
      </c>
      <c r="S1001" s="261">
        <v>0.82</v>
      </c>
      <c r="T1001" s="261">
        <v>0</v>
      </c>
      <c r="U1001" s="68" t="s">
        <v>1873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550</v>
      </c>
      <c r="S1002" s="261">
        <v>0</v>
      </c>
      <c r="T1002" s="261">
        <v>1.5</v>
      </c>
      <c r="U1002" s="68" t="s">
        <v>1874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550</v>
      </c>
      <c r="S1003" s="261">
        <v>45</v>
      </c>
      <c r="T1003" s="261">
        <v>0</v>
      </c>
      <c r="U1003" s="68" t="s">
        <v>1876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550</v>
      </c>
      <c r="S1004" s="261">
        <v>0</v>
      </c>
      <c r="T1004" s="261">
        <v>41.5</v>
      </c>
      <c r="U1004" s="68" t="s">
        <v>1877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550</v>
      </c>
      <c r="S1005" s="261">
        <v>41.5</v>
      </c>
      <c r="T1005" s="261">
        <v>0</v>
      </c>
      <c r="U1005" s="68" t="s">
        <v>1878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550</v>
      </c>
      <c r="S1006" s="261">
        <v>0</v>
      </c>
      <c r="T1006" s="261">
        <v>45</v>
      </c>
      <c r="U1006" s="68" t="s">
        <v>1879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550</v>
      </c>
      <c r="S1007" s="261">
        <v>57.5</v>
      </c>
      <c r="T1007" s="261">
        <v>0</v>
      </c>
      <c r="U1007" s="68" t="s">
        <v>1881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550</v>
      </c>
      <c r="S1008" s="261">
        <v>0</v>
      </c>
      <c r="T1008" s="261">
        <v>20.75</v>
      </c>
      <c r="U1008" s="68" t="s">
        <v>1882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550</v>
      </c>
      <c r="S1009" s="261">
        <v>20.75</v>
      </c>
      <c r="T1009" s="261">
        <v>0</v>
      </c>
      <c r="U1009" s="68" t="s">
        <v>1883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550</v>
      </c>
      <c r="S1010" s="261">
        <v>0</v>
      </c>
      <c r="T1010" s="261">
        <v>22.5</v>
      </c>
      <c r="U1010" s="68" t="s">
        <v>1884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550</v>
      </c>
      <c r="S1011" s="261">
        <v>0</v>
      </c>
      <c r="T1011" s="261">
        <v>13.5</v>
      </c>
      <c r="U1011" s="68" t="s">
        <v>1885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550</v>
      </c>
      <c r="S1012" s="261">
        <v>13.5</v>
      </c>
      <c r="T1012" s="261">
        <v>0</v>
      </c>
      <c r="U1012" s="68" t="s">
        <v>1886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550</v>
      </c>
      <c r="S1013" s="261">
        <v>0</v>
      </c>
      <c r="T1013" s="261">
        <v>15</v>
      </c>
      <c r="U1013" s="68" t="s">
        <v>1887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550</v>
      </c>
      <c r="S1014" s="261">
        <v>0</v>
      </c>
      <c r="T1014" s="261">
        <v>16.920000000000002</v>
      </c>
      <c r="U1014" s="68" t="s">
        <v>1888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550</v>
      </c>
      <c r="S1015" s="261">
        <v>16.920000000000002</v>
      </c>
      <c r="T1015" s="261">
        <v>0</v>
      </c>
      <c r="U1015" s="68" t="s">
        <v>1889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550</v>
      </c>
      <c r="S1016" s="261">
        <v>0</v>
      </c>
      <c r="T1016" s="261">
        <v>20</v>
      </c>
      <c r="U1016" s="68" t="s">
        <v>1890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550</v>
      </c>
      <c r="S1017" s="261">
        <v>45</v>
      </c>
      <c r="T1017" s="261">
        <v>0</v>
      </c>
      <c r="U1017" s="68" t="s">
        <v>1893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550</v>
      </c>
      <c r="S1018" s="261">
        <v>0</v>
      </c>
      <c r="T1018" s="261">
        <v>40.410000000000004</v>
      </c>
      <c r="U1018" s="68" t="s">
        <v>1894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550</v>
      </c>
      <c r="S1019" s="261">
        <v>40.410000000000004</v>
      </c>
      <c r="T1019" s="261">
        <v>0</v>
      </c>
      <c r="U1019" s="68" t="s">
        <v>1895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550</v>
      </c>
      <c r="S1020" s="261">
        <v>0</v>
      </c>
      <c r="T1020" s="261">
        <v>45</v>
      </c>
      <c r="U1020" s="68" t="s">
        <v>1896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550</v>
      </c>
      <c r="S1021" s="261">
        <v>96.5</v>
      </c>
      <c r="T1021" s="261">
        <v>0</v>
      </c>
      <c r="U1021" s="68" t="s">
        <v>1898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550</v>
      </c>
      <c r="S1022" s="261">
        <v>0</v>
      </c>
      <c r="T1022" s="261">
        <v>64</v>
      </c>
      <c r="U1022" s="68" t="s">
        <v>1899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550</v>
      </c>
      <c r="S1023" s="261">
        <v>64</v>
      </c>
      <c r="T1023" s="261">
        <v>0</v>
      </c>
      <c r="U1023" s="68" t="s">
        <v>1900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550</v>
      </c>
      <c r="S1024" s="261">
        <v>0</v>
      </c>
      <c r="T1024" s="261">
        <v>64</v>
      </c>
      <c r="U1024" s="68" t="s">
        <v>1901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550</v>
      </c>
      <c r="S1025" s="261">
        <v>0</v>
      </c>
      <c r="T1025" s="261">
        <v>10</v>
      </c>
      <c r="U1025" s="68" t="s">
        <v>1902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550</v>
      </c>
      <c r="S1026" s="261">
        <v>10</v>
      </c>
      <c r="T1026" s="261">
        <v>0</v>
      </c>
      <c r="U1026" s="68" t="s">
        <v>1903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550</v>
      </c>
      <c r="S1027" s="261">
        <v>0</v>
      </c>
      <c r="T1027" s="261">
        <v>15</v>
      </c>
      <c r="U1027" s="68" t="s">
        <v>1904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550</v>
      </c>
      <c r="S1028" s="261">
        <v>0</v>
      </c>
      <c r="T1028" s="261">
        <v>12.56</v>
      </c>
      <c r="U1028" s="68" t="s">
        <v>1905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550</v>
      </c>
      <c r="S1029" s="261">
        <v>12.56</v>
      </c>
      <c r="T1029" s="261">
        <v>0</v>
      </c>
      <c r="U1029" s="68" t="s">
        <v>1906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550</v>
      </c>
      <c r="S1030" s="261">
        <v>0</v>
      </c>
      <c r="T1030" s="261">
        <v>12</v>
      </c>
      <c r="U1030" s="68" t="s">
        <v>1907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550</v>
      </c>
      <c r="S1031" s="261">
        <v>0</v>
      </c>
      <c r="T1031" s="261">
        <v>4.2</v>
      </c>
      <c r="U1031" s="68" t="s">
        <v>1908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550</v>
      </c>
      <c r="S1032" s="261">
        <v>4.2</v>
      </c>
      <c r="T1032" s="261">
        <v>0</v>
      </c>
      <c r="U1032" s="68" t="s">
        <v>1909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550</v>
      </c>
      <c r="S1033" s="261">
        <v>0</v>
      </c>
      <c r="T1033" s="261">
        <v>5.5</v>
      </c>
      <c r="U1033" s="68" t="s">
        <v>1910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550</v>
      </c>
      <c r="S1034" s="261">
        <v>67.5</v>
      </c>
      <c r="T1034" s="261">
        <v>0</v>
      </c>
      <c r="U1034" s="68" t="s">
        <v>1912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550</v>
      </c>
      <c r="S1035" s="261">
        <v>0</v>
      </c>
      <c r="T1035" s="261">
        <v>20.75</v>
      </c>
      <c r="U1035" s="68" t="s">
        <v>1913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550</v>
      </c>
      <c r="S1036" s="261">
        <v>20.75</v>
      </c>
      <c r="T1036" s="261">
        <v>0</v>
      </c>
      <c r="U1036" s="68" t="s">
        <v>1914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550</v>
      </c>
      <c r="S1037" s="261">
        <v>0</v>
      </c>
      <c r="T1037" s="261">
        <v>23.75</v>
      </c>
      <c r="U1037" s="68" t="s">
        <v>1915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550</v>
      </c>
      <c r="S1038" s="261">
        <v>0</v>
      </c>
      <c r="T1038" s="261">
        <v>40.6</v>
      </c>
      <c r="U1038" s="68" t="s">
        <v>1916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550</v>
      </c>
      <c r="S1039" s="261">
        <v>40.6</v>
      </c>
      <c r="T1039" s="261">
        <v>0</v>
      </c>
      <c r="U1039" s="68" t="s">
        <v>1917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550</v>
      </c>
      <c r="S1040" s="261">
        <v>0</v>
      </c>
      <c r="T1040" s="261">
        <v>43.75</v>
      </c>
      <c r="U1040" s="68" t="s">
        <v>1918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550</v>
      </c>
      <c r="S1041" s="261">
        <v>53.25</v>
      </c>
      <c r="T1041" s="261">
        <v>0</v>
      </c>
      <c r="U1041" s="68" t="s">
        <v>1921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550</v>
      </c>
      <c r="S1042" s="261">
        <v>0</v>
      </c>
      <c r="T1042" s="261">
        <v>41.5</v>
      </c>
      <c r="U1042" s="68" t="s">
        <v>1922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550</v>
      </c>
      <c r="S1043" s="261">
        <v>41.5</v>
      </c>
      <c r="T1043" s="261">
        <v>0</v>
      </c>
      <c r="U1043" s="68" t="s">
        <v>1923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550</v>
      </c>
      <c r="S1044" s="261">
        <v>0</v>
      </c>
      <c r="T1044" s="261">
        <v>45</v>
      </c>
      <c r="U1044" s="68" t="s">
        <v>1924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550</v>
      </c>
      <c r="S1045" s="261">
        <v>0</v>
      </c>
      <c r="T1045" s="261">
        <v>6.41</v>
      </c>
      <c r="U1045" s="68" t="s">
        <v>1927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550</v>
      </c>
      <c r="S1046" s="261">
        <v>6.41</v>
      </c>
      <c r="T1046" s="261">
        <v>0</v>
      </c>
      <c r="U1046" s="68" t="s">
        <v>1928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550</v>
      </c>
      <c r="S1047" s="261">
        <v>0</v>
      </c>
      <c r="T1047" s="261">
        <v>7</v>
      </c>
      <c r="U1047" s="68" t="s">
        <v>1929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550</v>
      </c>
      <c r="S1048" s="261">
        <v>0</v>
      </c>
      <c r="T1048" s="261">
        <v>0.2</v>
      </c>
      <c r="U1048" s="68" t="s">
        <v>1932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550</v>
      </c>
      <c r="S1049" s="261">
        <v>0.2</v>
      </c>
      <c r="T1049" s="261">
        <v>0</v>
      </c>
      <c r="U1049" s="68" t="s">
        <v>1933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550</v>
      </c>
      <c r="S1050" s="261">
        <v>0</v>
      </c>
      <c r="T1050" s="261">
        <v>1.25</v>
      </c>
      <c r="U1050" s="68" t="s">
        <v>1934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550</v>
      </c>
      <c r="S1051" s="261">
        <v>49.51</v>
      </c>
      <c r="T1051" s="261">
        <v>0</v>
      </c>
      <c r="U1051" s="68" t="s">
        <v>1936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550</v>
      </c>
      <c r="S1052" s="261">
        <v>0</v>
      </c>
      <c r="T1052" s="261">
        <v>4.25</v>
      </c>
      <c r="U1052" s="68" t="s">
        <v>1937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550</v>
      </c>
      <c r="S1053" s="261">
        <v>4.25</v>
      </c>
      <c r="T1053" s="261">
        <v>0</v>
      </c>
      <c r="U1053" s="68" t="s">
        <v>1938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550</v>
      </c>
      <c r="S1054" s="261">
        <v>0</v>
      </c>
      <c r="T1054" s="261">
        <v>4.75</v>
      </c>
      <c r="U1054" s="68" t="s">
        <v>1939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550</v>
      </c>
      <c r="S1055" s="261">
        <v>0</v>
      </c>
      <c r="T1055" s="261">
        <v>0.82</v>
      </c>
      <c r="U1055" s="68" t="s">
        <v>1940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550</v>
      </c>
      <c r="S1056" s="261">
        <v>0.82</v>
      </c>
      <c r="T1056" s="261">
        <v>0</v>
      </c>
      <c r="U1056" s="68" t="s">
        <v>1941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550</v>
      </c>
      <c r="S1057" s="261">
        <v>0</v>
      </c>
      <c r="T1057" s="261">
        <v>1.5</v>
      </c>
      <c r="U1057" s="68" t="s">
        <v>1942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550</v>
      </c>
      <c r="S1058" s="261">
        <v>0</v>
      </c>
      <c r="T1058" s="261">
        <v>0.26</v>
      </c>
      <c r="U1058" s="68" t="s">
        <v>1943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550</v>
      </c>
      <c r="S1059" s="261">
        <v>0.26</v>
      </c>
      <c r="T1059" s="261">
        <v>0</v>
      </c>
      <c r="U1059" s="68" t="s">
        <v>1944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550</v>
      </c>
      <c r="S1060" s="261">
        <v>0</v>
      </c>
      <c r="T1060" s="261">
        <v>0.5</v>
      </c>
      <c r="U1060" s="68" t="s">
        <v>1945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550</v>
      </c>
      <c r="S1061" s="261">
        <v>0</v>
      </c>
      <c r="T1061" s="261">
        <v>2</v>
      </c>
      <c r="U1061" s="68" t="s">
        <v>1946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550</v>
      </c>
      <c r="S1062" s="261">
        <v>2</v>
      </c>
      <c r="T1062" s="261">
        <v>0</v>
      </c>
      <c r="U1062" s="68" t="s">
        <v>1947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550</v>
      </c>
      <c r="S1063" s="261">
        <v>0</v>
      </c>
      <c r="T1063" s="261">
        <v>2.5</v>
      </c>
      <c r="U1063" s="68" t="s">
        <v>1948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550</v>
      </c>
      <c r="S1064" s="261">
        <v>0</v>
      </c>
      <c r="T1064" s="261">
        <v>1.1000000000000001</v>
      </c>
      <c r="U1064" s="68" t="s">
        <v>1949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550</v>
      </c>
      <c r="S1065" s="261">
        <v>1.1000000000000001</v>
      </c>
      <c r="T1065" s="261">
        <v>0</v>
      </c>
      <c r="U1065" s="68" t="s">
        <v>1950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550</v>
      </c>
      <c r="S1066" s="261">
        <v>0</v>
      </c>
      <c r="T1066" s="261">
        <v>1.5</v>
      </c>
      <c r="U1066" s="68" t="s">
        <v>1951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550</v>
      </c>
      <c r="S1067" s="261">
        <v>0</v>
      </c>
      <c r="T1067" s="261">
        <v>0.5</v>
      </c>
      <c r="U1067" s="68" t="s">
        <v>1952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550</v>
      </c>
      <c r="S1068" s="261">
        <v>0.5</v>
      </c>
      <c r="T1068" s="261">
        <v>0</v>
      </c>
      <c r="U1068" s="68" t="s">
        <v>1953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550</v>
      </c>
      <c r="S1069" s="261">
        <v>0</v>
      </c>
      <c r="T1069" s="261">
        <v>1</v>
      </c>
      <c r="U1069" s="68" t="s">
        <v>1954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550</v>
      </c>
      <c r="S1070" s="261">
        <v>0</v>
      </c>
      <c r="T1070" s="261">
        <v>0.48</v>
      </c>
      <c r="U1070" s="68" t="s">
        <v>1955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550</v>
      </c>
      <c r="S1071" s="261">
        <v>0.48</v>
      </c>
      <c r="T1071" s="261">
        <v>0</v>
      </c>
      <c r="U1071" s="68" t="s">
        <v>1956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550</v>
      </c>
      <c r="S1072" s="261">
        <v>0</v>
      </c>
      <c r="T1072" s="261">
        <v>1</v>
      </c>
      <c r="U1072" s="68" t="s">
        <v>1957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550</v>
      </c>
      <c r="S1073" s="261">
        <v>0</v>
      </c>
      <c r="T1073" s="261">
        <v>1.02</v>
      </c>
      <c r="U1073" s="68" t="s">
        <v>1958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550</v>
      </c>
      <c r="S1074" s="261">
        <v>1.02</v>
      </c>
      <c r="T1074" s="261">
        <v>0</v>
      </c>
      <c r="U1074" s="68" t="s">
        <v>1959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550</v>
      </c>
      <c r="S1075" s="261">
        <v>0</v>
      </c>
      <c r="T1075" s="261">
        <v>1.89</v>
      </c>
      <c r="U1075" s="68" t="s">
        <v>1960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550</v>
      </c>
      <c r="S1076" s="261">
        <v>0</v>
      </c>
      <c r="T1076" s="261">
        <v>0.6</v>
      </c>
      <c r="U1076" s="68" t="s">
        <v>1961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550</v>
      </c>
      <c r="S1077" s="261">
        <v>0.6</v>
      </c>
      <c r="T1077" s="261">
        <v>0</v>
      </c>
      <c r="U1077" s="68" t="s">
        <v>1962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550</v>
      </c>
      <c r="S1078" s="261">
        <v>0</v>
      </c>
      <c r="T1078" s="261">
        <v>1.5</v>
      </c>
      <c r="U1078" s="68" t="s">
        <v>1963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550</v>
      </c>
      <c r="S1079" s="261">
        <v>0</v>
      </c>
      <c r="T1079" s="261">
        <v>8.4600000000000009</v>
      </c>
      <c r="U1079" s="68" t="s">
        <v>1964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550</v>
      </c>
      <c r="S1080" s="261">
        <v>8.4600000000000009</v>
      </c>
      <c r="T1080" s="261">
        <v>0</v>
      </c>
      <c r="U1080" s="68" t="s">
        <v>1965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550</v>
      </c>
      <c r="S1081" s="261">
        <v>0</v>
      </c>
      <c r="T1081" s="261">
        <v>10</v>
      </c>
      <c r="U1081" s="68" t="s">
        <v>1966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550</v>
      </c>
      <c r="S1082" s="261">
        <v>0</v>
      </c>
      <c r="T1082" s="261">
        <v>0.66</v>
      </c>
      <c r="U1082" s="68" t="s">
        <v>1967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550</v>
      </c>
      <c r="S1083" s="261">
        <v>0.66</v>
      </c>
      <c r="T1083" s="261">
        <v>0</v>
      </c>
      <c r="U1083" s="68" t="s">
        <v>1968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550</v>
      </c>
      <c r="S1084" s="261">
        <v>0</v>
      </c>
      <c r="T1084" s="261">
        <v>2</v>
      </c>
      <c r="U1084" s="68" t="s">
        <v>1969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550</v>
      </c>
      <c r="S1085" s="261">
        <v>0</v>
      </c>
      <c r="T1085" s="261">
        <v>0.84000000000000008</v>
      </c>
      <c r="U1085" s="68" t="s">
        <v>1970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550</v>
      </c>
      <c r="S1086" s="261">
        <v>0.84000000000000008</v>
      </c>
      <c r="T1086" s="261">
        <v>0</v>
      </c>
      <c r="U1086" s="68" t="s">
        <v>1971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550</v>
      </c>
      <c r="S1087" s="261">
        <v>0</v>
      </c>
      <c r="T1087" s="261">
        <v>1.1399999999999999</v>
      </c>
      <c r="U1087" s="68" t="s">
        <v>1972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550</v>
      </c>
      <c r="S1088" s="261">
        <v>0</v>
      </c>
      <c r="T1088" s="261">
        <v>2.7</v>
      </c>
      <c r="U1088" s="68" t="s">
        <v>1973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550</v>
      </c>
      <c r="S1089" s="261">
        <v>2.7</v>
      </c>
      <c r="T1089" s="261">
        <v>0</v>
      </c>
      <c r="U1089" s="68" t="s">
        <v>1974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550</v>
      </c>
      <c r="S1090" s="261">
        <v>0</v>
      </c>
      <c r="T1090" s="261">
        <v>3</v>
      </c>
      <c r="U1090" s="68" t="s">
        <v>1975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550</v>
      </c>
      <c r="S1091" s="261">
        <v>0</v>
      </c>
      <c r="T1091" s="261">
        <v>6.6</v>
      </c>
      <c r="U1091" s="68" t="s">
        <v>1976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550</v>
      </c>
      <c r="S1092" s="261">
        <v>6.6</v>
      </c>
      <c r="T1092" s="261">
        <v>0</v>
      </c>
      <c r="U1092" s="68" t="s">
        <v>1977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550</v>
      </c>
      <c r="S1093" s="261">
        <v>0</v>
      </c>
      <c r="T1093" s="261">
        <v>7.5</v>
      </c>
      <c r="U1093" s="68" t="s">
        <v>1978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550</v>
      </c>
      <c r="S1094" s="261">
        <v>0</v>
      </c>
      <c r="T1094" s="261">
        <v>1</v>
      </c>
      <c r="U1094" s="68" t="s">
        <v>1979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550</v>
      </c>
      <c r="S1095" s="261">
        <v>1</v>
      </c>
      <c r="T1095" s="261">
        <v>0</v>
      </c>
      <c r="U1095" s="68" t="s">
        <v>1980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550</v>
      </c>
      <c r="S1096" s="261">
        <v>0</v>
      </c>
      <c r="T1096" s="261">
        <v>1.5</v>
      </c>
      <c r="U1096" s="68" t="s">
        <v>1981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550</v>
      </c>
      <c r="S1097" s="261">
        <v>0</v>
      </c>
      <c r="T1097" s="261">
        <v>1.79</v>
      </c>
      <c r="U1097" s="68" t="s">
        <v>1982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550</v>
      </c>
      <c r="S1098" s="261">
        <v>1.79</v>
      </c>
      <c r="T1098" s="261">
        <v>0</v>
      </c>
      <c r="U1098" s="68" t="s">
        <v>1983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550</v>
      </c>
      <c r="S1099" s="261">
        <v>0</v>
      </c>
      <c r="T1099" s="261">
        <v>2.5</v>
      </c>
      <c r="U1099" s="68" t="s">
        <v>1984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550</v>
      </c>
      <c r="S1100" s="261">
        <v>0</v>
      </c>
      <c r="T1100" s="261">
        <v>5.3</v>
      </c>
      <c r="U1100" s="68" t="s">
        <v>1985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550</v>
      </c>
      <c r="S1101" s="261">
        <v>5.3</v>
      </c>
      <c r="T1101" s="261">
        <v>0</v>
      </c>
      <c r="U1101" s="68" t="s">
        <v>1986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550</v>
      </c>
      <c r="S1102" s="261">
        <v>0</v>
      </c>
      <c r="T1102" s="261">
        <v>5</v>
      </c>
      <c r="U1102" s="68" t="s">
        <v>1987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550</v>
      </c>
      <c r="S1103" s="261">
        <v>113.38</v>
      </c>
      <c r="T1103" s="261">
        <v>0</v>
      </c>
      <c r="U1103" s="68" t="s">
        <v>1989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550</v>
      </c>
      <c r="S1104" s="261">
        <v>0</v>
      </c>
      <c r="T1104" s="261">
        <v>27.34</v>
      </c>
      <c r="U1104" s="68" t="s">
        <v>1990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550</v>
      </c>
      <c r="S1105" s="261">
        <v>27.34</v>
      </c>
      <c r="T1105" s="261">
        <v>0</v>
      </c>
      <c r="U1105" s="68" t="s">
        <v>1991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550</v>
      </c>
      <c r="S1106" s="261">
        <v>0</v>
      </c>
      <c r="T1106" s="261">
        <v>16</v>
      </c>
      <c r="U1106" s="68" t="s">
        <v>1992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550</v>
      </c>
      <c r="S1107" s="261">
        <v>0</v>
      </c>
      <c r="T1107" s="261">
        <v>3.01</v>
      </c>
      <c r="U1107" s="68" t="s">
        <v>1993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550</v>
      </c>
      <c r="S1108" s="261">
        <v>3.01</v>
      </c>
      <c r="T1108" s="261">
        <v>0</v>
      </c>
      <c r="U1108" s="68" t="s">
        <v>1994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550</v>
      </c>
      <c r="S1109" s="261">
        <v>0</v>
      </c>
      <c r="T1109" s="261">
        <v>3.5</v>
      </c>
      <c r="U1109" s="68" t="s">
        <v>1995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550</v>
      </c>
      <c r="S1110" s="261">
        <v>0</v>
      </c>
      <c r="T1110" s="261">
        <v>5.8</v>
      </c>
      <c r="U1110" s="68" t="s">
        <v>1996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550</v>
      </c>
      <c r="S1111" s="261">
        <v>5.8</v>
      </c>
      <c r="T1111" s="261">
        <v>0</v>
      </c>
      <c r="U1111" s="68" t="s">
        <v>1997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550</v>
      </c>
      <c r="S1112" s="261">
        <v>0</v>
      </c>
      <c r="T1112" s="261">
        <v>5</v>
      </c>
      <c r="U1112" s="68" t="s">
        <v>1998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550</v>
      </c>
      <c r="S1113" s="261">
        <v>0</v>
      </c>
      <c r="T1113" s="261">
        <v>0.5</v>
      </c>
      <c r="U1113" s="68" t="s">
        <v>1999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550</v>
      </c>
      <c r="S1114" s="261">
        <v>0.5</v>
      </c>
      <c r="T1114" s="261">
        <v>0</v>
      </c>
      <c r="U1114" s="68" t="s">
        <v>2000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550</v>
      </c>
      <c r="S1115" s="261">
        <v>0</v>
      </c>
      <c r="T1115" s="261">
        <v>1</v>
      </c>
      <c r="U1115" s="68" t="s">
        <v>2001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550</v>
      </c>
      <c r="S1116" s="261">
        <v>0</v>
      </c>
      <c r="T1116" s="261">
        <v>50.300000000000004</v>
      </c>
      <c r="U1116" s="68" t="s">
        <v>2002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550</v>
      </c>
      <c r="S1117" s="261">
        <v>50.300000000000004</v>
      </c>
      <c r="T1117" s="261">
        <v>0</v>
      </c>
      <c r="U1117" s="68" t="s">
        <v>2003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550</v>
      </c>
      <c r="S1118" s="261">
        <v>0</v>
      </c>
      <c r="T1118" s="261">
        <v>52.5</v>
      </c>
      <c r="U1118" s="68" t="s">
        <v>2004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550</v>
      </c>
      <c r="S1119" s="261">
        <v>0</v>
      </c>
      <c r="T1119" s="261">
        <v>1.4000000000000001</v>
      </c>
      <c r="U1119" s="68" t="s">
        <v>2005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550</v>
      </c>
      <c r="S1120" s="261">
        <v>1.4000000000000001</v>
      </c>
      <c r="T1120" s="261">
        <v>0</v>
      </c>
      <c r="U1120" s="68" t="s">
        <v>2006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550</v>
      </c>
      <c r="S1121" s="261">
        <v>0</v>
      </c>
      <c r="T1121" s="261">
        <v>1.9</v>
      </c>
      <c r="U1121" s="68" t="s">
        <v>2007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550</v>
      </c>
      <c r="S1122" s="261">
        <v>0</v>
      </c>
      <c r="T1122" s="261">
        <v>0.6</v>
      </c>
      <c r="U1122" s="68" t="s">
        <v>2008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550</v>
      </c>
      <c r="S1123" s="261">
        <v>0.6</v>
      </c>
      <c r="T1123" s="261">
        <v>0</v>
      </c>
      <c r="U1123" s="68" t="s">
        <v>2009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550</v>
      </c>
      <c r="S1124" s="261">
        <v>0</v>
      </c>
      <c r="T1124" s="261">
        <v>1.25</v>
      </c>
      <c r="U1124" s="68" t="s">
        <v>2010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550</v>
      </c>
      <c r="S1125" s="261">
        <v>0</v>
      </c>
      <c r="T1125" s="261">
        <v>0.22</v>
      </c>
      <c r="U1125" s="68" t="s">
        <v>2013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550</v>
      </c>
      <c r="S1126" s="261">
        <v>0.22</v>
      </c>
      <c r="T1126" s="261">
        <v>0</v>
      </c>
      <c r="U1126" s="68" t="s">
        <v>2014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550</v>
      </c>
      <c r="S1127" s="261">
        <v>0</v>
      </c>
      <c r="T1127" s="261">
        <v>0.5</v>
      </c>
      <c r="U1127" s="68" t="s">
        <v>2015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550</v>
      </c>
      <c r="S1128" s="261">
        <v>0</v>
      </c>
      <c r="T1128" s="261">
        <v>3.4499999999999997</v>
      </c>
      <c r="U1128" s="68" t="s">
        <v>2016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550</v>
      </c>
      <c r="S1129" s="261">
        <v>3.4499999999999997</v>
      </c>
      <c r="T1129" s="261">
        <v>0</v>
      </c>
      <c r="U1129" s="68" t="s">
        <v>2017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550</v>
      </c>
      <c r="S1130" s="261">
        <v>0</v>
      </c>
      <c r="T1130" s="261">
        <v>7.5</v>
      </c>
      <c r="U1130" s="68" t="s">
        <v>2018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550</v>
      </c>
      <c r="S1131" s="261">
        <v>0</v>
      </c>
      <c r="T1131" s="261">
        <v>0.15</v>
      </c>
      <c r="U1131" s="68" t="s">
        <v>2019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550</v>
      </c>
      <c r="S1132" s="261">
        <v>0.15</v>
      </c>
      <c r="T1132" s="261">
        <v>0</v>
      </c>
      <c r="U1132" s="68" t="s">
        <v>2020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550</v>
      </c>
      <c r="S1133" s="261">
        <v>0</v>
      </c>
      <c r="T1133" s="261">
        <v>0.25</v>
      </c>
      <c r="U1133" s="68" t="s">
        <v>2021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550</v>
      </c>
      <c r="S1134" s="261">
        <v>0</v>
      </c>
      <c r="T1134" s="261">
        <v>2.7</v>
      </c>
      <c r="U1134" s="68" t="s">
        <v>2022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550</v>
      </c>
      <c r="S1135" s="261">
        <v>2.7</v>
      </c>
      <c r="T1135" s="261">
        <v>0</v>
      </c>
      <c r="U1135" s="68" t="s">
        <v>2023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550</v>
      </c>
      <c r="S1136" s="261">
        <v>0</v>
      </c>
      <c r="T1136" s="261">
        <v>3</v>
      </c>
      <c r="U1136" s="68" t="s">
        <v>2024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550</v>
      </c>
      <c r="S1137" s="261">
        <v>0</v>
      </c>
      <c r="T1137" s="261">
        <v>1.63</v>
      </c>
      <c r="U1137" s="68" t="s">
        <v>2025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550</v>
      </c>
      <c r="S1138" s="261">
        <v>1.63</v>
      </c>
      <c r="T1138" s="261">
        <v>0</v>
      </c>
      <c r="U1138" s="68" t="s">
        <v>2026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550</v>
      </c>
      <c r="S1139" s="261">
        <v>0</v>
      </c>
      <c r="T1139" s="261">
        <v>2.5</v>
      </c>
      <c r="U1139" s="68" t="s">
        <v>2027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550</v>
      </c>
      <c r="S1140" s="261">
        <v>0</v>
      </c>
      <c r="T1140" s="261">
        <v>5</v>
      </c>
      <c r="U1140" s="68" t="s">
        <v>2031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550</v>
      </c>
      <c r="S1141" s="261">
        <v>5</v>
      </c>
      <c r="T1141" s="261">
        <v>0</v>
      </c>
      <c r="U1141" s="68" t="s">
        <v>2032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550</v>
      </c>
      <c r="S1142" s="261">
        <v>0</v>
      </c>
      <c r="T1142" s="261">
        <v>7.5</v>
      </c>
      <c r="U1142" s="68" t="s">
        <v>2033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550</v>
      </c>
      <c r="S1143" s="261">
        <v>0</v>
      </c>
      <c r="T1143" s="261">
        <v>8.8000000000000007</v>
      </c>
      <c r="U1143" s="68" t="s">
        <v>2036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550</v>
      </c>
      <c r="S1144" s="261">
        <v>8.8000000000000007</v>
      </c>
      <c r="T1144" s="261">
        <v>0</v>
      </c>
      <c r="U1144" s="68" t="s">
        <v>2037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550</v>
      </c>
      <c r="S1145" s="261">
        <v>0</v>
      </c>
      <c r="T1145" s="261">
        <v>9.5</v>
      </c>
      <c r="U1145" s="68" t="s">
        <v>2038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550</v>
      </c>
      <c r="S1146" s="261">
        <v>0</v>
      </c>
      <c r="T1146" s="261">
        <v>1.04</v>
      </c>
      <c r="U1146" s="68" t="s">
        <v>2039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550</v>
      </c>
      <c r="S1147" s="261">
        <v>1.04</v>
      </c>
      <c r="T1147" s="261">
        <v>0</v>
      </c>
      <c r="U1147" s="68" t="s">
        <v>2040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550</v>
      </c>
      <c r="S1148" s="261">
        <v>0</v>
      </c>
      <c r="T1148" s="261">
        <v>1.5</v>
      </c>
      <c r="U1148" s="68" t="s">
        <v>2041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550</v>
      </c>
      <c r="S1149" s="261">
        <v>45</v>
      </c>
      <c r="T1149" s="261">
        <v>0</v>
      </c>
      <c r="U1149" s="68" t="s">
        <v>2044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550</v>
      </c>
      <c r="S1150" s="261">
        <v>0</v>
      </c>
      <c r="T1150" s="261">
        <v>42.5</v>
      </c>
      <c r="U1150" s="68" t="s">
        <v>2045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550</v>
      </c>
      <c r="S1151" s="261">
        <v>42.5</v>
      </c>
      <c r="T1151" s="261">
        <v>0</v>
      </c>
      <c r="U1151" s="68" t="s">
        <v>2046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550</v>
      </c>
      <c r="S1152" s="261">
        <v>0</v>
      </c>
      <c r="T1152" s="261">
        <v>45</v>
      </c>
      <c r="U1152" s="68" t="s">
        <v>2047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550</v>
      </c>
      <c r="S1153" s="261">
        <v>109.5</v>
      </c>
      <c r="T1153" s="261">
        <v>0</v>
      </c>
      <c r="U1153" s="68" t="s">
        <v>2049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550</v>
      </c>
      <c r="S1154" s="261">
        <v>0</v>
      </c>
      <c r="T1154" s="261">
        <v>21.25</v>
      </c>
      <c r="U1154" s="68" t="s">
        <v>2050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550</v>
      </c>
      <c r="S1155" s="261">
        <v>21.25</v>
      </c>
      <c r="T1155" s="261">
        <v>0</v>
      </c>
      <c r="U1155" s="68" t="s">
        <v>2051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550</v>
      </c>
      <c r="S1156" s="261">
        <v>0</v>
      </c>
      <c r="T1156" s="261">
        <v>22.5</v>
      </c>
      <c r="U1156" s="68" t="s">
        <v>2052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550</v>
      </c>
      <c r="S1157" s="261">
        <v>0</v>
      </c>
      <c r="T1157" s="261">
        <v>26.46</v>
      </c>
      <c r="U1157" s="68" t="s">
        <v>2053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550</v>
      </c>
      <c r="S1158" s="261">
        <v>26.46</v>
      </c>
      <c r="T1158" s="261">
        <v>0</v>
      </c>
      <c r="U1158" s="68" t="s">
        <v>2054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550</v>
      </c>
      <c r="S1159" s="261">
        <v>0</v>
      </c>
      <c r="T1159" s="261">
        <v>30</v>
      </c>
      <c r="U1159" s="68" t="s">
        <v>2055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550</v>
      </c>
      <c r="S1160" s="261">
        <v>0</v>
      </c>
      <c r="T1160" s="261">
        <v>53</v>
      </c>
      <c r="U1160" s="68" t="s">
        <v>2056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550</v>
      </c>
      <c r="S1161" s="261">
        <v>53</v>
      </c>
      <c r="T1161" s="261">
        <v>0</v>
      </c>
      <c r="U1161" s="68" t="s">
        <v>2057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550</v>
      </c>
      <c r="S1162" s="261">
        <v>0</v>
      </c>
      <c r="T1162" s="261">
        <v>57</v>
      </c>
      <c r="U1162" s="68" t="s">
        <v>2058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550</v>
      </c>
      <c r="S1163" s="261">
        <v>51.61</v>
      </c>
      <c r="T1163" s="261">
        <v>0</v>
      </c>
      <c r="U1163" s="68" t="s">
        <v>2060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550</v>
      </c>
      <c r="S1164" s="261">
        <v>0</v>
      </c>
      <c r="T1164" s="261">
        <v>18.900000000000002</v>
      </c>
      <c r="U1164" s="68" t="s">
        <v>2061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550</v>
      </c>
      <c r="S1165" s="261">
        <v>18.900000000000002</v>
      </c>
      <c r="T1165" s="261">
        <v>0</v>
      </c>
      <c r="U1165" s="68" t="s">
        <v>2062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550</v>
      </c>
      <c r="S1166" s="261">
        <v>0</v>
      </c>
      <c r="T1166" s="261">
        <v>21</v>
      </c>
      <c r="U1166" s="68" t="s">
        <v>2063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550</v>
      </c>
      <c r="S1167" s="261">
        <v>0</v>
      </c>
      <c r="T1167" s="261">
        <v>2.6</v>
      </c>
      <c r="U1167" s="68" t="s">
        <v>2065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550</v>
      </c>
      <c r="S1168" s="261">
        <v>2.6</v>
      </c>
      <c r="T1168" s="261">
        <v>0</v>
      </c>
      <c r="U1168" s="68" t="s">
        <v>2066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550</v>
      </c>
      <c r="S1169" s="261">
        <v>0</v>
      </c>
      <c r="T1169" s="261">
        <v>5</v>
      </c>
      <c r="U1169" s="68" t="s">
        <v>2067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550</v>
      </c>
      <c r="S1170" s="261">
        <v>0</v>
      </c>
      <c r="T1170" s="261">
        <v>2.6</v>
      </c>
      <c r="U1170" s="68" t="s">
        <v>2070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550</v>
      </c>
      <c r="S1171" s="261">
        <v>2.6</v>
      </c>
      <c r="T1171" s="261">
        <v>0</v>
      </c>
      <c r="U1171" s="68" t="s">
        <v>2071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550</v>
      </c>
      <c r="S1172" s="261">
        <v>0</v>
      </c>
      <c r="T1172" s="261">
        <v>3</v>
      </c>
      <c r="U1172" s="68" t="s">
        <v>2072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550</v>
      </c>
      <c r="S1173" s="261">
        <v>0</v>
      </c>
      <c r="T1173" s="261">
        <v>1.35</v>
      </c>
      <c r="U1173" s="68" t="s">
        <v>2073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550</v>
      </c>
      <c r="S1174" s="261">
        <v>1.35</v>
      </c>
      <c r="T1174" s="261">
        <v>0</v>
      </c>
      <c r="U1174" s="68" t="s">
        <v>2074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550</v>
      </c>
      <c r="S1175" s="261">
        <v>0</v>
      </c>
      <c r="T1175" s="261">
        <v>1.75</v>
      </c>
      <c r="U1175" s="68" t="s">
        <v>2075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550</v>
      </c>
      <c r="S1176" s="261">
        <v>0</v>
      </c>
      <c r="T1176" s="261">
        <v>0.34</v>
      </c>
      <c r="U1176" s="68" t="s">
        <v>2076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550</v>
      </c>
      <c r="S1177" s="261">
        <v>0.34</v>
      </c>
      <c r="T1177" s="261">
        <v>0</v>
      </c>
      <c r="U1177" s="68" t="s">
        <v>2077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550</v>
      </c>
      <c r="S1178" s="261">
        <v>0</v>
      </c>
      <c r="T1178" s="261">
        <v>0.88</v>
      </c>
      <c r="U1178" s="68" t="s">
        <v>2078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550</v>
      </c>
      <c r="S1179" s="261">
        <v>0</v>
      </c>
      <c r="T1179" s="261">
        <v>13.48</v>
      </c>
      <c r="U1179" s="68" t="s">
        <v>2079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550</v>
      </c>
      <c r="S1180" s="261">
        <v>13.48</v>
      </c>
      <c r="T1180" s="261">
        <v>0</v>
      </c>
      <c r="U1180" s="68" t="s">
        <v>2080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550</v>
      </c>
      <c r="S1181" s="261">
        <v>0</v>
      </c>
      <c r="T1181" s="261">
        <v>13.6</v>
      </c>
      <c r="U1181" s="68" t="s">
        <v>2081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550</v>
      </c>
      <c r="S1182" s="261">
        <v>0</v>
      </c>
      <c r="T1182" s="261">
        <v>2.3199999999999998</v>
      </c>
      <c r="U1182" s="68" t="s">
        <v>2082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550</v>
      </c>
      <c r="S1183" s="261">
        <v>2.3199999999999998</v>
      </c>
      <c r="T1183" s="261">
        <v>0</v>
      </c>
      <c r="U1183" s="68" t="s">
        <v>2083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550</v>
      </c>
      <c r="S1184" s="261">
        <v>0</v>
      </c>
      <c r="T1184" s="261">
        <v>4</v>
      </c>
      <c r="U1184" s="68" t="s">
        <v>2084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550</v>
      </c>
      <c r="S1185" s="261">
        <v>0</v>
      </c>
      <c r="T1185" s="261">
        <v>0.3</v>
      </c>
      <c r="U1185" s="68" t="s">
        <v>2085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550</v>
      </c>
      <c r="S1186" s="261">
        <v>0.3</v>
      </c>
      <c r="T1186" s="261">
        <v>0</v>
      </c>
      <c r="U1186" s="68" t="s">
        <v>2086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550</v>
      </c>
      <c r="S1187" s="261">
        <v>0</v>
      </c>
      <c r="T1187" s="261">
        <v>0.63</v>
      </c>
      <c r="U1187" s="68" t="s">
        <v>2087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550</v>
      </c>
      <c r="S1188" s="261">
        <v>0</v>
      </c>
      <c r="T1188" s="261">
        <v>1.32</v>
      </c>
      <c r="U1188" s="68" t="s">
        <v>2088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550</v>
      </c>
      <c r="S1189" s="261">
        <v>1.32</v>
      </c>
      <c r="T1189" s="261">
        <v>0</v>
      </c>
      <c r="U1189" s="68" t="s">
        <v>2089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550</v>
      </c>
      <c r="S1190" s="261">
        <v>0</v>
      </c>
      <c r="T1190" s="261">
        <v>1.75</v>
      </c>
      <c r="U1190" s="68" t="s">
        <v>2090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550</v>
      </c>
      <c r="S1191" s="261">
        <v>64.5</v>
      </c>
      <c r="T1191" s="261">
        <v>0</v>
      </c>
      <c r="U1191" s="68" t="s">
        <v>2093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550</v>
      </c>
      <c r="S1192" s="261">
        <v>0</v>
      </c>
      <c r="T1192" s="261">
        <v>27.34</v>
      </c>
      <c r="U1192" s="68" t="s">
        <v>2094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550</v>
      </c>
      <c r="S1193" s="261">
        <v>27.34</v>
      </c>
      <c r="T1193" s="261">
        <v>0</v>
      </c>
      <c r="U1193" s="68" t="s">
        <v>2095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550</v>
      </c>
      <c r="S1194" s="261">
        <v>0</v>
      </c>
      <c r="T1194" s="261">
        <v>28.5</v>
      </c>
      <c r="U1194" s="68" t="s">
        <v>2096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550</v>
      </c>
      <c r="S1195" s="261">
        <v>0</v>
      </c>
      <c r="T1195" s="261">
        <v>0.4</v>
      </c>
      <c r="U1195" s="68" t="s">
        <v>2099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550</v>
      </c>
      <c r="S1196" s="261">
        <v>0.4</v>
      </c>
      <c r="T1196" s="261">
        <v>0</v>
      </c>
      <c r="U1196" s="68" t="s">
        <v>2100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550</v>
      </c>
      <c r="S1197" s="261">
        <v>0</v>
      </c>
      <c r="T1197" s="261">
        <v>1.5</v>
      </c>
      <c r="U1197" s="68" t="s">
        <v>2101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550</v>
      </c>
      <c r="S1198" s="261">
        <v>0</v>
      </c>
      <c r="T1198" s="261">
        <v>2.4</v>
      </c>
      <c r="U1198" s="68" t="s">
        <v>2104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550</v>
      </c>
      <c r="S1199" s="261">
        <v>2.4</v>
      </c>
      <c r="T1199" s="261">
        <v>0</v>
      </c>
      <c r="U1199" s="68" t="s">
        <v>2105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550</v>
      </c>
      <c r="S1200" s="261">
        <v>0</v>
      </c>
      <c r="T1200" s="261">
        <v>3</v>
      </c>
      <c r="U1200" s="68" t="s">
        <v>2106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550</v>
      </c>
      <c r="S1201" s="261">
        <v>0</v>
      </c>
      <c r="T1201" s="261">
        <v>0.2</v>
      </c>
      <c r="U1201" s="68" t="s">
        <v>2109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550</v>
      </c>
      <c r="S1202" s="261">
        <v>0.2</v>
      </c>
      <c r="T1202" s="261">
        <v>0</v>
      </c>
      <c r="U1202" s="68" t="s">
        <v>2110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550</v>
      </c>
      <c r="S1203" s="261">
        <v>0</v>
      </c>
      <c r="T1203" s="261">
        <v>0.5</v>
      </c>
      <c r="U1203" s="68" t="s">
        <v>2111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550</v>
      </c>
      <c r="S1204" s="261">
        <v>0</v>
      </c>
      <c r="T1204" s="261">
        <v>29.7</v>
      </c>
      <c r="U1204" s="68" t="s">
        <v>2112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550</v>
      </c>
      <c r="S1205" s="261">
        <v>29.7</v>
      </c>
      <c r="T1205" s="261">
        <v>0</v>
      </c>
      <c r="U1205" s="68" t="s">
        <v>2113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550</v>
      </c>
      <c r="S1206" s="261">
        <v>0</v>
      </c>
      <c r="T1206" s="261">
        <v>31</v>
      </c>
      <c r="U1206" s="68" t="s">
        <v>2114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550</v>
      </c>
      <c r="S1207" s="261">
        <v>37.630000000000003</v>
      </c>
      <c r="T1207" s="261">
        <v>0</v>
      </c>
      <c r="U1207" s="68" t="s">
        <v>2116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550</v>
      </c>
      <c r="S1208" s="261">
        <v>0</v>
      </c>
      <c r="T1208" s="261">
        <v>20.45</v>
      </c>
      <c r="U1208" s="68" t="s">
        <v>2117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550</v>
      </c>
      <c r="S1209" s="261">
        <v>20.45</v>
      </c>
      <c r="T1209" s="261">
        <v>0</v>
      </c>
      <c r="U1209" s="68" t="s">
        <v>2118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550</v>
      </c>
      <c r="S1210" s="261">
        <v>0</v>
      </c>
      <c r="T1210" s="261">
        <v>22.5</v>
      </c>
      <c r="U1210" s="68" t="s">
        <v>2119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550</v>
      </c>
      <c r="S1211" s="261">
        <v>0</v>
      </c>
      <c r="T1211" s="261">
        <v>8</v>
      </c>
      <c r="U1211" s="68" t="s">
        <v>2120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550</v>
      </c>
      <c r="S1212" s="261">
        <v>8</v>
      </c>
      <c r="T1212" s="261">
        <v>0</v>
      </c>
      <c r="U1212" s="68" t="s">
        <v>2121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550</v>
      </c>
      <c r="S1213" s="261">
        <v>0</v>
      </c>
      <c r="T1213" s="261">
        <v>9</v>
      </c>
      <c r="U1213" s="68" t="s">
        <v>2122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550</v>
      </c>
      <c r="S1214" s="261">
        <v>0</v>
      </c>
      <c r="T1214" s="261">
        <v>0.76</v>
      </c>
      <c r="U1214" s="68" t="s">
        <v>2125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550</v>
      </c>
      <c r="S1215" s="261">
        <v>0.76</v>
      </c>
      <c r="T1215" s="261">
        <v>0</v>
      </c>
      <c r="U1215" s="68" t="s">
        <v>2126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550</v>
      </c>
      <c r="S1216" s="261">
        <v>0</v>
      </c>
      <c r="T1216" s="261">
        <v>1</v>
      </c>
      <c r="U1216" s="68" t="s">
        <v>2127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550</v>
      </c>
      <c r="S1217" s="261">
        <v>0</v>
      </c>
      <c r="T1217" s="261">
        <v>0.34</v>
      </c>
      <c r="U1217" s="68" t="s">
        <v>2128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550</v>
      </c>
      <c r="S1218" s="261">
        <v>0.34</v>
      </c>
      <c r="T1218" s="261">
        <v>0</v>
      </c>
      <c r="U1218" s="68" t="s">
        <v>2129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550</v>
      </c>
      <c r="S1219" s="261">
        <v>0</v>
      </c>
      <c r="T1219" s="261">
        <v>0.88</v>
      </c>
      <c r="U1219" s="68" t="s">
        <v>2130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550</v>
      </c>
      <c r="S1220" s="261">
        <v>0</v>
      </c>
      <c r="T1220" s="261">
        <v>0.95</v>
      </c>
      <c r="U1220" s="68" t="s">
        <v>2131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550</v>
      </c>
      <c r="S1221" s="261">
        <v>0.95</v>
      </c>
      <c r="T1221" s="261">
        <v>0</v>
      </c>
      <c r="U1221" s="68" t="s">
        <v>2132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550</v>
      </c>
      <c r="S1222" s="261">
        <v>0</v>
      </c>
      <c r="T1222" s="261">
        <v>1.5</v>
      </c>
      <c r="U1222" s="68" t="s">
        <v>2133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550</v>
      </c>
      <c r="S1223" s="261">
        <v>0</v>
      </c>
      <c r="T1223" s="261">
        <v>0.24</v>
      </c>
      <c r="U1223" s="68" t="s">
        <v>2134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550</v>
      </c>
      <c r="S1224" s="261">
        <v>0.24</v>
      </c>
      <c r="T1224" s="261">
        <v>0</v>
      </c>
      <c r="U1224" s="68" t="s">
        <v>2135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550</v>
      </c>
      <c r="S1225" s="261">
        <v>0</v>
      </c>
      <c r="T1225" s="261">
        <v>0.5</v>
      </c>
      <c r="U1225" s="68" t="s">
        <v>2136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550</v>
      </c>
      <c r="S1226" s="261">
        <v>0</v>
      </c>
      <c r="T1226" s="261">
        <v>1.1000000000000001</v>
      </c>
      <c r="U1226" s="68" t="s">
        <v>2137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550</v>
      </c>
      <c r="S1227" s="261">
        <v>1.1000000000000001</v>
      </c>
      <c r="T1227" s="261">
        <v>0</v>
      </c>
      <c r="U1227" s="68" t="s">
        <v>2138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550</v>
      </c>
      <c r="S1228" s="261">
        <v>0</v>
      </c>
      <c r="T1228" s="261">
        <v>1.5</v>
      </c>
      <c r="U1228" s="68" t="s">
        <v>2139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550</v>
      </c>
      <c r="S1229" s="261">
        <v>0</v>
      </c>
      <c r="T1229" s="261">
        <v>0.5</v>
      </c>
      <c r="U1229" s="68" t="s">
        <v>2140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550</v>
      </c>
      <c r="S1230" s="261">
        <v>0.5</v>
      </c>
      <c r="T1230" s="261">
        <v>0</v>
      </c>
      <c r="U1230" s="68" t="s">
        <v>2141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550</v>
      </c>
      <c r="S1231" s="261">
        <v>0</v>
      </c>
      <c r="T1231" s="261">
        <v>0.75</v>
      </c>
      <c r="U1231" s="68" t="s">
        <v>2142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676</v>
      </c>
      <c r="S1232" s="261">
        <v>0</v>
      </c>
      <c r="T1232" s="261">
        <v>510.67999999999995</v>
      </c>
      <c r="U1232" s="68" t="s">
        <v>2144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676</v>
      </c>
      <c r="S1233" s="261">
        <v>46.4</v>
      </c>
      <c r="T1233" s="261">
        <v>0</v>
      </c>
      <c r="U1233" s="68" t="s">
        <v>2145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676</v>
      </c>
      <c r="S1234" s="261">
        <v>57.8</v>
      </c>
      <c r="T1234" s="261">
        <v>0</v>
      </c>
      <c r="U1234" s="68" t="s">
        <v>2146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676</v>
      </c>
      <c r="S1235" s="261">
        <v>32.22</v>
      </c>
      <c r="T1235" s="261">
        <v>0</v>
      </c>
      <c r="U1235" s="68" t="s">
        <v>2147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676</v>
      </c>
      <c r="S1236" s="261">
        <v>18.48</v>
      </c>
      <c r="T1236" s="261">
        <v>0</v>
      </c>
      <c r="U1236" s="68" t="s">
        <v>2148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676</v>
      </c>
      <c r="S1237" s="261">
        <v>41.4</v>
      </c>
      <c r="T1237" s="261">
        <v>0</v>
      </c>
      <c r="U1237" s="68" t="s">
        <v>2149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676</v>
      </c>
      <c r="S1238" s="261">
        <v>57.12</v>
      </c>
      <c r="T1238" s="261">
        <v>0</v>
      </c>
      <c r="U1238" s="68" t="s">
        <v>2150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676</v>
      </c>
      <c r="S1239" s="261">
        <v>63</v>
      </c>
      <c r="T1239" s="261">
        <v>0</v>
      </c>
      <c r="U1239" s="68" t="s">
        <v>2151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676</v>
      </c>
      <c r="S1240" s="261">
        <v>2.7</v>
      </c>
      <c r="T1240" s="261">
        <v>0</v>
      </c>
      <c r="U1240" s="68" t="s">
        <v>2152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676</v>
      </c>
      <c r="S1241" s="261">
        <v>70.42</v>
      </c>
      <c r="T1241" s="261">
        <v>0</v>
      </c>
      <c r="U1241" s="68" t="s">
        <v>2153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676</v>
      </c>
      <c r="S1242" s="261">
        <v>3.02</v>
      </c>
      <c r="T1242" s="261">
        <v>0</v>
      </c>
      <c r="U1242" s="68" t="s">
        <v>2154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676</v>
      </c>
      <c r="S1243" s="261">
        <v>101.52</v>
      </c>
      <c r="T1243" s="261">
        <v>0</v>
      </c>
      <c r="U1243" s="68" t="s">
        <v>2155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676</v>
      </c>
      <c r="S1244" s="261">
        <v>8.94</v>
      </c>
      <c r="T1244" s="261">
        <v>0</v>
      </c>
      <c r="U1244" s="68" t="s">
        <v>2156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676</v>
      </c>
      <c r="S1245" s="261">
        <v>4.16</v>
      </c>
      <c r="T1245" s="261">
        <v>0</v>
      </c>
      <c r="U1245" s="68" t="s">
        <v>2157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676</v>
      </c>
      <c r="S1246" s="261">
        <v>3.5</v>
      </c>
      <c r="T1246" s="261">
        <v>0</v>
      </c>
      <c r="U1246" s="68" t="s">
        <v>2158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676</v>
      </c>
      <c r="S1247" s="261">
        <v>0</v>
      </c>
      <c r="T1247" s="261">
        <v>230.48</v>
      </c>
      <c r="U1247" s="68" t="s">
        <v>2160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676</v>
      </c>
      <c r="S1248" s="261">
        <v>10</v>
      </c>
      <c r="T1248" s="261">
        <v>0</v>
      </c>
      <c r="U1248" s="68" t="s">
        <v>2161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676</v>
      </c>
      <c r="S1249" s="261">
        <v>2.64</v>
      </c>
      <c r="T1249" s="261">
        <v>0</v>
      </c>
      <c r="U1249" s="68" t="s">
        <v>2162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676</v>
      </c>
      <c r="S1250" s="261">
        <v>1.1599999999999999</v>
      </c>
      <c r="T1250" s="261">
        <v>0</v>
      </c>
      <c r="U1250" s="68" t="s">
        <v>2163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676</v>
      </c>
      <c r="S1251" s="261">
        <v>1.74</v>
      </c>
      <c r="T1251" s="261">
        <v>0</v>
      </c>
      <c r="U1251" s="68" t="s">
        <v>2164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676</v>
      </c>
      <c r="S1252" s="261">
        <v>0.92</v>
      </c>
      <c r="T1252" s="261">
        <v>0</v>
      </c>
      <c r="U1252" s="68" t="s">
        <v>2165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676</v>
      </c>
      <c r="S1253" s="261">
        <v>8.48</v>
      </c>
      <c r="T1253" s="261">
        <v>0</v>
      </c>
      <c r="U1253" s="68" t="s">
        <v>2166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676</v>
      </c>
      <c r="S1254" s="261">
        <v>7.68</v>
      </c>
      <c r="T1254" s="261">
        <v>0</v>
      </c>
      <c r="U1254" s="68" t="s">
        <v>2167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676</v>
      </c>
      <c r="S1255" s="261">
        <v>1.76</v>
      </c>
      <c r="T1255" s="261">
        <v>0</v>
      </c>
      <c r="U1255" s="68" t="s">
        <v>2168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676</v>
      </c>
      <c r="S1256" s="261">
        <v>10.199999999999999</v>
      </c>
      <c r="T1256" s="261">
        <v>0</v>
      </c>
      <c r="U1256" s="68" t="s">
        <v>2169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676</v>
      </c>
      <c r="S1257" s="261">
        <v>9</v>
      </c>
      <c r="T1257" s="261">
        <v>0</v>
      </c>
      <c r="U1257" s="68" t="s">
        <v>2170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676</v>
      </c>
      <c r="S1258" s="261">
        <v>1.68</v>
      </c>
      <c r="T1258" s="261">
        <v>0</v>
      </c>
      <c r="U1258" s="68" t="s">
        <v>2171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676</v>
      </c>
      <c r="S1259" s="261">
        <v>8.4</v>
      </c>
      <c r="T1259" s="261">
        <v>0</v>
      </c>
      <c r="U1259" s="68" t="s">
        <v>2172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676</v>
      </c>
      <c r="S1260" s="261">
        <v>14.16</v>
      </c>
      <c r="T1260" s="261">
        <v>0</v>
      </c>
      <c r="U1260" s="68" t="s">
        <v>2173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676</v>
      </c>
      <c r="S1261" s="261">
        <v>152.66</v>
      </c>
      <c r="T1261" s="261">
        <v>0</v>
      </c>
      <c r="U1261" s="68" t="s">
        <v>2174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676</v>
      </c>
      <c r="S1262" s="261">
        <v>0</v>
      </c>
      <c r="T1262" s="261">
        <v>175.40000000000003</v>
      </c>
      <c r="U1262" s="68" t="s">
        <v>2176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676</v>
      </c>
      <c r="S1263" s="261">
        <v>42.02</v>
      </c>
      <c r="T1263" s="261">
        <v>0</v>
      </c>
      <c r="U1263" s="68" t="s">
        <v>2177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676</v>
      </c>
      <c r="S1264" s="261">
        <v>3.8</v>
      </c>
      <c r="T1264" s="261">
        <v>0</v>
      </c>
      <c r="U1264" s="68" t="s">
        <v>2178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676</v>
      </c>
      <c r="S1265" s="261">
        <v>33.92</v>
      </c>
      <c r="T1265" s="261">
        <v>0</v>
      </c>
      <c r="U1265" s="68" t="s">
        <v>2179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676</v>
      </c>
      <c r="S1266" s="261">
        <v>7.7</v>
      </c>
      <c r="T1266" s="261">
        <v>0</v>
      </c>
      <c r="U1266" s="68" t="s">
        <v>2180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676</v>
      </c>
      <c r="S1267" s="261">
        <v>12.82</v>
      </c>
      <c r="T1267" s="261">
        <v>0</v>
      </c>
      <c r="U1267" s="68" t="s">
        <v>2181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676</v>
      </c>
      <c r="S1268" s="261">
        <v>51.96</v>
      </c>
      <c r="T1268" s="261">
        <v>0</v>
      </c>
      <c r="U1268" s="68" t="s">
        <v>2182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676</v>
      </c>
      <c r="S1269" s="261">
        <v>3.8</v>
      </c>
      <c r="T1269" s="261">
        <v>0</v>
      </c>
      <c r="U1269" s="68" t="s">
        <v>2183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676</v>
      </c>
      <c r="S1270" s="261">
        <v>4.92</v>
      </c>
      <c r="T1270" s="261">
        <v>0</v>
      </c>
      <c r="U1270" s="68" t="s">
        <v>2184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676</v>
      </c>
      <c r="S1271" s="261">
        <v>6.36</v>
      </c>
      <c r="T1271" s="261">
        <v>0</v>
      </c>
      <c r="U1271" s="68" t="s">
        <v>2185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676</v>
      </c>
      <c r="S1272" s="261">
        <v>3.5</v>
      </c>
      <c r="T1272" s="261">
        <v>0</v>
      </c>
      <c r="U1272" s="68" t="s">
        <v>2186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676</v>
      </c>
      <c r="S1273" s="261">
        <v>1.2</v>
      </c>
      <c r="T1273" s="261">
        <v>0</v>
      </c>
      <c r="U1273" s="68" t="s">
        <v>2187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676</v>
      </c>
      <c r="S1274" s="261">
        <v>0.44</v>
      </c>
      <c r="T1274" s="261">
        <v>0</v>
      </c>
      <c r="U1274" s="68" t="s">
        <v>2188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676</v>
      </c>
      <c r="S1275" s="261">
        <v>0.68</v>
      </c>
      <c r="T1275" s="261">
        <v>0</v>
      </c>
      <c r="U1275" s="68" t="s">
        <v>2189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676</v>
      </c>
      <c r="S1276" s="261">
        <v>2.2799999999999998</v>
      </c>
      <c r="T1276" s="261">
        <v>0</v>
      </c>
      <c r="U1276" s="68" t="s">
        <v>2190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676</v>
      </c>
      <c r="S1277" s="261">
        <v>0</v>
      </c>
      <c r="T1277" s="261">
        <v>234</v>
      </c>
      <c r="U1277" s="68" t="s">
        <v>2192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676</v>
      </c>
      <c r="S1278" s="261">
        <v>1.04</v>
      </c>
      <c r="T1278" s="261">
        <v>0</v>
      </c>
      <c r="U1278" s="68" t="s">
        <v>2193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676</v>
      </c>
      <c r="S1279" s="261">
        <v>16.2</v>
      </c>
      <c r="T1279" s="261">
        <v>0</v>
      </c>
      <c r="U1279" s="68" t="s">
        <v>2195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676</v>
      </c>
      <c r="S1280" s="261">
        <v>17.600000000000001</v>
      </c>
      <c r="T1280" s="261">
        <v>0</v>
      </c>
      <c r="U1280" s="68" t="s">
        <v>2197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676</v>
      </c>
      <c r="S1281" s="261">
        <v>10</v>
      </c>
      <c r="T1281" s="261">
        <v>0</v>
      </c>
      <c r="U1281" s="68" t="s">
        <v>2198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676</v>
      </c>
      <c r="S1282" s="261">
        <v>2.88</v>
      </c>
      <c r="T1282" s="261">
        <v>0</v>
      </c>
      <c r="U1282" s="68" t="s">
        <v>2199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676</v>
      </c>
      <c r="S1283" s="261">
        <v>31.2</v>
      </c>
      <c r="T1283" s="261">
        <v>0</v>
      </c>
      <c r="U1283" s="68" t="s">
        <v>2200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676</v>
      </c>
      <c r="S1284" s="261">
        <v>8.1999999999999993</v>
      </c>
      <c r="T1284" s="261">
        <v>0</v>
      </c>
      <c r="U1284" s="68" t="s">
        <v>2201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676</v>
      </c>
      <c r="S1285" s="261">
        <v>9.18</v>
      </c>
      <c r="T1285" s="261">
        <v>0</v>
      </c>
      <c r="U1285" s="68" t="s">
        <v>2202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676</v>
      </c>
      <c r="S1286" s="261">
        <v>2.4</v>
      </c>
      <c r="T1286" s="261">
        <v>0</v>
      </c>
      <c r="U1286" s="68" t="s">
        <v>2203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676</v>
      </c>
      <c r="S1287" s="261">
        <v>2.4</v>
      </c>
      <c r="T1287" s="261">
        <v>0</v>
      </c>
      <c r="U1287" s="68" t="s">
        <v>2204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676</v>
      </c>
      <c r="S1288" s="261">
        <v>4.5</v>
      </c>
      <c r="T1288" s="261">
        <v>0</v>
      </c>
      <c r="U1288" s="68" t="s">
        <v>2205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676</v>
      </c>
      <c r="S1289" s="261">
        <v>4.4000000000000004</v>
      </c>
      <c r="T1289" s="261">
        <v>0</v>
      </c>
      <c r="U1289" s="68" t="s">
        <v>2206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676</v>
      </c>
      <c r="S1290" s="261">
        <v>118.8</v>
      </c>
      <c r="T1290" s="261">
        <v>0</v>
      </c>
      <c r="U1290" s="68" t="s">
        <v>2207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676</v>
      </c>
      <c r="S1291" s="261">
        <v>5.2</v>
      </c>
      <c r="T1291" s="261">
        <v>0</v>
      </c>
      <c r="U1291" s="68" t="s">
        <v>2208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676</v>
      </c>
      <c r="S1292" s="261">
        <v>0</v>
      </c>
      <c r="T1292" s="261">
        <v>404.96000000000004</v>
      </c>
      <c r="U1292" s="68" t="s">
        <v>2210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676</v>
      </c>
      <c r="S1293" s="261">
        <v>1.4</v>
      </c>
      <c r="T1293" s="261">
        <v>0</v>
      </c>
      <c r="U1293" s="68" t="s">
        <v>2211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676</v>
      </c>
      <c r="S1294" s="261">
        <v>1.52</v>
      </c>
      <c r="T1294" s="261">
        <v>0</v>
      </c>
      <c r="U1294" s="68" t="s">
        <v>2212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676</v>
      </c>
      <c r="S1295" s="261">
        <v>4.76</v>
      </c>
      <c r="T1295" s="261">
        <v>0</v>
      </c>
      <c r="U1295" s="68" t="s">
        <v>2213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676</v>
      </c>
      <c r="S1296" s="261">
        <v>9</v>
      </c>
      <c r="T1296" s="261">
        <v>0</v>
      </c>
      <c r="U1296" s="68" t="s">
        <v>2214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676</v>
      </c>
      <c r="S1297" s="261">
        <v>5.8</v>
      </c>
      <c r="T1297" s="261">
        <v>0</v>
      </c>
      <c r="U1297" s="68" t="s">
        <v>2215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676</v>
      </c>
      <c r="S1298" s="261">
        <v>0.4</v>
      </c>
      <c r="T1298" s="261">
        <v>0</v>
      </c>
      <c r="U1298" s="68" t="s">
        <v>2216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676</v>
      </c>
      <c r="S1299" s="261">
        <v>11.44</v>
      </c>
      <c r="T1299" s="261">
        <v>0</v>
      </c>
      <c r="U1299" s="68" t="s">
        <v>2218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676</v>
      </c>
      <c r="S1300" s="261">
        <v>46.2</v>
      </c>
      <c r="T1300" s="261">
        <v>0</v>
      </c>
      <c r="U1300" s="68" t="s">
        <v>2220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676</v>
      </c>
      <c r="S1301" s="261">
        <v>17.64</v>
      </c>
      <c r="T1301" s="261">
        <v>0</v>
      </c>
      <c r="U1301" s="68" t="s">
        <v>2222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676</v>
      </c>
      <c r="S1302" s="261">
        <v>106</v>
      </c>
      <c r="T1302" s="261">
        <v>0</v>
      </c>
      <c r="U1302" s="68" t="s">
        <v>2224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676</v>
      </c>
      <c r="S1303" s="261">
        <v>94</v>
      </c>
      <c r="T1303" s="261">
        <v>0</v>
      </c>
      <c r="U1303" s="68" t="s">
        <v>2227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676</v>
      </c>
      <c r="S1304" s="261">
        <v>51</v>
      </c>
      <c r="T1304" s="261">
        <v>0</v>
      </c>
      <c r="U1304" s="68" t="s">
        <v>2229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676</v>
      </c>
      <c r="S1305" s="261">
        <v>40.5</v>
      </c>
      <c r="T1305" s="261">
        <v>0</v>
      </c>
      <c r="U1305" s="68" t="s">
        <v>2231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676</v>
      </c>
      <c r="S1306" s="261">
        <v>15.3</v>
      </c>
      <c r="T1306" s="261">
        <v>0</v>
      </c>
      <c r="U1306" s="68" t="s">
        <v>2232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676</v>
      </c>
      <c r="S1307" s="261">
        <v>0</v>
      </c>
      <c r="T1307" s="261">
        <v>883.42</v>
      </c>
      <c r="U1307" s="68" t="s">
        <v>2234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676</v>
      </c>
      <c r="S1308" s="261">
        <v>4.8</v>
      </c>
      <c r="T1308" s="261">
        <v>0</v>
      </c>
      <c r="U1308" s="68" t="s">
        <v>2235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676</v>
      </c>
      <c r="S1309" s="261">
        <v>16</v>
      </c>
      <c r="T1309" s="261">
        <v>0</v>
      </c>
      <c r="U1309" s="68" t="s">
        <v>2236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676</v>
      </c>
      <c r="S1310" s="261">
        <v>8</v>
      </c>
      <c r="T1310" s="261">
        <v>0</v>
      </c>
      <c r="U1310" s="68" t="s">
        <v>2237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676</v>
      </c>
      <c r="S1311" s="261">
        <v>0.4</v>
      </c>
      <c r="T1311" s="261">
        <v>0</v>
      </c>
      <c r="U1311" s="68" t="s">
        <v>2238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676</v>
      </c>
      <c r="S1312" s="261">
        <v>0.8</v>
      </c>
      <c r="T1312" s="261">
        <v>0</v>
      </c>
      <c r="U1312" s="68" t="s">
        <v>2239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676</v>
      </c>
      <c r="S1313" s="261">
        <v>28</v>
      </c>
      <c r="T1313" s="261">
        <v>0</v>
      </c>
      <c r="U1313" s="68" t="s">
        <v>2240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676</v>
      </c>
      <c r="S1314" s="261">
        <v>44</v>
      </c>
      <c r="T1314" s="261">
        <v>0</v>
      </c>
      <c r="U1314" s="68" t="s">
        <v>2241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676</v>
      </c>
      <c r="S1315" s="261">
        <v>280</v>
      </c>
      <c r="T1315" s="261">
        <v>0</v>
      </c>
      <c r="U1315" s="68" t="s">
        <v>2242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676</v>
      </c>
      <c r="S1316" s="261">
        <v>96</v>
      </c>
      <c r="T1316" s="261">
        <v>0</v>
      </c>
      <c r="U1316" s="68" t="s">
        <v>2243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676</v>
      </c>
      <c r="S1317" s="261">
        <v>16</v>
      </c>
      <c r="T1317" s="261">
        <v>0</v>
      </c>
      <c r="U1317" s="68" t="s">
        <v>2244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676</v>
      </c>
      <c r="S1318" s="261">
        <v>107.84</v>
      </c>
      <c r="T1318" s="261">
        <v>0</v>
      </c>
      <c r="U1318" s="68" t="s">
        <v>2245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676</v>
      </c>
      <c r="S1319" s="261">
        <v>130.88</v>
      </c>
      <c r="T1319" s="261">
        <v>0</v>
      </c>
      <c r="U1319" s="68" t="s">
        <v>2246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676</v>
      </c>
      <c r="S1320" s="261">
        <v>12.06</v>
      </c>
      <c r="T1320" s="261">
        <v>0</v>
      </c>
      <c r="U1320" s="68" t="s">
        <v>2247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676</v>
      </c>
      <c r="S1321" s="261">
        <v>62.8</v>
      </c>
      <c r="T1321" s="261">
        <v>0</v>
      </c>
      <c r="U1321" s="68" t="s">
        <v>2248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498" customFormat="1">
      <c r="B1322" s="429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496"/>
      <c r="L1322" s="496"/>
      <c r="M1322" s="172">
        <v>488</v>
      </c>
      <c r="N1322" s="172">
        <v>0</v>
      </c>
      <c r="O1322" s="172">
        <v>125</v>
      </c>
      <c r="P1322" s="172"/>
      <c r="Q1322" s="496"/>
      <c r="R1322" s="172" t="s">
        <v>676</v>
      </c>
      <c r="S1322" s="497">
        <v>75.84</v>
      </c>
      <c r="T1322" s="497">
        <v>0</v>
      </c>
      <c r="U1322" s="423" t="s">
        <v>2249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opLeftCell="A3" zoomScale="80" zoomScaleNormal="80" zoomScaleSheetLayoutView="96" workbookViewId="0">
      <pane ySplit="5" topLeftCell="A8" activePane="bottomLeft" state="frozen"/>
      <selection activeCell="L28" sqref="L28"/>
      <selection pane="bottomLeft" activeCell="E7" sqref="E7:I7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417" customWidth="1"/>
    <col min="7" max="7" width="19.140625" style="174" customWidth="1"/>
    <col min="8" max="16" width="4.85546875" style="174" bestFit="1" customWidth="1"/>
    <col min="17" max="17" width="24.28515625" style="174" customWidth="1"/>
    <col min="18" max="18" width="34.5703125" style="332" bestFit="1" customWidth="1"/>
    <col min="19" max="19" width="33.140625" style="333" bestFit="1" customWidth="1"/>
    <col min="20" max="20" width="9.85546875" style="180" customWidth="1"/>
    <col min="21" max="24" width="5.5703125" style="204" bestFit="1" customWidth="1"/>
    <col min="25" max="25" width="20.140625" style="407" customWidth="1"/>
    <col min="26" max="26" width="16.5703125" style="407" customWidth="1"/>
    <col min="27" max="27" width="14.7109375" style="405" bestFit="1" customWidth="1"/>
    <col min="28" max="28" width="19.42578125" style="405" customWidth="1"/>
    <col min="29" max="29" width="15" style="438" bestFit="1" customWidth="1"/>
    <col min="30" max="30" width="14.140625" style="441" customWidth="1"/>
    <col min="31" max="31" width="18.7109375" style="439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41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54"/>
      <c r="T1" s="142"/>
      <c r="U1" s="131"/>
      <c r="V1" s="131"/>
      <c r="W1" s="131"/>
      <c r="X1" s="131"/>
      <c r="Y1" s="255"/>
      <c r="Z1" s="255"/>
      <c r="AA1" s="256"/>
      <c r="AB1" s="256"/>
      <c r="AC1" s="257"/>
      <c r="AD1" s="258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416"/>
      <c r="G2" s="237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54"/>
      <c r="T2" s="142"/>
      <c r="U2" s="131"/>
      <c r="V2" s="131"/>
      <c r="W2" s="131"/>
      <c r="X2" s="131"/>
      <c r="Y2" s="255"/>
      <c r="Z2" s="255"/>
      <c r="AA2" s="256"/>
      <c r="AB2" s="256"/>
      <c r="AC2" s="257"/>
      <c r="AD2" s="258"/>
      <c r="AE2" s="189"/>
      <c r="AF2" s="189"/>
      <c r="AG2" s="141"/>
      <c r="AH2" s="126"/>
      <c r="AI2" s="126"/>
    </row>
    <row r="3" spans="3:42" ht="45" thickBot="1">
      <c r="C3" s="233" t="s">
        <v>463</v>
      </c>
      <c r="D3" s="233"/>
      <c r="E3" s="224"/>
      <c r="F3" s="418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5"/>
      <c r="Z3" s="225"/>
      <c r="AA3" s="224"/>
      <c r="AB3" s="224"/>
      <c r="AC3" s="225"/>
      <c r="AD3" s="226"/>
      <c r="AE3" s="181"/>
      <c r="AF3" s="181"/>
      <c r="AG3"/>
      <c r="AH3"/>
      <c r="AI3" s="13"/>
      <c r="AJ3" s="397" t="s">
        <v>6</v>
      </c>
      <c r="AK3" s="398">
        <f>IF(AJ3&lt;&gt;"",MID(AJ3,1,2)*1,"")</f>
        <v>3</v>
      </c>
      <c r="AL3" s="399" t="s">
        <v>281</v>
      </c>
      <c r="AM3" s="388" t="s">
        <v>218</v>
      </c>
      <c r="AN3" s="388"/>
    </row>
    <row r="4" spans="3:42" ht="24" customHeight="1">
      <c r="C4" s="221"/>
      <c r="D4" s="221"/>
      <c r="E4" s="222"/>
      <c r="F4" s="419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3"/>
      <c r="Z4" s="223"/>
      <c r="AA4" s="207">
        <v>-1</v>
      </c>
      <c r="AB4" s="207">
        <v>1</v>
      </c>
      <c r="AC4" s="227">
        <v>3</v>
      </c>
      <c r="AD4" s="207">
        <v>2</v>
      </c>
      <c r="AE4" s="189"/>
      <c r="AF4" s="189"/>
      <c r="AG4"/>
      <c r="AH4"/>
      <c r="AI4" s="13"/>
      <c r="AJ4" s="389" t="str">
        <f>"ប្រចាំឆ្នាំ "&amp;MID(AJ3,4,30)</f>
        <v>ប្រចាំឆ្នាំ មីនា</v>
      </c>
      <c r="AK4" s="390" t="str">
        <f>IF(AJ3="","","01/"&amp;MID(AJ3,1,2)&amp;"/"&amp;AL3)</f>
        <v>01/03/2026</v>
      </c>
      <c r="AL4" s="391">
        <f>IF(AJ3="","",EOMONTH(AK4,0))</f>
        <v>46112</v>
      </c>
      <c r="AM4" s="389" t="s">
        <v>218</v>
      </c>
      <c r="AN4" s="9"/>
    </row>
    <row r="5" spans="3:42" ht="23.25" customHeight="1">
      <c r="C5" s="193"/>
      <c r="D5" s="193"/>
      <c r="E5" s="179"/>
      <c r="F5" s="419"/>
      <c r="G5" s="197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35"/>
      <c r="T5" s="335"/>
      <c r="U5" s="197"/>
      <c r="V5" s="197"/>
      <c r="W5" s="197"/>
      <c r="X5" s="197"/>
      <c r="Y5" s="203"/>
      <c r="Z5" s="203"/>
      <c r="AA5" s="442" t="s">
        <v>2282</v>
      </c>
      <c r="AB5" s="160" t="s">
        <v>127</v>
      </c>
      <c r="AC5" s="202" t="s">
        <v>129</v>
      </c>
      <c r="AD5" s="169" t="s">
        <v>128</v>
      </c>
      <c r="AE5" s="189"/>
      <c r="AF5" s="189"/>
      <c r="AG5"/>
      <c r="AH5"/>
      <c r="AI5" s="13"/>
      <c r="AJ5" s="392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400"/>
      <c r="AL5" s="400"/>
      <c r="AM5" s="127" t="s">
        <v>217</v>
      </c>
    </row>
    <row r="6" spans="3:42" ht="16.5" customHeight="1">
      <c r="C6" s="302"/>
      <c r="D6" s="302"/>
      <c r="E6" s="302"/>
      <c r="F6" s="302"/>
      <c r="G6" s="302"/>
      <c r="H6" s="304"/>
      <c r="I6" s="304"/>
      <c r="J6" s="304"/>
      <c r="K6" s="304"/>
      <c r="L6" s="304"/>
      <c r="M6" s="304"/>
      <c r="N6" s="304"/>
      <c r="O6" s="304"/>
      <c r="P6" s="304"/>
      <c r="Q6" s="302"/>
      <c r="R6" s="302"/>
      <c r="S6" s="302"/>
      <c r="T6" s="302"/>
      <c r="U6" s="302"/>
      <c r="V6" s="302"/>
      <c r="W6" s="302"/>
      <c r="X6" s="302"/>
      <c r="Y6" s="307"/>
      <c r="Z6" s="307"/>
      <c r="AA6" s="307"/>
      <c r="AB6" s="307"/>
      <c r="AC6" s="307"/>
      <c r="AD6" s="307"/>
      <c r="AE6" s="307"/>
      <c r="AF6" s="307"/>
      <c r="AG6" s="307"/>
      <c r="AH6" s="307"/>
      <c r="AI6" s="307"/>
      <c r="AJ6"/>
      <c r="AK6" s="400" t="s">
        <v>545</v>
      </c>
      <c r="AL6" s="401"/>
    </row>
    <row r="7" spans="3:42" s="143" customFormat="1" ht="91.5">
      <c r="C7" s="303" t="s">
        <v>139</v>
      </c>
      <c r="D7" s="303" t="s">
        <v>478</v>
      </c>
      <c r="E7" s="303" t="s">
        <v>29</v>
      </c>
      <c r="F7" s="303" t="s">
        <v>40</v>
      </c>
      <c r="G7" s="303" t="s">
        <v>285</v>
      </c>
      <c r="H7" s="305" t="s">
        <v>102</v>
      </c>
      <c r="I7" s="305" t="s">
        <v>291</v>
      </c>
      <c r="J7" s="305" t="s">
        <v>110</v>
      </c>
      <c r="K7" s="305" t="s">
        <v>103</v>
      </c>
      <c r="L7" s="305" t="s">
        <v>106</v>
      </c>
      <c r="M7" s="305" t="s">
        <v>104</v>
      </c>
      <c r="N7" s="305" t="s">
        <v>100</v>
      </c>
      <c r="O7" s="305" t="s">
        <v>390</v>
      </c>
      <c r="P7" s="305" t="s">
        <v>219</v>
      </c>
      <c r="Q7" s="303" t="s">
        <v>392</v>
      </c>
      <c r="R7" s="303" t="s">
        <v>105</v>
      </c>
      <c r="S7" s="303" t="s">
        <v>97</v>
      </c>
      <c r="T7" s="306" t="s">
        <v>3</v>
      </c>
      <c r="U7" s="306" t="s">
        <v>370</v>
      </c>
      <c r="V7" s="306" t="s">
        <v>232</v>
      </c>
      <c r="W7" s="306" t="s">
        <v>283</v>
      </c>
      <c r="X7" s="306" t="s">
        <v>234</v>
      </c>
      <c r="Y7" s="308" t="s">
        <v>30</v>
      </c>
      <c r="Z7" s="308" t="s">
        <v>284</v>
      </c>
      <c r="AA7" s="308" t="s">
        <v>31</v>
      </c>
      <c r="AB7" s="308" t="s">
        <v>206</v>
      </c>
      <c r="AC7" s="308" t="s">
        <v>32</v>
      </c>
      <c r="AD7" s="440" t="s">
        <v>98</v>
      </c>
      <c r="AE7" s="308" t="s">
        <v>28</v>
      </c>
      <c r="AF7" s="308" t="s">
        <v>290</v>
      </c>
      <c r="AG7" s="308" t="s">
        <v>26</v>
      </c>
      <c r="AH7" s="308" t="s">
        <v>2</v>
      </c>
      <c r="AI7" s="308" t="s">
        <v>121</v>
      </c>
      <c r="AJ7" s="339" t="s">
        <v>200</v>
      </c>
      <c r="AK7" s="402" t="s">
        <v>2250</v>
      </c>
      <c r="AL7" s="403" t="s">
        <v>2251</v>
      </c>
      <c r="AM7"/>
      <c r="AN7"/>
      <c r="AO7" s="126"/>
      <c r="AP7" s="126"/>
    </row>
    <row r="8" spans="3:42" ht="24" customHeight="1">
      <c r="C8" s="301">
        <v>1</v>
      </c>
      <c r="D8" s="301" t="s">
        <v>790</v>
      </c>
      <c r="E8" s="175" t="s">
        <v>1017</v>
      </c>
      <c r="F8" s="417">
        <v>46174</v>
      </c>
      <c r="G8" s="176">
        <v>46222.633958333332</v>
      </c>
      <c r="H8" s="301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301">
        <v>2</v>
      </c>
      <c r="R8" s="332" t="s">
        <v>548</v>
      </c>
      <c r="S8" s="333" t="s">
        <v>549</v>
      </c>
      <c r="T8" s="336">
        <v>4026</v>
      </c>
      <c r="V8" s="204">
        <v>0</v>
      </c>
      <c r="Y8" s="406">
        <v>40.5</v>
      </c>
      <c r="Z8" s="407">
        <v>0</v>
      </c>
      <c r="AA8" s="404">
        <v>0</v>
      </c>
      <c r="AB8" s="404">
        <v>0</v>
      </c>
      <c r="AC8" s="437">
        <v>40.5</v>
      </c>
      <c r="AD8" s="441">
        <v>1</v>
      </c>
      <c r="AF8" s="177">
        <v>1</v>
      </c>
      <c r="AG8" s="178">
        <v>1</v>
      </c>
      <c r="AH8" s="174">
        <v>6</v>
      </c>
      <c r="AI8" s="174">
        <v>2026</v>
      </c>
      <c r="AJ8" s="139">
        <f>IF(C8="","",C8)</f>
        <v>1</v>
      </c>
      <c r="AK8" s="393" t="str" cm="1">
        <f t="array" ref="AK8:AK38">_xlfn.UNIQUE(D8:D10000)</f>
        <v>KSINV26-0055</v>
      </c>
      <c r="AL8" s="394">
        <f>SUMIFS(AC8:AC10000,AD8:AD10000,"&gt;0",D8:D10000,AK8,AH8:AH10000,6,AI8:AI10000,2026)</f>
        <v>83.759999999999991</v>
      </c>
      <c r="AO8" s="13"/>
      <c r="AP8" s="384"/>
    </row>
    <row r="9" spans="3:42" ht="24" customHeight="1">
      <c r="C9" s="174">
        <v>2</v>
      </c>
      <c r="D9" s="301" t="s">
        <v>790</v>
      </c>
      <c r="E9" s="175" t="s">
        <v>858</v>
      </c>
      <c r="F9" s="417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32" t="s">
        <v>548</v>
      </c>
      <c r="S9" s="333" t="s">
        <v>549</v>
      </c>
      <c r="T9" s="336">
        <v>4026</v>
      </c>
      <c r="V9" s="204">
        <v>0</v>
      </c>
      <c r="Y9" s="407">
        <v>43.26</v>
      </c>
      <c r="Z9" s="407">
        <v>0</v>
      </c>
      <c r="AA9" s="404">
        <v>0</v>
      </c>
      <c r="AB9" s="404">
        <v>0</v>
      </c>
      <c r="AC9" s="438">
        <v>43.26</v>
      </c>
      <c r="AD9" s="441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ref="AJ9:AJ72" si="0">IF(C9="","",C9)</f>
        <v>2</v>
      </c>
      <c r="AK9" s="393" t="str">
        <v>KSINV26-0056</v>
      </c>
      <c r="AL9" s="394">
        <f t="shared" ref="AL9:AL72" si="1">SUMIFS(AC9:AC10001,AD9:AD10001,"&gt;0",D9:D10001,AK9,AH9:AH10001,6,AI9:AI10001,2026)</f>
        <v>140.25</v>
      </c>
      <c r="AO9" s="13"/>
      <c r="AP9" s="384"/>
    </row>
    <row r="10" spans="3:42" ht="24" customHeight="1">
      <c r="C10" s="174">
        <v>3</v>
      </c>
      <c r="D10" s="301" t="s">
        <v>791</v>
      </c>
      <c r="E10" s="175" t="s">
        <v>859</v>
      </c>
      <c r="F10" s="417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32" t="s">
        <v>548</v>
      </c>
      <c r="S10" s="333" t="s">
        <v>549</v>
      </c>
      <c r="T10" s="336">
        <v>4026</v>
      </c>
      <c r="V10" s="204">
        <v>0</v>
      </c>
      <c r="Y10" s="407">
        <v>58</v>
      </c>
      <c r="Z10" s="407">
        <v>0</v>
      </c>
      <c r="AA10" s="404">
        <v>0</v>
      </c>
      <c r="AB10" s="404">
        <v>0</v>
      </c>
      <c r="AC10" s="438">
        <v>58</v>
      </c>
      <c r="AD10" s="441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393" t="str">
        <v>KSINV26-0057</v>
      </c>
      <c r="AL10" s="394">
        <f t="shared" si="1"/>
        <v>104.25999999999999</v>
      </c>
      <c r="AO10" s="13"/>
      <c r="AP10" s="384"/>
    </row>
    <row r="11" spans="3:42" ht="24" customHeight="1">
      <c r="C11" s="195">
        <v>4</v>
      </c>
      <c r="D11" s="301" t="s">
        <v>791</v>
      </c>
      <c r="E11" s="175" t="s">
        <v>860</v>
      </c>
      <c r="F11" s="420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32" t="s">
        <v>548</v>
      </c>
      <c r="S11" s="333" t="s">
        <v>549</v>
      </c>
      <c r="T11" s="336">
        <v>4026</v>
      </c>
      <c r="V11" s="204">
        <v>0</v>
      </c>
      <c r="Y11" s="407">
        <v>54.5</v>
      </c>
      <c r="Z11" s="407">
        <v>0</v>
      </c>
      <c r="AA11" s="404">
        <v>0</v>
      </c>
      <c r="AB11" s="404">
        <v>0</v>
      </c>
      <c r="AC11" s="438">
        <v>54.5</v>
      </c>
      <c r="AD11" s="441">
        <v>1</v>
      </c>
      <c r="AE11" s="439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393" t="str">
        <v>KSINV26-0058</v>
      </c>
      <c r="AL11" s="394">
        <f t="shared" si="1"/>
        <v>209.05</v>
      </c>
      <c r="AO11" s="13"/>
      <c r="AP11" s="384"/>
    </row>
    <row r="12" spans="3:42" ht="24" customHeight="1">
      <c r="C12" s="195">
        <v>5</v>
      </c>
      <c r="D12" s="301" t="s">
        <v>791</v>
      </c>
      <c r="E12" s="175" t="s">
        <v>861</v>
      </c>
      <c r="F12" s="420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32" t="s">
        <v>548</v>
      </c>
      <c r="S12" s="333" t="s">
        <v>549</v>
      </c>
      <c r="T12" s="180">
        <v>4026</v>
      </c>
      <c r="V12" s="204">
        <v>0</v>
      </c>
      <c r="Y12" s="407">
        <v>27.75</v>
      </c>
      <c r="Z12" s="407">
        <v>0</v>
      </c>
      <c r="AA12" s="404">
        <v>0</v>
      </c>
      <c r="AB12" s="404">
        <v>0</v>
      </c>
      <c r="AC12" s="438">
        <v>27.75</v>
      </c>
      <c r="AD12" s="441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393" t="str">
        <v>KSINV26-0059</v>
      </c>
      <c r="AL12" s="394">
        <f t="shared" si="1"/>
        <v>175</v>
      </c>
      <c r="AO12" s="13"/>
      <c r="AP12" s="384"/>
    </row>
    <row r="13" spans="3:42" ht="24" customHeight="1">
      <c r="C13" s="195">
        <v>6</v>
      </c>
      <c r="D13" s="301" t="s">
        <v>792</v>
      </c>
      <c r="E13" s="175" t="s">
        <v>862</v>
      </c>
      <c r="F13" s="417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32" t="s">
        <v>548</v>
      </c>
      <c r="S13" s="333" t="s">
        <v>549</v>
      </c>
      <c r="T13" s="180">
        <v>4026</v>
      </c>
      <c r="V13" s="204">
        <v>0</v>
      </c>
      <c r="Y13" s="407">
        <v>52.26</v>
      </c>
      <c r="Z13" s="407">
        <v>0</v>
      </c>
      <c r="AA13" s="404">
        <v>0</v>
      </c>
      <c r="AB13" s="404">
        <v>0</v>
      </c>
      <c r="AC13" s="438">
        <v>52.26</v>
      </c>
      <c r="AD13" s="441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393" t="str">
        <v>KSINV26-0060</v>
      </c>
      <c r="AL13" s="394">
        <f t="shared" si="1"/>
        <v>165.55</v>
      </c>
      <c r="AO13" s="13"/>
      <c r="AP13" s="384"/>
    </row>
    <row r="14" spans="3:42" ht="24" customHeight="1">
      <c r="C14" s="195">
        <v>7</v>
      </c>
      <c r="D14" s="301" t="s">
        <v>792</v>
      </c>
      <c r="E14" s="175" t="s">
        <v>863</v>
      </c>
      <c r="F14" s="417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32" t="s">
        <v>548</v>
      </c>
      <c r="S14" s="333" t="s">
        <v>549</v>
      </c>
      <c r="T14" s="180">
        <v>4026</v>
      </c>
      <c r="V14" s="204">
        <v>0</v>
      </c>
      <c r="Y14" s="407">
        <v>52</v>
      </c>
      <c r="Z14" s="407">
        <v>0</v>
      </c>
      <c r="AA14" s="405">
        <v>0</v>
      </c>
      <c r="AB14" s="404">
        <v>0</v>
      </c>
      <c r="AC14" s="438">
        <v>52</v>
      </c>
      <c r="AD14" s="441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393" t="str">
        <v>KSINV26-0061</v>
      </c>
      <c r="AL14" s="394">
        <f t="shared" si="1"/>
        <v>161.25</v>
      </c>
      <c r="AO14" s="13"/>
      <c r="AP14" s="384"/>
    </row>
    <row r="15" spans="3:42" ht="24" customHeight="1">
      <c r="C15" s="195">
        <v>8</v>
      </c>
      <c r="D15" s="301" t="s">
        <v>834</v>
      </c>
      <c r="E15" s="175" t="s">
        <v>864</v>
      </c>
      <c r="F15" s="417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32" t="s">
        <v>548</v>
      </c>
      <c r="S15" s="333" t="s">
        <v>549</v>
      </c>
      <c r="T15" s="180">
        <v>4026</v>
      </c>
      <c r="V15" s="204">
        <v>0</v>
      </c>
      <c r="Y15" s="407">
        <v>93.75</v>
      </c>
      <c r="Z15" s="407">
        <v>0</v>
      </c>
      <c r="AA15" s="405">
        <v>0</v>
      </c>
      <c r="AB15" s="404">
        <v>0</v>
      </c>
      <c r="AC15" s="438">
        <v>93.75</v>
      </c>
      <c r="AD15" s="441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395" t="str">
        <v>KSINV26-0062</v>
      </c>
      <c r="AL15" s="394">
        <f t="shared" si="1"/>
        <v>173.1</v>
      </c>
      <c r="AO15" s="13"/>
      <c r="AP15" s="384"/>
    </row>
    <row r="16" spans="3:42" ht="24" customHeight="1">
      <c r="C16" s="195">
        <v>9</v>
      </c>
      <c r="D16" s="301" t="s">
        <v>834</v>
      </c>
      <c r="E16" s="175" t="s">
        <v>865</v>
      </c>
      <c r="F16" s="417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32" t="s">
        <v>548</v>
      </c>
      <c r="S16" s="333" t="s">
        <v>549</v>
      </c>
      <c r="T16" s="180">
        <v>4026</v>
      </c>
      <c r="V16" s="204">
        <v>0</v>
      </c>
      <c r="Y16" s="407">
        <v>59</v>
      </c>
      <c r="Z16" s="407">
        <v>0</v>
      </c>
      <c r="AA16" s="405">
        <v>0</v>
      </c>
      <c r="AB16" s="404">
        <v>0</v>
      </c>
      <c r="AC16" s="438">
        <v>59</v>
      </c>
      <c r="AD16" s="441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395" t="str">
        <v>KSINV26-0063</v>
      </c>
      <c r="AL16" s="394">
        <f t="shared" si="1"/>
        <v>175</v>
      </c>
      <c r="AO16" s="13"/>
      <c r="AP16" s="384"/>
    </row>
    <row r="17" spans="3:42" ht="24" customHeight="1">
      <c r="C17" s="195">
        <v>10</v>
      </c>
      <c r="D17" s="301" t="s">
        <v>834</v>
      </c>
      <c r="E17" s="175" t="s">
        <v>866</v>
      </c>
      <c r="F17" s="417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32" t="s">
        <v>548</v>
      </c>
      <c r="S17" s="333" t="s">
        <v>549</v>
      </c>
      <c r="T17" s="180">
        <v>4026</v>
      </c>
      <c r="V17" s="204">
        <v>0</v>
      </c>
      <c r="Y17" s="407">
        <v>56.3</v>
      </c>
      <c r="Z17" s="407">
        <v>0</v>
      </c>
      <c r="AA17" s="405">
        <v>0</v>
      </c>
      <c r="AB17" s="404">
        <v>0</v>
      </c>
      <c r="AC17" s="438">
        <v>56.3</v>
      </c>
      <c r="AD17" s="441">
        <v>1</v>
      </c>
      <c r="AE17" s="439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395" t="str">
        <v>KSINV26-0064</v>
      </c>
      <c r="AL17" s="394">
        <f t="shared" si="1"/>
        <v>176.65</v>
      </c>
      <c r="AO17" s="13"/>
      <c r="AP17" s="384"/>
    </row>
    <row r="18" spans="3:42" ht="24" customHeight="1">
      <c r="C18" s="195">
        <v>11</v>
      </c>
      <c r="D18" s="301" t="s">
        <v>849</v>
      </c>
      <c r="E18" s="175" t="s">
        <v>867</v>
      </c>
      <c r="F18" s="417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32" t="s">
        <v>548</v>
      </c>
      <c r="S18" s="333" t="s">
        <v>549</v>
      </c>
      <c r="T18" s="180">
        <v>4027</v>
      </c>
      <c r="V18" s="204">
        <v>0</v>
      </c>
      <c r="Y18" s="407">
        <v>47.5</v>
      </c>
      <c r="Z18" s="407">
        <v>0</v>
      </c>
      <c r="AA18" s="405">
        <v>0</v>
      </c>
      <c r="AB18" s="404">
        <v>0</v>
      </c>
      <c r="AC18" s="438">
        <v>47.5</v>
      </c>
      <c r="AD18" s="441">
        <v>1</v>
      </c>
      <c r="AE18" s="439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395" t="str">
        <v>KSINV26-0065</v>
      </c>
      <c r="AL18" s="394">
        <f t="shared" si="1"/>
        <v>186.88</v>
      </c>
      <c r="AO18" s="13"/>
      <c r="AP18" s="384"/>
    </row>
    <row r="19" spans="3:42" ht="24" customHeight="1">
      <c r="C19" s="195">
        <v>12</v>
      </c>
      <c r="D19" s="301" t="s">
        <v>849</v>
      </c>
      <c r="E19" s="175" t="s">
        <v>876</v>
      </c>
      <c r="F19" s="417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32" t="s">
        <v>548</v>
      </c>
      <c r="S19" s="333" t="s">
        <v>549</v>
      </c>
      <c r="T19" s="180">
        <v>4027</v>
      </c>
      <c r="V19" s="204">
        <v>0</v>
      </c>
      <c r="Y19" s="407">
        <v>38.25</v>
      </c>
      <c r="Z19" s="407">
        <v>0</v>
      </c>
      <c r="AA19" s="405">
        <v>0</v>
      </c>
      <c r="AB19" s="404">
        <v>0</v>
      </c>
      <c r="AC19" s="438">
        <v>38.25</v>
      </c>
      <c r="AD19" s="441">
        <v>1</v>
      </c>
      <c r="AE19" s="439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395" t="str">
        <v>KSINV26-0066</v>
      </c>
      <c r="AL19" s="394">
        <f t="shared" si="1"/>
        <v>209.54000000000002</v>
      </c>
      <c r="AO19" s="13"/>
      <c r="AP19" s="384"/>
    </row>
    <row r="20" spans="3:42" ht="24" customHeight="1">
      <c r="C20" s="195">
        <v>13</v>
      </c>
      <c r="D20" s="301" t="s">
        <v>849</v>
      </c>
      <c r="E20" s="175" t="s">
        <v>882</v>
      </c>
      <c r="F20" s="417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32" t="s">
        <v>548</v>
      </c>
      <c r="S20" s="333" t="s">
        <v>549</v>
      </c>
      <c r="T20" s="180">
        <v>4027</v>
      </c>
      <c r="V20" s="204">
        <v>0</v>
      </c>
      <c r="Y20" s="407">
        <v>45</v>
      </c>
      <c r="Z20" s="407">
        <v>0</v>
      </c>
      <c r="AA20" s="405">
        <v>0</v>
      </c>
      <c r="AB20" s="404">
        <v>0</v>
      </c>
      <c r="AC20" s="438">
        <v>45</v>
      </c>
      <c r="AD20" s="441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395" t="str">
        <v>KSINV26-0067</v>
      </c>
      <c r="AL20" s="394">
        <f t="shared" si="1"/>
        <v>108.75</v>
      </c>
      <c r="AO20" s="13"/>
      <c r="AP20" s="384"/>
    </row>
    <row r="21" spans="3:42" ht="24" customHeight="1">
      <c r="C21" s="195">
        <v>14</v>
      </c>
      <c r="D21" s="301" t="s">
        <v>849</v>
      </c>
      <c r="E21" s="175" t="s">
        <v>912</v>
      </c>
      <c r="F21" s="417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32" t="s">
        <v>548</v>
      </c>
      <c r="S21" s="333" t="s">
        <v>549</v>
      </c>
      <c r="T21" s="180">
        <v>4027</v>
      </c>
      <c r="V21" s="204">
        <v>0</v>
      </c>
      <c r="Y21" s="407">
        <v>44.25</v>
      </c>
      <c r="Z21" s="407">
        <v>0</v>
      </c>
      <c r="AA21" s="405">
        <v>0</v>
      </c>
      <c r="AB21" s="404">
        <v>0</v>
      </c>
      <c r="AC21" s="438">
        <v>44.25</v>
      </c>
      <c r="AD21" s="441">
        <v>1</v>
      </c>
      <c r="AE21" s="439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395" t="str">
        <v>KSINV26-0068</v>
      </c>
      <c r="AL21" s="394">
        <f t="shared" si="1"/>
        <v>195</v>
      </c>
      <c r="AO21" s="13"/>
      <c r="AP21" s="384"/>
    </row>
    <row r="22" spans="3:42" ht="24" customHeight="1">
      <c r="C22" s="195">
        <v>15</v>
      </c>
      <c r="D22" s="301" t="s">
        <v>925</v>
      </c>
      <c r="E22" s="175" t="s">
        <v>917</v>
      </c>
      <c r="F22" s="417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32" t="s">
        <v>548</v>
      </c>
      <c r="S22" s="333" t="s">
        <v>549</v>
      </c>
      <c r="T22" s="180">
        <v>4027</v>
      </c>
      <c r="V22" s="204">
        <v>0</v>
      </c>
      <c r="Y22" s="407">
        <v>75.55</v>
      </c>
      <c r="Z22" s="407">
        <v>0</v>
      </c>
      <c r="AA22" s="405">
        <v>0</v>
      </c>
      <c r="AB22" s="404">
        <v>0</v>
      </c>
      <c r="AC22" s="438">
        <v>75.55</v>
      </c>
      <c r="AD22" s="441">
        <v>1</v>
      </c>
      <c r="AE22" s="439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395" t="str">
        <v>KSINV26-0069</v>
      </c>
      <c r="AL22" s="394">
        <f t="shared" si="1"/>
        <v>189.25</v>
      </c>
      <c r="AO22" s="13"/>
      <c r="AP22" s="384"/>
    </row>
    <row r="23" spans="3:42" ht="24" customHeight="1">
      <c r="C23" s="195">
        <v>16</v>
      </c>
      <c r="D23" s="301" t="s">
        <v>925</v>
      </c>
      <c r="E23" s="175" t="s">
        <v>926</v>
      </c>
      <c r="F23" s="417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32" t="s">
        <v>548</v>
      </c>
      <c r="S23" s="333" t="s">
        <v>549</v>
      </c>
      <c r="T23" s="180">
        <v>4027</v>
      </c>
      <c r="V23" s="204">
        <v>0</v>
      </c>
      <c r="Y23" s="407">
        <v>90</v>
      </c>
      <c r="Z23" s="407">
        <v>0</v>
      </c>
      <c r="AA23" s="405">
        <v>0</v>
      </c>
      <c r="AB23" s="404">
        <v>0</v>
      </c>
      <c r="AC23" s="438">
        <v>90</v>
      </c>
      <c r="AD23" s="441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395" t="str">
        <v>KSINV26-0070</v>
      </c>
      <c r="AL23" s="394">
        <f t="shared" si="1"/>
        <v>212.25</v>
      </c>
      <c r="AO23" s="13"/>
      <c r="AP23" s="384"/>
    </row>
    <row r="24" spans="3:42" ht="24" customHeight="1">
      <c r="C24" s="195">
        <v>17</v>
      </c>
      <c r="D24" s="301" t="s">
        <v>945</v>
      </c>
      <c r="E24" s="175" t="s">
        <v>939</v>
      </c>
      <c r="F24" s="417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32" t="s">
        <v>548</v>
      </c>
      <c r="S24" s="333" t="s">
        <v>549</v>
      </c>
      <c r="T24" s="180">
        <v>4027</v>
      </c>
      <c r="V24" s="204">
        <v>0</v>
      </c>
      <c r="Y24" s="407">
        <v>44</v>
      </c>
      <c r="Z24" s="407">
        <v>0</v>
      </c>
      <c r="AA24" s="405">
        <v>0</v>
      </c>
      <c r="AB24" s="404">
        <v>0</v>
      </c>
      <c r="AC24" s="438">
        <v>44</v>
      </c>
      <c r="AD24" s="441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395" t="str">
        <v>KSINV26-0071</v>
      </c>
      <c r="AL24" s="394">
        <f t="shared" si="1"/>
        <v>214.15</v>
      </c>
      <c r="AO24" s="13"/>
      <c r="AP24" s="384"/>
    </row>
    <row r="25" spans="3:42" ht="24" customHeight="1">
      <c r="C25" s="195">
        <v>18</v>
      </c>
      <c r="D25" s="301" t="s">
        <v>945</v>
      </c>
      <c r="E25" s="175" t="s">
        <v>946</v>
      </c>
      <c r="F25" s="417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32" t="s">
        <v>548</v>
      </c>
      <c r="S25" s="333" t="s">
        <v>549</v>
      </c>
      <c r="T25" s="180">
        <v>4027</v>
      </c>
      <c r="V25" s="204">
        <v>0</v>
      </c>
      <c r="Y25" s="407">
        <v>47.5</v>
      </c>
      <c r="Z25" s="407">
        <v>0</v>
      </c>
      <c r="AA25" s="405">
        <v>0</v>
      </c>
      <c r="AB25" s="404">
        <v>0</v>
      </c>
      <c r="AC25" s="438">
        <v>47.5</v>
      </c>
      <c r="AD25" s="441">
        <v>1</v>
      </c>
      <c r="AE25" s="439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395" t="str">
        <v>KSINV26-0072</v>
      </c>
      <c r="AL25" s="394">
        <f t="shared" si="1"/>
        <v>219.89</v>
      </c>
      <c r="AO25" s="13"/>
      <c r="AP25" s="384"/>
    </row>
    <row r="26" spans="3:42" ht="24" customHeight="1">
      <c r="C26" s="196">
        <v>19</v>
      </c>
      <c r="D26" s="360" t="s">
        <v>945</v>
      </c>
      <c r="E26" s="175" t="s">
        <v>954</v>
      </c>
      <c r="F26" s="417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32" t="s">
        <v>548</v>
      </c>
      <c r="S26" s="333" t="s">
        <v>549</v>
      </c>
      <c r="T26" s="180">
        <v>4027</v>
      </c>
      <c r="V26" s="204">
        <v>0</v>
      </c>
      <c r="Y26" s="407">
        <v>69.75</v>
      </c>
      <c r="Z26" s="407">
        <v>0</v>
      </c>
      <c r="AA26" s="405">
        <v>0</v>
      </c>
      <c r="AB26" s="404">
        <v>0</v>
      </c>
      <c r="AC26" s="438">
        <v>69.75</v>
      </c>
      <c r="AD26" s="441">
        <v>1</v>
      </c>
      <c r="AE26" s="439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395" t="str">
        <v>KSINV26-0073</v>
      </c>
      <c r="AL26" s="394">
        <f t="shared" si="1"/>
        <v>149.63</v>
      </c>
      <c r="AO26" s="13"/>
      <c r="AP26" s="384"/>
    </row>
    <row r="27" spans="3:42" ht="24" customHeight="1">
      <c r="C27" s="196">
        <v>20</v>
      </c>
      <c r="D27" s="360" t="s">
        <v>970</v>
      </c>
      <c r="E27" s="175" t="s">
        <v>959</v>
      </c>
      <c r="F27" s="417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32" t="s">
        <v>548</v>
      </c>
      <c r="S27" s="333" t="s">
        <v>549</v>
      </c>
      <c r="T27" s="180">
        <v>4027</v>
      </c>
      <c r="V27" s="204">
        <v>0</v>
      </c>
      <c r="Y27" s="407">
        <v>64.5</v>
      </c>
      <c r="Z27" s="407">
        <v>0</v>
      </c>
      <c r="AA27" s="405">
        <v>0</v>
      </c>
      <c r="AB27" s="404">
        <v>0</v>
      </c>
      <c r="AC27" s="438">
        <v>64.5</v>
      </c>
      <c r="AD27" s="441">
        <v>1</v>
      </c>
      <c r="AE27" s="439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395" t="str">
        <v>KSINV26-0074</v>
      </c>
      <c r="AL27" s="394">
        <f t="shared" si="1"/>
        <v>169</v>
      </c>
      <c r="AO27" s="13"/>
      <c r="AP27" s="384"/>
    </row>
    <row r="28" spans="3:42" ht="24" customHeight="1">
      <c r="C28" s="196">
        <v>21</v>
      </c>
      <c r="D28" s="360" t="s">
        <v>970</v>
      </c>
      <c r="E28" s="175" t="s">
        <v>971</v>
      </c>
      <c r="F28" s="417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32" t="s">
        <v>548</v>
      </c>
      <c r="S28" s="333" t="s">
        <v>549</v>
      </c>
      <c r="T28" s="180">
        <v>4027</v>
      </c>
      <c r="V28" s="204">
        <v>0</v>
      </c>
      <c r="Y28" s="407">
        <v>60.6</v>
      </c>
      <c r="Z28" s="407">
        <v>0</v>
      </c>
      <c r="AA28" s="405">
        <v>0</v>
      </c>
      <c r="AB28" s="404">
        <v>0</v>
      </c>
      <c r="AC28" s="438">
        <v>60.6</v>
      </c>
      <c r="AD28" s="441">
        <v>1</v>
      </c>
      <c r="AE28" s="439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395" t="str">
        <v>KSINV26-0075</v>
      </c>
      <c r="AL28" s="394">
        <f t="shared" si="1"/>
        <v>141.30000000000001</v>
      </c>
      <c r="AO28" s="13"/>
      <c r="AP28" s="384"/>
    </row>
    <row r="29" spans="3:42" ht="24" customHeight="1">
      <c r="C29" s="196">
        <v>22</v>
      </c>
      <c r="D29" s="360" t="s">
        <v>970</v>
      </c>
      <c r="E29" s="175" t="s">
        <v>989</v>
      </c>
      <c r="F29" s="417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32" t="s">
        <v>548</v>
      </c>
      <c r="S29" s="333" t="s">
        <v>549</v>
      </c>
      <c r="T29" s="180">
        <v>4027</v>
      </c>
      <c r="V29" s="204">
        <v>0</v>
      </c>
      <c r="Y29" s="407">
        <v>48</v>
      </c>
      <c r="Z29" s="407">
        <v>0</v>
      </c>
      <c r="AA29" s="405">
        <v>0</v>
      </c>
      <c r="AB29" s="404">
        <v>0</v>
      </c>
      <c r="AC29" s="438">
        <v>48</v>
      </c>
      <c r="AD29" s="441">
        <v>1</v>
      </c>
      <c r="AE29" s="439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395" t="str">
        <v>KSINV26-0076</v>
      </c>
      <c r="AL29" s="394">
        <f t="shared" si="1"/>
        <v>202.75</v>
      </c>
      <c r="AO29" s="13"/>
      <c r="AP29" s="384"/>
    </row>
    <row r="30" spans="3:42" ht="24" customHeight="1">
      <c r="C30" s="196">
        <v>23</v>
      </c>
      <c r="D30" s="360" t="s">
        <v>1018</v>
      </c>
      <c r="E30" s="175" t="s">
        <v>1005</v>
      </c>
      <c r="F30" s="417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32" t="s">
        <v>548</v>
      </c>
      <c r="S30" s="333" t="s">
        <v>549</v>
      </c>
      <c r="T30" s="180">
        <v>4027</v>
      </c>
      <c r="V30" s="204">
        <v>0</v>
      </c>
      <c r="Y30" s="407">
        <v>91</v>
      </c>
      <c r="Z30" s="407">
        <v>0</v>
      </c>
      <c r="AA30" s="405">
        <v>0</v>
      </c>
      <c r="AB30" s="404">
        <v>0</v>
      </c>
      <c r="AC30" s="438">
        <v>91</v>
      </c>
      <c r="AD30" s="441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395" t="str">
        <v>KSINV26-0077</v>
      </c>
      <c r="AL30" s="394">
        <f t="shared" si="1"/>
        <v>239.75</v>
      </c>
      <c r="AO30" s="13"/>
      <c r="AP30" s="396"/>
    </row>
    <row r="31" spans="3:42" ht="24" customHeight="1">
      <c r="C31" s="196">
        <v>24</v>
      </c>
      <c r="D31" s="360" t="s">
        <v>1018</v>
      </c>
      <c r="E31" s="175" t="s">
        <v>1046</v>
      </c>
      <c r="F31" s="417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32" t="s">
        <v>548</v>
      </c>
      <c r="S31" s="333" t="s">
        <v>549</v>
      </c>
      <c r="T31" s="180">
        <v>4027</v>
      </c>
      <c r="V31" s="204">
        <v>0</v>
      </c>
      <c r="Y31" s="407">
        <v>84</v>
      </c>
      <c r="Z31" s="407">
        <v>0</v>
      </c>
      <c r="AA31" s="405">
        <v>0</v>
      </c>
      <c r="AB31" s="404">
        <v>0</v>
      </c>
      <c r="AC31" s="438">
        <v>84</v>
      </c>
      <c r="AD31" s="441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395" t="str">
        <v>KSINV26-0078</v>
      </c>
      <c r="AL31" s="394">
        <f t="shared" si="1"/>
        <v>247.75</v>
      </c>
      <c r="AO31" s="13"/>
      <c r="AP31" s="396"/>
    </row>
    <row r="32" spans="3:42" ht="24" customHeight="1">
      <c r="C32" s="196">
        <v>25</v>
      </c>
      <c r="D32" s="360" t="s">
        <v>1063</v>
      </c>
      <c r="E32" s="175" t="s">
        <v>1064</v>
      </c>
      <c r="F32" s="417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32" t="s">
        <v>548</v>
      </c>
      <c r="S32" s="333" t="s">
        <v>549</v>
      </c>
      <c r="T32" s="180">
        <v>4027</v>
      </c>
      <c r="V32" s="204">
        <v>0</v>
      </c>
      <c r="Y32" s="407">
        <v>77.5</v>
      </c>
      <c r="Z32" s="407">
        <v>0</v>
      </c>
      <c r="AA32" s="405">
        <v>0</v>
      </c>
      <c r="AB32" s="404">
        <v>0</v>
      </c>
      <c r="AC32" s="438">
        <v>77.5</v>
      </c>
      <c r="AD32" s="441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395" t="str">
        <v>KSINV26-0079</v>
      </c>
      <c r="AL32" s="394">
        <f t="shared" si="1"/>
        <v>195.57999999999998</v>
      </c>
      <c r="AO32" s="13"/>
      <c r="AP32" s="396"/>
    </row>
    <row r="33" spans="3:42" ht="24" customHeight="1">
      <c r="C33" s="433">
        <v>26</v>
      </c>
      <c r="D33" s="434" t="s">
        <v>1063</v>
      </c>
      <c r="E33" s="175" t="s">
        <v>1072</v>
      </c>
      <c r="F33" s="417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32" t="s">
        <v>548</v>
      </c>
      <c r="S33" s="333" t="s">
        <v>549</v>
      </c>
      <c r="T33" s="180">
        <v>4027</v>
      </c>
      <c r="V33" s="204">
        <v>0</v>
      </c>
      <c r="Y33" s="407">
        <v>30.4</v>
      </c>
      <c r="Z33" s="407">
        <v>0</v>
      </c>
      <c r="AA33" s="405">
        <v>0</v>
      </c>
      <c r="AB33" s="404">
        <v>0</v>
      </c>
      <c r="AC33" s="438">
        <v>30.4</v>
      </c>
      <c r="AD33" s="441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395" t="str">
        <v>KSINV26-0080</v>
      </c>
      <c r="AL33" s="394">
        <f t="shared" si="1"/>
        <v>142</v>
      </c>
      <c r="AO33" s="13"/>
      <c r="AP33" s="396"/>
    </row>
    <row r="34" spans="3:42" ht="24" customHeight="1">
      <c r="C34" s="195">
        <v>27</v>
      </c>
      <c r="D34" s="301" t="s">
        <v>1063</v>
      </c>
      <c r="E34" s="175" t="s">
        <v>1080</v>
      </c>
      <c r="F34" s="417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32" t="s">
        <v>548</v>
      </c>
      <c r="S34" s="333" t="s">
        <v>549</v>
      </c>
      <c r="T34" s="180">
        <v>4027</v>
      </c>
      <c r="V34" s="204">
        <v>0</v>
      </c>
      <c r="Y34" s="407">
        <v>68.75</v>
      </c>
      <c r="Z34" s="407">
        <v>0</v>
      </c>
      <c r="AA34" s="405">
        <v>0</v>
      </c>
      <c r="AB34" s="404">
        <v>0</v>
      </c>
      <c r="AC34" s="438">
        <v>68.75</v>
      </c>
      <c r="AD34" s="441">
        <v>1</v>
      </c>
      <c r="AE34" s="439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395" t="str">
        <v>KSINV26-0081</v>
      </c>
      <c r="AL34" s="394">
        <f t="shared" si="1"/>
        <v>209</v>
      </c>
      <c r="AO34" s="13"/>
      <c r="AP34" s="396"/>
    </row>
    <row r="35" spans="3:42" ht="24" customHeight="1">
      <c r="C35" s="195">
        <v>28</v>
      </c>
      <c r="D35" s="301" t="s">
        <v>1092</v>
      </c>
      <c r="E35" s="175" t="s">
        <v>1093</v>
      </c>
      <c r="F35" s="417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32" t="s">
        <v>548</v>
      </c>
      <c r="S35" s="333" t="s">
        <v>549</v>
      </c>
      <c r="T35" s="180">
        <v>4026</v>
      </c>
      <c r="V35" s="204">
        <v>0</v>
      </c>
      <c r="Y35" s="407">
        <v>32.5</v>
      </c>
      <c r="Z35" s="407">
        <v>0</v>
      </c>
      <c r="AA35" s="405">
        <v>0</v>
      </c>
      <c r="AB35" s="405">
        <v>0</v>
      </c>
      <c r="AC35" s="438">
        <v>32.5</v>
      </c>
      <c r="AD35" s="441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395" t="str">
        <v>KSINV26-0082</v>
      </c>
      <c r="AL35" s="394">
        <f t="shared" si="1"/>
        <v>216.14</v>
      </c>
      <c r="AO35" s="13"/>
      <c r="AP35" s="396"/>
    </row>
    <row r="36" spans="3:42" ht="24" customHeight="1">
      <c r="C36" s="195">
        <v>29</v>
      </c>
      <c r="D36" s="301" t="s">
        <v>1092</v>
      </c>
      <c r="E36" s="175" t="s">
        <v>1107</v>
      </c>
      <c r="F36" s="417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32" t="s">
        <v>548</v>
      </c>
      <c r="S36" s="333" t="s">
        <v>549</v>
      </c>
      <c r="T36" s="180">
        <v>4026</v>
      </c>
      <c r="V36" s="204">
        <v>0</v>
      </c>
      <c r="Y36" s="407">
        <v>42.13</v>
      </c>
      <c r="Z36" s="407">
        <v>0</v>
      </c>
      <c r="AA36" s="405">
        <v>0</v>
      </c>
      <c r="AB36" s="405">
        <v>0</v>
      </c>
      <c r="AC36" s="438">
        <v>42.13</v>
      </c>
      <c r="AD36" s="441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395" t="str">
        <v>KSINV26-0083</v>
      </c>
      <c r="AL36" s="394">
        <f t="shared" si="1"/>
        <v>206.11</v>
      </c>
      <c r="AO36" s="13"/>
      <c r="AP36" s="396"/>
    </row>
    <row r="37" spans="3:42" ht="24" customHeight="1">
      <c r="C37" s="195">
        <v>30</v>
      </c>
      <c r="D37" s="301" t="s">
        <v>1092</v>
      </c>
      <c r="E37" s="175" t="s">
        <v>1161</v>
      </c>
      <c r="F37" s="417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32" t="s">
        <v>548</v>
      </c>
      <c r="S37" s="333" t="s">
        <v>549</v>
      </c>
      <c r="T37" s="180">
        <v>4026</v>
      </c>
      <c r="V37" s="204">
        <v>0</v>
      </c>
      <c r="Y37" s="407">
        <v>23.75</v>
      </c>
      <c r="Z37" s="407">
        <v>0</v>
      </c>
      <c r="AA37" s="405">
        <v>0</v>
      </c>
      <c r="AB37" s="405">
        <v>0</v>
      </c>
      <c r="AC37" s="438">
        <v>23.75</v>
      </c>
      <c r="AD37" s="441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395" t="str">
        <v>KSINV26-0084</v>
      </c>
      <c r="AL37" s="394">
        <f t="shared" si="1"/>
        <v>102.13</v>
      </c>
      <c r="AO37" s="13"/>
      <c r="AP37" s="396"/>
    </row>
    <row r="38" spans="3:42" ht="24" customHeight="1">
      <c r="C38" s="195">
        <v>31</v>
      </c>
      <c r="D38" s="301" t="s">
        <v>1092</v>
      </c>
      <c r="E38" s="175" t="s">
        <v>1166</v>
      </c>
      <c r="F38" s="417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32" t="s">
        <v>548</v>
      </c>
      <c r="S38" s="333" t="s">
        <v>549</v>
      </c>
      <c r="T38" s="180">
        <v>4026</v>
      </c>
      <c r="V38" s="204">
        <v>0</v>
      </c>
      <c r="Y38" s="407">
        <v>88.5</v>
      </c>
      <c r="Z38" s="407">
        <v>0</v>
      </c>
      <c r="AA38" s="405">
        <v>0</v>
      </c>
      <c r="AB38" s="405">
        <v>0</v>
      </c>
      <c r="AC38" s="438">
        <v>88.5</v>
      </c>
      <c r="AD38" s="441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401">
        <v>0</v>
      </c>
      <c r="AL38" s="394">
        <f t="shared" si="1"/>
        <v>0</v>
      </c>
      <c r="AO38" s="13"/>
      <c r="AP38" s="396"/>
    </row>
    <row r="39" spans="3:42" ht="24" customHeight="1">
      <c r="C39" s="174">
        <v>32</v>
      </c>
      <c r="D39" s="174" t="s">
        <v>1179</v>
      </c>
      <c r="E39" s="175" t="s">
        <v>1180</v>
      </c>
      <c r="F39" s="417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32" t="s">
        <v>548</v>
      </c>
      <c r="S39" s="333" t="s">
        <v>549</v>
      </c>
      <c r="T39" s="180">
        <v>4026</v>
      </c>
      <c r="V39" s="204">
        <v>0</v>
      </c>
      <c r="Y39" s="407">
        <v>69.540000000000006</v>
      </c>
      <c r="Z39" s="407">
        <v>0</v>
      </c>
      <c r="AA39" s="405">
        <v>0</v>
      </c>
      <c r="AB39" s="405">
        <v>0</v>
      </c>
      <c r="AC39" s="438">
        <v>69.540000000000006</v>
      </c>
      <c r="AD39" s="441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401"/>
      <c r="AL39" s="394">
        <f t="shared" si="1"/>
        <v>0</v>
      </c>
      <c r="AO39" s="13"/>
      <c r="AP39" s="396"/>
    </row>
    <row r="40" spans="3:42" ht="24" customHeight="1">
      <c r="C40" s="174">
        <v>33</v>
      </c>
      <c r="D40" s="174" t="s">
        <v>1179</v>
      </c>
      <c r="E40" s="175" t="s">
        <v>1251</v>
      </c>
      <c r="F40" s="417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32" t="s">
        <v>548</v>
      </c>
      <c r="S40" s="333" t="s">
        <v>549</v>
      </c>
      <c r="T40" s="180">
        <v>4026</v>
      </c>
      <c r="V40" s="204">
        <v>0</v>
      </c>
      <c r="Y40" s="407">
        <v>45</v>
      </c>
      <c r="Z40" s="407">
        <v>0</v>
      </c>
      <c r="AA40" s="405">
        <v>0</v>
      </c>
      <c r="AB40" s="405">
        <v>0</v>
      </c>
      <c r="AC40" s="438">
        <v>45</v>
      </c>
      <c r="AD40" s="441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401"/>
      <c r="AL40" s="394">
        <f t="shared" si="1"/>
        <v>0</v>
      </c>
      <c r="AO40" s="13"/>
      <c r="AP40" s="396"/>
    </row>
    <row r="41" spans="3:42" ht="24" customHeight="1">
      <c r="C41" s="174">
        <v>34</v>
      </c>
      <c r="D41" s="174" t="s">
        <v>1179</v>
      </c>
      <c r="E41" s="175" t="s">
        <v>1256</v>
      </c>
      <c r="F41" s="417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32" t="s">
        <v>548</v>
      </c>
      <c r="S41" s="333" t="s">
        <v>549</v>
      </c>
      <c r="T41" s="180">
        <v>4026</v>
      </c>
      <c r="V41" s="204">
        <v>0</v>
      </c>
      <c r="Y41" s="407">
        <v>95</v>
      </c>
      <c r="Z41" s="407">
        <v>0</v>
      </c>
      <c r="AA41" s="405">
        <v>0</v>
      </c>
      <c r="AB41" s="405">
        <v>0</v>
      </c>
      <c r="AC41" s="438">
        <v>95</v>
      </c>
      <c r="AD41" s="441">
        <v>1</v>
      </c>
      <c r="AE41" s="439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401"/>
      <c r="AL41" s="394">
        <f t="shared" si="1"/>
        <v>0</v>
      </c>
      <c r="AO41" s="13"/>
    </row>
    <row r="42" spans="3:42" ht="24" customHeight="1">
      <c r="C42" s="174">
        <v>35</v>
      </c>
      <c r="D42" s="174" t="s">
        <v>1261</v>
      </c>
      <c r="E42" s="175" t="s">
        <v>1262</v>
      </c>
      <c r="F42" s="417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32" t="s">
        <v>548</v>
      </c>
      <c r="S42" s="333" t="s">
        <v>549</v>
      </c>
      <c r="T42" s="180">
        <v>4026</v>
      </c>
      <c r="V42" s="204">
        <v>0</v>
      </c>
      <c r="Y42" s="407">
        <v>48.75</v>
      </c>
      <c r="Z42" s="407">
        <v>0</v>
      </c>
      <c r="AA42" s="405">
        <v>0</v>
      </c>
      <c r="AB42" s="405">
        <v>0</v>
      </c>
      <c r="AC42" s="438">
        <v>48.75</v>
      </c>
      <c r="AD42" s="441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401"/>
      <c r="AL42" s="394">
        <f t="shared" si="1"/>
        <v>0</v>
      </c>
    </row>
    <row r="43" spans="3:42" ht="24" customHeight="1">
      <c r="C43" s="174">
        <v>36</v>
      </c>
      <c r="D43" s="174" t="s">
        <v>1261</v>
      </c>
      <c r="E43" s="175" t="s">
        <v>1270</v>
      </c>
      <c r="F43" s="417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32" t="s">
        <v>548</v>
      </c>
      <c r="S43" s="333" t="s">
        <v>549</v>
      </c>
      <c r="T43" s="180">
        <v>4026</v>
      </c>
      <c r="V43" s="204">
        <v>0</v>
      </c>
      <c r="Y43" s="407">
        <v>19</v>
      </c>
      <c r="Z43" s="407">
        <v>0</v>
      </c>
      <c r="AA43" s="405">
        <v>0</v>
      </c>
      <c r="AB43" s="405">
        <v>0</v>
      </c>
      <c r="AC43" s="438">
        <v>19</v>
      </c>
      <c r="AD43" s="441">
        <v>1</v>
      </c>
      <c r="AE43" s="439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401"/>
      <c r="AL43" s="394">
        <f t="shared" si="1"/>
        <v>0</v>
      </c>
    </row>
    <row r="44" spans="3:42" ht="24" customHeight="1">
      <c r="C44" s="174">
        <v>37</v>
      </c>
      <c r="D44" s="174" t="s">
        <v>1261</v>
      </c>
      <c r="E44" s="175" t="s">
        <v>1312</v>
      </c>
      <c r="F44" s="417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32" t="s">
        <v>548</v>
      </c>
      <c r="S44" s="333" t="s">
        <v>549</v>
      </c>
      <c r="T44" s="180">
        <v>4026</v>
      </c>
      <c r="V44" s="204">
        <v>0</v>
      </c>
      <c r="Y44" s="407">
        <v>41</v>
      </c>
      <c r="Z44" s="407">
        <v>0</v>
      </c>
      <c r="AA44" s="405">
        <v>0</v>
      </c>
      <c r="AB44" s="405">
        <v>0</v>
      </c>
      <c r="AC44" s="438">
        <v>41</v>
      </c>
      <c r="AD44" s="441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401"/>
      <c r="AL44" s="394">
        <f t="shared" si="1"/>
        <v>0</v>
      </c>
    </row>
    <row r="45" spans="3:42" ht="24" customHeight="1">
      <c r="C45" s="174">
        <v>38</v>
      </c>
      <c r="D45" s="174" t="s">
        <v>1329</v>
      </c>
      <c r="E45" s="175" t="s">
        <v>1330</v>
      </c>
      <c r="F45" s="417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32" t="s">
        <v>548</v>
      </c>
      <c r="S45" s="333" t="s">
        <v>549</v>
      </c>
      <c r="T45" s="180">
        <v>4026</v>
      </c>
      <c r="V45" s="204">
        <v>0</v>
      </c>
      <c r="Y45" s="407">
        <v>67.5</v>
      </c>
      <c r="Z45" s="407">
        <v>0</v>
      </c>
      <c r="AA45" s="405">
        <v>0</v>
      </c>
      <c r="AB45" s="405">
        <v>0</v>
      </c>
      <c r="AC45" s="438">
        <v>67.5</v>
      </c>
      <c r="AD45" s="441">
        <v>1</v>
      </c>
      <c r="AE45" s="439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401"/>
      <c r="AL45" s="394">
        <f t="shared" si="1"/>
        <v>0</v>
      </c>
    </row>
    <row r="46" spans="3:42" ht="24" customHeight="1">
      <c r="C46" s="174">
        <v>39</v>
      </c>
      <c r="D46" s="174" t="s">
        <v>1329</v>
      </c>
      <c r="E46" s="175" t="s">
        <v>1335</v>
      </c>
      <c r="F46" s="417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32" t="s">
        <v>548</v>
      </c>
      <c r="S46" s="333" t="s">
        <v>549</v>
      </c>
      <c r="T46" s="180">
        <v>4026</v>
      </c>
      <c r="V46" s="204">
        <v>0</v>
      </c>
      <c r="Y46" s="407">
        <v>127.5</v>
      </c>
      <c r="Z46" s="407">
        <v>0</v>
      </c>
      <c r="AA46" s="405">
        <v>0</v>
      </c>
      <c r="AB46" s="405">
        <v>0</v>
      </c>
      <c r="AC46" s="438">
        <v>127.5</v>
      </c>
      <c r="AD46" s="441">
        <v>1</v>
      </c>
      <c r="AE46" s="439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401"/>
      <c r="AL46" s="394">
        <f t="shared" si="1"/>
        <v>0</v>
      </c>
    </row>
    <row r="47" spans="3:42" ht="24" customHeight="1">
      <c r="C47" s="174">
        <v>40</v>
      </c>
      <c r="D47" s="174" t="s">
        <v>1348</v>
      </c>
      <c r="E47" s="175" t="s">
        <v>1349</v>
      </c>
      <c r="F47" s="417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32" t="s">
        <v>548</v>
      </c>
      <c r="S47" s="333" t="s">
        <v>549</v>
      </c>
      <c r="T47" s="180">
        <v>4025</v>
      </c>
      <c r="V47" s="204">
        <v>0</v>
      </c>
      <c r="Y47" s="407">
        <v>53</v>
      </c>
      <c r="Z47" s="407">
        <v>0</v>
      </c>
      <c r="AA47" s="405">
        <v>0</v>
      </c>
      <c r="AB47" s="405">
        <v>0</v>
      </c>
      <c r="AC47" s="438">
        <v>53</v>
      </c>
      <c r="AD47" s="441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401"/>
      <c r="AL47" s="394">
        <f t="shared" si="1"/>
        <v>0</v>
      </c>
    </row>
    <row r="48" spans="3:42" ht="24" customHeight="1">
      <c r="C48" s="174">
        <v>41</v>
      </c>
      <c r="D48" s="174" t="s">
        <v>1348</v>
      </c>
      <c r="E48" s="175" t="s">
        <v>1357</v>
      </c>
      <c r="F48" s="417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32" t="s">
        <v>548</v>
      </c>
      <c r="S48" s="333" t="s">
        <v>549</v>
      </c>
      <c r="T48" s="180">
        <v>4025</v>
      </c>
      <c r="V48" s="204">
        <v>0</v>
      </c>
      <c r="Y48" s="407">
        <v>10.5</v>
      </c>
      <c r="Z48" s="407">
        <v>0</v>
      </c>
      <c r="AA48" s="405">
        <v>0</v>
      </c>
      <c r="AB48" s="405">
        <v>0</v>
      </c>
      <c r="AC48" s="438">
        <v>10.5</v>
      </c>
      <c r="AD48" s="441">
        <v>1</v>
      </c>
      <c r="AE48" s="439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401"/>
      <c r="AL48" s="394">
        <f t="shared" si="1"/>
        <v>0</v>
      </c>
    </row>
    <row r="49" spans="3:38" ht="24" customHeight="1">
      <c r="C49" s="174">
        <v>42</v>
      </c>
      <c r="D49" s="174" t="s">
        <v>1348</v>
      </c>
      <c r="E49" s="175" t="s">
        <v>1390</v>
      </c>
      <c r="F49" s="417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32" t="s">
        <v>548</v>
      </c>
      <c r="S49" s="333" t="s">
        <v>549</v>
      </c>
      <c r="T49" s="180">
        <v>4025</v>
      </c>
      <c r="V49" s="204">
        <v>0</v>
      </c>
      <c r="Y49" s="407">
        <v>53.75</v>
      </c>
      <c r="Z49" s="407">
        <v>0</v>
      </c>
      <c r="AA49" s="405">
        <v>0</v>
      </c>
      <c r="AB49" s="405">
        <v>0</v>
      </c>
      <c r="AC49" s="438">
        <v>53.75</v>
      </c>
      <c r="AD49" s="441">
        <v>1</v>
      </c>
      <c r="AE49" s="439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401"/>
      <c r="AL49" s="394">
        <f t="shared" si="1"/>
        <v>0</v>
      </c>
    </row>
    <row r="50" spans="3:38" ht="24" customHeight="1">
      <c r="C50" s="174">
        <v>43</v>
      </c>
      <c r="D50" s="174" t="s">
        <v>1348</v>
      </c>
      <c r="E50" s="175" t="s">
        <v>1398</v>
      </c>
      <c r="F50" s="417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32" t="s">
        <v>548</v>
      </c>
      <c r="S50" s="333" t="s">
        <v>549</v>
      </c>
      <c r="T50" s="180">
        <v>4025</v>
      </c>
      <c r="V50" s="204">
        <v>0</v>
      </c>
      <c r="Y50" s="407">
        <v>72</v>
      </c>
      <c r="Z50" s="407">
        <v>0</v>
      </c>
      <c r="AA50" s="405">
        <v>0</v>
      </c>
      <c r="AB50" s="405">
        <v>0</v>
      </c>
      <c r="AC50" s="438">
        <v>72</v>
      </c>
      <c r="AD50" s="441">
        <v>1</v>
      </c>
      <c r="AE50" s="439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401"/>
      <c r="AL50" s="394">
        <f t="shared" si="1"/>
        <v>0</v>
      </c>
    </row>
    <row r="51" spans="3:38" ht="24" customHeight="1">
      <c r="C51" s="174">
        <v>44</v>
      </c>
      <c r="D51" s="174" t="s">
        <v>1430</v>
      </c>
      <c r="E51" s="175" t="s">
        <v>1431</v>
      </c>
      <c r="F51" s="417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32" t="s">
        <v>548</v>
      </c>
      <c r="S51" s="333" t="s">
        <v>549</v>
      </c>
      <c r="T51" s="180">
        <v>4025</v>
      </c>
      <c r="V51" s="204">
        <v>0</v>
      </c>
      <c r="Y51" s="407">
        <v>47.5</v>
      </c>
      <c r="Z51" s="407">
        <v>0</v>
      </c>
      <c r="AA51" s="405">
        <v>0</v>
      </c>
      <c r="AB51" s="405">
        <v>0</v>
      </c>
      <c r="AC51" s="438">
        <v>47.5</v>
      </c>
      <c r="AD51" s="441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401"/>
      <c r="AL51" s="394">
        <f t="shared" si="1"/>
        <v>0</v>
      </c>
    </row>
    <row r="52" spans="3:38" ht="24" customHeight="1">
      <c r="C52" s="174">
        <v>45</v>
      </c>
      <c r="D52" s="174" t="s">
        <v>1430</v>
      </c>
      <c r="E52" s="175" t="s">
        <v>1436</v>
      </c>
      <c r="F52" s="417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32" t="s">
        <v>548</v>
      </c>
      <c r="S52" s="333" t="s">
        <v>549</v>
      </c>
      <c r="T52" s="180">
        <v>4025</v>
      </c>
      <c r="V52" s="204">
        <v>0</v>
      </c>
      <c r="Y52" s="407">
        <v>44.25</v>
      </c>
      <c r="Z52" s="407">
        <v>0</v>
      </c>
      <c r="AA52" s="405">
        <v>0</v>
      </c>
      <c r="AB52" s="405">
        <v>0</v>
      </c>
      <c r="AC52" s="438">
        <v>44.25</v>
      </c>
      <c r="AD52" s="441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401"/>
      <c r="AL52" s="394">
        <f t="shared" si="1"/>
        <v>0</v>
      </c>
    </row>
    <row r="53" spans="3:38" ht="24" customHeight="1">
      <c r="C53" s="174">
        <v>46</v>
      </c>
      <c r="D53" s="174" t="s">
        <v>1430</v>
      </c>
      <c r="E53" s="175" t="s">
        <v>1444</v>
      </c>
      <c r="F53" s="417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32" t="s">
        <v>548</v>
      </c>
      <c r="S53" s="333" t="s">
        <v>549</v>
      </c>
      <c r="T53" s="180">
        <v>4025</v>
      </c>
      <c r="V53" s="204">
        <v>0</v>
      </c>
      <c r="Y53" s="407">
        <v>120.5</v>
      </c>
      <c r="Z53" s="407">
        <v>0</v>
      </c>
      <c r="AA53" s="405">
        <v>0</v>
      </c>
      <c r="AB53" s="405">
        <v>0</v>
      </c>
      <c r="AC53" s="438">
        <v>120.5</v>
      </c>
      <c r="AD53" s="441">
        <v>1</v>
      </c>
      <c r="AE53" s="439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401"/>
      <c r="AL53" s="394">
        <f t="shared" si="1"/>
        <v>0</v>
      </c>
    </row>
    <row r="54" spans="3:38" ht="24" customHeight="1">
      <c r="C54" s="174">
        <v>47</v>
      </c>
      <c r="D54" s="174" t="s">
        <v>1461</v>
      </c>
      <c r="E54" s="175" t="s">
        <v>1462</v>
      </c>
      <c r="F54" s="417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32" t="s">
        <v>548</v>
      </c>
      <c r="S54" s="333" t="s">
        <v>549</v>
      </c>
      <c r="T54" s="180">
        <v>4024</v>
      </c>
      <c r="V54" s="204">
        <v>0</v>
      </c>
      <c r="Y54" s="407">
        <v>101.5</v>
      </c>
      <c r="Z54" s="407">
        <v>0</v>
      </c>
      <c r="AA54" s="405">
        <v>0</v>
      </c>
      <c r="AB54" s="405">
        <v>0</v>
      </c>
      <c r="AC54" s="438">
        <v>101.5</v>
      </c>
      <c r="AD54" s="441">
        <v>1</v>
      </c>
      <c r="AE54" s="439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401"/>
      <c r="AL54" s="394">
        <f t="shared" si="1"/>
        <v>0</v>
      </c>
    </row>
    <row r="55" spans="3:38" ht="24" customHeight="1">
      <c r="C55" s="174">
        <v>48</v>
      </c>
      <c r="D55" s="174" t="s">
        <v>1461</v>
      </c>
      <c r="E55" s="175" t="s">
        <v>1473</v>
      </c>
      <c r="F55" s="417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32" t="s">
        <v>548</v>
      </c>
      <c r="S55" s="333" t="s">
        <v>549</v>
      </c>
      <c r="T55" s="180">
        <v>4024</v>
      </c>
      <c r="V55" s="204">
        <v>0</v>
      </c>
      <c r="Y55" s="407">
        <v>99.25</v>
      </c>
      <c r="Z55" s="407">
        <v>0</v>
      </c>
      <c r="AA55" s="405">
        <v>0</v>
      </c>
      <c r="AB55" s="405">
        <v>0</v>
      </c>
      <c r="AC55" s="438">
        <v>99.25</v>
      </c>
      <c r="AD55" s="441">
        <v>1</v>
      </c>
      <c r="AE55" s="439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401"/>
      <c r="AL55" s="394">
        <f t="shared" si="1"/>
        <v>0</v>
      </c>
    </row>
    <row r="56" spans="3:38" ht="24" customHeight="1">
      <c r="C56" s="174">
        <v>49</v>
      </c>
      <c r="D56" s="174" t="s">
        <v>1461</v>
      </c>
      <c r="E56" s="175" t="s">
        <v>1484</v>
      </c>
      <c r="F56" s="417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32" t="s">
        <v>548</v>
      </c>
      <c r="S56" s="333" t="s">
        <v>549</v>
      </c>
      <c r="T56" s="180">
        <v>4024</v>
      </c>
      <c r="V56" s="204">
        <v>0</v>
      </c>
      <c r="Y56" s="407">
        <v>13.4</v>
      </c>
      <c r="Z56" s="407">
        <v>0</v>
      </c>
      <c r="AA56" s="405">
        <v>0</v>
      </c>
      <c r="AB56" s="405">
        <v>0</v>
      </c>
      <c r="AC56" s="438">
        <v>13.4</v>
      </c>
      <c r="AD56" s="441">
        <v>1</v>
      </c>
      <c r="AE56" s="439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401"/>
      <c r="AL56" s="394">
        <f t="shared" si="1"/>
        <v>0</v>
      </c>
    </row>
    <row r="57" spans="3:38" ht="24" customHeight="1">
      <c r="C57" s="174">
        <v>50</v>
      </c>
      <c r="D57" s="174" t="s">
        <v>1504</v>
      </c>
      <c r="E57" s="175" t="s">
        <v>1505</v>
      </c>
      <c r="F57" s="417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32" t="s">
        <v>548</v>
      </c>
      <c r="S57" s="333" t="s">
        <v>549</v>
      </c>
      <c r="T57" s="180">
        <v>4024</v>
      </c>
      <c r="V57" s="204">
        <v>0</v>
      </c>
      <c r="Y57" s="407">
        <v>71.39</v>
      </c>
      <c r="Z57" s="407">
        <v>0</v>
      </c>
      <c r="AA57" s="405">
        <v>0</v>
      </c>
      <c r="AB57" s="405">
        <v>0</v>
      </c>
      <c r="AC57" s="438">
        <v>71.39</v>
      </c>
      <c r="AD57" s="441">
        <v>1</v>
      </c>
      <c r="AE57" s="439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401"/>
      <c r="AL57" s="394">
        <f t="shared" si="1"/>
        <v>0</v>
      </c>
    </row>
    <row r="58" spans="3:38" ht="24" customHeight="1">
      <c r="C58" s="174">
        <v>51</v>
      </c>
      <c r="D58" s="174" t="s">
        <v>1504</v>
      </c>
      <c r="E58" s="175" t="s">
        <v>1538</v>
      </c>
      <c r="F58" s="417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32" t="s">
        <v>548</v>
      </c>
      <c r="S58" s="333" t="s">
        <v>549</v>
      </c>
      <c r="T58" s="180">
        <v>4024</v>
      </c>
      <c r="V58" s="204">
        <v>0</v>
      </c>
      <c r="Y58" s="407">
        <v>47.5</v>
      </c>
      <c r="Z58" s="407">
        <v>0</v>
      </c>
      <c r="AA58" s="405">
        <v>0</v>
      </c>
      <c r="AB58" s="405">
        <v>0</v>
      </c>
      <c r="AC58" s="438">
        <v>47.5</v>
      </c>
      <c r="AD58" s="441">
        <v>1</v>
      </c>
      <c r="AE58" s="439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401"/>
      <c r="AL58" s="394">
        <f t="shared" si="1"/>
        <v>0</v>
      </c>
    </row>
    <row r="59" spans="3:38" ht="24" customHeight="1">
      <c r="C59" s="174">
        <v>52</v>
      </c>
      <c r="D59" s="174" t="s">
        <v>1504</v>
      </c>
      <c r="E59" s="175" t="s">
        <v>1543</v>
      </c>
      <c r="F59" s="417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32" t="s">
        <v>548</v>
      </c>
      <c r="S59" s="333" t="s">
        <v>549</v>
      </c>
      <c r="T59" s="180">
        <v>4024</v>
      </c>
      <c r="V59" s="204">
        <v>0</v>
      </c>
      <c r="Y59" s="407">
        <v>101</v>
      </c>
      <c r="Z59" s="407">
        <v>0</v>
      </c>
      <c r="AA59" s="405">
        <v>0</v>
      </c>
      <c r="AB59" s="405">
        <v>0</v>
      </c>
      <c r="AC59" s="438">
        <v>101</v>
      </c>
      <c r="AD59" s="441">
        <v>1</v>
      </c>
      <c r="AE59" s="439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401"/>
      <c r="AL59" s="394">
        <f t="shared" si="1"/>
        <v>0</v>
      </c>
    </row>
    <row r="60" spans="3:38" ht="24" customHeight="1">
      <c r="C60" s="174">
        <v>53</v>
      </c>
      <c r="D60" s="174" t="s">
        <v>1563</v>
      </c>
      <c r="E60" s="175" t="s">
        <v>1564</v>
      </c>
      <c r="F60" s="417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32" t="s">
        <v>548</v>
      </c>
      <c r="S60" s="333" t="s">
        <v>549</v>
      </c>
      <c r="T60" s="180">
        <v>4024</v>
      </c>
      <c r="V60" s="204">
        <v>0</v>
      </c>
      <c r="Y60" s="407">
        <v>28.13</v>
      </c>
      <c r="Z60" s="407">
        <v>0</v>
      </c>
      <c r="AA60" s="405">
        <v>0</v>
      </c>
      <c r="AB60" s="405">
        <v>0</v>
      </c>
      <c r="AC60" s="438">
        <v>28.13</v>
      </c>
      <c r="AD60" s="441">
        <v>1</v>
      </c>
      <c r="AE60" s="439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401"/>
      <c r="AL60" s="394">
        <f t="shared" si="1"/>
        <v>0</v>
      </c>
    </row>
    <row r="61" spans="3:38" ht="24" customHeight="1">
      <c r="C61" s="174">
        <v>54</v>
      </c>
      <c r="D61" s="174" t="s">
        <v>1563</v>
      </c>
      <c r="E61" s="175" t="s">
        <v>1575</v>
      </c>
      <c r="F61" s="417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32" t="s">
        <v>548</v>
      </c>
      <c r="S61" s="333" t="s">
        <v>549</v>
      </c>
      <c r="T61" s="180">
        <v>4024</v>
      </c>
      <c r="V61" s="204">
        <v>0</v>
      </c>
      <c r="Y61" s="407">
        <v>18</v>
      </c>
      <c r="Z61" s="407">
        <v>0</v>
      </c>
      <c r="AA61" s="405">
        <v>0</v>
      </c>
      <c r="AB61" s="405">
        <v>0</v>
      </c>
      <c r="AC61" s="438">
        <v>18</v>
      </c>
      <c r="AD61" s="441">
        <v>1</v>
      </c>
      <c r="AE61" s="439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401"/>
      <c r="AL61" s="394">
        <f t="shared" si="1"/>
        <v>0</v>
      </c>
    </row>
    <row r="62" spans="3:38" ht="24" customHeight="1">
      <c r="C62" s="174">
        <v>55</v>
      </c>
      <c r="D62" s="174" t="s">
        <v>1563</v>
      </c>
      <c r="E62" s="175" t="s">
        <v>1583</v>
      </c>
      <c r="F62" s="417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32" t="s">
        <v>548</v>
      </c>
      <c r="S62" s="333" t="s">
        <v>549</v>
      </c>
      <c r="T62" s="180">
        <v>4024</v>
      </c>
      <c r="V62" s="204">
        <v>0</v>
      </c>
      <c r="Y62" s="407">
        <v>103.5</v>
      </c>
      <c r="Z62" s="407">
        <v>0</v>
      </c>
      <c r="AA62" s="405">
        <v>0</v>
      </c>
      <c r="AB62" s="405">
        <v>0</v>
      </c>
      <c r="AC62" s="438">
        <v>103.5</v>
      </c>
      <c r="AD62" s="441">
        <v>1</v>
      </c>
      <c r="AE62" s="439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401"/>
      <c r="AL62" s="394">
        <f t="shared" si="1"/>
        <v>0</v>
      </c>
    </row>
    <row r="63" spans="3:38" ht="24" customHeight="1">
      <c r="C63" s="174">
        <v>56</v>
      </c>
      <c r="D63" s="174" t="s">
        <v>1594</v>
      </c>
      <c r="E63" s="175" t="s">
        <v>1595</v>
      </c>
      <c r="F63" s="417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32" t="s">
        <v>548</v>
      </c>
      <c r="S63" s="333" t="s">
        <v>549</v>
      </c>
      <c r="T63" s="180">
        <v>4024</v>
      </c>
      <c r="V63" s="204">
        <v>0</v>
      </c>
      <c r="Y63" s="407">
        <v>60</v>
      </c>
      <c r="Z63" s="407">
        <v>0</v>
      </c>
      <c r="AA63" s="405">
        <v>0</v>
      </c>
      <c r="AB63" s="405">
        <v>0</v>
      </c>
      <c r="AC63" s="438">
        <v>60</v>
      </c>
      <c r="AD63" s="441">
        <v>1</v>
      </c>
      <c r="AE63" s="439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401"/>
      <c r="AL63" s="394">
        <f t="shared" si="1"/>
        <v>0</v>
      </c>
    </row>
    <row r="64" spans="3:38" ht="24" customHeight="1">
      <c r="C64" s="174">
        <v>57</v>
      </c>
      <c r="D64" s="174" t="s">
        <v>1594</v>
      </c>
      <c r="E64" s="175" t="s">
        <v>1600</v>
      </c>
      <c r="F64" s="417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32" t="s">
        <v>548</v>
      </c>
      <c r="S64" s="333" t="s">
        <v>549</v>
      </c>
      <c r="T64" s="180">
        <v>4024</v>
      </c>
      <c r="V64" s="204">
        <v>0</v>
      </c>
      <c r="Y64" s="407">
        <v>64</v>
      </c>
      <c r="Z64" s="407">
        <v>0</v>
      </c>
      <c r="AA64" s="405">
        <v>0</v>
      </c>
      <c r="AB64" s="405">
        <v>0</v>
      </c>
      <c r="AC64" s="438">
        <v>64</v>
      </c>
      <c r="AD64" s="441">
        <v>1</v>
      </c>
      <c r="AE64" s="439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401"/>
      <c r="AL64" s="394">
        <f t="shared" si="1"/>
        <v>0</v>
      </c>
    </row>
    <row r="65" spans="3:38" ht="24" customHeight="1">
      <c r="C65" s="174">
        <v>58</v>
      </c>
      <c r="D65" s="174" t="s">
        <v>1594</v>
      </c>
      <c r="E65" s="175" t="s">
        <v>1620</v>
      </c>
      <c r="F65" s="417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32" t="s">
        <v>548</v>
      </c>
      <c r="S65" s="333" t="s">
        <v>549</v>
      </c>
      <c r="T65" s="180">
        <v>4024</v>
      </c>
      <c r="V65" s="204">
        <v>0</v>
      </c>
      <c r="Y65" s="407">
        <v>45</v>
      </c>
      <c r="Z65" s="407">
        <v>0</v>
      </c>
      <c r="AA65" s="405">
        <v>0</v>
      </c>
      <c r="AB65" s="405">
        <v>0</v>
      </c>
      <c r="AC65" s="438">
        <v>45</v>
      </c>
      <c r="AD65" s="441">
        <v>1</v>
      </c>
      <c r="AE65" s="439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401"/>
      <c r="AL65" s="394">
        <f t="shared" si="1"/>
        <v>0</v>
      </c>
    </row>
    <row r="66" spans="3:38" ht="24" customHeight="1">
      <c r="C66" s="174">
        <v>59</v>
      </c>
      <c r="D66" s="174" t="s">
        <v>1625</v>
      </c>
      <c r="E66" s="175" t="s">
        <v>1626</v>
      </c>
      <c r="F66" s="417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32" t="s">
        <v>548</v>
      </c>
      <c r="S66" s="333" t="s">
        <v>549</v>
      </c>
      <c r="T66" s="180">
        <v>4024</v>
      </c>
      <c r="V66" s="204">
        <v>0</v>
      </c>
      <c r="Y66" s="407">
        <v>50.8</v>
      </c>
      <c r="Z66" s="407">
        <v>0</v>
      </c>
      <c r="AA66" s="405">
        <v>0</v>
      </c>
      <c r="AB66" s="405">
        <v>0</v>
      </c>
      <c r="AC66" s="438">
        <v>50.8</v>
      </c>
      <c r="AD66" s="441">
        <v>1</v>
      </c>
      <c r="AE66" s="439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401"/>
      <c r="AL66" s="394">
        <f t="shared" si="1"/>
        <v>0</v>
      </c>
    </row>
    <row r="67" spans="3:38" ht="24" customHeight="1">
      <c r="C67" s="174">
        <v>60</v>
      </c>
      <c r="D67" s="174" t="s">
        <v>1625</v>
      </c>
      <c r="E67" s="175" t="s">
        <v>1634</v>
      </c>
      <c r="F67" s="417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32" t="s">
        <v>548</v>
      </c>
      <c r="S67" s="333" t="s">
        <v>549</v>
      </c>
      <c r="T67" s="180">
        <v>4024</v>
      </c>
      <c r="V67" s="204">
        <v>0</v>
      </c>
      <c r="Y67" s="407">
        <v>39</v>
      </c>
      <c r="Z67" s="407">
        <v>0</v>
      </c>
      <c r="AA67" s="405">
        <v>0</v>
      </c>
      <c r="AB67" s="405">
        <v>0</v>
      </c>
      <c r="AC67" s="438">
        <v>39</v>
      </c>
      <c r="AD67" s="441">
        <v>1</v>
      </c>
      <c r="AE67" s="439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401"/>
      <c r="AL67" s="394">
        <f t="shared" si="1"/>
        <v>0</v>
      </c>
    </row>
    <row r="68" spans="3:38" ht="24" customHeight="1">
      <c r="C68" s="174">
        <v>61</v>
      </c>
      <c r="D68" s="174" t="s">
        <v>1625</v>
      </c>
      <c r="E68" s="175" t="s">
        <v>1642</v>
      </c>
      <c r="F68" s="417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32" t="s">
        <v>548</v>
      </c>
      <c r="S68" s="333" t="s">
        <v>549</v>
      </c>
      <c r="T68" s="180">
        <v>4024</v>
      </c>
      <c r="V68" s="204">
        <v>0</v>
      </c>
      <c r="Y68" s="407">
        <v>51.5</v>
      </c>
      <c r="Z68" s="407">
        <v>0</v>
      </c>
      <c r="AA68" s="405">
        <v>0</v>
      </c>
      <c r="AB68" s="405">
        <v>0</v>
      </c>
      <c r="AC68" s="438">
        <v>51.5</v>
      </c>
      <c r="AD68" s="441">
        <v>1</v>
      </c>
      <c r="AE68" s="439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401"/>
      <c r="AL68" s="394">
        <f t="shared" si="1"/>
        <v>0</v>
      </c>
    </row>
    <row r="69" spans="3:38" ht="24" customHeight="1">
      <c r="C69" s="174">
        <v>62</v>
      </c>
      <c r="D69" s="174" t="s">
        <v>1653</v>
      </c>
      <c r="E69" s="175" t="s">
        <v>1654</v>
      </c>
      <c r="F69" s="417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32" t="s">
        <v>548</v>
      </c>
      <c r="S69" s="333" t="s">
        <v>549</v>
      </c>
      <c r="T69" s="180">
        <v>4024</v>
      </c>
      <c r="V69" s="204">
        <v>0</v>
      </c>
      <c r="Y69" s="407">
        <v>71.25</v>
      </c>
      <c r="Z69" s="407">
        <v>0</v>
      </c>
      <c r="AA69" s="405">
        <v>0</v>
      </c>
      <c r="AB69" s="405">
        <v>0</v>
      </c>
      <c r="AC69" s="438">
        <v>71.25</v>
      </c>
      <c r="AD69" s="441">
        <v>1</v>
      </c>
      <c r="AE69" s="439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401"/>
      <c r="AL69" s="394">
        <f t="shared" si="1"/>
        <v>0</v>
      </c>
    </row>
    <row r="70" spans="3:38" ht="24" customHeight="1">
      <c r="C70" s="174">
        <v>63</v>
      </c>
      <c r="D70" s="174" t="s">
        <v>1653</v>
      </c>
      <c r="E70" s="175" t="s">
        <v>1662</v>
      </c>
      <c r="F70" s="417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32" t="s">
        <v>548</v>
      </c>
      <c r="S70" s="333" t="s">
        <v>549</v>
      </c>
      <c r="T70" s="180">
        <v>4024</v>
      </c>
      <c r="V70" s="204">
        <v>0</v>
      </c>
      <c r="Y70" s="407">
        <v>35.25</v>
      </c>
      <c r="Z70" s="407">
        <v>0</v>
      </c>
      <c r="AA70" s="405">
        <v>0</v>
      </c>
      <c r="AB70" s="405">
        <v>0</v>
      </c>
      <c r="AC70" s="438">
        <v>35.25</v>
      </c>
      <c r="AD70" s="441">
        <v>1</v>
      </c>
      <c r="AE70" s="439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401"/>
      <c r="AL70" s="394">
        <f t="shared" si="1"/>
        <v>0</v>
      </c>
    </row>
    <row r="71" spans="3:38" ht="24" customHeight="1">
      <c r="C71" s="174">
        <v>64</v>
      </c>
      <c r="D71" s="174" t="s">
        <v>1653</v>
      </c>
      <c r="E71" s="175" t="s">
        <v>1670</v>
      </c>
      <c r="F71" s="417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32" t="s">
        <v>548</v>
      </c>
      <c r="S71" s="333" t="s">
        <v>549</v>
      </c>
      <c r="T71" s="180">
        <v>4024</v>
      </c>
      <c r="V71" s="204">
        <v>0</v>
      </c>
      <c r="Y71" s="407">
        <v>51.25</v>
      </c>
      <c r="Z71" s="407">
        <v>0</v>
      </c>
      <c r="AA71" s="405">
        <v>0</v>
      </c>
      <c r="AB71" s="405">
        <v>0</v>
      </c>
      <c r="AC71" s="438">
        <v>51.25</v>
      </c>
      <c r="AD71" s="441">
        <v>1</v>
      </c>
      <c r="AE71" s="439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401"/>
      <c r="AL71" s="394">
        <f t="shared" si="1"/>
        <v>0</v>
      </c>
    </row>
    <row r="72" spans="3:38" ht="24" customHeight="1">
      <c r="C72" s="174">
        <v>65</v>
      </c>
      <c r="D72" s="174" t="s">
        <v>1653</v>
      </c>
      <c r="E72" s="175" t="s">
        <v>1684</v>
      </c>
      <c r="F72" s="417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32" t="s">
        <v>548</v>
      </c>
      <c r="S72" s="333" t="s">
        <v>549</v>
      </c>
      <c r="T72" s="180">
        <v>4024</v>
      </c>
      <c r="V72" s="204">
        <v>0</v>
      </c>
      <c r="Y72" s="407">
        <v>45</v>
      </c>
      <c r="Z72" s="407">
        <v>0</v>
      </c>
      <c r="AA72" s="405">
        <v>0</v>
      </c>
      <c r="AB72" s="405">
        <v>0</v>
      </c>
      <c r="AC72" s="438">
        <v>45</v>
      </c>
      <c r="AD72" s="441">
        <v>1</v>
      </c>
      <c r="AE72" s="439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si="0"/>
        <v>65</v>
      </c>
      <c r="AK72" s="401"/>
      <c r="AL72" s="394">
        <f t="shared" si="1"/>
        <v>0</v>
      </c>
    </row>
    <row r="73" spans="3:38" ht="24" customHeight="1">
      <c r="C73" s="174">
        <v>66</v>
      </c>
      <c r="D73" s="174" t="s">
        <v>1700</v>
      </c>
      <c r="E73" s="175" t="s">
        <v>1689</v>
      </c>
      <c r="F73" s="417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32" t="s">
        <v>548</v>
      </c>
      <c r="S73" s="333" t="s">
        <v>549</v>
      </c>
      <c r="T73" s="180">
        <v>4024</v>
      </c>
      <c r="V73" s="204">
        <v>0</v>
      </c>
      <c r="Y73" s="407">
        <v>63.75</v>
      </c>
      <c r="Z73" s="407">
        <v>0</v>
      </c>
      <c r="AA73" s="405">
        <v>0</v>
      </c>
      <c r="AB73" s="405">
        <v>0</v>
      </c>
      <c r="AC73" s="438">
        <v>63.75</v>
      </c>
      <c r="AD73" s="441">
        <v>1</v>
      </c>
      <c r="AE73" s="439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ref="AJ73:AJ136" si="2">IF(C73="","",C73)</f>
        <v>66</v>
      </c>
      <c r="AK73" s="401"/>
      <c r="AL73" s="394">
        <f t="shared" ref="AL73:AL136" si="3">SUMIFS(AC73:AC10065,AD73:AD10065,"&gt;0",D73:D10065,AK73,AH73:AH10065,6,AI73:AI10065,2026)</f>
        <v>0</v>
      </c>
    </row>
    <row r="74" spans="3:38" ht="24" customHeight="1">
      <c r="C74" s="174">
        <v>67</v>
      </c>
      <c r="D74" s="174" t="s">
        <v>1700</v>
      </c>
      <c r="E74" s="175" t="s">
        <v>1701</v>
      </c>
      <c r="F74" s="417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32" t="s">
        <v>548</v>
      </c>
      <c r="S74" s="333" t="s">
        <v>549</v>
      </c>
      <c r="T74" s="180">
        <v>4024</v>
      </c>
      <c r="V74" s="204">
        <v>0</v>
      </c>
      <c r="Y74" s="407">
        <v>116</v>
      </c>
      <c r="Z74" s="407">
        <v>0</v>
      </c>
      <c r="AA74" s="405">
        <v>0</v>
      </c>
      <c r="AB74" s="405">
        <v>0</v>
      </c>
      <c r="AC74" s="438">
        <v>116</v>
      </c>
      <c r="AD74" s="441">
        <v>1</v>
      </c>
      <c r="AE74" s="439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2"/>
        <v>67</v>
      </c>
      <c r="AK74" s="401"/>
      <c r="AL74" s="394">
        <f t="shared" si="3"/>
        <v>0</v>
      </c>
    </row>
    <row r="75" spans="3:38" ht="24" customHeight="1">
      <c r="C75" s="174">
        <v>68</v>
      </c>
      <c r="D75" s="174" t="s">
        <v>1700</v>
      </c>
      <c r="E75" s="175" t="s">
        <v>1717</v>
      </c>
      <c r="F75" s="417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32" t="s">
        <v>548</v>
      </c>
      <c r="S75" s="333" t="s">
        <v>549</v>
      </c>
      <c r="T75" s="180">
        <v>4024</v>
      </c>
      <c r="V75" s="204">
        <v>0</v>
      </c>
      <c r="Y75" s="407">
        <v>60</v>
      </c>
      <c r="Z75" s="407">
        <v>0</v>
      </c>
      <c r="AA75" s="405">
        <v>0</v>
      </c>
      <c r="AB75" s="405">
        <v>0</v>
      </c>
      <c r="AC75" s="438">
        <v>60</v>
      </c>
      <c r="AD75" s="441">
        <v>1</v>
      </c>
      <c r="AE75" s="439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2"/>
        <v>68</v>
      </c>
      <c r="AK75" s="401"/>
      <c r="AL75" s="394">
        <f t="shared" si="3"/>
        <v>0</v>
      </c>
    </row>
    <row r="76" spans="3:38" ht="24" customHeight="1">
      <c r="C76" s="174">
        <v>69</v>
      </c>
      <c r="D76" s="174" t="s">
        <v>1722</v>
      </c>
      <c r="E76" s="175" t="s">
        <v>1723</v>
      </c>
      <c r="F76" s="417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32" t="s">
        <v>548</v>
      </c>
      <c r="S76" s="333" t="s">
        <v>549</v>
      </c>
      <c r="T76" s="180">
        <v>4024</v>
      </c>
      <c r="V76" s="204">
        <v>0</v>
      </c>
      <c r="Y76" s="407">
        <v>16.5</v>
      </c>
      <c r="Z76" s="407">
        <v>0</v>
      </c>
      <c r="AA76" s="405">
        <v>0</v>
      </c>
      <c r="AB76" s="405">
        <v>0</v>
      </c>
      <c r="AC76" s="438">
        <v>16.5</v>
      </c>
      <c r="AD76" s="441">
        <v>1</v>
      </c>
      <c r="AE76" s="439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2"/>
        <v>69</v>
      </c>
      <c r="AK76" s="401"/>
      <c r="AL76" s="394">
        <f t="shared" si="3"/>
        <v>0</v>
      </c>
    </row>
    <row r="77" spans="3:38" ht="24" customHeight="1">
      <c r="C77" s="174">
        <v>70</v>
      </c>
      <c r="D77" s="174" t="s">
        <v>1722</v>
      </c>
      <c r="E77" s="175" t="s">
        <v>1731</v>
      </c>
      <c r="F77" s="417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32" t="s">
        <v>548</v>
      </c>
      <c r="S77" s="333" t="s">
        <v>549</v>
      </c>
      <c r="T77" s="180">
        <v>4024</v>
      </c>
      <c r="V77" s="204">
        <v>0</v>
      </c>
      <c r="Y77" s="407">
        <v>60.25</v>
      </c>
      <c r="Z77" s="407">
        <v>0</v>
      </c>
      <c r="AA77" s="405">
        <v>0</v>
      </c>
      <c r="AB77" s="405">
        <v>0</v>
      </c>
      <c r="AC77" s="438">
        <v>60.25</v>
      </c>
      <c r="AD77" s="441">
        <v>1</v>
      </c>
      <c r="AE77" s="439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2"/>
        <v>70</v>
      </c>
      <c r="AK77" s="401"/>
      <c r="AL77" s="394">
        <f t="shared" si="3"/>
        <v>0</v>
      </c>
    </row>
    <row r="78" spans="3:38" ht="24" customHeight="1">
      <c r="C78" s="174">
        <v>71</v>
      </c>
      <c r="D78" s="174" t="s">
        <v>1722</v>
      </c>
      <c r="E78" s="175" t="s">
        <v>1739</v>
      </c>
      <c r="F78" s="417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32" t="s">
        <v>548</v>
      </c>
      <c r="S78" s="333" t="s">
        <v>549</v>
      </c>
      <c r="T78" s="180">
        <v>4024</v>
      </c>
      <c r="V78" s="204">
        <v>0</v>
      </c>
      <c r="Y78" s="407">
        <v>81.75</v>
      </c>
      <c r="Z78" s="407">
        <v>0</v>
      </c>
      <c r="AA78" s="405">
        <v>0</v>
      </c>
      <c r="AB78" s="405">
        <v>0</v>
      </c>
      <c r="AC78" s="438">
        <v>81.75</v>
      </c>
      <c r="AD78" s="441">
        <v>1</v>
      </c>
      <c r="AE78" s="439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2"/>
        <v>71</v>
      </c>
      <c r="AK78" s="401"/>
      <c r="AL78" s="394">
        <f t="shared" si="3"/>
        <v>0</v>
      </c>
    </row>
    <row r="79" spans="3:38" ht="24" customHeight="1">
      <c r="C79" s="174">
        <v>72</v>
      </c>
      <c r="D79" s="174" t="s">
        <v>1722</v>
      </c>
      <c r="E79" s="175" t="s">
        <v>1757</v>
      </c>
      <c r="F79" s="417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32" t="s">
        <v>548</v>
      </c>
      <c r="S79" s="333" t="s">
        <v>549</v>
      </c>
      <c r="T79" s="180">
        <v>4024</v>
      </c>
      <c r="V79" s="204">
        <v>0</v>
      </c>
      <c r="Y79" s="407">
        <v>89.25</v>
      </c>
      <c r="Z79" s="407">
        <v>0</v>
      </c>
      <c r="AA79" s="405">
        <v>0</v>
      </c>
      <c r="AB79" s="405">
        <v>0</v>
      </c>
      <c r="AC79" s="438">
        <v>89.25</v>
      </c>
      <c r="AD79" s="441">
        <v>1</v>
      </c>
      <c r="AE79" s="439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2"/>
        <v>72</v>
      </c>
      <c r="AK79" s="401"/>
      <c r="AL79" s="394">
        <f t="shared" si="3"/>
        <v>0</v>
      </c>
    </row>
    <row r="80" spans="3:38" ht="24" customHeight="1">
      <c r="C80" s="174">
        <v>73</v>
      </c>
      <c r="D80" s="174" t="s">
        <v>1771</v>
      </c>
      <c r="E80" s="175" t="s">
        <v>1772</v>
      </c>
      <c r="F80" s="417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32" t="s">
        <v>548</v>
      </c>
      <c r="S80" s="333" t="s">
        <v>549</v>
      </c>
      <c r="T80" s="180">
        <v>4024</v>
      </c>
      <c r="V80" s="204">
        <v>0</v>
      </c>
      <c r="Y80" s="407">
        <v>62.5</v>
      </c>
      <c r="Z80" s="407">
        <v>0</v>
      </c>
      <c r="AA80" s="405">
        <v>0</v>
      </c>
      <c r="AB80" s="405">
        <v>0</v>
      </c>
      <c r="AC80" s="438">
        <v>62.5</v>
      </c>
      <c r="AD80" s="441">
        <v>1</v>
      </c>
      <c r="AE80" s="439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2"/>
        <v>73</v>
      </c>
      <c r="AK80" s="401"/>
      <c r="AL80" s="394">
        <f t="shared" si="3"/>
        <v>0</v>
      </c>
    </row>
    <row r="81" spans="3:38" ht="24" customHeight="1">
      <c r="C81" s="174">
        <v>74</v>
      </c>
      <c r="D81" s="174" t="s">
        <v>1771</v>
      </c>
      <c r="E81" s="175" t="s">
        <v>1783</v>
      </c>
      <c r="F81" s="417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32" t="s">
        <v>548</v>
      </c>
      <c r="S81" s="333" t="s">
        <v>549</v>
      </c>
      <c r="T81" s="180">
        <v>4024</v>
      </c>
      <c r="V81" s="204">
        <v>0</v>
      </c>
      <c r="Y81" s="407">
        <v>59.58</v>
      </c>
      <c r="Z81" s="407">
        <v>0</v>
      </c>
      <c r="AA81" s="405">
        <v>0</v>
      </c>
      <c r="AB81" s="405">
        <v>0</v>
      </c>
      <c r="AC81" s="438">
        <v>59.58</v>
      </c>
      <c r="AD81" s="441">
        <v>1</v>
      </c>
      <c r="AE81" s="439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2"/>
        <v>74</v>
      </c>
      <c r="AK81" s="401"/>
      <c r="AL81" s="394">
        <f t="shared" si="3"/>
        <v>0</v>
      </c>
    </row>
    <row r="82" spans="3:38" ht="24" customHeight="1">
      <c r="C82" s="174">
        <v>75</v>
      </c>
      <c r="D82" s="174" t="s">
        <v>1771</v>
      </c>
      <c r="E82" s="175" t="s">
        <v>1800</v>
      </c>
      <c r="F82" s="417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32" t="s">
        <v>548</v>
      </c>
      <c r="S82" s="333" t="s">
        <v>549</v>
      </c>
      <c r="T82" s="180">
        <v>4024</v>
      </c>
      <c r="V82" s="204">
        <v>0</v>
      </c>
      <c r="Y82" s="407">
        <v>23</v>
      </c>
      <c r="Z82" s="407">
        <v>0</v>
      </c>
      <c r="AA82" s="405">
        <v>0</v>
      </c>
      <c r="AB82" s="405">
        <v>0</v>
      </c>
      <c r="AC82" s="438">
        <v>23</v>
      </c>
      <c r="AD82" s="441">
        <v>1</v>
      </c>
      <c r="AE82" s="439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2"/>
        <v>75</v>
      </c>
      <c r="AK82" s="401"/>
      <c r="AL82" s="394">
        <f t="shared" si="3"/>
        <v>0</v>
      </c>
    </row>
    <row r="83" spans="3:38" ht="24" customHeight="1">
      <c r="C83" s="174">
        <v>76</v>
      </c>
      <c r="D83" s="174" t="s">
        <v>1771</v>
      </c>
      <c r="E83" s="175" t="s">
        <v>1828</v>
      </c>
      <c r="F83" s="417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32" t="s">
        <v>548</v>
      </c>
      <c r="S83" s="333" t="s">
        <v>549</v>
      </c>
      <c r="T83" s="180">
        <v>4024</v>
      </c>
      <c r="V83" s="204">
        <v>0</v>
      </c>
      <c r="Y83" s="407">
        <v>50.5</v>
      </c>
      <c r="Z83" s="407">
        <v>0</v>
      </c>
      <c r="AA83" s="405">
        <v>0</v>
      </c>
      <c r="AB83" s="405">
        <v>0</v>
      </c>
      <c r="AC83" s="438">
        <v>50.5</v>
      </c>
      <c r="AD83" s="441">
        <v>1</v>
      </c>
      <c r="AE83" s="439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2"/>
        <v>76</v>
      </c>
      <c r="AK83" s="401"/>
      <c r="AL83" s="394">
        <f t="shared" si="3"/>
        <v>0</v>
      </c>
    </row>
    <row r="84" spans="3:38" ht="24" customHeight="1">
      <c r="C84" s="174">
        <v>77</v>
      </c>
      <c r="D84" s="174" t="s">
        <v>1857</v>
      </c>
      <c r="E84" s="175" t="s">
        <v>1858</v>
      </c>
      <c r="F84" s="417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32" t="s">
        <v>548</v>
      </c>
      <c r="S84" s="333" t="s">
        <v>549</v>
      </c>
      <c r="T84" s="180">
        <v>4024</v>
      </c>
      <c r="V84" s="204">
        <v>0</v>
      </c>
      <c r="Y84" s="407">
        <v>39.5</v>
      </c>
      <c r="Z84" s="407">
        <v>0</v>
      </c>
      <c r="AA84" s="405">
        <v>0</v>
      </c>
      <c r="AB84" s="405">
        <v>0</v>
      </c>
      <c r="AC84" s="438">
        <v>39.5</v>
      </c>
      <c r="AD84" s="441">
        <v>1</v>
      </c>
      <c r="AE84" s="439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2"/>
        <v>77</v>
      </c>
      <c r="AK84" s="401"/>
      <c r="AL84" s="394">
        <f t="shared" si="3"/>
        <v>0</v>
      </c>
    </row>
    <row r="85" spans="3:38" ht="24" customHeight="1">
      <c r="C85" s="174">
        <v>78</v>
      </c>
      <c r="D85" s="174" t="s">
        <v>1857</v>
      </c>
      <c r="E85" s="175" t="s">
        <v>1875</v>
      </c>
      <c r="F85" s="417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32" t="s">
        <v>548</v>
      </c>
      <c r="S85" s="333" t="s">
        <v>549</v>
      </c>
      <c r="T85" s="180">
        <v>4024</v>
      </c>
      <c r="V85" s="204">
        <v>0</v>
      </c>
      <c r="Y85" s="407">
        <v>45</v>
      </c>
      <c r="Z85" s="407">
        <v>0</v>
      </c>
      <c r="AA85" s="405">
        <v>0</v>
      </c>
      <c r="AB85" s="405">
        <v>0</v>
      </c>
      <c r="AC85" s="438">
        <v>45</v>
      </c>
      <c r="AD85" s="441">
        <v>1</v>
      </c>
      <c r="AE85" s="439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2"/>
        <v>78</v>
      </c>
      <c r="AK85" s="401"/>
      <c r="AL85" s="394">
        <f t="shared" si="3"/>
        <v>0</v>
      </c>
    </row>
    <row r="86" spans="3:38" ht="24" customHeight="1">
      <c r="C86" s="174">
        <v>79</v>
      </c>
      <c r="D86" s="174" t="s">
        <v>1857</v>
      </c>
      <c r="E86" s="175" t="s">
        <v>1880</v>
      </c>
      <c r="F86" s="417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32" t="s">
        <v>548</v>
      </c>
      <c r="S86" s="333" t="s">
        <v>549</v>
      </c>
      <c r="T86" s="180">
        <v>4024</v>
      </c>
      <c r="V86" s="204">
        <v>0</v>
      </c>
      <c r="Y86" s="407">
        <v>57.5</v>
      </c>
      <c r="Z86" s="407">
        <v>0</v>
      </c>
      <c r="AA86" s="405">
        <v>0</v>
      </c>
      <c r="AB86" s="405">
        <v>0</v>
      </c>
      <c r="AC86" s="438">
        <v>57.5</v>
      </c>
      <c r="AD86" s="441">
        <v>1</v>
      </c>
      <c r="AE86" s="439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2"/>
        <v>79</v>
      </c>
      <c r="AK86" s="401"/>
      <c r="AL86" s="394">
        <f t="shared" si="3"/>
        <v>0</v>
      </c>
    </row>
    <row r="87" spans="3:38" ht="24" customHeight="1">
      <c r="C87" s="174">
        <v>80</v>
      </c>
      <c r="D87" s="174" t="s">
        <v>1891</v>
      </c>
      <c r="E87" s="175" t="s">
        <v>1892</v>
      </c>
      <c r="F87" s="417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32" t="s">
        <v>548</v>
      </c>
      <c r="S87" s="333" t="s">
        <v>549</v>
      </c>
      <c r="T87" s="180">
        <v>4024</v>
      </c>
      <c r="V87" s="204">
        <v>0</v>
      </c>
      <c r="Y87" s="407">
        <v>45</v>
      </c>
      <c r="Z87" s="407">
        <v>0</v>
      </c>
      <c r="AA87" s="405">
        <v>0</v>
      </c>
      <c r="AB87" s="405">
        <v>0</v>
      </c>
      <c r="AC87" s="438">
        <v>45</v>
      </c>
      <c r="AD87" s="441">
        <v>1</v>
      </c>
      <c r="AE87" s="439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2"/>
        <v>80</v>
      </c>
      <c r="AK87" s="401"/>
      <c r="AL87" s="394">
        <f t="shared" si="3"/>
        <v>0</v>
      </c>
    </row>
    <row r="88" spans="3:38" ht="24" customHeight="1">
      <c r="C88" s="174">
        <v>81</v>
      </c>
      <c r="D88" s="174" t="s">
        <v>1891</v>
      </c>
      <c r="E88" s="175" t="s">
        <v>1897</v>
      </c>
      <c r="F88" s="417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32" t="s">
        <v>548</v>
      </c>
      <c r="S88" s="333" t="s">
        <v>549</v>
      </c>
      <c r="T88" s="180">
        <v>4024</v>
      </c>
      <c r="V88" s="204">
        <v>0</v>
      </c>
      <c r="Y88" s="407">
        <v>96.5</v>
      </c>
      <c r="Z88" s="407">
        <v>0</v>
      </c>
      <c r="AA88" s="405">
        <v>0</v>
      </c>
      <c r="AB88" s="405">
        <v>0</v>
      </c>
      <c r="AC88" s="438">
        <v>96.5</v>
      </c>
      <c r="AD88" s="441">
        <v>1</v>
      </c>
      <c r="AE88" s="439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2"/>
        <v>81</v>
      </c>
      <c r="AK88" s="401"/>
      <c r="AL88" s="394">
        <f t="shared" si="3"/>
        <v>0</v>
      </c>
    </row>
    <row r="89" spans="3:38" ht="24" customHeight="1">
      <c r="C89" s="174">
        <v>82</v>
      </c>
      <c r="D89" s="174" t="s">
        <v>1891</v>
      </c>
      <c r="E89" s="175" t="s">
        <v>1911</v>
      </c>
      <c r="F89" s="417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32" t="s">
        <v>548</v>
      </c>
      <c r="S89" s="333" t="s">
        <v>549</v>
      </c>
      <c r="T89" s="180">
        <v>4024</v>
      </c>
      <c r="V89" s="204">
        <v>0</v>
      </c>
      <c r="Y89" s="407">
        <v>67.5</v>
      </c>
      <c r="Z89" s="407">
        <v>0</v>
      </c>
      <c r="AA89" s="405">
        <v>0</v>
      </c>
      <c r="AB89" s="405">
        <v>0</v>
      </c>
      <c r="AC89" s="438">
        <v>67.5</v>
      </c>
      <c r="AD89" s="441">
        <v>1</v>
      </c>
      <c r="AE89" s="439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2"/>
        <v>82</v>
      </c>
      <c r="AK89" s="401"/>
      <c r="AL89" s="394">
        <f t="shared" si="3"/>
        <v>0</v>
      </c>
    </row>
    <row r="90" spans="3:38" ht="24" customHeight="1">
      <c r="C90" s="174">
        <v>83</v>
      </c>
      <c r="D90" s="174" t="s">
        <v>1919</v>
      </c>
      <c r="E90" s="175" t="s">
        <v>1920</v>
      </c>
      <c r="F90" s="417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32" t="s">
        <v>548</v>
      </c>
      <c r="S90" s="333" t="s">
        <v>549</v>
      </c>
      <c r="T90" s="180">
        <v>4024</v>
      </c>
      <c r="V90" s="204">
        <v>0</v>
      </c>
      <c r="Y90" s="407">
        <v>53.25</v>
      </c>
      <c r="Z90" s="407">
        <v>0</v>
      </c>
      <c r="AA90" s="405">
        <v>0</v>
      </c>
      <c r="AB90" s="405">
        <v>0</v>
      </c>
      <c r="AC90" s="438">
        <v>53.25</v>
      </c>
      <c r="AD90" s="441">
        <v>1</v>
      </c>
      <c r="AE90" s="439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2"/>
        <v>83</v>
      </c>
      <c r="AK90" s="401"/>
      <c r="AL90" s="394">
        <f t="shared" si="3"/>
        <v>0</v>
      </c>
    </row>
    <row r="91" spans="3:38" ht="24" customHeight="1">
      <c r="C91" s="174">
        <v>84</v>
      </c>
      <c r="D91" s="174" t="s">
        <v>1919</v>
      </c>
      <c r="E91" s="175" t="s">
        <v>1935</v>
      </c>
      <c r="F91" s="417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32" t="s">
        <v>548</v>
      </c>
      <c r="S91" s="333" t="s">
        <v>549</v>
      </c>
      <c r="T91" s="180">
        <v>4024</v>
      </c>
      <c r="V91" s="204">
        <v>0</v>
      </c>
      <c r="Y91" s="407">
        <v>49.51</v>
      </c>
      <c r="Z91" s="407">
        <v>0</v>
      </c>
      <c r="AA91" s="405">
        <v>0</v>
      </c>
      <c r="AB91" s="405">
        <v>0</v>
      </c>
      <c r="AC91" s="438">
        <v>49.51</v>
      </c>
      <c r="AD91" s="441">
        <v>1</v>
      </c>
      <c r="AE91" s="439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2"/>
        <v>84</v>
      </c>
      <c r="AK91" s="401"/>
      <c r="AL91" s="394">
        <f t="shared" si="3"/>
        <v>0</v>
      </c>
    </row>
    <row r="92" spans="3:38" ht="24" customHeight="1">
      <c r="C92" s="174">
        <v>85</v>
      </c>
      <c r="D92" s="174" t="s">
        <v>1919</v>
      </c>
      <c r="E92" s="175" t="s">
        <v>1988</v>
      </c>
      <c r="F92" s="417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32" t="s">
        <v>548</v>
      </c>
      <c r="S92" s="333" t="s">
        <v>549</v>
      </c>
      <c r="T92" s="180">
        <v>4024</v>
      </c>
      <c r="V92" s="204">
        <v>0</v>
      </c>
      <c r="Y92" s="407">
        <v>113.38</v>
      </c>
      <c r="Z92" s="407">
        <v>0</v>
      </c>
      <c r="AA92" s="405">
        <v>0</v>
      </c>
      <c r="AB92" s="405">
        <v>0</v>
      </c>
      <c r="AC92" s="438">
        <v>113.38</v>
      </c>
      <c r="AD92" s="441">
        <v>1</v>
      </c>
      <c r="AE92" s="439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2"/>
        <v>85</v>
      </c>
      <c r="AK92" s="401"/>
      <c r="AL92" s="394">
        <f t="shared" si="3"/>
        <v>0</v>
      </c>
    </row>
    <row r="93" spans="3:38" ht="24" customHeight="1">
      <c r="C93" s="174">
        <v>86</v>
      </c>
      <c r="D93" s="174" t="s">
        <v>2042</v>
      </c>
      <c r="E93" s="175" t="s">
        <v>2043</v>
      </c>
      <c r="F93" s="417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32" t="s">
        <v>548</v>
      </c>
      <c r="S93" s="333" t="s">
        <v>549</v>
      </c>
      <c r="T93" s="180">
        <v>4024</v>
      </c>
      <c r="V93" s="204">
        <v>0</v>
      </c>
      <c r="Y93" s="407">
        <v>45</v>
      </c>
      <c r="Z93" s="407">
        <v>0</v>
      </c>
      <c r="AA93" s="405">
        <v>0</v>
      </c>
      <c r="AB93" s="405">
        <v>0</v>
      </c>
      <c r="AC93" s="438">
        <v>45</v>
      </c>
      <c r="AD93" s="441">
        <v>1</v>
      </c>
      <c r="AE93" s="439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2"/>
        <v>86</v>
      </c>
      <c r="AK93" s="401"/>
      <c r="AL93" s="394">
        <f t="shared" si="3"/>
        <v>0</v>
      </c>
    </row>
    <row r="94" spans="3:38" ht="24" customHeight="1">
      <c r="C94" s="174">
        <v>87</v>
      </c>
      <c r="D94" s="174" t="s">
        <v>2042</v>
      </c>
      <c r="E94" s="175" t="s">
        <v>2048</v>
      </c>
      <c r="F94" s="417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32" t="s">
        <v>548</v>
      </c>
      <c r="S94" s="333" t="s">
        <v>549</v>
      </c>
      <c r="T94" s="180">
        <v>4026</v>
      </c>
      <c r="V94" s="204">
        <v>0</v>
      </c>
      <c r="Y94" s="407">
        <v>109.5</v>
      </c>
      <c r="Z94" s="407">
        <v>0</v>
      </c>
      <c r="AA94" s="405">
        <v>0</v>
      </c>
      <c r="AB94" s="405">
        <v>0</v>
      </c>
      <c r="AC94" s="438">
        <v>109.5</v>
      </c>
      <c r="AD94" s="441">
        <v>1</v>
      </c>
      <c r="AE94" s="439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2"/>
        <v>87</v>
      </c>
      <c r="AK94" s="401"/>
      <c r="AL94" s="394">
        <f t="shared" si="3"/>
        <v>0</v>
      </c>
    </row>
    <row r="95" spans="3:38" ht="24" customHeight="1">
      <c r="C95" s="174">
        <v>88</v>
      </c>
      <c r="D95" s="174" t="s">
        <v>2042</v>
      </c>
      <c r="E95" s="175" t="s">
        <v>2059</v>
      </c>
      <c r="F95" s="417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32" t="s">
        <v>548</v>
      </c>
      <c r="S95" s="333" t="s">
        <v>549</v>
      </c>
      <c r="T95" s="180">
        <v>4026</v>
      </c>
      <c r="V95" s="204">
        <v>0</v>
      </c>
      <c r="Y95" s="407">
        <v>51.61</v>
      </c>
      <c r="Z95" s="407">
        <v>0</v>
      </c>
      <c r="AA95" s="405">
        <v>0</v>
      </c>
      <c r="AB95" s="405">
        <v>0</v>
      </c>
      <c r="AC95" s="438">
        <v>51.61</v>
      </c>
      <c r="AD95" s="441">
        <v>1</v>
      </c>
      <c r="AE95" s="439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2"/>
        <v>88</v>
      </c>
      <c r="AK95" s="401"/>
      <c r="AL95" s="394">
        <f t="shared" si="3"/>
        <v>0</v>
      </c>
    </row>
    <row r="96" spans="3:38" ht="24" customHeight="1">
      <c r="C96" s="174">
        <v>89</v>
      </c>
      <c r="D96" s="174" t="s">
        <v>2091</v>
      </c>
      <c r="E96" s="175" t="s">
        <v>2092</v>
      </c>
      <c r="F96" s="417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32" t="s">
        <v>548</v>
      </c>
      <c r="S96" s="333" t="s">
        <v>549</v>
      </c>
      <c r="T96" s="180">
        <v>4026</v>
      </c>
      <c r="V96" s="204">
        <v>0</v>
      </c>
      <c r="Y96" s="407">
        <v>64.5</v>
      </c>
      <c r="Z96" s="407">
        <v>0</v>
      </c>
      <c r="AA96" s="405">
        <v>0</v>
      </c>
      <c r="AB96" s="405">
        <v>0</v>
      </c>
      <c r="AC96" s="438">
        <v>64.5</v>
      </c>
      <c r="AD96" s="441">
        <v>1</v>
      </c>
      <c r="AE96" s="439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2"/>
        <v>89</v>
      </c>
      <c r="AK96" s="401"/>
      <c r="AL96" s="394">
        <f t="shared" si="3"/>
        <v>0</v>
      </c>
    </row>
    <row r="97" spans="3:38" ht="24" customHeight="1">
      <c r="C97" s="174">
        <v>90</v>
      </c>
      <c r="D97" s="174" t="s">
        <v>2091</v>
      </c>
      <c r="E97" s="175" t="s">
        <v>2115</v>
      </c>
      <c r="F97" s="417">
        <v>46203</v>
      </c>
      <c r="G97" s="176">
        <v>46227.47934027778</v>
      </c>
      <c r="H97" s="174">
        <v>1</v>
      </c>
      <c r="I97" s="174">
        <v>1</v>
      </c>
      <c r="J97" s="174">
        <v>1</v>
      </c>
      <c r="K97" s="174">
        <v>2</v>
      </c>
      <c r="L97" s="174">
        <v>1</v>
      </c>
      <c r="M97" s="174">
        <v>1</v>
      </c>
      <c r="N97" s="174">
        <v>1</v>
      </c>
      <c r="O97" s="174">
        <v>1</v>
      </c>
      <c r="P97" s="174">
        <v>1</v>
      </c>
      <c r="Q97" s="174">
        <v>2</v>
      </c>
      <c r="R97" s="332" t="s">
        <v>548</v>
      </c>
      <c r="S97" s="333" t="s">
        <v>549</v>
      </c>
      <c r="T97" s="180">
        <v>4026</v>
      </c>
      <c r="V97" s="204">
        <v>0</v>
      </c>
      <c r="Y97" s="407">
        <v>37.630000000000003</v>
      </c>
      <c r="Z97" s="407">
        <v>0</v>
      </c>
      <c r="AA97" s="405">
        <v>0</v>
      </c>
      <c r="AB97" s="405">
        <v>0</v>
      </c>
      <c r="AC97" s="438">
        <v>37.630000000000003</v>
      </c>
      <c r="AD97" s="441">
        <v>1</v>
      </c>
      <c r="AE97" s="439">
        <v>139</v>
      </c>
      <c r="AF97" s="177">
        <v>1</v>
      </c>
      <c r="AG97" s="178">
        <v>4</v>
      </c>
      <c r="AH97" s="174">
        <v>6</v>
      </c>
      <c r="AI97" s="174">
        <v>2026</v>
      </c>
      <c r="AJ97" s="139">
        <f t="shared" si="2"/>
        <v>90</v>
      </c>
      <c r="AK97" s="401"/>
      <c r="AL97" s="394">
        <f t="shared" si="3"/>
        <v>0</v>
      </c>
    </row>
    <row r="98" spans="3:38" ht="24" customHeight="1">
      <c r="G98" s="176"/>
      <c r="AJ98" s="139" t="str">
        <f t="shared" si="2"/>
        <v/>
      </c>
      <c r="AK98" s="401"/>
      <c r="AL98" s="394">
        <f t="shared" si="3"/>
        <v>0</v>
      </c>
    </row>
    <row r="99" spans="3:38" ht="24" customHeight="1">
      <c r="G99" s="176"/>
      <c r="AJ99" s="139" t="str">
        <f t="shared" si="2"/>
        <v/>
      </c>
      <c r="AK99" s="401"/>
      <c r="AL99" s="394">
        <f t="shared" si="3"/>
        <v>0</v>
      </c>
    </row>
    <row r="100" spans="3:38" ht="24" customHeight="1">
      <c r="G100" s="176"/>
      <c r="AJ100" s="139" t="str">
        <f t="shared" si="2"/>
        <v/>
      </c>
      <c r="AK100" s="401"/>
      <c r="AL100" s="394">
        <f t="shared" si="3"/>
        <v>0</v>
      </c>
    </row>
    <row r="101" spans="3:38" ht="24" customHeight="1">
      <c r="G101" s="176"/>
      <c r="AJ101" s="139" t="str">
        <f t="shared" si="2"/>
        <v/>
      </c>
      <c r="AK101" s="401"/>
      <c r="AL101" s="394">
        <f t="shared" si="3"/>
        <v>0</v>
      </c>
    </row>
    <row r="102" spans="3:38" ht="24" customHeight="1">
      <c r="G102" s="176"/>
      <c r="AJ102" s="139" t="str">
        <f t="shared" si="2"/>
        <v/>
      </c>
      <c r="AK102" s="401"/>
      <c r="AL102" s="394">
        <f t="shared" si="3"/>
        <v>0</v>
      </c>
    </row>
    <row r="103" spans="3:38" ht="24" customHeight="1">
      <c r="G103" s="176"/>
      <c r="AJ103" s="139" t="str">
        <f t="shared" si="2"/>
        <v/>
      </c>
      <c r="AK103" s="401"/>
      <c r="AL103" s="394">
        <f t="shared" si="3"/>
        <v>0</v>
      </c>
    </row>
    <row r="104" spans="3:38" ht="24" customHeight="1">
      <c r="G104" s="176"/>
      <c r="AJ104" s="139" t="str">
        <f t="shared" si="2"/>
        <v/>
      </c>
      <c r="AK104" s="401"/>
      <c r="AL104" s="394">
        <f t="shared" si="3"/>
        <v>0</v>
      </c>
    </row>
    <row r="105" spans="3:38" ht="24" customHeight="1">
      <c r="G105" s="176"/>
      <c r="AJ105" s="139" t="str">
        <f t="shared" si="2"/>
        <v/>
      </c>
      <c r="AK105" s="401"/>
      <c r="AL105" s="394">
        <f t="shared" si="3"/>
        <v>0</v>
      </c>
    </row>
    <row r="106" spans="3:38" ht="24" customHeight="1">
      <c r="G106" s="176"/>
      <c r="AJ106" s="139" t="str">
        <f t="shared" si="2"/>
        <v/>
      </c>
      <c r="AK106" s="401"/>
      <c r="AL106" s="394">
        <f t="shared" si="3"/>
        <v>0</v>
      </c>
    </row>
    <row r="107" spans="3:38" ht="24" customHeight="1">
      <c r="G107" s="176"/>
      <c r="AJ107" s="139" t="str">
        <f t="shared" si="2"/>
        <v/>
      </c>
      <c r="AK107" s="401"/>
      <c r="AL107" s="394">
        <f t="shared" si="3"/>
        <v>0</v>
      </c>
    </row>
    <row r="108" spans="3:38" ht="24" customHeight="1">
      <c r="G108" s="176"/>
      <c r="AJ108" s="139" t="str">
        <f t="shared" si="2"/>
        <v/>
      </c>
      <c r="AK108" s="401"/>
      <c r="AL108" s="394">
        <f t="shared" si="3"/>
        <v>0</v>
      </c>
    </row>
    <row r="109" spans="3:38" ht="24" customHeight="1">
      <c r="G109" s="176"/>
      <c r="AJ109" s="139" t="str">
        <f t="shared" si="2"/>
        <v/>
      </c>
      <c r="AK109" s="401"/>
      <c r="AL109" s="394">
        <f t="shared" si="3"/>
        <v>0</v>
      </c>
    </row>
    <row r="110" spans="3:38" ht="24" customHeight="1">
      <c r="G110" s="176"/>
      <c r="AJ110" s="139" t="str">
        <f t="shared" si="2"/>
        <v/>
      </c>
      <c r="AK110" s="401"/>
      <c r="AL110" s="394">
        <f t="shared" si="3"/>
        <v>0</v>
      </c>
    </row>
    <row r="111" spans="3:38" ht="24" customHeight="1">
      <c r="G111" s="176"/>
      <c r="AJ111" s="139" t="str">
        <f t="shared" si="2"/>
        <v/>
      </c>
      <c r="AK111" s="401"/>
      <c r="AL111" s="394">
        <f t="shared" si="3"/>
        <v>0</v>
      </c>
    </row>
    <row r="112" spans="3:38" ht="24" customHeight="1">
      <c r="G112" s="176"/>
      <c r="AJ112" s="139" t="str">
        <f t="shared" si="2"/>
        <v/>
      </c>
      <c r="AK112" s="401"/>
      <c r="AL112" s="394">
        <f t="shared" si="3"/>
        <v>0</v>
      </c>
    </row>
    <row r="113" spans="7:38" ht="24" customHeight="1">
      <c r="G113" s="176"/>
      <c r="AJ113" s="139" t="str">
        <f t="shared" si="2"/>
        <v/>
      </c>
      <c r="AK113" s="401"/>
      <c r="AL113" s="394">
        <f t="shared" si="3"/>
        <v>0</v>
      </c>
    </row>
    <row r="114" spans="7:38" ht="24" customHeight="1">
      <c r="G114" s="176"/>
      <c r="AJ114" s="139" t="str">
        <f t="shared" si="2"/>
        <v/>
      </c>
      <c r="AK114" s="401"/>
      <c r="AL114" s="394">
        <f t="shared" si="3"/>
        <v>0</v>
      </c>
    </row>
    <row r="115" spans="7:38" ht="24" customHeight="1">
      <c r="G115" s="176"/>
      <c r="AJ115" s="139" t="str">
        <f t="shared" si="2"/>
        <v/>
      </c>
      <c r="AK115" s="401"/>
      <c r="AL115" s="394">
        <f t="shared" si="3"/>
        <v>0</v>
      </c>
    </row>
    <row r="116" spans="7:38" ht="24" customHeight="1">
      <c r="G116" s="176"/>
      <c r="AJ116" s="139" t="str">
        <f t="shared" si="2"/>
        <v/>
      </c>
      <c r="AK116" s="401"/>
      <c r="AL116" s="394">
        <f t="shared" si="3"/>
        <v>0</v>
      </c>
    </row>
    <row r="117" spans="7:38" ht="24" customHeight="1">
      <c r="G117" s="176"/>
      <c r="AJ117" s="139" t="str">
        <f t="shared" si="2"/>
        <v/>
      </c>
      <c r="AK117" s="401"/>
      <c r="AL117" s="394">
        <f t="shared" si="3"/>
        <v>0</v>
      </c>
    </row>
    <row r="118" spans="7:38" ht="24" customHeight="1">
      <c r="G118" s="176"/>
      <c r="AJ118" s="139" t="str">
        <f t="shared" si="2"/>
        <v/>
      </c>
      <c r="AK118" s="401"/>
      <c r="AL118" s="394">
        <f t="shared" si="3"/>
        <v>0</v>
      </c>
    </row>
    <row r="119" spans="7:38" ht="24" customHeight="1">
      <c r="G119" s="176"/>
      <c r="AJ119" s="139" t="str">
        <f t="shared" si="2"/>
        <v/>
      </c>
      <c r="AK119" s="401"/>
      <c r="AL119" s="394">
        <f t="shared" si="3"/>
        <v>0</v>
      </c>
    </row>
    <row r="120" spans="7:38" ht="24" customHeight="1">
      <c r="G120" s="176"/>
      <c r="AJ120" s="139" t="str">
        <f t="shared" si="2"/>
        <v/>
      </c>
      <c r="AK120" s="401"/>
      <c r="AL120" s="394">
        <f t="shared" si="3"/>
        <v>0</v>
      </c>
    </row>
    <row r="121" spans="7:38" ht="24" customHeight="1">
      <c r="G121" s="176"/>
      <c r="AJ121" s="139" t="str">
        <f t="shared" si="2"/>
        <v/>
      </c>
      <c r="AK121" s="401"/>
      <c r="AL121" s="394">
        <f t="shared" si="3"/>
        <v>0</v>
      </c>
    </row>
    <row r="122" spans="7:38" ht="24" customHeight="1">
      <c r="G122" s="176"/>
      <c r="AJ122" s="139" t="str">
        <f t="shared" si="2"/>
        <v/>
      </c>
      <c r="AK122" s="401"/>
      <c r="AL122" s="394">
        <f t="shared" si="3"/>
        <v>0</v>
      </c>
    </row>
    <row r="123" spans="7:38" ht="24" customHeight="1">
      <c r="G123" s="176"/>
      <c r="AJ123" s="139" t="str">
        <f t="shared" si="2"/>
        <v/>
      </c>
      <c r="AK123" s="401"/>
      <c r="AL123" s="394">
        <f t="shared" si="3"/>
        <v>0</v>
      </c>
    </row>
    <row r="124" spans="7:38" ht="24" customHeight="1">
      <c r="G124" s="176"/>
      <c r="AJ124" s="139" t="str">
        <f t="shared" si="2"/>
        <v/>
      </c>
      <c r="AK124" s="401"/>
      <c r="AL124" s="394">
        <f t="shared" si="3"/>
        <v>0</v>
      </c>
    </row>
    <row r="125" spans="7:38" ht="24" customHeight="1">
      <c r="G125" s="176"/>
      <c r="AJ125" s="139" t="str">
        <f t="shared" si="2"/>
        <v/>
      </c>
      <c r="AK125" s="401"/>
      <c r="AL125" s="394">
        <f t="shared" si="3"/>
        <v>0</v>
      </c>
    </row>
    <row r="126" spans="7:38" ht="24" customHeight="1">
      <c r="G126" s="176"/>
      <c r="AJ126" s="139" t="str">
        <f t="shared" si="2"/>
        <v/>
      </c>
      <c r="AK126" s="401"/>
      <c r="AL126" s="394">
        <f t="shared" si="3"/>
        <v>0</v>
      </c>
    </row>
    <row r="127" spans="7:38" ht="24" customHeight="1">
      <c r="G127" s="176"/>
      <c r="AJ127" s="139" t="str">
        <f t="shared" si="2"/>
        <v/>
      </c>
      <c r="AK127" s="401"/>
      <c r="AL127" s="394">
        <f t="shared" si="3"/>
        <v>0</v>
      </c>
    </row>
    <row r="128" spans="7:38" ht="24" customHeight="1">
      <c r="G128" s="176"/>
      <c r="AJ128" s="139" t="str">
        <f t="shared" si="2"/>
        <v/>
      </c>
      <c r="AK128" s="401"/>
      <c r="AL128" s="394">
        <f t="shared" si="3"/>
        <v>0</v>
      </c>
    </row>
    <row r="129" spans="7:38" ht="24" customHeight="1">
      <c r="G129" s="176"/>
      <c r="AJ129" s="139" t="str">
        <f t="shared" si="2"/>
        <v/>
      </c>
      <c r="AK129" s="401"/>
      <c r="AL129" s="394">
        <f t="shared" si="3"/>
        <v>0</v>
      </c>
    </row>
    <row r="130" spans="7:38" ht="24" customHeight="1">
      <c r="G130" s="176"/>
      <c r="AJ130" s="139" t="str">
        <f t="shared" si="2"/>
        <v/>
      </c>
      <c r="AK130" s="401"/>
      <c r="AL130" s="394">
        <f t="shared" si="3"/>
        <v>0</v>
      </c>
    </row>
    <row r="131" spans="7:38" ht="24" customHeight="1">
      <c r="G131" s="176"/>
      <c r="AJ131" s="139" t="str">
        <f t="shared" si="2"/>
        <v/>
      </c>
      <c r="AK131" s="401"/>
      <c r="AL131" s="394">
        <f t="shared" si="3"/>
        <v>0</v>
      </c>
    </row>
    <row r="132" spans="7:38" ht="24" customHeight="1">
      <c r="G132" s="176"/>
      <c r="AJ132" s="139" t="str">
        <f t="shared" si="2"/>
        <v/>
      </c>
      <c r="AK132" s="401"/>
      <c r="AL132" s="394">
        <f t="shared" si="3"/>
        <v>0</v>
      </c>
    </row>
    <row r="133" spans="7:38" ht="24" customHeight="1">
      <c r="G133" s="176"/>
      <c r="AJ133" s="139" t="str">
        <f t="shared" si="2"/>
        <v/>
      </c>
      <c r="AK133" s="401"/>
      <c r="AL133" s="394">
        <f t="shared" si="3"/>
        <v>0</v>
      </c>
    </row>
    <row r="134" spans="7:38" ht="24" customHeight="1">
      <c r="G134" s="176"/>
      <c r="AJ134" s="139" t="str">
        <f t="shared" si="2"/>
        <v/>
      </c>
      <c r="AK134" s="401"/>
      <c r="AL134" s="394">
        <f t="shared" si="3"/>
        <v>0</v>
      </c>
    </row>
    <row r="135" spans="7:38" ht="24" customHeight="1">
      <c r="G135" s="176"/>
      <c r="AJ135" s="139" t="str">
        <f t="shared" si="2"/>
        <v/>
      </c>
      <c r="AK135" s="401"/>
      <c r="AL135" s="394">
        <f t="shared" si="3"/>
        <v>0</v>
      </c>
    </row>
    <row r="136" spans="7:38" ht="24" customHeight="1">
      <c r="G136" s="176"/>
      <c r="AJ136" s="139" t="str">
        <f t="shared" si="2"/>
        <v/>
      </c>
      <c r="AK136" s="401"/>
      <c r="AL136" s="394">
        <f t="shared" si="3"/>
        <v>0</v>
      </c>
    </row>
    <row r="137" spans="7:38" ht="24" customHeight="1">
      <c r="G137" s="176"/>
      <c r="AJ137" s="139" t="str">
        <f t="shared" ref="AJ137:AJ200" si="4">IF(C137="","",C137)</f>
        <v/>
      </c>
      <c r="AK137" s="401"/>
      <c r="AL137" s="394">
        <f t="shared" ref="AL137:AL200" si="5">SUMIFS(AC137:AC10129,AD137:AD10129,"&gt;0",D137:D10129,AK137,AH137:AH10129,6,AI137:AI10129,2026)</f>
        <v>0</v>
      </c>
    </row>
    <row r="138" spans="7:38" ht="24" customHeight="1">
      <c r="G138" s="176"/>
      <c r="AJ138" s="139" t="str">
        <f t="shared" si="4"/>
        <v/>
      </c>
      <c r="AK138" s="401"/>
      <c r="AL138" s="394">
        <f t="shared" si="5"/>
        <v>0</v>
      </c>
    </row>
    <row r="139" spans="7:38" ht="24" customHeight="1">
      <c r="G139" s="176"/>
      <c r="AJ139" s="139" t="str">
        <f t="shared" si="4"/>
        <v/>
      </c>
      <c r="AK139" s="401"/>
      <c r="AL139" s="394">
        <f t="shared" si="5"/>
        <v>0</v>
      </c>
    </row>
    <row r="140" spans="7:38" ht="24" customHeight="1">
      <c r="G140" s="176"/>
      <c r="AJ140" s="139" t="str">
        <f t="shared" si="4"/>
        <v/>
      </c>
      <c r="AK140" s="401"/>
      <c r="AL140" s="394">
        <f t="shared" si="5"/>
        <v>0</v>
      </c>
    </row>
    <row r="141" spans="7:38" ht="24" customHeight="1">
      <c r="G141" s="176"/>
      <c r="AJ141" s="139" t="str">
        <f t="shared" si="4"/>
        <v/>
      </c>
      <c r="AK141" s="401"/>
      <c r="AL141" s="394">
        <f t="shared" si="5"/>
        <v>0</v>
      </c>
    </row>
    <row r="142" spans="7:38" ht="24" customHeight="1">
      <c r="G142" s="176"/>
      <c r="AJ142" s="139" t="str">
        <f t="shared" si="4"/>
        <v/>
      </c>
      <c r="AK142" s="401"/>
      <c r="AL142" s="394">
        <f t="shared" si="5"/>
        <v>0</v>
      </c>
    </row>
    <row r="143" spans="7:38" ht="24" customHeight="1">
      <c r="G143" s="176"/>
      <c r="AJ143" s="139" t="str">
        <f t="shared" si="4"/>
        <v/>
      </c>
      <c r="AK143" s="401"/>
      <c r="AL143" s="394">
        <f t="shared" si="5"/>
        <v>0</v>
      </c>
    </row>
    <row r="144" spans="7:38" ht="24" customHeight="1">
      <c r="G144" s="176"/>
      <c r="AJ144" s="139" t="str">
        <f t="shared" si="4"/>
        <v/>
      </c>
      <c r="AK144" s="401"/>
      <c r="AL144" s="394">
        <f t="shared" si="5"/>
        <v>0</v>
      </c>
    </row>
    <row r="145" spans="7:38" ht="24" customHeight="1">
      <c r="G145" s="176"/>
      <c r="AJ145" s="139" t="str">
        <f t="shared" si="4"/>
        <v/>
      </c>
      <c r="AK145" s="401"/>
      <c r="AL145" s="394">
        <f t="shared" si="5"/>
        <v>0</v>
      </c>
    </row>
    <row r="146" spans="7:38" ht="24" customHeight="1">
      <c r="G146" s="176"/>
      <c r="AJ146" s="139" t="str">
        <f t="shared" si="4"/>
        <v/>
      </c>
      <c r="AK146" s="401"/>
      <c r="AL146" s="394">
        <f t="shared" si="5"/>
        <v>0</v>
      </c>
    </row>
    <row r="147" spans="7:38" ht="24" customHeight="1">
      <c r="G147" s="176"/>
      <c r="AJ147" s="139" t="str">
        <f t="shared" si="4"/>
        <v/>
      </c>
      <c r="AK147" s="401"/>
      <c r="AL147" s="394">
        <f t="shared" si="5"/>
        <v>0</v>
      </c>
    </row>
    <row r="148" spans="7:38" ht="24" customHeight="1">
      <c r="G148" s="176"/>
      <c r="AJ148" s="139" t="str">
        <f t="shared" si="4"/>
        <v/>
      </c>
      <c r="AK148" s="401"/>
      <c r="AL148" s="394">
        <f t="shared" si="5"/>
        <v>0</v>
      </c>
    </row>
    <row r="149" spans="7:38" ht="24" customHeight="1">
      <c r="G149" s="176"/>
      <c r="AJ149" s="139" t="str">
        <f t="shared" si="4"/>
        <v/>
      </c>
      <c r="AK149" s="401"/>
      <c r="AL149" s="394">
        <f t="shared" si="5"/>
        <v>0</v>
      </c>
    </row>
    <row r="150" spans="7:38" ht="24" customHeight="1">
      <c r="G150" s="176"/>
      <c r="AJ150" s="139" t="str">
        <f t="shared" si="4"/>
        <v/>
      </c>
      <c r="AK150" s="401"/>
      <c r="AL150" s="394">
        <f t="shared" si="5"/>
        <v>0</v>
      </c>
    </row>
    <row r="151" spans="7:38" ht="24" customHeight="1">
      <c r="G151" s="176"/>
      <c r="AJ151" s="139" t="str">
        <f t="shared" si="4"/>
        <v/>
      </c>
      <c r="AK151" s="401"/>
      <c r="AL151" s="394">
        <f t="shared" si="5"/>
        <v>0</v>
      </c>
    </row>
    <row r="152" spans="7:38" ht="24" customHeight="1">
      <c r="G152" s="176"/>
      <c r="AJ152" s="139" t="str">
        <f t="shared" si="4"/>
        <v/>
      </c>
      <c r="AK152" s="401"/>
      <c r="AL152" s="394">
        <f t="shared" si="5"/>
        <v>0</v>
      </c>
    </row>
    <row r="153" spans="7:38" ht="24" customHeight="1">
      <c r="G153" s="176"/>
      <c r="AJ153" s="139" t="str">
        <f t="shared" si="4"/>
        <v/>
      </c>
      <c r="AK153" s="401"/>
      <c r="AL153" s="394">
        <f t="shared" si="5"/>
        <v>0</v>
      </c>
    </row>
    <row r="154" spans="7:38" ht="24" customHeight="1">
      <c r="G154" s="176"/>
      <c r="AJ154" s="139" t="str">
        <f t="shared" si="4"/>
        <v/>
      </c>
      <c r="AK154" s="401"/>
      <c r="AL154" s="394">
        <f t="shared" si="5"/>
        <v>0</v>
      </c>
    </row>
    <row r="155" spans="7:38" ht="24" customHeight="1">
      <c r="G155" s="176"/>
      <c r="AJ155" s="139" t="str">
        <f t="shared" si="4"/>
        <v/>
      </c>
      <c r="AK155" s="401"/>
      <c r="AL155" s="394">
        <f t="shared" si="5"/>
        <v>0</v>
      </c>
    </row>
    <row r="156" spans="7:38" ht="24" customHeight="1">
      <c r="G156" s="176"/>
      <c r="AJ156" s="139" t="str">
        <f t="shared" si="4"/>
        <v/>
      </c>
      <c r="AK156" s="401"/>
      <c r="AL156" s="394">
        <f t="shared" si="5"/>
        <v>0</v>
      </c>
    </row>
    <row r="157" spans="7:38" ht="24" customHeight="1">
      <c r="G157" s="176"/>
      <c r="AJ157" s="139" t="str">
        <f t="shared" si="4"/>
        <v/>
      </c>
      <c r="AK157" s="401"/>
      <c r="AL157" s="394">
        <f t="shared" si="5"/>
        <v>0</v>
      </c>
    </row>
    <row r="158" spans="7:38" ht="24" customHeight="1">
      <c r="G158" s="176"/>
      <c r="AJ158" s="139" t="str">
        <f t="shared" si="4"/>
        <v/>
      </c>
      <c r="AK158" s="401"/>
      <c r="AL158" s="394">
        <f t="shared" si="5"/>
        <v>0</v>
      </c>
    </row>
    <row r="159" spans="7:38" ht="24" customHeight="1">
      <c r="G159" s="176"/>
      <c r="AJ159" s="139" t="str">
        <f t="shared" si="4"/>
        <v/>
      </c>
      <c r="AK159" s="401"/>
      <c r="AL159" s="394">
        <f t="shared" si="5"/>
        <v>0</v>
      </c>
    </row>
    <row r="160" spans="7:38" ht="24" customHeight="1">
      <c r="G160" s="176"/>
      <c r="AJ160" s="139" t="str">
        <f t="shared" si="4"/>
        <v/>
      </c>
      <c r="AK160" s="401"/>
      <c r="AL160" s="394">
        <f t="shared" si="5"/>
        <v>0</v>
      </c>
    </row>
    <row r="161" spans="7:38" ht="24" customHeight="1">
      <c r="G161" s="176"/>
      <c r="AJ161" s="139" t="str">
        <f t="shared" si="4"/>
        <v/>
      </c>
      <c r="AK161" s="401"/>
      <c r="AL161" s="394">
        <f t="shared" si="5"/>
        <v>0</v>
      </c>
    </row>
    <row r="162" spans="7:38" ht="24" customHeight="1">
      <c r="G162" s="176"/>
      <c r="AJ162" s="139" t="str">
        <f t="shared" si="4"/>
        <v/>
      </c>
      <c r="AK162" s="401"/>
      <c r="AL162" s="394">
        <f t="shared" si="5"/>
        <v>0</v>
      </c>
    </row>
    <row r="163" spans="7:38" ht="24" customHeight="1">
      <c r="G163" s="176"/>
      <c r="AJ163" s="139" t="str">
        <f t="shared" si="4"/>
        <v/>
      </c>
      <c r="AK163" s="401"/>
      <c r="AL163" s="394">
        <f t="shared" si="5"/>
        <v>0</v>
      </c>
    </row>
    <row r="164" spans="7:38" ht="24" customHeight="1">
      <c r="G164" s="176"/>
      <c r="AJ164" s="139" t="str">
        <f t="shared" si="4"/>
        <v/>
      </c>
      <c r="AK164" s="401"/>
      <c r="AL164" s="394">
        <f t="shared" si="5"/>
        <v>0</v>
      </c>
    </row>
    <row r="165" spans="7:38" ht="24" customHeight="1">
      <c r="G165" s="176"/>
      <c r="AJ165" s="139" t="str">
        <f t="shared" si="4"/>
        <v/>
      </c>
      <c r="AK165" s="401"/>
      <c r="AL165" s="394">
        <f t="shared" si="5"/>
        <v>0</v>
      </c>
    </row>
    <row r="166" spans="7:38" ht="24" customHeight="1">
      <c r="G166" s="176"/>
      <c r="AJ166" s="139" t="str">
        <f t="shared" si="4"/>
        <v/>
      </c>
      <c r="AK166" s="401"/>
      <c r="AL166" s="394">
        <f t="shared" si="5"/>
        <v>0</v>
      </c>
    </row>
    <row r="167" spans="7:38" ht="24" customHeight="1">
      <c r="G167" s="176"/>
      <c r="AJ167" s="139" t="str">
        <f t="shared" si="4"/>
        <v/>
      </c>
      <c r="AK167" s="401"/>
      <c r="AL167" s="394">
        <f t="shared" si="5"/>
        <v>0</v>
      </c>
    </row>
    <row r="168" spans="7:38" ht="24" customHeight="1">
      <c r="G168" s="176"/>
      <c r="AJ168" s="139" t="str">
        <f t="shared" si="4"/>
        <v/>
      </c>
      <c r="AK168" s="401"/>
      <c r="AL168" s="394">
        <f t="shared" si="5"/>
        <v>0</v>
      </c>
    </row>
    <row r="169" spans="7:38" ht="24" customHeight="1">
      <c r="G169" s="176"/>
      <c r="AJ169" s="139" t="str">
        <f t="shared" si="4"/>
        <v/>
      </c>
      <c r="AK169" s="401"/>
      <c r="AL169" s="394">
        <f t="shared" si="5"/>
        <v>0</v>
      </c>
    </row>
    <row r="170" spans="7:38" ht="24" customHeight="1">
      <c r="G170" s="176"/>
      <c r="AJ170" s="139" t="str">
        <f t="shared" si="4"/>
        <v/>
      </c>
      <c r="AK170" s="401"/>
      <c r="AL170" s="394">
        <f t="shared" si="5"/>
        <v>0</v>
      </c>
    </row>
    <row r="171" spans="7:38" ht="24" customHeight="1">
      <c r="G171" s="176"/>
      <c r="AJ171" s="139" t="str">
        <f t="shared" si="4"/>
        <v/>
      </c>
      <c r="AK171" s="401"/>
      <c r="AL171" s="394">
        <f t="shared" si="5"/>
        <v>0</v>
      </c>
    </row>
    <row r="172" spans="7:38" ht="24" customHeight="1">
      <c r="G172" s="176"/>
      <c r="AJ172" s="139" t="str">
        <f t="shared" si="4"/>
        <v/>
      </c>
      <c r="AK172" s="401"/>
      <c r="AL172" s="394">
        <f t="shared" si="5"/>
        <v>0</v>
      </c>
    </row>
    <row r="173" spans="7:38" ht="24" customHeight="1">
      <c r="G173" s="176"/>
      <c r="AJ173" s="139" t="str">
        <f t="shared" si="4"/>
        <v/>
      </c>
      <c r="AK173" s="401"/>
      <c r="AL173" s="394">
        <f t="shared" si="5"/>
        <v>0</v>
      </c>
    </row>
    <row r="174" spans="7:38" ht="24" customHeight="1">
      <c r="G174" s="176"/>
      <c r="AJ174" s="139" t="str">
        <f t="shared" si="4"/>
        <v/>
      </c>
      <c r="AK174" s="401"/>
      <c r="AL174" s="394">
        <f t="shared" si="5"/>
        <v>0</v>
      </c>
    </row>
    <row r="175" spans="7:38" ht="24" customHeight="1">
      <c r="G175" s="176"/>
      <c r="AJ175" s="139" t="str">
        <f t="shared" si="4"/>
        <v/>
      </c>
      <c r="AK175" s="401"/>
      <c r="AL175" s="394">
        <f t="shared" si="5"/>
        <v>0</v>
      </c>
    </row>
    <row r="176" spans="7:38" ht="24" customHeight="1">
      <c r="G176" s="176"/>
      <c r="AJ176" s="139" t="str">
        <f t="shared" si="4"/>
        <v/>
      </c>
      <c r="AK176" s="401"/>
      <c r="AL176" s="394">
        <f t="shared" si="5"/>
        <v>0</v>
      </c>
    </row>
    <row r="177" spans="7:38" ht="24" customHeight="1">
      <c r="G177" s="176"/>
      <c r="AJ177" s="139" t="str">
        <f t="shared" si="4"/>
        <v/>
      </c>
      <c r="AK177" s="401"/>
      <c r="AL177" s="394">
        <f t="shared" si="5"/>
        <v>0</v>
      </c>
    </row>
    <row r="178" spans="7:38" ht="24" customHeight="1">
      <c r="G178" s="176"/>
      <c r="AJ178" s="139" t="str">
        <f t="shared" si="4"/>
        <v/>
      </c>
      <c r="AK178" s="401"/>
      <c r="AL178" s="394">
        <f t="shared" si="5"/>
        <v>0</v>
      </c>
    </row>
    <row r="179" spans="7:38" ht="24" customHeight="1">
      <c r="G179" s="176"/>
      <c r="AJ179" s="139" t="str">
        <f t="shared" si="4"/>
        <v/>
      </c>
      <c r="AK179" s="401"/>
      <c r="AL179" s="394">
        <f t="shared" si="5"/>
        <v>0</v>
      </c>
    </row>
    <row r="180" spans="7:38" ht="24" customHeight="1">
      <c r="G180" s="176"/>
      <c r="AJ180" s="139" t="str">
        <f t="shared" si="4"/>
        <v/>
      </c>
      <c r="AK180" s="401"/>
      <c r="AL180" s="394">
        <f t="shared" si="5"/>
        <v>0</v>
      </c>
    </row>
    <row r="181" spans="7:38" ht="24" customHeight="1">
      <c r="G181" s="176"/>
      <c r="AJ181" s="139" t="str">
        <f t="shared" si="4"/>
        <v/>
      </c>
      <c r="AK181" s="401"/>
      <c r="AL181" s="394">
        <f t="shared" si="5"/>
        <v>0</v>
      </c>
    </row>
    <row r="182" spans="7:38" ht="24" customHeight="1">
      <c r="G182" s="176"/>
      <c r="AJ182" s="139" t="str">
        <f t="shared" si="4"/>
        <v/>
      </c>
      <c r="AK182" s="401"/>
      <c r="AL182" s="394">
        <f t="shared" si="5"/>
        <v>0</v>
      </c>
    </row>
    <row r="183" spans="7:38" ht="24" customHeight="1">
      <c r="G183" s="176"/>
      <c r="AJ183" s="139" t="str">
        <f t="shared" si="4"/>
        <v/>
      </c>
      <c r="AK183" s="401"/>
      <c r="AL183" s="394">
        <f t="shared" si="5"/>
        <v>0</v>
      </c>
    </row>
    <row r="184" spans="7:38" ht="24" customHeight="1">
      <c r="G184" s="176"/>
      <c r="AJ184" s="139" t="str">
        <f t="shared" si="4"/>
        <v/>
      </c>
      <c r="AK184" s="401"/>
      <c r="AL184" s="394">
        <f t="shared" si="5"/>
        <v>0</v>
      </c>
    </row>
    <row r="185" spans="7:38" ht="24" customHeight="1">
      <c r="G185" s="176"/>
      <c r="AJ185" s="139" t="str">
        <f t="shared" si="4"/>
        <v/>
      </c>
      <c r="AK185" s="401"/>
      <c r="AL185" s="394">
        <f t="shared" si="5"/>
        <v>0</v>
      </c>
    </row>
    <row r="186" spans="7:38" ht="24" customHeight="1">
      <c r="G186" s="176"/>
      <c r="AJ186" s="139" t="str">
        <f t="shared" si="4"/>
        <v/>
      </c>
      <c r="AK186" s="401"/>
      <c r="AL186" s="394">
        <f t="shared" si="5"/>
        <v>0</v>
      </c>
    </row>
    <row r="187" spans="7:38" ht="24" customHeight="1">
      <c r="G187" s="176"/>
      <c r="AJ187" s="139" t="str">
        <f t="shared" si="4"/>
        <v/>
      </c>
      <c r="AK187" s="401"/>
      <c r="AL187" s="394">
        <f t="shared" si="5"/>
        <v>0</v>
      </c>
    </row>
    <row r="188" spans="7:38" ht="24" customHeight="1">
      <c r="G188" s="176"/>
      <c r="AJ188" s="139" t="str">
        <f t="shared" si="4"/>
        <v/>
      </c>
      <c r="AK188" s="401"/>
      <c r="AL188" s="394">
        <f t="shared" si="5"/>
        <v>0</v>
      </c>
    </row>
    <row r="189" spans="7:38" ht="24" customHeight="1">
      <c r="G189" s="176"/>
      <c r="AJ189" s="139" t="str">
        <f t="shared" si="4"/>
        <v/>
      </c>
      <c r="AK189" s="401"/>
      <c r="AL189" s="394">
        <f t="shared" si="5"/>
        <v>0</v>
      </c>
    </row>
    <row r="190" spans="7:38" ht="24" customHeight="1">
      <c r="G190" s="176"/>
      <c r="AJ190" s="139" t="str">
        <f t="shared" si="4"/>
        <v/>
      </c>
      <c r="AK190" s="401"/>
      <c r="AL190" s="394">
        <f t="shared" si="5"/>
        <v>0</v>
      </c>
    </row>
    <row r="191" spans="7:38" ht="24" customHeight="1">
      <c r="G191" s="176"/>
      <c r="AJ191" s="139" t="str">
        <f t="shared" si="4"/>
        <v/>
      </c>
      <c r="AK191" s="401"/>
      <c r="AL191" s="394">
        <f t="shared" si="5"/>
        <v>0</v>
      </c>
    </row>
    <row r="192" spans="7:38" ht="24" customHeight="1">
      <c r="G192" s="176"/>
      <c r="AJ192" s="139" t="str">
        <f t="shared" si="4"/>
        <v/>
      </c>
      <c r="AK192" s="401"/>
      <c r="AL192" s="394">
        <f t="shared" si="5"/>
        <v>0</v>
      </c>
    </row>
    <row r="193" spans="7:38" ht="24" customHeight="1">
      <c r="G193" s="176"/>
      <c r="AJ193" s="139" t="str">
        <f t="shared" si="4"/>
        <v/>
      </c>
      <c r="AK193" s="401"/>
      <c r="AL193" s="394">
        <f t="shared" si="5"/>
        <v>0</v>
      </c>
    </row>
    <row r="194" spans="7:38" ht="24" customHeight="1">
      <c r="G194" s="176"/>
      <c r="AJ194" s="139" t="str">
        <f t="shared" si="4"/>
        <v/>
      </c>
      <c r="AK194" s="401"/>
      <c r="AL194" s="394">
        <f t="shared" si="5"/>
        <v>0</v>
      </c>
    </row>
    <row r="195" spans="7:38" ht="24" customHeight="1">
      <c r="G195" s="176"/>
      <c r="AJ195" s="139" t="str">
        <f t="shared" si="4"/>
        <v/>
      </c>
      <c r="AK195" s="401"/>
      <c r="AL195" s="394">
        <f t="shared" si="5"/>
        <v>0</v>
      </c>
    </row>
    <row r="196" spans="7:38" ht="24" customHeight="1">
      <c r="G196" s="176"/>
      <c r="AJ196" s="139" t="str">
        <f t="shared" si="4"/>
        <v/>
      </c>
      <c r="AK196" s="401"/>
      <c r="AL196" s="394">
        <f t="shared" si="5"/>
        <v>0</v>
      </c>
    </row>
    <row r="197" spans="7:38" ht="24" customHeight="1">
      <c r="G197" s="176"/>
      <c r="AJ197" s="139" t="str">
        <f t="shared" si="4"/>
        <v/>
      </c>
      <c r="AK197" s="401"/>
      <c r="AL197" s="394">
        <f t="shared" si="5"/>
        <v>0</v>
      </c>
    </row>
    <row r="198" spans="7:38" ht="24" customHeight="1">
      <c r="G198" s="176"/>
      <c r="AJ198" s="139" t="str">
        <f t="shared" si="4"/>
        <v/>
      </c>
      <c r="AK198" s="401"/>
      <c r="AL198" s="394">
        <f t="shared" si="5"/>
        <v>0</v>
      </c>
    </row>
    <row r="199" spans="7:38" ht="24" customHeight="1">
      <c r="G199" s="176"/>
      <c r="AJ199" s="139" t="str">
        <f t="shared" si="4"/>
        <v/>
      </c>
      <c r="AK199" s="401"/>
      <c r="AL199" s="394">
        <f t="shared" si="5"/>
        <v>0</v>
      </c>
    </row>
    <row r="200" spans="7:38" ht="24" customHeight="1">
      <c r="G200" s="176"/>
      <c r="AJ200" s="139" t="str">
        <f t="shared" si="4"/>
        <v/>
      </c>
      <c r="AK200" s="401"/>
      <c r="AL200" s="394">
        <f t="shared" si="5"/>
        <v>0</v>
      </c>
    </row>
    <row r="201" spans="7:38" ht="24" customHeight="1">
      <c r="G201" s="176"/>
      <c r="AJ201" s="139" t="str">
        <f t="shared" ref="AJ201:AJ264" si="6">IF(C201="","",C201)</f>
        <v/>
      </c>
      <c r="AK201" s="401"/>
      <c r="AL201" s="394">
        <f t="shared" ref="AL201:AL207" si="7">SUMIFS(AC201:AC10193,AD201:AD10193,"&gt;0",D201:D10193,AK201,AH201:AH10193,6,AI201:AI10193,2026)</f>
        <v>0</v>
      </c>
    </row>
    <row r="202" spans="7:38" ht="24" customHeight="1">
      <c r="G202" s="176"/>
      <c r="AJ202" s="139" t="str">
        <f t="shared" si="6"/>
        <v/>
      </c>
      <c r="AK202" s="401"/>
      <c r="AL202" s="394">
        <f t="shared" si="7"/>
        <v>0</v>
      </c>
    </row>
    <row r="203" spans="7:38" ht="24" customHeight="1">
      <c r="G203" s="176"/>
      <c r="AJ203" s="139" t="str">
        <f t="shared" si="6"/>
        <v/>
      </c>
      <c r="AK203" s="401"/>
      <c r="AL203" s="394">
        <f t="shared" si="7"/>
        <v>0</v>
      </c>
    </row>
    <row r="204" spans="7:38" ht="24" customHeight="1">
      <c r="G204" s="176"/>
      <c r="AJ204" s="139" t="str">
        <f t="shared" si="6"/>
        <v/>
      </c>
      <c r="AK204" s="401"/>
      <c r="AL204" s="394">
        <f t="shared" si="7"/>
        <v>0</v>
      </c>
    </row>
    <row r="205" spans="7:38" ht="24" customHeight="1">
      <c r="G205" s="176"/>
      <c r="AJ205" s="139" t="str">
        <f t="shared" si="6"/>
        <v/>
      </c>
      <c r="AK205" s="401"/>
      <c r="AL205" s="394">
        <f t="shared" si="7"/>
        <v>0</v>
      </c>
    </row>
    <row r="206" spans="7:38" ht="24" customHeight="1">
      <c r="G206" s="176"/>
      <c r="AJ206" s="139" t="str">
        <f t="shared" si="6"/>
        <v/>
      </c>
      <c r="AK206" s="401"/>
      <c r="AL206" s="394">
        <f t="shared" si="7"/>
        <v>0</v>
      </c>
    </row>
    <row r="207" spans="7:38" ht="24" customHeight="1">
      <c r="G207" s="176"/>
      <c r="AJ207" s="139" t="str">
        <f t="shared" si="6"/>
        <v/>
      </c>
      <c r="AK207" s="401"/>
      <c r="AL207" s="394">
        <f t="shared" si="7"/>
        <v>0</v>
      </c>
    </row>
    <row r="208" spans="7:38" ht="24" customHeight="1">
      <c r="G208" s="176"/>
      <c r="AJ208" s="139" t="str">
        <f t="shared" si="6"/>
        <v/>
      </c>
      <c r="AK208" s="401"/>
    </row>
    <row r="209" spans="7:37" ht="24" customHeight="1">
      <c r="G209" s="176"/>
      <c r="AJ209" s="139" t="str">
        <f t="shared" si="6"/>
        <v/>
      </c>
      <c r="AK209" s="401"/>
    </row>
    <row r="210" spans="7:37" ht="24" customHeight="1">
      <c r="G210" s="176"/>
      <c r="AJ210" s="139" t="str">
        <f t="shared" si="6"/>
        <v/>
      </c>
      <c r="AK210" s="401"/>
    </row>
    <row r="211" spans="7:37" ht="24" customHeight="1">
      <c r="G211" s="176"/>
      <c r="AJ211" s="139" t="str">
        <f t="shared" si="6"/>
        <v/>
      </c>
      <c r="AK211" s="401"/>
    </row>
    <row r="212" spans="7:37" ht="24" customHeight="1">
      <c r="G212" s="176"/>
      <c r="AJ212" s="139" t="str">
        <f t="shared" si="6"/>
        <v/>
      </c>
      <c r="AK212" s="401"/>
    </row>
    <row r="213" spans="7:37" ht="24" customHeight="1">
      <c r="G213" s="176"/>
      <c r="AJ213" s="139" t="str">
        <f t="shared" si="6"/>
        <v/>
      </c>
      <c r="AK213" s="401"/>
    </row>
    <row r="214" spans="7:37" ht="24" customHeight="1">
      <c r="G214" s="176"/>
      <c r="AJ214" s="139" t="str">
        <f t="shared" si="6"/>
        <v/>
      </c>
      <c r="AK214" s="401"/>
    </row>
    <row r="215" spans="7:37" ht="24" customHeight="1">
      <c r="G215" s="176"/>
      <c r="AJ215" s="139" t="str">
        <f t="shared" si="6"/>
        <v/>
      </c>
      <c r="AK215" s="401"/>
    </row>
    <row r="216" spans="7:37" ht="24" customHeight="1">
      <c r="G216" s="176"/>
      <c r="AJ216" s="139" t="str">
        <f t="shared" si="6"/>
        <v/>
      </c>
      <c r="AK216" s="401"/>
    </row>
    <row r="217" spans="7:37" ht="24" customHeight="1">
      <c r="G217" s="176"/>
      <c r="AJ217" s="139" t="str">
        <f t="shared" si="6"/>
        <v/>
      </c>
      <c r="AK217" s="401"/>
    </row>
    <row r="218" spans="7:37" ht="24" customHeight="1">
      <c r="G218" s="176"/>
      <c r="AJ218" s="139" t="str">
        <f t="shared" si="6"/>
        <v/>
      </c>
      <c r="AK218" s="401"/>
    </row>
    <row r="219" spans="7:37" ht="24" customHeight="1">
      <c r="G219" s="176"/>
      <c r="AJ219" s="139" t="str">
        <f t="shared" si="6"/>
        <v/>
      </c>
      <c r="AK219" s="401"/>
    </row>
    <row r="220" spans="7:37" ht="24" customHeight="1">
      <c r="G220" s="176"/>
      <c r="AJ220" s="139" t="str">
        <f t="shared" si="6"/>
        <v/>
      </c>
      <c r="AK220" s="401"/>
    </row>
    <row r="221" spans="7:37" ht="24" customHeight="1">
      <c r="G221" s="176"/>
      <c r="AJ221" s="139" t="str">
        <f t="shared" si="6"/>
        <v/>
      </c>
      <c r="AK221" s="401"/>
    </row>
    <row r="222" spans="7:37" ht="24" customHeight="1">
      <c r="G222" s="176"/>
      <c r="AJ222" s="139" t="str">
        <f t="shared" si="6"/>
        <v/>
      </c>
      <c r="AK222" s="401"/>
    </row>
    <row r="223" spans="7:37" ht="24" customHeight="1">
      <c r="G223" s="176"/>
      <c r="AJ223" s="139" t="str">
        <f t="shared" si="6"/>
        <v/>
      </c>
      <c r="AK223" s="401"/>
    </row>
    <row r="224" spans="7:37" ht="18" customHeight="1">
      <c r="G224" s="176"/>
      <c r="AJ224" s="139" t="str">
        <f t="shared" si="6"/>
        <v/>
      </c>
      <c r="AK224" s="401"/>
    </row>
    <row r="225" spans="7:37" ht="24" customHeight="1">
      <c r="G225" s="176"/>
      <c r="H225" s="192"/>
      <c r="I225" s="192"/>
      <c r="J225" s="192"/>
      <c r="K225" s="192"/>
      <c r="L225" s="192"/>
      <c r="M225" s="192"/>
      <c r="AJ225" s="139" t="str">
        <f t="shared" si="6"/>
        <v/>
      </c>
      <c r="AK225" s="401"/>
    </row>
    <row r="226" spans="7:37" ht="24" customHeight="1">
      <c r="G226" s="176"/>
      <c r="AJ226" s="139" t="str">
        <f t="shared" si="6"/>
        <v/>
      </c>
      <c r="AK226" s="401"/>
    </row>
    <row r="227" spans="7:37" ht="24" customHeight="1">
      <c r="G227" s="176"/>
      <c r="AJ227" s="139" t="str">
        <f t="shared" si="6"/>
        <v/>
      </c>
      <c r="AK227" s="401"/>
    </row>
    <row r="228" spans="7:37" ht="24" customHeight="1">
      <c r="G228" s="176"/>
      <c r="AJ228" s="139" t="str">
        <f t="shared" si="6"/>
        <v/>
      </c>
      <c r="AK228" s="401"/>
    </row>
    <row r="229" spans="7:37" ht="24" customHeight="1">
      <c r="G229" s="176"/>
      <c r="AJ229" s="139" t="str">
        <f t="shared" si="6"/>
        <v/>
      </c>
      <c r="AK229" s="401"/>
    </row>
    <row r="230" spans="7:37" ht="24" customHeight="1">
      <c r="G230" s="176"/>
      <c r="AJ230" s="139" t="str">
        <f t="shared" si="6"/>
        <v/>
      </c>
      <c r="AK230" s="401"/>
    </row>
    <row r="231" spans="7:37" ht="24" customHeight="1">
      <c r="G231" s="176"/>
      <c r="AJ231" s="139" t="str">
        <f t="shared" si="6"/>
        <v/>
      </c>
      <c r="AK231" s="401"/>
    </row>
    <row r="232" spans="7:37" ht="24" customHeight="1">
      <c r="G232" s="176"/>
      <c r="AJ232" s="139" t="str">
        <f t="shared" si="6"/>
        <v/>
      </c>
      <c r="AK232" s="401"/>
    </row>
    <row r="233" spans="7:37" ht="24" customHeight="1">
      <c r="G233" s="176"/>
      <c r="AJ233" s="139" t="str">
        <f t="shared" si="6"/>
        <v/>
      </c>
      <c r="AK233" s="401"/>
    </row>
    <row r="234" spans="7:37" ht="24" customHeight="1">
      <c r="G234" s="176"/>
      <c r="AJ234" s="139" t="str">
        <f t="shared" si="6"/>
        <v/>
      </c>
      <c r="AK234" s="401"/>
    </row>
    <row r="235" spans="7:37" ht="24" customHeight="1">
      <c r="G235" s="176"/>
      <c r="AJ235" s="139" t="str">
        <f t="shared" si="6"/>
        <v/>
      </c>
      <c r="AK235" s="401"/>
    </row>
    <row r="236" spans="7:37" ht="24" customHeight="1">
      <c r="G236" s="176"/>
      <c r="AJ236" s="139" t="str">
        <f t="shared" si="6"/>
        <v/>
      </c>
      <c r="AK236" s="401"/>
    </row>
    <row r="237" spans="7:37" ht="24" customHeight="1">
      <c r="G237" s="176"/>
      <c r="AJ237" s="139" t="str">
        <f t="shared" si="6"/>
        <v/>
      </c>
      <c r="AK237" s="401"/>
    </row>
    <row r="238" spans="7:37" ht="24" customHeight="1">
      <c r="G238" s="176"/>
      <c r="AJ238" s="139" t="str">
        <f t="shared" si="6"/>
        <v/>
      </c>
      <c r="AK238" s="401"/>
    </row>
    <row r="239" spans="7:37" ht="24" customHeight="1">
      <c r="G239" s="176"/>
      <c r="AJ239" s="139" t="str">
        <f t="shared" si="6"/>
        <v/>
      </c>
      <c r="AK239" s="401"/>
    </row>
    <row r="240" spans="7:37" ht="24" customHeight="1">
      <c r="G240" s="176"/>
      <c r="AJ240" s="139" t="str">
        <f t="shared" si="6"/>
        <v/>
      </c>
      <c r="AK240" s="401"/>
    </row>
    <row r="241" spans="7:37" ht="24" customHeight="1">
      <c r="G241" s="176"/>
      <c r="AJ241" s="139" t="str">
        <f t="shared" si="6"/>
        <v/>
      </c>
      <c r="AK241" s="401"/>
    </row>
    <row r="242" spans="7:37" ht="24" customHeight="1">
      <c r="G242" s="176"/>
      <c r="AJ242" s="139" t="str">
        <f t="shared" si="6"/>
        <v/>
      </c>
      <c r="AK242" s="401"/>
    </row>
    <row r="243" spans="7:37" ht="24" customHeight="1">
      <c r="G243" s="176"/>
      <c r="AJ243" s="139" t="str">
        <f t="shared" si="6"/>
        <v/>
      </c>
      <c r="AK243" s="401"/>
    </row>
    <row r="244" spans="7:37" ht="24" customHeight="1">
      <c r="G244" s="176"/>
      <c r="AJ244" s="139" t="str">
        <f t="shared" si="6"/>
        <v/>
      </c>
      <c r="AK244" s="401"/>
    </row>
    <row r="245" spans="7:37" ht="24" customHeight="1">
      <c r="G245" s="176"/>
      <c r="AJ245" s="139" t="str">
        <f t="shared" si="6"/>
        <v/>
      </c>
      <c r="AK245" s="401"/>
    </row>
    <row r="246" spans="7:37" ht="24" customHeight="1">
      <c r="G246" s="176"/>
      <c r="AJ246" s="139" t="str">
        <f t="shared" si="6"/>
        <v/>
      </c>
      <c r="AK246" s="401"/>
    </row>
    <row r="247" spans="7:37" ht="24" customHeight="1">
      <c r="G247" s="176"/>
      <c r="AJ247" s="139" t="str">
        <f t="shared" si="6"/>
        <v/>
      </c>
      <c r="AK247" s="401"/>
    </row>
    <row r="248" spans="7:37" ht="24" customHeight="1">
      <c r="G248" s="176"/>
      <c r="AJ248" s="139" t="str">
        <f t="shared" si="6"/>
        <v/>
      </c>
      <c r="AK248" s="401"/>
    </row>
    <row r="249" spans="7:37" ht="24" customHeight="1">
      <c r="G249" s="176"/>
      <c r="AJ249" s="139" t="str">
        <f t="shared" si="6"/>
        <v/>
      </c>
      <c r="AK249" s="401"/>
    </row>
    <row r="250" spans="7:37" ht="24" customHeight="1">
      <c r="G250" s="176"/>
      <c r="AJ250" s="139" t="str">
        <f t="shared" si="6"/>
        <v/>
      </c>
      <c r="AK250" s="401"/>
    </row>
    <row r="251" spans="7:37" ht="24" customHeight="1">
      <c r="G251" s="176"/>
      <c r="AJ251" s="139" t="str">
        <f t="shared" si="6"/>
        <v/>
      </c>
      <c r="AK251" s="401"/>
    </row>
    <row r="252" spans="7:37" ht="24" customHeight="1">
      <c r="G252" s="176"/>
      <c r="AJ252" s="139" t="str">
        <f t="shared" si="6"/>
        <v/>
      </c>
      <c r="AK252" s="401"/>
    </row>
    <row r="253" spans="7:37" ht="24" customHeight="1">
      <c r="G253" s="176"/>
      <c r="AJ253" s="139" t="str">
        <f t="shared" si="6"/>
        <v/>
      </c>
      <c r="AK253" s="401"/>
    </row>
    <row r="254" spans="7:37" ht="24" customHeight="1">
      <c r="G254" s="176"/>
      <c r="AJ254" s="139" t="str">
        <f t="shared" si="6"/>
        <v/>
      </c>
      <c r="AK254" s="401"/>
    </row>
    <row r="255" spans="7:37" ht="24" customHeight="1">
      <c r="G255" s="176"/>
      <c r="AJ255" s="139" t="str">
        <f t="shared" si="6"/>
        <v/>
      </c>
      <c r="AK255" s="401"/>
    </row>
    <row r="256" spans="7:37" ht="24" customHeight="1">
      <c r="G256" s="176"/>
      <c r="AJ256" s="139" t="str">
        <f t="shared" si="6"/>
        <v/>
      </c>
      <c r="AK256" s="401"/>
    </row>
    <row r="257" spans="7:37" ht="24" customHeight="1">
      <c r="G257" s="176"/>
      <c r="AJ257" s="139" t="str">
        <f t="shared" si="6"/>
        <v/>
      </c>
      <c r="AK257" s="401"/>
    </row>
    <row r="258" spans="7:37" ht="24" customHeight="1">
      <c r="G258" s="176"/>
      <c r="AJ258" s="139" t="str">
        <f t="shared" si="6"/>
        <v/>
      </c>
      <c r="AK258" s="401"/>
    </row>
    <row r="259" spans="7:37" ht="24" customHeight="1">
      <c r="G259" s="176"/>
      <c r="AJ259" s="139" t="str">
        <f t="shared" si="6"/>
        <v/>
      </c>
      <c r="AK259" s="401"/>
    </row>
    <row r="260" spans="7:37" ht="24" customHeight="1">
      <c r="G260" s="176"/>
      <c r="AJ260" s="139" t="str">
        <f t="shared" si="6"/>
        <v/>
      </c>
      <c r="AK260" s="401"/>
    </row>
    <row r="261" spans="7:37" ht="24" customHeight="1">
      <c r="G261" s="176"/>
      <c r="AJ261" s="139" t="str">
        <f t="shared" si="6"/>
        <v/>
      </c>
      <c r="AK261" s="401"/>
    </row>
    <row r="262" spans="7:37" ht="24" customHeight="1">
      <c r="G262" s="176"/>
      <c r="AJ262" s="139" t="str">
        <f t="shared" si="6"/>
        <v/>
      </c>
      <c r="AK262" s="401"/>
    </row>
    <row r="263" spans="7:37" ht="24" customHeight="1">
      <c r="G263" s="176"/>
      <c r="AJ263" s="139" t="str">
        <f t="shared" si="6"/>
        <v/>
      </c>
      <c r="AK263" s="401"/>
    </row>
    <row r="264" spans="7:37" ht="24" customHeight="1">
      <c r="G264" s="176"/>
      <c r="AJ264" s="139" t="str">
        <f t="shared" si="6"/>
        <v/>
      </c>
      <c r="AK264" s="401"/>
    </row>
    <row r="265" spans="7:37" ht="24" customHeight="1">
      <c r="G265" s="176"/>
      <c r="AJ265" s="139" t="str">
        <f t="shared" ref="AJ265:AJ328" si="8">IF(C265="","",C265)</f>
        <v/>
      </c>
      <c r="AK265" s="401"/>
    </row>
    <row r="266" spans="7:37" ht="24" customHeight="1">
      <c r="G266" s="176"/>
      <c r="AJ266" s="139" t="str">
        <f t="shared" si="8"/>
        <v/>
      </c>
      <c r="AK266" s="401"/>
    </row>
    <row r="267" spans="7:37" ht="24" customHeight="1">
      <c r="G267" s="176"/>
      <c r="AJ267" s="139" t="str">
        <f t="shared" si="8"/>
        <v/>
      </c>
      <c r="AK267" s="401"/>
    </row>
    <row r="268" spans="7:37" ht="24" customHeight="1">
      <c r="G268" s="176"/>
      <c r="AJ268" s="139" t="str">
        <f t="shared" si="8"/>
        <v/>
      </c>
      <c r="AK268" s="401"/>
    </row>
    <row r="269" spans="7:37" ht="24" customHeight="1">
      <c r="G269" s="176"/>
      <c r="AJ269" s="139" t="str">
        <f t="shared" si="8"/>
        <v/>
      </c>
      <c r="AK269" s="401"/>
    </row>
    <row r="270" spans="7:37" ht="24" customHeight="1">
      <c r="G270" s="176"/>
      <c r="AJ270" s="139" t="str">
        <f t="shared" si="8"/>
        <v/>
      </c>
      <c r="AK270" s="401"/>
    </row>
    <row r="271" spans="7:37" ht="24" customHeight="1">
      <c r="G271" s="176"/>
      <c r="AJ271" s="139" t="str">
        <f t="shared" si="8"/>
        <v/>
      </c>
      <c r="AK271" s="401"/>
    </row>
    <row r="272" spans="7:37" ht="24" customHeight="1">
      <c r="G272" s="176"/>
      <c r="AJ272" s="139" t="str">
        <f t="shared" si="8"/>
        <v/>
      </c>
      <c r="AK272" s="401"/>
    </row>
    <row r="273" spans="7:37" ht="24" customHeight="1">
      <c r="G273" s="176"/>
      <c r="AJ273" s="139" t="str">
        <f t="shared" si="8"/>
        <v/>
      </c>
      <c r="AK273" s="401"/>
    </row>
    <row r="274" spans="7:37" ht="24" customHeight="1">
      <c r="G274" s="176"/>
      <c r="AJ274" s="139" t="str">
        <f t="shared" si="8"/>
        <v/>
      </c>
      <c r="AK274" s="401"/>
    </row>
    <row r="275" spans="7:37" ht="24" customHeight="1">
      <c r="G275" s="176"/>
      <c r="AJ275" s="139" t="str">
        <f t="shared" si="8"/>
        <v/>
      </c>
      <c r="AK275" s="401"/>
    </row>
    <row r="276" spans="7:37" ht="24" customHeight="1">
      <c r="G276" s="176"/>
      <c r="AJ276" s="139" t="str">
        <f t="shared" si="8"/>
        <v/>
      </c>
      <c r="AK276" s="401"/>
    </row>
    <row r="277" spans="7:37" ht="24" customHeight="1">
      <c r="G277" s="176"/>
      <c r="AJ277" s="139" t="str">
        <f t="shared" si="8"/>
        <v/>
      </c>
      <c r="AK277" s="401"/>
    </row>
    <row r="278" spans="7:37" ht="24" customHeight="1">
      <c r="G278" s="176"/>
      <c r="AJ278" s="139" t="str">
        <f t="shared" si="8"/>
        <v/>
      </c>
      <c r="AK278" s="401"/>
    </row>
    <row r="279" spans="7:37" ht="24" customHeight="1">
      <c r="G279" s="176"/>
      <c r="AJ279" s="139" t="str">
        <f t="shared" si="8"/>
        <v/>
      </c>
      <c r="AK279" s="401"/>
    </row>
    <row r="280" spans="7:37" ht="24" customHeight="1">
      <c r="G280" s="176"/>
      <c r="AJ280" s="139" t="str">
        <f t="shared" si="8"/>
        <v/>
      </c>
      <c r="AK280" s="401"/>
    </row>
    <row r="281" spans="7:37" ht="24" customHeight="1">
      <c r="G281" s="176"/>
      <c r="AJ281" s="139" t="str">
        <f t="shared" si="8"/>
        <v/>
      </c>
      <c r="AK281" s="401"/>
    </row>
    <row r="282" spans="7:37" ht="24" customHeight="1">
      <c r="G282" s="176"/>
      <c r="AJ282" s="139" t="str">
        <f t="shared" si="8"/>
        <v/>
      </c>
      <c r="AK282" s="401"/>
    </row>
    <row r="283" spans="7:37" ht="24" customHeight="1">
      <c r="G283" s="176"/>
      <c r="AJ283" s="139" t="str">
        <f t="shared" si="8"/>
        <v/>
      </c>
      <c r="AK283" s="401"/>
    </row>
    <row r="284" spans="7:37" ht="24" customHeight="1">
      <c r="G284" s="176"/>
      <c r="AJ284" s="139" t="str">
        <f t="shared" si="8"/>
        <v/>
      </c>
      <c r="AK284" s="401"/>
    </row>
    <row r="285" spans="7:37" ht="24" customHeight="1">
      <c r="G285" s="176"/>
      <c r="AJ285" s="139" t="str">
        <f t="shared" si="8"/>
        <v/>
      </c>
      <c r="AK285" s="401"/>
    </row>
    <row r="286" spans="7:37" ht="24" customHeight="1">
      <c r="G286" s="176"/>
      <c r="AJ286" s="139" t="str">
        <f t="shared" si="8"/>
        <v/>
      </c>
      <c r="AK286" s="401"/>
    </row>
    <row r="287" spans="7:37" ht="24" customHeight="1">
      <c r="G287" s="176"/>
      <c r="AJ287" s="139" t="str">
        <f t="shared" si="8"/>
        <v/>
      </c>
      <c r="AK287" s="401"/>
    </row>
    <row r="288" spans="7:37" ht="24" customHeight="1">
      <c r="G288" s="176"/>
      <c r="AJ288" s="139" t="str">
        <f t="shared" si="8"/>
        <v/>
      </c>
      <c r="AK288" s="401"/>
    </row>
    <row r="289" spans="7:37" ht="24" customHeight="1">
      <c r="G289" s="176"/>
      <c r="AJ289" s="139" t="str">
        <f t="shared" si="8"/>
        <v/>
      </c>
      <c r="AK289" s="401"/>
    </row>
    <row r="290" spans="7:37" ht="24" customHeight="1">
      <c r="G290" s="176"/>
      <c r="AJ290" s="139" t="str">
        <f t="shared" si="8"/>
        <v/>
      </c>
      <c r="AK290" s="401"/>
    </row>
    <row r="291" spans="7:37" ht="24" customHeight="1">
      <c r="G291" s="176"/>
      <c r="AJ291" s="139" t="str">
        <f t="shared" si="8"/>
        <v/>
      </c>
      <c r="AK291" s="401"/>
    </row>
    <row r="292" spans="7:37" ht="24" customHeight="1">
      <c r="G292" s="176"/>
      <c r="AJ292" s="139" t="str">
        <f t="shared" si="8"/>
        <v/>
      </c>
      <c r="AK292" s="401"/>
    </row>
    <row r="293" spans="7:37" ht="24" customHeight="1">
      <c r="G293" s="176"/>
      <c r="AJ293" s="139" t="str">
        <f t="shared" si="8"/>
        <v/>
      </c>
      <c r="AK293" s="401"/>
    </row>
    <row r="294" spans="7:37" ht="24" customHeight="1">
      <c r="G294" s="176"/>
      <c r="AJ294" s="139" t="str">
        <f t="shared" si="8"/>
        <v/>
      </c>
      <c r="AK294" s="401"/>
    </row>
    <row r="295" spans="7:37" ht="24" customHeight="1">
      <c r="G295" s="176"/>
      <c r="AJ295" s="139" t="str">
        <f t="shared" si="8"/>
        <v/>
      </c>
      <c r="AK295" s="401"/>
    </row>
    <row r="296" spans="7:37" ht="24" customHeight="1">
      <c r="G296" s="176"/>
      <c r="AJ296" s="139" t="str">
        <f t="shared" si="8"/>
        <v/>
      </c>
      <c r="AK296" s="401"/>
    </row>
    <row r="297" spans="7:37" ht="24" customHeight="1">
      <c r="G297" s="176"/>
      <c r="AJ297" s="139" t="str">
        <f t="shared" si="8"/>
        <v/>
      </c>
      <c r="AK297" s="401"/>
    </row>
    <row r="298" spans="7:37" ht="24" customHeight="1">
      <c r="G298" s="176"/>
      <c r="AJ298" s="139" t="str">
        <f t="shared" si="8"/>
        <v/>
      </c>
      <c r="AK298" s="401"/>
    </row>
    <row r="299" spans="7:37" ht="24" customHeight="1">
      <c r="G299" s="176"/>
      <c r="AJ299" s="139" t="str">
        <f t="shared" si="8"/>
        <v/>
      </c>
      <c r="AK299" s="401"/>
    </row>
    <row r="300" spans="7:37" ht="24" customHeight="1">
      <c r="G300" s="176"/>
      <c r="AJ300" s="139" t="str">
        <f t="shared" si="8"/>
        <v/>
      </c>
      <c r="AK300" s="401"/>
    </row>
    <row r="301" spans="7:37" ht="24" customHeight="1">
      <c r="G301" s="176"/>
      <c r="AJ301" s="139" t="str">
        <f t="shared" si="8"/>
        <v/>
      </c>
      <c r="AK301" s="401"/>
    </row>
    <row r="302" spans="7:37" ht="24" customHeight="1">
      <c r="G302" s="176"/>
      <c r="AJ302" s="139" t="str">
        <f t="shared" si="8"/>
        <v/>
      </c>
      <c r="AK302" s="401"/>
    </row>
    <row r="303" spans="7:37" ht="24" customHeight="1">
      <c r="G303" s="176"/>
      <c r="AJ303" s="139" t="str">
        <f t="shared" si="8"/>
        <v/>
      </c>
      <c r="AK303" s="401"/>
    </row>
    <row r="304" spans="7:37" ht="24" customHeight="1">
      <c r="G304" s="176"/>
      <c r="AJ304" s="139" t="str">
        <f t="shared" si="8"/>
        <v/>
      </c>
      <c r="AK304" s="401"/>
    </row>
    <row r="305" spans="7:37" ht="24" customHeight="1">
      <c r="G305" s="176"/>
      <c r="AJ305" s="139" t="str">
        <f t="shared" si="8"/>
        <v/>
      </c>
      <c r="AK305" s="401"/>
    </row>
    <row r="306" spans="7:37" ht="24" customHeight="1">
      <c r="G306" s="176"/>
      <c r="AJ306" s="139" t="str">
        <f t="shared" si="8"/>
        <v/>
      </c>
      <c r="AK306" s="401"/>
    </row>
    <row r="307" spans="7:37" ht="24" customHeight="1">
      <c r="G307" s="176"/>
      <c r="AJ307" s="139" t="str">
        <f t="shared" si="8"/>
        <v/>
      </c>
      <c r="AK307" s="401"/>
    </row>
    <row r="308" spans="7:37" ht="24" customHeight="1">
      <c r="G308" s="176"/>
      <c r="AJ308" s="139" t="str">
        <f t="shared" si="8"/>
        <v/>
      </c>
      <c r="AK308" s="401"/>
    </row>
    <row r="309" spans="7:37" ht="24" customHeight="1">
      <c r="G309" s="176"/>
      <c r="AJ309" s="139" t="str">
        <f t="shared" si="8"/>
        <v/>
      </c>
      <c r="AK309" s="401"/>
    </row>
    <row r="310" spans="7:37" ht="24" customHeight="1">
      <c r="G310" s="176"/>
      <c r="AJ310" s="139" t="str">
        <f t="shared" si="8"/>
        <v/>
      </c>
      <c r="AK310" s="401"/>
    </row>
    <row r="311" spans="7:37" ht="24" customHeight="1">
      <c r="G311" s="176"/>
      <c r="AJ311" s="139" t="str">
        <f t="shared" si="8"/>
        <v/>
      </c>
      <c r="AK311" s="401"/>
    </row>
    <row r="312" spans="7:37" ht="24" customHeight="1">
      <c r="G312" s="176"/>
      <c r="AJ312" s="139" t="str">
        <f t="shared" si="8"/>
        <v/>
      </c>
      <c r="AK312" s="401"/>
    </row>
    <row r="313" spans="7:37" ht="24" customHeight="1">
      <c r="G313" s="176"/>
      <c r="AJ313" s="139" t="str">
        <f t="shared" si="8"/>
        <v/>
      </c>
      <c r="AK313" s="401"/>
    </row>
    <row r="314" spans="7:37" ht="24" customHeight="1">
      <c r="G314" s="176"/>
      <c r="AJ314" s="139" t="str">
        <f t="shared" si="8"/>
        <v/>
      </c>
      <c r="AK314" s="401"/>
    </row>
    <row r="315" spans="7:37" ht="24" customHeight="1">
      <c r="G315" s="176"/>
      <c r="AJ315" s="139" t="str">
        <f t="shared" si="8"/>
        <v/>
      </c>
      <c r="AK315" s="401"/>
    </row>
    <row r="316" spans="7:37" ht="24" customHeight="1">
      <c r="G316" s="176"/>
      <c r="AJ316" s="139" t="str">
        <f t="shared" si="8"/>
        <v/>
      </c>
      <c r="AK316" s="401"/>
    </row>
    <row r="317" spans="7:37" ht="24" customHeight="1">
      <c r="G317" s="176"/>
      <c r="AJ317" s="139" t="str">
        <f t="shared" si="8"/>
        <v/>
      </c>
      <c r="AK317" s="401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139" t="str">
        <f t="shared" si="8"/>
        <v/>
      </c>
      <c r="AK318" s="401"/>
    </row>
    <row r="319" spans="7:37" ht="24" customHeight="1">
      <c r="G319" s="176"/>
      <c r="AJ319" s="139" t="str">
        <f t="shared" si="8"/>
        <v/>
      </c>
      <c r="AK319" s="401"/>
    </row>
    <row r="320" spans="7:37" ht="24" customHeight="1">
      <c r="G320" s="176"/>
      <c r="AJ320" s="139" t="str">
        <f t="shared" si="8"/>
        <v/>
      </c>
      <c r="AK320" s="401"/>
    </row>
    <row r="321" spans="7:37" ht="24" customHeight="1">
      <c r="G321" s="176"/>
      <c r="AJ321" s="139" t="str">
        <f t="shared" si="8"/>
        <v/>
      </c>
      <c r="AK321" s="401"/>
    </row>
    <row r="322" spans="7:37" ht="24" customHeight="1">
      <c r="G322" s="176"/>
      <c r="AJ322" s="139" t="str">
        <f t="shared" si="8"/>
        <v/>
      </c>
      <c r="AK322" s="401"/>
    </row>
    <row r="323" spans="7:37" ht="24" customHeight="1">
      <c r="G323" s="176"/>
      <c r="AJ323" s="139" t="str">
        <f t="shared" si="8"/>
        <v/>
      </c>
      <c r="AK323" s="401"/>
    </row>
    <row r="324" spans="7:37" ht="24" customHeight="1">
      <c r="G324" s="176"/>
      <c r="AJ324" s="139" t="str">
        <f t="shared" si="8"/>
        <v/>
      </c>
      <c r="AK324" s="401"/>
    </row>
    <row r="325" spans="7:37" ht="24" customHeight="1">
      <c r="G325" s="176"/>
      <c r="AJ325" s="139" t="str">
        <f t="shared" si="8"/>
        <v/>
      </c>
      <c r="AK325" s="401"/>
    </row>
    <row r="326" spans="7:37" ht="24" customHeight="1">
      <c r="G326" s="176"/>
      <c r="AJ326" s="139" t="str">
        <f t="shared" si="8"/>
        <v/>
      </c>
      <c r="AK326" s="401"/>
    </row>
    <row r="327" spans="7:37" ht="24" customHeight="1">
      <c r="G327" s="176"/>
      <c r="AJ327" s="139" t="str">
        <f t="shared" si="8"/>
        <v/>
      </c>
    </row>
    <row r="328" spans="7:37" ht="24" customHeight="1">
      <c r="G328" s="176"/>
      <c r="AJ328" s="139" t="str">
        <f t="shared" si="8"/>
        <v/>
      </c>
      <c r="AK328" s="401"/>
    </row>
    <row r="329" spans="7:37" ht="24" customHeight="1">
      <c r="G329" s="176"/>
      <c r="AJ329" s="139" t="str">
        <f t="shared" ref="AJ329:AJ392" si="9">IF(C329="","",C329)</f>
        <v/>
      </c>
      <c r="AK329" s="401"/>
    </row>
    <row r="330" spans="7:37" ht="24" customHeight="1">
      <c r="G330" s="176"/>
      <c r="AJ330" s="139" t="str">
        <f t="shared" si="9"/>
        <v/>
      </c>
      <c r="AK330" s="401"/>
    </row>
    <row r="331" spans="7:37" ht="24" customHeight="1">
      <c r="G331" s="176"/>
      <c r="AJ331" s="139" t="str">
        <f t="shared" si="9"/>
        <v/>
      </c>
      <c r="AK331" s="401"/>
    </row>
    <row r="332" spans="7:37" ht="24" customHeight="1">
      <c r="G332" s="176"/>
      <c r="AJ332" s="139" t="str">
        <f t="shared" si="9"/>
        <v/>
      </c>
      <c r="AK332" s="401"/>
    </row>
    <row r="333" spans="7:37" ht="24" customHeight="1">
      <c r="G333" s="176"/>
      <c r="AJ333" s="139" t="str">
        <f t="shared" si="9"/>
        <v/>
      </c>
      <c r="AK333" s="401"/>
    </row>
    <row r="334" spans="7:37" ht="24" customHeight="1">
      <c r="G334" s="176"/>
      <c r="AJ334" s="139" t="str">
        <f t="shared" si="9"/>
        <v/>
      </c>
      <c r="AK334" s="401"/>
    </row>
    <row r="335" spans="7:37" ht="24" customHeight="1">
      <c r="G335" s="176"/>
      <c r="AJ335" s="139" t="str">
        <f t="shared" si="9"/>
        <v/>
      </c>
      <c r="AK335" s="401"/>
    </row>
    <row r="336" spans="7:37" ht="24" customHeight="1">
      <c r="G336" s="176"/>
      <c r="AJ336" s="139" t="str">
        <f t="shared" si="9"/>
        <v/>
      </c>
      <c r="AK336" s="401"/>
    </row>
    <row r="337" spans="7:37" ht="24" customHeight="1">
      <c r="G337" s="176"/>
      <c r="AJ337" s="139" t="str">
        <f t="shared" si="9"/>
        <v/>
      </c>
      <c r="AK337" s="401"/>
    </row>
    <row r="338" spans="7:37" ht="24" customHeight="1">
      <c r="G338" s="176"/>
      <c r="AJ338" s="139" t="str">
        <f t="shared" si="9"/>
        <v/>
      </c>
      <c r="AK338" s="401"/>
    </row>
    <row r="339" spans="7:37" ht="24" customHeight="1">
      <c r="G339" s="176"/>
      <c r="AJ339" s="139" t="str">
        <f t="shared" si="9"/>
        <v/>
      </c>
      <c r="AK339" s="401"/>
    </row>
    <row r="340" spans="7:37" ht="24" customHeight="1">
      <c r="G340" s="176"/>
      <c r="AJ340" s="139" t="str">
        <f t="shared" si="9"/>
        <v/>
      </c>
      <c r="AK340" s="401"/>
    </row>
    <row r="341" spans="7:37" ht="24" customHeight="1">
      <c r="G341" s="176"/>
      <c r="AJ341" s="139" t="str">
        <f t="shared" si="9"/>
        <v/>
      </c>
      <c r="AK341" s="401"/>
    </row>
    <row r="342" spans="7:37" ht="24" customHeight="1">
      <c r="G342" s="176"/>
      <c r="AJ342" s="139" t="str">
        <f t="shared" si="9"/>
        <v/>
      </c>
    </row>
    <row r="343" spans="7:37" ht="24" customHeight="1">
      <c r="G343" s="176"/>
      <c r="AJ343" s="139" t="str">
        <f t="shared" si="9"/>
        <v/>
      </c>
    </row>
    <row r="344" spans="7:37" ht="24" customHeight="1">
      <c r="G344" s="176"/>
      <c r="AJ344" s="139" t="str">
        <f t="shared" si="9"/>
        <v/>
      </c>
    </row>
    <row r="345" spans="7:37" ht="24" customHeight="1">
      <c r="G345" s="176"/>
      <c r="AJ345" s="139" t="str">
        <f t="shared" si="9"/>
        <v/>
      </c>
    </row>
    <row r="346" spans="7:37" ht="24" customHeight="1">
      <c r="G346" s="176"/>
      <c r="AJ346" s="139" t="str">
        <f t="shared" si="9"/>
        <v/>
      </c>
    </row>
    <row r="347" spans="7:37" ht="24" customHeight="1">
      <c r="G347" s="176"/>
      <c r="AJ347" s="139" t="str">
        <f t="shared" si="9"/>
        <v/>
      </c>
    </row>
    <row r="348" spans="7:37" ht="24" customHeight="1">
      <c r="G348" s="176"/>
      <c r="AJ348" s="139" t="str">
        <f t="shared" si="9"/>
        <v/>
      </c>
    </row>
    <row r="349" spans="7:37" ht="24" customHeight="1">
      <c r="G349" s="176"/>
      <c r="AJ349" s="139" t="str">
        <f t="shared" si="9"/>
        <v/>
      </c>
    </row>
    <row r="350" spans="7:37" ht="24" customHeight="1">
      <c r="G350" s="176"/>
      <c r="AJ350" s="139" t="str">
        <f t="shared" si="9"/>
        <v/>
      </c>
    </row>
    <row r="351" spans="7:37" ht="24" customHeight="1">
      <c r="G351" s="176"/>
      <c r="AJ351" s="139" t="str">
        <f t="shared" si="9"/>
        <v/>
      </c>
    </row>
    <row r="352" spans="7:37" ht="24" customHeight="1">
      <c r="G352" s="176"/>
      <c r="AJ352" s="139" t="str">
        <f t="shared" si="9"/>
        <v/>
      </c>
    </row>
    <row r="353" spans="7:36" ht="24" customHeight="1">
      <c r="G353" s="176"/>
      <c r="AJ353" s="139" t="str">
        <f t="shared" si="9"/>
        <v/>
      </c>
    </row>
    <row r="354" spans="7:36" ht="24" customHeight="1">
      <c r="G354" s="176"/>
      <c r="AJ354" s="139" t="str">
        <f t="shared" si="9"/>
        <v/>
      </c>
    </row>
    <row r="355" spans="7:36" ht="24" customHeight="1">
      <c r="G355" s="176"/>
      <c r="AJ355" s="139" t="str">
        <f t="shared" si="9"/>
        <v/>
      </c>
    </row>
    <row r="356" spans="7:36" ht="24" customHeight="1">
      <c r="G356" s="176"/>
      <c r="AJ356" s="139" t="str">
        <f t="shared" si="9"/>
        <v/>
      </c>
    </row>
    <row r="357" spans="7:36" ht="24" customHeight="1">
      <c r="G357" s="176"/>
      <c r="AJ357" s="139" t="str">
        <f t="shared" si="9"/>
        <v/>
      </c>
    </row>
    <row r="358" spans="7:36" ht="24" customHeight="1">
      <c r="G358" s="176"/>
      <c r="AJ358" s="139" t="str">
        <f t="shared" si="9"/>
        <v/>
      </c>
    </row>
    <row r="359" spans="7:36" ht="24" customHeight="1">
      <c r="G359" s="176"/>
      <c r="AJ359" s="139" t="str">
        <f t="shared" si="9"/>
        <v/>
      </c>
    </row>
    <row r="360" spans="7:36" ht="24" customHeight="1">
      <c r="G360" s="176"/>
      <c r="AJ360" s="139" t="str">
        <f t="shared" si="9"/>
        <v/>
      </c>
    </row>
    <row r="361" spans="7:36" ht="24" customHeight="1">
      <c r="G361" s="176"/>
      <c r="AJ361" s="139" t="str">
        <f t="shared" si="9"/>
        <v/>
      </c>
    </row>
    <row r="362" spans="7:36" ht="24" customHeight="1">
      <c r="G362" s="176"/>
      <c r="AJ362" s="139" t="str">
        <f t="shared" si="9"/>
        <v/>
      </c>
    </row>
    <row r="363" spans="7:36" ht="24" customHeight="1">
      <c r="G363" s="176"/>
      <c r="AJ363" s="139" t="str">
        <f t="shared" si="9"/>
        <v/>
      </c>
    </row>
    <row r="364" spans="7:36" ht="24" customHeight="1">
      <c r="G364" s="176"/>
      <c r="AJ364" s="139" t="str">
        <f t="shared" si="9"/>
        <v/>
      </c>
    </row>
    <row r="365" spans="7:36" ht="24" customHeight="1">
      <c r="G365" s="176"/>
      <c r="AJ365" s="139" t="str">
        <f t="shared" si="9"/>
        <v/>
      </c>
    </row>
    <row r="366" spans="7:36" ht="24" customHeight="1">
      <c r="G366" s="176"/>
      <c r="AJ366" s="139" t="str">
        <f t="shared" si="9"/>
        <v/>
      </c>
    </row>
    <row r="367" spans="7:36" ht="24" customHeight="1">
      <c r="G367" s="176"/>
      <c r="AJ367" s="139" t="str">
        <f t="shared" si="9"/>
        <v/>
      </c>
    </row>
    <row r="368" spans="7:36" ht="24" customHeight="1">
      <c r="G368" s="176"/>
      <c r="AJ368" s="139" t="str">
        <f t="shared" si="9"/>
        <v/>
      </c>
    </row>
    <row r="369" spans="7:36" ht="24" customHeight="1">
      <c r="G369" s="176"/>
      <c r="AJ369" s="139" t="str">
        <f t="shared" si="9"/>
        <v/>
      </c>
    </row>
    <row r="370" spans="7:36" ht="24" customHeight="1">
      <c r="G370" s="176"/>
      <c r="AJ370" s="139" t="str">
        <f t="shared" si="9"/>
        <v/>
      </c>
    </row>
    <row r="371" spans="7:36" ht="24" customHeight="1">
      <c r="G371" s="176"/>
      <c r="AJ371" s="139" t="str">
        <f t="shared" si="9"/>
        <v/>
      </c>
    </row>
    <row r="372" spans="7:36" ht="24" customHeight="1">
      <c r="G372" s="176"/>
      <c r="AJ372" s="139" t="str">
        <f t="shared" si="9"/>
        <v/>
      </c>
    </row>
    <row r="373" spans="7:36" ht="24" customHeight="1">
      <c r="G373" s="176"/>
      <c r="AJ373" s="139" t="str">
        <f t="shared" si="9"/>
        <v/>
      </c>
    </row>
    <row r="374" spans="7:36" ht="24" customHeight="1">
      <c r="G374" s="176"/>
      <c r="AJ374" s="139" t="str">
        <f t="shared" si="9"/>
        <v/>
      </c>
    </row>
    <row r="375" spans="7:36" ht="24" customHeight="1">
      <c r="G375" s="176"/>
      <c r="AJ375" s="139" t="str">
        <f t="shared" si="9"/>
        <v/>
      </c>
    </row>
    <row r="376" spans="7:36" ht="24" customHeight="1">
      <c r="G376" s="176"/>
      <c r="AJ376" s="139" t="str">
        <f t="shared" si="9"/>
        <v/>
      </c>
    </row>
    <row r="377" spans="7:36" ht="24" customHeight="1">
      <c r="G377" s="176"/>
      <c r="AJ377" s="139" t="str">
        <f t="shared" si="9"/>
        <v/>
      </c>
    </row>
    <row r="378" spans="7:36" ht="24" customHeight="1">
      <c r="G378" s="176"/>
      <c r="AJ378" s="139" t="str">
        <f t="shared" si="9"/>
        <v/>
      </c>
    </row>
    <row r="379" spans="7:36" ht="24" customHeight="1">
      <c r="G379" s="176"/>
      <c r="AJ379" s="139" t="str">
        <f t="shared" si="9"/>
        <v/>
      </c>
    </row>
    <row r="380" spans="7:36" ht="24" customHeight="1">
      <c r="G380" s="176"/>
      <c r="AJ380" s="139" t="str">
        <f t="shared" si="9"/>
        <v/>
      </c>
    </row>
    <row r="381" spans="7:36" ht="24" customHeight="1">
      <c r="G381" s="176"/>
      <c r="AJ381" s="139" t="str">
        <f t="shared" si="9"/>
        <v/>
      </c>
    </row>
    <row r="382" spans="7:36" ht="24" customHeight="1">
      <c r="G382" s="176"/>
      <c r="AJ382" s="139" t="str">
        <f t="shared" si="9"/>
        <v/>
      </c>
    </row>
    <row r="383" spans="7:36" ht="24" customHeight="1">
      <c r="G383" s="176"/>
      <c r="AJ383" s="139" t="str">
        <f t="shared" si="9"/>
        <v/>
      </c>
    </row>
    <row r="384" spans="7:36" ht="24" customHeight="1">
      <c r="G384" s="176"/>
      <c r="AJ384" s="139" t="str">
        <f t="shared" si="9"/>
        <v/>
      </c>
    </row>
    <row r="385" spans="7:36" ht="24" customHeight="1">
      <c r="G385" s="176"/>
      <c r="AJ385" s="139" t="str">
        <f t="shared" si="9"/>
        <v/>
      </c>
    </row>
    <row r="386" spans="7:36" ht="24" customHeight="1">
      <c r="G386" s="176"/>
      <c r="AJ386" s="139" t="str">
        <f t="shared" si="9"/>
        <v/>
      </c>
    </row>
    <row r="387" spans="7:36" ht="24" customHeight="1">
      <c r="G387" s="176"/>
      <c r="AJ387" s="139" t="str">
        <f t="shared" si="9"/>
        <v/>
      </c>
    </row>
    <row r="388" spans="7:36" ht="24" customHeight="1">
      <c r="G388" s="176"/>
      <c r="AJ388" s="139" t="str">
        <f t="shared" si="9"/>
        <v/>
      </c>
    </row>
    <row r="389" spans="7:36" ht="24" customHeight="1">
      <c r="G389" s="176"/>
      <c r="AJ389" s="139" t="str">
        <f t="shared" si="9"/>
        <v/>
      </c>
    </row>
    <row r="390" spans="7:36" ht="24" customHeight="1">
      <c r="G390" s="176"/>
      <c r="AJ390" s="139" t="str">
        <f t="shared" si="9"/>
        <v/>
      </c>
    </row>
    <row r="391" spans="7:36" ht="24" customHeight="1">
      <c r="G391" s="176"/>
      <c r="AJ391" s="139" t="str">
        <f t="shared" si="9"/>
        <v/>
      </c>
    </row>
    <row r="392" spans="7:36" ht="24" customHeight="1">
      <c r="G392" s="176"/>
      <c r="AJ392" s="139" t="str">
        <f t="shared" si="9"/>
        <v/>
      </c>
    </row>
    <row r="393" spans="7:36" ht="24" customHeight="1">
      <c r="G393" s="176"/>
      <c r="AJ393" s="139" t="str">
        <f t="shared" ref="AJ393:AJ456" si="10">IF(C393="","",C393)</f>
        <v/>
      </c>
    </row>
    <row r="394" spans="7:36" ht="24" customHeight="1">
      <c r="G394" s="176"/>
      <c r="AJ394" s="139" t="str">
        <f t="shared" si="10"/>
        <v/>
      </c>
    </row>
    <row r="395" spans="7:36" ht="24" customHeight="1">
      <c r="G395" s="176"/>
      <c r="AJ395" s="139" t="str">
        <f t="shared" si="10"/>
        <v/>
      </c>
    </row>
    <row r="396" spans="7:36" ht="24" customHeight="1">
      <c r="G396" s="176"/>
      <c r="AJ396" s="139" t="str">
        <f t="shared" si="10"/>
        <v/>
      </c>
    </row>
    <row r="397" spans="7:36" ht="24" customHeight="1">
      <c r="G397" s="176"/>
      <c r="AJ397" s="139" t="str">
        <f t="shared" si="10"/>
        <v/>
      </c>
    </row>
    <row r="398" spans="7:36" ht="24" customHeight="1">
      <c r="G398" s="176"/>
      <c r="AJ398" s="139" t="str">
        <f t="shared" si="10"/>
        <v/>
      </c>
    </row>
    <row r="399" spans="7:36" ht="24" customHeight="1">
      <c r="G399" s="176"/>
      <c r="AJ399" s="139" t="str">
        <f t="shared" si="10"/>
        <v/>
      </c>
    </row>
    <row r="400" spans="7:36" ht="24" customHeight="1">
      <c r="G400" s="176"/>
      <c r="AJ400" s="139" t="str">
        <f t="shared" si="10"/>
        <v/>
      </c>
    </row>
    <row r="401" spans="7:36" ht="24" customHeight="1">
      <c r="G401" s="176"/>
      <c r="AJ401" s="139" t="str">
        <f t="shared" si="10"/>
        <v/>
      </c>
    </row>
    <row r="402" spans="7:36" ht="24" customHeight="1">
      <c r="G402" s="176"/>
      <c r="AJ402" s="139" t="str">
        <f t="shared" si="10"/>
        <v/>
      </c>
    </row>
    <row r="403" spans="7:36" ht="24" customHeight="1">
      <c r="G403" s="176"/>
      <c r="AJ403" s="139" t="str">
        <f t="shared" si="10"/>
        <v/>
      </c>
    </row>
    <row r="404" spans="7:36" ht="24" customHeight="1">
      <c r="G404" s="176"/>
      <c r="AJ404" s="139" t="str">
        <f t="shared" si="10"/>
        <v/>
      </c>
    </row>
    <row r="405" spans="7:36" ht="24" customHeight="1">
      <c r="G405" s="176"/>
      <c r="AJ405" s="139" t="str">
        <f t="shared" si="10"/>
        <v/>
      </c>
    </row>
    <row r="406" spans="7:36" ht="24" customHeight="1">
      <c r="G406" s="176"/>
      <c r="AJ406" s="139" t="str">
        <f t="shared" si="10"/>
        <v/>
      </c>
    </row>
    <row r="407" spans="7:36" ht="24" customHeight="1">
      <c r="G407" s="176"/>
      <c r="AJ407" s="139" t="str">
        <f t="shared" si="10"/>
        <v/>
      </c>
    </row>
    <row r="408" spans="7:36" ht="24" customHeight="1">
      <c r="G408" s="176"/>
      <c r="AJ408" s="139" t="str">
        <f t="shared" si="10"/>
        <v/>
      </c>
    </row>
    <row r="409" spans="7:36" ht="24" customHeight="1">
      <c r="G409" s="176"/>
      <c r="AJ409" s="139" t="str">
        <f t="shared" si="10"/>
        <v/>
      </c>
    </row>
    <row r="410" spans="7:36" ht="24" customHeight="1">
      <c r="G410" s="176"/>
      <c r="AJ410" s="139" t="str">
        <f t="shared" si="10"/>
        <v/>
      </c>
    </row>
    <row r="411" spans="7:36" ht="24" customHeight="1">
      <c r="G411" s="176"/>
      <c r="AJ411" s="139" t="str">
        <f t="shared" si="10"/>
        <v/>
      </c>
    </row>
    <row r="412" spans="7:36" ht="24" customHeight="1">
      <c r="G412" s="176"/>
      <c r="AJ412" s="139" t="str">
        <f t="shared" si="10"/>
        <v/>
      </c>
    </row>
    <row r="413" spans="7:36" ht="24" customHeight="1">
      <c r="G413" s="176"/>
      <c r="AJ413" s="139" t="str">
        <f t="shared" si="10"/>
        <v/>
      </c>
    </row>
    <row r="414" spans="7:36" ht="24" customHeight="1">
      <c r="G414" s="176"/>
      <c r="AJ414" s="139" t="str">
        <f t="shared" si="10"/>
        <v/>
      </c>
    </row>
    <row r="415" spans="7:36" ht="24" customHeight="1">
      <c r="G415" s="176"/>
      <c r="AJ415" s="139" t="str">
        <f t="shared" si="10"/>
        <v/>
      </c>
    </row>
    <row r="416" spans="7:36" ht="24" customHeight="1">
      <c r="G416" s="176"/>
      <c r="AJ416" s="139" t="str">
        <f t="shared" si="10"/>
        <v/>
      </c>
    </row>
    <row r="417" spans="7:36" ht="24" customHeight="1">
      <c r="G417" s="176"/>
      <c r="AJ417" s="139" t="str">
        <f t="shared" si="10"/>
        <v/>
      </c>
    </row>
    <row r="418" spans="7:36" ht="24" customHeight="1">
      <c r="G418" s="176"/>
      <c r="AJ418" s="139" t="str">
        <f t="shared" si="10"/>
        <v/>
      </c>
    </row>
    <row r="419" spans="7:36" ht="24" customHeight="1">
      <c r="G419" s="176"/>
      <c r="AJ419" s="139" t="str">
        <f t="shared" si="10"/>
        <v/>
      </c>
    </row>
    <row r="420" spans="7:36" ht="24" customHeight="1">
      <c r="G420" s="176"/>
      <c r="AJ420" s="139" t="str">
        <f t="shared" si="10"/>
        <v/>
      </c>
    </row>
    <row r="421" spans="7:36" ht="24" customHeight="1">
      <c r="G421" s="176"/>
      <c r="AJ421" s="139" t="str">
        <f t="shared" si="10"/>
        <v/>
      </c>
    </row>
    <row r="422" spans="7:36" ht="24" customHeight="1">
      <c r="G422" s="176"/>
      <c r="AJ422" s="139" t="str">
        <f t="shared" si="10"/>
        <v/>
      </c>
    </row>
    <row r="423" spans="7:36" ht="24" customHeight="1">
      <c r="G423" s="176"/>
      <c r="AJ423" s="139" t="str">
        <f t="shared" si="10"/>
        <v/>
      </c>
    </row>
    <row r="424" spans="7:36" ht="24" customHeight="1">
      <c r="G424" s="176"/>
      <c r="AJ424" s="139" t="str">
        <f t="shared" si="10"/>
        <v/>
      </c>
    </row>
    <row r="425" spans="7:36" ht="24" customHeight="1">
      <c r="G425" s="176"/>
      <c r="AJ425" s="139" t="str">
        <f t="shared" si="10"/>
        <v/>
      </c>
    </row>
    <row r="426" spans="7:36" ht="24" customHeight="1">
      <c r="G426" s="176"/>
      <c r="AJ426" s="139" t="str">
        <f t="shared" si="10"/>
        <v/>
      </c>
    </row>
    <row r="427" spans="7:36" ht="24" customHeight="1">
      <c r="G427" s="176"/>
      <c r="AJ427" s="139" t="str">
        <f t="shared" si="10"/>
        <v/>
      </c>
    </row>
    <row r="428" spans="7:36" ht="24" customHeight="1">
      <c r="G428" s="176"/>
      <c r="AJ428" s="139" t="str">
        <f t="shared" si="10"/>
        <v/>
      </c>
    </row>
    <row r="429" spans="7:36" ht="24" customHeight="1">
      <c r="G429" s="176"/>
      <c r="AJ429" s="139" t="str">
        <f t="shared" si="10"/>
        <v/>
      </c>
    </row>
    <row r="430" spans="7:36" ht="24" customHeight="1">
      <c r="G430" s="176"/>
      <c r="AJ430" s="139" t="str">
        <f t="shared" si="10"/>
        <v/>
      </c>
    </row>
    <row r="431" spans="7:36" ht="24" customHeight="1">
      <c r="G431" s="176"/>
      <c r="AJ431" s="139" t="str">
        <f t="shared" si="10"/>
        <v/>
      </c>
    </row>
    <row r="432" spans="7:36" ht="24" customHeight="1">
      <c r="G432" s="176"/>
      <c r="AJ432" s="139" t="str">
        <f t="shared" si="10"/>
        <v/>
      </c>
    </row>
    <row r="433" spans="7:36" ht="24" customHeight="1">
      <c r="G433" s="176"/>
      <c r="AJ433" s="139" t="str">
        <f t="shared" si="10"/>
        <v/>
      </c>
    </row>
    <row r="434" spans="7:36" ht="24" customHeight="1">
      <c r="G434" s="176"/>
      <c r="AJ434" s="139" t="str">
        <f t="shared" si="10"/>
        <v/>
      </c>
    </row>
    <row r="435" spans="7:36" ht="24" customHeight="1">
      <c r="G435" s="176"/>
      <c r="AJ435" s="139" t="str">
        <f t="shared" si="10"/>
        <v/>
      </c>
    </row>
    <row r="436" spans="7:36" ht="24" customHeight="1">
      <c r="G436" s="176"/>
      <c r="AJ436" s="139" t="str">
        <f t="shared" si="10"/>
        <v/>
      </c>
    </row>
    <row r="437" spans="7:36" ht="24" customHeight="1">
      <c r="G437" s="176"/>
      <c r="AJ437" s="139" t="str">
        <f t="shared" si="10"/>
        <v/>
      </c>
    </row>
    <row r="438" spans="7:36" ht="24" customHeight="1">
      <c r="G438" s="176"/>
      <c r="AJ438" s="139" t="str">
        <f t="shared" si="10"/>
        <v/>
      </c>
    </row>
    <row r="439" spans="7:36" ht="24" customHeight="1">
      <c r="G439" s="176"/>
      <c r="AJ439" s="139" t="str">
        <f t="shared" si="10"/>
        <v/>
      </c>
    </row>
    <row r="440" spans="7:36" ht="24" customHeight="1">
      <c r="G440" s="176"/>
      <c r="AJ440" s="139" t="str">
        <f t="shared" si="10"/>
        <v/>
      </c>
    </row>
    <row r="441" spans="7:36" ht="24" customHeight="1">
      <c r="G441" s="176"/>
      <c r="AJ441" s="139" t="str">
        <f t="shared" si="10"/>
        <v/>
      </c>
    </row>
    <row r="442" spans="7:36" ht="24" customHeight="1">
      <c r="G442" s="176"/>
      <c r="AJ442" s="139" t="str">
        <f t="shared" si="10"/>
        <v/>
      </c>
    </row>
    <row r="443" spans="7:36" ht="24" customHeight="1">
      <c r="G443" s="176"/>
      <c r="AJ443" s="139" t="str">
        <f t="shared" si="10"/>
        <v/>
      </c>
    </row>
    <row r="444" spans="7:36" ht="24" customHeight="1">
      <c r="G444" s="176"/>
      <c r="AJ444" s="139" t="str">
        <f t="shared" si="10"/>
        <v/>
      </c>
    </row>
    <row r="445" spans="7:36" ht="24" customHeight="1">
      <c r="G445" s="176"/>
      <c r="AJ445" s="139" t="str">
        <f t="shared" si="10"/>
        <v/>
      </c>
    </row>
    <row r="446" spans="7:36" ht="24" customHeight="1">
      <c r="G446" s="176"/>
      <c r="AJ446" s="139" t="str">
        <f t="shared" si="10"/>
        <v/>
      </c>
    </row>
    <row r="447" spans="7:36" ht="24" customHeight="1">
      <c r="G447" s="176"/>
      <c r="AJ447" s="139" t="str">
        <f t="shared" si="10"/>
        <v/>
      </c>
    </row>
    <row r="448" spans="7:36" ht="24" customHeight="1">
      <c r="G448" s="176"/>
      <c r="AJ448" s="139" t="str">
        <f t="shared" si="10"/>
        <v/>
      </c>
    </row>
    <row r="449" spans="7:36" ht="24" customHeight="1">
      <c r="G449" s="176"/>
      <c r="AJ449" s="139" t="str">
        <f t="shared" si="10"/>
        <v/>
      </c>
    </row>
    <row r="450" spans="7:36" ht="24" customHeight="1">
      <c r="G450" s="176"/>
      <c r="AJ450" s="139" t="str">
        <f t="shared" si="10"/>
        <v/>
      </c>
    </row>
    <row r="451" spans="7:36" ht="24" customHeight="1">
      <c r="G451" s="176"/>
      <c r="AJ451" s="139" t="str">
        <f t="shared" si="10"/>
        <v/>
      </c>
    </row>
    <row r="452" spans="7:36" ht="24" customHeight="1">
      <c r="G452" s="176"/>
      <c r="AJ452" s="139" t="str">
        <f t="shared" si="10"/>
        <v/>
      </c>
    </row>
    <row r="453" spans="7:36" ht="24" customHeight="1">
      <c r="G453" s="176"/>
      <c r="AJ453" s="139" t="str">
        <f t="shared" si="10"/>
        <v/>
      </c>
    </row>
    <row r="454" spans="7:36" ht="24" customHeight="1">
      <c r="G454" s="176"/>
      <c r="AJ454" s="139" t="str">
        <f t="shared" si="10"/>
        <v/>
      </c>
    </row>
    <row r="455" spans="7:36" ht="24" customHeight="1">
      <c r="G455" s="176"/>
      <c r="AJ455" s="139" t="str">
        <f t="shared" si="10"/>
        <v/>
      </c>
    </row>
    <row r="456" spans="7:36" ht="24" customHeight="1">
      <c r="G456" s="176"/>
      <c r="AJ456" s="139" t="str">
        <f t="shared" si="10"/>
        <v/>
      </c>
    </row>
    <row r="457" spans="7:36" ht="24" customHeight="1">
      <c r="G457" s="176"/>
      <c r="AJ457" s="139" t="str">
        <f t="shared" ref="AJ457:AJ520" si="11">IF(C457="","",C457)</f>
        <v/>
      </c>
    </row>
    <row r="458" spans="7:36" ht="24" customHeight="1">
      <c r="G458" s="176"/>
      <c r="AJ458" s="139" t="str">
        <f t="shared" si="11"/>
        <v/>
      </c>
    </row>
    <row r="459" spans="7:36" ht="24" customHeight="1">
      <c r="G459" s="176"/>
      <c r="AJ459" s="139" t="str">
        <f t="shared" si="11"/>
        <v/>
      </c>
    </row>
    <row r="460" spans="7:36" ht="24" customHeight="1">
      <c r="G460" s="176"/>
      <c r="AJ460" s="139" t="str">
        <f t="shared" si="11"/>
        <v/>
      </c>
    </row>
    <row r="461" spans="7:36" ht="24" customHeight="1">
      <c r="G461" s="176"/>
      <c r="AJ461" s="139" t="str">
        <f t="shared" si="11"/>
        <v/>
      </c>
    </row>
    <row r="462" spans="7:36" ht="24" customHeight="1">
      <c r="G462" s="176"/>
      <c r="AJ462" s="139" t="str">
        <f t="shared" si="11"/>
        <v/>
      </c>
    </row>
    <row r="463" spans="7:36" ht="24" customHeight="1">
      <c r="G463" s="176"/>
      <c r="AJ463" s="139" t="str">
        <f t="shared" si="11"/>
        <v/>
      </c>
    </row>
    <row r="464" spans="7:36" ht="24" customHeight="1">
      <c r="G464" s="176"/>
      <c r="AJ464" s="139" t="str">
        <f t="shared" si="11"/>
        <v/>
      </c>
    </row>
    <row r="465" spans="7:36" ht="24" customHeight="1">
      <c r="G465" s="176"/>
      <c r="AJ465" s="139" t="str">
        <f t="shared" si="11"/>
        <v/>
      </c>
    </row>
    <row r="466" spans="7:36" ht="24" customHeight="1">
      <c r="G466" s="176"/>
      <c r="AJ466" s="139" t="str">
        <f t="shared" si="11"/>
        <v/>
      </c>
    </row>
    <row r="467" spans="7:36" ht="24" customHeight="1">
      <c r="G467" s="176"/>
      <c r="AJ467" s="139" t="str">
        <f t="shared" si="11"/>
        <v/>
      </c>
    </row>
    <row r="468" spans="7:36" ht="24" customHeight="1">
      <c r="G468" s="176"/>
      <c r="AJ468" s="139" t="str">
        <f t="shared" si="11"/>
        <v/>
      </c>
    </row>
    <row r="469" spans="7:36" ht="24" customHeight="1">
      <c r="G469" s="176"/>
      <c r="AJ469" s="139" t="str">
        <f t="shared" si="11"/>
        <v/>
      </c>
    </row>
    <row r="470" spans="7:36" ht="24" customHeight="1">
      <c r="G470" s="176"/>
      <c r="AJ470" s="139" t="str">
        <f t="shared" si="11"/>
        <v/>
      </c>
    </row>
    <row r="471" spans="7:36" ht="24" customHeight="1">
      <c r="G471" s="176"/>
      <c r="AJ471" s="139" t="str">
        <f t="shared" si="11"/>
        <v/>
      </c>
    </row>
    <row r="472" spans="7:36" ht="24" customHeight="1">
      <c r="G472" s="176"/>
      <c r="AJ472" s="139" t="str">
        <f t="shared" si="11"/>
        <v/>
      </c>
    </row>
    <row r="473" spans="7:36" ht="24" customHeight="1">
      <c r="G473" s="176"/>
      <c r="AJ473" s="139" t="str">
        <f t="shared" si="11"/>
        <v/>
      </c>
    </row>
    <row r="474" spans="7:36" ht="24" customHeight="1">
      <c r="G474" s="176"/>
      <c r="AJ474" s="139" t="str">
        <f t="shared" si="11"/>
        <v/>
      </c>
    </row>
    <row r="475" spans="7:36" ht="24" customHeight="1">
      <c r="G475" s="176"/>
      <c r="AJ475" s="139" t="str">
        <f t="shared" si="11"/>
        <v/>
      </c>
    </row>
    <row r="476" spans="7:36" ht="24" customHeight="1">
      <c r="G476" s="176"/>
      <c r="AJ476" s="139" t="str">
        <f t="shared" si="11"/>
        <v/>
      </c>
    </row>
    <row r="477" spans="7:36" ht="24" customHeight="1">
      <c r="G477" s="176"/>
      <c r="AJ477" s="139" t="str">
        <f t="shared" si="11"/>
        <v/>
      </c>
    </row>
    <row r="478" spans="7:36" ht="24" customHeight="1">
      <c r="G478" s="176"/>
      <c r="AJ478" s="139" t="str">
        <f t="shared" si="11"/>
        <v/>
      </c>
    </row>
    <row r="479" spans="7:36" ht="24" customHeight="1">
      <c r="G479" s="176"/>
      <c r="AJ479" s="139" t="str">
        <f t="shared" si="11"/>
        <v/>
      </c>
    </row>
    <row r="480" spans="7:36" ht="24" customHeight="1">
      <c r="G480" s="176"/>
      <c r="AJ480" s="139" t="str">
        <f t="shared" si="11"/>
        <v/>
      </c>
    </row>
    <row r="481" spans="7:36" ht="24" customHeight="1">
      <c r="G481" s="176"/>
      <c r="AJ481" s="139" t="str">
        <f t="shared" si="11"/>
        <v/>
      </c>
    </row>
    <row r="482" spans="7:36" ht="24" customHeight="1">
      <c r="G482" s="176"/>
      <c r="AJ482" s="139" t="str">
        <f t="shared" si="11"/>
        <v/>
      </c>
    </row>
    <row r="483" spans="7:36" ht="24" customHeight="1">
      <c r="G483" s="176"/>
      <c r="AJ483" s="139" t="str">
        <f t="shared" si="11"/>
        <v/>
      </c>
    </row>
    <row r="484" spans="7:36" ht="24" customHeight="1">
      <c r="G484" s="176"/>
      <c r="AJ484" s="139" t="str">
        <f t="shared" si="11"/>
        <v/>
      </c>
    </row>
    <row r="485" spans="7:36" ht="24" customHeight="1">
      <c r="G485" s="176"/>
      <c r="AJ485" s="139" t="str">
        <f t="shared" si="11"/>
        <v/>
      </c>
    </row>
    <row r="486" spans="7:36" ht="24" customHeight="1">
      <c r="G486" s="176"/>
      <c r="AJ486" s="139" t="str">
        <f t="shared" si="11"/>
        <v/>
      </c>
    </row>
    <row r="487" spans="7:36" ht="24" customHeight="1">
      <c r="G487" s="176"/>
      <c r="AJ487" s="139" t="str">
        <f t="shared" si="11"/>
        <v/>
      </c>
    </row>
    <row r="488" spans="7:36" ht="24" customHeight="1">
      <c r="G488" s="176"/>
      <c r="AJ488" s="139" t="str">
        <f t="shared" si="11"/>
        <v/>
      </c>
    </row>
    <row r="489" spans="7:36" ht="24" customHeight="1">
      <c r="G489" s="176"/>
      <c r="AJ489" s="139" t="str">
        <f t="shared" si="11"/>
        <v/>
      </c>
    </row>
    <row r="490" spans="7:36" ht="24" customHeight="1">
      <c r="G490" s="176"/>
      <c r="AJ490" s="139" t="str">
        <f t="shared" si="11"/>
        <v/>
      </c>
    </row>
    <row r="491" spans="7:36" ht="24" customHeight="1">
      <c r="G491" s="176"/>
      <c r="AJ491" s="139" t="str">
        <f t="shared" si="11"/>
        <v/>
      </c>
    </row>
    <row r="492" spans="7:36" ht="23.25">
      <c r="G492" s="176"/>
      <c r="AJ492" s="139" t="str">
        <f t="shared" si="11"/>
        <v/>
      </c>
    </row>
    <row r="493" spans="7:36" ht="23.25">
      <c r="G493" s="176"/>
      <c r="AJ493" s="139" t="str">
        <f t="shared" si="11"/>
        <v/>
      </c>
    </row>
    <row r="494" spans="7:36" ht="23.25">
      <c r="G494" s="176"/>
      <c r="AJ494" s="139" t="str">
        <f t="shared" si="11"/>
        <v/>
      </c>
    </row>
    <row r="495" spans="7:36" ht="24" customHeight="1">
      <c r="G495" s="176"/>
      <c r="AJ495" s="139" t="str">
        <f t="shared" si="11"/>
        <v/>
      </c>
    </row>
    <row r="496" spans="7:36" ht="24" customHeight="1">
      <c r="G496" s="176"/>
      <c r="AJ496" s="139" t="str">
        <f t="shared" si="11"/>
        <v/>
      </c>
    </row>
    <row r="497" spans="7:36" ht="24" customHeight="1">
      <c r="G497" s="176"/>
      <c r="AJ497" s="139" t="str">
        <f t="shared" si="11"/>
        <v/>
      </c>
    </row>
    <row r="498" spans="7:36" ht="24" customHeight="1">
      <c r="G498" s="176"/>
      <c r="AJ498" s="139" t="str">
        <f t="shared" si="11"/>
        <v/>
      </c>
    </row>
    <row r="499" spans="7:36" ht="24" customHeight="1">
      <c r="G499" s="176"/>
      <c r="AJ499" s="139" t="str">
        <f t="shared" si="11"/>
        <v/>
      </c>
    </row>
    <row r="500" spans="7:36" ht="24" customHeight="1">
      <c r="G500" s="176"/>
      <c r="AJ500" s="139" t="str">
        <f t="shared" si="11"/>
        <v/>
      </c>
    </row>
    <row r="501" spans="7:36" ht="24" customHeight="1">
      <c r="G501" s="176"/>
      <c r="AJ501" s="139" t="str">
        <f t="shared" si="11"/>
        <v/>
      </c>
    </row>
    <row r="502" spans="7:36" ht="24" customHeight="1">
      <c r="G502" s="176"/>
      <c r="AJ502" s="139" t="str">
        <f t="shared" si="11"/>
        <v/>
      </c>
    </row>
    <row r="503" spans="7:36" ht="24" customHeight="1">
      <c r="G503" s="176"/>
      <c r="AJ503" s="139" t="str">
        <f t="shared" si="11"/>
        <v/>
      </c>
    </row>
    <row r="504" spans="7:36" ht="24" customHeight="1">
      <c r="G504" s="176"/>
      <c r="AJ504" s="139" t="str">
        <f t="shared" si="11"/>
        <v/>
      </c>
    </row>
    <row r="505" spans="7:36" ht="24" customHeight="1">
      <c r="G505" s="176"/>
      <c r="AJ505" s="139" t="str">
        <f t="shared" si="11"/>
        <v/>
      </c>
    </row>
    <row r="506" spans="7:36" ht="24" customHeight="1">
      <c r="G506" s="176"/>
      <c r="AJ506" s="139" t="str">
        <f t="shared" si="11"/>
        <v/>
      </c>
    </row>
    <row r="507" spans="7:36" ht="24" customHeight="1">
      <c r="G507" s="176"/>
      <c r="AJ507" s="139" t="str">
        <f t="shared" si="11"/>
        <v/>
      </c>
    </row>
    <row r="508" spans="7:36" ht="24" customHeight="1">
      <c r="G508" s="176"/>
      <c r="AJ508" s="139" t="str">
        <f t="shared" si="11"/>
        <v/>
      </c>
    </row>
    <row r="509" spans="7:36" ht="24" customHeight="1">
      <c r="G509" s="176"/>
      <c r="AJ509" s="139" t="str">
        <f t="shared" si="11"/>
        <v/>
      </c>
    </row>
    <row r="510" spans="7:36" ht="24" customHeight="1">
      <c r="G510" s="176"/>
      <c r="AJ510" s="139" t="str">
        <f t="shared" si="11"/>
        <v/>
      </c>
    </row>
    <row r="511" spans="7:36" ht="24" customHeight="1">
      <c r="G511" s="176"/>
      <c r="AJ511" s="139" t="str">
        <f t="shared" si="11"/>
        <v/>
      </c>
    </row>
    <row r="512" spans="7:36" ht="24" customHeight="1">
      <c r="G512" s="176"/>
      <c r="AJ512" s="139" t="str">
        <f t="shared" si="11"/>
        <v/>
      </c>
    </row>
    <row r="513" spans="7:36" ht="24" customHeight="1">
      <c r="G513" s="176"/>
      <c r="AJ513" s="139" t="str">
        <f t="shared" si="11"/>
        <v/>
      </c>
    </row>
    <row r="514" spans="7:36" ht="24" customHeight="1">
      <c r="G514" s="176"/>
      <c r="AJ514" s="139" t="str">
        <f t="shared" si="11"/>
        <v/>
      </c>
    </row>
    <row r="515" spans="7:36" ht="24" customHeight="1">
      <c r="G515" s="176"/>
      <c r="AJ515" s="139" t="str">
        <f t="shared" si="11"/>
        <v/>
      </c>
    </row>
    <row r="516" spans="7:36" ht="24" customHeight="1">
      <c r="G516" s="176"/>
      <c r="AJ516" s="139" t="str">
        <f t="shared" si="11"/>
        <v/>
      </c>
    </row>
    <row r="517" spans="7:36" ht="24" customHeight="1">
      <c r="G517" s="176"/>
      <c r="AJ517" s="139" t="str">
        <f t="shared" si="11"/>
        <v/>
      </c>
    </row>
    <row r="518" spans="7:36" ht="24" customHeight="1">
      <c r="G518" s="176"/>
      <c r="AJ518" s="139" t="str">
        <f t="shared" si="11"/>
        <v/>
      </c>
    </row>
    <row r="519" spans="7:36" ht="24" customHeight="1">
      <c r="G519" s="176"/>
      <c r="AJ519" s="139" t="str">
        <f t="shared" si="11"/>
        <v/>
      </c>
    </row>
    <row r="520" spans="7:36" ht="24" customHeight="1">
      <c r="G520" s="176"/>
      <c r="AJ520" s="139" t="str">
        <f t="shared" si="11"/>
        <v/>
      </c>
    </row>
    <row r="521" spans="7:36" ht="24" customHeight="1">
      <c r="G521" s="176"/>
      <c r="AJ521" s="139" t="str">
        <f t="shared" ref="AJ521:AJ584" si="12">IF(C521="","",C521)</f>
        <v/>
      </c>
    </row>
    <row r="522" spans="7:36" ht="24" customHeight="1">
      <c r="G522" s="176"/>
      <c r="AJ522" s="139" t="str">
        <f t="shared" si="12"/>
        <v/>
      </c>
    </row>
    <row r="523" spans="7:36" ht="24" customHeight="1">
      <c r="G523" s="176"/>
      <c r="AJ523" s="139" t="str">
        <f t="shared" si="12"/>
        <v/>
      </c>
    </row>
    <row r="524" spans="7:36" ht="24" customHeight="1">
      <c r="G524" s="176"/>
      <c r="AJ524" s="139" t="str">
        <f t="shared" si="12"/>
        <v/>
      </c>
    </row>
    <row r="525" spans="7:36" ht="24" customHeight="1">
      <c r="G525" s="176"/>
      <c r="AJ525" s="139" t="str">
        <f t="shared" si="12"/>
        <v/>
      </c>
    </row>
    <row r="526" spans="7:36" ht="24" customHeight="1">
      <c r="G526" s="176"/>
      <c r="AJ526" s="139" t="str">
        <f t="shared" si="12"/>
        <v/>
      </c>
    </row>
    <row r="527" spans="7:36" ht="24" customHeight="1">
      <c r="G527" s="176"/>
      <c r="AJ527" s="139" t="str">
        <f t="shared" si="12"/>
        <v/>
      </c>
    </row>
    <row r="528" spans="7:36" ht="24" customHeight="1">
      <c r="G528" s="176"/>
      <c r="AJ528" s="139" t="str">
        <f t="shared" si="12"/>
        <v/>
      </c>
    </row>
    <row r="529" spans="7:36" ht="24" customHeight="1">
      <c r="G529" s="176"/>
      <c r="AJ529" s="139" t="str">
        <f t="shared" si="12"/>
        <v/>
      </c>
    </row>
    <row r="530" spans="7:36" ht="24" customHeight="1">
      <c r="G530" s="176"/>
      <c r="AJ530" s="139" t="str">
        <f t="shared" si="12"/>
        <v/>
      </c>
    </row>
    <row r="531" spans="7:36" ht="24" customHeight="1">
      <c r="G531" s="176"/>
      <c r="AJ531" s="139" t="str">
        <f t="shared" si="12"/>
        <v/>
      </c>
    </row>
    <row r="532" spans="7:36" ht="24" customHeight="1">
      <c r="G532" s="176"/>
      <c r="AJ532" s="139" t="str">
        <f t="shared" si="12"/>
        <v/>
      </c>
    </row>
    <row r="533" spans="7:36" ht="24" customHeight="1">
      <c r="G533" s="176"/>
      <c r="AJ533" s="139" t="str">
        <f t="shared" si="12"/>
        <v/>
      </c>
    </row>
    <row r="534" spans="7:36" ht="24" customHeight="1">
      <c r="G534" s="176"/>
      <c r="AJ534" s="139" t="str">
        <f t="shared" si="12"/>
        <v/>
      </c>
    </row>
    <row r="535" spans="7:36" ht="24" customHeight="1">
      <c r="G535" s="176"/>
      <c r="AJ535" s="139" t="str">
        <f t="shared" si="12"/>
        <v/>
      </c>
    </row>
    <row r="536" spans="7:36" ht="24" customHeight="1">
      <c r="G536" s="176"/>
      <c r="AJ536" s="139" t="str">
        <f t="shared" si="12"/>
        <v/>
      </c>
    </row>
    <row r="537" spans="7:36" ht="24" customHeight="1">
      <c r="G537" s="176"/>
      <c r="AJ537" s="139" t="str">
        <f t="shared" si="12"/>
        <v/>
      </c>
    </row>
    <row r="538" spans="7:36" ht="24" customHeight="1">
      <c r="G538" s="176"/>
      <c r="AJ538" s="139" t="str">
        <f t="shared" si="12"/>
        <v/>
      </c>
    </row>
    <row r="539" spans="7:36" ht="24" customHeight="1">
      <c r="G539" s="176"/>
      <c r="AJ539" s="139" t="str">
        <f t="shared" si="12"/>
        <v/>
      </c>
    </row>
    <row r="540" spans="7:36" ht="24" customHeight="1">
      <c r="G540" s="176"/>
      <c r="AJ540" s="139" t="str">
        <f t="shared" si="12"/>
        <v/>
      </c>
    </row>
    <row r="541" spans="7:36" ht="24" customHeight="1">
      <c r="G541" s="176"/>
      <c r="AJ541" s="139" t="str">
        <f t="shared" si="12"/>
        <v/>
      </c>
    </row>
    <row r="542" spans="7:36" ht="24" customHeight="1">
      <c r="G542" s="176"/>
      <c r="AJ542" s="139" t="str">
        <f t="shared" si="12"/>
        <v/>
      </c>
    </row>
    <row r="543" spans="7:36" ht="24" customHeight="1">
      <c r="G543" s="176"/>
      <c r="AJ543" s="139" t="str">
        <f t="shared" si="12"/>
        <v/>
      </c>
    </row>
    <row r="544" spans="7:36" ht="24" customHeight="1">
      <c r="G544" s="176"/>
      <c r="AJ544" s="139" t="str">
        <f t="shared" si="12"/>
        <v/>
      </c>
    </row>
    <row r="545" spans="7:36" ht="24" customHeight="1">
      <c r="G545" s="176"/>
      <c r="AJ545" s="139" t="str">
        <f t="shared" si="12"/>
        <v/>
      </c>
    </row>
    <row r="546" spans="7:36" ht="24" customHeight="1">
      <c r="G546" s="176"/>
      <c r="AJ546" s="139" t="str">
        <f t="shared" si="12"/>
        <v/>
      </c>
    </row>
    <row r="547" spans="7:36" ht="24" customHeight="1">
      <c r="G547" s="176"/>
      <c r="AJ547" s="139" t="str">
        <f t="shared" si="12"/>
        <v/>
      </c>
    </row>
    <row r="548" spans="7:36" ht="24" customHeight="1">
      <c r="G548" s="176"/>
      <c r="AJ548" s="139" t="str">
        <f t="shared" si="12"/>
        <v/>
      </c>
    </row>
    <row r="549" spans="7:36" ht="24" customHeight="1">
      <c r="G549" s="176"/>
      <c r="AJ549" s="139" t="str">
        <f t="shared" si="12"/>
        <v/>
      </c>
    </row>
    <row r="550" spans="7:36" ht="24" customHeight="1">
      <c r="G550" s="176"/>
      <c r="AJ550" s="139" t="str">
        <f t="shared" si="12"/>
        <v/>
      </c>
    </row>
    <row r="551" spans="7:36" ht="24" customHeight="1">
      <c r="G551" s="176"/>
      <c r="AJ551" s="139" t="str">
        <f t="shared" si="12"/>
        <v/>
      </c>
    </row>
    <row r="552" spans="7:36" ht="24" customHeight="1">
      <c r="G552" s="176"/>
      <c r="AJ552" s="139" t="str">
        <f t="shared" si="12"/>
        <v/>
      </c>
    </row>
    <row r="553" spans="7:36" ht="24" customHeight="1">
      <c r="G553" s="176"/>
      <c r="AJ553" s="139" t="str">
        <f t="shared" si="12"/>
        <v/>
      </c>
    </row>
    <row r="554" spans="7:36" ht="24" customHeight="1">
      <c r="G554" s="176"/>
      <c r="AJ554" s="139" t="str">
        <f t="shared" si="12"/>
        <v/>
      </c>
    </row>
    <row r="555" spans="7:36" ht="24" customHeight="1">
      <c r="G555" s="176"/>
      <c r="AJ555" s="139" t="str">
        <f t="shared" si="12"/>
        <v/>
      </c>
    </row>
    <row r="556" spans="7:36" ht="24" customHeight="1">
      <c r="G556" s="176"/>
      <c r="AJ556" s="139" t="str">
        <f t="shared" si="12"/>
        <v/>
      </c>
    </row>
    <row r="557" spans="7:36" ht="24" customHeight="1">
      <c r="G557" s="176"/>
      <c r="AJ557" s="139" t="str">
        <f t="shared" si="12"/>
        <v/>
      </c>
    </row>
    <row r="558" spans="7:36" ht="24" customHeight="1">
      <c r="G558" s="176"/>
      <c r="AJ558" s="139" t="str">
        <f t="shared" si="12"/>
        <v/>
      </c>
    </row>
    <row r="559" spans="7:36" ht="24" customHeight="1">
      <c r="G559" s="176"/>
      <c r="AJ559" s="139" t="str">
        <f t="shared" si="12"/>
        <v/>
      </c>
    </row>
    <row r="560" spans="7:36" ht="24" customHeight="1">
      <c r="G560" s="176"/>
      <c r="AJ560" s="139" t="str">
        <f t="shared" si="12"/>
        <v/>
      </c>
    </row>
    <row r="561" spans="7:36" ht="24" customHeight="1">
      <c r="G561" s="176"/>
      <c r="AJ561" s="139" t="str">
        <f t="shared" si="12"/>
        <v/>
      </c>
    </row>
    <row r="562" spans="7:36" ht="24" customHeight="1">
      <c r="G562" s="176"/>
      <c r="AJ562" s="139" t="str">
        <f t="shared" si="12"/>
        <v/>
      </c>
    </row>
    <row r="563" spans="7:36" ht="24" customHeight="1">
      <c r="G563" s="176"/>
      <c r="AJ563" s="139" t="str">
        <f t="shared" si="12"/>
        <v/>
      </c>
    </row>
    <row r="564" spans="7:36" ht="24" customHeight="1">
      <c r="G564" s="176"/>
      <c r="AJ564" s="139" t="str">
        <f t="shared" si="12"/>
        <v/>
      </c>
    </row>
    <row r="565" spans="7:36" ht="24" customHeight="1">
      <c r="G565" s="176"/>
      <c r="AJ565" s="139" t="str">
        <f t="shared" si="12"/>
        <v/>
      </c>
    </row>
    <row r="566" spans="7:36" ht="24" customHeight="1">
      <c r="G566" s="176"/>
      <c r="AJ566" s="139" t="str">
        <f t="shared" si="12"/>
        <v/>
      </c>
    </row>
    <row r="567" spans="7:36" ht="24" customHeight="1">
      <c r="G567" s="176"/>
      <c r="AJ567" s="139" t="str">
        <f t="shared" si="12"/>
        <v/>
      </c>
    </row>
    <row r="568" spans="7:36" ht="24" customHeight="1">
      <c r="G568" s="176"/>
      <c r="AJ568" s="139" t="str">
        <f t="shared" si="12"/>
        <v/>
      </c>
    </row>
    <row r="569" spans="7:36" ht="24" customHeight="1">
      <c r="G569" s="176"/>
      <c r="AJ569" s="139" t="str">
        <f t="shared" si="12"/>
        <v/>
      </c>
    </row>
    <row r="570" spans="7:36" ht="24" customHeight="1">
      <c r="G570" s="176"/>
      <c r="AJ570" s="139" t="str">
        <f t="shared" si="12"/>
        <v/>
      </c>
    </row>
    <row r="571" spans="7:36" ht="24" customHeight="1">
      <c r="G571" s="176"/>
      <c r="AJ571" s="139" t="str">
        <f t="shared" si="12"/>
        <v/>
      </c>
    </row>
    <row r="572" spans="7:36" ht="24" customHeight="1">
      <c r="G572" s="176"/>
      <c r="AJ572" s="139" t="str">
        <f t="shared" si="12"/>
        <v/>
      </c>
    </row>
    <row r="573" spans="7:36" ht="24" customHeight="1">
      <c r="G573" s="176"/>
      <c r="AJ573" s="139" t="str">
        <f t="shared" si="12"/>
        <v/>
      </c>
    </row>
    <row r="574" spans="7:36" ht="24" customHeight="1">
      <c r="G574" s="176"/>
      <c r="AJ574" s="139" t="str">
        <f t="shared" si="12"/>
        <v/>
      </c>
    </row>
    <row r="575" spans="7:36" ht="24" customHeight="1">
      <c r="G575" s="176"/>
      <c r="AJ575" s="139" t="str">
        <f t="shared" si="12"/>
        <v/>
      </c>
    </row>
    <row r="576" spans="7:36" ht="24" customHeight="1">
      <c r="G576" s="176"/>
      <c r="AJ576" s="139" t="str">
        <f t="shared" si="12"/>
        <v/>
      </c>
    </row>
    <row r="577" spans="7:36" ht="24" customHeight="1">
      <c r="G577" s="176"/>
      <c r="AJ577" s="139" t="str">
        <f t="shared" si="12"/>
        <v/>
      </c>
    </row>
    <row r="578" spans="7:36" ht="24" customHeight="1">
      <c r="G578" s="176"/>
      <c r="AJ578" s="139" t="str">
        <f t="shared" si="12"/>
        <v/>
      </c>
    </row>
    <row r="579" spans="7:36" ht="24" customHeight="1">
      <c r="G579" s="176"/>
      <c r="AJ579" s="139" t="str">
        <f t="shared" si="12"/>
        <v/>
      </c>
    </row>
    <row r="580" spans="7:36" ht="24" customHeight="1">
      <c r="G580" s="176"/>
      <c r="AJ580" s="139" t="str">
        <f t="shared" si="12"/>
        <v/>
      </c>
    </row>
    <row r="581" spans="7:36" ht="24" customHeight="1">
      <c r="G581" s="176"/>
      <c r="AJ581" s="139" t="str">
        <f t="shared" si="12"/>
        <v/>
      </c>
    </row>
    <row r="582" spans="7:36" ht="24" customHeight="1">
      <c r="G582" s="176"/>
      <c r="AJ582" s="139" t="str">
        <f t="shared" si="12"/>
        <v/>
      </c>
    </row>
    <row r="583" spans="7:36" ht="24" customHeight="1">
      <c r="G583" s="176"/>
      <c r="AJ583" s="139" t="str">
        <f t="shared" si="12"/>
        <v/>
      </c>
    </row>
    <row r="584" spans="7:36" ht="24" customHeight="1">
      <c r="G584" s="176"/>
      <c r="AJ584" s="139" t="str">
        <f t="shared" si="12"/>
        <v/>
      </c>
    </row>
    <row r="585" spans="7:36" ht="24" customHeight="1">
      <c r="G585" s="176"/>
      <c r="AJ585" s="139" t="str">
        <f t="shared" ref="AJ585:AJ648" si="13">IF(C585="","",C585)</f>
        <v/>
      </c>
    </row>
    <row r="586" spans="7:36" ht="24" customHeight="1">
      <c r="G586" s="176"/>
      <c r="AJ586" s="139" t="str">
        <f t="shared" si="13"/>
        <v/>
      </c>
    </row>
    <row r="587" spans="7:36" ht="24" customHeight="1">
      <c r="G587" s="176"/>
      <c r="AJ587" s="139" t="str">
        <f t="shared" si="13"/>
        <v/>
      </c>
    </row>
    <row r="588" spans="7:36" ht="24" customHeight="1">
      <c r="G588" s="176"/>
      <c r="AJ588" s="139" t="str">
        <f t="shared" si="13"/>
        <v/>
      </c>
    </row>
    <row r="589" spans="7:36" ht="24" customHeight="1">
      <c r="G589" s="176"/>
      <c r="AJ589" s="139" t="str">
        <f t="shared" si="13"/>
        <v/>
      </c>
    </row>
    <row r="590" spans="7:36" ht="24" customHeight="1">
      <c r="G590" s="176"/>
      <c r="AJ590" s="139" t="str">
        <f t="shared" si="13"/>
        <v/>
      </c>
    </row>
    <row r="591" spans="7:36" ht="24" customHeight="1">
      <c r="G591" s="176"/>
      <c r="AJ591" s="139" t="str">
        <f t="shared" si="13"/>
        <v/>
      </c>
    </row>
    <row r="592" spans="7:36" ht="24" customHeight="1">
      <c r="G592" s="176"/>
      <c r="AJ592" s="139" t="str">
        <f t="shared" si="13"/>
        <v/>
      </c>
    </row>
    <row r="593" spans="7:36" ht="24" customHeight="1">
      <c r="G593" s="176"/>
      <c r="AJ593" s="139" t="str">
        <f t="shared" si="13"/>
        <v/>
      </c>
    </row>
    <row r="594" spans="7:36" ht="24" customHeight="1">
      <c r="G594" s="176"/>
      <c r="AJ594" s="139" t="str">
        <f t="shared" si="13"/>
        <v/>
      </c>
    </row>
    <row r="595" spans="7:36" ht="24" customHeight="1">
      <c r="G595" s="176"/>
      <c r="AJ595" s="139" t="str">
        <f t="shared" si="13"/>
        <v/>
      </c>
    </row>
    <row r="596" spans="7:36" ht="24" customHeight="1">
      <c r="G596" s="176"/>
      <c r="AJ596" s="139" t="str">
        <f t="shared" si="13"/>
        <v/>
      </c>
    </row>
    <row r="597" spans="7:36" ht="24" customHeight="1">
      <c r="G597" s="176"/>
      <c r="AJ597" s="139" t="str">
        <f t="shared" si="13"/>
        <v/>
      </c>
    </row>
    <row r="598" spans="7:36" ht="24" customHeight="1">
      <c r="G598" s="176"/>
      <c r="AJ598" s="139" t="str">
        <f t="shared" si="13"/>
        <v/>
      </c>
    </row>
    <row r="599" spans="7:36" ht="24" customHeight="1">
      <c r="G599" s="176"/>
      <c r="AJ599" s="139" t="str">
        <f t="shared" si="13"/>
        <v/>
      </c>
    </row>
    <row r="600" spans="7:36" ht="24" customHeight="1">
      <c r="G600" s="176"/>
      <c r="AJ600" s="139" t="str">
        <f t="shared" si="13"/>
        <v/>
      </c>
    </row>
    <row r="601" spans="7:36" ht="24" customHeight="1">
      <c r="G601" s="176"/>
      <c r="AJ601" s="139" t="str">
        <f t="shared" si="13"/>
        <v/>
      </c>
    </row>
    <row r="602" spans="7:36" ht="24" customHeight="1">
      <c r="G602" s="176"/>
      <c r="AJ602" s="139" t="str">
        <f t="shared" si="13"/>
        <v/>
      </c>
    </row>
    <row r="603" spans="7:36" ht="24" customHeight="1">
      <c r="G603" s="176"/>
      <c r="AJ603" s="139" t="str">
        <f t="shared" si="13"/>
        <v/>
      </c>
    </row>
    <row r="604" spans="7:36" ht="24" customHeight="1">
      <c r="G604" s="176"/>
      <c r="AJ604" s="139" t="str">
        <f t="shared" si="13"/>
        <v/>
      </c>
    </row>
    <row r="605" spans="7:36" ht="24" customHeight="1">
      <c r="G605" s="176"/>
      <c r="AJ605" s="139" t="str">
        <f t="shared" si="13"/>
        <v/>
      </c>
    </row>
    <row r="606" spans="7:36" ht="24" customHeight="1">
      <c r="G606" s="176"/>
      <c r="AJ606" s="139" t="str">
        <f t="shared" si="13"/>
        <v/>
      </c>
    </row>
    <row r="607" spans="7:36" ht="24" customHeight="1">
      <c r="G607" s="176"/>
      <c r="AJ607" s="139" t="str">
        <f t="shared" si="13"/>
        <v/>
      </c>
    </row>
    <row r="608" spans="7:36" ht="24" customHeight="1">
      <c r="G608" s="176"/>
      <c r="AJ608" s="139" t="str">
        <f t="shared" si="13"/>
        <v/>
      </c>
    </row>
    <row r="609" spans="7:36" ht="24" customHeight="1">
      <c r="G609" s="176"/>
      <c r="AJ609" s="139" t="str">
        <f t="shared" si="13"/>
        <v/>
      </c>
    </row>
    <row r="610" spans="7:36" ht="24" customHeight="1">
      <c r="G610" s="176"/>
      <c r="AJ610" s="139" t="str">
        <f t="shared" si="13"/>
        <v/>
      </c>
    </row>
    <row r="611" spans="7:36" ht="24" customHeight="1">
      <c r="G611" s="176"/>
      <c r="AJ611" s="139" t="str">
        <f t="shared" si="13"/>
        <v/>
      </c>
    </row>
    <row r="612" spans="7:36" ht="24" customHeight="1">
      <c r="G612" s="176"/>
      <c r="AJ612" s="139" t="str">
        <f t="shared" si="13"/>
        <v/>
      </c>
    </row>
    <row r="613" spans="7:36" ht="24" customHeight="1">
      <c r="G613" s="176"/>
      <c r="AJ613" s="139" t="str">
        <f t="shared" si="13"/>
        <v/>
      </c>
    </row>
    <row r="614" spans="7:36" ht="24" customHeight="1">
      <c r="G614" s="176"/>
      <c r="AJ614" s="139" t="str">
        <f t="shared" si="13"/>
        <v/>
      </c>
    </row>
    <row r="615" spans="7:36" ht="24" customHeight="1">
      <c r="G615" s="176"/>
      <c r="AJ615" s="139" t="str">
        <f t="shared" si="13"/>
        <v/>
      </c>
    </row>
    <row r="616" spans="7:36" ht="24" customHeight="1">
      <c r="G616" s="176"/>
      <c r="AJ616" s="139" t="str">
        <f t="shared" si="13"/>
        <v/>
      </c>
    </row>
    <row r="617" spans="7:36" ht="24" customHeight="1">
      <c r="G617" s="176"/>
      <c r="AJ617" s="139" t="str">
        <f t="shared" si="13"/>
        <v/>
      </c>
    </row>
    <row r="618" spans="7:36" ht="24" customHeight="1">
      <c r="G618" s="176"/>
      <c r="AJ618" s="139" t="str">
        <f t="shared" si="13"/>
        <v/>
      </c>
    </row>
    <row r="619" spans="7:36" ht="24" customHeight="1">
      <c r="G619" s="176"/>
      <c r="AJ619" s="139" t="str">
        <f t="shared" si="13"/>
        <v/>
      </c>
    </row>
    <row r="620" spans="7:36" ht="24" customHeight="1">
      <c r="G620" s="176"/>
      <c r="AJ620" s="139" t="str">
        <f t="shared" si="13"/>
        <v/>
      </c>
    </row>
    <row r="621" spans="7:36" ht="24" customHeight="1">
      <c r="G621" s="176"/>
      <c r="AJ621" s="139" t="str">
        <f t="shared" si="13"/>
        <v/>
      </c>
    </row>
    <row r="622" spans="7:36" ht="24" customHeight="1">
      <c r="G622" s="176"/>
      <c r="AJ622" s="139" t="str">
        <f t="shared" si="13"/>
        <v/>
      </c>
    </row>
    <row r="623" spans="7:36" ht="24" customHeight="1">
      <c r="G623" s="176"/>
      <c r="AJ623" s="139" t="str">
        <f t="shared" si="13"/>
        <v/>
      </c>
    </row>
    <row r="624" spans="7:36" ht="24" customHeight="1">
      <c r="G624" s="176"/>
      <c r="AJ624" s="139" t="str">
        <f t="shared" si="13"/>
        <v/>
      </c>
    </row>
    <row r="625" spans="7:36" ht="24" customHeight="1">
      <c r="G625" s="176"/>
      <c r="AJ625" s="139" t="str">
        <f t="shared" si="13"/>
        <v/>
      </c>
    </row>
    <row r="626" spans="7:36" ht="24" customHeight="1">
      <c r="G626" s="176"/>
      <c r="AJ626" s="139" t="str">
        <f t="shared" si="13"/>
        <v/>
      </c>
    </row>
    <row r="627" spans="7:36" ht="24" customHeight="1">
      <c r="G627" s="176"/>
      <c r="AJ627" s="139" t="str">
        <f t="shared" si="13"/>
        <v/>
      </c>
    </row>
    <row r="628" spans="7:36" ht="24" customHeight="1">
      <c r="G628" s="176"/>
      <c r="AJ628" s="139" t="str">
        <f t="shared" si="13"/>
        <v/>
      </c>
    </row>
    <row r="629" spans="7:36" ht="24" customHeight="1">
      <c r="G629" s="176"/>
      <c r="AJ629" s="139" t="str">
        <f t="shared" si="13"/>
        <v/>
      </c>
    </row>
    <row r="630" spans="7:36" ht="24" customHeight="1">
      <c r="G630" s="176"/>
      <c r="AJ630" s="139" t="str">
        <f t="shared" si="13"/>
        <v/>
      </c>
    </row>
    <row r="631" spans="7:36" ht="24" customHeight="1">
      <c r="G631" s="176"/>
      <c r="AJ631" s="139" t="str">
        <f t="shared" si="13"/>
        <v/>
      </c>
    </row>
    <row r="632" spans="7:36" ht="24" customHeight="1">
      <c r="G632" s="176"/>
      <c r="AJ632" s="139" t="str">
        <f t="shared" si="13"/>
        <v/>
      </c>
    </row>
    <row r="633" spans="7:36" ht="24" customHeight="1">
      <c r="G633" s="176"/>
      <c r="AJ633" s="139" t="str">
        <f t="shared" si="13"/>
        <v/>
      </c>
    </row>
    <row r="634" spans="7:36" ht="24" customHeight="1">
      <c r="G634" s="176"/>
      <c r="AJ634" s="139" t="str">
        <f t="shared" si="13"/>
        <v/>
      </c>
    </row>
    <row r="635" spans="7:36" ht="24" customHeight="1">
      <c r="G635" s="176"/>
      <c r="AJ635" s="139" t="str">
        <f t="shared" si="13"/>
        <v/>
      </c>
    </row>
    <row r="636" spans="7:36" ht="24" customHeight="1">
      <c r="G636" s="176"/>
      <c r="AJ636" s="139" t="str">
        <f t="shared" si="13"/>
        <v/>
      </c>
    </row>
    <row r="637" spans="7:36" ht="24" customHeight="1">
      <c r="G637" s="176"/>
      <c r="AJ637" s="139" t="str">
        <f t="shared" si="13"/>
        <v/>
      </c>
    </row>
    <row r="638" spans="7:36" ht="24" customHeight="1">
      <c r="G638" s="176"/>
      <c r="AJ638" s="139" t="str">
        <f t="shared" si="13"/>
        <v/>
      </c>
    </row>
    <row r="639" spans="7:36" ht="24" customHeight="1">
      <c r="G639" s="176"/>
      <c r="AJ639" s="139" t="str">
        <f t="shared" si="13"/>
        <v/>
      </c>
    </row>
    <row r="640" spans="7:36" ht="24" customHeight="1">
      <c r="G640" s="176"/>
      <c r="AJ640" s="139" t="str">
        <f t="shared" si="13"/>
        <v/>
      </c>
    </row>
    <row r="641" spans="7:36" ht="24" customHeight="1">
      <c r="G641" s="176"/>
      <c r="AJ641" s="139" t="str">
        <f t="shared" si="13"/>
        <v/>
      </c>
    </row>
    <row r="642" spans="7:36" ht="24" customHeight="1">
      <c r="G642" s="176"/>
      <c r="AJ642" s="139" t="str">
        <f t="shared" si="13"/>
        <v/>
      </c>
    </row>
    <row r="643" spans="7:36" ht="24" customHeight="1">
      <c r="G643" s="176"/>
      <c r="AJ643" s="139" t="str">
        <f t="shared" si="13"/>
        <v/>
      </c>
    </row>
    <row r="644" spans="7:36" ht="24" customHeight="1">
      <c r="G644" s="176"/>
      <c r="AJ644" s="139" t="str">
        <f t="shared" si="13"/>
        <v/>
      </c>
    </row>
    <row r="645" spans="7:36" ht="24" customHeight="1">
      <c r="G645" s="176"/>
      <c r="AJ645" s="139" t="str">
        <f t="shared" si="13"/>
        <v/>
      </c>
    </row>
    <row r="646" spans="7:36" ht="24" customHeight="1">
      <c r="G646" s="176"/>
      <c r="AJ646" s="139" t="str">
        <f t="shared" si="13"/>
        <v/>
      </c>
    </row>
    <row r="647" spans="7:36" ht="24" customHeight="1">
      <c r="G647" s="176"/>
      <c r="AJ647" s="139" t="str">
        <f t="shared" si="13"/>
        <v/>
      </c>
    </row>
    <row r="648" spans="7:36" ht="24" customHeight="1">
      <c r="G648" s="176"/>
      <c r="AJ648" s="139" t="str">
        <f t="shared" si="13"/>
        <v/>
      </c>
    </row>
    <row r="649" spans="7:36" ht="24" customHeight="1">
      <c r="G649" s="176"/>
      <c r="AJ649" s="139" t="str">
        <f t="shared" ref="AJ649:AJ712" si="14">IF(C649="","",C649)</f>
        <v/>
      </c>
    </row>
    <row r="650" spans="7:36" ht="24" customHeight="1">
      <c r="G650" s="176"/>
      <c r="AJ650" s="139" t="str">
        <f t="shared" si="14"/>
        <v/>
      </c>
    </row>
    <row r="651" spans="7:36" ht="24" customHeight="1">
      <c r="G651" s="176"/>
      <c r="AJ651" s="139" t="str">
        <f t="shared" si="14"/>
        <v/>
      </c>
    </row>
    <row r="652" spans="7:36" ht="24" customHeight="1">
      <c r="G652" s="176"/>
      <c r="AJ652" s="139" t="str">
        <f t="shared" si="14"/>
        <v/>
      </c>
    </row>
    <row r="653" spans="7:36" ht="24" customHeight="1">
      <c r="G653" s="176"/>
      <c r="AJ653" s="139" t="str">
        <f t="shared" si="14"/>
        <v/>
      </c>
    </row>
    <row r="654" spans="7:36" ht="24" customHeight="1">
      <c r="G654" s="176"/>
      <c r="AJ654" s="139" t="str">
        <f t="shared" si="14"/>
        <v/>
      </c>
    </row>
    <row r="655" spans="7:36" ht="24" customHeight="1">
      <c r="G655" s="176"/>
      <c r="AJ655" s="139" t="str">
        <f t="shared" si="14"/>
        <v/>
      </c>
    </row>
    <row r="656" spans="7:36" ht="24" customHeight="1">
      <c r="G656" s="176"/>
      <c r="AJ656" s="139" t="str">
        <f t="shared" si="14"/>
        <v/>
      </c>
    </row>
    <row r="657" spans="3:42" s="3" customFormat="1" ht="23.25">
      <c r="C657" s="174"/>
      <c r="D657" s="174"/>
      <c r="E657" s="175"/>
      <c r="F657" s="417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32"/>
      <c r="S657" s="334"/>
      <c r="T657" s="180"/>
      <c r="U657" s="204"/>
      <c r="V657" s="204"/>
      <c r="W657" s="204"/>
      <c r="X657" s="204"/>
      <c r="Y657" s="407"/>
      <c r="Z657" s="407"/>
      <c r="AA657" s="405"/>
      <c r="AB657" s="405"/>
      <c r="AC657" s="438"/>
      <c r="AD657" s="441"/>
      <c r="AE657" s="439"/>
      <c r="AF657" s="177"/>
      <c r="AG657" s="178"/>
      <c r="AH657" s="174"/>
      <c r="AI657" s="174"/>
      <c r="AJ657" s="139" t="str">
        <f t="shared" si="14"/>
        <v/>
      </c>
      <c r="AP657" s="387"/>
    </row>
    <row r="658" spans="3:42" ht="24" customHeight="1">
      <c r="G658" s="176"/>
      <c r="AJ658" s="139" t="str">
        <f t="shared" si="14"/>
        <v/>
      </c>
    </row>
    <row r="659" spans="3:42" ht="24" customHeight="1">
      <c r="G659" s="176"/>
      <c r="AJ659" s="139" t="str">
        <f t="shared" si="14"/>
        <v/>
      </c>
    </row>
    <row r="660" spans="3:42" ht="24" customHeight="1">
      <c r="G660" s="176"/>
      <c r="AJ660" s="139" t="str">
        <f t="shared" si="14"/>
        <v/>
      </c>
    </row>
    <row r="661" spans="3:42" ht="24" customHeight="1">
      <c r="G661" s="176"/>
      <c r="AJ661" s="139" t="str">
        <f t="shared" si="14"/>
        <v/>
      </c>
    </row>
    <row r="662" spans="3:42" ht="24" customHeight="1">
      <c r="G662" s="176"/>
      <c r="AJ662" s="139" t="str">
        <f t="shared" si="14"/>
        <v/>
      </c>
    </row>
    <row r="663" spans="3:42" ht="24" customHeight="1">
      <c r="G663" s="176"/>
      <c r="AJ663" s="139" t="str">
        <f t="shared" si="14"/>
        <v/>
      </c>
    </row>
    <row r="664" spans="3:42" ht="24" customHeight="1">
      <c r="G664" s="176"/>
      <c r="AJ664" s="139" t="str">
        <f t="shared" si="14"/>
        <v/>
      </c>
    </row>
    <row r="665" spans="3:42" ht="24" customHeight="1">
      <c r="G665" s="176"/>
      <c r="AJ665" s="139" t="str">
        <f t="shared" si="14"/>
        <v/>
      </c>
    </row>
    <row r="666" spans="3:42" ht="24" customHeight="1">
      <c r="G666" s="176"/>
      <c r="AJ666" s="139" t="str">
        <f t="shared" si="14"/>
        <v/>
      </c>
    </row>
    <row r="667" spans="3:42" ht="24" customHeight="1">
      <c r="G667" s="176"/>
      <c r="AJ667" s="139" t="str">
        <f t="shared" si="14"/>
        <v/>
      </c>
    </row>
    <row r="668" spans="3:42" ht="24" customHeight="1">
      <c r="G668" s="176"/>
      <c r="AJ668" s="139" t="str">
        <f t="shared" si="14"/>
        <v/>
      </c>
    </row>
    <row r="669" spans="3:42" ht="24" customHeight="1">
      <c r="G669" s="176"/>
      <c r="AJ669" s="139" t="str">
        <f t="shared" si="14"/>
        <v/>
      </c>
    </row>
    <row r="670" spans="3:42" ht="24" customHeight="1">
      <c r="G670" s="176"/>
      <c r="AJ670" s="139" t="str">
        <f t="shared" si="14"/>
        <v/>
      </c>
    </row>
    <row r="671" spans="3:42" ht="24" customHeight="1">
      <c r="G671" s="176"/>
      <c r="AJ671" s="139" t="str">
        <f t="shared" si="14"/>
        <v/>
      </c>
    </row>
    <row r="672" spans="3:42" ht="24" customHeight="1">
      <c r="G672" s="176"/>
      <c r="AJ672" s="139" t="str">
        <f t="shared" si="14"/>
        <v/>
      </c>
    </row>
    <row r="673" spans="7:36" ht="24" customHeight="1">
      <c r="G673" s="176"/>
      <c r="AJ673" s="139" t="str">
        <f t="shared" si="14"/>
        <v/>
      </c>
    </row>
    <row r="674" spans="7:36" ht="24" customHeight="1">
      <c r="G674" s="176"/>
      <c r="AJ674" s="139" t="str">
        <f t="shared" si="14"/>
        <v/>
      </c>
    </row>
    <row r="675" spans="7:36" ht="24" customHeight="1">
      <c r="G675" s="176"/>
      <c r="AJ675" s="139" t="str">
        <f t="shared" si="14"/>
        <v/>
      </c>
    </row>
    <row r="676" spans="7:36" ht="24" customHeight="1">
      <c r="G676" s="176"/>
      <c r="AJ676" s="139" t="str">
        <f t="shared" si="14"/>
        <v/>
      </c>
    </row>
    <row r="677" spans="7:36" ht="24" customHeight="1">
      <c r="G677" s="176"/>
      <c r="AJ677" s="139" t="str">
        <f t="shared" si="14"/>
        <v/>
      </c>
    </row>
    <row r="678" spans="7:36" ht="24" customHeight="1">
      <c r="G678" s="176"/>
      <c r="AJ678" s="139" t="str">
        <f t="shared" si="14"/>
        <v/>
      </c>
    </row>
    <row r="679" spans="7:36" ht="24" customHeight="1">
      <c r="G679" s="176"/>
      <c r="AJ679" s="139" t="str">
        <f t="shared" si="14"/>
        <v/>
      </c>
    </row>
    <row r="680" spans="7:36" ht="24" customHeight="1">
      <c r="G680" s="176"/>
      <c r="AJ680" s="139" t="str">
        <f t="shared" si="14"/>
        <v/>
      </c>
    </row>
    <row r="681" spans="7:36" ht="24" customHeight="1">
      <c r="G681" s="176"/>
      <c r="AJ681" s="139" t="str">
        <f t="shared" si="14"/>
        <v/>
      </c>
    </row>
    <row r="682" spans="7:36" ht="24" customHeight="1">
      <c r="G682" s="176"/>
      <c r="AJ682" s="139" t="str">
        <f t="shared" si="14"/>
        <v/>
      </c>
    </row>
    <row r="683" spans="7:36" ht="24" customHeight="1">
      <c r="G683" s="176"/>
      <c r="AJ683" s="139" t="str">
        <f t="shared" si="14"/>
        <v/>
      </c>
    </row>
    <row r="684" spans="7:36" ht="24" customHeight="1">
      <c r="G684" s="176"/>
      <c r="AJ684" s="139" t="str">
        <f t="shared" si="14"/>
        <v/>
      </c>
    </row>
    <row r="685" spans="7:36" ht="24" customHeight="1">
      <c r="G685" s="176"/>
      <c r="AJ685" s="139" t="str">
        <f t="shared" si="14"/>
        <v/>
      </c>
    </row>
    <row r="686" spans="7:36" ht="24" customHeight="1">
      <c r="G686" s="176"/>
      <c r="AJ686" s="139" t="str">
        <f t="shared" si="14"/>
        <v/>
      </c>
    </row>
    <row r="687" spans="7:36" ht="24" customHeight="1">
      <c r="G687" s="176"/>
      <c r="AJ687" s="139" t="str">
        <f t="shared" si="14"/>
        <v/>
      </c>
    </row>
    <row r="688" spans="7:36" ht="24" customHeight="1">
      <c r="G688" s="176"/>
      <c r="AJ688" s="139" t="str">
        <f t="shared" si="14"/>
        <v/>
      </c>
    </row>
    <row r="689" spans="7:36" ht="24" customHeight="1">
      <c r="G689" s="176"/>
      <c r="AJ689" s="139" t="str">
        <f t="shared" si="14"/>
        <v/>
      </c>
    </row>
    <row r="690" spans="7:36" ht="24" customHeight="1">
      <c r="G690" s="176"/>
      <c r="AJ690" s="139" t="str">
        <f t="shared" si="14"/>
        <v/>
      </c>
    </row>
    <row r="691" spans="7:36" ht="24" customHeight="1">
      <c r="G691" s="176"/>
      <c r="AJ691" s="139" t="str">
        <f t="shared" si="14"/>
        <v/>
      </c>
    </row>
    <row r="692" spans="7:36" ht="24" customHeight="1">
      <c r="G692" s="176"/>
      <c r="AJ692" s="139" t="str">
        <f t="shared" si="14"/>
        <v/>
      </c>
    </row>
    <row r="693" spans="7:36" ht="24" customHeight="1">
      <c r="G693" s="176"/>
      <c r="AJ693" s="139" t="str">
        <f t="shared" si="14"/>
        <v/>
      </c>
    </row>
    <row r="694" spans="7:36" ht="24" customHeight="1">
      <c r="G694" s="176"/>
      <c r="AJ694" s="139" t="str">
        <f t="shared" si="14"/>
        <v/>
      </c>
    </row>
    <row r="695" spans="7:36" ht="24" customHeight="1">
      <c r="G695" s="176"/>
      <c r="AJ695" s="139" t="str">
        <f t="shared" si="14"/>
        <v/>
      </c>
    </row>
    <row r="696" spans="7:36" ht="24" customHeight="1">
      <c r="G696" s="176"/>
      <c r="AJ696" s="139" t="str">
        <f t="shared" si="14"/>
        <v/>
      </c>
    </row>
    <row r="697" spans="7:36" ht="24" customHeight="1">
      <c r="G697" s="176"/>
      <c r="AJ697" s="139" t="str">
        <f t="shared" si="14"/>
        <v/>
      </c>
    </row>
    <row r="698" spans="7:36" ht="24" customHeight="1">
      <c r="G698" s="176"/>
      <c r="AJ698" s="139" t="str">
        <f t="shared" si="14"/>
        <v/>
      </c>
    </row>
    <row r="699" spans="7:36" ht="24" customHeight="1">
      <c r="G699" s="176"/>
      <c r="AJ699" s="139" t="str">
        <f t="shared" si="14"/>
        <v/>
      </c>
    </row>
    <row r="700" spans="7:36" ht="24" customHeight="1">
      <c r="G700" s="176"/>
      <c r="AJ700" s="139" t="str">
        <f t="shared" si="14"/>
        <v/>
      </c>
    </row>
    <row r="701" spans="7:36" ht="24" customHeight="1">
      <c r="G701" s="176"/>
      <c r="AJ701" s="139" t="str">
        <f t="shared" si="14"/>
        <v/>
      </c>
    </row>
    <row r="702" spans="7:36" ht="24" customHeight="1">
      <c r="G702" s="176"/>
      <c r="AJ702" s="139" t="str">
        <f t="shared" si="14"/>
        <v/>
      </c>
    </row>
    <row r="703" spans="7:36" ht="24" customHeight="1">
      <c r="G703" s="176"/>
      <c r="AJ703" s="139" t="str">
        <f t="shared" si="14"/>
        <v/>
      </c>
    </row>
    <row r="704" spans="7:36" ht="24" customHeight="1">
      <c r="G704" s="176"/>
      <c r="AJ704" s="139" t="str">
        <f t="shared" si="14"/>
        <v/>
      </c>
    </row>
    <row r="705" spans="7:36" ht="24" customHeight="1">
      <c r="G705" s="176"/>
      <c r="AJ705" s="139" t="str">
        <f t="shared" si="14"/>
        <v/>
      </c>
    </row>
    <row r="706" spans="7:36" ht="24" customHeight="1">
      <c r="G706" s="176"/>
      <c r="AJ706" s="139" t="str">
        <f t="shared" si="14"/>
        <v/>
      </c>
    </row>
    <row r="707" spans="7:36" ht="24" customHeight="1">
      <c r="G707" s="176"/>
      <c r="AJ707" s="139" t="str">
        <f t="shared" si="14"/>
        <v/>
      </c>
    </row>
    <row r="708" spans="7:36" ht="24" customHeight="1">
      <c r="G708" s="176"/>
      <c r="AJ708" s="139" t="str">
        <f t="shared" si="14"/>
        <v/>
      </c>
    </row>
    <row r="709" spans="7:36" ht="24" customHeight="1">
      <c r="G709" s="176"/>
      <c r="AJ709" s="139" t="str">
        <f t="shared" si="14"/>
        <v/>
      </c>
    </row>
    <row r="710" spans="7:36" ht="24" customHeight="1">
      <c r="G710" s="176"/>
      <c r="AJ710" s="139" t="str">
        <f t="shared" si="14"/>
        <v/>
      </c>
    </row>
    <row r="711" spans="7:36" ht="24" customHeight="1">
      <c r="G711" s="176"/>
      <c r="AJ711" s="139" t="str">
        <f t="shared" si="14"/>
        <v/>
      </c>
    </row>
    <row r="712" spans="7:36" ht="24" customHeight="1">
      <c r="G712" s="176"/>
      <c r="AJ712" s="139" t="str">
        <f t="shared" si="14"/>
        <v/>
      </c>
    </row>
    <row r="713" spans="7:36" ht="24" customHeight="1">
      <c r="G713" s="176"/>
      <c r="AJ713" s="139" t="str">
        <f t="shared" ref="AJ713:AJ776" si="15">IF(C713="","",C713)</f>
        <v/>
      </c>
    </row>
    <row r="714" spans="7:36" ht="24" customHeight="1">
      <c r="G714" s="176"/>
      <c r="AJ714" s="139" t="str">
        <f t="shared" si="15"/>
        <v/>
      </c>
    </row>
    <row r="715" spans="7:36" ht="24" customHeight="1">
      <c r="G715" s="176"/>
      <c r="AJ715" s="139" t="str">
        <f t="shared" si="15"/>
        <v/>
      </c>
    </row>
    <row r="716" spans="7:36" ht="24" customHeight="1">
      <c r="G716" s="176"/>
      <c r="AJ716" s="139" t="str">
        <f t="shared" si="15"/>
        <v/>
      </c>
    </row>
    <row r="717" spans="7:36" ht="24" customHeight="1">
      <c r="G717" s="176"/>
      <c r="AJ717" s="139" t="str">
        <f t="shared" si="15"/>
        <v/>
      </c>
    </row>
    <row r="718" spans="7:36" ht="24" customHeight="1">
      <c r="G718" s="176"/>
      <c r="AJ718" s="139" t="str">
        <f t="shared" si="15"/>
        <v/>
      </c>
    </row>
    <row r="719" spans="7:36" ht="24" customHeight="1">
      <c r="G719" s="176"/>
      <c r="AJ719" s="139" t="str">
        <f t="shared" si="15"/>
        <v/>
      </c>
    </row>
    <row r="720" spans="7:36" ht="24" customHeight="1">
      <c r="G720" s="176"/>
      <c r="AJ720" s="139" t="str">
        <f t="shared" si="15"/>
        <v/>
      </c>
    </row>
    <row r="721" spans="7:36" ht="24" customHeight="1">
      <c r="G721" s="176"/>
      <c r="AJ721" s="139" t="str">
        <f t="shared" si="15"/>
        <v/>
      </c>
    </row>
    <row r="722" spans="7:36" ht="24" customHeight="1">
      <c r="G722" s="176"/>
      <c r="AJ722" s="139" t="str">
        <f t="shared" si="15"/>
        <v/>
      </c>
    </row>
    <row r="723" spans="7:36" ht="24" customHeight="1">
      <c r="G723" s="176"/>
      <c r="AJ723" s="139" t="str">
        <f t="shared" si="15"/>
        <v/>
      </c>
    </row>
    <row r="724" spans="7:36" ht="24" customHeight="1">
      <c r="G724" s="176"/>
      <c r="AJ724" s="139" t="str">
        <f t="shared" si="15"/>
        <v/>
      </c>
    </row>
    <row r="725" spans="7:36" ht="24" customHeight="1">
      <c r="G725" s="176"/>
      <c r="AJ725" s="139" t="str">
        <f t="shared" si="15"/>
        <v/>
      </c>
    </row>
    <row r="726" spans="7:36" ht="24" customHeight="1">
      <c r="G726" s="176"/>
      <c r="AJ726" s="139" t="str">
        <f t="shared" si="15"/>
        <v/>
      </c>
    </row>
    <row r="727" spans="7:36" ht="24" customHeight="1">
      <c r="G727" s="176"/>
      <c r="AJ727" s="139" t="str">
        <f t="shared" si="15"/>
        <v/>
      </c>
    </row>
    <row r="728" spans="7:36" ht="24" customHeight="1">
      <c r="G728" s="176"/>
      <c r="AJ728" s="139" t="str">
        <f t="shared" si="15"/>
        <v/>
      </c>
    </row>
    <row r="729" spans="7:36" ht="24" customHeight="1">
      <c r="G729" s="176"/>
      <c r="AJ729" s="139" t="str">
        <f t="shared" si="15"/>
        <v/>
      </c>
    </row>
    <row r="730" spans="7:36" ht="24" customHeight="1">
      <c r="G730" s="176"/>
      <c r="AJ730" s="139" t="str">
        <f t="shared" si="15"/>
        <v/>
      </c>
    </row>
    <row r="731" spans="7:36" ht="24" customHeight="1">
      <c r="G731" s="176"/>
      <c r="AJ731" s="139" t="str">
        <f t="shared" si="15"/>
        <v/>
      </c>
    </row>
    <row r="732" spans="7:36" ht="24" customHeight="1">
      <c r="G732" s="176"/>
      <c r="AJ732" s="139" t="str">
        <f t="shared" si="15"/>
        <v/>
      </c>
    </row>
    <row r="733" spans="7:36" ht="24" customHeight="1">
      <c r="G733" s="176"/>
      <c r="AJ733" s="139" t="str">
        <f t="shared" si="15"/>
        <v/>
      </c>
    </row>
    <row r="734" spans="7:36" ht="24" customHeight="1">
      <c r="G734" s="176"/>
      <c r="AJ734" s="139" t="str">
        <f t="shared" si="15"/>
        <v/>
      </c>
    </row>
    <row r="735" spans="7:36" ht="24" customHeight="1">
      <c r="G735" s="176"/>
      <c r="AJ735" s="139" t="str">
        <f t="shared" si="15"/>
        <v/>
      </c>
    </row>
    <row r="736" spans="7:36" ht="24" customHeight="1">
      <c r="G736" s="176"/>
      <c r="AJ736" s="139" t="str">
        <f t="shared" si="15"/>
        <v/>
      </c>
    </row>
    <row r="737" spans="7:36" ht="24" customHeight="1">
      <c r="G737" s="176"/>
      <c r="AJ737" s="139" t="str">
        <f t="shared" si="15"/>
        <v/>
      </c>
    </row>
    <row r="738" spans="7:36" ht="24" customHeight="1">
      <c r="G738" s="176"/>
      <c r="AJ738" s="139" t="str">
        <f t="shared" si="15"/>
        <v/>
      </c>
    </row>
    <row r="739" spans="7:36" ht="24" customHeight="1">
      <c r="G739" s="176"/>
      <c r="AJ739" s="139" t="str">
        <f t="shared" si="15"/>
        <v/>
      </c>
    </row>
    <row r="740" spans="7:36" ht="24" customHeight="1">
      <c r="G740" s="176"/>
      <c r="AJ740" s="139" t="str">
        <f t="shared" si="15"/>
        <v/>
      </c>
    </row>
    <row r="741" spans="7:36" ht="24" customHeight="1">
      <c r="G741" s="176"/>
      <c r="AJ741" s="139" t="str">
        <f t="shared" si="15"/>
        <v/>
      </c>
    </row>
    <row r="742" spans="7:36" ht="24" customHeight="1">
      <c r="G742" s="176"/>
      <c r="AJ742" s="139" t="str">
        <f t="shared" si="15"/>
        <v/>
      </c>
    </row>
    <row r="743" spans="7:36" ht="24" customHeight="1">
      <c r="G743" s="176"/>
      <c r="AJ743" s="139" t="str">
        <f t="shared" si="15"/>
        <v/>
      </c>
    </row>
    <row r="744" spans="7:36" ht="24" customHeight="1">
      <c r="G744" s="176"/>
      <c r="AJ744" s="139" t="str">
        <f t="shared" si="15"/>
        <v/>
      </c>
    </row>
    <row r="745" spans="7:36" ht="24" customHeight="1">
      <c r="G745" s="176"/>
      <c r="AJ745" s="139" t="str">
        <f t="shared" si="15"/>
        <v/>
      </c>
    </row>
    <row r="746" spans="7:36" ht="24" customHeight="1">
      <c r="G746" s="176"/>
      <c r="AJ746" s="139" t="str">
        <f t="shared" si="15"/>
        <v/>
      </c>
    </row>
    <row r="747" spans="7:36" ht="24" customHeight="1">
      <c r="G747" s="176"/>
      <c r="AJ747" s="139" t="str">
        <f t="shared" si="15"/>
        <v/>
      </c>
    </row>
    <row r="748" spans="7:36" ht="24" customHeight="1">
      <c r="G748" s="176"/>
      <c r="AJ748" s="139" t="str">
        <f t="shared" si="15"/>
        <v/>
      </c>
    </row>
    <row r="749" spans="7:36" ht="24" customHeight="1">
      <c r="G749" s="176"/>
      <c r="AJ749" s="139" t="str">
        <f t="shared" si="15"/>
        <v/>
      </c>
    </row>
    <row r="750" spans="7:36" ht="24" customHeight="1">
      <c r="G750" s="176"/>
      <c r="AJ750" s="139" t="str">
        <f t="shared" si="15"/>
        <v/>
      </c>
    </row>
    <row r="751" spans="7:36" ht="24" customHeight="1">
      <c r="G751" s="176"/>
      <c r="AJ751" s="139" t="str">
        <f t="shared" si="15"/>
        <v/>
      </c>
    </row>
    <row r="752" spans="7:36" ht="24" customHeight="1">
      <c r="G752" s="176"/>
      <c r="AJ752" s="139" t="str">
        <f t="shared" si="15"/>
        <v/>
      </c>
    </row>
    <row r="753" spans="7:36" ht="24" customHeight="1">
      <c r="G753" s="176"/>
      <c r="AJ753" s="139" t="str">
        <f t="shared" si="15"/>
        <v/>
      </c>
    </row>
    <row r="754" spans="7:36" ht="24" customHeight="1">
      <c r="G754" s="176"/>
      <c r="AJ754" s="139" t="str">
        <f t="shared" si="15"/>
        <v/>
      </c>
    </row>
    <row r="755" spans="7:36" ht="24" customHeight="1">
      <c r="G755" s="176"/>
      <c r="AJ755" s="139" t="str">
        <f t="shared" si="15"/>
        <v/>
      </c>
    </row>
    <row r="756" spans="7:36" ht="24" customHeight="1">
      <c r="G756" s="176"/>
      <c r="AJ756" s="139" t="str">
        <f t="shared" si="15"/>
        <v/>
      </c>
    </row>
    <row r="757" spans="7:36" ht="24" customHeight="1">
      <c r="G757" s="176"/>
      <c r="AJ757" s="139" t="str">
        <f t="shared" si="15"/>
        <v/>
      </c>
    </row>
    <row r="758" spans="7:36" ht="24" customHeight="1">
      <c r="G758" s="176"/>
      <c r="AJ758" s="139" t="str">
        <f t="shared" si="15"/>
        <v/>
      </c>
    </row>
    <row r="759" spans="7:36" ht="24" customHeight="1">
      <c r="G759" s="176"/>
      <c r="AJ759" s="139" t="str">
        <f t="shared" si="15"/>
        <v/>
      </c>
    </row>
    <row r="760" spans="7:36" ht="24" customHeight="1">
      <c r="G760" s="176"/>
      <c r="AJ760" s="139" t="str">
        <f t="shared" si="15"/>
        <v/>
      </c>
    </row>
    <row r="761" spans="7:36" ht="24" customHeight="1">
      <c r="G761" s="176"/>
      <c r="AJ761" s="139" t="str">
        <f t="shared" si="15"/>
        <v/>
      </c>
    </row>
    <row r="762" spans="7:36" ht="24" customHeight="1">
      <c r="G762" s="176"/>
      <c r="AJ762" s="139" t="str">
        <f t="shared" si="15"/>
        <v/>
      </c>
    </row>
    <row r="763" spans="7:36" ht="24" customHeight="1">
      <c r="G763" s="176"/>
      <c r="AJ763" s="139" t="str">
        <f t="shared" si="15"/>
        <v/>
      </c>
    </row>
    <row r="764" spans="7:36" ht="23.25">
      <c r="G764" s="176"/>
      <c r="S764" s="334"/>
      <c r="AJ764" s="139" t="str">
        <f t="shared" si="15"/>
        <v/>
      </c>
    </row>
    <row r="765" spans="7:36" ht="24" customHeight="1">
      <c r="G765" s="176"/>
      <c r="AJ765" s="139" t="str">
        <f t="shared" si="15"/>
        <v/>
      </c>
    </row>
    <row r="766" spans="7:36" ht="23.25">
      <c r="G766" s="176"/>
      <c r="AJ766" s="139" t="str">
        <f t="shared" si="15"/>
        <v/>
      </c>
    </row>
    <row r="767" spans="7:36" ht="24" customHeight="1">
      <c r="G767" s="176"/>
      <c r="AJ767" s="139" t="str">
        <f t="shared" si="15"/>
        <v/>
      </c>
    </row>
    <row r="768" spans="7:36" ht="24" customHeight="1">
      <c r="G768" s="176"/>
      <c r="AJ768" s="139" t="str">
        <f t="shared" si="15"/>
        <v/>
      </c>
    </row>
    <row r="769" spans="7:36" ht="24" customHeight="1">
      <c r="G769" s="176"/>
      <c r="AJ769" s="139" t="str">
        <f t="shared" si="15"/>
        <v/>
      </c>
    </row>
    <row r="770" spans="7:36" ht="24" customHeight="1">
      <c r="G770" s="176"/>
      <c r="AJ770" s="139" t="str">
        <f t="shared" si="15"/>
        <v/>
      </c>
    </row>
    <row r="771" spans="7:36" ht="24" customHeight="1">
      <c r="G771" s="176"/>
      <c r="AJ771" s="139" t="str">
        <f t="shared" si="15"/>
        <v/>
      </c>
    </row>
    <row r="772" spans="7:36" ht="24" customHeight="1">
      <c r="G772" s="176"/>
      <c r="AJ772" s="139" t="str">
        <f t="shared" si="15"/>
        <v/>
      </c>
    </row>
    <row r="773" spans="7:36" ht="24" customHeight="1">
      <c r="G773" s="176"/>
      <c r="AJ773" s="139" t="str">
        <f t="shared" si="15"/>
        <v/>
      </c>
    </row>
    <row r="774" spans="7:36" ht="24" customHeight="1">
      <c r="G774" s="176"/>
      <c r="AJ774" s="139" t="str">
        <f t="shared" si="15"/>
        <v/>
      </c>
    </row>
    <row r="775" spans="7:36" ht="24" customHeight="1">
      <c r="G775" s="176"/>
      <c r="AJ775" s="139" t="str">
        <f t="shared" si="15"/>
        <v/>
      </c>
    </row>
    <row r="776" spans="7:36" ht="24" customHeight="1">
      <c r="G776" s="176"/>
      <c r="AJ776" s="139" t="str">
        <f t="shared" si="15"/>
        <v/>
      </c>
    </row>
    <row r="777" spans="7:36" ht="24" customHeight="1">
      <c r="G777" s="176"/>
      <c r="AJ777" s="139" t="str">
        <f t="shared" ref="AJ777:AJ840" si="16">IF(C777="","",C777)</f>
        <v/>
      </c>
    </row>
    <row r="778" spans="7:36" ht="24" customHeight="1">
      <c r="G778" s="176"/>
      <c r="AJ778" s="139" t="str">
        <f t="shared" si="16"/>
        <v/>
      </c>
    </row>
    <row r="779" spans="7:36" ht="24" customHeight="1">
      <c r="G779" s="176"/>
      <c r="AJ779" s="139" t="str">
        <f t="shared" si="16"/>
        <v/>
      </c>
    </row>
    <row r="780" spans="7:36" ht="24" customHeight="1">
      <c r="G780" s="176"/>
      <c r="AJ780" s="139" t="str">
        <f t="shared" si="16"/>
        <v/>
      </c>
    </row>
    <row r="781" spans="7:36" ht="24" customHeight="1">
      <c r="G781" s="176"/>
      <c r="AJ781" s="139" t="str">
        <f t="shared" si="16"/>
        <v/>
      </c>
    </row>
    <row r="782" spans="7:36" ht="24" customHeight="1">
      <c r="G782" s="176"/>
      <c r="AJ782" s="139" t="str">
        <f t="shared" si="16"/>
        <v/>
      </c>
    </row>
    <row r="783" spans="7:36" ht="24" customHeight="1">
      <c r="G783" s="176"/>
      <c r="AJ783" s="139" t="str">
        <f t="shared" si="16"/>
        <v/>
      </c>
    </row>
    <row r="784" spans="7:36" ht="24" customHeight="1">
      <c r="G784" s="176"/>
      <c r="AJ784" s="139" t="str">
        <f t="shared" si="16"/>
        <v/>
      </c>
    </row>
    <row r="785" spans="7:36" ht="24" customHeight="1">
      <c r="G785" s="176"/>
      <c r="AJ785" s="139" t="str">
        <f t="shared" si="16"/>
        <v/>
      </c>
    </row>
    <row r="786" spans="7:36" ht="24" customHeight="1">
      <c r="G786" s="176"/>
      <c r="AJ786" s="139" t="str">
        <f t="shared" si="16"/>
        <v/>
      </c>
    </row>
    <row r="787" spans="7:36" ht="24" customHeight="1">
      <c r="G787" s="176"/>
      <c r="AJ787" s="139" t="str">
        <f t="shared" si="16"/>
        <v/>
      </c>
    </row>
    <row r="788" spans="7:36" ht="24" customHeight="1">
      <c r="G788" s="176"/>
      <c r="AJ788" s="139" t="str">
        <f t="shared" si="16"/>
        <v/>
      </c>
    </row>
    <row r="789" spans="7:36" ht="24" customHeight="1">
      <c r="G789" s="176"/>
      <c r="AJ789" s="139" t="str">
        <f t="shared" si="16"/>
        <v/>
      </c>
    </row>
    <row r="790" spans="7:36" ht="24" customHeight="1">
      <c r="G790" s="176"/>
      <c r="AJ790" s="139" t="str">
        <f t="shared" si="16"/>
        <v/>
      </c>
    </row>
    <row r="791" spans="7:36" ht="24" customHeight="1">
      <c r="G791" s="176"/>
      <c r="AJ791" s="139" t="str">
        <f t="shared" si="16"/>
        <v/>
      </c>
    </row>
    <row r="792" spans="7:36" ht="24" customHeight="1">
      <c r="G792" s="176"/>
      <c r="AJ792" s="139" t="str">
        <f t="shared" si="16"/>
        <v/>
      </c>
    </row>
    <row r="793" spans="7:36" ht="24" customHeight="1">
      <c r="G793" s="176"/>
      <c r="AJ793" s="139" t="str">
        <f t="shared" si="16"/>
        <v/>
      </c>
    </row>
    <row r="794" spans="7:36" ht="24" customHeight="1">
      <c r="G794" s="176"/>
      <c r="AJ794" s="139" t="str">
        <f t="shared" si="16"/>
        <v/>
      </c>
    </row>
    <row r="795" spans="7:36" ht="24" customHeight="1">
      <c r="G795" s="176"/>
      <c r="AJ795" s="139" t="str">
        <f t="shared" si="16"/>
        <v/>
      </c>
    </row>
    <row r="796" spans="7:36" ht="24" customHeight="1">
      <c r="G796" s="176"/>
      <c r="AJ796" s="139" t="str">
        <f t="shared" si="16"/>
        <v/>
      </c>
    </row>
    <row r="797" spans="7:36" ht="24" customHeight="1">
      <c r="G797" s="176"/>
      <c r="AJ797" s="139" t="str">
        <f t="shared" si="16"/>
        <v/>
      </c>
    </row>
    <row r="798" spans="7:36" ht="24" customHeight="1">
      <c r="G798" s="176"/>
      <c r="AJ798" s="139" t="str">
        <f t="shared" si="16"/>
        <v/>
      </c>
    </row>
    <row r="799" spans="7:36" ht="24" customHeight="1">
      <c r="G799" s="176"/>
      <c r="AJ799" s="139" t="str">
        <f t="shared" si="16"/>
        <v/>
      </c>
    </row>
    <row r="800" spans="7:36" ht="24" customHeight="1">
      <c r="G800" s="176"/>
      <c r="AJ800" s="139" t="str">
        <f t="shared" si="16"/>
        <v/>
      </c>
    </row>
    <row r="801" spans="7:36" ht="24" customHeight="1">
      <c r="G801" s="176"/>
      <c r="AJ801" s="139" t="str">
        <f t="shared" si="16"/>
        <v/>
      </c>
    </row>
    <row r="802" spans="7:36" ht="24" customHeight="1">
      <c r="G802" s="176"/>
      <c r="AJ802" s="139" t="str">
        <f t="shared" si="16"/>
        <v/>
      </c>
    </row>
    <row r="803" spans="7:36" ht="24" customHeight="1">
      <c r="G803" s="176"/>
      <c r="AJ803" s="139" t="str">
        <f t="shared" si="16"/>
        <v/>
      </c>
    </row>
    <row r="804" spans="7:36" ht="24" customHeight="1">
      <c r="G804" s="176"/>
      <c r="AJ804" s="139" t="str">
        <f t="shared" si="16"/>
        <v/>
      </c>
    </row>
    <row r="805" spans="7:36" ht="24" customHeight="1">
      <c r="G805" s="176"/>
      <c r="AJ805" s="139" t="str">
        <f t="shared" si="16"/>
        <v/>
      </c>
    </row>
    <row r="806" spans="7:36" ht="24" customHeight="1">
      <c r="G806" s="176"/>
      <c r="AJ806" s="139" t="str">
        <f t="shared" si="16"/>
        <v/>
      </c>
    </row>
    <row r="807" spans="7:36" ht="24" customHeight="1">
      <c r="G807" s="176"/>
      <c r="AJ807" s="139" t="str">
        <f t="shared" si="16"/>
        <v/>
      </c>
    </row>
    <row r="808" spans="7:36" ht="24" customHeight="1">
      <c r="G808" s="176"/>
      <c r="AJ808" s="139" t="str">
        <f t="shared" si="16"/>
        <v/>
      </c>
    </row>
    <row r="809" spans="7:36" ht="24" customHeight="1">
      <c r="G809" s="176"/>
      <c r="AJ809" s="139" t="str">
        <f t="shared" si="16"/>
        <v/>
      </c>
    </row>
    <row r="810" spans="7:36" ht="24" customHeight="1">
      <c r="G810" s="176"/>
      <c r="AJ810" s="139" t="str">
        <f t="shared" si="16"/>
        <v/>
      </c>
    </row>
    <row r="811" spans="7:36" ht="24" customHeight="1">
      <c r="G811" s="176"/>
      <c r="AJ811" s="139" t="str">
        <f t="shared" si="16"/>
        <v/>
      </c>
    </row>
    <row r="812" spans="7:36" ht="24" customHeight="1">
      <c r="G812" s="176"/>
      <c r="AJ812" s="139" t="str">
        <f t="shared" si="16"/>
        <v/>
      </c>
    </row>
    <row r="813" spans="7:36" ht="24" customHeight="1">
      <c r="G813" s="176"/>
      <c r="AJ813" s="139" t="str">
        <f t="shared" si="16"/>
        <v/>
      </c>
    </row>
    <row r="814" spans="7:36" ht="24" customHeight="1">
      <c r="G814" s="176"/>
      <c r="AJ814" s="139" t="str">
        <f t="shared" si="16"/>
        <v/>
      </c>
    </row>
    <row r="815" spans="7:36" ht="24" customHeight="1">
      <c r="G815" s="176"/>
      <c r="AJ815" s="139" t="str">
        <f t="shared" si="16"/>
        <v/>
      </c>
    </row>
    <row r="816" spans="7:36" ht="24" customHeight="1">
      <c r="G816" s="176"/>
      <c r="AJ816" s="139" t="str">
        <f t="shared" si="16"/>
        <v/>
      </c>
    </row>
    <row r="817" spans="7:36" ht="24" customHeight="1">
      <c r="G817" s="176"/>
      <c r="AJ817" s="139" t="str">
        <f t="shared" si="16"/>
        <v/>
      </c>
    </row>
    <row r="818" spans="7:36" ht="24" customHeight="1">
      <c r="G818" s="176"/>
      <c r="AJ818" s="139" t="str">
        <f t="shared" si="16"/>
        <v/>
      </c>
    </row>
    <row r="819" spans="7:36" ht="24" customHeight="1">
      <c r="G819" s="176"/>
      <c r="AJ819" s="139" t="str">
        <f t="shared" si="16"/>
        <v/>
      </c>
    </row>
    <row r="820" spans="7:36" ht="24" customHeight="1">
      <c r="G820" s="176"/>
      <c r="AJ820" s="139" t="str">
        <f t="shared" si="16"/>
        <v/>
      </c>
    </row>
    <row r="821" spans="7:36" ht="24" customHeight="1">
      <c r="G821" s="176"/>
      <c r="AJ821" s="139" t="str">
        <f t="shared" si="16"/>
        <v/>
      </c>
    </row>
    <row r="822" spans="7:36" ht="24" customHeight="1">
      <c r="G822" s="176"/>
      <c r="AJ822" s="139" t="str">
        <f t="shared" si="16"/>
        <v/>
      </c>
    </row>
    <row r="823" spans="7:36" ht="24" customHeight="1">
      <c r="G823" s="176"/>
      <c r="AJ823" s="139" t="str">
        <f t="shared" si="16"/>
        <v/>
      </c>
    </row>
    <row r="824" spans="7:36" ht="24" customHeight="1">
      <c r="G824" s="176"/>
      <c r="AJ824" s="139" t="str">
        <f t="shared" si="16"/>
        <v/>
      </c>
    </row>
    <row r="825" spans="7:36" ht="24" customHeight="1">
      <c r="G825" s="176"/>
      <c r="AJ825" s="139" t="str">
        <f t="shared" si="16"/>
        <v/>
      </c>
    </row>
    <row r="826" spans="7:36" ht="24" customHeight="1">
      <c r="G826" s="176"/>
      <c r="AJ826" s="139" t="str">
        <f t="shared" si="16"/>
        <v/>
      </c>
    </row>
    <row r="827" spans="7:36" ht="24" customHeight="1">
      <c r="G827" s="176"/>
      <c r="AJ827" s="139" t="str">
        <f t="shared" si="16"/>
        <v/>
      </c>
    </row>
    <row r="828" spans="7:36" ht="24" customHeight="1">
      <c r="G828" s="176"/>
      <c r="AJ828" s="139" t="str">
        <f t="shared" si="16"/>
        <v/>
      </c>
    </row>
    <row r="829" spans="7:36" ht="24" customHeight="1">
      <c r="G829" s="176"/>
      <c r="AJ829" s="139" t="str">
        <f t="shared" si="16"/>
        <v/>
      </c>
    </row>
    <row r="830" spans="7:36" ht="23.25">
      <c r="G830" s="176"/>
      <c r="S830" s="334"/>
      <c r="AJ830" s="139" t="str">
        <f t="shared" si="16"/>
        <v/>
      </c>
    </row>
    <row r="831" spans="7:36" ht="24" customHeight="1">
      <c r="G831" s="176"/>
      <c r="AJ831" s="139" t="str">
        <f t="shared" si="16"/>
        <v/>
      </c>
    </row>
    <row r="832" spans="7:36" ht="24" customHeight="1">
      <c r="G832" s="176"/>
      <c r="AJ832" s="139" t="str">
        <f t="shared" si="16"/>
        <v/>
      </c>
    </row>
    <row r="833" spans="7:36" ht="24" customHeight="1">
      <c r="G833" s="176"/>
      <c r="AJ833" s="139" t="str">
        <f t="shared" si="16"/>
        <v/>
      </c>
    </row>
    <row r="834" spans="7:36" ht="24" customHeight="1">
      <c r="G834" s="176"/>
      <c r="AJ834" s="139" t="str">
        <f t="shared" si="16"/>
        <v/>
      </c>
    </row>
    <row r="835" spans="7:36" ht="24" customHeight="1">
      <c r="G835" s="176"/>
      <c r="AJ835" s="139" t="str">
        <f t="shared" si="16"/>
        <v/>
      </c>
    </row>
    <row r="836" spans="7:36" ht="24" customHeight="1">
      <c r="G836" s="176"/>
      <c r="AJ836" s="139" t="str">
        <f t="shared" si="16"/>
        <v/>
      </c>
    </row>
    <row r="837" spans="7:36" ht="24" customHeight="1">
      <c r="G837" s="176"/>
      <c r="AJ837" s="139" t="str">
        <f t="shared" si="16"/>
        <v/>
      </c>
    </row>
    <row r="838" spans="7:36" ht="24" customHeight="1">
      <c r="G838" s="176"/>
      <c r="AJ838" s="139" t="str">
        <f t="shared" si="16"/>
        <v/>
      </c>
    </row>
    <row r="839" spans="7:36" ht="24" customHeight="1">
      <c r="G839" s="176"/>
      <c r="AJ839" s="139" t="str">
        <f t="shared" si="16"/>
        <v/>
      </c>
    </row>
    <row r="840" spans="7:36" ht="24" customHeight="1">
      <c r="G840" s="176"/>
      <c r="AJ840" s="139" t="str">
        <f t="shared" si="16"/>
        <v/>
      </c>
    </row>
    <row r="841" spans="7:36" ht="24" customHeight="1">
      <c r="G841" s="176"/>
      <c r="AJ841" s="139" t="str">
        <f t="shared" ref="AJ841:AJ904" si="17">IF(C841="","",C841)</f>
        <v/>
      </c>
    </row>
    <row r="842" spans="7:36" ht="24" customHeight="1">
      <c r="G842" s="176"/>
      <c r="AJ842" s="139" t="str">
        <f t="shared" si="17"/>
        <v/>
      </c>
    </row>
    <row r="843" spans="7:36" ht="24" customHeight="1">
      <c r="G843" s="176"/>
      <c r="AJ843" s="139" t="str">
        <f t="shared" si="17"/>
        <v/>
      </c>
    </row>
    <row r="844" spans="7:36" ht="24" customHeight="1">
      <c r="G844" s="176"/>
      <c r="AJ844" s="139" t="str">
        <f t="shared" si="17"/>
        <v/>
      </c>
    </row>
    <row r="845" spans="7:36" ht="24" customHeight="1">
      <c r="G845" s="176"/>
      <c r="AJ845" s="139" t="str">
        <f t="shared" si="17"/>
        <v/>
      </c>
    </row>
    <row r="846" spans="7:36" ht="24" customHeight="1">
      <c r="G846" s="176"/>
      <c r="AJ846" s="139" t="str">
        <f t="shared" si="17"/>
        <v/>
      </c>
    </row>
    <row r="847" spans="7:36" ht="24" customHeight="1">
      <c r="G847" s="176"/>
      <c r="AJ847" s="139" t="str">
        <f t="shared" si="17"/>
        <v/>
      </c>
    </row>
    <row r="848" spans="7:36" ht="24" customHeight="1">
      <c r="G848" s="176"/>
      <c r="AJ848" s="139" t="str">
        <f t="shared" si="17"/>
        <v/>
      </c>
    </row>
    <row r="849" spans="7:36" ht="24" customHeight="1">
      <c r="G849" s="176"/>
      <c r="AJ849" s="139" t="str">
        <f t="shared" si="17"/>
        <v/>
      </c>
    </row>
    <row r="850" spans="7:36" ht="24" customHeight="1">
      <c r="G850" s="176"/>
      <c r="AJ850" s="139" t="str">
        <f t="shared" si="17"/>
        <v/>
      </c>
    </row>
    <row r="851" spans="7:36" ht="24" customHeight="1">
      <c r="G851" s="176"/>
      <c r="AJ851" s="139" t="str">
        <f t="shared" si="17"/>
        <v/>
      </c>
    </row>
    <row r="852" spans="7:36" ht="24" customHeight="1">
      <c r="G852" s="176"/>
      <c r="AJ852" s="139" t="str">
        <f t="shared" si="17"/>
        <v/>
      </c>
    </row>
    <row r="853" spans="7:36" ht="24" customHeight="1">
      <c r="G853" s="176"/>
      <c r="AJ853" s="139" t="str">
        <f t="shared" si="17"/>
        <v/>
      </c>
    </row>
    <row r="854" spans="7:36" ht="24" customHeight="1">
      <c r="G854" s="176"/>
      <c r="AJ854" s="139" t="str">
        <f t="shared" si="17"/>
        <v/>
      </c>
    </row>
    <row r="855" spans="7:36" ht="24" customHeight="1">
      <c r="G855" s="176"/>
      <c r="AJ855" s="139" t="str">
        <f t="shared" si="17"/>
        <v/>
      </c>
    </row>
    <row r="856" spans="7:36" ht="24" customHeight="1">
      <c r="G856" s="176"/>
      <c r="AJ856" s="139" t="str">
        <f t="shared" si="17"/>
        <v/>
      </c>
    </row>
    <row r="857" spans="7:36" ht="24" customHeight="1">
      <c r="G857" s="176"/>
      <c r="AJ857" s="139" t="str">
        <f t="shared" si="17"/>
        <v/>
      </c>
    </row>
    <row r="858" spans="7:36" ht="24" customHeight="1">
      <c r="G858" s="176"/>
      <c r="AJ858" s="139" t="str">
        <f t="shared" si="17"/>
        <v/>
      </c>
    </row>
    <row r="859" spans="7:36" ht="24" customHeight="1">
      <c r="G859" s="176"/>
      <c r="AJ859" s="139" t="str">
        <f t="shared" si="17"/>
        <v/>
      </c>
    </row>
    <row r="860" spans="7:36" ht="24" customHeight="1">
      <c r="G860" s="176"/>
      <c r="AJ860" s="139" t="str">
        <f t="shared" si="17"/>
        <v/>
      </c>
    </row>
    <row r="861" spans="7:36" ht="24" customHeight="1">
      <c r="G861" s="176"/>
      <c r="AJ861" s="139" t="str">
        <f t="shared" si="17"/>
        <v/>
      </c>
    </row>
    <row r="862" spans="7:36" ht="24" customHeight="1">
      <c r="G862" s="176"/>
      <c r="AJ862" s="139" t="str">
        <f t="shared" si="17"/>
        <v/>
      </c>
    </row>
    <row r="863" spans="7:36" ht="24" customHeight="1">
      <c r="G863" s="176"/>
      <c r="AJ863" s="139" t="str">
        <f t="shared" si="17"/>
        <v/>
      </c>
    </row>
    <row r="864" spans="7:36" ht="24" customHeight="1">
      <c r="G864" s="176"/>
      <c r="AJ864" s="139" t="str">
        <f t="shared" si="17"/>
        <v/>
      </c>
    </row>
    <row r="865" spans="7:36" ht="24" customHeight="1">
      <c r="G865" s="176"/>
      <c r="AJ865" s="139" t="str">
        <f t="shared" si="17"/>
        <v/>
      </c>
    </row>
    <row r="866" spans="7:36" ht="24" customHeight="1">
      <c r="G866" s="176"/>
      <c r="AJ866" s="139" t="str">
        <f t="shared" si="17"/>
        <v/>
      </c>
    </row>
    <row r="867" spans="7:36" ht="24" customHeight="1">
      <c r="G867" s="176"/>
      <c r="AJ867" s="139" t="str">
        <f t="shared" si="17"/>
        <v/>
      </c>
    </row>
    <row r="868" spans="7:36" ht="24" customHeight="1">
      <c r="G868" s="176"/>
      <c r="AJ868" s="139" t="str">
        <f t="shared" si="17"/>
        <v/>
      </c>
    </row>
    <row r="869" spans="7:36" ht="24" customHeight="1">
      <c r="G869" s="176"/>
      <c r="AJ869" s="139" t="str">
        <f t="shared" si="17"/>
        <v/>
      </c>
    </row>
    <row r="870" spans="7:36" ht="24" customHeight="1">
      <c r="G870" s="176"/>
      <c r="AJ870" s="139" t="str">
        <f t="shared" si="17"/>
        <v/>
      </c>
    </row>
    <row r="871" spans="7:36" ht="24" customHeight="1">
      <c r="G871" s="176"/>
      <c r="AJ871" s="139" t="str">
        <f t="shared" si="17"/>
        <v/>
      </c>
    </row>
    <row r="872" spans="7:36" ht="24" customHeight="1">
      <c r="G872" s="176"/>
      <c r="AJ872" s="139" t="str">
        <f t="shared" si="17"/>
        <v/>
      </c>
    </row>
    <row r="873" spans="7:36" ht="24" customHeight="1">
      <c r="G873" s="176"/>
      <c r="AJ873" s="139" t="str">
        <f t="shared" si="17"/>
        <v/>
      </c>
    </row>
    <row r="874" spans="7:36" ht="24" customHeight="1">
      <c r="G874" s="176"/>
      <c r="AJ874" s="139" t="str">
        <f t="shared" si="17"/>
        <v/>
      </c>
    </row>
    <row r="875" spans="7:36" ht="24" customHeight="1">
      <c r="G875" s="176"/>
      <c r="AJ875" s="139" t="str">
        <f t="shared" si="17"/>
        <v/>
      </c>
    </row>
    <row r="876" spans="7:36" ht="24" customHeight="1">
      <c r="G876" s="176"/>
      <c r="AJ876" s="139" t="str">
        <f t="shared" si="17"/>
        <v/>
      </c>
    </row>
    <row r="877" spans="7:36" ht="24" customHeight="1">
      <c r="G877" s="176"/>
      <c r="AJ877" s="139" t="str">
        <f t="shared" si="17"/>
        <v/>
      </c>
    </row>
    <row r="878" spans="7:36" ht="24" customHeight="1">
      <c r="G878" s="176"/>
      <c r="AJ878" s="139" t="str">
        <f t="shared" si="17"/>
        <v/>
      </c>
    </row>
    <row r="879" spans="7:36" ht="24" customHeight="1">
      <c r="G879" s="176"/>
      <c r="AJ879" s="139" t="str">
        <f t="shared" si="17"/>
        <v/>
      </c>
    </row>
    <row r="880" spans="7:36" ht="24" customHeight="1">
      <c r="G880" s="176"/>
      <c r="AJ880" s="139" t="str">
        <f t="shared" si="17"/>
        <v/>
      </c>
    </row>
    <row r="881" spans="7:36" ht="24" customHeight="1">
      <c r="G881" s="176"/>
      <c r="AJ881" s="139" t="str">
        <f t="shared" si="17"/>
        <v/>
      </c>
    </row>
    <row r="882" spans="7:36" ht="24" customHeight="1">
      <c r="G882" s="176"/>
      <c r="AJ882" s="139" t="str">
        <f t="shared" si="17"/>
        <v/>
      </c>
    </row>
    <row r="883" spans="7:36" ht="24" customHeight="1">
      <c r="G883" s="176"/>
      <c r="AJ883" s="139" t="str">
        <f t="shared" si="17"/>
        <v/>
      </c>
    </row>
    <row r="884" spans="7:36" ht="24" customHeight="1">
      <c r="G884" s="176"/>
      <c r="AJ884" s="139" t="str">
        <f t="shared" si="17"/>
        <v/>
      </c>
    </row>
    <row r="885" spans="7:36" ht="24" customHeight="1">
      <c r="G885" s="176"/>
      <c r="AJ885" s="139" t="str">
        <f t="shared" si="17"/>
        <v/>
      </c>
    </row>
    <row r="886" spans="7:36" ht="24" customHeight="1">
      <c r="G886" s="176"/>
      <c r="AJ886" s="139" t="str">
        <f t="shared" si="17"/>
        <v/>
      </c>
    </row>
    <row r="887" spans="7:36" ht="24" customHeight="1">
      <c r="G887" s="176"/>
      <c r="AJ887" s="139" t="str">
        <f t="shared" si="17"/>
        <v/>
      </c>
    </row>
    <row r="888" spans="7:36" ht="24" customHeight="1">
      <c r="G888" s="176"/>
      <c r="AJ888" s="139" t="str">
        <f t="shared" si="17"/>
        <v/>
      </c>
    </row>
    <row r="889" spans="7:36" ht="24" customHeight="1">
      <c r="G889" s="176"/>
      <c r="AJ889" s="139" t="str">
        <f t="shared" si="17"/>
        <v/>
      </c>
    </row>
    <row r="890" spans="7:36" ht="24" customHeight="1">
      <c r="G890" s="176"/>
      <c r="AJ890" s="139" t="str">
        <f t="shared" si="17"/>
        <v/>
      </c>
    </row>
    <row r="891" spans="7:36" ht="24" customHeight="1">
      <c r="G891" s="176"/>
      <c r="AJ891" s="139" t="str">
        <f t="shared" si="17"/>
        <v/>
      </c>
    </row>
    <row r="892" spans="7:36" ht="24" customHeight="1">
      <c r="G892" s="176"/>
      <c r="AJ892" s="139" t="str">
        <f t="shared" si="17"/>
        <v/>
      </c>
    </row>
    <row r="893" spans="7:36" ht="24" customHeight="1">
      <c r="G893" s="176"/>
      <c r="AJ893" s="139" t="str">
        <f t="shared" si="17"/>
        <v/>
      </c>
    </row>
    <row r="894" spans="7:36" ht="24" customHeight="1">
      <c r="G894" s="176"/>
      <c r="AJ894" s="139" t="str">
        <f t="shared" si="17"/>
        <v/>
      </c>
    </row>
    <row r="895" spans="7:36" ht="24" customHeight="1">
      <c r="AJ895" s="139" t="str">
        <f t="shared" si="17"/>
        <v/>
      </c>
    </row>
    <row r="896" spans="7:36" ht="24" customHeight="1">
      <c r="AJ896" s="139" t="str">
        <f t="shared" si="17"/>
        <v/>
      </c>
    </row>
    <row r="897" spans="36:36" ht="24" customHeight="1">
      <c r="AJ897" s="139" t="str">
        <f t="shared" si="17"/>
        <v/>
      </c>
    </row>
    <row r="898" spans="36:36" ht="24" customHeight="1">
      <c r="AJ898" s="139" t="str">
        <f t="shared" si="17"/>
        <v/>
      </c>
    </row>
    <row r="899" spans="36:36" ht="24" customHeight="1">
      <c r="AJ899" s="139" t="str">
        <f t="shared" si="17"/>
        <v/>
      </c>
    </row>
    <row r="900" spans="36:36" ht="24" customHeight="1">
      <c r="AJ900" s="139" t="str">
        <f t="shared" si="17"/>
        <v/>
      </c>
    </row>
    <row r="901" spans="36:36" ht="24" customHeight="1">
      <c r="AJ901" s="139" t="str">
        <f t="shared" si="17"/>
        <v/>
      </c>
    </row>
    <row r="902" spans="36:36" ht="24" customHeight="1">
      <c r="AJ902" s="139" t="str">
        <f t="shared" si="17"/>
        <v/>
      </c>
    </row>
    <row r="903" spans="36:36" ht="24" customHeight="1">
      <c r="AJ903" s="139" t="str">
        <f t="shared" si="17"/>
        <v/>
      </c>
    </row>
    <row r="904" spans="36:36" ht="24" customHeight="1">
      <c r="AJ904" s="139" t="str">
        <f t="shared" si="17"/>
        <v/>
      </c>
    </row>
    <row r="905" spans="36:36" ht="24" customHeight="1">
      <c r="AJ905" s="139" t="str">
        <f t="shared" ref="AJ905:AJ968" si="18">IF(C905="","",C905)</f>
        <v/>
      </c>
    </row>
    <row r="906" spans="36:36" ht="24" customHeight="1">
      <c r="AJ906" s="139" t="str">
        <f t="shared" si="18"/>
        <v/>
      </c>
    </row>
    <row r="907" spans="36:36" ht="24" customHeight="1">
      <c r="AJ907" s="139" t="str">
        <f t="shared" si="18"/>
        <v/>
      </c>
    </row>
    <row r="908" spans="36:36" ht="24" customHeight="1">
      <c r="AJ908" s="139" t="str">
        <f t="shared" si="18"/>
        <v/>
      </c>
    </row>
    <row r="909" spans="36:36" ht="24" customHeight="1">
      <c r="AJ909" s="139" t="str">
        <f t="shared" si="18"/>
        <v/>
      </c>
    </row>
    <row r="910" spans="36:36" ht="24" customHeight="1">
      <c r="AJ910" s="139" t="str">
        <f t="shared" si="18"/>
        <v/>
      </c>
    </row>
    <row r="911" spans="36:36" ht="24" customHeight="1">
      <c r="AJ911" s="139" t="str">
        <f t="shared" si="18"/>
        <v/>
      </c>
    </row>
    <row r="912" spans="36:36" ht="24" customHeight="1">
      <c r="AJ912" s="139" t="str">
        <f t="shared" si="18"/>
        <v/>
      </c>
    </row>
    <row r="913" spans="36:36" ht="24" customHeight="1">
      <c r="AJ913" s="139" t="str">
        <f t="shared" si="18"/>
        <v/>
      </c>
    </row>
    <row r="914" spans="36:36" ht="24" customHeight="1">
      <c r="AJ914" s="139" t="str">
        <f t="shared" si="18"/>
        <v/>
      </c>
    </row>
    <row r="915" spans="36:36" ht="24" customHeight="1">
      <c r="AJ915" s="139" t="str">
        <f t="shared" si="18"/>
        <v/>
      </c>
    </row>
    <row r="916" spans="36:36" ht="24" customHeight="1">
      <c r="AJ916" s="139" t="str">
        <f t="shared" si="18"/>
        <v/>
      </c>
    </row>
    <row r="917" spans="36:36" ht="24" customHeight="1">
      <c r="AJ917" s="139" t="str">
        <f t="shared" si="18"/>
        <v/>
      </c>
    </row>
    <row r="918" spans="36:36" ht="24" customHeight="1">
      <c r="AJ918" s="139" t="str">
        <f t="shared" si="18"/>
        <v/>
      </c>
    </row>
    <row r="919" spans="36:36" ht="24" customHeight="1">
      <c r="AJ919" s="139" t="str">
        <f t="shared" si="18"/>
        <v/>
      </c>
    </row>
    <row r="920" spans="36:36" ht="24" customHeight="1">
      <c r="AJ920" s="139" t="str">
        <f t="shared" si="18"/>
        <v/>
      </c>
    </row>
    <row r="921" spans="36:36" ht="24" customHeight="1">
      <c r="AJ921" s="139" t="str">
        <f t="shared" si="18"/>
        <v/>
      </c>
    </row>
    <row r="922" spans="36:36" ht="24" customHeight="1">
      <c r="AJ922" s="139" t="str">
        <f t="shared" si="18"/>
        <v/>
      </c>
    </row>
    <row r="923" spans="36:36" ht="24" customHeight="1">
      <c r="AJ923" s="139" t="str">
        <f t="shared" si="18"/>
        <v/>
      </c>
    </row>
    <row r="924" spans="36:36" ht="24" customHeight="1">
      <c r="AJ924" s="139" t="str">
        <f t="shared" si="18"/>
        <v/>
      </c>
    </row>
    <row r="925" spans="36:36" ht="24" customHeight="1">
      <c r="AJ925" s="139" t="str">
        <f t="shared" si="18"/>
        <v/>
      </c>
    </row>
    <row r="926" spans="36:36" ht="24" customHeight="1">
      <c r="AJ926" s="139" t="str">
        <f t="shared" si="18"/>
        <v/>
      </c>
    </row>
    <row r="927" spans="36:36" ht="24" customHeight="1">
      <c r="AJ927" s="139" t="str">
        <f t="shared" si="18"/>
        <v/>
      </c>
    </row>
    <row r="928" spans="36:36" ht="24" customHeight="1">
      <c r="AJ928" s="139" t="str">
        <f t="shared" si="18"/>
        <v/>
      </c>
    </row>
    <row r="929" spans="36:36" ht="24" customHeight="1">
      <c r="AJ929" s="139" t="str">
        <f t="shared" si="18"/>
        <v/>
      </c>
    </row>
    <row r="930" spans="36:36" ht="24" customHeight="1">
      <c r="AJ930" s="139" t="str">
        <f t="shared" si="18"/>
        <v/>
      </c>
    </row>
    <row r="931" spans="36:36" ht="24" customHeight="1">
      <c r="AJ931" s="139" t="str">
        <f t="shared" si="18"/>
        <v/>
      </c>
    </row>
    <row r="932" spans="36:36" ht="24" customHeight="1">
      <c r="AJ932" s="139" t="str">
        <f t="shared" si="18"/>
        <v/>
      </c>
    </row>
    <row r="933" spans="36:36" ht="24" customHeight="1">
      <c r="AJ933" s="139" t="str">
        <f t="shared" si="18"/>
        <v/>
      </c>
    </row>
    <row r="934" spans="36:36" ht="24" customHeight="1">
      <c r="AJ934" s="139" t="str">
        <f t="shared" si="18"/>
        <v/>
      </c>
    </row>
    <row r="935" spans="36:36" ht="24" customHeight="1">
      <c r="AJ935" s="139" t="str">
        <f t="shared" si="18"/>
        <v/>
      </c>
    </row>
    <row r="936" spans="36:36" ht="24" customHeight="1">
      <c r="AJ936" s="139" t="str">
        <f t="shared" si="18"/>
        <v/>
      </c>
    </row>
    <row r="937" spans="36:36" ht="24" customHeight="1">
      <c r="AJ937" s="139" t="str">
        <f t="shared" si="18"/>
        <v/>
      </c>
    </row>
    <row r="938" spans="36:36" ht="24" customHeight="1">
      <c r="AJ938" s="139" t="str">
        <f t="shared" si="18"/>
        <v/>
      </c>
    </row>
    <row r="939" spans="36:36" ht="24" customHeight="1">
      <c r="AJ939" s="139" t="str">
        <f t="shared" si="18"/>
        <v/>
      </c>
    </row>
    <row r="940" spans="36:36" ht="24" customHeight="1">
      <c r="AJ940" s="139" t="str">
        <f t="shared" si="18"/>
        <v/>
      </c>
    </row>
    <row r="941" spans="36:36" ht="24" customHeight="1">
      <c r="AJ941" s="139" t="str">
        <f t="shared" si="18"/>
        <v/>
      </c>
    </row>
    <row r="942" spans="36:36" ht="24" customHeight="1">
      <c r="AJ942" s="139" t="str">
        <f t="shared" si="18"/>
        <v/>
      </c>
    </row>
    <row r="943" spans="36:36" ht="24" customHeight="1">
      <c r="AJ943" s="139" t="str">
        <f t="shared" si="18"/>
        <v/>
      </c>
    </row>
    <row r="944" spans="36:36" ht="24" customHeight="1">
      <c r="AJ944" s="139" t="str">
        <f t="shared" si="18"/>
        <v/>
      </c>
    </row>
    <row r="945" spans="36:36" ht="24" customHeight="1">
      <c r="AJ945" s="139" t="str">
        <f t="shared" si="18"/>
        <v/>
      </c>
    </row>
    <row r="946" spans="36:36" ht="24" customHeight="1">
      <c r="AJ946" s="139" t="str">
        <f t="shared" si="18"/>
        <v/>
      </c>
    </row>
    <row r="947" spans="36:36" ht="24" customHeight="1">
      <c r="AJ947" s="139" t="str">
        <f t="shared" si="18"/>
        <v/>
      </c>
    </row>
    <row r="948" spans="36:36" ht="24" customHeight="1">
      <c r="AJ948" s="139" t="str">
        <f t="shared" si="18"/>
        <v/>
      </c>
    </row>
    <row r="949" spans="36:36" ht="24" customHeight="1">
      <c r="AJ949" s="139" t="str">
        <f t="shared" si="18"/>
        <v/>
      </c>
    </row>
    <row r="950" spans="36:36" ht="24" customHeight="1">
      <c r="AJ950" s="139" t="str">
        <f t="shared" si="18"/>
        <v/>
      </c>
    </row>
    <row r="951" spans="36:36" ht="24" customHeight="1">
      <c r="AJ951" s="139" t="str">
        <f t="shared" si="18"/>
        <v/>
      </c>
    </row>
    <row r="952" spans="36:36" ht="24" customHeight="1">
      <c r="AJ952" s="139" t="str">
        <f t="shared" si="18"/>
        <v/>
      </c>
    </row>
    <row r="953" spans="36:36" ht="24" customHeight="1">
      <c r="AJ953" s="139" t="str">
        <f t="shared" si="18"/>
        <v/>
      </c>
    </row>
    <row r="954" spans="36:36" ht="24" customHeight="1">
      <c r="AJ954" s="139" t="str">
        <f t="shared" si="18"/>
        <v/>
      </c>
    </row>
    <row r="955" spans="36:36" ht="24" customHeight="1">
      <c r="AJ955" s="139" t="str">
        <f t="shared" si="18"/>
        <v/>
      </c>
    </row>
    <row r="956" spans="36:36" ht="24" customHeight="1">
      <c r="AJ956" s="139" t="str">
        <f t="shared" si="18"/>
        <v/>
      </c>
    </row>
    <row r="957" spans="36:36" ht="24" customHeight="1">
      <c r="AJ957" s="139" t="str">
        <f t="shared" si="18"/>
        <v/>
      </c>
    </row>
    <row r="958" spans="36:36" ht="24" customHeight="1">
      <c r="AJ958" s="139" t="str">
        <f t="shared" si="18"/>
        <v/>
      </c>
    </row>
    <row r="959" spans="36:36" ht="24" customHeight="1">
      <c r="AJ959" s="139" t="str">
        <f t="shared" si="18"/>
        <v/>
      </c>
    </row>
    <row r="960" spans="36:36" ht="24" customHeight="1">
      <c r="AJ960" s="139" t="str">
        <f t="shared" si="18"/>
        <v/>
      </c>
    </row>
    <row r="961" spans="36:36" ht="24" customHeight="1">
      <c r="AJ961" s="139" t="str">
        <f t="shared" si="18"/>
        <v/>
      </c>
    </row>
    <row r="962" spans="36:36" ht="24" customHeight="1">
      <c r="AJ962" s="139" t="str">
        <f t="shared" si="18"/>
        <v/>
      </c>
    </row>
    <row r="963" spans="36:36" ht="24" customHeight="1">
      <c r="AJ963" s="139" t="str">
        <f t="shared" si="18"/>
        <v/>
      </c>
    </row>
    <row r="964" spans="36:36" ht="24" customHeight="1">
      <c r="AJ964" s="139" t="str">
        <f t="shared" si="18"/>
        <v/>
      </c>
    </row>
    <row r="965" spans="36:36" ht="24" customHeight="1">
      <c r="AJ965" s="139" t="str">
        <f t="shared" si="18"/>
        <v/>
      </c>
    </row>
    <row r="966" spans="36:36" ht="24" customHeight="1">
      <c r="AJ966" s="139" t="str">
        <f t="shared" si="18"/>
        <v/>
      </c>
    </row>
    <row r="967" spans="36:36" ht="24" customHeight="1">
      <c r="AJ967" s="139" t="str">
        <f t="shared" si="18"/>
        <v/>
      </c>
    </row>
    <row r="968" spans="36:36" ht="24" customHeight="1">
      <c r="AJ968" s="139" t="str">
        <f t="shared" si="18"/>
        <v/>
      </c>
    </row>
    <row r="969" spans="36:36" ht="24" customHeight="1">
      <c r="AJ969" s="139" t="str">
        <f t="shared" ref="AJ969:AJ1032" si="19">IF(C969="","",C969)</f>
        <v/>
      </c>
    </row>
    <row r="970" spans="36:36" ht="24" customHeight="1">
      <c r="AJ970" s="139" t="str">
        <f t="shared" si="19"/>
        <v/>
      </c>
    </row>
    <row r="971" spans="36:36" ht="24" customHeight="1">
      <c r="AJ971" s="139" t="str">
        <f t="shared" si="19"/>
        <v/>
      </c>
    </row>
    <row r="972" spans="36:36" ht="24" customHeight="1">
      <c r="AJ972" s="139" t="str">
        <f t="shared" si="19"/>
        <v/>
      </c>
    </row>
    <row r="973" spans="36:36" ht="24" customHeight="1">
      <c r="AJ973" s="139" t="str">
        <f t="shared" si="19"/>
        <v/>
      </c>
    </row>
    <row r="974" spans="36:36" ht="24" customHeight="1">
      <c r="AJ974" s="139" t="str">
        <f t="shared" si="19"/>
        <v/>
      </c>
    </row>
    <row r="975" spans="36:36" ht="24" customHeight="1">
      <c r="AJ975" s="139" t="str">
        <f t="shared" si="19"/>
        <v/>
      </c>
    </row>
    <row r="976" spans="36:36" ht="24" customHeight="1">
      <c r="AJ976" s="139" t="str">
        <f t="shared" si="19"/>
        <v/>
      </c>
    </row>
    <row r="977" spans="36:36" ht="24" customHeight="1">
      <c r="AJ977" s="139" t="str">
        <f t="shared" si="19"/>
        <v/>
      </c>
    </row>
    <row r="978" spans="36:36" ht="24" customHeight="1">
      <c r="AJ978" s="139" t="str">
        <f t="shared" si="19"/>
        <v/>
      </c>
    </row>
    <row r="979" spans="36:36" ht="24" customHeight="1">
      <c r="AJ979" s="139" t="str">
        <f t="shared" si="19"/>
        <v/>
      </c>
    </row>
    <row r="980" spans="36:36" ht="24" customHeight="1">
      <c r="AJ980" s="139" t="str">
        <f t="shared" si="19"/>
        <v/>
      </c>
    </row>
    <row r="981" spans="36:36" ht="24" customHeight="1">
      <c r="AJ981" s="139" t="str">
        <f t="shared" si="19"/>
        <v/>
      </c>
    </row>
    <row r="982" spans="36:36" ht="24" customHeight="1">
      <c r="AJ982" s="139" t="str">
        <f t="shared" si="19"/>
        <v/>
      </c>
    </row>
    <row r="983" spans="36:36" ht="24" customHeight="1">
      <c r="AJ983" s="139" t="str">
        <f t="shared" si="19"/>
        <v/>
      </c>
    </row>
    <row r="984" spans="36:36" ht="24" customHeight="1">
      <c r="AJ984" s="139" t="str">
        <f t="shared" si="19"/>
        <v/>
      </c>
    </row>
    <row r="985" spans="36:36" ht="24" customHeight="1">
      <c r="AJ985" s="139" t="str">
        <f t="shared" si="19"/>
        <v/>
      </c>
    </row>
    <row r="986" spans="36:36" ht="24" customHeight="1">
      <c r="AJ986" s="139" t="str">
        <f t="shared" si="19"/>
        <v/>
      </c>
    </row>
    <row r="987" spans="36:36" ht="24" customHeight="1">
      <c r="AJ987" s="139" t="str">
        <f t="shared" si="19"/>
        <v/>
      </c>
    </row>
    <row r="988" spans="36:36" ht="24" customHeight="1">
      <c r="AJ988" s="139" t="str">
        <f t="shared" si="19"/>
        <v/>
      </c>
    </row>
    <row r="989" spans="36:36" ht="24" customHeight="1">
      <c r="AJ989" s="139" t="str">
        <f t="shared" si="19"/>
        <v/>
      </c>
    </row>
    <row r="990" spans="36:36" ht="24" customHeight="1">
      <c r="AJ990" s="139" t="str">
        <f t="shared" si="19"/>
        <v/>
      </c>
    </row>
    <row r="991" spans="36:36" ht="24" customHeight="1">
      <c r="AJ991" s="139" t="str">
        <f t="shared" si="19"/>
        <v/>
      </c>
    </row>
    <row r="992" spans="36:36" ht="24" customHeight="1">
      <c r="AJ992" s="139" t="str">
        <f t="shared" si="19"/>
        <v/>
      </c>
    </row>
    <row r="993" spans="36:36" ht="24" customHeight="1">
      <c r="AJ993" s="139" t="str">
        <f t="shared" si="19"/>
        <v/>
      </c>
    </row>
    <row r="994" spans="36:36" ht="24" customHeight="1">
      <c r="AJ994" s="139" t="str">
        <f t="shared" si="19"/>
        <v/>
      </c>
    </row>
    <row r="995" spans="36:36" ht="24" customHeight="1">
      <c r="AJ995" s="139" t="str">
        <f t="shared" si="19"/>
        <v/>
      </c>
    </row>
    <row r="996" spans="36:36" ht="24" customHeight="1">
      <c r="AJ996" s="139" t="str">
        <f t="shared" si="19"/>
        <v/>
      </c>
    </row>
    <row r="997" spans="36:36" ht="24" customHeight="1">
      <c r="AJ997" s="139" t="str">
        <f t="shared" si="19"/>
        <v/>
      </c>
    </row>
    <row r="998" spans="36:36" ht="24" customHeight="1">
      <c r="AJ998" s="139" t="str">
        <f t="shared" si="19"/>
        <v/>
      </c>
    </row>
    <row r="999" spans="36:36" ht="24" customHeight="1">
      <c r="AJ999" s="139" t="str">
        <f t="shared" si="19"/>
        <v/>
      </c>
    </row>
    <row r="1000" spans="36:36" ht="24" customHeight="1">
      <c r="AJ1000" s="139" t="str">
        <f t="shared" si="19"/>
        <v/>
      </c>
    </row>
    <row r="1001" spans="36:36" ht="24" customHeight="1">
      <c r="AJ1001" s="139" t="str">
        <f t="shared" si="19"/>
        <v/>
      </c>
    </row>
    <row r="1002" spans="36:36" ht="24" customHeight="1">
      <c r="AJ1002" s="139" t="str">
        <f t="shared" si="19"/>
        <v/>
      </c>
    </row>
    <row r="1003" spans="36:36" ht="24" customHeight="1">
      <c r="AJ1003" s="139" t="str">
        <f t="shared" si="19"/>
        <v/>
      </c>
    </row>
    <row r="1004" spans="36:36" ht="24" customHeight="1">
      <c r="AJ1004" s="139" t="str">
        <f t="shared" si="19"/>
        <v/>
      </c>
    </row>
    <row r="1005" spans="36:36" ht="24" customHeight="1">
      <c r="AJ1005" s="139" t="str">
        <f t="shared" si="19"/>
        <v/>
      </c>
    </row>
    <row r="1006" spans="36:36" ht="24" customHeight="1">
      <c r="AJ1006" s="139" t="str">
        <f t="shared" si="19"/>
        <v/>
      </c>
    </row>
    <row r="1007" spans="36:36" ht="24" customHeight="1">
      <c r="AJ1007" s="139" t="str">
        <f t="shared" si="19"/>
        <v/>
      </c>
    </row>
    <row r="1008" spans="36:36" ht="24" customHeight="1">
      <c r="AJ1008" s="139" t="str">
        <f t="shared" si="19"/>
        <v/>
      </c>
    </row>
    <row r="1009" spans="36:36" ht="24" customHeight="1">
      <c r="AJ1009" s="139" t="str">
        <f t="shared" si="19"/>
        <v/>
      </c>
    </row>
    <row r="1010" spans="36:36" ht="24" customHeight="1">
      <c r="AJ1010" s="139" t="str">
        <f t="shared" si="19"/>
        <v/>
      </c>
    </row>
    <row r="1011" spans="36:36" ht="24" customHeight="1">
      <c r="AJ1011" s="139" t="str">
        <f t="shared" si="19"/>
        <v/>
      </c>
    </row>
    <row r="1012" spans="36:36" ht="24" customHeight="1">
      <c r="AJ1012" s="139" t="str">
        <f t="shared" si="19"/>
        <v/>
      </c>
    </row>
    <row r="1013" spans="36:36" ht="24" customHeight="1">
      <c r="AJ1013" s="139" t="str">
        <f t="shared" si="19"/>
        <v/>
      </c>
    </row>
    <row r="1014" spans="36:36" ht="24" customHeight="1">
      <c r="AJ1014" s="139" t="str">
        <f t="shared" si="19"/>
        <v/>
      </c>
    </row>
    <row r="1015" spans="36:36" ht="24" customHeight="1">
      <c r="AJ1015" s="139" t="str">
        <f t="shared" si="19"/>
        <v/>
      </c>
    </row>
    <row r="1016" spans="36:36" ht="24" customHeight="1">
      <c r="AJ1016" s="139" t="str">
        <f t="shared" si="19"/>
        <v/>
      </c>
    </row>
    <row r="1017" spans="36:36" ht="24" customHeight="1">
      <c r="AJ1017" s="139" t="str">
        <f t="shared" si="19"/>
        <v/>
      </c>
    </row>
    <row r="1018" spans="36:36" ht="24" customHeight="1">
      <c r="AJ1018" s="139" t="str">
        <f t="shared" si="19"/>
        <v/>
      </c>
    </row>
    <row r="1019" spans="36:36" ht="24" customHeight="1">
      <c r="AJ1019" s="139" t="str">
        <f t="shared" si="19"/>
        <v/>
      </c>
    </row>
    <row r="1020" spans="36:36" ht="24" customHeight="1">
      <c r="AJ1020" s="139" t="str">
        <f t="shared" si="19"/>
        <v/>
      </c>
    </row>
    <row r="1021" spans="36:36" ht="24" customHeight="1">
      <c r="AJ1021" s="139" t="str">
        <f t="shared" si="19"/>
        <v/>
      </c>
    </row>
    <row r="1022" spans="36:36" ht="24" customHeight="1">
      <c r="AJ1022" s="139" t="str">
        <f t="shared" si="19"/>
        <v/>
      </c>
    </row>
    <row r="1023" spans="36:36" ht="24" customHeight="1">
      <c r="AJ1023" s="139" t="str">
        <f t="shared" si="19"/>
        <v/>
      </c>
    </row>
    <row r="1024" spans="36:36" ht="24" customHeight="1">
      <c r="AJ1024" s="139" t="str">
        <f t="shared" si="19"/>
        <v/>
      </c>
    </row>
    <row r="1025" spans="36:36" ht="24" customHeight="1">
      <c r="AJ1025" s="139" t="str">
        <f t="shared" si="19"/>
        <v/>
      </c>
    </row>
    <row r="1026" spans="36:36" ht="24" customHeight="1">
      <c r="AJ1026" s="139" t="str">
        <f t="shared" si="19"/>
        <v/>
      </c>
    </row>
    <row r="1027" spans="36:36" ht="24" customHeight="1">
      <c r="AJ1027" s="139" t="str">
        <f t="shared" si="19"/>
        <v/>
      </c>
    </row>
    <row r="1028" spans="36:36" ht="24" customHeight="1">
      <c r="AJ1028" s="139" t="str">
        <f t="shared" si="19"/>
        <v/>
      </c>
    </row>
    <row r="1029" spans="36:36" ht="24" customHeight="1">
      <c r="AJ1029" s="139" t="str">
        <f t="shared" si="19"/>
        <v/>
      </c>
    </row>
    <row r="1030" spans="36:36" ht="24" customHeight="1">
      <c r="AJ1030" s="139" t="str">
        <f t="shared" si="19"/>
        <v/>
      </c>
    </row>
    <row r="1031" spans="36:36" ht="24" customHeight="1">
      <c r="AJ1031" s="139" t="str">
        <f t="shared" si="19"/>
        <v/>
      </c>
    </row>
    <row r="1032" spans="36:36" ht="24" customHeight="1">
      <c r="AJ1032" s="139" t="str">
        <f t="shared" si="19"/>
        <v/>
      </c>
    </row>
    <row r="1033" spans="36:36" ht="24" customHeight="1">
      <c r="AJ1033" s="139" t="str">
        <f t="shared" ref="AJ1033:AJ1096" si="20">IF(C1033="","",C1033)</f>
        <v/>
      </c>
    </row>
    <row r="1034" spans="36:36" ht="24" customHeight="1">
      <c r="AJ1034" s="139" t="str">
        <f t="shared" si="20"/>
        <v/>
      </c>
    </row>
    <row r="1035" spans="36:36" ht="24" customHeight="1">
      <c r="AJ1035" s="139" t="str">
        <f t="shared" si="20"/>
        <v/>
      </c>
    </row>
    <row r="1036" spans="36:36" ht="24" customHeight="1">
      <c r="AJ1036" s="139" t="str">
        <f t="shared" si="20"/>
        <v/>
      </c>
    </row>
    <row r="1037" spans="36:36" ht="24" customHeight="1">
      <c r="AJ1037" s="139" t="str">
        <f t="shared" si="20"/>
        <v/>
      </c>
    </row>
    <row r="1038" spans="36:36" ht="24" customHeight="1">
      <c r="AJ1038" s="139" t="str">
        <f t="shared" si="20"/>
        <v/>
      </c>
    </row>
    <row r="1039" spans="36:36" ht="24" customHeight="1">
      <c r="AJ1039" s="139" t="str">
        <f t="shared" si="20"/>
        <v/>
      </c>
    </row>
    <row r="1040" spans="36:36" ht="24" customHeight="1">
      <c r="AJ1040" s="139" t="str">
        <f t="shared" si="20"/>
        <v/>
      </c>
    </row>
    <row r="1041" spans="36:36" ht="24" customHeight="1">
      <c r="AJ1041" s="139" t="str">
        <f t="shared" si="20"/>
        <v/>
      </c>
    </row>
    <row r="1042" spans="36:36" ht="24" customHeight="1">
      <c r="AJ1042" s="139" t="str">
        <f t="shared" si="20"/>
        <v/>
      </c>
    </row>
    <row r="1043" spans="36:36" ht="24" customHeight="1">
      <c r="AJ1043" s="139" t="str">
        <f t="shared" si="20"/>
        <v/>
      </c>
    </row>
    <row r="1044" spans="36:36" ht="24" customHeight="1">
      <c r="AJ1044" s="139" t="str">
        <f t="shared" si="20"/>
        <v/>
      </c>
    </row>
    <row r="1045" spans="36:36" ht="24" customHeight="1">
      <c r="AJ1045" s="139" t="str">
        <f t="shared" si="20"/>
        <v/>
      </c>
    </row>
    <row r="1046" spans="36:36" ht="24" customHeight="1">
      <c r="AJ1046" s="139" t="str">
        <f t="shared" si="20"/>
        <v/>
      </c>
    </row>
    <row r="1047" spans="36:36" ht="24" customHeight="1">
      <c r="AJ1047" s="139" t="str">
        <f t="shared" si="20"/>
        <v/>
      </c>
    </row>
    <row r="1048" spans="36:36" ht="24" customHeight="1">
      <c r="AJ1048" s="139" t="str">
        <f t="shared" si="20"/>
        <v/>
      </c>
    </row>
    <row r="1049" spans="36:36" ht="24" customHeight="1">
      <c r="AJ1049" s="139" t="str">
        <f t="shared" si="20"/>
        <v/>
      </c>
    </row>
    <row r="1050" spans="36:36" ht="24" customHeight="1">
      <c r="AJ1050" s="139" t="str">
        <f t="shared" si="20"/>
        <v/>
      </c>
    </row>
    <row r="1051" spans="36:36" ht="24" customHeight="1">
      <c r="AJ1051" s="139" t="str">
        <f t="shared" si="20"/>
        <v/>
      </c>
    </row>
    <row r="1052" spans="36:36" ht="24" customHeight="1">
      <c r="AJ1052" s="139" t="str">
        <f t="shared" si="20"/>
        <v/>
      </c>
    </row>
    <row r="1053" spans="36:36" ht="24" customHeight="1">
      <c r="AJ1053" s="139" t="str">
        <f t="shared" si="20"/>
        <v/>
      </c>
    </row>
    <row r="1054" spans="36:36" ht="24" customHeight="1">
      <c r="AJ1054" s="139" t="str">
        <f t="shared" si="20"/>
        <v/>
      </c>
    </row>
    <row r="1055" spans="36:36" ht="24" customHeight="1">
      <c r="AJ1055" s="139" t="str">
        <f t="shared" si="20"/>
        <v/>
      </c>
    </row>
    <row r="1056" spans="36:36" ht="24" customHeight="1">
      <c r="AJ1056" s="139" t="str">
        <f t="shared" si="20"/>
        <v/>
      </c>
    </row>
    <row r="1057" spans="36:36" ht="24" customHeight="1">
      <c r="AJ1057" s="139" t="str">
        <f t="shared" si="20"/>
        <v/>
      </c>
    </row>
    <row r="1058" spans="36:36" ht="24" customHeight="1">
      <c r="AJ1058" s="139" t="str">
        <f t="shared" si="20"/>
        <v/>
      </c>
    </row>
    <row r="1059" spans="36:36" ht="24" customHeight="1">
      <c r="AJ1059" s="139" t="str">
        <f t="shared" si="20"/>
        <v/>
      </c>
    </row>
    <row r="1060" spans="36:36" ht="24" customHeight="1">
      <c r="AJ1060" s="139" t="str">
        <f t="shared" si="20"/>
        <v/>
      </c>
    </row>
    <row r="1061" spans="36:36" ht="24" customHeight="1">
      <c r="AJ1061" s="139" t="str">
        <f t="shared" si="20"/>
        <v/>
      </c>
    </row>
    <row r="1062" spans="36:36" ht="24" customHeight="1">
      <c r="AJ1062" s="139" t="str">
        <f t="shared" si="20"/>
        <v/>
      </c>
    </row>
    <row r="1063" spans="36:36" ht="24" customHeight="1">
      <c r="AJ1063" s="139" t="str">
        <f t="shared" si="20"/>
        <v/>
      </c>
    </row>
    <row r="1064" spans="36:36" ht="24" customHeight="1">
      <c r="AJ1064" s="139" t="str">
        <f t="shared" si="20"/>
        <v/>
      </c>
    </row>
    <row r="1065" spans="36:36" ht="24" customHeight="1">
      <c r="AJ1065" s="139" t="str">
        <f t="shared" si="20"/>
        <v/>
      </c>
    </row>
    <row r="1066" spans="36:36" ht="24" customHeight="1">
      <c r="AJ1066" s="139" t="str">
        <f t="shared" si="20"/>
        <v/>
      </c>
    </row>
    <row r="1067" spans="36:36" ht="24" customHeight="1">
      <c r="AJ1067" s="139" t="str">
        <f t="shared" si="20"/>
        <v/>
      </c>
    </row>
    <row r="1068" spans="36:36" ht="24" customHeight="1">
      <c r="AJ1068" s="139" t="str">
        <f t="shared" si="20"/>
        <v/>
      </c>
    </row>
    <row r="1069" spans="36:36" ht="24" customHeight="1">
      <c r="AJ1069" s="139" t="str">
        <f t="shared" si="20"/>
        <v/>
      </c>
    </row>
    <row r="1070" spans="36:36" ht="24" customHeight="1">
      <c r="AJ1070" s="139" t="str">
        <f t="shared" si="20"/>
        <v/>
      </c>
    </row>
    <row r="1071" spans="36:36" ht="24" customHeight="1">
      <c r="AJ1071" s="139" t="str">
        <f t="shared" si="20"/>
        <v/>
      </c>
    </row>
    <row r="1072" spans="36:36" ht="24" customHeight="1">
      <c r="AJ1072" s="139" t="str">
        <f t="shared" si="20"/>
        <v/>
      </c>
    </row>
    <row r="1073" spans="36:36" ht="24" customHeight="1">
      <c r="AJ1073" s="139" t="str">
        <f t="shared" si="20"/>
        <v/>
      </c>
    </row>
    <row r="1074" spans="36:36" ht="24" customHeight="1">
      <c r="AJ1074" s="139" t="str">
        <f t="shared" si="20"/>
        <v/>
      </c>
    </row>
    <row r="1075" spans="36:36" ht="24" customHeight="1">
      <c r="AJ1075" s="139" t="str">
        <f t="shared" si="20"/>
        <v/>
      </c>
    </row>
    <row r="1076" spans="36:36" ht="24" customHeight="1">
      <c r="AJ1076" s="139" t="str">
        <f t="shared" si="20"/>
        <v/>
      </c>
    </row>
    <row r="1077" spans="36:36" ht="24" customHeight="1">
      <c r="AJ1077" s="139" t="str">
        <f t="shared" si="20"/>
        <v/>
      </c>
    </row>
    <row r="1078" spans="36:36" ht="24" customHeight="1">
      <c r="AJ1078" s="139" t="str">
        <f t="shared" si="20"/>
        <v/>
      </c>
    </row>
    <row r="1079" spans="36:36" ht="24" customHeight="1">
      <c r="AJ1079" s="139" t="str">
        <f t="shared" si="20"/>
        <v/>
      </c>
    </row>
    <row r="1080" spans="36:36" ht="24" customHeight="1">
      <c r="AJ1080" s="139" t="str">
        <f t="shared" si="20"/>
        <v/>
      </c>
    </row>
    <row r="1081" spans="36:36" ht="24" customHeight="1">
      <c r="AJ1081" s="139" t="str">
        <f t="shared" si="20"/>
        <v/>
      </c>
    </row>
    <row r="1082" spans="36:36" ht="24" customHeight="1">
      <c r="AJ1082" s="139" t="str">
        <f t="shared" si="20"/>
        <v/>
      </c>
    </row>
    <row r="1083" spans="36:36" ht="24" customHeight="1">
      <c r="AJ1083" s="139" t="str">
        <f t="shared" si="20"/>
        <v/>
      </c>
    </row>
    <row r="1084" spans="36:36" ht="24" customHeight="1">
      <c r="AJ1084" s="139" t="str">
        <f t="shared" si="20"/>
        <v/>
      </c>
    </row>
    <row r="1085" spans="36:36" ht="24" customHeight="1">
      <c r="AJ1085" s="139" t="str">
        <f t="shared" si="20"/>
        <v/>
      </c>
    </row>
    <row r="1086" spans="36:36" ht="24" customHeight="1">
      <c r="AJ1086" s="139" t="str">
        <f t="shared" si="20"/>
        <v/>
      </c>
    </row>
    <row r="1087" spans="36:36" ht="24" customHeight="1">
      <c r="AJ1087" s="139" t="str">
        <f t="shared" si="20"/>
        <v/>
      </c>
    </row>
    <row r="1088" spans="36:36" ht="24" customHeight="1">
      <c r="AJ1088" s="139" t="str">
        <f t="shared" si="20"/>
        <v/>
      </c>
    </row>
    <row r="1089" spans="36:36" ht="24" customHeight="1">
      <c r="AJ1089" s="139" t="str">
        <f t="shared" si="20"/>
        <v/>
      </c>
    </row>
    <row r="1090" spans="36:36" ht="24" customHeight="1">
      <c r="AJ1090" s="139" t="str">
        <f t="shared" si="20"/>
        <v/>
      </c>
    </row>
    <row r="1091" spans="36:36" ht="24" customHeight="1">
      <c r="AJ1091" s="139" t="str">
        <f t="shared" si="20"/>
        <v/>
      </c>
    </row>
    <row r="1092" spans="36:36" ht="24" customHeight="1">
      <c r="AJ1092" s="139" t="str">
        <f t="shared" si="20"/>
        <v/>
      </c>
    </row>
    <row r="1093" spans="36:36" ht="24" customHeight="1">
      <c r="AJ1093" s="139" t="str">
        <f t="shared" si="20"/>
        <v/>
      </c>
    </row>
    <row r="1094" spans="36:36" ht="24" customHeight="1">
      <c r="AJ1094" s="139" t="str">
        <f t="shared" si="20"/>
        <v/>
      </c>
    </row>
    <row r="1095" spans="36:36" ht="24" customHeight="1">
      <c r="AJ1095" s="139" t="str">
        <f t="shared" si="20"/>
        <v/>
      </c>
    </row>
    <row r="1096" spans="36:36" ht="24" customHeight="1">
      <c r="AJ1096" s="139" t="str">
        <f t="shared" si="20"/>
        <v/>
      </c>
    </row>
    <row r="1097" spans="36:36" ht="24" customHeight="1">
      <c r="AJ1097" s="139" t="str">
        <f t="shared" ref="AJ1097:AJ1160" si="21">IF(C1097="","",C1097)</f>
        <v/>
      </c>
    </row>
    <row r="1098" spans="36:36" ht="24" customHeight="1">
      <c r="AJ1098" s="139" t="str">
        <f t="shared" si="21"/>
        <v/>
      </c>
    </row>
    <row r="1099" spans="36:36" ht="24" customHeight="1">
      <c r="AJ1099" s="139" t="str">
        <f t="shared" si="21"/>
        <v/>
      </c>
    </row>
    <row r="1100" spans="36:36" ht="24" customHeight="1">
      <c r="AJ1100" s="139" t="str">
        <f t="shared" si="21"/>
        <v/>
      </c>
    </row>
    <row r="1101" spans="36:36" ht="24" customHeight="1">
      <c r="AJ1101" s="139" t="str">
        <f t="shared" si="21"/>
        <v/>
      </c>
    </row>
    <row r="1102" spans="36:36" ht="24" customHeight="1">
      <c r="AJ1102" s="139" t="str">
        <f t="shared" si="21"/>
        <v/>
      </c>
    </row>
    <row r="1103" spans="36:36" ht="24" customHeight="1">
      <c r="AJ1103" s="139" t="str">
        <f t="shared" si="21"/>
        <v/>
      </c>
    </row>
    <row r="1104" spans="36:36" ht="24" customHeight="1">
      <c r="AJ1104" s="139" t="str">
        <f t="shared" si="21"/>
        <v/>
      </c>
    </row>
    <row r="1105" spans="36:36" ht="24" customHeight="1">
      <c r="AJ1105" s="139" t="str">
        <f t="shared" si="21"/>
        <v/>
      </c>
    </row>
    <row r="1106" spans="36:36" ht="24" customHeight="1">
      <c r="AJ1106" s="139" t="str">
        <f t="shared" si="21"/>
        <v/>
      </c>
    </row>
    <row r="1107" spans="36:36" ht="24" customHeight="1">
      <c r="AJ1107" s="139" t="str">
        <f t="shared" si="21"/>
        <v/>
      </c>
    </row>
    <row r="1108" spans="36:36" ht="24" customHeight="1">
      <c r="AJ1108" s="139" t="str">
        <f t="shared" si="21"/>
        <v/>
      </c>
    </row>
    <row r="1109" spans="36:36" ht="24" customHeight="1">
      <c r="AJ1109" s="139" t="str">
        <f t="shared" si="21"/>
        <v/>
      </c>
    </row>
    <row r="1110" spans="36:36" ht="24" customHeight="1">
      <c r="AJ1110" s="139" t="str">
        <f t="shared" si="21"/>
        <v/>
      </c>
    </row>
    <row r="1111" spans="36:36" ht="24" customHeight="1">
      <c r="AJ1111" s="139" t="str">
        <f t="shared" si="21"/>
        <v/>
      </c>
    </row>
    <row r="1112" spans="36:36" ht="24" customHeight="1">
      <c r="AJ1112" s="139" t="str">
        <f t="shared" si="21"/>
        <v/>
      </c>
    </row>
    <row r="1113" spans="36:36" ht="24" customHeight="1">
      <c r="AJ1113" s="139" t="str">
        <f t="shared" si="21"/>
        <v/>
      </c>
    </row>
    <row r="1114" spans="36:36" ht="24" customHeight="1">
      <c r="AJ1114" s="139" t="str">
        <f t="shared" si="21"/>
        <v/>
      </c>
    </row>
    <row r="1115" spans="36:36" ht="24" customHeight="1">
      <c r="AJ1115" s="139" t="str">
        <f t="shared" si="21"/>
        <v/>
      </c>
    </row>
    <row r="1116" spans="36:36" ht="24" customHeight="1">
      <c r="AJ1116" s="139" t="str">
        <f t="shared" si="21"/>
        <v/>
      </c>
    </row>
    <row r="1117" spans="36:36" ht="24" customHeight="1">
      <c r="AJ1117" s="139" t="str">
        <f t="shared" si="21"/>
        <v/>
      </c>
    </row>
    <row r="1118" spans="36:36" ht="24" customHeight="1">
      <c r="AJ1118" s="139" t="str">
        <f t="shared" si="21"/>
        <v/>
      </c>
    </row>
    <row r="1119" spans="36:36" ht="24" customHeight="1">
      <c r="AJ1119" s="139" t="str">
        <f t="shared" si="21"/>
        <v/>
      </c>
    </row>
    <row r="1120" spans="36:36" ht="24" customHeight="1">
      <c r="AJ1120" s="139" t="str">
        <f t="shared" si="21"/>
        <v/>
      </c>
    </row>
    <row r="1121" spans="36:36" ht="24" customHeight="1">
      <c r="AJ1121" s="139" t="str">
        <f t="shared" si="21"/>
        <v/>
      </c>
    </row>
    <row r="1122" spans="36:36" ht="24" customHeight="1">
      <c r="AJ1122" s="139" t="str">
        <f t="shared" si="21"/>
        <v/>
      </c>
    </row>
    <row r="1123" spans="36:36" ht="24" customHeight="1">
      <c r="AJ1123" s="139" t="str">
        <f t="shared" si="21"/>
        <v/>
      </c>
    </row>
    <row r="1124" spans="36:36" ht="24" customHeight="1">
      <c r="AJ1124" s="139" t="str">
        <f t="shared" si="21"/>
        <v/>
      </c>
    </row>
    <row r="1125" spans="36:36" ht="24" customHeight="1">
      <c r="AJ1125" s="139" t="str">
        <f t="shared" si="21"/>
        <v/>
      </c>
    </row>
    <row r="1126" spans="36:36" ht="24" customHeight="1">
      <c r="AJ1126" s="139" t="str">
        <f t="shared" si="21"/>
        <v/>
      </c>
    </row>
    <row r="1127" spans="36:36" ht="24" customHeight="1">
      <c r="AJ1127" s="139" t="str">
        <f t="shared" si="21"/>
        <v/>
      </c>
    </row>
    <row r="1128" spans="36:36" ht="24" customHeight="1">
      <c r="AJ1128" s="139" t="str">
        <f t="shared" si="21"/>
        <v/>
      </c>
    </row>
    <row r="1129" spans="36:36" ht="24" customHeight="1">
      <c r="AJ1129" s="139" t="str">
        <f t="shared" si="21"/>
        <v/>
      </c>
    </row>
    <row r="1130" spans="36:36" ht="24" customHeight="1">
      <c r="AJ1130" s="139" t="str">
        <f t="shared" si="21"/>
        <v/>
      </c>
    </row>
    <row r="1131" spans="36:36" ht="24" customHeight="1">
      <c r="AJ1131" s="139" t="str">
        <f t="shared" si="21"/>
        <v/>
      </c>
    </row>
    <row r="1132" spans="36:36" ht="24" customHeight="1">
      <c r="AJ1132" s="139" t="str">
        <f t="shared" si="21"/>
        <v/>
      </c>
    </row>
    <row r="1133" spans="36:36" ht="24" customHeight="1">
      <c r="AJ1133" s="139" t="str">
        <f t="shared" si="21"/>
        <v/>
      </c>
    </row>
    <row r="1134" spans="36:36" ht="24" customHeight="1">
      <c r="AJ1134" s="139" t="str">
        <f t="shared" si="21"/>
        <v/>
      </c>
    </row>
    <row r="1135" spans="36:36" ht="24" customHeight="1">
      <c r="AJ1135" s="139" t="str">
        <f t="shared" si="21"/>
        <v/>
      </c>
    </row>
    <row r="1136" spans="36:36" ht="24" customHeight="1">
      <c r="AJ1136" s="139" t="str">
        <f t="shared" si="21"/>
        <v/>
      </c>
    </row>
    <row r="1137" spans="36:36" ht="24" customHeight="1">
      <c r="AJ1137" s="139" t="str">
        <f t="shared" si="21"/>
        <v/>
      </c>
    </row>
    <row r="1138" spans="36:36" ht="24" customHeight="1">
      <c r="AJ1138" s="139" t="str">
        <f t="shared" si="21"/>
        <v/>
      </c>
    </row>
    <row r="1139" spans="36:36" ht="24" customHeight="1">
      <c r="AJ1139" s="139" t="str">
        <f t="shared" si="21"/>
        <v/>
      </c>
    </row>
    <row r="1140" spans="36:36" ht="24" customHeight="1">
      <c r="AJ1140" s="139" t="str">
        <f t="shared" si="21"/>
        <v/>
      </c>
    </row>
    <row r="1141" spans="36:36" ht="24" customHeight="1">
      <c r="AJ1141" s="139" t="str">
        <f t="shared" si="21"/>
        <v/>
      </c>
    </row>
    <row r="1142" spans="36:36" ht="24" customHeight="1">
      <c r="AJ1142" s="139" t="str">
        <f t="shared" si="21"/>
        <v/>
      </c>
    </row>
    <row r="1143" spans="36:36" ht="24" customHeight="1">
      <c r="AJ1143" s="139" t="str">
        <f t="shared" si="21"/>
        <v/>
      </c>
    </row>
    <row r="1144" spans="36:36" ht="24" customHeight="1">
      <c r="AJ1144" s="139" t="str">
        <f t="shared" si="21"/>
        <v/>
      </c>
    </row>
    <row r="1145" spans="36:36" ht="24" customHeight="1">
      <c r="AJ1145" s="139" t="str">
        <f t="shared" si="21"/>
        <v/>
      </c>
    </row>
    <row r="1146" spans="36:36" ht="24" customHeight="1">
      <c r="AJ1146" s="139" t="str">
        <f t="shared" si="21"/>
        <v/>
      </c>
    </row>
    <row r="1147" spans="36:36" ht="24" customHeight="1">
      <c r="AJ1147" s="139" t="str">
        <f t="shared" si="21"/>
        <v/>
      </c>
    </row>
    <row r="1148" spans="36:36" ht="24" customHeight="1">
      <c r="AJ1148" s="139" t="str">
        <f t="shared" si="21"/>
        <v/>
      </c>
    </row>
    <row r="1149" spans="36:36" ht="24" customHeight="1">
      <c r="AJ1149" s="139" t="str">
        <f t="shared" si="21"/>
        <v/>
      </c>
    </row>
    <row r="1150" spans="36:36" ht="24" customHeight="1">
      <c r="AJ1150" s="139" t="str">
        <f t="shared" si="21"/>
        <v/>
      </c>
    </row>
    <row r="1151" spans="36:36" ht="24" customHeight="1">
      <c r="AJ1151" s="139" t="str">
        <f t="shared" si="21"/>
        <v/>
      </c>
    </row>
    <row r="1152" spans="36:36" ht="24" customHeight="1">
      <c r="AJ1152" s="139" t="str">
        <f t="shared" si="21"/>
        <v/>
      </c>
    </row>
    <row r="1153" spans="36:36" ht="24" customHeight="1">
      <c r="AJ1153" s="139" t="str">
        <f t="shared" si="21"/>
        <v/>
      </c>
    </row>
    <row r="1154" spans="36:36" ht="24" customHeight="1">
      <c r="AJ1154" s="139" t="str">
        <f t="shared" si="21"/>
        <v/>
      </c>
    </row>
    <row r="1155" spans="36:36" ht="24" customHeight="1">
      <c r="AJ1155" s="139" t="str">
        <f t="shared" si="21"/>
        <v/>
      </c>
    </row>
    <row r="1156" spans="36:36" ht="24" customHeight="1">
      <c r="AJ1156" s="139" t="str">
        <f t="shared" si="21"/>
        <v/>
      </c>
    </row>
    <row r="1157" spans="36:36" ht="24" customHeight="1">
      <c r="AJ1157" s="139" t="str">
        <f t="shared" si="21"/>
        <v/>
      </c>
    </row>
    <row r="1158" spans="36:36" ht="24" customHeight="1">
      <c r="AJ1158" s="139" t="str">
        <f t="shared" si="21"/>
        <v/>
      </c>
    </row>
    <row r="1159" spans="36:36" ht="24" customHeight="1">
      <c r="AJ1159" s="139" t="str">
        <f t="shared" si="21"/>
        <v/>
      </c>
    </row>
    <row r="1160" spans="36:36" ht="24" customHeight="1">
      <c r="AJ1160" s="139" t="str">
        <f t="shared" si="21"/>
        <v/>
      </c>
    </row>
    <row r="1161" spans="36:36" ht="24" customHeight="1">
      <c r="AJ1161" s="139" t="str">
        <f t="shared" ref="AJ1161:AJ1224" si="22">IF(C1161="","",C1161)</f>
        <v/>
      </c>
    </row>
    <row r="1162" spans="36:36" ht="24" customHeight="1">
      <c r="AJ1162" s="139" t="str">
        <f t="shared" si="22"/>
        <v/>
      </c>
    </row>
    <row r="1163" spans="36:36" ht="24" customHeight="1">
      <c r="AJ1163" s="139" t="str">
        <f t="shared" si="22"/>
        <v/>
      </c>
    </row>
    <row r="1164" spans="36:36" ht="24" customHeight="1">
      <c r="AJ1164" s="139" t="str">
        <f t="shared" si="22"/>
        <v/>
      </c>
    </row>
    <row r="1165" spans="36:36" ht="24" customHeight="1">
      <c r="AJ1165" s="139" t="str">
        <f t="shared" si="22"/>
        <v/>
      </c>
    </row>
    <row r="1166" spans="36:36" ht="24" customHeight="1">
      <c r="AJ1166" s="139" t="str">
        <f t="shared" si="22"/>
        <v/>
      </c>
    </row>
    <row r="1167" spans="36:36" ht="24" customHeight="1">
      <c r="AJ1167" s="139" t="str">
        <f t="shared" si="22"/>
        <v/>
      </c>
    </row>
    <row r="1168" spans="36:36" ht="24" customHeight="1">
      <c r="AJ1168" s="139" t="str">
        <f t="shared" si="22"/>
        <v/>
      </c>
    </row>
    <row r="1169" spans="36:36" ht="24" customHeight="1">
      <c r="AJ1169" s="139" t="str">
        <f t="shared" si="22"/>
        <v/>
      </c>
    </row>
    <row r="1170" spans="36:36" ht="24" customHeight="1">
      <c r="AJ1170" s="139" t="str">
        <f t="shared" si="22"/>
        <v/>
      </c>
    </row>
    <row r="1171" spans="36:36" ht="24" customHeight="1">
      <c r="AJ1171" s="139" t="str">
        <f t="shared" si="22"/>
        <v/>
      </c>
    </row>
    <row r="1172" spans="36:36" ht="24" customHeight="1">
      <c r="AJ1172" s="139" t="str">
        <f t="shared" si="22"/>
        <v/>
      </c>
    </row>
    <row r="1173" spans="36:36" ht="24" customHeight="1">
      <c r="AJ1173" s="139" t="str">
        <f t="shared" si="22"/>
        <v/>
      </c>
    </row>
    <row r="1174" spans="36:36" ht="24" customHeight="1">
      <c r="AJ1174" s="139" t="str">
        <f t="shared" si="22"/>
        <v/>
      </c>
    </row>
    <row r="1175" spans="36:36" ht="24" customHeight="1">
      <c r="AJ1175" s="139" t="str">
        <f t="shared" si="22"/>
        <v/>
      </c>
    </row>
    <row r="1176" spans="36:36" ht="24" customHeight="1">
      <c r="AJ1176" s="139" t="str">
        <f t="shared" si="22"/>
        <v/>
      </c>
    </row>
    <row r="1177" spans="36:36" ht="24" customHeight="1">
      <c r="AJ1177" s="139" t="str">
        <f t="shared" si="22"/>
        <v/>
      </c>
    </row>
    <row r="1178" spans="36:36" ht="24" customHeight="1">
      <c r="AJ1178" s="139" t="str">
        <f t="shared" si="22"/>
        <v/>
      </c>
    </row>
    <row r="1179" spans="36:36" ht="24" customHeight="1">
      <c r="AJ1179" s="139" t="str">
        <f t="shared" si="22"/>
        <v/>
      </c>
    </row>
    <row r="1180" spans="36:36" ht="24" customHeight="1">
      <c r="AJ1180" s="139" t="str">
        <f t="shared" si="22"/>
        <v/>
      </c>
    </row>
    <row r="1181" spans="36:36" ht="24" customHeight="1">
      <c r="AJ1181" s="139" t="str">
        <f t="shared" si="22"/>
        <v/>
      </c>
    </row>
    <row r="1182" spans="36:36" ht="24" customHeight="1">
      <c r="AJ1182" s="139" t="str">
        <f t="shared" si="22"/>
        <v/>
      </c>
    </row>
    <row r="1183" spans="36:36" ht="24" customHeight="1">
      <c r="AJ1183" s="139" t="str">
        <f t="shared" si="22"/>
        <v/>
      </c>
    </row>
    <row r="1184" spans="36:36" ht="24" customHeight="1">
      <c r="AJ1184" s="139" t="str">
        <f t="shared" si="22"/>
        <v/>
      </c>
    </row>
    <row r="1185" spans="36:36" ht="24" customHeight="1">
      <c r="AJ1185" s="139" t="str">
        <f t="shared" si="22"/>
        <v/>
      </c>
    </row>
    <row r="1186" spans="36:36" ht="24" customHeight="1">
      <c r="AJ1186" s="139" t="str">
        <f t="shared" si="22"/>
        <v/>
      </c>
    </row>
    <row r="1187" spans="36:36" ht="24" customHeight="1">
      <c r="AJ1187" s="139" t="str">
        <f t="shared" si="22"/>
        <v/>
      </c>
    </row>
    <row r="1188" spans="36:36" ht="24" customHeight="1">
      <c r="AJ1188" s="139" t="str">
        <f t="shared" si="22"/>
        <v/>
      </c>
    </row>
    <row r="1189" spans="36:36" ht="24" customHeight="1">
      <c r="AJ1189" s="139" t="str">
        <f t="shared" si="22"/>
        <v/>
      </c>
    </row>
    <row r="1190" spans="36:36" ht="24" customHeight="1">
      <c r="AJ1190" s="139" t="str">
        <f t="shared" si="22"/>
        <v/>
      </c>
    </row>
    <row r="1191" spans="36:36" ht="24" customHeight="1">
      <c r="AJ1191" s="139" t="str">
        <f t="shared" si="22"/>
        <v/>
      </c>
    </row>
    <row r="1192" spans="36:36" ht="24" customHeight="1">
      <c r="AJ1192" s="139" t="str">
        <f t="shared" si="22"/>
        <v/>
      </c>
    </row>
    <row r="1193" spans="36:36" ht="24" customHeight="1">
      <c r="AJ1193" s="139" t="str">
        <f t="shared" si="22"/>
        <v/>
      </c>
    </row>
    <row r="1194" spans="36:36" ht="24" customHeight="1">
      <c r="AJ1194" s="139" t="str">
        <f t="shared" si="22"/>
        <v/>
      </c>
    </row>
    <row r="1195" spans="36:36" ht="24" customHeight="1">
      <c r="AJ1195" s="139" t="str">
        <f t="shared" si="22"/>
        <v/>
      </c>
    </row>
    <row r="1196" spans="36:36" ht="24" customHeight="1">
      <c r="AJ1196" s="139" t="str">
        <f t="shared" si="22"/>
        <v/>
      </c>
    </row>
    <row r="1197" spans="36:36" ht="24" customHeight="1">
      <c r="AJ1197" s="139" t="str">
        <f t="shared" si="22"/>
        <v/>
      </c>
    </row>
    <row r="1198" spans="36:36" ht="24" customHeight="1">
      <c r="AJ1198" s="139" t="str">
        <f t="shared" si="22"/>
        <v/>
      </c>
    </row>
    <row r="1199" spans="36:36" ht="24" customHeight="1">
      <c r="AJ1199" s="139" t="str">
        <f t="shared" si="22"/>
        <v/>
      </c>
    </row>
    <row r="1200" spans="36:36" ht="24" customHeight="1">
      <c r="AJ1200" s="139" t="str">
        <f t="shared" si="22"/>
        <v/>
      </c>
    </row>
    <row r="1201" spans="36:36" ht="24" customHeight="1">
      <c r="AJ1201" s="139" t="str">
        <f t="shared" si="22"/>
        <v/>
      </c>
    </row>
    <row r="1202" spans="36:36" ht="24" customHeight="1">
      <c r="AJ1202" s="139" t="str">
        <f t="shared" si="22"/>
        <v/>
      </c>
    </row>
    <row r="1203" spans="36:36" ht="24" customHeight="1">
      <c r="AJ1203" s="139" t="str">
        <f t="shared" si="22"/>
        <v/>
      </c>
    </row>
    <row r="1204" spans="36:36" ht="24" customHeight="1">
      <c r="AJ1204" s="139" t="str">
        <f t="shared" si="22"/>
        <v/>
      </c>
    </row>
    <row r="1205" spans="36:36" ht="24" customHeight="1">
      <c r="AJ1205" s="139" t="str">
        <f t="shared" si="22"/>
        <v/>
      </c>
    </row>
    <row r="1206" spans="36:36" ht="24" customHeight="1">
      <c r="AJ1206" s="139" t="str">
        <f t="shared" si="22"/>
        <v/>
      </c>
    </row>
    <row r="1207" spans="36:36" ht="24" customHeight="1">
      <c r="AJ1207" s="139" t="str">
        <f t="shared" si="22"/>
        <v/>
      </c>
    </row>
    <row r="1208" spans="36:36" ht="24" customHeight="1">
      <c r="AJ1208" s="139" t="str">
        <f t="shared" si="22"/>
        <v/>
      </c>
    </row>
    <row r="1209" spans="36:36" ht="24" customHeight="1">
      <c r="AJ1209" s="139" t="str">
        <f t="shared" si="22"/>
        <v/>
      </c>
    </row>
    <row r="1210" spans="36:36" ht="24" customHeight="1">
      <c r="AJ1210" s="139" t="str">
        <f t="shared" si="22"/>
        <v/>
      </c>
    </row>
    <row r="1211" spans="36:36" ht="24" customHeight="1">
      <c r="AJ1211" s="139" t="str">
        <f t="shared" si="22"/>
        <v/>
      </c>
    </row>
    <row r="1212" spans="36:36" ht="24" customHeight="1">
      <c r="AJ1212" s="139" t="str">
        <f t="shared" si="22"/>
        <v/>
      </c>
    </row>
    <row r="1213" spans="36:36" ht="24" customHeight="1">
      <c r="AJ1213" s="139" t="str">
        <f t="shared" si="22"/>
        <v/>
      </c>
    </row>
    <row r="1214" spans="36:36" ht="24" customHeight="1">
      <c r="AJ1214" s="139" t="str">
        <f t="shared" si="22"/>
        <v/>
      </c>
    </row>
    <row r="1215" spans="36:36" ht="24" customHeight="1">
      <c r="AJ1215" s="139" t="str">
        <f t="shared" si="22"/>
        <v/>
      </c>
    </row>
    <row r="1216" spans="36:36" ht="24" customHeight="1">
      <c r="AJ1216" s="139" t="str">
        <f t="shared" si="22"/>
        <v/>
      </c>
    </row>
    <row r="1217" spans="36:36" ht="24" customHeight="1">
      <c r="AJ1217" s="139" t="str">
        <f t="shared" si="22"/>
        <v/>
      </c>
    </row>
    <row r="1218" spans="36:36" ht="24" customHeight="1">
      <c r="AJ1218" s="139" t="str">
        <f t="shared" si="22"/>
        <v/>
      </c>
    </row>
    <row r="1219" spans="36:36" ht="24" customHeight="1">
      <c r="AJ1219" s="139" t="str">
        <f t="shared" si="22"/>
        <v/>
      </c>
    </row>
    <row r="1220" spans="36:36" ht="24" customHeight="1">
      <c r="AJ1220" s="139" t="str">
        <f t="shared" si="22"/>
        <v/>
      </c>
    </row>
    <row r="1221" spans="36:36" ht="24" customHeight="1">
      <c r="AJ1221" s="139" t="str">
        <f t="shared" si="22"/>
        <v/>
      </c>
    </row>
    <row r="1222" spans="36:36" ht="24" customHeight="1">
      <c r="AJ1222" s="139" t="str">
        <f t="shared" si="22"/>
        <v/>
      </c>
    </row>
    <row r="1223" spans="36:36" ht="24" customHeight="1">
      <c r="AJ1223" s="139" t="str">
        <f t="shared" si="22"/>
        <v/>
      </c>
    </row>
    <row r="1224" spans="36:36" ht="24" customHeight="1">
      <c r="AJ1224" s="139" t="str">
        <f t="shared" si="22"/>
        <v/>
      </c>
    </row>
    <row r="1225" spans="36:36" ht="24" customHeight="1">
      <c r="AJ1225" s="139" t="str">
        <f t="shared" ref="AJ1225:AJ1288" si="23">IF(C1225="","",C1225)</f>
        <v/>
      </c>
    </row>
    <row r="1226" spans="36:36" ht="24" customHeight="1">
      <c r="AJ1226" s="139" t="str">
        <f t="shared" si="23"/>
        <v/>
      </c>
    </row>
    <row r="1227" spans="36:36" ht="24" customHeight="1">
      <c r="AJ1227" s="139" t="str">
        <f t="shared" si="23"/>
        <v/>
      </c>
    </row>
    <row r="1228" spans="36:36" ht="24" customHeight="1">
      <c r="AJ1228" s="139" t="str">
        <f t="shared" si="23"/>
        <v/>
      </c>
    </row>
    <row r="1229" spans="36:36" ht="24" customHeight="1">
      <c r="AJ1229" s="139" t="str">
        <f t="shared" si="23"/>
        <v/>
      </c>
    </row>
    <row r="1230" spans="36:36" ht="24" customHeight="1">
      <c r="AJ1230" s="139" t="str">
        <f t="shared" si="23"/>
        <v/>
      </c>
    </row>
    <row r="1231" spans="36:36" ht="24" customHeight="1">
      <c r="AJ1231" s="139" t="str">
        <f t="shared" si="23"/>
        <v/>
      </c>
    </row>
    <row r="1232" spans="36:36" ht="24" customHeight="1">
      <c r="AJ1232" s="139" t="str">
        <f t="shared" si="23"/>
        <v/>
      </c>
    </row>
    <row r="1233" spans="36:36" ht="24" customHeight="1">
      <c r="AJ1233" s="139" t="str">
        <f t="shared" si="23"/>
        <v/>
      </c>
    </row>
    <row r="1234" spans="36:36" ht="24" customHeight="1">
      <c r="AJ1234" s="139" t="str">
        <f t="shared" si="23"/>
        <v/>
      </c>
    </row>
    <row r="1235" spans="36:36" ht="24" customHeight="1">
      <c r="AJ1235" s="139" t="str">
        <f t="shared" si="23"/>
        <v/>
      </c>
    </row>
    <row r="1236" spans="36:36" ht="24" customHeight="1">
      <c r="AJ1236" s="139" t="str">
        <f t="shared" si="23"/>
        <v/>
      </c>
    </row>
    <row r="1237" spans="36:36" ht="24" customHeight="1">
      <c r="AJ1237" s="139" t="str">
        <f t="shared" si="23"/>
        <v/>
      </c>
    </row>
    <row r="1238" spans="36:36" ht="24" customHeight="1">
      <c r="AJ1238" s="139" t="str">
        <f t="shared" si="23"/>
        <v/>
      </c>
    </row>
    <row r="1239" spans="36:36" ht="24" customHeight="1">
      <c r="AJ1239" s="139" t="str">
        <f t="shared" si="23"/>
        <v/>
      </c>
    </row>
    <row r="1240" spans="36:36" ht="24" customHeight="1">
      <c r="AJ1240" s="139" t="str">
        <f t="shared" si="23"/>
        <v/>
      </c>
    </row>
    <row r="1241" spans="36:36" ht="24" customHeight="1">
      <c r="AJ1241" s="139" t="str">
        <f t="shared" si="23"/>
        <v/>
      </c>
    </row>
    <row r="1242" spans="36:36" ht="24" customHeight="1">
      <c r="AJ1242" s="139" t="str">
        <f t="shared" si="23"/>
        <v/>
      </c>
    </row>
    <row r="1243" spans="36:36" ht="24" customHeight="1">
      <c r="AJ1243" s="139" t="str">
        <f t="shared" si="23"/>
        <v/>
      </c>
    </row>
    <row r="1244" spans="36:36" ht="24" customHeight="1">
      <c r="AJ1244" s="139" t="str">
        <f t="shared" si="23"/>
        <v/>
      </c>
    </row>
    <row r="1245" spans="36:36" ht="24" customHeight="1">
      <c r="AJ1245" s="139" t="str">
        <f t="shared" si="23"/>
        <v/>
      </c>
    </row>
    <row r="1246" spans="36:36" ht="24" customHeight="1">
      <c r="AJ1246" s="139" t="str">
        <f t="shared" si="23"/>
        <v/>
      </c>
    </row>
    <row r="1247" spans="36:36" ht="24" customHeight="1">
      <c r="AJ1247" s="139" t="str">
        <f t="shared" si="23"/>
        <v/>
      </c>
    </row>
    <row r="1248" spans="36:36" ht="24" customHeight="1">
      <c r="AJ1248" s="139" t="str">
        <f t="shared" si="23"/>
        <v/>
      </c>
    </row>
    <row r="1249" spans="36:36" ht="24" customHeight="1">
      <c r="AJ1249" s="139" t="str">
        <f t="shared" si="23"/>
        <v/>
      </c>
    </row>
    <row r="1250" spans="36:36" ht="24" customHeight="1">
      <c r="AJ1250" s="139" t="str">
        <f t="shared" si="23"/>
        <v/>
      </c>
    </row>
    <row r="1251" spans="36:36" ht="24" customHeight="1">
      <c r="AJ1251" s="139" t="str">
        <f t="shared" si="23"/>
        <v/>
      </c>
    </row>
    <row r="1252" spans="36:36" ht="24" customHeight="1">
      <c r="AJ1252" s="139" t="str">
        <f t="shared" si="23"/>
        <v/>
      </c>
    </row>
    <row r="1253" spans="36:36" ht="24" customHeight="1">
      <c r="AJ1253" s="139" t="str">
        <f t="shared" si="23"/>
        <v/>
      </c>
    </row>
    <row r="1254" spans="36:36" ht="24" customHeight="1">
      <c r="AJ1254" s="139" t="str">
        <f t="shared" si="23"/>
        <v/>
      </c>
    </row>
    <row r="1255" spans="36:36" ht="24" customHeight="1">
      <c r="AJ1255" s="139" t="str">
        <f t="shared" si="23"/>
        <v/>
      </c>
    </row>
    <row r="1256" spans="36:36" ht="24" customHeight="1">
      <c r="AJ1256" s="139" t="str">
        <f t="shared" si="23"/>
        <v/>
      </c>
    </row>
    <row r="1257" spans="36:36" ht="24" customHeight="1">
      <c r="AJ1257" s="139" t="str">
        <f t="shared" si="23"/>
        <v/>
      </c>
    </row>
    <row r="1258" spans="36:36" ht="24" customHeight="1">
      <c r="AJ1258" s="139" t="str">
        <f t="shared" si="23"/>
        <v/>
      </c>
    </row>
    <row r="1259" spans="36:36" ht="24" customHeight="1">
      <c r="AJ1259" s="139" t="str">
        <f t="shared" si="23"/>
        <v/>
      </c>
    </row>
    <row r="1260" spans="36:36" ht="24" customHeight="1">
      <c r="AJ1260" s="139" t="str">
        <f t="shared" si="23"/>
        <v/>
      </c>
    </row>
    <row r="1261" spans="36:36" ht="24" customHeight="1">
      <c r="AJ1261" s="139" t="str">
        <f t="shared" si="23"/>
        <v/>
      </c>
    </row>
    <row r="1262" spans="36:36" ht="24" customHeight="1">
      <c r="AJ1262" s="139" t="str">
        <f t="shared" si="23"/>
        <v/>
      </c>
    </row>
    <row r="1263" spans="36:36" ht="24" customHeight="1">
      <c r="AJ1263" s="139" t="str">
        <f t="shared" si="23"/>
        <v/>
      </c>
    </row>
    <row r="1264" spans="36:36" ht="24" customHeight="1">
      <c r="AJ1264" s="139" t="str">
        <f t="shared" si="23"/>
        <v/>
      </c>
    </row>
    <row r="1265" spans="36:36" ht="24" customHeight="1">
      <c r="AJ1265" s="139" t="str">
        <f t="shared" si="23"/>
        <v/>
      </c>
    </row>
    <row r="1266" spans="36:36" ht="24" customHeight="1">
      <c r="AJ1266" s="139" t="str">
        <f t="shared" si="23"/>
        <v/>
      </c>
    </row>
    <row r="1267" spans="36:36" ht="24" customHeight="1">
      <c r="AJ1267" s="139" t="str">
        <f t="shared" si="23"/>
        <v/>
      </c>
    </row>
    <row r="1268" spans="36:36" ht="24" customHeight="1">
      <c r="AJ1268" s="139" t="str">
        <f t="shared" si="23"/>
        <v/>
      </c>
    </row>
    <row r="1269" spans="36:36" ht="24" customHeight="1">
      <c r="AJ1269" s="139" t="str">
        <f t="shared" si="23"/>
        <v/>
      </c>
    </row>
    <row r="1270" spans="36:36" ht="24" customHeight="1">
      <c r="AJ1270" s="139" t="str">
        <f t="shared" si="23"/>
        <v/>
      </c>
    </row>
    <row r="1271" spans="36:36" ht="24" customHeight="1">
      <c r="AJ1271" s="139" t="str">
        <f t="shared" si="23"/>
        <v/>
      </c>
    </row>
    <row r="1272" spans="36:36" ht="24" customHeight="1">
      <c r="AJ1272" s="139" t="str">
        <f t="shared" si="23"/>
        <v/>
      </c>
    </row>
    <row r="1273" spans="36:36" ht="24" customHeight="1">
      <c r="AJ1273" s="139" t="str">
        <f t="shared" si="23"/>
        <v/>
      </c>
    </row>
    <row r="1274" spans="36:36" ht="24" customHeight="1">
      <c r="AJ1274" s="139" t="str">
        <f t="shared" si="23"/>
        <v/>
      </c>
    </row>
    <row r="1275" spans="36:36" ht="24" customHeight="1">
      <c r="AJ1275" s="139" t="str">
        <f t="shared" si="23"/>
        <v/>
      </c>
    </row>
    <row r="1276" spans="36:36" ht="24" customHeight="1">
      <c r="AJ1276" s="139" t="str">
        <f t="shared" si="23"/>
        <v/>
      </c>
    </row>
    <row r="1277" spans="36:36" ht="24" customHeight="1">
      <c r="AJ1277" s="139" t="str">
        <f t="shared" si="23"/>
        <v/>
      </c>
    </row>
    <row r="1278" spans="36:36" ht="24" customHeight="1">
      <c r="AJ1278" s="139" t="str">
        <f t="shared" si="23"/>
        <v/>
      </c>
    </row>
    <row r="1279" spans="36:36" ht="24" customHeight="1">
      <c r="AJ1279" s="139" t="str">
        <f t="shared" si="23"/>
        <v/>
      </c>
    </row>
    <row r="1280" spans="36:36" ht="24" customHeight="1">
      <c r="AJ1280" s="139" t="str">
        <f t="shared" si="23"/>
        <v/>
      </c>
    </row>
    <row r="1281" spans="36:36" ht="24" customHeight="1">
      <c r="AJ1281" s="139" t="str">
        <f t="shared" si="23"/>
        <v/>
      </c>
    </row>
    <row r="1282" spans="36:36" ht="24" customHeight="1">
      <c r="AJ1282" s="139" t="str">
        <f t="shared" si="23"/>
        <v/>
      </c>
    </row>
    <row r="1283" spans="36:36" ht="24" customHeight="1">
      <c r="AJ1283" s="139" t="str">
        <f t="shared" si="23"/>
        <v/>
      </c>
    </row>
    <row r="1284" spans="36:36" ht="24" customHeight="1">
      <c r="AJ1284" s="139" t="str">
        <f t="shared" si="23"/>
        <v/>
      </c>
    </row>
    <row r="1285" spans="36:36" ht="24" customHeight="1">
      <c r="AJ1285" s="139" t="str">
        <f t="shared" si="23"/>
        <v/>
      </c>
    </row>
    <row r="1286" spans="36:36" ht="24" customHeight="1">
      <c r="AJ1286" s="139" t="str">
        <f t="shared" si="23"/>
        <v/>
      </c>
    </row>
    <row r="1287" spans="36:36" ht="24" customHeight="1">
      <c r="AJ1287" s="139" t="str">
        <f t="shared" si="23"/>
        <v/>
      </c>
    </row>
    <row r="1288" spans="36:36" ht="24" customHeight="1">
      <c r="AJ1288" s="139" t="str">
        <f t="shared" si="23"/>
        <v/>
      </c>
    </row>
    <row r="1289" spans="36:36" ht="24" customHeight="1">
      <c r="AJ1289" s="139" t="str">
        <f t="shared" ref="AJ1289:AJ1352" si="24">IF(C1289="","",C1289)</f>
        <v/>
      </c>
    </row>
    <row r="1290" spans="36:36" ht="24" customHeight="1">
      <c r="AJ1290" s="139" t="str">
        <f t="shared" si="24"/>
        <v/>
      </c>
    </row>
    <row r="1291" spans="36:36" ht="24" customHeight="1">
      <c r="AJ1291" s="139" t="str">
        <f t="shared" si="24"/>
        <v/>
      </c>
    </row>
    <row r="1292" spans="36:36" ht="24" customHeight="1">
      <c r="AJ1292" s="139" t="str">
        <f t="shared" si="24"/>
        <v/>
      </c>
    </row>
    <row r="1293" spans="36:36" ht="24" customHeight="1">
      <c r="AJ1293" s="139" t="str">
        <f t="shared" si="24"/>
        <v/>
      </c>
    </row>
    <row r="1294" spans="36:36" ht="24" customHeight="1">
      <c r="AJ1294" s="139" t="str">
        <f t="shared" si="24"/>
        <v/>
      </c>
    </row>
    <row r="1295" spans="36:36" ht="24" customHeight="1">
      <c r="AJ1295" s="139" t="str">
        <f t="shared" si="24"/>
        <v/>
      </c>
    </row>
    <row r="1296" spans="36:36" ht="24" customHeight="1">
      <c r="AJ1296" s="139" t="str">
        <f t="shared" si="24"/>
        <v/>
      </c>
    </row>
    <row r="1297" spans="36:36" ht="24" customHeight="1">
      <c r="AJ1297" s="139" t="str">
        <f t="shared" si="24"/>
        <v/>
      </c>
    </row>
    <row r="1298" spans="36:36" ht="24" customHeight="1">
      <c r="AJ1298" s="139" t="str">
        <f t="shared" si="24"/>
        <v/>
      </c>
    </row>
    <row r="1299" spans="36:36" ht="24" customHeight="1">
      <c r="AJ1299" s="139" t="str">
        <f t="shared" si="24"/>
        <v/>
      </c>
    </row>
    <row r="1300" spans="36:36" ht="24" customHeight="1">
      <c r="AJ1300" s="139" t="str">
        <f t="shared" si="24"/>
        <v/>
      </c>
    </row>
    <row r="1301" spans="36:36" ht="24" customHeight="1">
      <c r="AJ1301" s="139" t="str">
        <f t="shared" si="24"/>
        <v/>
      </c>
    </row>
    <row r="1302" spans="36:36" ht="24" customHeight="1">
      <c r="AJ1302" s="139" t="str">
        <f t="shared" si="24"/>
        <v/>
      </c>
    </row>
    <row r="1303" spans="36:36" ht="24" customHeight="1">
      <c r="AJ1303" s="139" t="str">
        <f t="shared" si="24"/>
        <v/>
      </c>
    </row>
    <row r="1304" spans="36:36" ht="24" customHeight="1">
      <c r="AJ1304" s="139" t="str">
        <f t="shared" si="24"/>
        <v/>
      </c>
    </row>
    <row r="1305" spans="36:36" ht="24" customHeight="1">
      <c r="AJ1305" s="139" t="str">
        <f t="shared" si="24"/>
        <v/>
      </c>
    </row>
    <row r="1306" spans="36:36" ht="24" customHeight="1">
      <c r="AJ1306" s="139" t="str">
        <f t="shared" si="24"/>
        <v/>
      </c>
    </row>
    <row r="1307" spans="36:36" ht="24" customHeight="1">
      <c r="AJ1307" s="139" t="str">
        <f t="shared" si="24"/>
        <v/>
      </c>
    </row>
    <row r="1308" spans="36:36" ht="24" customHeight="1">
      <c r="AJ1308" s="139" t="str">
        <f t="shared" si="24"/>
        <v/>
      </c>
    </row>
    <row r="1309" spans="36:36" ht="24" customHeight="1">
      <c r="AJ1309" s="139" t="str">
        <f t="shared" si="24"/>
        <v/>
      </c>
    </row>
    <row r="1310" spans="36:36" ht="24" customHeight="1">
      <c r="AJ1310" s="139" t="str">
        <f t="shared" si="24"/>
        <v/>
      </c>
    </row>
    <row r="1311" spans="36:36" ht="24" customHeight="1">
      <c r="AJ1311" s="139" t="str">
        <f t="shared" si="24"/>
        <v/>
      </c>
    </row>
    <row r="1312" spans="36:36" ht="24" customHeight="1">
      <c r="AJ1312" s="139" t="str">
        <f t="shared" si="24"/>
        <v/>
      </c>
    </row>
    <row r="1313" spans="36:36" ht="24" customHeight="1">
      <c r="AJ1313" s="139" t="str">
        <f t="shared" si="24"/>
        <v/>
      </c>
    </row>
    <row r="1314" spans="36:36" ht="24" customHeight="1">
      <c r="AJ1314" s="139" t="str">
        <f t="shared" si="24"/>
        <v/>
      </c>
    </row>
    <row r="1315" spans="36:36" ht="24" customHeight="1">
      <c r="AJ1315" s="139" t="str">
        <f t="shared" si="24"/>
        <v/>
      </c>
    </row>
    <row r="1316" spans="36:36" ht="24" customHeight="1">
      <c r="AJ1316" s="139" t="str">
        <f t="shared" si="24"/>
        <v/>
      </c>
    </row>
    <row r="1317" spans="36:36" ht="24" customHeight="1">
      <c r="AJ1317" s="139" t="str">
        <f t="shared" si="24"/>
        <v/>
      </c>
    </row>
    <row r="1318" spans="36:36" ht="24" customHeight="1">
      <c r="AJ1318" s="139" t="str">
        <f t="shared" si="24"/>
        <v/>
      </c>
    </row>
    <row r="1319" spans="36:36" ht="24" customHeight="1">
      <c r="AJ1319" s="139" t="str">
        <f t="shared" si="24"/>
        <v/>
      </c>
    </row>
    <row r="1320" spans="36:36" ht="24" customHeight="1">
      <c r="AJ1320" s="139" t="str">
        <f t="shared" si="24"/>
        <v/>
      </c>
    </row>
    <row r="1321" spans="36:36" ht="24" customHeight="1">
      <c r="AJ1321" s="139" t="str">
        <f t="shared" si="24"/>
        <v/>
      </c>
    </row>
    <row r="1322" spans="36:36" ht="24" customHeight="1">
      <c r="AJ1322" s="139" t="str">
        <f t="shared" si="24"/>
        <v/>
      </c>
    </row>
    <row r="1323" spans="36:36" ht="24" customHeight="1">
      <c r="AJ1323" s="139" t="str">
        <f t="shared" si="24"/>
        <v/>
      </c>
    </row>
    <row r="1324" spans="36:36" ht="24" customHeight="1">
      <c r="AJ1324" s="139" t="str">
        <f t="shared" si="24"/>
        <v/>
      </c>
    </row>
    <row r="1325" spans="36:36" ht="24" customHeight="1">
      <c r="AJ1325" s="139" t="str">
        <f t="shared" si="24"/>
        <v/>
      </c>
    </row>
    <row r="1326" spans="36:36" ht="24" customHeight="1">
      <c r="AJ1326" s="139" t="str">
        <f t="shared" si="24"/>
        <v/>
      </c>
    </row>
    <row r="1327" spans="36:36" ht="24" customHeight="1">
      <c r="AJ1327" s="139" t="str">
        <f t="shared" si="24"/>
        <v/>
      </c>
    </row>
    <row r="1328" spans="36:36" ht="24" customHeight="1">
      <c r="AJ1328" s="139" t="str">
        <f t="shared" si="24"/>
        <v/>
      </c>
    </row>
    <row r="1329" spans="36:36" ht="24" customHeight="1">
      <c r="AJ1329" s="139" t="str">
        <f t="shared" si="24"/>
        <v/>
      </c>
    </row>
    <row r="1330" spans="36:36" ht="24" customHeight="1">
      <c r="AJ1330" s="139" t="str">
        <f t="shared" si="24"/>
        <v/>
      </c>
    </row>
    <row r="1331" spans="36:36" ht="24" customHeight="1">
      <c r="AJ1331" s="139" t="str">
        <f t="shared" si="24"/>
        <v/>
      </c>
    </row>
    <row r="1332" spans="36:36" ht="24" customHeight="1">
      <c r="AJ1332" s="139" t="str">
        <f t="shared" si="24"/>
        <v/>
      </c>
    </row>
    <row r="1333" spans="36:36" ht="24" customHeight="1">
      <c r="AJ1333" s="139" t="str">
        <f t="shared" si="24"/>
        <v/>
      </c>
    </row>
    <row r="1334" spans="36:36" ht="24" customHeight="1">
      <c r="AJ1334" s="139" t="str">
        <f t="shared" si="24"/>
        <v/>
      </c>
    </row>
    <row r="1335" spans="36:36" ht="24" customHeight="1">
      <c r="AJ1335" s="139" t="str">
        <f t="shared" si="24"/>
        <v/>
      </c>
    </row>
    <row r="1336" spans="36:36" ht="24" customHeight="1">
      <c r="AJ1336" s="139" t="str">
        <f t="shared" si="24"/>
        <v/>
      </c>
    </row>
    <row r="1337" spans="36:36" ht="24" customHeight="1">
      <c r="AJ1337" s="139" t="str">
        <f t="shared" si="24"/>
        <v/>
      </c>
    </row>
    <row r="1338" spans="36:36" ht="24" customHeight="1">
      <c r="AJ1338" s="139" t="str">
        <f t="shared" si="24"/>
        <v/>
      </c>
    </row>
    <row r="1339" spans="36:36" ht="24" customHeight="1">
      <c r="AJ1339" s="139" t="str">
        <f t="shared" si="24"/>
        <v/>
      </c>
    </row>
    <row r="1340" spans="36:36" ht="24" customHeight="1">
      <c r="AJ1340" s="139" t="str">
        <f t="shared" si="24"/>
        <v/>
      </c>
    </row>
    <row r="1341" spans="36:36" ht="24" customHeight="1">
      <c r="AJ1341" s="139" t="str">
        <f t="shared" si="24"/>
        <v/>
      </c>
    </row>
    <row r="1342" spans="36:36" ht="24" customHeight="1">
      <c r="AJ1342" s="139" t="str">
        <f t="shared" si="24"/>
        <v/>
      </c>
    </row>
    <row r="1343" spans="36:36" ht="24" customHeight="1">
      <c r="AJ1343" s="139" t="str">
        <f t="shared" si="24"/>
        <v/>
      </c>
    </row>
    <row r="1344" spans="36:36" ht="24" customHeight="1">
      <c r="AJ1344" s="139" t="str">
        <f t="shared" si="24"/>
        <v/>
      </c>
    </row>
    <row r="1345" spans="36:36" ht="24" customHeight="1">
      <c r="AJ1345" s="139" t="str">
        <f t="shared" si="24"/>
        <v/>
      </c>
    </row>
    <row r="1346" spans="36:36" ht="24" customHeight="1">
      <c r="AJ1346" s="139" t="str">
        <f t="shared" si="24"/>
        <v/>
      </c>
    </row>
    <row r="1347" spans="36:36" ht="24" customHeight="1">
      <c r="AJ1347" s="139" t="str">
        <f t="shared" si="24"/>
        <v/>
      </c>
    </row>
    <row r="1348" spans="36:36" ht="24" customHeight="1">
      <c r="AJ1348" s="139" t="str">
        <f t="shared" si="24"/>
        <v/>
      </c>
    </row>
    <row r="1349" spans="36:36" ht="24" customHeight="1">
      <c r="AJ1349" s="139" t="str">
        <f t="shared" si="24"/>
        <v/>
      </c>
    </row>
    <row r="1350" spans="36:36" ht="24" customHeight="1">
      <c r="AJ1350" s="139" t="str">
        <f t="shared" si="24"/>
        <v/>
      </c>
    </row>
    <row r="1351" spans="36:36" ht="24" customHeight="1">
      <c r="AJ1351" s="139" t="str">
        <f t="shared" si="24"/>
        <v/>
      </c>
    </row>
    <row r="1352" spans="36:36" ht="24" customHeight="1">
      <c r="AJ1352" s="139" t="str">
        <f t="shared" si="24"/>
        <v/>
      </c>
    </row>
    <row r="1353" spans="36:36" ht="24" customHeight="1">
      <c r="AJ1353" s="139" t="str">
        <f t="shared" ref="AJ1353:AJ1416" si="25">IF(C1353="","",C1353)</f>
        <v/>
      </c>
    </row>
    <row r="1354" spans="36:36" ht="24" customHeight="1">
      <c r="AJ1354" s="139" t="str">
        <f t="shared" si="25"/>
        <v/>
      </c>
    </row>
    <row r="1355" spans="36:36" ht="24" customHeight="1">
      <c r="AJ1355" s="139" t="str">
        <f t="shared" si="25"/>
        <v/>
      </c>
    </row>
    <row r="1356" spans="36:36" ht="24" customHeight="1">
      <c r="AJ1356" s="139" t="str">
        <f t="shared" si="25"/>
        <v/>
      </c>
    </row>
    <row r="1357" spans="36:36" ht="24" customHeight="1">
      <c r="AJ1357" s="139" t="str">
        <f t="shared" si="25"/>
        <v/>
      </c>
    </row>
    <row r="1358" spans="36:36" ht="24" customHeight="1">
      <c r="AJ1358" s="139" t="str">
        <f t="shared" si="25"/>
        <v/>
      </c>
    </row>
    <row r="1359" spans="36:36" ht="24" customHeight="1">
      <c r="AJ1359" s="139" t="str">
        <f t="shared" si="25"/>
        <v/>
      </c>
    </row>
    <row r="1360" spans="36:36" ht="24" customHeight="1">
      <c r="AJ1360" s="139" t="str">
        <f t="shared" si="25"/>
        <v/>
      </c>
    </row>
    <row r="1361" spans="36:36" ht="24" customHeight="1">
      <c r="AJ1361" s="139" t="str">
        <f t="shared" si="25"/>
        <v/>
      </c>
    </row>
    <row r="1362" spans="36:36" ht="24" customHeight="1">
      <c r="AJ1362" s="139" t="str">
        <f t="shared" si="25"/>
        <v/>
      </c>
    </row>
    <row r="1363" spans="36:36" ht="24" customHeight="1">
      <c r="AJ1363" s="139" t="str">
        <f t="shared" si="25"/>
        <v/>
      </c>
    </row>
    <row r="1364" spans="36:36" ht="24" customHeight="1">
      <c r="AJ1364" s="139" t="str">
        <f t="shared" si="25"/>
        <v/>
      </c>
    </row>
    <row r="1365" spans="36:36" ht="24" customHeight="1">
      <c r="AJ1365" s="139" t="str">
        <f t="shared" si="25"/>
        <v/>
      </c>
    </row>
    <row r="1366" spans="36:36" ht="24" customHeight="1">
      <c r="AJ1366" s="139" t="str">
        <f t="shared" si="25"/>
        <v/>
      </c>
    </row>
    <row r="1367" spans="36:36" ht="24" customHeight="1">
      <c r="AJ1367" s="139" t="str">
        <f t="shared" si="25"/>
        <v/>
      </c>
    </row>
    <row r="1368" spans="36:36" ht="24" customHeight="1">
      <c r="AJ1368" s="139" t="str">
        <f t="shared" si="25"/>
        <v/>
      </c>
    </row>
    <row r="1369" spans="36:36" ht="24" customHeight="1">
      <c r="AJ1369" s="139" t="str">
        <f t="shared" si="25"/>
        <v/>
      </c>
    </row>
    <row r="1370" spans="36:36" ht="24" customHeight="1">
      <c r="AJ1370" s="139" t="str">
        <f t="shared" si="25"/>
        <v/>
      </c>
    </row>
    <row r="1371" spans="36:36" ht="24" customHeight="1">
      <c r="AJ1371" s="139" t="str">
        <f t="shared" si="25"/>
        <v/>
      </c>
    </row>
    <row r="1372" spans="36:36" ht="24" customHeight="1">
      <c r="AJ1372" s="139" t="str">
        <f t="shared" si="25"/>
        <v/>
      </c>
    </row>
    <row r="1373" spans="36:36" ht="24" customHeight="1">
      <c r="AJ1373" s="139" t="str">
        <f t="shared" si="25"/>
        <v/>
      </c>
    </row>
    <row r="1374" spans="36:36" ht="24" customHeight="1">
      <c r="AJ1374" s="139" t="str">
        <f t="shared" si="25"/>
        <v/>
      </c>
    </row>
    <row r="1375" spans="36:36" ht="24" customHeight="1">
      <c r="AJ1375" s="139" t="str">
        <f t="shared" si="25"/>
        <v/>
      </c>
    </row>
    <row r="1376" spans="36:36" ht="24" customHeight="1">
      <c r="AJ1376" s="139" t="str">
        <f t="shared" si="25"/>
        <v/>
      </c>
    </row>
    <row r="1377" spans="36:36" ht="24" customHeight="1">
      <c r="AJ1377" s="139" t="str">
        <f t="shared" si="25"/>
        <v/>
      </c>
    </row>
    <row r="1378" spans="36:36" ht="24" customHeight="1">
      <c r="AJ1378" s="139" t="str">
        <f t="shared" si="25"/>
        <v/>
      </c>
    </row>
    <row r="1379" spans="36:36" ht="24" customHeight="1">
      <c r="AJ1379" s="139" t="str">
        <f t="shared" si="25"/>
        <v/>
      </c>
    </row>
    <row r="1380" spans="36:36" ht="24" customHeight="1">
      <c r="AJ1380" s="139" t="str">
        <f t="shared" si="25"/>
        <v/>
      </c>
    </row>
    <row r="1381" spans="36:36" ht="24" customHeight="1">
      <c r="AJ1381" s="139" t="str">
        <f t="shared" si="25"/>
        <v/>
      </c>
    </row>
    <row r="1382" spans="36:36" ht="24" customHeight="1">
      <c r="AJ1382" s="139" t="str">
        <f t="shared" si="25"/>
        <v/>
      </c>
    </row>
    <row r="1383" spans="36:36" ht="24" customHeight="1">
      <c r="AJ1383" s="139" t="str">
        <f t="shared" si="25"/>
        <v/>
      </c>
    </row>
    <row r="1384" spans="36:36" ht="24" customHeight="1">
      <c r="AJ1384" s="139" t="str">
        <f t="shared" si="25"/>
        <v/>
      </c>
    </row>
    <row r="1385" spans="36:36" ht="24" customHeight="1">
      <c r="AJ1385" s="139" t="str">
        <f t="shared" si="25"/>
        <v/>
      </c>
    </row>
    <row r="1386" spans="36:36" ht="24" customHeight="1">
      <c r="AJ1386" s="139" t="str">
        <f t="shared" si="25"/>
        <v/>
      </c>
    </row>
    <row r="1387" spans="36:36" ht="24" customHeight="1">
      <c r="AJ1387" s="139" t="str">
        <f t="shared" si="25"/>
        <v/>
      </c>
    </row>
    <row r="1388" spans="36:36" ht="24" customHeight="1">
      <c r="AJ1388" s="139" t="str">
        <f t="shared" si="25"/>
        <v/>
      </c>
    </row>
    <row r="1389" spans="36:36" ht="24" customHeight="1">
      <c r="AJ1389" s="139" t="str">
        <f t="shared" si="25"/>
        <v/>
      </c>
    </row>
    <row r="1390" spans="36:36" ht="24" customHeight="1">
      <c r="AJ1390" s="139" t="str">
        <f t="shared" si="25"/>
        <v/>
      </c>
    </row>
    <row r="1391" spans="36:36" ht="24" customHeight="1">
      <c r="AJ1391" s="139" t="str">
        <f t="shared" si="25"/>
        <v/>
      </c>
    </row>
    <row r="1392" spans="36:36" ht="24" customHeight="1">
      <c r="AJ1392" s="139" t="str">
        <f t="shared" si="25"/>
        <v/>
      </c>
    </row>
    <row r="1393" spans="36:36" ht="24" customHeight="1">
      <c r="AJ1393" s="139" t="str">
        <f t="shared" si="25"/>
        <v/>
      </c>
    </row>
    <row r="1394" spans="36:36" ht="24" customHeight="1">
      <c r="AJ1394" s="139" t="str">
        <f t="shared" si="25"/>
        <v/>
      </c>
    </row>
    <row r="1395" spans="36:36" ht="24" customHeight="1">
      <c r="AJ1395" s="139" t="str">
        <f t="shared" si="25"/>
        <v/>
      </c>
    </row>
    <row r="1396" spans="36:36" ht="24" customHeight="1">
      <c r="AJ1396" s="139" t="str">
        <f t="shared" si="25"/>
        <v/>
      </c>
    </row>
    <row r="1397" spans="36:36" ht="24" customHeight="1">
      <c r="AJ1397" s="139" t="str">
        <f t="shared" si="25"/>
        <v/>
      </c>
    </row>
    <row r="1398" spans="36:36" ht="24" customHeight="1">
      <c r="AJ1398" s="139" t="str">
        <f t="shared" si="25"/>
        <v/>
      </c>
    </row>
    <row r="1399" spans="36:36" ht="24" customHeight="1">
      <c r="AJ1399" s="139" t="str">
        <f t="shared" si="25"/>
        <v/>
      </c>
    </row>
    <row r="1400" spans="36:36" ht="24" customHeight="1">
      <c r="AJ1400" s="139" t="str">
        <f t="shared" si="25"/>
        <v/>
      </c>
    </row>
    <row r="1401" spans="36:36" ht="24" customHeight="1">
      <c r="AJ1401" s="139" t="str">
        <f t="shared" si="25"/>
        <v/>
      </c>
    </row>
    <row r="1402" spans="36:36" ht="24" customHeight="1">
      <c r="AJ1402" s="139" t="str">
        <f t="shared" si="25"/>
        <v/>
      </c>
    </row>
    <row r="1403" spans="36:36" ht="24" customHeight="1">
      <c r="AJ1403" s="139" t="str">
        <f t="shared" si="25"/>
        <v/>
      </c>
    </row>
    <row r="1404" spans="36:36" ht="24" customHeight="1">
      <c r="AJ1404" s="139" t="str">
        <f t="shared" si="25"/>
        <v/>
      </c>
    </row>
    <row r="1405" spans="36:36" ht="24" customHeight="1">
      <c r="AJ1405" s="139" t="str">
        <f t="shared" si="25"/>
        <v/>
      </c>
    </row>
    <row r="1406" spans="36:36" ht="24" customHeight="1">
      <c r="AJ1406" s="139" t="str">
        <f t="shared" si="25"/>
        <v/>
      </c>
    </row>
    <row r="1407" spans="36:36" ht="24" customHeight="1">
      <c r="AJ1407" s="139" t="str">
        <f t="shared" si="25"/>
        <v/>
      </c>
    </row>
    <row r="1408" spans="36:36" ht="24" customHeight="1">
      <c r="AJ1408" s="139" t="str">
        <f t="shared" si="25"/>
        <v/>
      </c>
    </row>
    <row r="1409" spans="36:36" ht="24" customHeight="1">
      <c r="AJ1409" s="139" t="str">
        <f t="shared" si="25"/>
        <v/>
      </c>
    </row>
    <row r="1410" spans="36:36" ht="24" customHeight="1">
      <c r="AJ1410" s="139" t="str">
        <f t="shared" si="25"/>
        <v/>
      </c>
    </row>
    <row r="1411" spans="36:36" ht="24" customHeight="1">
      <c r="AJ1411" s="139" t="str">
        <f t="shared" si="25"/>
        <v/>
      </c>
    </row>
    <row r="1412" spans="36:36" ht="24" customHeight="1">
      <c r="AJ1412" s="139" t="str">
        <f t="shared" si="25"/>
        <v/>
      </c>
    </row>
    <row r="1413" spans="36:36" ht="24" customHeight="1">
      <c r="AJ1413" s="139" t="str">
        <f t="shared" si="25"/>
        <v/>
      </c>
    </row>
    <row r="1414" spans="36:36" ht="24" customHeight="1">
      <c r="AJ1414" s="139" t="str">
        <f t="shared" si="25"/>
        <v/>
      </c>
    </row>
    <row r="1415" spans="36:36" ht="24" customHeight="1">
      <c r="AJ1415" s="139" t="str">
        <f t="shared" si="25"/>
        <v/>
      </c>
    </row>
    <row r="1416" spans="36:36" ht="24" customHeight="1">
      <c r="AJ1416" s="139" t="str">
        <f t="shared" si="25"/>
        <v/>
      </c>
    </row>
    <row r="1417" spans="36:36" ht="24" customHeight="1">
      <c r="AJ1417" s="139" t="str">
        <f t="shared" ref="AJ1417:AJ1480" si="26">IF(C1417="","",C1417)</f>
        <v/>
      </c>
    </row>
    <row r="1418" spans="36:36" ht="24" customHeight="1">
      <c r="AJ1418" s="139" t="str">
        <f t="shared" si="26"/>
        <v/>
      </c>
    </row>
    <row r="1419" spans="36:36" ht="24" customHeight="1">
      <c r="AJ1419" s="139" t="str">
        <f t="shared" si="26"/>
        <v/>
      </c>
    </row>
    <row r="1420" spans="36:36" ht="24" customHeight="1">
      <c r="AJ1420" s="139" t="str">
        <f t="shared" si="26"/>
        <v/>
      </c>
    </row>
    <row r="1421" spans="36:36" ht="24" customHeight="1">
      <c r="AJ1421" s="139" t="str">
        <f t="shared" si="26"/>
        <v/>
      </c>
    </row>
    <row r="1422" spans="36:36" ht="24" customHeight="1">
      <c r="AJ1422" s="139" t="str">
        <f t="shared" si="26"/>
        <v/>
      </c>
    </row>
    <row r="1423" spans="36:36" ht="24" customHeight="1">
      <c r="AJ1423" s="139" t="str">
        <f t="shared" si="26"/>
        <v/>
      </c>
    </row>
    <row r="1424" spans="36:36" ht="24" customHeight="1">
      <c r="AJ1424" s="139" t="str">
        <f t="shared" si="26"/>
        <v/>
      </c>
    </row>
    <row r="1425" spans="36:36" ht="24" customHeight="1">
      <c r="AJ1425" s="139" t="str">
        <f t="shared" si="26"/>
        <v/>
      </c>
    </row>
    <row r="1426" spans="36:36" ht="24" customHeight="1">
      <c r="AJ1426" s="139" t="str">
        <f t="shared" si="26"/>
        <v/>
      </c>
    </row>
    <row r="1427" spans="36:36" ht="24" customHeight="1">
      <c r="AJ1427" s="139" t="str">
        <f t="shared" si="26"/>
        <v/>
      </c>
    </row>
    <row r="1428" spans="36:36" ht="24" customHeight="1">
      <c r="AJ1428" s="139" t="str">
        <f t="shared" si="26"/>
        <v/>
      </c>
    </row>
    <row r="1429" spans="36:36" ht="24" customHeight="1">
      <c r="AJ1429" s="139" t="str">
        <f t="shared" si="26"/>
        <v/>
      </c>
    </row>
    <row r="1430" spans="36:36" ht="24" customHeight="1">
      <c r="AJ1430" s="139" t="str">
        <f t="shared" si="26"/>
        <v/>
      </c>
    </row>
    <row r="1431" spans="36:36" ht="24" customHeight="1">
      <c r="AJ1431" s="139" t="str">
        <f t="shared" si="26"/>
        <v/>
      </c>
    </row>
    <row r="1432" spans="36:36" ht="24" customHeight="1">
      <c r="AJ1432" s="139" t="str">
        <f t="shared" si="26"/>
        <v/>
      </c>
    </row>
    <row r="1433" spans="36:36" ht="24" customHeight="1">
      <c r="AJ1433" s="139" t="str">
        <f t="shared" si="26"/>
        <v/>
      </c>
    </row>
    <row r="1434" spans="36:36" ht="24" customHeight="1">
      <c r="AJ1434" s="139" t="str">
        <f t="shared" si="26"/>
        <v/>
      </c>
    </row>
    <row r="1435" spans="36:36" ht="24" customHeight="1">
      <c r="AJ1435" s="139" t="str">
        <f t="shared" si="26"/>
        <v/>
      </c>
    </row>
    <row r="1436" spans="36:36" ht="24" customHeight="1">
      <c r="AJ1436" s="139" t="str">
        <f t="shared" si="26"/>
        <v/>
      </c>
    </row>
    <row r="1437" spans="36:36" ht="24" customHeight="1">
      <c r="AJ1437" s="139" t="str">
        <f t="shared" si="26"/>
        <v/>
      </c>
    </row>
    <row r="1438" spans="36:36" ht="24" customHeight="1">
      <c r="AJ1438" s="139" t="str">
        <f t="shared" si="26"/>
        <v/>
      </c>
    </row>
    <row r="1439" spans="36:36" ht="24" customHeight="1">
      <c r="AJ1439" s="139" t="str">
        <f t="shared" si="26"/>
        <v/>
      </c>
    </row>
    <row r="1440" spans="36:36" ht="24" customHeight="1">
      <c r="AJ1440" s="139" t="str">
        <f t="shared" si="26"/>
        <v/>
      </c>
    </row>
    <row r="1441" spans="36:36" ht="24" customHeight="1">
      <c r="AJ1441" s="139" t="str">
        <f t="shared" si="26"/>
        <v/>
      </c>
    </row>
    <row r="1442" spans="36:36" ht="24" customHeight="1">
      <c r="AJ1442" s="139" t="str">
        <f t="shared" si="26"/>
        <v/>
      </c>
    </row>
    <row r="1443" spans="36:36" ht="24" customHeight="1">
      <c r="AJ1443" s="139" t="str">
        <f t="shared" si="26"/>
        <v/>
      </c>
    </row>
    <row r="1444" spans="36:36" ht="24" customHeight="1">
      <c r="AJ1444" s="139" t="str">
        <f t="shared" si="26"/>
        <v/>
      </c>
    </row>
    <row r="1445" spans="36:36" ht="24" customHeight="1">
      <c r="AJ1445" s="139" t="str">
        <f t="shared" si="26"/>
        <v/>
      </c>
    </row>
    <row r="1446" spans="36:36" ht="24" customHeight="1">
      <c r="AJ1446" s="139" t="str">
        <f t="shared" si="26"/>
        <v/>
      </c>
    </row>
    <row r="1447" spans="36:36" ht="24" customHeight="1">
      <c r="AJ1447" s="139" t="str">
        <f t="shared" si="26"/>
        <v/>
      </c>
    </row>
    <row r="1448" spans="36:36" ht="24" customHeight="1">
      <c r="AJ1448" s="139" t="str">
        <f t="shared" si="26"/>
        <v/>
      </c>
    </row>
    <row r="1449" spans="36:36" ht="24" customHeight="1">
      <c r="AJ1449" s="139" t="str">
        <f t="shared" si="26"/>
        <v/>
      </c>
    </row>
    <row r="1450" spans="36:36" ht="24" customHeight="1">
      <c r="AJ1450" s="139" t="str">
        <f t="shared" si="26"/>
        <v/>
      </c>
    </row>
    <row r="1451" spans="36:36" ht="24" customHeight="1">
      <c r="AJ1451" s="139" t="str">
        <f t="shared" si="26"/>
        <v/>
      </c>
    </row>
    <row r="1452" spans="36:36" ht="24" customHeight="1">
      <c r="AJ1452" s="139" t="str">
        <f t="shared" si="26"/>
        <v/>
      </c>
    </row>
    <row r="1453" spans="36:36" ht="24" customHeight="1">
      <c r="AJ1453" s="139" t="str">
        <f t="shared" si="26"/>
        <v/>
      </c>
    </row>
    <row r="1454" spans="36:36" ht="24" customHeight="1">
      <c r="AJ1454" s="139" t="str">
        <f t="shared" si="26"/>
        <v/>
      </c>
    </row>
    <row r="1455" spans="36:36" ht="24" customHeight="1">
      <c r="AJ1455" s="139" t="str">
        <f t="shared" si="26"/>
        <v/>
      </c>
    </row>
    <row r="1456" spans="36:36" ht="24" customHeight="1">
      <c r="AJ1456" s="139" t="str">
        <f t="shared" si="26"/>
        <v/>
      </c>
    </row>
    <row r="1457" spans="36:36" ht="24" customHeight="1">
      <c r="AJ1457" s="139" t="str">
        <f t="shared" si="26"/>
        <v/>
      </c>
    </row>
    <row r="1458" spans="36:36" ht="24" customHeight="1">
      <c r="AJ1458" s="139" t="str">
        <f t="shared" si="26"/>
        <v/>
      </c>
    </row>
    <row r="1459" spans="36:36" ht="24" customHeight="1">
      <c r="AJ1459" s="139" t="str">
        <f t="shared" si="26"/>
        <v/>
      </c>
    </row>
    <row r="1460" spans="36:36" ht="24" customHeight="1">
      <c r="AJ1460" s="139" t="str">
        <f t="shared" si="26"/>
        <v/>
      </c>
    </row>
    <row r="1461" spans="36:36" ht="24" customHeight="1">
      <c r="AJ1461" s="139" t="str">
        <f t="shared" si="26"/>
        <v/>
      </c>
    </row>
    <row r="1462" spans="36:36" ht="24" customHeight="1">
      <c r="AJ1462" s="139" t="str">
        <f t="shared" si="26"/>
        <v/>
      </c>
    </row>
    <row r="1463" spans="36:36" ht="24" customHeight="1">
      <c r="AJ1463" s="139" t="str">
        <f t="shared" si="26"/>
        <v/>
      </c>
    </row>
    <row r="1464" spans="36:36" ht="24" customHeight="1">
      <c r="AJ1464" s="139" t="str">
        <f t="shared" si="26"/>
        <v/>
      </c>
    </row>
    <row r="1465" spans="36:36" ht="24" customHeight="1">
      <c r="AJ1465" s="139" t="str">
        <f t="shared" si="26"/>
        <v/>
      </c>
    </row>
    <row r="1466" spans="36:36" ht="24" customHeight="1">
      <c r="AJ1466" s="139" t="str">
        <f t="shared" si="26"/>
        <v/>
      </c>
    </row>
    <row r="1467" spans="36:36" ht="24" customHeight="1">
      <c r="AJ1467" s="139" t="str">
        <f t="shared" si="26"/>
        <v/>
      </c>
    </row>
    <row r="1468" spans="36:36" ht="24" customHeight="1">
      <c r="AJ1468" s="139" t="str">
        <f t="shared" si="26"/>
        <v/>
      </c>
    </row>
    <row r="1469" spans="36:36" ht="24" customHeight="1">
      <c r="AJ1469" s="139" t="str">
        <f t="shared" si="26"/>
        <v/>
      </c>
    </row>
    <row r="1470" spans="36:36" ht="24" customHeight="1">
      <c r="AJ1470" s="139" t="str">
        <f t="shared" si="26"/>
        <v/>
      </c>
    </row>
    <row r="1471" spans="36:36" ht="24" customHeight="1">
      <c r="AJ1471" s="139" t="str">
        <f t="shared" si="26"/>
        <v/>
      </c>
    </row>
    <row r="1472" spans="36:36" ht="24" customHeight="1">
      <c r="AJ1472" s="139" t="str">
        <f t="shared" si="26"/>
        <v/>
      </c>
    </row>
    <row r="1473" spans="36:36" ht="24" customHeight="1">
      <c r="AJ1473" s="139" t="str">
        <f t="shared" si="26"/>
        <v/>
      </c>
    </row>
    <row r="1474" spans="36:36" ht="24" customHeight="1">
      <c r="AJ1474" s="139" t="str">
        <f t="shared" si="26"/>
        <v/>
      </c>
    </row>
    <row r="1475" spans="36:36" ht="24" customHeight="1">
      <c r="AJ1475" s="139" t="str">
        <f t="shared" si="26"/>
        <v/>
      </c>
    </row>
    <row r="1476" spans="36:36" ht="24" customHeight="1">
      <c r="AJ1476" s="139" t="str">
        <f t="shared" si="26"/>
        <v/>
      </c>
    </row>
    <row r="1477" spans="36:36" ht="24" customHeight="1">
      <c r="AJ1477" s="139" t="str">
        <f t="shared" si="26"/>
        <v/>
      </c>
    </row>
    <row r="1478" spans="36:36" ht="24" customHeight="1">
      <c r="AJ1478" s="139" t="str">
        <f t="shared" si="26"/>
        <v/>
      </c>
    </row>
    <row r="1479" spans="36:36" ht="24" customHeight="1">
      <c r="AJ1479" s="139" t="str">
        <f t="shared" si="26"/>
        <v/>
      </c>
    </row>
    <row r="1480" spans="36:36" ht="24" customHeight="1">
      <c r="AJ1480" s="139" t="str">
        <f t="shared" si="26"/>
        <v/>
      </c>
    </row>
    <row r="1481" spans="36:36" ht="24" customHeight="1">
      <c r="AJ1481" s="139" t="str">
        <f t="shared" ref="AJ1481:AJ1544" si="27">IF(C1481="","",C1481)</f>
        <v/>
      </c>
    </row>
    <row r="1482" spans="36:36" ht="24" customHeight="1">
      <c r="AJ1482" s="139" t="str">
        <f t="shared" si="27"/>
        <v/>
      </c>
    </row>
    <row r="1483" spans="36:36" ht="24" customHeight="1">
      <c r="AJ1483" s="139" t="str">
        <f t="shared" si="27"/>
        <v/>
      </c>
    </row>
    <row r="1484" spans="36:36" ht="24" customHeight="1">
      <c r="AJ1484" s="139" t="str">
        <f t="shared" si="27"/>
        <v/>
      </c>
    </row>
    <row r="1485" spans="36:36" ht="24" customHeight="1">
      <c r="AJ1485" s="139" t="str">
        <f t="shared" si="27"/>
        <v/>
      </c>
    </row>
    <row r="1486" spans="36:36" ht="24" customHeight="1">
      <c r="AJ1486" s="139" t="str">
        <f t="shared" si="27"/>
        <v/>
      </c>
    </row>
    <row r="1487" spans="36:36" ht="24" customHeight="1">
      <c r="AJ1487" s="139" t="str">
        <f t="shared" si="27"/>
        <v/>
      </c>
    </row>
    <row r="1488" spans="36:36" ht="24" customHeight="1">
      <c r="AJ1488" s="139" t="str">
        <f t="shared" si="27"/>
        <v/>
      </c>
    </row>
    <row r="1489" spans="36:36" ht="24" customHeight="1">
      <c r="AJ1489" s="139" t="str">
        <f t="shared" si="27"/>
        <v/>
      </c>
    </row>
    <row r="1490" spans="36:36" ht="24" customHeight="1">
      <c r="AJ1490" s="139" t="str">
        <f t="shared" si="27"/>
        <v/>
      </c>
    </row>
    <row r="1491" spans="36:36" ht="24" customHeight="1">
      <c r="AJ1491" s="139" t="str">
        <f t="shared" si="27"/>
        <v/>
      </c>
    </row>
    <row r="1492" spans="36:36" ht="24" customHeight="1">
      <c r="AJ1492" s="139" t="str">
        <f t="shared" si="27"/>
        <v/>
      </c>
    </row>
    <row r="1493" spans="36:36" ht="24" customHeight="1">
      <c r="AJ1493" s="139" t="str">
        <f t="shared" si="27"/>
        <v/>
      </c>
    </row>
    <row r="1494" spans="36:36" ht="24" customHeight="1">
      <c r="AJ1494" s="139" t="str">
        <f t="shared" si="27"/>
        <v/>
      </c>
    </row>
    <row r="1495" spans="36:36" ht="24" customHeight="1">
      <c r="AJ1495" s="139" t="str">
        <f t="shared" si="27"/>
        <v/>
      </c>
    </row>
    <row r="1496" spans="36:36" ht="24" customHeight="1">
      <c r="AJ1496" s="139" t="str">
        <f t="shared" si="27"/>
        <v/>
      </c>
    </row>
    <row r="1497" spans="36:36" ht="24" customHeight="1">
      <c r="AJ1497" s="139" t="str">
        <f t="shared" si="27"/>
        <v/>
      </c>
    </row>
    <row r="1498" spans="36:36" ht="24" customHeight="1">
      <c r="AJ1498" s="139" t="str">
        <f t="shared" si="27"/>
        <v/>
      </c>
    </row>
    <row r="1499" spans="36:36" ht="24" customHeight="1">
      <c r="AJ1499" s="139" t="str">
        <f t="shared" si="27"/>
        <v/>
      </c>
    </row>
    <row r="1500" spans="36:36" ht="24" customHeight="1">
      <c r="AJ1500" s="139" t="str">
        <f t="shared" si="27"/>
        <v/>
      </c>
    </row>
    <row r="1501" spans="36:36" ht="24" customHeight="1">
      <c r="AJ1501" s="139" t="str">
        <f t="shared" si="27"/>
        <v/>
      </c>
    </row>
    <row r="1502" spans="36:36" ht="24" customHeight="1">
      <c r="AJ1502" s="139" t="str">
        <f t="shared" si="27"/>
        <v/>
      </c>
    </row>
    <row r="1503" spans="36:36" ht="24" customHeight="1">
      <c r="AJ1503" s="139" t="str">
        <f t="shared" si="27"/>
        <v/>
      </c>
    </row>
    <row r="1504" spans="36:36" ht="24" customHeight="1">
      <c r="AJ1504" s="139" t="str">
        <f t="shared" si="27"/>
        <v/>
      </c>
    </row>
    <row r="1505" spans="36:36" ht="24" customHeight="1">
      <c r="AJ1505" s="139" t="str">
        <f t="shared" si="27"/>
        <v/>
      </c>
    </row>
    <row r="1506" spans="36:36" ht="24" customHeight="1">
      <c r="AJ1506" s="139" t="str">
        <f t="shared" si="27"/>
        <v/>
      </c>
    </row>
    <row r="1507" spans="36:36" ht="24" customHeight="1">
      <c r="AJ1507" s="139" t="str">
        <f t="shared" si="27"/>
        <v/>
      </c>
    </row>
    <row r="1508" spans="36:36" ht="24" customHeight="1">
      <c r="AJ1508" s="139" t="str">
        <f t="shared" si="27"/>
        <v/>
      </c>
    </row>
    <row r="1509" spans="36:36" ht="24" customHeight="1">
      <c r="AJ1509" s="139" t="str">
        <f t="shared" si="27"/>
        <v/>
      </c>
    </row>
    <row r="1510" spans="36:36" ht="24" customHeight="1">
      <c r="AJ1510" s="139" t="str">
        <f t="shared" si="27"/>
        <v/>
      </c>
    </row>
    <row r="1511" spans="36:36" ht="24" customHeight="1">
      <c r="AJ1511" s="139" t="str">
        <f t="shared" si="27"/>
        <v/>
      </c>
    </row>
    <row r="1512" spans="36:36" ht="24" customHeight="1">
      <c r="AJ1512" s="139" t="str">
        <f t="shared" si="27"/>
        <v/>
      </c>
    </row>
    <row r="1513" spans="36:36" ht="24" customHeight="1">
      <c r="AJ1513" s="139" t="str">
        <f t="shared" si="27"/>
        <v/>
      </c>
    </row>
    <row r="1514" spans="36:36" ht="24" customHeight="1">
      <c r="AJ1514" s="139" t="str">
        <f t="shared" si="27"/>
        <v/>
      </c>
    </row>
    <row r="1515" spans="36:36" ht="24" customHeight="1">
      <c r="AJ1515" s="139" t="str">
        <f t="shared" si="27"/>
        <v/>
      </c>
    </row>
    <row r="1516" spans="36:36" ht="24" customHeight="1">
      <c r="AJ1516" s="139" t="str">
        <f t="shared" si="27"/>
        <v/>
      </c>
    </row>
    <row r="1517" spans="36:36" ht="24" customHeight="1">
      <c r="AJ1517" s="139" t="str">
        <f t="shared" si="27"/>
        <v/>
      </c>
    </row>
    <row r="1518" spans="36:36" ht="24" customHeight="1">
      <c r="AJ1518" s="139" t="str">
        <f t="shared" si="27"/>
        <v/>
      </c>
    </row>
    <row r="1519" spans="36:36" ht="24" customHeight="1">
      <c r="AJ1519" s="139" t="str">
        <f t="shared" si="27"/>
        <v/>
      </c>
    </row>
    <row r="1520" spans="36:36" ht="24" customHeight="1">
      <c r="AJ1520" s="139" t="str">
        <f t="shared" si="27"/>
        <v/>
      </c>
    </row>
    <row r="1521" spans="36:36" ht="24" customHeight="1">
      <c r="AJ1521" s="139" t="str">
        <f t="shared" si="27"/>
        <v/>
      </c>
    </row>
    <row r="1522" spans="36:36" ht="24" customHeight="1">
      <c r="AJ1522" s="139" t="str">
        <f t="shared" si="27"/>
        <v/>
      </c>
    </row>
    <row r="1523" spans="36:36" ht="24" customHeight="1">
      <c r="AJ1523" s="139" t="str">
        <f t="shared" si="27"/>
        <v/>
      </c>
    </row>
    <row r="1524" spans="36:36" ht="24" customHeight="1">
      <c r="AJ1524" s="139" t="str">
        <f t="shared" si="27"/>
        <v/>
      </c>
    </row>
    <row r="1525" spans="36:36" ht="24" customHeight="1">
      <c r="AJ1525" s="139" t="str">
        <f t="shared" si="27"/>
        <v/>
      </c>
    </row>
    <row r="1526" spans="36:36" ht="24" customHeight="1">
      <c r="AJ1526" s="139" t="str">
        <f t="shared" si="27"/>
        <v/>
      </c>
    </row>
    <row r="1527" spans="36:36" ht="24" customHeight="1">
      <c r="AJ1527" s="139" t="str">
        <f t="shared" si="27"/>
        <v/>
      </c>
    </row>
    <row r="1528" spans="36:36" ht="24" customHeight="1">
      <c r="AJ1528" s="139" t="str">
        <f t="shared" si="27"/>
        <v/>
      </c>
    </row>
    <row r="1529" spans="36:36" ht="24" customHeight="1">
      <c r="AJ1529" s="139" t="str">
        <f t="shared" si="27"/>
        <v/>
      </c>
    </row>
    <row r="1530" spans="36:36" ht="24" customHeight="1">
      <c r="AJ1530" s="139" t="str">
        <f t="shared" si="27"/>
        <v/>
      </c>
    </row>
    <row r="1531" spans="36:36" ht="24" customHeight="1">
      <c r="AJ1531" s="139" t="str">
        <f t="shared" si="27"/>
        <v/>
      </c>
    </row>
    <row r="1532" spans="36:36" ht="24" customHeight="1">
      <c r="AJ1532" s="139" t="str">
        <f t="shared" si="27"/>
        <v/>
      </c>
    </row>
    <row r="1533" spans="36:36" ht="24" customHeight="1">
      <c r="AJ1533" s="139" t="str">
        <f t="shared" si="27"/>
        <v/>
      </c>
    </row>
    <row r="1534" spans="36:36" ht="24" customHeight="1">
      <c r="AJ1534" s="139" t="str">
        <f t="shared" si="27"/>
        <v/>
      </c>
    </row>
    <row r="1535" spans="36:36" ht="24" customHeight="1">
      <c r="AJ1535" s="139" t="str">
        <f t="shared" si="27"/>
        <v/>
      </c>
    </row>
    <row r="1536" spans="36:36" ht="24" customHeight="1">
      <c r="AJ1536" s="139" t="str">
        <f t="shared" si="27"/>
        <v/>
      </c>
    </row>
    <row r="1537" spans="36:36" ht="24" customHeight="1">
      <c r="AJ1537" s="139" t="str">
        <f t="shared" si="27"/>
        <v/>
      </c>
    </row>
    <row r="1538" spans="36:36" ht="24" customHeight="1">
      <c r="AJ1538" s="139" t="str">
        <f t="shared" si="27"/>
        <v/>
      </c>
    </row>
    <row r="1539" spans="36:36" ht="24" customHeight="1">
      <c r="AJ1539" s="139" t="str">
        <f t="shared" si="27"/>
        <v/>
      </c>
    </row>
    <row r="1540" spans="36:36" ht="24" customHeight="1">
      <c r="AJ1540" s="139" t="str">
        <f t="shared" si="27"/>
        <v/>
      </c>
    </row>
    <row r="1541" spans="36:36" ht="24" customHeight="1">
      <c r="AJ1541" s="139" t="str">
        <f t="shared" si="27"/>
        <v/>
      </c>
    </row>
    <row r="1542" spans="36:36" ht="24" customHeight="1">
      <c r="AJ1542" s="139" t="str">
        <f t="shared" si="27"/>
        <v/>
      </c>
    </row>
    <row r="1543" spans="36:36" ht="24" customHeight="1">
      <c r="AJ1543" s="139" t="str">
        <f t="shared" si="27"/>
        <v/>
      </c>
    </row>
    <row r="1544" spans="36:36" ht="24" customHeight="1">
      <c r="AJ1544" s="139" t="str">
        <f t="shared" si="27"/>
        <v/>
      </c>
    </row>
    <row r="1545" spans="36:36" ht="24" customHeight="1">
      <c r="AJ1545" s="139" t="str">
        <f t="shared" ref="AJ1545:AJ1608" si="28">IF(C1545="","",C1545)</f>
        <v/>
      </c>
    </row>
    <row r="1546" spans="36:36" ht="24" customHeight="1">
      <c r="AJ1546" s="139" t="str">
        <f t="shared" si="28"/>
        <v/>
      </c>
    </row>
    <row r="1547" spans="36:36" ht="24" customHeight="1">
      <c r="AJ1547" s="139" t="str">
        <f t="shared" si="28"/>
        <v/>
      </c>
    </row>
    <row r="1548" spans="36:36" ht="24" customHeight="1">
      <c r="AJ1548" s="139" t="str">
        <f t="shared" si="28"/>
        <v/>
      </c>
    </row>
    <row r="1549" spans="36:36" ht="24" customHeight="1">
      <c r="AJ1549" s="139" t="str">
        <f t="shared" si="28"/>
        <v/>
      </c>
    </row>
    <row r="1550" spans="36:36" ht="24" customHeight="1">
      <c r="AJ1550" s="139" t="str">
        <f t="shared" si="28"/>
        <v/>
      </c>
    </row>
    <row r="1551" spans="36:36" ht="24" customHeight="1">
      <c r="AJ1551" s="139" t="str">
        <f t="shared" si="28"/>
        <v/>
      </c>
    </row>
    <row r="1552" spans="36:36" ht="24" customHeight="1">
      <c r="AJ1552" s="139" t="str">
        <f t="shared" si="28"/>
        <v/>
      </c>
    </row>
    <row r="1553" spans="36:36" ht="24" customHeight="1">
      <c r="AJ1553" s="139" t="str">
        <f t="shared" si="28"/>
        <v/>
      </c>
    </row>
    <row r="1554" spans="36:36" ht="24" customHeight="1">
      <c r="AJ1554" s="139" t="str">
        <f t="shared" si="28"/>
        <v/>
      </c>
    </row>
    <row r="1555" spans="36:36" ht="24" customHeight="1">
      <c r="AJ1555" s="139" t="str">
        <f t="shared" si="28"/>
        <v/>
      </c>
    </row>
    <row r="1556" spans="36:36" ht="24" customHeight="1">
      <c r="AJ1556" s="139" t="str">
        <f t="shared" si="28"/>
        <v/>
      </c>
    </row>
    <row r="1557" spans="36:36" ht="24" customHeight="1">
      <c r="AJ1557" s="139" t="str">
        <f t="shared" si="28"/>
        <v/>
      </c>
    </row>
    <row r="1558" spans="36:36" ht="24" customHeight="1">
      <c r="AJ1558" s="139" t="str">
        <f t="shared" si="28"/>
        <v/>
      </c>
    </row>
    <row r="1559" spans="36:36" ht="24" customHeight="1">
      <c r="AJ1559" s="139" t="str">
        <f t="shared" si="28"/>
        <v/>
      </c>
    </row>
    <row r="1560" spans="36:36" ht="24" customHeight="1">
      <c r="AJ1560" s="139" t="str">
        <f t="shared" si="28"/>
        <v/>
      </c>
    </row>
    <row r="1561" spans="36:36" ht="24" customHeight="1">
      <c r="AJ1561" s="139" t="str">
        <f t="shared" si="28"/>
        <v/>
      </c>
    </row>
    <row r="1562" spans="36:36" ht="24" customHeight="1">
      <c r="AJ1562" s="139" t="str">
        <f t="shared" si="28"/>
        <v/>
      </c>
    </row>
    <row r="1563" spans="36:36" ht="24" customHeight="1">
      <c r="AJ1563" s="139" t="str">
        <f t="shared" si="28"/>
        <v/>
      </c>
    </row>
    <row r="1564" spans="36:36" ht="24" customHeight="1">
      <c r="AJ1564" s="139" t="str">
        <f t="shared" si="28"/>
        <v/>
      </c>
    </row>
    <row r="1565" spans="36:36" ht="24" customHeight="1">
      <c r="AJ1565" s="139" t="str">
        <f t="shared" si="28"/>
        <v/>
      </c>
    </row>
    <row r="1566" spans="36:36" ht="24" customHeight="1">
      <c r="AJ1566" s="139" t="str">
        <f t="shared" si="28"/>
        <v/>
      </c>
    </row>
    <row r="1567" spans="36:36" ht="24" customHeight="1">
      <c r="AJ1567" s="139" t="str">
        <f t="shared" si="28"/>
        <v/>
      </c>
    </row>
    <row r="1568" spans="36:36" ht="24" customHeight="1">
      <c r="AJ1568" s="139" t="str">
        <f t="shared" si="28"/>
        <v/>
      </c>
    </row>
    <row r="1569" spans="36:36" ht="24" customHeight="1">
      <c r="AJ1569" s="139" t="str">
        <f t="shared" si="28"/>
        <v/>
      </c>
    </row>
    <row r="1570" spans="36:36" ht="24" customHeight="1">
      <c r="AJ1570" s="139" t="str">
        <f t="shared" si="28"/>
        <v/>
      </c>
    </row>
    <row r="1571" spans="36:36" ht="24" customHeight="1">
      <c r="AJ1571" s="139" t="str">
        <f t="shared" si="28"/>
        <v/>
      </c>
    </row>
    <row r="1572" spans="36:36" ht="24" customHeight="1">
      <c r="AJ1572" s="139" t="str">
        <f t="shared" si="28"/>
        <v/>
      </c>
    </row>
    <row r="1573" spans="36:36" ht="24" customHeight="1">
      <c r="AJ1573" s="139" t="str">
        <f t="shared" si="28"/>
        <v/>
      </c>
    </row>
    <row r="1574" spans="36:36" ht="24" customHeight="1">
      <c r="AJ1574" s="139" t="str">
        <f t="shared" si="28"/>
        <v/>
      </c>
    </row>
    <row r="1575" spans="36:36" ht="24" customHeight="1">
      <c r="AJ1575" s="139" t="str">
        <f t="shared" si="28"/>
        <v/>
      </c>
    </row>
    <row r="1576" spans="36:36" ht="24" customHeight="1">
      <c r="AJ1576" s="139" t="str">
        <f t="shared" si="28"/>
        <v/>
      </c>
    </row>
    <row r="1577" spans="36:36" ht="24" customHeight="1">
      <c r="AJ1577" s="139" t="str">
        <f t="shared" si="28"/>
        <v/>
      </c>
    </row>
    <row r="1578" spans="36:36" ht="24" customHeight="1">
      <c r="AJ1578" s="139" t="str">
        <f t="shared" si="28"/>
        <v/>
      </c>
    </row>
    <row r="1579" spans="36:36" ht="24" customHeight="1">
      <c r="AJ1579" s="139" t="str">
        <f t="shared" si="28"/>
        <v/>
      </c>
    </row>
    <row r="1580" spans="36:36" ht="24" customHeight="1">
      <c r="AJ1580" s="139" t="str">
        <f t="shared" si="28"/>
        <v/>
      </c>
    </row>
    <row r="1581" spans="36:36" ht="24" customHeight="1">
      <c r="AJ1581" s="139" t="str">
        <f t="shared" si="28"/>
        <v/>
      </c>
    </row>
    <row r="1582" spans="36:36" ht="24" customHeight="1">
      <c r="AJ1582" s="139" t="str">
        <f t="shared" si="28"/>
        <v/>
      </c>
    </row>
    <row r="1583" spans="36:36" ht="24" customHeight="1">
      <c r="AJ1583" s="139" t="str">
        <f t="shared" si="28"/>
        <v/>
      </c>
    </row>
    <row r="1584" spans="36:36" ht="24" customHeight="1">
      <c r="AJ1584" s="139" t="str">
        <f t="shared" si="28"/>
        <v/>
      </c>
    </row>
    <row r="1585" spans="36:36" ht="24" customHeight="1">
      <c r="AJ1585" s="139" t="str">
        <f t="shared" si="28"/>
        <v/>
      </c>
    </row>
    <row r="1586" spans="36:36" ht="24" customHeight="1">
      <c r="AJ1586" s="139" t="str">
        <f t="shared" si="28"/>
        <v/>
      </c>
    </row>
    <row r="1587" spans="36:36" ht="24" customHeight="1">
      <c r="AJ1587" s="139" t="str">
        <f t="shared" si="28"/>
        <v/>
      </c>
    </row>
    <row r="1588" spans="36:36" ht="24" customHeight="1">
      <c r="AJ1588" s="139" t="str">
        <f t="shared" si="28"/>
        <v/>
      </c>
    </row>
    <row r="1589" spans="36:36" ht="24" customHeight="1">
      <c r="AJ1589" s="139" t="str">
        <f t="shared" si="28"/>
        <v/>
      </c>
    </row>
    <row r="1590" spans="36:36" ht="24" customHeight="1">
      <c r="AJ1590" s="139" t="str">
        <f t="shared" si="28"/>
        <v/>
      </c>
    </row>
    <row r="1591" spans="36:36" ht="24" customHeight="1">
      <c r="AJ1591" s="139" t="str">
        <f t="shared" si="28"/>
        <v/>
      </c>
    </row>
    <row r="1592" spans="36:36" ht="24" customHeight="1">
      <c r="AJ1592" s="139" t="str">
        <f t="shared" si="28"/>
        <v/>
      </c>
    </row>
    <row r="1593" spans="36:36" ht="24" customHeight="1">
      <c r="AJ1593" s="139" t="str">
        <f t="shared" si="28"/>
        <v/>
      </c>
    </row>
    <row r="1594" spans="36:36" ht="24" customHeight="1">
      <c r="AJ1594" s="139" t="str">
        <f t="shared" si="28"/>
        <v/>
      </c>
    </row>
    <row r="1595" spans="36:36" ht="24" customHeight="1">
      <c r="AJ1595" s="139" t="str">
        <f t="shared" si="28"/>
        <v/>
      </c>
    </row>
    <row r="1596" spans="36:36" ht="24" customHeight="1">
      <c r="AJ1596" s="139" t="str">
        <f t="shared" si="28"/>
        <v/>
      </c>
    </row>
    <row r="1597" spans="36:36" ht="24" customHeight="1">
      <c r="AJ1597" s="139" t="str">
        <f t="shared" si="28"/>
        <v/>
      </c>
    </row>
    <row r="1598" spans="36:36" ht="24" customHeight="1">
      <c r="AJ1598" s="139" t="str">
        <f t="shared" si="28"/>
        <v/>
      </c>
    </row>
    <row r="1599" spans="36:36" ht="24" customHeight="1">
      <c r="AJ1599" s="139" t="str">
        <f t="shared" si="28"/>
        <v/>
      </c>
    </row>
    <row r="1600" spans="36:36" ht="24" customHeight="1">
      <c r="AJ1600" s="139" t="str">
        <f t="shared" si="28"/>
        <v/>
      </c>
    </row>
    <row r="1601" spans="36:36" ht="24" customHeight="1">
      <c r="AJ1601" s="139" t="str">
        <f t="shared" si="28"/>
        <v/>
      </c>
    </row>
    <row r="1602" spans="36:36" ht="24" customHeight="1">
      <c r="AJ1602" s="139" t="str">
        <f t="shared" si="28"/>
        <v/>
      </c>
    </row>
    <row r="1603" spans="36:36" ht="24" customHeight="1">
      <c r="AJ1603" s="139" t="str">
        <f t="shared" si="28"/>
        <v/>
      </c>
    </row>
    <row r="1604" spans="36:36" ht="24" customHeight="1">
      <c r="AJ1604" s="139" t="str">
        <f t="shared" si="28"/>
        <v/>
      </c>
    </row>
    <row r="1605" spans="36:36" ht="24" customHeight="1">
      <c r="AJ1605" s="139" t="str">
        <f t="shared" si="28"/>
        <v/>
      </c>
    </row>
    <row r="1606" spans="36:36" ht="24" customHeight="1">
      <c r="AJ1606" s="139" t="str">
        <f t="shared" si="28"/>
        <v/>
      </c>
    </row>
    <row r="1607" spans="36:36" ht="24" customHeight="1">
      <c r="AJ1607" s="139" t="str">
        <f t="shared" si="28"/>
        <v/>
      </c>
    </row>
    <row r="1608" spans="36:36" ht="24" customHeight="1">
      <c r="AJ1608" s="139" t="str">
        <f t="shared" si="28"/>
        <v/>
      </c>
    </row>
    <row r="1609" spans="36:36" ht="24" customHeight="1">
      <c r="AJ1609" s="139" t="str">
        <f t="shared" ref="AJ1609:AJ1672" si="29">IF(C1609="","",C1609)</f>
        <v/>
      </c>
    </row>
    <row r="1610" spans="36:36" ht="24" customHeight="1">
      <c r="AJ1610" s="139" t="str">
        <f t="shared" si="29"/>
        <v/>
      </c>
    </row>
    <row r="1611" spans="36:36" ht="24" customHeight="1">
      <c r="AJ1611" s="139" t="str">
        <f t="shared" si="29"/>
        <v/>
      </c>
    </row>
    <row r="1612" spans="36:36" ht="24" customHeight="1">
      <c r="AJ1612" s="139" t="str">
        <f t="shared" si="29"/>
        <v/>
      </c>
    </row>
    <row r="1613" spans="36:36" ht="24" customHeight="1">
      <c r="AJ1613" s="139" t="str">
        <f t="shared" si="29"/>
        <v/>
      </c>
    </row>
    <row r="1614" spans="36:36" ht="24" customHeight="1">
      <c r="AJ1614" s="139" t="str">
        <f t="shared" si="29"/>
        <v/>
      </c>
    </row>
    <row r="1615" spans="36:36" ht="24" customHeight="1">
      <c r="AJ1615" s="139" t="str">
        <f t="shared" si="29"/>
        <v/>
      </c>
    </row>
    <row r="1616" spans="36:36" ht="24" customHeight="1">
      <c r="AJ1616" s="139" t="str">
        <f t="shared" si="29"/>
        <v/>
      </c>
    </row>
    <row r="1617" spans="36:36" ht="24" customHeight="1">
      <c r="AJ1617" s="139" t="str">
        <f t="shared" si="29"/>
        <v/>
      </c>
    </row>
    <row r="1618" spans="36:36" ht="24" customHeight="1">
      <c r="AJ1618" s="139" t="str">
        <f t="shared" si="29"/>
        <v/>
      </c>
    </row>
    <row r="1619" spans="36:36" ht="24" customHeight="1">
      <c r="AJ1619" s="139" t="str">
        <f t="shared" si="29"/>
        <v/>
      </c>
    </row>
    <row r="1620" spans="36:36" ht="24" customHeight="1">
      <c r="AJ1620" s="139" t="str">
        <f t="shared" si="29"/>
        <v/>
      </c>
    </row>
    <row r="1621" spans="36:36" ht="24" customHeight="1">
      <c r="AJ1621" s="139" t="str">
        <f t="shared" si="29"/>
        <v/>
      </c>
    </row>
    <row r="1622" spans="36:36" ht="24" customHeight="1">
      <c r="AJ1622" s="139" t="str">
        <f t="shared" si="29"/>
        <v/>
      </c>
    </row>
    <row r="1623" spans="36:36" ht="24" customHeight="1">
      <c r="AJ1623" s="139" t="str">
        <f t="shared" si="29"/>
        <v/>
      </c>
    </row>
    <row r="1624" spans="36:36" ht="24" customHeight="1">
      <c r="AJ1624" s="139" t="str">
        <f t="shared" si="29"/>
        <v/>
      </c>
    </row>
    <row r="1625" spans="36:36" ht="24" customHeight="1">
      <c r="AJ1625" s="139" t="str">
        <f t="shared" si="29"/>
        <v/>
      </c>
    </row>
    <row r="1626" spans="36:36" ht="24" customHeight="1">
      <c r="AJ1626" s="139" t="str">
        <f t="shared" si="29"/>
        <v/>
      </c>
    </row>
    <row r="1627" spans="36:36" ht="24" customHeight="1">
      <c r="AJ1627" s="139" t="str">
        <f t="shared" si="29"/>
        <v/>
      </c>
    </row>
    <row r="1628" spans="36:36" ht="24" customHeight="1">
      <c r="AJ1628" s="139" t="str">
        <f t="shared" si="29"/>
        <v/>
      </c>
    </row>
    <row r="1629" spans="36:36" ht="24" customHeight="1">
      <c r="AJ1629" s="139" t="str">
        <f t="shared" si="29"/>
        <v/>
      </c>
    </row>
    <row r="1630" spans="36:36" ht="24" customHeight="1">
      <c r="AJ1630" s="139" t="str">
        <f t="shared" si="29"/>
        <v/>
      </c>
    </row>
    <row r="1631" spans="36:36" ht="24" customHeight="1">
      <c r="AJ1631" s="139" t="str">
        <f t="shared" si="29"/>
        <v/>
      </c>
    </row>
    <row r="1632" spans="36:36" ht="24" customHeight="1">
      <c r="AJ1632" s="139" t="str">
        <f t="shared" si="29"/>
        <v/>
      </c>
    </row>
    <row r="1633" spans="36:36" ht="24" customHeight="1">
      <c r="AJ1633" s="139" t="str">
        <f t="shared" si="29"/>
        <v/>
      </c>
    </row>
    <row r="1634" spans="36:36" ht="24" customHeight="1">
      <c r="AJ1634" s="139" t="str">
        <f t="shared" si="29"/>
        <v/>
      </c>
    </row>
    <row r="1635" spans="36:36" ht="24" customHeight="1">
      <c r="AJ1635" s="139" t="str">
        <f t="shared" si="29"/>
        <v/>
      </c>
    </row>
    <row r="1636" spans="36:36" ht="24" customHeight="1">
      <c r="AJ1636" s="139" t="str">
        <f t="shared" si="29"/>
        <v/>
      </c>
    </row>
    <row r="1637" spans="36:36" ht="24" customHeight="1">
      <c r="AJ1637" s="139" t="str">
        <f t="shared" si="29"/>
        <v/>
      </c>
    </row>
    <row r="1638" spans="36:36" ht="24" customHeight="1">
      <c r="AJ1638" s="139" t="str">
        <f t="shared" si="29"/>
        <v/>
      </c>
    </row>
    <row r="1639" spans="36:36" ht="24" customHeight="1">
      <c r="AJ1639" s="139" t="str">
        <f t="shared" si="29"/>
        <v/>
      </c>
    </row>
    <row r="1640" spans="36:36" ht="24" customHeight="1">
      <c r="AJ1640" s="139" t="str">
        <f t="shared" si="29"/>
        <v/>
      </c>
    </row>
    <row r="1641" spans="36:36" ht="24" customHeight="1">
      <c r="AJ1641" s="139" t="str">
        <f t="shared" si="29"/>
        <v/>
      </c>
    </row>
    <row r="1642" spans="36:36" ht="24" customHeight="1">
      <c r="AJ1642" s="139" t="str">
        <f t="shared" si="29"/>
        <v/>
      </c>
    </row>
    <row r="1643" spans="36:36" ht="24" customHeight="1">
      <c r="AJ1643" s="139" t="str">
        <f t="shared" si="29"/>
        <v/>
      </c>
    </row>
    <row r="1644" spans="36:36" ht="24" customHeight="1">
      <c r="AJ1644" s="139" t="str">
        <f t="shared" si="29"/>
        <v/>
      </c>
    </row>
    <row r="1645" spans="36:36" ht="24" customHeight="1">
      <c r="AJ1645" s="139" t="str">
        <f t="shared" si="29"/>
        <v/>
      </c>
    </row>
    <row r="1646" spans="36:36" ht="24" customHeight="1">
      <c r="AJ1646" s="139" t="str">
        <f t="shared" si="29"/>
        <v/>
      </c>
    </row>
    <row r="1647" spans="36:36" ht="24" customHeight="1">
      <c r="AJ1647" s="139" t="str">
        <f t="shared" si="29"/>
        <v/>
      </c>
    </row>
    <row r="1648" spans="36:36" ht="24" customHeight="1">
      <c r="AJ1648" s="139" t="str">
        <f t="shared" si="29"/>
        <v/>
      </c>
    </row>
    <row r="1649" spans="36:36" ht="24" customHeight="1">
      <c r="AJ1649" s="139" t="str">
        <f t="shared" si="29"/>
        <v/>
      </c>
    </row>
    <row r="1650" spans="36:36" ht="24" customHeight="1">
      <c r="AJ1650" s="139" t="str">
        <f t="shared" si="29"/>
        <v/>
      </c>
    </row>
    <row r="1651" spans="36:36" ht="24" customHeight="1">
      <c r="AJ1651" s="139" t="str">
        <f t="shared" si="29"/>
        <v/>
      </c>
    </row>
    <row r="1652" spans="36:36" ht="24" customHeight="1">
      <c r="AJ1652" s="139" t="str">
        <f t="shared" si="29"/>
        <v/>
      </c>
    </row>
    <row r="1653" spans="36:36" ht="24" customHeight="1">
      <c r="AJ1653" s="139" t="str">
        <f t="shared" si="29"/>
        <v/>
      </c>
    </row>
    <row r="1654" spans="36:36" ht="24" customHeight="1">
      <c r="AJ1654" s="139" t="str">
        <f t="shared" si="29"/>
        <v/>
      </c>
    </row>
    <row r="1655" spans="36:36" ht="24" customHeight="1">
      <c r="AJ1655" s="139" t="str">
        <f t="shared" si="29"/>
        <v/>
      </c>
    </row>
    <row r="1656" spans="36:36" ht="24" customHeight="1">
      <c r="AJ1656" s="139" t="str">
        <f t="shared" si="29"/>
        <v/>
      </c>
    </row>
    <row r="1657" spans="36:36" ht="24" customHeight="1">
      <c r="AJ1657" s="139" t="str">
        <f t="shared" si="29"/>
        <v/>
      </c>
    </row>
    <row r="1658" spans="36:36" ht="24" customHeight="1">
      <c r="AJ1658" s="139" t="str">
        <f t="shared" si="29"/>
        <v/>
      </c>
    </row>
    <row r="1659" spans="36:36" ht="24" customHeight="1">
      <c r="AJ1659" s="139" t="str">
        <f t="shared" si="29"/>
        <v/>
      </c>
    </row>
    <row r="1660" spans="36:36" ht="24" customHeight="1">
      <c r="AJ1660" s="139" t="str">
        <f t="shared" si="29"/>
        <v/>
      </c>
    </row>
    <row r="1661" spans="36:36" ht="24" customHeight="1">
      <c r="AJ1661" s="139" t="str">
        <f t="shared" si="29"/>
        <v/>
      </c>
    </row>
    <row r="1662" spans="36:36" ht="24" customHeight="1">
      <c r="AJ1662" s="139" t="str">
        <f t="shared" si="29"/>
        <v/>
      </c>
    </row>
    <row r="1663" spans="36:36" ht="24" customHeight="1">
      <c r="AJ1663" s="139" t="str">
        <f t="shared" si="29"/>
        <v/>
      </c>
    </row>
    <row r="1664" spans="36:36" ht="24" customHeight="1">
      <c r="AJ1664" s="139" t="str">
        <f t="shared" si="29"/>
        <v/>
      </c>
    </row>
    <row r="1665" spans="36:36" ht="24" customHeight="1">
      <c r="AJ1665" s="139" t="str">
        <f t="shared" si="29"/>
        <v/>
      </c>
    </row>
    <row r="1666" spans="36:36" ht="24" customHeight="1">
      <c r="AJ1666" s="139" t="str">
        <f t="shared" si="29"/>
        <v/>
      </c>
    </row>
    <row r="1667" spans="36:36" ht="24" customHeight="1">
      <c r="AJ1667" s="139" t="str">
        <f t="shared" si="29"/>
        <v/>
      </c>
    </row>
    <row r="1668" spans="36:36" ht="24" customHeight="1">
      <c r="AJ1668" s="139" t="str">
        <f t="shared" si="29"/>
        <v/>
      </c>
    </row>
    <row r="1669" spans="36:36" ht="24" customHeight="1">
      <c r="AJ1669" s="139" t="str">
        <f t="shared" si="29"/>
        <v/>
      </c>
    </row>
    <row r="1670" spans="36:36" ht="24" customHeight="1">
      <c r="AJ1670" s="139" t="str">
        <f t="shared" si="29"/>
        <v/>
      </c>
    </row>
    <row r="1671" spans="36:36" ht="24" customHeight="1">
      <c r="AJ1671" s="139" t="str">
        <f t="shared" si="29"/>
        <v/>
      </c>
    </row>
    <row r="1672" spans="36:36" ht="24" customHeight="1">
      <c r="AJ1672" s="139" t="str">
        <f t="shared" si="29"/>
        <v/>
      </c>
    </row>
    <row r="1673" spans="36:36" ht="24" customHeight="1">
      <c r="AJ1673" s="139" t="str">
        <f t="shared" ref="AJ1673:AJ1736" si="30">IF(C1673="","",C1673)</f>
        <v/>
      </c>
    </row>
    <row r="1674" spans="36:36" ht="24" customHeight="1">
      <c r="AJ1674" s="139" t="str">
        <f t="shared" si="30"/>
        <v/>
      </c>
    </row>
    <row r="1675" spans="36:36" ht="24" customHeight="1">
      <c r="AJ1675" s="139" t="str">
        <f t="shared" si="30"/>
        <v/>
      </c>
    </row>
    <row r="1676" spans="36:36" ht="24" customHeight="1">
      <c r="AJ1676" s="139" t="str">
        <f t="shared" si="30"/>
        <v/>
      </c>
    </row>
    <row r="1677" spans="36:36" ht="24" customHeight="1">
      <c r="AJ1677" s="139" t="str">
        <f t="shared" si="30"/>
        <v/>
      </c>
    </row>
    <row r="1678" spans="36:36" ht="24" customHeight="1">
      <c r="AJ1678" s="139" t="str">
        <f t="shared" si="30"/>
        <v/>
      </c>
    </row>
    <row r="1679" spans="36:36" ht="24" customHeight="1">
      <c r="AJ1679" s="139" t="str">
        <f t="shared" si="30"/>
        <v/>
      </c>
    </row>
    <row r="1680" spans="36:36" ht="24" customHeight="1">
      <c r="AJ1680" s="139" t="str">
        <f t="shared" si="30"/>
        <v/>
      </c>
    </row>
    <row r="1681" spans="36:36" ht="24" customHeight="1">
      <c r="AJ1681" s="139" t="str">
        <f t="shared" si="30"/>
        <v/>
      </c>
    </row>
    <row r="1682" spans="36:36" ht="24" customHeight="1">
      <c r="AJ1682" s="139" t="str">
        <f t="shared" si="30"/>
        <v/>
      </c>
    </row>
    <row r="1683" spans="36:36" ht="24" customHeight="1">
      <c r="AJ1683" s="139" t="str">
        <f t="shared" si="30"/>
        <v/>
      </c>
    </row>
    <row r="1684" spans="36:36" ht="24" customHeight="1">
      <c r="AJ1684" s="139" t="str">
        <f t="shared" si="30"/>
        <v/>
      </c>
    </row>
    <row r="1685" spans="36:36" ht="24" customHeight="1">
      <c r="AJ1685" s="139" t="str">
        <f t="shared" si="30"/>
        <v/>
      </c>
    </row>
    <row r="1686" spans="36:36" ht="24" customHeight="1">
      <c r="AJ1686" s="139" t="str">
        <f t="shared" si="30"/>
        <v/>
      </c>
    </row>
    <row r="1687" spans="36:36" ht="24" customHeight="1">
      <c r="AJ1687" s="139" t="str">
        <f t="shared" si="30"/>
        <v/>
      </c>
    </row>
    <row r="1688" spans="36:36" ht="24" customHeight="1">
      <c r="AJ1688" s="139" t="str">
        <f t="shared" si="30"/>
        <v/>
      </c>
    </row>
    <row r="1689" spans="36:36" ht="24" customHeight="1">
      <c r="AJ1689" s="139" t="str">
        <f t="shared" si="30"/>
        <v/>
      </c>
    </row>
    <row r="1690" spans="36:36" ht="24" customHeight="1">
      <c r="AJ1690" s="139" t="str">
        <f t="shared" si="30"/>
        <v/>
      </c>
    </row>
    <row r="1691" spans="36:36" ht="24" customHeight="1">
      <c r="AJ1691" s="139" t="str">
        <f t="shared" si="30"/>
        <v/>
      </c>
    </row>
    <row r="1692" spans="36:36" ht="24" customHeight="1">
      <c r="AJ1692" s="139" t="str">
        <f t="shared" si="30"/>
        <v/>
      </c>
    </row>
    <row r="1693" spans="36:36" ht="24" customHeight="1">
      <c r="AJ1693" s="139" t="str">
        <f t="shared" si="30"/>
        <v/>
      </c>
    </row>
    <row r="1694" spans="36:36" ht="24" customHeight="1">
      <c r="AJ1694" s="139" t="str">
        <f t="shared" si="30"/>
        <v/>
      </c>
    </row>
    <row r="1695" spans="36:36" ht="24" customHeight="1">
      <c r="AJ1695" s="139" t="str">
        <f t="shared" si="30"/>
        <v/>
      </c>
    </row>
    <row r="1696" spans="36:36" ht="24" customHeight="1">
      <c r="AJ1696" s="139" t="str">
        <f t="shared" si="30"/>
        <v/>
      </c>
    </row>
    <row r="1697" spans="36:36" ht="24" customHeight="1">
      <c r="AJ1697" s="139" t="str">
        <f t="shared" si="30"/>
        <v/>
      </c>
    </row>
    <row r="1698" spans="36:36" ht="24" customHeight="1">
      <c r="AJ1698" s="139" t="str">
        <f t="shared" si="30"/>
        <v/>
      </c>
    </row>
    <row r="1699" spans="36:36" ht="24" customHeight="1">
      <c r="AJ1699" s="139" t="str">
        <f t="shared" si="30"/>
        <v/>
      </c>
    </row>
    <row r="1700" spans="36:36" ht="24" customHeight="1">
      <c r="AJ1700" s="139" t="str">
        <f t="shared" si="30"/>
        <v/>
      </c>
    </row>
    <row r="1701" spans="36:36" ht="24" customHeight="1">
      <c r="AJ1701" s="139" t="str">
        <f t="shared" si="30"/>
        <v/>
      </c>
    </row>
    <row r="1702" spans="36:36" ht="24" customHeight="1">
      <c r="AJ1702" s="139" t="str">
        <f t="shared" si="30"/>
        <v/>
      </c>
    </row>
    <row r="1703" spans="36:36" ht="24" customHeight="1">
      <c r="AJ1703" s="139" t="str">
        <f t="shared" si="30"/>
        <v/>
      </c>
    </row>
    <row r="1704" spans="36:36" ht="24" customHeight="1">
      <c r="AJ1704" s="139" t="str">
        <f t="shared" si="30"/>
        <v/>
      </c>
    </row>
    <row r="1705" spans="36:36" ht="24" customHeight="1">
      <c r="AJ1705" s="139" t="str">
        <f t="shared" si="30"/>
        <v/>
      </c>
    </row>
    <row r="1706" spans="36:36" ht="24" customHeight="1">
      <c r="AJ1706" s="139" t="str">
        <f t="shared" si="30"/>
        <v/>
      </c>
    </row>
    <row r="1707" spans="36:36" ht="24" customHeight="1">
      <c r="AJ1707" s="139" t="str">
        <f t="shared" si="30"/>
        <v/>
      </c>
    </row>
    <row r="1708" spans="36:36" ht="24" customHeight="1">
      <c r="AJ1708" s="139" t="str">
        <f t="shared" si="30"/>
        <v/>
      </c>
    </row>
    <row r="1709" spans="36:36" ht="24" customHeight="1">
      <c r="AJ1709" s="139" t="str">
        <f t="shared" si="30"/>
        <v/>
      </c>
    </row>
    <row r="1710" spans="36:36" ht="24" customHeight="1">
      <c r="AJ1710" s="139" t="str">
        <f t="shared" si="30"/>
        <v/>
      </c>
    </row>
    <row r="1711" spans="36:36" ht="24" customHeight="1">
      <c r="AJ1711" s="139" t="str">
        <f t="shared" si="30"/>
        <v/>
      </c>
    </row>
    <row r="1712" spans="36:36" ht="24" customHeight="1">
      <c r="AJ1712" s="139" t="str">
        <f t="shared" si="30"/>
        <v/>
      </c>
    </row>
    <row r="1713" spans="36:36" ht="24" customHeight="1">
      <c r="AJ1713" s="139" t="str">
        <f t="shared" si="30"/>
        <v/>
      </c>
    </row>
    <row r="1714" spans="36:36" ht="24" customHeight="1">
      <c r="AJ1714" s="139" t="str">
        <f t="shared" si="30"/>
        <v/>
      </c>
    </row>
    <row r="1715" spans="36:36" ht="24" customHeight="1">
      <c r="AJ1715" s="139" t="str">
        <f t="shared" si="30"/>
        <v/>
      </c>
    </row>
    <row r="1716" spans="36:36" ht="24" customHeight="1">
      <c r="AJ1716" s="139" t="str">
        <f t="shared" si="30"/>
        <v/>
      </c>
    </row>
    <row r="1717" spans="36:36" ht="24" customHeight="1">
      <c r="AJ1717" s="139" t="str">
        <f t="shared" si="30"/>
        <v/>
      </c>
    </row>
    <row r="1718" spans="36:36" ht="24" customHeight="1">
      <c r="AJ1718" s="139" t="str">
        <f t="shared" si="30"/>
        <v/>
      </c>
    </row>
    <row r="1719" spans="36:36" ht="24" customHeight="1">
      <c r="AJ1719" s="139" t="str">
        <f t="shared" si="30"/>
        <v/>
      </c>
    </row>
    <row r="1720" spans="36:36" ht="24" customHeight="1">
      <c r="AJ1720" s="139" t="str">
        <f t="shared" si="30"/>
        <v/>
      </c>
    </row>
    <row r="1721" spans="36:36" ht="24" customHeight="1">
      <c r="AJ1721" s="139" t="str">
        <f t="shared" si="30"/>
        <v/>
      </c>
    </row>
    <row r="1722" spans="36:36" ht="24" customHeight="1">
      <c r="AJ1722" s="139" t="str">
        <f t="shared" si="30"/>
        <v/>
      </c>
    </row>
    <row r="1723" spans="36:36" ht="24" customHeight="1">
      <c r="AJ1723" s="139" t="str">
        <f t="shared" si="30"/>
        <v/>
      </c>
    </row>
    <row r="1724" spans="36:36" ht="24" customHeight="1">
      <c r="AJ1724" s="139" t="str">
        <f t="shared" si="30"/>
        <v/>
      </c>
    </row>
    <row r="1725" spans="36:36" ht="24" customHeight="1">
      <c r="AJ1725" s="139" t="str">
        <f t="shared" si="30"/>
        <v/>
      </c>
    </row>
    <row r="1726" spans="36:36" ht="24" customHeight="1">
      <c r="AJ1726" s="139" t="str">
        <f t="shared" si="30"/>
        <v/>
      </c>
    </row>
    <row r="1727" spans="36:36" ht="24" customHeight="1">
      <c r="AJ1727" s="139" t="str">
        <f t="shared" si="30"/>
        <v/>
      </c>
    </row>
    <row r="1728" spans="36:36" ht="24" customHeight="1">
      <c r="AJ1728" s="139" t="str">
        <f t="shared" si="30"/>
        <v/>
      </c>
    </row>
    <row r="1729" spans="36:36" ht="24" customHeight="1">
      <c r="AJ1729" s="139" t="str">
        <f t="shared" si="30"/>
        <v/>
      </c>
    </row>
    <row r="1730" spans="36:36" ht="24" customHeight="1">
      <c r="AJ1730" s="139" t="str">
        <f t="shared" si="30"/>
        <v/>
      </c>
    </row>
    <row r="1731" spans="36:36" ht="24" customHeight="1">
      <c r="AJ1731" s="139" t="str">
        <f t="shared" si="30"/>
        <v/>
      </c>
    </row>
    <row r="1732" spans="36:36" ht="24" customHeight="1">
      <c r="AJ1732" s="139" t="str">
        <f t="shared" si="30"/>
        <v/>
      </c>
    </row>
    <row r="1733" spans="36:36" ht="24" customHeight="1">
      <c r="AJ1733" s="139" t="str">
        <f t="shared" si="30"/>
        <v/>
      </c>
    </row>
    <row r="1734" spans="36:36" ht="24" customHeight="1">
      <c r="AJ1734" s="139" t="str">
        <f t="shared" si="30"/>
        <v/>
      </c>
    </row>
    <row r="1735" spans="36:36" ht="24" customHeight="1">
      <c r="AJ1735" s="139" t="str">
        <f t="shared" si="30"/>
        <v/>
      </c>
    </row>
    <row r="1736" spans="36:36" ht="24" customHeight="1">
      <c r="AJ1736" s="139" t="str">
        <f t="shared" si="30"/>
        <v/>
      </c>
    </row>
    <row r="1737" spans="36:36" ht="24" customHeight="1">
      <c r="AJ1737" s="139" t="str">
        <f t="shared" ref="AJ1737:AJ1800" si="31">IF(C1737="","",C1737)</f>
        <v/>
      </c>
    </row>
    <row r="1738" spans="36:36" ht="24" customHeight="1">
      <c r="AJ1738" s="139" t="str">
        <f t="shared" si="31"/>
        <v/>
      </c>
    </row>
    <row r="1739" spans="36:36" ht="24" customHeight="1">
      <c r="AJ1739" s="139" t="str">
        <f t="shared" si="31"/>
        <v/>
      </c>
    </row>
    <row r="1740" spans="36:36" ht="24" customHeight="1">
      <c r="AJ1740" s="139" t="str">
        <f t="shared" si="31"/>
        <v/>
      </c>
    </row>
    <row r="1741" spans="36:36" ht="24" customHeight="1">
      <c r="AJ1741" s="139" t="str">
        <f t="shared" si="31"/>
        <v/>
      </c>
    </row>
    <row r="1742" spans="36:36" ht="24" customHeight="1">
      <c r="AJ1742" s="139" t="str">
        <f t="shared" si="31"/>
        <v/>
      </c>
    </row>
    <row r="1743" spans="36:36" ht="24" customHeight="1">
      <c r="AJ1743" s="139" t="str">
        <f t="shared" si="31"/>
        <v/>
      </c>
    </row>
    <row r="1744" spans="36:36" ht="24" customHeight="1">
      <c r="AJ1744" s="139" t="str">
        <f t="shared" si="31"/>
        <v/>
      </c>
    </row>
    <row r="1745" spans="36:36" ht="24" customHeight="1">
      <c r="AJ1745" s="139" t="str">
        <f t="shared" si="31"/>
        <v/>
      </c>
    </row>
    <row r="1746" spans="36:36" ht="24" customHeight="1">
      <c r="AJ1746" s="139" t="str">
        <f t="shared" si="31"/>
        <v/>
      </c>
    </row>
    <row r="1747" spans="36:36" ht="24" customHeight="1">
      <c r="AJ1747" s="139" t="str">
        <f t="shared" si="31"/>
        <v/>
      </c>
    </row>
    <row r="1748" spans="36:36" ht="24" customHeight="1">
      <c r="AJ1748" s="139" t="str">
        <f t="shared" si="31"/>
        <v/>
      </c>
    </row>
    <row r="1749" spans="36:36" ht="24" customHeight="1">
      <c r="AJ1749" s="139" t="str">
        <f t="shared" si="31"/>
        <v/>
      </c>
    </row>
    <row r="1750" spans="36:36" ht="24" customHeight="1">
      <c r="AJ1750" s="139" t="str">
        <f t="shared" si="31"/>
        <v/>
      </c>
    </row>
    <row r="1751" spans="36:36" ht="24" customHeight="1">
      <c r="AJ1751" s="139" t="str">
        <f t="shared" si="31"/>
        <v/>
      </c>
    </row>
    <row r="1752" spans="36:36" ht="24" customHeight="1">
      <c r="AJ1752" s="139" t="str">
        <f t="shared" si="31"/>
        <v/>
      </c>
    </row>
    <row r="1753" spans="36:36" ht="24" customHeight="1">
      <c r="AJ1753" s="139" t="str">
        <f t="shared" si="31"/>
        <v/>
      </c>
    </row>
    <row r="1754" spans="36:36" ht="24" customHeight="1">
      <c r="AJ1754" s="139" t="str">
        <f t="shared" si="31"/>
        <v/>
      </c>
    </row>
    <row r="1755" spans="36:36" ht="24" customHeight="1">
      <c r="AJ1755" s="139" t="str">
        <f t="shared" si="31"/>
        <v/>
      </c>
    </row>
    <row r="1756" spans="36:36" ht="24" customHeight="1">
      <c r="AJ1756" s="139" t="str">
        <f t="shared" si="31"/>
        <v/>
      </c>
    </row>
    <row r="1757" spans="36:36" ht="24" customHeight="1">
      <c r="AJ1757" s="139" t="str">
        <f t="shared" si="31"/>
        <v/>
      </c>
    </row>
    <row r="1758" spans="36:36" ht="24" customHeight="1">
      <c r="AJ1758" s="139" t="str">
        <f t="shared" si="31"/>
        <v/>
      </c>
    </row>
    <row r="1759" spans="36:36" ht="24" customHeight="1">
      <c r="AJ1759" s="139" t="str">
        <f t="shared" si="31"/>
        <v/>
      </c>
    </row>
    <row r="1760" spans="36:36" ht="24" customHeight="1">
      <c r="AJ1760" s="139" t="str">
        <f t="shared" si="31"/>
        <v/>
      </c>
    </row>
    <row r="1761" spans="36:36" ht="24" customHeight="1">
      <c r="AJ1761" s="139" t="str">
        <f t="shared" si="31"/>
        <v/>
      </c>
    </row>
    <row r="1762" spans="36:36" ht="24" customHeight="1">
      <c r="AJ1762" s="139" t="str">
        <f t="shared" si="31"/>
        <v/>
      </c>
    </row>
    <row r="1763" spans="36:36" ht="24" customHeight="1">
      <c r="AJ1763" s="139" t="str">
        <f t="shared" si="31"/>
        <v/>
      </c>
    </row>
    <row r="1764" spans="36:36" ht="24" customHeight="1">
      <c r="AJ1764" s="139" t="str">
        <f t="shared" si="31"/>
        <v/>
      </c>
    </row>
    <row r="1765" spans="36:36" ht="24" customHeight="1">
      <c r="AJ1765" s="139" t="str">
        <f t="shared" si="31"/>
        <v/>
      </c>
    </row>
    <row r="1766" spans="36:36" ht="24" customHeight="1">
      <c r="AJ1766" s="139" t="str">
        <f t="shared" si="31"/>
        <v/>
      </c>
    </row>
    <row r="1767" spans="36:36" ht="24" customHeight="1">
      <c r="AJ1767" s="139" t="str">
        <f t="shared" si="31"/>
        <v/>
      </c>
    </row>
    <row r="1768" spans="36:36" ht="24" customHeight="1">
      <c r="AJ1768" s="139" t="str">
        <f t="shared" si="31"/>
        <v/>
      </c>
    </row>
    <row r="1769" spans="36:36" ht="24" customHeight="1">
      <c r="AJ1769" s="139" t="str">
        <f t="shared" si="31"/>
        <v/>
      </c>
    </row>
    <row r="1770" spans="36:36" ht="24" customHeight="1">
      <c r="AJ1770" s="139" t="str">
        <f t="shared" si="31"/>
        <v/>
      </c>
    </row>
    <row r="1771" spans="36:36" ht="24" customHeight="1">
      <c r="AJ1771" s="139" t="str">
        <f t="shared" si="31"/>
        <v/>
      </c>
    </row>
    <row r="1772" spans="36:36" ht="24" customHeight="1">
      <c r="AJ1772" s="139" t="str">
        <f t="shared" si="31"/>
        <v/>
      </c>
    </row>
    <row r="1773" spans="36:36" ht="24" customHeight="1">
      <c r="AJ1773" s="139" t="str">
        <f t="shared" si="31"/>
        <v/>
      </c>
    </row>
    <row r="1774" spans="36:36" ht="24" customHeight="1">
      <c r="AJ1774" s="139" t="str">
        <f t="shared" si="31"/>
        <v/>
      </c>
    </row>
    <row r="1775" spans="36:36" ht="24" customHeight="1">
      <c r="AJ1775" s="139" t="str">
        <f t="shared" si="31"/>
        <v/>
      </c>
    </row>
    <row r="1776" spans="36:36" ht="24" customHeight="1">
      <c r="AJ1776" s="139" t="str">
        <f t="shared" si="31"/>
        <v/>
      </c>
    </row>
    <row r="1777" spans="36:36" ht="24" customHeight="1">
      <c r="AJ1777" s="139" t="str">
        <f t="shared" si="31"/>
        <v/>
      </c>
    </row>
    <row r="1778" spans="36:36" ht="24" customHeight="1">
      <c r="AJ1778" s="139" t="str">
        <f t="shared" si="31"/>
        <v/>
      </c>
    </row>
    <row r="1779" spans="36:36" ht="24" customHeight="1">
      <c r="AJ1779" s="139" t="str">
        <f t="shared" si="31"/>
        <v/>
      </c>
    </row>
    <row r="1780" spans="36:36" ht="24" customHeight="1">
      <c r="AJ1780" s="139" t="str">
        <f t="shared" si="31"/>
        <v/>
      </c>
    </row>
    <row r="1781" spans="36:36" ht="24" customHeight="1">
      <c r="AJ1781" s="139" t="str">
        <f t="shared" si="31"/>
        <v/>
      </c>
    </row>
    <row r="1782" spans="36:36" ht="24" customHeight="1">
      <c r="AJ1782" s="139" t="str">
        <f t="shared" si="31"/>
        <v/>
      </c>
    </row>
    <row r="1783" spans="36:36" ht="24" customHeight="1">
      <c r="AJ1783" s="139" t="str">
        <f t="shared" si="31"/>
        <v/>
      </c>
    </row>
    <row r="1784" spans="36:36" ht="24" customHeight="1">
      <c r="AJ1784" s="139" t="str">
        <f t="shared" si="31"/>
        <v/>
      </c>
    </row>
    <row r="1785" spans="36:36" ht="24" customHeight="1">
      <c r="AJ1785" s="139" t="str">
        <f t="shared" si="31"/>
        <v/>
      </c>
    </row>
    <row r="1786" spans="36:36" ht="24" customHeight="1">
      <c r="AJ1786" s="139" t="str">
        <f t="shared" si="31"/>
        <v/>
      </c>
    </row>
    <row r="1787" spans="36:36" ht="24" customHeight="1">
      <c r="AJ1787" s="139" t="str">
        <f t="shared" si="31"/>
        <v/>
      </c>
    </row>
    <row r="1788" spans="36:36" ht="24" customHeight="1">
      <c r="AJ1788" s="139" t="str">
        <f t="shared" si="31"/>
        <v/>
      </c>
    </row>
    <row r="1789" spans="36:36" ht="24" customHeight="1">
      <c r="AJ1789" s="139" t="str">
        <f t="shared" si="31"/>
        <v/>
      </c>
    </row>
    <row r="1790" spans="36:36" ht="24" customHeight="1">
      <c r="AJ1790" s="139" t="str">
        <f t="shared" si="31"/>
        <v/>
      </c>
    </row>
    <row r="1791" spans="36:36" ht="24" customHeight="1">
      <c r="AJ1791" s="139" t="str">
        <f t="shared" si="31"/>
        <v/>
      </c>
    </row>
    <row r="1792" spans="36:36" ht="24" customHeight="1">
      <c r="AJ1792" s="139" t="str">
        <f t="shared" si="31"/>
        <v/>
      </c>
    </row>
    <row r="1793" spans="36:36" ht="24" customHeight="1">
      <c r="AJ1793" s="139" t="str">
        <f t="shared" si="31"/>
        <v/>
      </c>
    </row>
    <row r="1794" spans="36:36" ht="24" customHeight="1">
      <c r="AJ1794" s="139" t="str">
        <f t="shared" si="31"/>
        <v/>
      </c>
    </row>
    <row r="1795" spans="36:36" ht="24" customHeight="1">
      <c r="AJ1795" s="139" t="str">
        <f t="shared" si="31"/>
        <v/>
      </c>
    </row>
    <row r="1796" spans="36:36" ht="24" customHeight="1">
      <c r="AJ1796" s="139" t="str">
        <f t="shared" si="31"/>
        <v/>
      </c>
    </row>
    <row r="1797" spans="36:36" ht="24" customHeight="1">
      <c r="AJ1797" s="139" t="str">
        <f t="shared" si="31"/>
        <v/>
      </c>
    </row>
    <row r="1798" spans="36:36" ht="24" customHeight="1">
      <c r="AJ1798" s="139" t="str">
        <f t="shared" si="31"/>
        <v/>
      </c>
    </row>
    <row r="1799" spans="36:36" ht="24" customHeight="1">
      <c r="AJ1799" s="139" t="str">
        <f t="shared" si="31"/>
        <v/>
      </c>
    </row>
    <row r="1800" spans="36:36" ht="24" customHeight="1">
      <c r="AJ1800" s="139" t="str">
        <f t="shared" si="31"/>
        <v/>
      </c>
    </row>
    <row r="1801" spans="36:36" ht="24" customHeight="1">
      <c r="AJ1801" s="139" t="str">
        <f t="shared" ref="AJ1801:AJ1828" si="32">IF(C1801="","",C1801)</f>
        <v/>
      </c>
    </row>
    <row r="1802" spans="36:36" ht="24" customHeight="1">
      <c r="AJ1802" s="139" t="str">
        <f t="shared" si="32"/>
        <v/>
      </c>
    </row>
    <row r="1803" spans="36:36" ht="24" customHeight="1">
      <c r="AJ1803" s="139" t="str">
        <f t="shared" si="32"/>
        <v/>
      </c>
    </row>
    <row r="1804" spans="36:36" ht="24" customHeight="1">
      <c r="AJ1804" s="139" t="str">
        <f t="shared" si="32"/>
        <v/>
      </c>
    </row>
    <row r="1805" spans="36:36" ht="24" customHeight="1">
      <c r="AJ1805" s="139" t="str">
        <f t="shared" si="32"/>
        <v/>
      </c>
    </row>
    <row r="1806" spans="36:36" ht="24" customHeight="1">
      <c r="AJ1806" s="139" t="str">
        <f t="shared" si="32"/>
        <v/>
      </c>
    </row>
    <row r="1807" spans="36:36" ht="24" customHeight="1">
      <c r="AJ1807" s="139" t="str">
        <f t="shared" si="32"/>
        <v/>
      </c>
    </row>
    <row r="1808" spans="36:36" ht="24" customHeight="1">
      <c r="AJ1808" s="139" t="str">
        <f t="shared" si="32"/>
        <v/>
      </c>
    </row>
    <row r="1809" spans="36:36" ht="24" customHeight="1">
      <c r="AJ1809" s="139" t="str">
        <f t="shared" si="32"/>
        <v/>
      </c>
    </row>
    <row r="1810" spans="36:36" ht="24" customHeight="1">
      <c r="AJ1810" s="139" t="str">
        <f t="shared" si="32"/>
        <v/>
      </c>
    </row>
    <row r="1811" spans="36:36" ht="24" customHeight="1">
      <c r="AJ1811" s="139" t="str">
        <f t="shared" si="32"/>
        <v/>
      </c>
    </row>
    <row r="1812" spans="36:36" ht="24" customHeight="1">
      <c r="AJ1812" s="139" t="str">
        <f t="shared" si="32"/>
        <v/>
      </c>
    </row>
    <row r="1813" spans="36:36" ht="24" customHeight="1">
      <c r="AJ1813" s="139" t="str">
        <f t="shared" si="32"/>
        <v/>
      </c>
    </row>
    <row r="1814" spans="36:36" ht="24" customHeight="1">
      <c r="AJ1814" s="139" t="str">
        <f t="shared" si="32"/>
        <v/>
      </c>
    </row>
    <row r="1815" spans="36:36" ht="24" customHeight="1">
      <c r="AJ1815" s="139" t="str">
        <f t="shared" si="32"/>
        <v/>
      </c>
    </row>
    <row r="1816" spans="36:36" ht="24" customHeight="1">
      <c r="AJ1816" s="139" t="str">
        <f t="shared" si="32"/>
        <v/>
      </c>
    </row>
    <row r="1817" spans="36:36" ht="24" customHeight="1">
      <c r="AJ1817" s="139" t="str">
        <f t="shared" si="32"/>
        <v/>
      </c>
    </row>
    <row r="1818" spans="36:36" ht="24" customHeight="1">
      <c r="AJ1818" s="139" t="str">
        <f t="shared" si="32"/>
        <v/>
      </c>
    </row>
    <row r="1819" spans="36:36" ht="24" customHeight="1">
      <c r="AJ1819" s="139" t="str">
        <f t="shared" si="32"/>
        <v/>
      </c>
    </row>
    <row r="1820" spans="36:36" ht="24" customHeight="1">
      <c r="AJ1820" s="139" t="str">
        <f t="shared" si="32"/>
        <v/>
      </c>
    </row>
    <row r="1821" spans="36:36" ht="24" customHeight="1">
      <c r="AJ1821" s="139" t="str">
        <f t="shared" si="32"/>
        <v/>
      </c>
    </row>
    <row r="1822" spans="36:36" ht="24" customHeight="1">
      <c r="AJ1822" s="139" t="str">
        <f t="shared" si="32"/>
        <v/>
      </c>
    </row>
    <row r="1823" spans="36:36" ht="24" customHeight="1">
      <c r="AJ1823" s="139" t="str">
        <f t="shared" si="32"/>
        <v/>
      </c>
    </row>
    <row r="1824" spans="36:36" ht="24" customHeight="1">
      <c r="AJ1824" s="139" t="str">
        <f t="shared" si="32"/>
        <v/>
      </c>
    </row>
    <row r="1825" spans="36:36" ht="24" customHeight="1">
      <c r="AJ1825" s="139" t="str">
        <f t="shared" si="32"/>
        <v/>
      </c>
    </row>
    <row r="1826" spans="36:36" ht="24" customHeight="1">
      <c r="AJ1826" s="139" t="str">
        <f t="shared" si="32"/>
        <v/>
      </c>
    </row>
    <row r="1827" spans="36:36" ht="24" customHeight="1">
      <c r="AJ1827" s="139" t="str">
        <f t="shared" si="32"/>
        <v/>
      </c>
    </row>
    <row r="1828" spans="36:36" ht="24" customHeight="1">
      <c r="AJ1828" s="139" t="str">
        <f t="shared" si="32"/>
        <v/>
      </c>
    </row>
  </sheetData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StatusIconSaleInvoice">
                <anchor moveWithCells="1" sizeWithCells="1">
                  <from>
                    <xdr:col>30</xdr:col>
                    <xdr:colOff>142875</xdr:colOff>
                    <xdr:row>2</xdr:row>
                    <xdr:rowOff>533400</xdr:rowOff>
                  </from>
                  <to>
                    <xdr:col>31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AD11:AD10000</xm:sqref>
        </x14:conditionalFormatting>
        <x14:conditionalFormatting xmlns:xm="http://schemas.microsoft.com/office/excel/2006/main">
          <x14:cfRule type="iconSet" priority="17" id="{C52B777D-0CE0-48DB-9349-A1DA1DFD7DA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</xm:sqref>
        </x14:conditionalFormatting>
        <x14:conditionalFormatting xmlns:xm="http://schemas.microsoft.com/office/excel/2006/main">
          <x14:cfRule type="iconSet" priority="18" id="{A12AEE35-1EE0-4B81-910F-DFD9E2EC490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</xm:sqref>
        </x14:conditionalFormatting>
        <x14:conditionalFormatting xmlns:xm="http://schemas.microsoft.com/office/excel/2006/main">
          <x14:cfRule type="iconSet" priority="19" id="{7A7E4430-066A-44A5-9D1A-3310DBC30B4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181"/>
  <sheetViews>
    <sheetView topLeftCell="A3" zoomScale="80" zoomScaleNormal="80" workbookViewId="0">
      <pane ySplit="5" topLeftCell="A314" activePane="bottomLeft" state="frozen"/>
      <selection activeCell="L28" sqref="L28"/>
      <selection pane="bottomLeft" activeCell="K330" sqref="K330"/>
    </sheetView>
  </sheetViews>
  <sheetFormatPr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126" customWidth="1"/>
    <col min="18" max="18" width="17" style="126" bestFit="1" customWidth="1"/>
    <col min="19" max="20" width="17.7109375" style="206" customWidth="1"/>
    <col min="21" max="21" width="22.5703125" style="206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39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240"/>
      <c r="D4" s="241"/>
      <c r="E4" s="338"/>
      <c r="F4" s="241"/>
      <c r="G4" s="241"/>
      <c r="H4" s="242"/>
      <c r="I4" s="241"/>
      <c r="J4" s="243"/>
      <c r="K4" s="244"/>
      <c r="L4" s="241"/>
      <c r="M4" s="241"/>
      <c r="N4" s="244"/>
      <c r="O4" s="241"/>
      <c r="P4" s="241"/>
      <c r="Q4" s="241"/>
      <c r="R4" s="241"/>
      <c r="S4" s="245"/>
      <c r="T4" s="245"/>
      <c r="U4" s="245"/>
      <c r="V4" s="241"/>
      <c r="W4" s="241"/>
      <c r="X4" s="241"/>
      <c r="Y4" s="241"/>
      <c r="Z4" s="241"/>
      <c r="AA4" s="241"/>
      <c r="AB4" s="241"/>
    </row>
    <row r="5" spans="3:32" ht="21.95" customHeight="1">
      <c r="E5" s="137"/>
    </row>
    <row r="6" spans="3:32" customFormat="1" ht="29.25" customHeight="1">
      <c r="C6" s="309" t="s">
        <v>10</v>
      </c>
      <c r="D6" s="309" t="s">
        <v>123</v>
      </c>
      <c r="E6" s="309" t="s">
        <v>289</v>
      </c>
      <c r="F6" s="309" t="s">
        <v>123</v>
      </c>
      <c r="G6" s="309" t="s">
        <v>123</v>
      </c>
      <c r="H6" s="309" t="s">
        <v>24</v>
      </c>
      <c r="I6" s="309" t="s">
        <v>101</v>
      </c>
      <c r="J6" s="309" t="s">
        <v>37</v>
      </c>
      <c r="K6" s="309" t="s">
        <v>38</v>
      </c>
      <c r="L6" s="309" t="s">
        <v>16</v>
      </c>
      <c r="M6" s="309" t="s">
        <v>881</v>
      </c>
      <c r="N6" s="309" t="s">
        <v>13</v>
      </c>
      <c r="O6" s="309" t="s">
        <v>198</v>
      </c>
      <c r="P6" s="309" t="s">
        <v>265</v>
      </c>
      <c r="Q6" s="309" t="s">
        <v>276</v>
      </c>
      <c r="R6" s="309" t="s">
        <v>267</v>
      </c>
      <c r="S6" s="309" t="s">
        <v>14</v>
      </c>
      <c r="T6" s="309" t="s">
        <v>39</v>
      </c>
      <c r="U6" s="309" t="s">
        <v>33</v>
      </c>
      <c r="V6" s="309" t="s">
        <v>214</v>
      </c>
      <c r="W6" s="309" t="s">
        <v>211</v>
      </c>
      <c r="X6" s="309" t="s">
        <v>15</v>
      </c>
      <c r="Y6" s="309" t="s">
        <v>23</v>
      </c>
      <c r="Z6" s="309" t="s">
        <v>95</v>
      </c>
      <c r="AA6" s="309" t="s">
        <v>120</v>
      </c>
      <c r="AB6" s="309" t="s">
        <v>109</v>
      </c>
      <c r="AC6" s="2"/>
      <c r="AE6" s="147"/>
      <c r="AF6" s="147"/>
    </row>
    <row r="7" spans="3:32" customFormat="1" ht="15">
      <c r="C7" s="310" t="s">
        <v>139</v>
      </c>
      <c r="D7" s="310" t="s">
        <v>200</v>
      </c>
      <c r="E7" s="310" t="s">
        <v>288</v>
      </c>
      <c r="F7" s="310" t="s">
        <v>479</v>
      </c>
      <c r="G7" s="310" t="s">
        <v>29</v>
      </c>
      <c r="H7" s="310" t="s">
        <v>40</v>
      </c>
      <c r="I7" s="310" t="s">
        <v>100</v>
      </c>
      <c r="J7" s="310" t="s">
        <v>35</v>
      </c>
      <c r="K7" s="310" t="s">
        <v>36</v>
      </c>
      <c r="L7" s="310" t="s">
        <v>18</v>
      </c>
      <c r="M7" s="310" t="s">
        <v>196</v>
      </c>
      <c r="N7" s="310" t="s">
        <v>199</v>
      </c>
      <c r="O7" s="310" t="s">
        <v>197</v>
      </c>
      <c r="P7" s="310" t="s">
        <v>287</v>
      </c>
      <c r="Q7" s="310" t="s">
        <v>286</v>
      </c>
      <c r="R7" s="310" t="s">
        <v>278</v>
      </c>
      <c r="S7" s="310" t="s">
        <v>19</v>
      </c>
      <c r="T7" s="310" t="s">
        <v>8</v>
      </c>
      <c r="U7" s="310" t="s">
        <v>201</v>
      </c>
      <c r="V7" s="310" t="s">
        <v>417</v>
      </c>
      <c r="W7" s="310" t="s">
        <v>202</v>
      </c>
      <c r="X7" s="310" t="s">
        <v>466</v>
      </c>
      <c r="Y7" s="310" t="s">
        <v>26</v>
      </c>
      <c r="Z7" s="310" t="s">
        <v>2</v>
      </c>
      <c r="AA7" s="310" t="s">
        <v>121</v>
      </c>
      <c r="AB7" s="310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790</v>
      </c>
      <c r="G8" s="168" t="s">
        <v>1017</v>
      </c>
      <c r="H8" s="162">
        <v>46174</v>
      </c>
      <c r="I8" s="126">
        <v>1</v>
      </c>
      <c r="J8" s="141" t="s">
        <v>560</v>
      </c>
      <c r="K8" s="159" t="s">
        <v>561</v>
      </c>
      <c r="L8" s="126">
        <v>10</v>
      </c>
      <c r="M8" s="126">
        <v>0</v>
      </c>
      <c r="N8" s="159" t="s">
        <v>546</v>
      </c>
      <c r="O8" s="126">
        <v>1</v>
      </c>
      <c r="S8" s="206">
        <v>2.89</v>
      </c>
      <c r="T8" s="206">
        <v>3.5</v>
      </c>
      <c r="U8" s="206">
        <v>35</v>
      </c>
      <c r="W8" s="230"/>
      <c r="X8" s="230"/>
      <c r="Y8" s="126">
        <v>1</v>
      </c>
      <c r="Z8" s="126">
        <v>6</v>
      </c>
      <c r="AA8" s="126">
        <v>2026</v>
      </c>
      <c r="AB8" s="347">
        <v>1</v>
      </c>
      <c r="AD8" s="348"/>
    </row>
    <row r="9" spans="3:32" ht="21.95" customHeight="1">
      <c r="C9" s="126">
        <v>2</v>
      </c>
      <c r="D9" s="126">
        <v>1</v>
      </c>
      <c r="F9" s="126" t="s">
        <v>790</v>
      </c>
      <c r="G9" s="168" t="s">
        <v>1017</v>
      </c>
      <c r="H9" s="162">
        <v>46174</v>
      </c>
      <c r="I9" s="126">
        <v>1</v>
      </c>
      <c r="J9" s="141" t="s">
        <v>555</v>
      </c>
      <c r="K9" s="159" t="s">
        <v>556</v>
      </c>
      <c r="L9" s="126">
        <v>1</v>
      </c>
      <c r="M9" s="126">
        <v>0</v>
      </c>
      <c r="N9" s="159" t="s">
        <v>546</v>
      </c>
      <c r="O9" s="126">
        <v>12</v>
      </c>
      <c r="S9" s="206">
        <v>3.3</v>
      </c>
      <c r="T9" s="206">
        <v>5.5</v>
      </c>
      <c r="U9" s="206">
        <v>5.5</v>
      </c>
      <c r="W9" s="230"/>
      <c r="X9" s="230"/>
      <c r="Y9" s="126">
        <v>1</v>
      </c>
      <c r="Z9" s="126">
        <v>6</v>
      </c>
      <c r="AA9" s="126">
        <v>2026</v>
      </c>
      <c r="AB9" s="347">
        <v>1</v>
      </c>
      <c r="AD9" s="348"/>
    </row>
    <row r="10" spans="3:32" ht="21.95" customHeight="1">
      <c r="C10" s="126">
        <v>3</v>
      </c>
      <c r="D10" s="126">
        <v>2</v>
      </c>
      <c r="F10" s="126" t="s">
        <v>790</v>
      </c>
      <c r="G10" s="168" t="s">
        <v>858</v>
      </c>
      <c r="H10" s="162">
        <v>46174</v>
      </c>
      <c r="I10" s="126">
        <v>1</v>
      </c>
      <c r="J10" s="141" t="s">
        <v>565</v>
      </c>
      <c r="K10" s="159" t="s">
        <v>566</v>
      </c>
      <c r="L10" s="126">
        <v>15</v>
      </c>
      <c r="M10" s="126">
        <v>0</v>
      </c>
      <c r="N10" s="159" t="s">
        <v>567</v>
      </c>
      <c r="O10" s="126">
        <v>1000</v>
      </c>
      <c r="S10" s="206">
        <v>0.1</v>
      </c>
      <c r="T10" s="206">
        <v>0.18</v>
      </c>
      <c r="U10" s="206">
        <v>2.63</v>
      </c>
      <c r="W10" s="230"/>
      <c r="X10" s="230"/>
      <c r="Y10" s="126">
        <v>1</v>
      </c>
      <c r="Z10" s="126">
        <v>6</v>
      </c>
      <c r="AA10" s="126">
        <v>2026</v>
      </c>
      <c r="AB10" s="347">
        <v>1</v>
      </c>
      <c r="AD10" s="348"/>
    </row>
    <row r="11" spans="3:32" ht="21.95" customHeight="1">
      <c r="C11" s="126">
        <v>4</v>
      </c>
      <c r="D11" s="126">
        <v>2</v>
      </c>
      <c r="F11" s="126" t="s">
        <v>790</v>
      </c>
      <c r="G11" s="168" t="s">
        <v>858</v>
      </c>
      <c r="H11" s="162">
        <v>46174</v>
      </c>
      <c r="I11" s="126">
        <v>1</v>
      </c>
      <c r="J11" s="141" t="s">
        <v>571</v>
      </c>
      <c r="K11" s="159" t="s">
        <v>572</v>
      </c>
      <c r="L11" s="126">
        <v>1</v>
      </c>
      <c r="M11" s="126">
        <v>0</v>
      </c>
      <c r="N11" s="159" t="s">
        <v>573</v>
      </c>
      <c r="O11" s="126">
        <v>1</v>
      </c>
      <c r="S11" s="206">
        <v>6.03</v>
      </c>
      <c r="T11" s="206">
        <v>6.5</v>
      </c>
      <c r="U11" s="206">
        <v>6.5</v>
      </c>
      <c r="W11" s="230"/>
      <c r="X11" s="230"/>
      <c r="Y11" s="126">
        <v>1</v>
      </c>
      <c r="Z11" s="126">
        <v>6</v>
      </c>
      <c r="AA11" s="126">
        <v>2026</v>
      </c>
      <c r="AB11" s="347">
        <v>1</v>
      </c>
      <c r="AD11" s="348"/>
    </row>
    <row r="12" spans="3:32" ht="21.95" customHeight="1">
      <c r="C12" s="126">
        <v>5</v>
      </c>
      <c r="D12" s="126">
        <v>2</v>
      </c>
      <c r="F12" s="126" t="s">
        <v>790</v>
      </c>
      <c r="G12" s="168" t="s">
        <v>858</v>
      </c>
      <c r="H12" s="162">
        <v>46174</v>
      </c>
      <c r="I12" s="126">
        <v>1</v>
      </c>
      <c r="J12" s="141" t="s">
        <v>577</v>
      </c>
      <c r="K12" s="159" t="s">
        <v>578</v>
      </c>
      <c r="L12" s="126">
        <v>3</v>
      </c>
      <c r="M12" s="126">
        <v>0</v>
      </c>
      <c r="N12" s="159" t="s">
        <v>573</v>
      </c>
      <c r="O12" s="126">
        <v>1</v>
      </c>
      <c r="S12" s="206">
        <v>3.37</v>
      </c>
      <c r="T12" s="206">
        <v>3.5</v>
      </c>
      <c r="U12" s="206">
        <v>10.5</v>
      </c>
      <c r="W12" s="230"/>
      <c r="X12" s="230"/>
      <c r="Y12" s="126">
        <v>1</v>
      </c>
      <c r="Z12" s="126">
        <v>6</v>
      </c>
      <c r="AA12" s="126">
        <v>2026</v>
      </c>
      <c r="AB12" s="347">
        <v>1</v>
      </c>
      <c r="AD12" s="348"/>
    </row>
    <row r="13" spans="3:32" ht="21.95" customHeight="1">
      <c r="C13" s="126">
        <v>6</v>
      </c>
      <c r="D13" s="126">
        <v>2</v>
      </c>
      <c r="F13" s="126" t="s">
        <v>790</v>
      </c>
      <c r="G13" s="168" t="s">
        <v>858</v>
      </c>
      <c r="H13" s="162">
        <v>46174</v>
      </c>
      <c r="I13" s="126">
        <v>1</v>
      </c>
      <c r="J13" s="141" t="s">
        <v>582</v>
      </c>
      <c r="K13" s="159" t="s">
        <v>583</v>
      </c>
      <c r="L13" s="126">
        <v>1</v>
      </c>
      <c r="M13" s="126">
        <v>0</v>
      </c>
      <c r="N13" s="159" t="s">
        <v>546</v>
      </c>
      <c r="O13" s="126">
        <v>1</v>
      </c>
      <c r="S13" s="206">
        <v>5.8</v>
      </c>
      <c r="T13" s="206">
        <v>6</v>
      </c>
      <c r="U13" s="206">
        <v>6</v>
      </c>
      <c r="W13" s="230"/>
      <c r="X13" s="230"/>
      <c r="Y13" s="126">
        <v>1</v>
      </c>
      <c r="Z13" s="126">
        <v>6</v>
      </c>
      <c r="AA13" s="126">
        <v>2026</v>
      </c>
      <c r="AB13" s="347">
        <v>1</v>
      </c>
      <c r="AD13" s="348"/>
    </row>
    <row r="14" spans="3:32" ht="21.95" customHeight="1">
      <c r="C14" s="126">
        <v>7</v>
      </c>
      <c r="D14" s="126">
        <v>2</v>
      </c>
      <c r="F14" s="126" t="s">
        <v>790</v>
      </c>
      <c r="G14" s="168" t="s">
        <v>858</v>
      </c>
      <c r="H14" s="162">
        <v>46174</v>
      </c>
      <c r="I14" s="126">
        <v>1</v>
      </c>
      <c r="J14" s="141" t="s">
        <v>587</v>
      </c>
      <c r="K14" s="159" t="s">
        <v>588</v>
      </c>
      <c r="L14" s="126">
        <v>1</v>
      </c>
      <c r="M14" s="126">
        <v>0</v>
      </c>
      <c r="N14" s="159" t="s">
        <v>546</v>
      </c>
      <c r="O14" s="126">
        <v>1</v>
      </c>
      <c r="S14" s="206">
        <v>14.85</v>
      </c>
      <c r="T14" s="206">
        <v>15</v>
      </c>
      <c r="U14" s="206">
        <v>15</v>
      </c>
      <c r="W14" s="230"/>
      <c r="X14" s="230"/>
      <c r="Y14" s="126">
        <v>1</v>
      </c>
      <c r="Z14" s="126">
        <v>6</v>
      </c>
      <c r="AA14" s="126">
        <v>2026</v>
      </c>
      <c r="AB14" s="347">
        <v>1</v>
      </c>
      <c r="AD14" s="348"/>
    </row>
    <row r="15" spans="3:32" ht="21.95" customHeight="1">
      <c r="C15" s="348">
        <v>8</v>
      </c>
      <c r="D15" s="126">
        <v>2</v>
      </c>
      <c r="F15" s="126" t="s">
        <v>790</v>
      </c>
      <c r="G15" s="168" t="s">
        <v>858</v>
      </c>
      <c r="H15" s="162">
        <v>46174</v>
      </c>
      <c r="I15" s="126">
        <v>1</v>
      </c>
      <c r="J15" s="141" t="s">
        <v>592</v>
      </c>
      <c r="K15" s="159" t="s">
        <v>593</v>
      </c>
      <c r="L15" s="126">
        <v>1</v>
      </c>
      <c r="M15" s="126">
        <v>0</v>
      </c>
      <c r="N15" s="159" t="s">
        <v>546</v>
      </c>
      <c r="O15" s="126">
        <v>12</v>
      </c>
      <c r="S15" s="206">
        <v>1.1000000000000001</v>
      </c>
      <c r="T15" s="206">
        <v>1.25</v>
      </c>
      <c r="U15" s="206">
        <v>1.25</v>
      </c>
      <c r="W15" s="230"/>
      <c r="X15" s="230"/>
      <c r="Y15" s="126">
        <v>1</v>
      </c>
      <c r="Z15" s="126">
        <v>6</v>
      </c>
      <c r="AA15" s="126">
        <v>2026</v>
      </c>
      <c r="AB15" s="347">
        <v>1</v>
      </c>
      <c r="AD15" s="348"/>
    </row>
    <row r="16" spans="3:32" ht="21.95" customHeight="1">
      <c r="C16" s="348">
        <v>9</v>
      </c>
      <c r="D16" s="126">
        <v>2</v>
      </c>
      <c r="F16" s="126" t="s">
        <v>790</v>
      </c>
      <c r="G16" s="168" t="s">
        <v>858</v>
      </c>
      <c r="H16" s="162">
        <v>46174</v>
      </c>
      <c r="I16" s="126">
        <v>1</v>
      </c>
      <c r="J16" s="141" t="s">
        <v>597</v>
      </c>
      <c r="K16" s="159" t="s">
        <v>598</v>
      </c>
      <c r="L16" s="126">
        <v>3</v>
      </c>
      <c r="M16" s="126">
        <v>0</v>
      </c>
      <c r="N16" s="159" t="s">
        <v>546</v>
      </c>
      <c r="O16" s="126">
        <v>1</v>
      </c>
      <c r="S16" s="206">
        <v>0.12</v>
      </c>
      <c r="T16" s="206">
        <v>0.25</v>
      </c>
      <c r="U16" s="206">
        <v>0.75</v>
      </c>
      <c r="W16" s="230"/>
      <c r="X16" s="230"/>
      <c r="Y16" s="126">
        <v>1</v>
      </c>
      <c r="Z16" s="126">
        <v>6</v>
      </c>
      <c r="AA16" s="126">
        <v>2026</v>
      </c>
      <c r="AB16" s="339">
        <v>1</v>
      </c>
      <c r="AD16" s="348"/>
    </row>
    <row r="17" spans="3:30" ht="21.95" customHeight="1">
      <c r="C17" s="348">
        <v>10</v>
      </c>
      <c r="D17" s="126">
        <v>2</v>
      </c>
      <c r="F17" s="126" t="s">
        <v>790</v>
      </c>
      <c r="G17" s="168" t="s">
        <v>858</v>
      </c>
      <c r="H17" s="162">
        <v>46174</v>
      </c>
      <c r="I17" s="126">
        <v>1</v>
      </c>
      <c r="J17" s="141" t="s">
        <v>602</v>
      </c>
      <c r="K17" s="159" t="s">
        <v>603</v>
      </c>
      <c r="L17" s="126">
        <v>1</v>
      </c>
      <c r="M17" s="126">
        <v>0</v>
      </c>
      <c r="N17" s="159" t="s">
        <v>546</v>
      </c>
      <c r="O17" s="126">
        <v>1</v>
      </c>
      <c r="S17" s="206">
        <v>0.5</v>
      </c>
      <c r="T17" s="206">
        <v>0.63</v>
      </c>
      <c r="U17" s="206">
        <v>0.63</v>
      </c>
      <c r="W17" s="230"/>
      <c r="X17" s="230"/>
      <c r="Y17" s="126">
        <v>1</v>
      </c>
      <c r="Z17" s="126">
        <v>6</v>
      </c>
      <c r="AA17" s="126">
        <v>2026</v>
      </c>
      <c r="AB17" s="339">
        <v>1</v>
      </c>
      <c r="AD17" s="348"/>
    </row>
    <row r="18" spans="3:30" ht="21.95" customHeight="1">
      <c r="C18" s="348">
        <v>11</v>
      </c>
      <c r="D18" s="126">
        <v>3</v>
      </c>
      <c r="F18" s="126" t="s">
        <v>791</v>
      </c>
      <c r="G18" s="168" t="s">
        <v>859</v>
      </c>
      <c r="H18" s="162">
        <v>46175</v>
      </c>
      <c r="I18" s="126">
        <v>1</v>
      </c>
      <c r="J18" s="141" t="s">
        <v>609</v>
      </c>
      <c r="K18" s="159" t="s">
        <v>610</v>
      </c>
      <c r="L18" s="126">
        <v>3</v>
      </c>
      <c r="M18" s="126">
        <v>0</v>
      </c>
      <c r="N18" s="159" t="s">
        <v>573</v>
      </c>
      <c r="O18" s="126">
        <v>1</v>
      </c>
      <c r="S18" s="206">
        <v>6.28</v>
      </c>
      <c r="T18" s="206">
        <v>6</v>
      </c>
      <c r="U18" s="206">
        <v>18</v>
      </c>
      <c r="Y18" s="126">
        <v>1</v>
      </c>
      <c r="Z18" s="126">
        <v>6</v>
      </c>
      <c r="AA18" s="126">
        <v>2026</v>
      </c>
      <c r="AB18" s="339">
        <v>1</v>
      </c>
      <c r="AD18" s="361"/>
    </row>
    <row r="19" spans="3:30" ht="21.95" customHeight="1">
      <c r="C19" s="348">
        <v>12</v>
      </c>
      <c r="D19" s="126">
        <v>3</v>
      </c>
      <c r="F19" s="126" t="s">
        <v>791</v>
      </c>
      <c r="G19" s="168" t="s">
        <v>859</v>
      </c>
      <c r="H19" s="162">
        <v>46175</v>
      </c>
      <c r="I19" s="126">
        <v>1</v>
      </c>
      <c r="J19" s="141" t="s">
        <v>577</v>
      </c>
      <c r="K19" s="159" t="s">
        <v>578</v>
      </c>
      <c r="L19" s="126">
        <v>2</v>
      </c>
      <c r="M19" s="126">
        <v>0</v>
      </c>
      <c r="N19" s="159" t="s">
        <v>573</v>
      </c>
      <c r="O19" s="126">
        <v>1</v>
      </c>
      <c r="S19" s="206">
        <v>3.37</v>
      </c>
      <c r="T19" s="206">
        <v>3.5</v>
      </c>
      <c r="U19" s="206">
        <v>7</v>
      </c>
      <c r="Y19" s="126">
        <v>1</v>
      </c>
      <c r="Z19" s="126">
        <v>6</v>
      </c>
      <c r="AA19" s="126">
        <v>2026</v>
      </c>
      <c r="AB19" s="339">
        <v>1</v>
      </c>
      <c r="AC19" s="130"/>
      <c r="AD19" s="348"/>
    </row>
    <row r="20" spans="3:30" ht="21.95" customHeight="1">
      <c r="C20" s="362">
        <v>13</v>
      </c>
      <c r="D20" s="126">
        <v>3</v>
      </c>
      <c r="F20" s="126" t="s">
        <v>791</v>
      </c>
      <c r="G20" s="168" t="s">
        <v>859</v>
      </c>
      <c r="H20" s="162">
        <v>46175</v>
      </c>
      <c r="I20" s="126">
        <v>1</v>
      </c>
      <c r="J20" s="141" t="s">
        <v>617</v>
      </c>
      <c r="K20" s="159" t="s">
        <v>618</v>
      </c>
      <c r="L20" s="126">
        <v>1</v>
      </c>
      <c r="M20" s="126">
        <v>0</v>
      </c>
      <c r="N20" s="159" t="s">
        <v>619</v>
      </c>
      <c r="O20" s="126">
        <v>1</v>
      </c>
      <c r="S20" s="206">
        <v>12</v>
      </c>
      <c r="T20" s="206">
        <v>12</v>
      </c>
      <c r="U20" s="206">
        <v>12</v>
      </c>
      <c r="Y20" s="126">
        <v>1</v>
      </c>
      <c r="Z20" s="126">
        <v>6</v>
      </c>
      <c r="AA20" s="126">
        <v>2026</v>
      </c>
      <c r="AB20" s="339">
        <v>1</v>
      </c>
      <c r="AD20" s="348"/>
    </row>
    <row r="21" spans="3:30" ht="21.95" customHeight="1">
      <c r="C21" s="348">
        <v>14</v>
      </c>
      <c r="D21" s="126">
        <v>3</v>
      </c>
      <c r="F21" s="126" t="s">
        <v>791</v>
      </c>
      <c r="G21" s="168" t="s">
        <v>859</v>
      </c>
      <c r="H21" s="162">
        <v>46175</v>
      </c>
      <c r="I21" s="126">
        <v>1</v>
      </c>
      <c r="J21" s="141" t="s">
        <v>609</v>
      </c>
      <c r="K21" s="159" t="s">
        <v>610</v>
      </c>
      <c r="L21" s="126">
        <v>3</v>
      </c>
      <c r="M21" s="126">
        <v>0</v>
      </c>
      <c r="N21" s="159" t="s">
        <v>573</v>
      </c>
      <c r="O21" s="126">
        <v>1</v>
      </c>
      <c r="S21" s="206">
        <v>6.28</v>
      </c>
      <c r="T21" s="206">
        <v>7</v>
      </c>
      <c r="U21" s="206">
        <v>21</v>
      </c>
      <c r="Y21" s="126">
        <v>1</v>
      </c>
      <c r="Z21" s="126">
        <v>6</v>
      </c>
      <c r="AA21" s="126">
        <v>2026</v>
      </c>
      <c r="AB21" s="339">
        <v>1</v>
      </c>
      <c r="AD21" s="348"/>
    </row>
    <row r="22" spans="3:30" ht="21.95" customHeight="1">
      <c r="C22" s="348">
        <v>15</v>
      </c>
      <c r="D22" s="126">
        <v>4</v>
      </c>
      <c r="F22" s="126" t="s">
        <v>791</v>
      </c>
      <c r="G22" s="168" t="s">
        <v>860</v>
      </c>
      <c r="H22" s="162">
        <v>46175</v>
      </c>
      <c r="I22" s="126">
        <v>1</v>
      </c>
      <c r="J22" s="141" t="s">
        <v>577</v>
      </c>
      <c r="K22" s="159" t="s">
        <v>578</v>
      </c>
      <c r="L22" s="126">
        <v>6</v>
      </c>
      <c r="M22" s="126">
        <v>0</v>
      </c>
      <c r="N22" s="159" t="s">
        <v>573</v>
      </c>
      <c r="O22" s="126">
        <v>1</v>
      </c>
      <c r="S22" s="206">
        <v>3.37</v>
      </c>
      <c r="T22" s="206">
        <v>3.5</v>
      </c>
      <c r="U22" s="206">
        <v>21</v>
      </c>
      <c r="Y22" s="126">
        <v>1</v>
      </c>
      <c r="Z22" s="126">
        <v>6</v>
      </c>
      <c r="AA22" s="126">
        <v>2026</v>
      </c>
      <c r="AB22" s="339">
        <v>1</v>
      </c>
      <c r="AD22" s="348"/>
    </row>
    <row r="23" spans="3:30" ht="21.95" customHeight="1">
      <c r="C23" s="348">
        <v>16</v>
      </c>
      <c r="D23" s="126">
        <v>4</v>
      </c>
      <c r="F23" s="126" t="s">
        <v>791</v>
      </c>
      <c r="G23" s="168" t="s">
        <v>860</v>
      </c>
      <c r="H23" s="162">
        <v>46175</v>
      </c>
      <c r="I23" s="126">
        <v>1</v>
      </c>
      <c r="J23" s="141" t="s">
        <v>628</v>
      </c>
      <c r="K23" s="159" t="s">
        <v>629</v>
      </c>
      <c r="L23" s="126">
        <v>5</v>
      </c>
      <c r="M23" s="126">
        <v>0</v>
      </c>
      <c r="N23" s="159" t="s">
        <v>619</v>
      </c>
      <c r="O23" s="126">
        <v>1</v>
      </c>
      <c r="S23" s="206">
        <v>2</v>
      </c>
      <c r="T23" s="206">
        <v>3</v>
      </c>
      <c r="U23" s="206">
        <v>15</v>
      </c>
      <c r="Y23" s="126">
        <v>1</v>
      </c>
      <c r="Z23" s="126">
        <v>6</v>
      </c>
      <c r="AA23" s="126">
        <v>2026</v>
      </c>
      <c r="AB23" s="339">
        <v>1</v>
      </c>
      <c r="AD23" s="348"/>
    </row>
    <row r="24" spans="3:30" ht="21.95" customHeight="1">
      <c r="C24" s="348">
        <v>17</v>
      </c>
      <c r="D24" s="126">
        <v>4</v>
      </c>
      <c r="F24" s="126" t="s">
        <v>791</v>
      </c>
      <c r="G24" s="168" t="s">
        <v>860</v>
      </c>
      <c r="H24" s="162">
        <v>46175</v>
      </c>
      <c r="I24" s="126">
        <v>1</v>
      </c>
      <c r="J24" s="141" t="s">
        <v>633</v>
      </c>
      <c r="K24" s="159" t="s">
        <v>634</v>
      </c>
      <c r="L24" s="126">
        <v>2</v>
      </c>
      <c r="M24" s="126">
        <v>0</v>
      </c>
      <c r="N24" s="159" t="s">
        <v>546</v>
      </c>
      <c r="O24" s="126">
        <v>12</v>
      </c>
      <c r="S24" s="206">
        <v>0.27</v>
      </c>
      <c r="T24" s="206">
        <v>0.38</v>
      </c>
      <c r="U24" s="206">
        <v>0.76</v>
      </c>
      <c r="Y24" s="126">
        <v>1</v>
      </c>
      <c r="Z24" s="126">
        <v>6</v>
      </c>
      <c r="AA24" s="126">
        <v>2026</v>
      </c>
      <c r="AB24" s="339">
        <v>1</v>
      </c>
      <c r="AD24" s="348"/>
    </row>
    <row r="25" spans="3:30" ht="21.95" customHeight="1">
      <c r="C25" s="361">
        <v>18</v>
      </c>
      <c r="D25" s="126">
        <v>4</v>
      </c>
      <c r="F25" s="126" t="s">
        <v>791</v>
      </c>
      <c r="G25" s="168" t="s">
        <v>860</v>
      </c>
      <c r="H25" s="162">
        <v>46175</v>
      </c>
      <c r="I25" s="126">
        <v>1</v>
      </c>
      <c r="J25" s="141" t="s">
        <v>638</v>
      </c>
      <c r="K25" s="159" t="s">
        <v>639</v>
      </c>
      <c r="L25" s="126">
        <v>2</v>
      </c>
      <c r="M25" s="126">
        <v>0</v>
      </c>
      <c r="N25" s="159" t="s">
        <v>546</v>
      </c>
      <c r="O25" s="126">
        <v>12</v>
      </c>
      <c r="S25" s="206">
        <v>0.3</v>
      </c>
      <c r="T25" s="206">
        <v>1.37</v>
      </c>
      <c r="U25" s="206">
        <v>2.74</v>
      </c>
      <c r="Y25" s="126">
        <v>1</v>
      </c>
      <c r="Z25" s="126">
        <v>6</v>
      </c>
      <c r="AA25" s="126">
        <v>2026</v>
      </c>
      <c r="AB25" s="339">
        <v>1</v>
      </c>
      <c r="AD25" s="348"/>
    </row>
    <row r="26" spans="3:30" ht="21.95" customHeight="1">
      <c r="C26" s="348">
        <v>19</v>
      </c>
      <c r="D26" s="126">
        <v>4</v>
      </c>
      <c r="F26" s="126" t="s">
        <v>791</v>
      </c>
      <c r="G26" s="168" t="s">
        <v>860</v>
      </c>
      <c r="H26" s="162">
        <v>46175</v>
      </c>
      <c r="I26" s="126">
        <v>1</v>
      </c>
      <c r="J26" s="141" t="s">
        <v>643</v>
      </c>
      <c r="K26" s="159" t="s">
        <v>644</v>
      </c>
      <c r="L26" s="126">
        <v>1</v>
      </c>
      <c r="M26" s="126">
        <v>0</v>
      </c>
      <c r="N26" s="159" t="s">
        <v>546</v>
      </c>
      <c r="O26" s="126">
        <v>1</v>
      </c>
      <c r="S26" s="206">
        <v>2.9</v>
      </c>
      <c r="T26" s="206">
        <v>3.25</v>
      </c>
      <c r="U26" s="206">
        <v>3.25</v>
      </c>
      <c r="Y26" s="126">
        <v>1</v>
      </c>
      <c r="Z26" s="126">
        <v>6</v>
      </c>
      <c r="AA26" s="126">
        <v>2026</v>
      </c>
      <c r="AB26" s="339">
        <v>1</v>
      </c>
      <c r="AD26" s="348"/>
    </row>
    <row r="27" spans="3:30" ht="21.95" customHeight="1">
      <c r="C27" s="348">
        <v>20</v>
      </c>
      <c r="D27" s="126">
        <v>4</v>
      </c>
      <c r="F27" s="126" t="s">
        <v>791</v>
      </c>
      <c r="G27" s="168" t="s">
        <v>860</v>
      </c>
      <c r="H27" s="162">
        <v>46175</v>
      </c>
      <c r="I27" s="126">
        <v>1</v>
      </c>
      <c r="J27" s="141" t="s">
        <v>648</v>
      </c>
      <c r="K27" s="159" t="s">
        <v>649</v>
      </c>
      <c r="L27" s="126">
        <v>10</v>
      </c>
      <c r="M27" s="126">
        <v>0</v>
      </c>
      <c r="N27" s="159" t="s">
        <v>546</v>
      </c>
      <c r="O27" s="126">
        <v>1</v>
      </c>
      <c r="S27" s="206">
        <v>0.15</v>
      </c>
      <c r="T27" s="206">
        <v>0.3</v>
      </c>
      <c r="U27" s="206">
        <v>3</v>
      </c>
      <c r="Y27" s="126">
        <v>1</v>
      </c>
      <c r="Z27" s="126">
        <v>6</v>
      </c>
      <c r="AA27" s="126">
        <v>2026</v>
      </c>
      <c r="AB27" s="339">
        <v>1</v>
      </c>
      <c r="AD27" s="348"/>
    </row>
    <row r="28" spans="3:30" ht="21.95" customHeight="1">
      <c r="C28" s="348">
        <v>21</v>
      </c>
      <c r="D28" s="126">
        <v>4</v>
      </c>
      <c r="F28" s="126" t="s">
        <v>791</v>
      </c>
      <c r="G28" s="168" t="s">
        <v>860</v>
      </c>
      <c r="H28" s="162">
        <v>46175</v>
      </c>
      <c r="I28" s="126">
        <v>1</v>
      </c>
      <c r="J28" s="141" t="s">
        <v>653</v>
      </c>
      <c r="K28" s="159" t="s">
        <v>654</v>
      </c>
      <c r="L28" s="126">
        <v>1</v>
      </c>
      <c r="M28" s="126">
        <v>0</v>
      </c>
      <c r="N28" s="159" t="s">
        <v>573</v>
      </c>
      <c r="O28" s="126">
        <v>1</v>
      </c>
      <c r="S28" s="206">
        <v>8.36</v>
      </c>
      <c r="T28" s="206">
        <v>8.75</v>
      </c>
      <c r="U28" s="206">
        <v>8.75</v>
      </c>
      <c r="Y28" s="126">
        <v>1</v>
      </c>
      <c r="Z28" s="126">
        <v>6</v>
      </c>
      <c r="AA28" s="126">
        <v>2026</v>
      </c>
      <c r="AB28" s="339">
        <v>1</v>
      </c>
      <c r="AD28" s="348"/>
    </row>
    <row r="29" spans="3:30" ht="21.95" customHeight="1">
      <c r="C29" s="348">
        <v>22</v>
      </c>
      <c r="D29" s="126">
        <v>5</v>
      </c>
      <c r="F29" s="126" t="s">
        <v>791</v>
      </c>
      <c r="G29" s="168" t="s">
        <v>861</v>
      </c>
      <c r="H29" s="162">
        <v>46175</v>
      </c>
      <c r="I29" s="126">
        <v>1</v>
      </c>
      <c r="J29" s="141" t="s">
        <v>577</v>
      </c>
      <c r="K29" s="159" t="s">
        <v>578</v>
      </c>
      <c r="L29" s="126">
        <v>3</v>
      </c>
      <c r="M29" s="126">
        <v>0</v>
      </c>
      <c r="N29" s="159" t="s">
        <v>573</v>
      </c>
      <c r="O29" s="126">
        <v>1</v>
      </c>
      <c r="S29" s="206">
        <v>3.37</v>
      </c>
      <c r="T29" s="206">
        <v>3.5</v>
      </c>
      <c r="U29" s="206">
        <v>10.5</v>
      </c>
      <c r="Y29" s="126">
        <v>1</v>
      </c>
      <c r="Z29" s="126">
        <v>6</v>
      </c>
      <c r="AA29" s="126">
        <v>2026</v>
      </c>
      <c r="AB29" s="339">
        <v>1</v>
      </c>
    </row>
    <row r="30" spans="3:30" ht="21.95" customHeight="1">
      <c r="C30" s="348">
        <v>23</v>
      </c>
      <c r="D30" s="126">
        <v>5</v>
      </c>
      <c r="F30" s="126" t="s">
        <v>791</v>
      </c>
      <c r="G30" s="168" t="s">
        <v>861</v>
      </c>
      <c r="H30" s="162">
        <v>46175</v>
      </c>
      <c r="I30" s="126">
        <v>1</v>
      </c>
      <c r="J30" s="141" t="s">
        <v>663</v>
      </c>
      <c r="K30" s="159" t="s">
        <v>664</v>
      </c>
      <c r="L30" s="126">
        <v>1</v>
      </c>
      <c r="M30" s="126">
        <v>0</v>
      </c>
      <c r="N30" s="159" t="s">
        <v>546</v>
      </c>
      <c r="O30" s="126">
        <v>1</v>
      </c>
      <c r="S30" s="206">
        <v>1.63</v>
      </c>
      <c r="T30" s="206">
        <v>2.25</v>
      </c>
      <c r="U30" s="206">
        <v>2.25</v>
      </c>
      <c r="Y30" s="126">
        <v>1</v>
      </c>
      <c r="Z30" s="126">
        <v>6</v>
      </c>
      <c r="AA30" s="126">
        <v>2026</v>
      </c>
      <c r="AB30" s="339">
        <v>1</v>
      </c>
    </row>
    <row r="31" spans="3:30" ht="21.95" customHeight="1">
      <c r="C31" s="348">
        <v>24</v>
      </c>
      <c r="D31" s="126">
        <v>5</v>
      </c>
      <c r="F31" s="126" t="s">
        <v>791</v>
      </c>
      <c r="G31" s="168" t="s">
        <v>861</v>
      </c>
      <c r="H31" s="162">
        <v>46175</v>
      </c>
      <c r="I31" s="126">
        <v>1</v>
      </c>
      <c r="J31" s="141" t="s">
        <v>668</v>
      </c>
      <c r="K31" s="159" t="s">
        <v>669</v>
      </c>
      <c r="L31" s="126">
        <v>1</v>
      </c>
      <c r="M31" s="126">
        <v>0</v>
      </c>
      <c r="N31" s="159" t="s">
        <v>670</v>
      </c>
      <c r="O31" s="126">
        <v>4</v>
      </c>
      <c r="S31" s="206">
        <v>14.5</v>
      </c>
      <c r="T31" s="206">
        <v>15</v>
      </c>
      <c r="U31" s="206">
        <v>15</v>
      </c>
      <c r="Y31" s="126">
        <v>1</v>
      </c>
      <c r="Z31" s="126">
        <v>6</v>
      </c>
      <c r="AA31" s="126">
        <v>2026</v>
      </c>
      <c r="AB31" s="339">
        <v>1</v>
      </c>
    </row>
    <row r="32" spans="3:30" ht="21.95" customHeight="1">
      <c r="C32" s="348">
        <v>25</v>
      </c>
      <c r="D32" s="126">
        <v>6</v>
      </c>
      <c r="F32" s="126" t="s">
        <v>792</v>
      </c>
      <c r="G32" s="168" t="s">
        <v>862</v>
      </c>
      <c r="H32" s="162">
        <v>46176</v>
      </c>
      <c r="I32" s="126">
        <v>1</v>
      </c>
      <c r="J32" s="141" t="s">
        <v>749</v>
      </c>
      <c r="K32" s="159" t="s">
        <v>750</v>
      </c>
      <c r="L32" s="126">
        <v>10</v>
      </c>
      <c r="M32" s="126">
        <v>0</v>
      </c>
      <c r="N32" s="159" t="s">
        <v>795</v>
      </c>
      <c r="O32" s="126">
        <v>20</v>
      </c>
      <c r="S32" s="206">
        <v>4.25</v>
      </c>
      <c r="T32" s="206">
        <v>4.5</v>
      </c>
      <c r="U32" s="206">
        <v>45</v>
      </c>
      <c r="Y32" s="126">
        <v>1</v>
      </c>
      <c r="Z32" s="126">
        <v>6</v>
      </c>
      <c r="AA32" s="126">
        <v>2026</v>
      </c>
      <c r="AB32" s="339">
        <v>1</v>
      </c>
    </row>
    <row r="33" spans="3:29" ht="21.95" customHeight="1">
      <c r="C33" s="348">
        <v>26</v>
      </c>
      <c r="D33" s="126">
        <v>6</v>
      </c>
      <c r="F33" s="126" t="s">
        <v>792</v>
      </c>
      <c r="G33" s="168" t="s">
        <v>862</v>
      </c>
      <c r="H33" s="162">
        <v>46176</v>
      </c>
      <c r="I33" s="126">
        <v>1</v>
      </c>
      <c r="J33" s="141" t="s">
        <v>799</v>
      </c>
      <c r="K33" s="159" t="s">
        <v>800</v>
      </c>
      <c r="L33" s="126">
        <v>1</v>
      </c>
      <c r="M33" s="126">
        <v>0</v>
      </c>
      <c r="N33" s="159" t="s">
        <v>546</v>
      </c>
      <c r="O33" s="126">
        <v>12</v>
      </c>
      <c r="S33" s="206">
        <v>0.34</v>
      </c>
      <c r="T33" s="206">
        <v>0.88</v>
      </c>
      <c r="U33" s="206">
        <v>0.88</v>
      </c>
      <c r="Y33" s="126">
        <v>1</v>
      </c>
      <c r="Z33" s="126">
        <v>6</v>
      </c>
      <c r="AA33" s="126">
        <v>2026</v>
      </c>
      <c r="AB33" s="339">
        <v>1</v>
      </c>
    </row>
    <row r="34" spans="3:29" ht="21.95" customHeight="1">
      <c r="C34" s="348">
        <v>27</v>
      </c>
      <c r="D34" s="126">
        <v>6</v>
      </c>
      <c r="F34" s="126" t="s">
        <v>792</v>
      </c>
      <c r="G34" s="168" t="s">
        <v>862</v>
      </c>
      <c r="H34" s="162">
        <v>46176</v>
      </c>
      <c r="I34" s="126">
        <v>1</v>
      </c>
      <c r="J34" s="141" t="s">
        <v>804</v>
      </c>
      <c r="K34" s="159" t="s">
        <v>805</v>
      </c>
      <c r="L34" s="126">
        <v>4</v>
      </c>
      <c r="M34" s="126">
        <v>0</v>
      </c>
      <c r="N34" s="159" t="s">
        <v>546</v>
      </c>
      <c r="O34" s="126">
        <v>1</v>
      </c>
      <c r="S34" s="206">
        <v>0.12</v>
      </c>
      <c r="T34" s="206">
        <v>0.25</v>
      </c>
      <c r="U34" s="206">
        <v>1</v>
      </c>
      <c r="W34" s="162"/>
      <c r="Y34" s="126">
        <v>1</v>
      </c>
      <c r="Z34" s="126">
        <v>6</v>
      </c>
      <c r="AA34" s="126">
        <v>2026</v>
      </c>
      <c r="AB34" s="339">
        <v>1</v>
      </c>
    </row>
    <row r="35" spans="3:29" ht="21.95" customHeight="1">
      <c r="C35" s="348">
        <v>28</v>
      </c>
      <c r="D35" s="126">
        <v>6</v>
      </c>
      <c r="F35" s="126" t="s">
        <v>792</v>
      </c>
      <c r="G35" s="168" t="s">
        <v>862</v>
      </c>
      <c r="H35" s="162">
        <v>46176</v>
      </c>
      <c r="I35" s="126">
        <v>1</v>
      </c>
      <c r="J35" s="141" t="s">
        <v>809</v>
      </c>
      <c r="K35" s="159" t="s">
        <v>810</v>
      </c>
      <c r="L35" s="126">
        <v>2</v>
      </c>
      <c r="M35" s="126">
        <v>0</v>
      </c>
      <c r="N35" s="159" t="s">
        <v>546</v>
      </c>
      <c r="O35" s="126">
        <v>1</v>
      </c>
      <c r="S35" s="206">
        <v>0.53</v>
      </c>
      <c r="T35" s="206">
        <v>0.75</v>
      </c>
      <c r="U35" s="206">
        <v>1.5</v>
      </c>
      <c r="W35" s="162"/>
      <c r="Y35" s="126">
        <v>1</v>
      </c>
      <c r="Z35" s="126">
        <v>6</v>
      </c>
      <c r="AA35" s="126">
        <v>2026</v>
      </c>
      <c r="AB35" s="339">
        <v>1</v>
      </c>
    </row>
    <row r="36" spans="3:29" ht="21.95" customHeight="1">
      <c r="C36" s="126">
        <v>29</v>
      </c>
      <c r="D36" s="126">
        <v>6</v>
      </c>
      <c r="F36" s="126" t="s">
        <v>792</v>
      </c>
      <c r="G36" s="168" t="s">
        <v>862</v>
      </c>
      <c r="H36" s="162">
        <v>46176</v>
      </c>
      <c r="I36" s="126">
        <v>1</v>
      </c>
      <c r="J36" s="141" t="s">
        <v>814</v>
      </c>
      <c r="K36" s="159" t="s">
        <v>815</v>
      </c>
      <c r="L36" s="126">
        <v>1</v>
      </c>
      <c r="M36" s="126">
        <v>0</v>
      </c>
      <c r="N36" s="159" t="s">
        <v>546</v>
      </c>
      <c r="O36" s="126">
        <v>1</v>
      </c>
      <c r="S36" s="206">
        <v>0.28000000000000003</v>
      </c>
      <c r="T36" s="206">
        <v>0.38</v>
      </c>
      <c r="U36" s="206">
        <v>0.38</v>
      </c>
      <c r="W36" s="162"/>
      <c r="Y36" s="126">
        <v>1</v>
      </c>
      <c r="Z36" s="126">
        <v>6</v>
      </c>
      <c r="AA36" s="126">
        <v>2026</v>
      </c>
      <c r="AB36" s="339">
        <v>1</v>
      </c>
    </row>
    <row r="37" spans="3:29" ht="21.95" customHeight="1">
      <c r="C37" s="126">
        <v>30</v>
      </c>
      <c r="D37" s="126">
        <v>6</v>
      </c>
      <c r="F37" s="126" t="s">
        <v>792</v>
      </c>
      <c r="G37" s="168" t="s">
        <v>862</v>
      </c>
      <c r="H37" s="162">
        <v>46176</v>
      </c>
      <c r="I37" s="126">
        <v>1</v>
      </c>
      <c r="J37" s="141" t="s">
        <v>819</v>
      </c>
      <c r="K37" s="159" t="s">
        <v>820</v>
      </c>
      <c r="L37" s="126">
        <v>1</v>
      </c>
      <c r="M37" s="126">
        <v>0</v>
      </c>
      <c r="N37" s="159" t="s">
        <v>546</v>
      </c>
      <c r="O37" s="126">
        <v>1</v>
      </c>
      <c r="S37" s="206">
        <v>1.79</v>
      </c>
      <c r="T37" s="206">
        <v>2.5</v>
      </c>
      <c r="U37" s="206">
        <v>2.5</v>
      </c>
      <c r="W37" s="162"/>
      <c r="Y37" s="126">
        <v>1</v>
      </c>
      <c r="Z37" s="126">
        <v>6</v>
      </c>
      <c r="AA37" s="126">
        <v>2026</v>
      </c>
      <c r="AB37" s="339">
        <v>1</v>
      </c>
    </row>
    <row r="38" spans="3:29" ht="21.95" customHeight="1">
      <c r="C38" s="126">
        <v>31</v>
      </c>
      <c r="D38" s="126">
        <v>6</v>
      </c>
      <c r="F38" s="126" t="s">
        <v>792</v>
      </c>
      <c r="G38" s="168" t="s">
        <v>862</v>
      </c>
      <c r="H38" s="162">
        <v>46176</v>
      </c>
      <c r="I38" s="126">
        <v>1</v>
      </c>
      <c r="J38" s="141" t="s">
        <v>824</v>
      </c>
      <c r="K38" s="159" t="s">
        <v>825</v>
      </c>
      <c r="L38" s="126">
        <v>2</v>
      </c>
      <c r="M38" s="126">
        <v>0</v>
      </c>
      <c r="N38" s="159" t="s">
        <v>546</v>
      </c>
      <c r="O38" s="126">
        <v>12</v>
      </c>
      <c r="S38" s="206">
        <v>0.28999999999999998</v>
      </c>
      <c r="T38" s="206">
        <v>0.5</v>
      </c>
      <c r="U38" s="206">
        <v>1</v>
      </c>
      <c r="W38" s="162"/>
      <c r="Y38" s="126">
        <v>1</v>
      </c>
      <c r="Z38" s="126">
        <v>6</v>
      </c>
      <c r="AA38" s="126">
        <v>2026</v>
      </c>
      <c r="AB38" s="339">
        <v>1</v>
      </c>
    </row>
    <row r="39" spans="3:29" ht="21.95" customHeight="1">
      <c r="C39" s="126">
        <v>32</v>
      </c>
      <c r="D39" s="126">
        <v>7</v>
      </c>
      <c r="F39" s="126" t="s">
        <v>792</v>
      </c>
      <c r="G39" s="168" t="s">
        <v>863</v>
      </c>
      <c r="H39" s="162">
        <v>46176</v>
      </c>
      <c r="I39" s="126">
        <v>1</v>
      </c>
      <c r="J39" s="141" t="s">
        <v>746</v>
      </c>
      <c r="K39" s="159" t="s">
        <v>747</v>
      </c>
      <c r="L39" s="126">
        <v>4</v>
      </c>
      <c r="M39" s="126">
        <v>0</v>
      </c>
      <c r="N39" s="159" t="s">
        <v>670</v>
      </c>
      <c r="O39" s="126">
        <v>4</v>
      </c>
      <c r="S39" s="206">
        <v>12.75</v>
      </c>
      <c r="T39" s="206">
        <v>13</v>
      </c>
      <c r="U39" s="206">
        <v>52</v>
      </c>
      <c r="W39" s="162"/>
      <c r="Y39" s="126">
        <v>1</v>
      </c>
      <c r="Z39" s="126">
        <v>6</v>
      </c>
      <c r="AA39" s="126">
        <v>2026</v>
      </c>
      <c r="AB39" s="339">
        <v>1</v>
      </c>
    </row>
    <row r="40" spans="3:29" ht="21.95" customHeight="1">
      <c r="C40" s="126">
        <v>33</v>
      </c>
      <c r="D40" s="126">
        <v>8</v>
      </c>
      <c r="F40" s="126" t="s">
        <v>834</v>
      </c>
      <c r="G40" s="168" t="s">
        <v>864</v>
      </c>
      <c r="H40" s="162">
        <v>46177</v>
      </c>
      <c r="I40" s="126">
        <v>1</v>
      </c>
      <c r="J40" s="141" t="s">
        <v>753</v>
      </c>
      <c r="K40" s="159" t="s">
        <v>754</v>
      </c>
      <c r="L40" s="126">
        <v>5</v>
      </c>
      <c r="M40" s="126">
        <v>0</v>
      </c>
      <c r="N40" s="159" t="s">
        <v>795</v>
      </c>
      <c r="O40" s="126">
        <v>20</v>
      </c>
      <c r="S40" s="206">
        <v>4.1500000000000004</v>
      </c>
      <c r="T40" s="206">
        <v>4.75</v>
      </c>
      <c r="U40" s="206">
        <v>23.75</v>
      </c>
      <c r="W40" s="162"/>
      <c r="Y40" s="126">
        <v>1</v>
      </c>
      <c r="Z40" s="126">
        <v>6</v>
      </c>
      <c r="AA40" s="126">
        <v>2026</v>
      </c>
      <c r="AB40" s="339">
        <v>1</v>
      </c>
    </row>
    <row r="41" spans="3:29" ht="21.95" customHeight="1">
      <c r="C41" s="126">
        <v>34</v>
      </c>
      <c r="D41" s="126">
        <v>8</v>
      </c>
      <c r="F41" s="126" t="s">
        <v>834</v>
      </c>
      <c r="G41" s="168" t="s">
        <v>864</v>
      </c>
      <c r="H41" s="162">
        <v>46177</v>
      </c>
      <c r="I41" s="126">
        <v>1</v>
      </c>
      <c r="J41" s="141" t="s">
        <v>565</v>
      </c>
      <c r="K41" s="159" t="s">
        <v>566</v>
      </c>
      <c r="L41" s="126">
        <v>5</v>
      </c>
      <c r="M41" s="126">
        <v>0</v>
      </c>
      <c r="N41" s="159" t="s">
        <v>795</v>
      </c>
      <c r="O41" s="126">
        <v>20</v>
      </c>
      <c r="S41" s="206">
        <v>4.75</v>
      </c>
      <c r="T41" s="206">
        <v>5</v>
      </c>
      <c r="U41" s="206">
        <v>25</v>
      </c>
      <c r="W41" s="162"/>
      <c r="Y41" s="126">
        <v>1</v>
      </c>
      <c r="Z41" s="126">
        <v>6</v>
      </c>
      <c r="AA41" s="126">
        <v>2026</v>
      </c>
      <c r="AB41" s="339">
        <v>1</v>
      </c>
    </row>
    <row r="42" spans="3:29" ht="21.95" customHeight="1">
      <c r="C42" s="126">
        <v>35</v>
      </c>
      <c r="D42" s="126">
        <v>8</v>
      </c>
      <c r="F42" s="126" t="s">
        <v>834</v>
      </c>
      <c r="G42" s="168" t="s">
        <v>864</v>
      </c>
      <c r="H42" s="162">
        <v>46177</v>
      </c>
      <c r="I42" s="126">
        <v>1</v>
      </c>
      <c r="J42" s="141" t="s">
        <v>691</v>
      </c>
      <c r="K42" s="159" t="s">
        <v>692</v>
      </c>
      <c r="L42" s="126">
        <v>2</v>
      </c>
      <c r="M42" s="126">
        <v>0</v>
      </c>
      <c r="N42" s="159" t="s">
        <v>546</v>
      </c>
      <c r="O42" s="126">
        <v>1</v>
      </c>
      <c r="S42" s="206">
        <v>9.52</v>
      </c>
      <c r="T42" s="206">
        <v>10</v>
      </c>
      <c r="U42" s="206">
        <v>20</v>
      </c>
      <c r="W42" s="162"/>
      <c r="Y42" s="126">
        <v>1</v>
      </c>
      <c r="Z42" s="126">
        <v>6</v>
      </c>
      <c r="AA42" s="126">
        <v>2026</v>
      </c>
      <c r="AB42" s="339">
        <v>1</v>
      </c>
    </row>
    <row r="43" spans="3:29" ht="21.95" customHeight="1">
      <c r="C43" s="126">
        <v>36</v>
      </c>
      <c r="D43" s="126">
        <v>8</v>
      </c>
      <c r="F43" s="126" t="s">
        <v>834</v>
      </c>
      <c r="G43" s="168" t="s">
        <v>864</v>
      </c>
      <c r="H43" s="162">
        <v>46177</v>
      </c>
      <c r="I43" s="126">
        <v>1</v>
      </c>
      <c r="J43" s="141" t="s">
        <v>704</v>
      </c>
      <c r="K43" s="159" t="s">
        <v>705</v>
      </c>
      <c r="L43" s="126">
        <v>10</v>
      </c>
      <c r="M43" s="126">
        <v>0</v>
      </c>
      <c r="N43" s="159" t="s">
        <v>546</v>
      </c>
      <c r="O43" s="126">
        <v>1</v>
      </c>
      <c r="S43" s="206">
        <v>1.35</v>
      </c>
      <c r="T43" s="206">
        <v>2.5</v>
      </c>
      <c r="U43" s="206">
        <v>25</v>
      </c>
      <c r="W43" s="162"/>
      <c r="Y43" s="126">
        <v>1</v>
      </c>
      <c r="Z43" s="126">
        <v>6</v>
      </c>
      <c r="AA43" s="126">
        <v>2026</v>
      </c>
      <c r="AB43" s="339">
        <v>1</v>
      </c>
    </row>
    <row r="44" spans="3:29" ht="21.95" customHeight="1">
      <c r="C44" s="126">
        <v>37</v>
      </c>
      <c r="D44" s="126">
        <v>9</v>
      </c>
      <c r="F44" s="126" t="s">
        <v>834</v>
      </c>
      <c r="G44" s="168" t="s">
        <v>865</v>
      </c>
      <c r="H44" s="162">
        <v>46177</v>
      </c>
      <c r="I44" s="126">
        <v>1</v>
      </c>
      <c r="J44" s="141" t="s">
        <v>609</v>
      </c>
      <c r="K44" s="159" t="s">
        <v>610</v>
      </c>
      <c r="L44" s="126">
        <v>2</v>
      </c>
      <c r="M44" s="126">
        <v>0</v>
      </c>
      <c r="N44" s="159" t="s">
        <v>573</v>
      </c>
      <c r="O44" s="126">
        <v>1</v>
      </c>
      <c r="S44" s="206">
        <v>6.28</v>
      </c>
      <c r="T44" s="206">
        <v>7.5</v>
      </c>
      <c r="U44" s="206">
        <v>15</v>
      </c>
      <c r="Y44" s="126">
        <v>1</v>
      </c>
      <c r="Z44" s="126">
        <v>6</v>
      </c>
      <c r="AA44" s="126">
        <v>2026</v>
      </c>
      <c r="AB44" s="339">
        <v>1</v>
      </c>
    </row>
    <row r="45" spans="3:29" ht="21.95" customHeight="1">
      <c r="C45" s="126">
        <v>38</v>
      </c>
      <c r="D45" s="126">
        <v>9</v>
      </c>
      <c r="F45" s="126" t="s">
        <v>834</v>
      </c>
      <c r="G45" s="168" t="s">
        <v>865</v>
      </c>
      <c r="H45" s="162">
        <v>46177</v>
      </c>
      <c r="I45" s="126">
        <v>1</v>
      </c>
      <c r="J45" s="141" t="s">
        <v>691</v>
      </c>
      <c r="K45" s="159" t="s">
        <v>692</v>
      </c>
      <c r="L45" s="126">
        <v>4</v>
      </c>
      <c r="M45" s="126">
        <v>0</v>
      </c>
      <c r="N45" s="159" t="s">
        <v>546</v>
      </c>
      <c r="O45" s="126">
        <v>1</v>
      </c>
      <c r="S45" s="206">
        <v>9.52</v>
      </c>
      <c r="T45" s="206">
        <v>11</v>
      </c>
      <c r="U45" s="206">
        <v>44</v>
      </c>
      <c r="Y45" s="126">
        <v>1</v>
      </c>
      <c r="Z45" s="126">
        <v>6</v>
      </c>
      <c r="AA45" s="126">
        <v>2026</v>
      </c>
      <c r="AB45" s="339">
        <v>1</v>
      </c>
    </row>
    <row r="46" spans="3:29" ht="21.95" customHeight="1">
      <c r="C46" s="126">
        <v>39</v>
      </c>
      <c r="D46" s="126">
        <v>10</v>
      </c>
      <c r="F46" s="126" t="s">
        <v>834</v>
      </c>
      <c r="G46" s="168" t="s">
        <v>866</v>
      </c>
      <c r="H46" s="162">
        <v>46177</v>
      </c>
      <c r="I46" s="126">
        <v>1</v>
      </c>
      <c r="J46" s="141" t="s">
        <v>723</v>
      </c>
      <c r="K46" s="159" t="s">
        <v>724</v>
      </c>
      <c r="L46" s="126">
        <v>1</v>
      </c>
      <c r="M46" s="126">
        <v>0</v>
      </c>
      <c r="N46" s="159" t="s">
        <v>869</v>
      </c>
      <c r="O46" s="126">
        <v>24</v>
      </c>
      <c r="S46" s="206">
        <v>4.5</v>
      </c>
      <c r="T46" s="206">
        <v>5</v>
      </c>
      <c r="U46" s="206">
        <v>5</v>
      </c>
      <c r="Y46" s="126">
        <v>1</v>
      </c>
      <c r="Z46" s="126">
        <v>6</v>
      </c>
      <c r="AA46" s="126">
        <v>2026</v>
      </c>
      <c r="AB46" s="339">
        <v>1</v>
      </c>
    </row>
    <row r="47" spans="3:29" ht="21.95" customHeight="1">
      <c r="C47" s="126">
        <v>40</v>
      </c>
      <c r="D47" s="126">
        <v>10</v>
      </c>
      <c r="F47" s="126" t="s">
        <v>834</v>
      </c>
      <c r="G47" s="168" t="s">
        <v>866</v>
      </c>
      <c r="H47" s="162">
        <v>46177</v>
      </c>
      <c r="I47" s="126">
        <v>1</v>
      </c>
      <c r="J47" s="141" t="s">
        <v>773</v>
      </c>
      <c r="K47" s="159" t="s">
        <v>774</v>
      </c>
      <c r="L47" s="126">
        <v>6</v>
      </c>
      <c r="M47" s="126">
        <v>0</v>
      </c>
      <c r="N47" s="159" t="s">
        <v>619</v>
      </c>
      <c r="O47" s="126">
        <v>1</v>
      </c>
      <c r="S47" s="206">
        <v>8</v>
      </c>
      <c r="T47" s="206">
        <v>8.5500000000000007</v>
      </c>
      <c r="U47" s="206">
        <v>51.3</v>
      </c>
      <c r="Y47" s="126">
        <v>1</v>
      </c>
      <c r="Z47" s="126">
        <v>6</v>
      </c>
      <c r="AA47" s="126">
        <v>2026</v>
      </c>
      <c r="AB47" s="339">
        <v>1</v>
      </c>
    </row>
    <row r="48" spans="3:29" s="370" customFormat="1" ht="21.95" customHeight="1">
      <c r="C48" s="363">
        <v>41</v>
      </c>
      <c r="D48" s="363">
        <v>11</v>
      </c>
      <c r="E48" s="363"/>
      <c r="F48" s="363" t="s">
        <v>849</v>
      </c>
      <c r="G48" s="364" t="s">
        <v>867</v>
      </c>
      <c r="H48" s="365">
        <v>46178</v>
      </c>
      <c r="I48" s="363">
        <v>1</v>
      </c>
      <c r="J48" s="366" t="s">
        <v>749</v>
      </c>
      <c r="K48" s="367" t="s">
        <v>750</v>
      </c>
      <c r="L48" s="363">
        <v>10</v>
      </c>
      <c r="M48" s="363">
        <v>0</v>
      </c>
      <c r="N48" s="367" t="s">
        <v>795</v>
      </c>
      <c r="O48" s="363">
        <v>20</v>
      </c>
      <c r="P48" s="363"/>
      <c r="Q48" s="363"/>
      <c r="R48" s="363"/>
      <c r="S48" s="368">
        <v>4.25</v>
      </c>
      <c r="T48" s="368">
        <v>4.75</v>
      </c>
      <c r="U48" s="368">
        <v>47.5</v>
      </c>
      <c r="V48" s="363"/>
      <c r="W48" s="363"/>
      <c r="X48" s="363"/>
      <c r="Y48" s="363">
        <v>1</v>
      </c>
      <c r="Z48" s="363">
        <v>6</v>
      </c>
      <c r="AA48" s="363">
        <v>2026</v>
      </c>
      <c r="AB48" s="369">
        <v>1</v>
      </c>
      <c r="AC48" s="369"/>
    </row>
    <row r="49" spans="3:29" ht="21.95" customHeight="1">
      <c r="C49" s="126">
        <v>42</v>
      </c>
      <c r="D49" s="126">
        <v>12</v>
      </c>
      <c r="F49" s="126" t="s">
        <v>849</v>
      </c>
      <c r="G49" s="168" t="s">
        <v>876</v>
      </c>
      <c r="H49" s="162">
        <v>46178</v>
      </c>
      <c r="I49" s="126">
        <v>1</v>
      </c>
      <c r="J49" s="141" t="s">
        <v>884</v>
      </c>
      <c r="K49" s="159" t="s">
        <v>885</v>
      </c>
      <c r="L49" s="126">
        <v>1</v>
      </c>
      <c r="M49" s="126">
        <v>0</v>
      </c>
      <c r="N49" s="159" t="s">
        <v>546</v>
      </c>
      <c r="O49" s="126">
        <v>20</v>
      </c>
      <c r="S49" s="206">
        <v>0.24</v>
      </c>
      <c r="T49" s="206">
        <v>0.74</v>
      </c>
      <c r="U49" s="206">
        <v>0.74</v>
      </c>
      <c r="Y49" s="126">
        <v>1</v>
      </c>
      <c r="Z49" s="126">
        <v>6</v>
      </c>
      <c r="AA49" s="126">
        <v>2026</v>
      </c>
      <c r="AB49" s="339">
        <v>1</v>
      </c>
    </row>
    <row r="50" spans="3:29" ht="21.95" customHeight="1">
      <c r="C50" s="126">
        <v>43</v>
      </c>
      <c r="D50" s="126">
        <v>12</v>
      </c>
      <c r="F50" s="126" t="s">
        <v>849</v>
      </c>
      <c r="G50" s="168" t="s">
        <v>876</v>
      </c>
      <c r="H50" s="162">
        <v>46178</v>
      </c>
      <c r="I50" s="126">
        <v>1</v>
      </c>
      <c r="J50" s="141" t="s">
        <v>697</v>
      </c>
      <c r="K50" s="159" t="s">
        <v>698</v>
      </c>
      <c r="L50" s="126">
        <v>1</v>
      </c>
      <c r="M50" s="126">
        <v>0</v>
      </c>
      <c r="N50" s="159" t="s">
        <v>546</v>
      </c>
      <c r="O50" s="126">
        <v>1</v>
      </c>
      <c r="S50" s="206">
        <v>3.3</v>
      </c>
      <c r="T50" s="206">
        <v>3.75</v>
      </c>
      <c r="U50" s="206">
        <v>3.75</v>
      </c>
      <c r="Y50" s="126">
        <v>1</v>
      </c>
      <c r="Z50" s="126">
        <v>6</v>
      </c>
      <c r="AA50" s="126">
        <v>2026</v>
      </c>
      <c r="AB50" s="339">
        <v>1</v>
      </c>
    </row>
    <row r="51" spans="3:29" ht="21.95" customHeight="1">
      <c r="C51" s="126">
        <v>44</v>
      </c>
      <c r="D51" s="126">
        <v>12</v>
      </c>
      <c r="F51" s="126" t="s">
        <v>849</v>
      </c>
      <c r="G51" s="168" t="s">
        <v>876</v>
      </c>
      <c r="H51" s="162">
        <v>46178</v>
      </c>
      <c r="I51" s="126">
        <v>1</v>
      </c>
      <c r="J51" s="141" t="s">
        <v>628</v>
      </c>
      <c r="K51" s="159" t="s">
        <v>629</v>
      </c>
      <c r="L51" s="126">
        <v>1</v>
      </c>
      <c r="M51" s="126">
        <v>0</v>
      </c>
      <c r="N51" s="159" t="s">
        <v>619</v>
      </c>
      <c r="O51" s="126">
        <v>1</v>
      </c>
      <c r="S51" s="206">
        <v>2</v>
      </c>
      <c r="T51" s="206">
        <v>2.5</v>
      </c>
      <c r="U51" s="206">
        <v>2.5</v>
      </c>
      <c r="Y51" s="126">
        <v>1</v>
      </c>
      <c r="Z51" s="126">
        <v>6</v>
      </c>
      <c r="AA51" s="126">
        <v>2026</v>
      </c>
      <c r="AB51" s="339">
        <v>1</v>
      </c>
    </row>
    <row r="52" spans="3:29" ht="21.95" customHeight="1">
      <c r="C52" s="126">
        <v>45</v>
      </c>
      <c r="D52" s="126">
        <v>12</v>
      </c>
      <c r="F52" s="126" t="s">
        <v>849</v>
      </c>
      <c r="G52" s="168" t="s">
        <v>876</v>
      </c>
      <c r="H52" s="162">
        <v>46178</v>
      </c>
      <c r="I52" s="126">
        <v>1</v>
      </c>
      <c r="J52" s="141" t="s">
        <v>739</v>
      </c>
      <c r="K52" s="159" t="s">
        <v>740</v>
      </c>
      <c r="L52" s="126">
        <v>2</v>
      </c>
      <c r="M52" s="126">
        <v>0</v>
      </c>
      <c r="N52" s="159" t="s">
        <v>670</v>
      </c>
      <c r="O52" s="126">
        <v>4</v>
      </c>
      <c r="S52" s="206">
        <v>11.75</v>
      </c>
      <c r="T52" s="206">
        <v>12</v>
      </c>
      <c r="U52" s="206">
        <v>24</v>
      </c>
      <c r="Y52" s="126">
        <v>1</v>
      </c>
      <c r="Z52" s="126">
        <v>6</v>
      </c>
      <c r="AA52" s="126">
        <v>2026</v>
      </c>
      <c r="AB52" s="339">
        <v>1</v>
      </c>
    </row>
    <row r="53" spans="3:29" ht="21.95" customHeight="1">
      <c r="C53" s="126">
        <v>46</v>
      </c>
      <c r="D53" s="126">
        <v>12</v>
      </c>
      <c r="F53" s="126" t="s">
        <v>849</v>
      </c>
      <c r="G53" s="168" t="s">
        <v>876</v>
      </c>
      <c r="H53" s="162">
        <v>46178</v>
      </c>
      <c r="I53" s="126">
        <v>1</v>
      </c>
      <c r="J53" s="141" t="s">
        <v>648</v>
      </c>
      <c r="K53" s="159" t="s">
        <v>649</v>
      </c>
      <c r="L53" s="126">
        <v>1</v>
      </c>
      <c r="M53" s="126">
        <v>0</v>
      </c>
      <c r="N53" s="159" t="s">
        <v>546</v>
      </c>
      <c r="O53" s="126">
        <v>1</v>
      </c>
      <c r="S53" s="206">
        <v>0.15</v>
      </c>
      <c r="T53" s="206">
        <v>0.38</v>
      </c>
      <c r="U53" s="206">
        <v>0.38</v>
      </c>
      <c r="Y53" s="126">
        <v>1</v>
      </c>
      <c r="Z53" s="126">
        <v>6</v>
      </c>
      <c r="AA53" s="126">
        <v>2026</v>
      </c>
      <c r="AB53" s="339">
        <v>1</v>
      </c>
    </row>
    <row r="54" spans="3:29" ht="21.95" customHeight="1">
      <c r="C54" s="126">
        <v>47</v>
      </c>
      <c r="D54" s="126">
        <v>12</v>
      </c>
      <c r="F54" s="126" t="s">
        <v>849</v>
      </c>
      <c r="G54" s="168" t="s">
        <v>876</v>
      </c>
      <c r="H54" s="162">
        <v>46178</v>
      </c>
      <c r="I54" s="126">
        <v>1</v>
      </c>
      <c r="J54" s="141" t="s">
        <v>638</v>
      </c>
      <c r="K54" s="159" t="s">
        <v>639</v>
      </c>
      <c r="L54" s="126">
        <v>2</v>
      </c>
      <c r="M54" s="126">
        <v>0</v>
      </c>
      <c r="N54" s="159" t="s">
        <v>546</v>
      </c>
      <c r="O54" s="126">
        <v>12</v>
      </c>
      <c r="S54" s="206">
        <v>0.3</v>
      </c>
      <c r="T54" s="206">
        <v>0.5</v>
      </c>
      <c r="U54" s="206">
        <v>1</v>
      </c>
      <c r="Y54" s="126">
        <v>1</v>
      </c>
      <c r="Z54" s="126">
        <v>6</v>
      </c>
      <c r="AA54" s="126">
        <v>2026</v>
      </c>
      <c r="AB54" s="339">
        <v>1</v>
      </c>
    </row>
    <row r="55" spans="3:29" ht="21.95" customHeight="1">
      <c r="C55" s="126">
        <v>48</v>
      </c>
      <c r="D55" s="126">
        <v>12</v>
      </c>
      <c r="F55" s="126" t="s">
        <v>849</v>
      </c>
      <c r="G55" s="168" t="s">
        <v>876</v>
      </c>
      <c r="H55" s="162">
        <v>46178</v>
      </c>
      <c r="I55" s="126">
        <v>1</v>
      </c>
      <c r="J55" s="141" t="s">
        <v>633</v>
      </c>
      <c r="K55" s="159" t="s">
        <v>634</v>
      </c>
      <c r="L55" s="126">
        <v>15</v>
      </c>
      <c r="M55" s="126">
        <v>0</v>
      </c>
      <c r="N55" s="159" t="s">
        <v>546</v>
      </c>
      <c r="O55" s="126">
        <v>12</v>
      </c>
      <c r="S55" s="206">
        <v>0.27</v>
      </c>
      <c r="T55" s="206">
        <v>0.38</v>
      </c>
      <c r="U55" s="206">
        <v>5.63</v>
      </c>
      <c r="Y55" s="126">
        <v>1</v>
      </c>
      <c r="Z55" s="126">
        <v>6</v>
      </c>
      <c r="AA55" s="126">
        <v>2026</v>
      </c>
      <c r="AB55" s="339">
        <v>1</v>
      </c>
    </row>
    <row r="56" spans="3:29" ht="21.95" customHeight="1">
      <c r="C56" s="126">
        <v>49</v>
      </c>
      <c r="D56" s="126">
        <v>12</v>
      </c>
      <c r="F56" s="126" t="s">
        <v>849</v>
      </c>
      <c r="G56" s="168" t="s">
        <v>876</v>
      </c>
      <c r="H56" s="162">
        <v>46178</v>
      </c>
      <c r="I56" s="126">
        <v>1</v>
      </c>
      <c r="J56" s="141" t="s">
        <v>907</v>
      </c>
      <c r="K56" s="159" t="s">
        <v>908</v>
      </c>
      <c r="L56" s="126">
        <v>1</v>
      </c>
      <c r="M56" s="126">
        <v>0</v>
      </c>
      <c r="N56" s="159" t="s">
        <v>546</v>
      </c>
      <c r="O56" s="126">
        <v>1</v>
      </c>
      <c r="S56" s="206">
        <v>0.15</v>
      </c>
      <c r="T56" s="206">
        <v>0.25</v>
      </c>
      <c r="U56" s="206">
        <v>0.25</v>
      </c>
      <c r="Y56" s="126">
        <v>1</v>
      </c>
      <c r="Z56" s="126">
        <v>6</v>
      </c>
      <c r="AA56" s="126">
        <v>2026</v>
      </c>
      <c r="AB56" s="339">
        <v>1</v>
      </c>
    </row>
    <row r="57" spans="3:29" ht="21.95" customHeight="1">
      <c r="C57" s="126">
        <v>50</v>
      </c>
      <c r="D57" s="126">
        <v>13</v>
      </c>
      <c r="F57" s="126" t="s">
        <v>849</v>
      </c>
      <c r="G57" s="168" t="s">
        <v>882</v>
      </c>
      <c r="H57" s="162">
        <v>46178</v>
      </c>
      <c r="I57" s="126">
        <v>1</v>
      </c>
      <c r="J57" s="141" t="s">
        <v>756</v>
      </c>
      <c r="K57" s="159" t="s">
        <v>757</v>
      </c>
      <c r="L57" s="126">
        <v>9</v>
      </c>
      <c r="M57" s="126">
        <v>0</v>
      </c>
      <c r="N57" s="159" t="s">
        <v>795</v>
      </c>
      <c r="O57" s="126">
        <v>20</v>
      </c>
      <c r="S57" s="206">
        <v>4.75</v>
      </c>
      <c r="T57" s="206">
        <v>5</v>
      </c>
      <c r="U57" s="206">
        <v>45</v>
      </c>
      <c r="Y57" s="126">
        <v>1</v>
      </c>
      <c r="Z57" s="126">
        <v>6</v>
      </c>
      <c r="AA57" s="126">
        <v>2026</v>
      </c>
      <c r="AB57" s="339">
        <v>1</v>
      </c>
    </row>
    <row r="58" spans="3:29" ht="21.95" customHeight="1">
      <c r="C58" s="126">
        <v>51</v>
      </c>
      <c r="D58" s="126">
        <v>14</v>
      </c>
      <c r="F58" s="126" t="s">
        <v>849</v>
      </c>
      <c r="G58" s="168" t="s">
        <v>912</v>
      </c>
      <c r="H58" s="162">
        <v>46178</v>
      </c>
      <c r="I58" s="126">
        <v>1</v>
      </c>
      <c r="J58" s="141" t="s">
        <v>753</v>
      </c>
      <c r="K58" s="159" t="s">
        <v>754</v>
      </c>
      <c r="L58" s="126">
        <v>3</v>
      </c>
      <c r="M58" s="126">
        <v>0</v>
      </c>
      <c r="N58" s="159" t="s">
        <v>795</v>
      </c>
      <c r="O58" s="126">
        <v>20</v>
      </c>
      <c r="S58" s="206">
        <v>4.1500000000000004</v>
      </c>
      <c r="T58" s="206">
        <v>4.75</v>
      </c>
      <c r="U58" s="206">
        <v>14.25</v>
      </c>
      <c r="Y58" s="126">
        <v>1</v>
      </c>
      <c r="Z58" s="126">
        <v>6</v>
      </c>
      <c r="AA58" s="126">
        <v>2026</v>
      </c>
      <c r="AB58" s="339">
        <v>1</v>
      </c>
    </row>
    <row r="59" spans="3:29" ht="21.95" customHeight="1">
      <c r="C59" s="126">
        <v>52</v>
      </c>
      <c r="D59" s="126">
        <v>14</v>
      </c>
      <c r="F59" s="126" t="s">
        <v>849</v>
      </c>
      <c r="G59" s="168" t="s">
        <v>912</v>
      </c>
      <c r="H59" s="162">
        <v>46178</v>
      </c>
      <c r="I59" s="126">
        <v>1</v>
      </c>
      <c r="J59" s="141" t="s">
        <v>565</v>
      </c>
      <c r="K59" s="159" t="s">
        <v>566</v>
      </c>
      <c r="L59" s="126">
        <v>6</v>
      </c>
      <c r="M59" s="126">
        <v>0</v>
      </c>
      <c r="N59" s="159" t="s">
        <v>795</v>
      </c>
      <c r="O59" s="126">
        <v>20</v>
      </c>
      <c r="S59" s="206">
        <v>4.75</v>
      </c>
      <c r="T59" s="206">
        <v>5</v>
      </c>
      <c r="U59" s="206">
        <v>30</v>
      </c>
      <c r="Y59" s="126">
        <v>1</v>
      </c>
      <c r="Z59" s="126">
        <v>6</v>
      </c>
      <c r="AA59" s="126">
        <v>2026</v>
      </c>
      <c r="AB59" s="339">
        <v>1</v>
      </c>
    </row>
    <row r="60" spans="3:29" s="370" customFormat="1" ht="21.95" customHeight="1">
      <c r="C60" s="363">
        <v>53</v>
      </c>
      <c r="D60" s="363">
        <v>15</v>
      </c>
      <c r="E60" s="363"/>
      <c r="F60" s="363" t="s">
        <v>925</v>
      </c>
      <c r="G60" s="364" t="s">
        <v>917</v>
      </c>
      <c r="H60" s="365">
        <v>46179</v>
      </c>
      <c r="I60" s="363">
        <v>1</v>
      </c>
      <c r="J60" s="366" t="s">
        <v>756</v>
      </c>
      <c r="K60" s="367" t="s">
        <v>757</v>
      </c>
      <c r="L60" s="363">
        <v>5</v>
      </c>
      <c r="M60" s="363">
        <v>0</v>
      </c>
      <c r="N60" s="367" t="s">
        <v>795</v>
      </c>
      <c r="O60" s="363">
        <v>20</v>
      </c>
      <c r="P60" s="363"/>
      <c r="Q60" s="363"/>
      <c r="R60" s="363"/>
      <c r="S60" s="368">
        <v>4.75</v>
      </c>
      <c r="T60" s="368">
        <v>4.75</v>
      </c>
      <c r="U60" s="368">
        <v>23.75</v>
      </c>
      <c r="V60" s="363"/>
      <c r="W60" s="363"/>
      <c r="X60" s="363"/>
      <c r="Y60" s="363">
        <v>1</v>
      </c>
      <c r="Z60" s="363">
        <v>6</v>
      </c>
      <c r="AA60" s="363">
        <v>2026</v>
      </c>
      <c r="AB60" s="369">
        <v>1</v>
      </c>
      <c r="AC60" s="369"/>
    </row>
    <row r="61" spans="3:29" s="370" customFormat="1" ht="21.95" customHeight="1">
      <c r="C61" s="363">
        <v>54</v>
      </c>
      <c r="D61" s="363">
        <v>15</v>
      </c>
      <c r="E61" s="363"/>
      <c r="F61" s="363" t="s">
        <v>925</v>
      </c>
      <c r="G61" s="364" t="s">
        <v>917</v>
      </c>
      <c r="H61" s="365">
        <v>46179</v>
      </c>
      <c r="I61" s="363">
        <v>1</v>
      </c>
      <c r="J61" s="366" t="s">
        <v>653</v>
      </c>
      <c r="K61" s="367" t="s">
        <v>654</v>
      </c>
      <c r="L61" s="363">
        <v>3</v>
      </c>
      <c r="M61" s="363">
        <v>0</v>
      </c>
      <c r="N61" s="367" t="s">
        <v>573</v>
      </c>
      <c r="O61" s="363">
        <v>1</v>
      </c>
      <c r="P61" s="363"/>
      <c r="Q61" s="363"/>
      <c r="R61" s="363"/>
      <c r="S61" s="368">
        <v>8.36</v>
      </c>
      <c r="T61" s="368">
        <v>8.1</v>
      </c>
      <c r="U61" s="368">
        <v>24.3</v>
      </c>
      <c r="V61" s="363"/>
      <c r="W61" s="363"/>
      <c r="X61" s="363"/>
      <c r="Y61" s="363">
        <v>1</v>
      </c>
      <c r="Z61" s="363">
        <v>6</v>
      </c>
      <c r="AA61" s="363">
        <v>2026</v>
      </c>
      <c r="AB61" s="369">
        <v>1</v>
      </c>
      <c r="AC61" s="369"/>
    </row>
    <row r="62" spans="3:29" s="370" customFormat="1" ht="21.95" customHeight="1">
      <c r="C62" s="363">
        <v>55</v>
      </c>
      <c r="D62" s="363">
        <v>15</v>
      </c>
      <c r="E62" s="363"/>
      <c r="F62" s="363" t="s">
        <v>925</v>
      </c>
      <c r="G62" s="364" t="s">
        <v>917</v>
      </c>
      <c r="H62" s="365">
        <v>46179</v>
      </c>
      <c r="I62" s="363">
        <v>1</v>
      </c>
      <c r="J62" s="366" t="s">
        <v>934</v>
      </c>
      <c r="K62" s="367" t="s">
        <v>935</v>
      </c>
      <c r="L62" s="363">
        <v>11</v>
      </c>
      <c r="M62" s="363">
        <v>0</v>
      </c>
      <c r="N62" s="367" t="s">
        <v>546</v>
      </c>
      <c r="O62" s="363">
        <v>1</v>
      </c>
      <c r="P62" s="363"/>
      <c r="Q62" s="363"/>
      <c r="R62" s="363"/>
      <c r="S62" s="368">
        <v>1.91</v>
      </c>
      <c r="T62" s="368">
        <v>2.5</v>
      </c>
      <c r="U62" s="368">
        <v>27.5</v>
      </c>
      <c r="V62" s="363"/>
      <c r="W62" s="363"/>
      <c r="X62" s="363"/>
      <c r="Y62" s="363">
        <v>1</v>
      </c>
      <c r="Z62" s="363">
        <v>6</v>
      </c>
      <c r="AA62" s="363">
        <v>2026</v>
      </c>
      <c r="AB62" s="369">
        <v>1</v>
      </c>
      <c r="AC62" s="369"/>
    </row>
    <row r="63" spans="3:29" ht="21.95" customHeight="1">
      <c r="C63" s="126">
        <v>56</v>
      </c>
      <c r="D63" s="126">
        <v>16</v>
      </c>
      <c r="F63" s="126" t="s">
        <v>925</v>
      </c>
      <c r="G63" s="364" t="s">
        <v>926</v>
      </c>
      <c r="H63" s="162">
        <v>46179</v>
      </c>
      <c r="I63" s="126">
        <v>1</v>
      </c>
      <c r="J63" s="141" t="s">
        <v>753</v>
      </c>
      <c r="K63" s="159" t="s">
        <v>754</v>
      </c>
      <c r="L63" s="126">
        <v>1</v>
      </c>
      <c r="M63" s="126">
        <v>0</v>
      </c>
      <c r="N63" s="159" t="s">
        <v>941</v>
      </c>
      <c r="O63" s="126">
        <v>1</v>
      </c>
      <c r="S63" s="206">
        <v>83</v>
      </c>
      <c r="T63" s="206">
        <v>90</v>
      </c>
      <c r="U63" s="206">
        <v>90</v>
      </c>
      <c r="Y63" s="126">
        <v>1</v>
      </c>
      <c r="Z63" s="126">
        <v>6</v>
      </c>
      <c r="AA63" s="126">
        <v>2026</v>
      </c>
      <c r="AB63" s="339">
        <v>1</v>
      </c>
    </row>
    <row r="64" spans="3:29" ht="21.95" customHeight="1">
      <c r="C64" s="126">
        <v>57</v>
      </c>
      <c r="D64" s="126">
        <v>17</v>
      </c>
      <c r="F64" s="126" t="s">
        <v>945</v>
      </c>
      <c r="G64" s="364" t="s">
        <v>939</v>
      </c>
      <c r="H64" s="162">
        <v>46180</v>
      </c>
      <c r="I64" s="126">
        <v>1</v>
      </c>
      <c r="J64" s="141" t="s">
        <v>753</v>
      </c>
      <c r="K64" s="159" t="s">
        <v>754</v>
      </c>
      <c r="L64" s="126">
        <v>4</v>
      </c>
      <c r="M64" s="126">
        <v>0</v>
      </c>
      <c r="N64" s="159" t="s">
        <v>795</v>
      </c>
      <c r="O64" s="126">
        <v>20</v>
      </c>
      <c r="S64" s="206">
        <v>4.1500000000000004</v>
      </c>
      <c r="T64" s="206">
        <v>4.75</v>
      </c>
      <c r="U64" s="206">
        <v>19</v>
      </c>
      <c r="Y64" s="126">
        <v>1</v>
      </c>
      <c r="Z64" s="126">
        <v>6</v>
      </c>
      <c r="AA64" s="126">
        <v>2026</v>
      </c>
      <c r="AB64" s="339">
        <v>1</v>
      </c>
    </row>
    <row r="65" spans="3:28" ht="21.95" customHeight="1">
      <c r="C65" s="126">
        <v>58</v>
      </c>
      <c r="D65" s="126">
        <v>17</v>
      </c>
      <c r="F65" s="126" t="s">
        <v>945</v>
      </c>
      <c r="G65" s="364" t="s">
        <v>939</v>
      </c>
      <c r="H65" s="162">
        <v>46180</v>
      </c>
      <c r="I65" s="126">
        <v>1</v>
      </c>
      <c r="J65" s="141" t="s">
        <v>767</v>
      </c>
      <c r="K65" s="159" t="s">
        <v>768</v>
      </c>
      <c r="L65" s="126">
        <v>5</v>
      </c>
      <c r="M65" s="126">
        <v>0</v>
      </c>
      <c r="N65" s="159" t="s">
        <v>619</v>
      </c>
      <c r="O65" s="126">
        <v>1</v>
      </c>
      <c r="S65" s="206">
        <v>4</v>
      </c>
      <c r="T65" s="206">
        <v>5</v>
      </c>
      <c r="U65" s="206">
        <v>25</v>
      </c>
      <c r="Y65" s="126">
        <v>1</v>
      </c>
      <c r="Z65" s="126">
        <v>6</v>
      </c>
      <c r="AA65" s="126">
        <v>2026</v>
      </c>
      <c r="AB65" s="339">
        <v>1</v>
      </c>
    </row>
    <row r="66" spans="3:28" ht="21.95" customHeight="1">
      <c r="C66" s="126">
        <v>59</v>
      </c>
      <c r="D66" s="126">
        <v>18</v>
      </c>
      <c r="F66" s="126" t="s">
        <v>945</v>
      </c>
      <c r="G66" s="364" t="s">
        <v>946</v>
      </c>
      <c r="H66" s="162">
        <v>46180</v>
      </c>
      <c r="I66" s="126">
        <v>1</v>
      </c>
      <c r="J66" s="141" t="s">
        <v>753</v>
      </c>
      <c r="K66" s="159" t="s">
        <v>754</v>
      </c>
      <c r="L66" s="126">
        <v>10</v>
      </c>
      <c r="M66" s="126">
        <v>0</v>
      </c>
      <c r="N66" s="159" t="s">
        <v>795</v>
      </c>
      <c r="O66" s="126">
        <v>20</v>
      </c>
      <c r="S66" s="206">
        <v>4.1500000000000004</v>
      </c>
      <c r="T66" s="206">
        <v>4.75</v>
      </c>
      <c r="U66" s="206">
        <v>47.5</v>
      </c>
      <c r="Y66" s="126">
        <v>1</v>
      </c>
      <c r="Z66" s="126">
        <v>6</v>
      </c>
      <c r="AA66" s="126">
        <v>2026</v>
      </c>
      <c r="AB66" s="339">
        <v>1</v>
      </c>
    </row>
    <row r="67" spans="3:28" ht="21.95" customHeight="1">
      <c r="C67" s="126">
        <v>60</v>
      </c>
      <c r="D67" s="126">
        <v>19</v>
      </c>
      <c r="F67" s="126" t="s">
        <v>945</v>
      </c>
      <c r="G67" s="364" t="s">
        <v>954</v>
      </c>
      <c r="H67" s="162">
        <v>46180</v>
      </c>
      <c r="I67" s="126">
        <v>1</v>
      </c>
      <c r="J67" s="141" t="s">
        <v>753</v>
      </c>
      <c r="K67" s="159" t="s">
        <v>754</v>
      </c>
      <c r="L67" s="126">
        <v>1</v>
      </c>
      <c r="M67" s="126">
        <v>0</v>
      </c>
      <c r="N67" s="159" t="s">
        <v>795</v>
      </c>
      <c r="O67" s="126">
        <v>20</v>
      </c>
      <c r="S67" s="206">
        <v>4.1500000000000004</v>
      </c>
      <c r="T67" s="206">
        <v>4.75</v>
      </c>
      <c r="U67" s="206">
        <v>4.75</v>
      </c>
      <c r="Y67" s="126">
        <v>1</v>
      </c>
      <c r="Z67" s="126">
        <v>6</v>
      </c>
      <c r="AA67" s="126">
        <v>2026</v>
      </c>
      <c r="AB67" s="339">
        <v>1</v>
      </c>
    </row>
    <row r="68" spans="3:28" ht="21.95" customHeight="1">
      <c r="C68" s="126">
        <v>61</v>
      </c>
      <c r="D68" s="126">
        <v>19</v>
      </c>
      <c r="F68" s="126" t="s">
        <v>945</v>
      </c>
      <c r="G68" s="364" t="s">
        <v>954</v>
      </c>
      <c r="H68" s="162">
        <v>46180</v>
      </c>
      <c r="I68" s="126">
        <v>1</v>
      </c>
      <c r="J68" s="141" t="s">
        <v>587</v>
      </c>
      <c r="K68" s="159" t="s">
        <v>588</v>
      </c>
      <c r="L68" s="126">
        <v>1</v>
      </c>
      <c r="M68" s="126">
        <v>0</v>
      </c>
      <c r="N68" s="159" t="s">
        <v>546</v>
      </c>
      <c r="O68" s="126">
        <v>1</v>
      </c>
      <c r="S68" s="206">
        <v>14.85</v>
      </c>
      <c r="T68" s="206">
        <v>15</v>
      </c>
      <c r="U68" s="206">
        <v>15</v>
      </c>
      <c r="Y68" s="126">
        <v>1</v>
      </c>
      <c r="Z68" s="126">
        <v>6</v>
      </c>
      <c r="AA68" s="126">
        <v>2026</v>
      </c>
      <c r="AB68" s="339">
        <v>1</v>
      </c>
    </row>
    <row r="69" spans="3:28" ht="21.95" customHeight="1">
      <c r="C69" s="126">
        <v>62</v>
      </c>
      <c r="D69" s="126">
        <v>19</v>
      </c>
      <c r="F69" s="126" t="s">
        <v>945</v>
      </c>
      <c r="G69" s="364" t="s">
        <v>954</v>
      </c>
      <c r="H69" s="162">
        <v>46180</v>
      </c>
      <c r="I69" s="126">
        <v>1</v>
      </c>
      <c r="J69" s="141" t="s">
        <v>691</v>
      </c>
      <c r="K69" s="159" t="s">
        <v>692</v>
      </c>
      <c r="L69" s="126">
        <v>5</v>
      </c>
      <c r="M69" s="126">
        <v>0</v>
      </c>
      <c r="N69" s="159" t="s">
        <v>546</v>
      </c>
      <c r="O69" s="126">
        <v>1</v>
      </c>
      <c r="S69" s="206">
        <v>9.52</v>
      </c>
      <c r="T69" s="206">
        <v>10</v>
      </c>
      <c r="U69" s="206">
        <v>50</v>
      </c>
      <c r="Y69" s="126">
        <v>1</v>
      </c>
      <c r="Z69" s="126">
        <v>6</v>
      </c>
      <c r="AA69" s="126">
        <v>2026</v>
      </c>
      <c r="AB69" s="339">
        <v>1</v>
      </c>
    </row>
    <row r="70" spans="3:28" ht="21.95" customHeight="1">
      <c r="C70" s="126">
        <v>63</v>
      </c>
      <c r="D70" s="126">
        <v>20</v>
      </c>
      <c r="F70" s="126" t="s">
        <v>970</v>
      </c>
      <c r="G70" s="364" t="s">
        <v>959</v>
      </c>
      <c r="H70" s="162">
        <v>46181</v>
      </c>
      <c r="I70" s="126">
        <v>1</v>
      </c>
      <c r="J70" s="141" t="s">
        <v>707</v>
      </c>
      <c r="K70" s="159" t="s">
        <v>708</v>
      </c>
      <c r="L70" s="126">
        <v>1</v>
      </c>
      <c r="M70" s="126">
        <v>0</v>
      </c>
      <c r="N70" s="159" t="s">
        <v>546</v>
      </c>
      <c r="O70" s="126">
        <v>1</v>
      </c>
      <c r="S70" s="206">
        <v>7.49</v>
      </c>
      <c r="T70" s="206">
        <v>8</v>
      </c>
      <c r="U70" s="206">
        <v>8</v>
      </c>
      <c r="Y70" s="126">
        <v>2</v>
      </c>
      <c r="Z70" s="126">
        <v>6</v>
      </c>
      <c r="AA70" s="126">
        <v>2026</v>
      </c>
      <c r="AB70" s="339">
        <v>1</v>
      </c>
    </row>
    <row r="71" spans="3:28" ht="21.95" customHeight="1">
      <c r="C71" s="126">
        <v>64</v>
      </c>
      <c r="D71" s="126">
        <v>20</v>
      </c>
      <c r="F71" s="126" t="s">
        <v>970</v>
      </c>
      <c r="G71" s="364" t="s">
        <v>959</v>
      </c>
      <c r="H71" s="162">
        <v>46181</v>
      </c>
      <c r="I71" s="126">
        <v>1</v>
      </c>
      <c r="J71" s="141" t="s">
        <v>976</v>
      </c>
      <c r="K71" s="159" t="s">
        <v>977</v>
      </c>
      <c r="L71" s="126">
        <v>1</v>
      </c>
      <c r="M71" s="126">
        <v>0</v>
      </c>
      <c r="N71" s="159" t="s">
        <v>546</v>
      </c>
      <c r="O71" s="126">
        <v>1</v>
      </c>
      <c r="S71" s="206">
        <v>0.24</v>
      </c>
      <c r="T71" s="206">
        <v>0.5</v>
      </c>
      <c r="U71" s="206">
        <v>0.5</v>
      </c>
      <c r="Y71" s="126">
        <v>2</v>
      </c>
      <c r="Z71" s="126">
        <v>6</v>
      </c>
      <c r="AA71" s="126">
        <v>2026</v>
      </c>
      <c r="AB71" s="339">
        <v>1</v>
      </c>
    </row>
    <row r="72" spans="3:28" ht="21.95" customHeight="1">
      <c r="C72" s="126">
        <v>65</v>
      </c>
      <c r="D72" s="126">
        <v>20</v>
      </c>
      <c r="F72" s="126" t="s">
        <v>970</v>
      </c>
      <c r="G72" s="364" t="s">
        <v>959</v>
      </c>
      <c r="H72" s="162">
        <v>46181</v>
      </c>
      <c r="I72" s="126">
        <v>1</v>
      </c>
      <c r="J72" s="141" t="s">
        <v>981</v>
      </c>
      <c r="K72" s="159" t="s">
        <v>982</v>
      </c>
      <c r="L72" s="126">
        <v>12</v>
      </c>
      <c r="M72" s="126">
        <v>0</v>
      </c>
      <c r="N72" s="159" t="s">
        <v>546</v>
      </c>
      <c r="O72" s="126">
        <v>1</v>
      </c>
      <c r="S72" s="206">
        <v>0.34</v>
      </c>
      <c r="T72" s="206">
        <v>0.5</v>
      </c>
      <c r="U72" s="206">
        <v>6</v>
      </c>
      <c r="Y72" s="126">
        <v>2</v>
      </c>
      <c r="Z72" s="126">
        <v>6</v>
      </c>
      <c r="AA72" s="126">
        <v>2026</v>
      </c>
      <c r="AB72" s="339">
        <v>1</v>
      </c>
    </row>
    <row r="73" spans="3:28" ht="21.95" customHeight="1">
      <c r="C73" s="126">
        <v>66</v>
      </c>
      <c r="D73" s="126">
        <v>20</v>
      </c>
      <c r="F73" s="126" t="s">
        <v>970</v>
      </c>
      <c r="G73" s="364" t="s">
        <v>959</v>
      </c>
      <c r="H73" s="162">
        <v>46181</v>
      </c>
      <c r="I73" s="126">
        <v>1</v>
      </c>
      <c r="J73" s="141" t="s">
        <v>767</v>
      </c>
      <c r="K73" s="159" t="s">
        <v>768</v>
      </c>
      <c r="L73" s="126">
        <v>10</v>
      </c>
      <c r="M73" s="126">
        <v>0</v>
      </c>
      <c r="N73" s="159" t="s">
        <v>619</v>
      </c>
      <c r="O73" s="126">
        <v>1</v>
      </c>
      <c r="S73" s="206">
        <v>4</v>
      </c>
      <c r="T73" s="206">
        <v>5</v>
      </c>
      <c r="U73" s="206">
        <v>50</v>
      </c>
      <c r="Y73" s="126">
        <v>2</v>
      </c>
      <c r="Z73" s="126">
        <v>6</v>
      </c>
      <c r="AA73" s="126">
        <v>2026</v>
      </c>
      <c r="AB73" s="339">
        <v>1</v>
      </c>
    </row>
    <row r="74" spans="3:28" ht="21.95" customHeight="1">
      <c r="C74" s="126">
        <v>67</v>
      </c>
      <c r="D74" s="126">
        <v>21</v>
      </c>
      <c r="F74" s="126" t="s">
        <v>970</v>
      </c>
      <c r="G74" s="364" t="s">
        <v>971</v>
      </c>
      <c r="H74" s="162">
        <v>46181</v>
      </c>
      <c r="I74" s="126">
        <v>1</v>
      </c>
      <c r="J74" s="141" t="s">
        <v>700</v>
      </c>
      <c r="K74" s="159" t="s">
        <v>701</v>
      </c>
      <c r="L74" s="126">
        <v>8</v>
      </c>
      <c r="M74" s="126">
        <v>0</v>
      </c>
      <c r="N74" s="159" t="s">
        <v>546</v>
      </c>
      <c r="O74" s="126">
        <v>1</v>
      </c>
      <c r="S74" s="206">
        <v>2.1</v>
      </c>
      <c r="T74" s="206">
        <v>3</v>
      </c>
      <c r="U74" s="206">
        <v>24</v>
      </c>
      <c r="Y74" s="126">
        <v>2</v>
      </c>
      <c r="Z74" s="126">
        <v>6</v>
      </c>
      <c r="AA74" s="126">
        <v>2026</v>
      </c>
      <c r="AB74" s="339">
        <v>1</v>
      </c>
    </row>
    <row r="75" spans="3:28" ht="21.95" customHeight="1">
      <c r="C75" s="126">
        <v>68</v>
      </c>
      <c r="D75" s="126">
        <v>21</v>
      </c>
      <c r="F75" s="126" t="s">
        <v>970</v>
      </c>
      <c r="G75" s="364" t="s">
        <v>971</v>
      </c>
      <c r="H75" s="162">
        <v>46181</v>
      </c>
      <c r="I75" s="126">
        <v>1</v>
      </c>
      <c r="J75" s="141" t="s">
        <v>809</v>
      </c>
      <c r="K75" s="159" t="s">
        <v>810</v>
      </c>
      <c r="L75" s="126">
        <v>2</v>
      </c>
      <c r="M75" s="126">
        <v>0</v>
      </c>
      <c r="N75" s="159" t="s">
        <v>546</v>
      </c>
      <c r="O75" s="126">
        <v>1</v>
      </c>
      <c r="S75" s="206">
        <v>0.53</v>
      </c>
      <c r="T75" s="206">
        <v>0.8</v>
      </c>
      <c r="U75" s="206">
        <v>1.6</v>
      </c>
      <c r="Y75" s="126">
        <v>2</v>
      </c>
      <c r="Z75" s="126">
        <v>6</v>
      </c>
      <c r="AA75" s="126">
        <v>2026</v>
      </c>
      <c r="AB75" s="339">
        <v>1</v>
      </c>
    </row>
    <row r="76" spans="3:28" ht="21.95" customHeight="1">
      <c r="C76" s="126">
        <v>69</v>
      </c>
      <c r="D76" s="126">
        <v>21</v>
      </c>
      <c r="F76" s="126" t="s">
        <v>970</v>
      </c>
      <c r="G76" s="364" t="s">
        <v>971</v>
      </c>
      <c r="H76" s="162">
        <v>46181</v>
      </c>
      <c r="I76" s="126">
        <v>1</v>
      </c>
      <c r="J76" s="141" t="s">
        <v>997</v>
      </c>
      <c r="K76" s="159" t="s">
        <v>998</v>
      </c>
      <c r="L76" s="126">
        <v>8</v>
      </c>
      <c r="M76" s="126">
        <v>0</v>
      </c>
      <c r="N76" s="159" t="s">
        <v>546</v>
      </c>
      <c r="O76" s="126">
        <v>50</v>
      </c>
      <c r="S76" s="206">
        <v>0.3</v>
      </c>
      <c r="T76" s="206">
        <v>0.63</v>
      </c>
      <c r="U76" s="206">
        <v>5</v>
      </c>
      <c r="Y76" s="126">
        <v>2</v>
      </c>
      <c r="Z76" s="126">
        <v>6</v>
      </c>
      <c r="AA76" s="126">
        <v>2026</v>
      </c>
      <c r="AB76" s="339">
        <v>1</v>
      </c>
    </row>
    <row r="77" spans="3:28" ht="21.95" customHeight="1">
      <c r="C77" s="126">
        <v>70</v>
      </c>
      <c r="D77" s="126">
        <v>21</v>
      </c>
      <c r="F77" s="126" t="s">
        <v>970</v>
      </c>
      <c r="G77" s="364" t="s">
        <v>971</v>
      </c>
      <c r="H77" s="162">
        <v>46181</v>
      </c>
      <c r="I77" s="126">
        <v>1</v>
      </c>
      <c r="J77" s="141" t="s">
        <v>668</v>
      </c>
      <c r="K77" s="159" t="s">
        <v>669</v>
      </c>
      <c r="L77" s="126">
        <v>2</v>
      </c>
      <c r="M77" s="126">
        <v>0</v>
      </c>
      <c r="N77" s="159" t="s">
        <v>670</v>
      </c>
      <c r="O77" s="126">
        <v>4</v>
      </c>
      <c r="S77" s="206">
        <v>14.5</v>
      </c>
      <c r="T77" s="206">
        <v>15</v>
      </c>
      <c r="U77" s="206">
        <v>30</v>
      </c>
      <c r="Y77" s="126">
        <v>2</v>
      </c>
      <c r="Z77" s="126">
        <v>6</v>
      </c>
      <c r="AA77" s="126">
        <v>2026</v>
      </c>
      <c r="AB77" s="339">
        <v>1</v>
      </c>
    </row>
    <row r="78" spans="3:28" ht="21.95" customHeight="1">
      <c r="C78" s="126">
        <v>71</v>
      </c>
      <c r="D78" s="126">
        <v>22</v>
      </c>
      <c r="F78" s="126" t="s">
        <v>970</v>
      </c>
      <c r="G78" s="364" t="s">
        <v>989</v>
      </c>
      <c r="H78" s="162">
        <v>46181</v>
      </c>
      <c r="I78" s="126">
        <v>1</v>
      </c>
      <c r="J78" s="141" t="s">
        <v>779</v>
      </c>
      <c r="K78" s="159" t="s">
        <v>780</v>
      </c>
      <c r="L78" s="126">
        <v>8</v>
      </c>
      <c r="M78" s="126">
        <v>0</v>
      </c>
      <c r="N78" s="159" t="s">
        <v>573</v>
      </c>
      <c r="O78" s="126">
        <v>1</v>
      </c>
      <c r="S78" s="206">
        <v>4.09</v>
      </c>
      <c r="T78" s="206">
        <v>4.5</v>
      </c>
      <c r="U78" s="206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970</v>
      </c>
      <c r="G79" s="364" t="s">
        <v>989</v>
      </c>
      <c r="H79" s="162">
        <v>46181</v>
      </c>
      <c r="I79" s="126">
        <v>1</v>
      </c>
      <c r="J79" s="141" t="s">
        <v>1010</v>
      </c>
      <c r="K79" s="159" t="s">
        <v>1011</v>
      </c>
      <c r="L79" s="126">
        <v>4</v>
      </c>
      <c r="M79" s="126">
        <v>0</v>
      </c>
      <c r="N79" s="159" t="s">
        <v>546</v>
      </c>
      <c r="O79" s="126">
        <v>1</v>
      </c>
      <c r="S79" s="206">
        <v>2.7</v>
      </c>
      <c r="T79" s="206">
        <v>3</v>
      </c>
      <c r="U79" s="206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1018</v>
      </c>
      <c r="G80" s="126" t="s">
        <v>1005</v>
      </c>
      <c r="H80" s="162">
        <v>46182</v>
      </c>
      <c r="I80" s="126">
        <v>1</v>
      </c>
      <c r="J80" s="141" t="s">
        <v>753</v>
      </c>
      <c r="K80" s="159" t="s">
        <v>754</v>
      </c>
      <c r="L80" s="126">
        <v>10</v>
      </c>
      <c r="M80" s="126">
        <v>0</v>
      </c>
      <c r="N80" s="159" t="s">
        <v>795</v>
      </c>
      <c r="O80" s="126">
        <v>20</v>
      </c>
      <c r="S80" s="206">
        <v>4.1500000000000004</v>
      </c>
      <c r="T80" s="206">
        <v>4.5</v>
      </c>
      <c r="U80" s="206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1018</v>
      </c>
      <c r="G81" s="126" t="s">
        <v>1005</v>
      </c>
      <c r="H81" s="162">
        <v>46182</v>
      </c>
      <c r="I81" s="126">
        <v>1</v>
      </c>
      <c r="J81" s="141" t="s">
        <v>785</v>
      </c>
      <c r="K81" s="159" t="s">
        <v>786</v>
      </c>
      <c r="L81" s="126">
        <v>4</v>
      </c>
      <c r="M81" s="126">
        <v>0</v>
      </c>
      <c r="N81" s="159" t="s">
        <v>573</v>
      </c>
      <c r="O81" s="126">
        <v>1</v>
      </c>
      <c r="S81" s="206">
        <v>3.88</v>
      </c>
      <c r="T81" s="206">
        <v>4.5</v>
      </c>
      <c r="U81" s="206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1018</v>
      </c>
      <c r="G82" s="126" t="s">
        <v>1005</v>
      </c>
      <c r="H82" s="162">
        <v>46182</v>
      </c>
      <c r="I82" s="126">
        <v>1</v>
      </c>
      <c r="J82" s="141" t="s">
        <v>1025</v>
      </c>
      <c r="K82" s="159" t="s">
        <v>1026</v>
      </c>
      <c r="L82" s="126">
        <v>2</v>
      </c>
      <c r="M82" s="126">
        <v>0</v>
      </c>
      <c r="N82" s="159" t="s">
        <v>546</v>
      </c>
      <c r="O82" s="126">
        <v>12</v>
      </c>
      <c r="S82" s="206">
        <v>0.75</v>
      </c>
      <c r="T82" s="206">
        <v>1</v>
      </c>
      <c r="U82" s="206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1018</v>
      </c>
      <c r="G83" s="126" t="s">
        <v>1005</v>
      </c>
      <c r="H83" s="162">
        <v>46182</v>
      </c>
      <c r="I83" s="126">
        <v>1</v>
      </c>
      <c r="J83" s="141" t="s">
        <v>1030</v>
      </c>
      <c r="K83" s="159" t="s">
        <v>1031</v>
      </c>
      <c r="L83" s="126">
        <v>2</v>
      </c>
      <c r="M83" s="126">
        <v>0</v>
      </c>
      <c r="N83" s="159" t="s">
        <v>546</v>
      </c>
      <c r="O83" s="126">
        <v>1</v>
      </c>
      <c r="S83" s="206">
        <v>0.85</v>
      </c>
      <c r="T83" s="206">
        <v>1</v>
      </c>
      <c r="U83" s="206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1018</v>
      </c>
      <c r="G84" s="126" t="s">
        <v>1005</v>
      </c>
      <c r="H84" s="162">
        <v>46182</v>
      </c>
      <c r="I84" s="126">
        <v>1</v>
      </c>
      <c r="J84" s="141" t="s">
        <v>770</v>
      </c>
      <c r="K84" s="159" t="s">
        <v>771</v>
      </c>
      <c r="L84" s="126">
        <v>2</v>
      </c>
      <c r="M84" s="126">
        <v>0</v>
      </c>
      <c r="N84" s="159" t="s">
        <v>619</v>
      </c>
      <c r="O84" s="126">
        <v>1</v>
      </c>
      <c r="S84" s="206">
        <v>6</v>
      </c>
      <c r="T84" s="206">
        <v>6.5</v>
      </c>
      <c r="U84" s="206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1018</v>
      </c>
      <c r="G85" s="126" t="s">
        <v>1005</v>
      </c>
      <c r="H85" s="162">
        <v>46182</v>
      </c>
      <c r="I85" s="126">
        <v>1</v>
      </c>
      <c r="J85" s="141" t="s">
        <v>1038</v>
      </c>
      <c r="K85" s="159" t="s">
        <v>1039</v>
      </c>
      <c r="L85" s="126">
        <v>1</v>
      </c>
      <c r="M85" s="126">
        <v>0</v>
      </c>
      <c r="N85" s="159" t="s">
        <v>546</v>
      </c>
      <c r="O85" s="126">
        <v>1</v>
      </c>
      <c r="S85" s="206">
        <v>4.33</v>
      </c>
      <c r="T85" s="206">
        <v>6</v>
      </c>
      <c r="U85" s="206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1018</v>
      </c>
      <c r="G86" s="126" t="s">
        <v>1005</v>
      </c>
      <c r="H86" s="162">
        <v>46182</v>
      </c>
      <c r="I86" s="126">
        <v>1</v>
      </c>
      <c r="J86" s="141" t="s">
        <v>628</v>
      </c>
      <c r="K86" s="159" t="s">
        <v>629</v>
      </c>
      <c r="L86" s="126">
        <v>2</v>
      </c>
      <c r="M86" s="126">
        <v>0</v>
      </c>
      <c r="N86" s="159" t="s">
        <v>619</v>
      </c>
      <c r="O86" s="126">
        <v>1</v>
      </c>
      <c r="S86" s="206">
        <v>2</v>
      </c>
      <c r="T86" s="206">
        <v>2.5</v>
      </c>
      <c r="U86" s="206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1018</v>
      </c>
      <c r="G87" s="126" t="s">
        <v>1046</v>
      </c>
      <c r="H87" s="162">
        <v>46182</v>
      </c>
      <c r="I87" s="126">
        <v>1</v>
      </c>
      <c r="J87" s="141" t="s">
        <v>577</v>
      </c>
      <c r="K87" s="159" t="s">
        <v>578</v>
      </c>
      <c r="L87" s="126">
        <v>2</v>
      </c>
      <c r="M87" s="126">
        <v>0</v>
      </c>
      <c r="N87" s="159" t="s">
        <v>573</v>
      </c>
      <c r="O87" s="126">
        <v>1</v>
      </c>
      <c r="S87" s="206">
        <v>3.37</v>
      </c>
      <c r="T87" s="206">
        <v>3.5</v>
      </c>
      <c r="U87" s="206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1018</v>
      </c>
      <c r="G88" s="126" t="s">
        <v>1046</v>
      </c>
      <c r="H88" s="162">
        <v>46182</v>
      </c>
      <c r="I88" s="126">
        <v>1</v>
      </c>
      <c r="J88" s="141" t="s">
        <v>785</v>
      </c>
      <c r="K88" s="159" t="s">
        <v>786</v>
      </c>
      <c r="L88" s="126">
        <v>1</v>
      </c>
      <c r="M88" s="126">
        <v>0</v>
      </c>
      <c r="N88" s="159" t="s">
        <v>573</v>
      </c>
      <c r="O88" s="126">
        <v>1</v>
      </c>
      <c r="S88" s="206">
        <v>3.88</v>
      </c>
      <c r="T88" s="206">
        <v>4.3</v>
      </c>
      <c r="U88" s="206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1018</v>
      </c>
      <c r="G89" s="126" t="s">
        <v>1046</v>
      </c>
      <c r="H89" s="162">
        <v>46182</v>
      </c>
      <c r="I89" s="126">
        <v>1</v>
      </c>
      <c r="J89" s="141" t="s">
        <v>609</v>
      </c>
      <c r="K89" s="159" t="s">
        <v>610</v>
      </c>
      <c r="L89" s="126">
        <v>1</v>
      </c>
      <c r="M89" s="126">
        <v>0</v>
      </c>
      <c r="N89" s="159" t="s">
        <v>573</v>
      </c>
      <c r="O89" s="126">
        <v>1</v>
      </c>
      <c r="S89" s="206">
        <v>6.28</v>
      </c>
      <c r="T89" s="206">
        <v>6.7</v>
      </c>
      <c r="U89" s="206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1018</v>
      </c>
      <c r="G90" s="126" t="s">
        <v>1046</v>
      </c>
      <c r="H90" s="162">
        <v>46182</v>
      </c>
      <c r="I90" s="126">
        <v>1</v>
      </c>
      <c r="J90" s="141" t="s">
        <v>753</v>
      </c>
      <c r="K90" s="159" t="s">
        <v>754</v>
      </c>
      <c r="L90" s="126">
        <v>14</v>
      </c>
      <c r="M90" s="126">
        <v>0</v>
      </c>
      <c r="N90" s="159" t="s">
        <v>795</v>
      </c>
      <c r="O90" s="126">
        <v>20</v>
      </c>
      <c r="S90" s="206">
        <v>4.1500000000000004</v>
      </c>
      <c r="T90" s="206">
        <v>4.5</v>
      </c>
      <c r="U90" s="206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1018</v>
      </c>
      <c r="G91" s="126" t="s">
        <v>1046</v>
      </c>
      <c r="H91" s="162">
        <v>46182</v>
      </c>
      <c r="I91" s="126">
        <v>1</v>
      </c>
      <c r="J91" s="141" t="s">
        <v>643</v>
      </c>
      <c r="K91" s="159" t="s">
        <v>644</v>
      </c>
      <c r="L91" s="126">
        <v>1</v>
      </c>
      <c r="M91" s="126">
        <v>0</v>
      </c>
      <c r="N91" s="159" t="s">
        <v>546</v>
      </c>
      <c r="O91" s="126">
        <v>1</v>
      </c>
      <c r="S91" s="206">
        <v>2.9</v>
      </c>
      <c r="T91" s="206">
        <v>3</v>
      </c>
      <c r="U91" s="206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1063</v>
      </c>
      <c r="G92" s="126" t="s">
        <v>1064</v>
      </c>
      <c r="H92" s="162">
        <v>46183</v>
      </c>
      <c r="I92" s="126">
        <v>1</v>
      </c>
      <c r="J92" s="141" t="s">
        <v>753</v>
      </c>
      <c r="K92" s="159" t="s">
        <v>754</v>
      </c>
      <c r="L92" s="126">
        <v>10</v>
      </c>
      <c r="M92" s="126">
        <v>0</v>
      </c>
      <c r="N92" s="159" t="s">
        <v>795</v>
      </c>
      <c r="O92" s="126">
        <v>20</v>
      </c>
      <c r="S92" s="206">
        <v>4.1500000000000004</v>
      </c>
      <c r="T92" s="206">
        <v>4.75</v>
      </c>
      <c r="U92" s="206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1063</v>
      </c>
      <c r="G93" s="126" t="s">
        <v>1064</v>
      </c>
      <c r="H93" s="162">
        <v>46183</v>
      </c>
      <c r="I93" s="126">
        <v>1</v>
      </c>
      <c r="J93" s="141" t="s">
        <v>756</v>
      </c>
      <c r="K93" s="159" t="s">
        <v>757</v>
      </c>
      <c r="L93" s="126">
        <v>6</v>
      </c>
      <c r="M93" s="126">
        <v>0</v>
      </c>
      <c r="N93" s="159" t="s">
        <v>795</v>
      </c>
      <c r="O93" s="126">
        <v>20</v>
      </c>
      <c r="S93" s="206">
        <v>4.75</v>
      </c>
      <c r="T93" s="206">
        <v>5</v>
      </c>
      <c r="U93" s="206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1063</v>
      </c>
      <c r="G94" s="126" t="s">
        <v>1072</v>
      </c>
      <c r="H94" s="162">
        <v>46183</v>
      </c>
      <c r="I94" s="126">
        <v>1</v>
      </c>
      <c r="J94" s="141" t="s">
        <v>767</v>
      </c>
      <c r="K94" s="159" t="s">
        <v>768</v>
      </c>
      <c r="L94" s="126">
        <v>2</v>
      </c>
      <c r="M94" s="126">
        <v>0</v>
      </c>
      <c r="N94" s="159" t="s">
        <v>619</v>
      </c>
      <c r="O94" s="126">
        <v>1</v>
      </c>
      <c r="S94" s="206">
        <v>4</v>
      </c>
      <c r="T94" s="206">
        <v>5</v>
      </c>
      <c r="U94" s="206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1063</v>
      </c>
      <c r="G95" s="126" t="s">
        <v>1072</v>
      </c>
      <c r="H95" s="162">
        <v>46183</v>
      </c>
      <c r="I95" s="126">
        <v>1</v>
      </c>
      <c r="J95" s="141" t="s">
        <v>770</v>
      </c>
      <c r="K95" s="159" t="s">
        <v>771</v>
      </c>
      <c r="L95" s="126">
        <v>3</v>
      </c>
      <c r="M95" s="126">
        <v>0</v>
      </c>
      <c r="N95" s="159" t="s">
        <v>619</v>
      </c>
      <c r="O95" s="126">
        <v>1</v>
      </c>
      <c r="S95" s="206">
        <v>6</v>
      </c>
      <c r="T95" s="206">
        <v>6.8</v>
      </c>
      <c r="U95" s="206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1063</v>
      </c>
      <c r="G96" s="126" t="s">
        <v>1080</v>
      </c>
      <c r="H96" s="162">
        <v>46183</v>
      </c>
      <c r="I96" s="126">
        <v>1</v>
      </c>
      <c r="J96" s="141" t="s">
        <v>707</v>
      </c>
      <c r="K96" s="159" t="s">
        <v>708</v>
      </c>
      <c r="L96" s="126">
        <v>2</v>
      </c>
      <c r="M96" s="126">
        <v>0</v>
      </c>
      <c r="N96" s="159" t="s">
        <v>546</v>
      </c>
      <c r="O96" s="126">
        <v>1</v>
      </c>
      <c r="S96" s="206">
        <v>7.49</v>
      </c>
      <c r="T96" s="206">
        <v>8</v>
      </c>
      <c r="U96" s="206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1063</v>
      </c>
      <c r="G97" s="126" t="s">
        <v>1080</v>
      </c>
      <c r="H97" s="162">
        <v>46183</v>
      </c>
      <c r="I97" s="126">
        <v>1</v>
      </c>
      <c r="J97" s="141" t="s">
        <v>697</v>
      </c>
      <c r="K97" s="159" t="s">
        <v>698</v>
      </c>
      <c r="L97" s="126">
        <v>1</v>
      </c>
      <c r="M97" s="126">
        <v>0</v>
      </c>
      <c r="N97" s="159" t="s">
        <v>546</v>
      </c>
      <c r="O97" s="126">
        <v>1</v>
      </c>
      <c r="S97" s="206">
        <v>3.3</v>
      </c>
      <c r="T97" s="206">
        <v>3.75</v>
      </c>
      <c r="U97" s="206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1063</v>
      </c>
      <c r="G98" s="126" t="s">
        <v>1080</v>
      </c>
      <c r="H98" s="162">
        <v>46183</v>
      </c>
      <c r="I98" s="126">
        <v>1</v>
      </c>
      <c r="J98" s="141" t="s">
        <v>770</v>
      </c>
      <c r="K98" s="159" t="s">
        <v>771</v>
      </c>
      <c r="L98" s="126">
        <v>7</v>
      </c>
      <c r="M98" s="126">
        <v>0</v>
      </c>
      <c r="N98" s="159" t="s">
        <v>619</v>
      </c>
      <c r="O98" s="126">
        <v>1</v>
      </c>
      <c r="S98" s="206">
        <v>6</v>
      </c>
      <c r="T98" s="206">
        <v>7</v>
      </c>
      <c r="U98" s="206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1092</v>
      </c>
      <c r="G99" s="126" t="s">
        <v>1093</v>
      </c>
      <c r="H99" s="162">
        <v>46184</v>
      </c>
      <c r="I99" s="126">
        <v>1</v>
      </c>
      <c r="J99" s="141" t="s">
        <v>756</v>
      </c>
      <c r="K99" s="159" t="s">
        <v>757</v>
      </c>
      <c r="L99" s="126">
        <v>4</v>
      </c>
      <c r="M99" s="126">
        <v>0</v>
      </c>
      <c r="N99" s="159" t="s">
        <v>795</v>
      </c>
      <c r="O99" s="126">
        <v>20</v>
      </c>
      <c r="S99" s="206">
        <v>4.75</v>
      </c>
      <c r="T99" s="206">
        <v>5.25</v>
      </c>
      <c r="U99" s="206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1092</v>
      </c>
      <c r="G100" s="126" t="s">
        <v>1093</v>
      </c>
      <c r="H100" s="162">
        <v>46184</v>
      </c>
      <c r="I100" s="126">
        <v>1</v>
      </c>
      <c r="J100" s="141" t="s">
        <v>663</v>
      </c>
      <c r="K100" s="159" t="s">
        <v>664</v>
      </c>
      <c r="L100" s="126">
        <v>3</v>
      </c>
      <c r="M100" s="126">
        <v>0</v>
      </c>
      <c r="N100" s="159" t="s">
        <v>546</v>
      </c>
      <c r="O100" s="126">
        <v>1</v>
      </c>
      <c r="S100" s="206">
        <v>1.63</v>
      </c>
      <c r="T100" s="206">
        <v>2.25</v>
      </c>
      <c r="U100" s="206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1092</v>
      </c>
      <c r="G101" s="126" t="s">
        <v>1093</v>
      </c>
      <c r="H101" s="162">
        <v>46184</v>
      </c>
      <c r="I101" s="126">
        <v>1</v>
      </c>
      <c r="J101" s="141" t="s">
        <v>907</v>
      </c>
      <c r="K101" s="159" t="s">
        <v>908</v>
      </c>
      <c r="L101" s="126">
        <v>1</v>
      </c>
      <c r="M101" s="126">
        <v>0</v>
      </c>
      <c r="N101" s="159" t="s">
        <v>546</v>
      </c>
      <c r="O101" s="126">
        <v>1</v>
      </c>
      <c r="S101" s="206">
        <v>0.15</v>
      </c>
      <c r="T101" s="206">
        <v>0.25</v>
      </c>
      <c r="U101" s="206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1092</v>
      </c>
      <c r="G102" s="126" t="s">
        <v>1093</v>
      </c>
      <c r="H102" s="162">
        <v>46184</v>
      </c>
      <c r="I102" s="126">
        <v>1</v>
      </c>
      <c r="J102" s="141" t="s">
        <v>762</v>
      </c>
      <c r="K102" s="159" t="s">
        <v>763</v>
      </c>
      <c r="L102" s="126">
        <v>3</v>
      </c>
      <c r="M102" s="126">
        <v>0</v>
      </c>
      <c r="N102" s="159" t="s">
        <v>619</v>
      </c>
      <c r="O102" s="126">
        <v>1</v>
      </c>
      <c r="S102" s="206">
        <v>1</v>
      </c>
      <c r="T102" s="206">
        <v>1.5</v>
      </c>
      <c r="U102" s="206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1092</v>
      </c>
      <c r="G103" s="126" t="s">
        <v>1107</v>
      </c>
      <c r="H103" s="162">
        <v>46184</v>
      </c>
      <c r="I103" s="126">
        <v>1</v>
      </c>
      <c r="J103" s="141" t="s">
        <v>1109</v>
      </c>
      <c r="K103" s="159" t="s">
        <v>1110</v>
      </c>
      <c r="L103" s="126">
        <v>2</v>
      </c>
      <c r="M103" s="126">
        <v>0</v>
      </c>
      <c r="N103" s="159" t="s">
        <v>546</v>
      </c>
      <c r="O103" s="126">
        <v>1</v>
      </c>
      <c r="S103" s="206">
        <v>0.23</v>
      </c>
      <c r="T103" s="206">
        <v>1</v>
      </c>
      <c r="U103" s="206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1092</v>
      </c>
      <c r="G104" s="126" t="s">
        <v>1107</v>
      </c>
      <c r="H104" s="162">
        <v>46184</v>
      </c>
      <c r="I104" s="126">
        <v>1</v>
      </c>
      <c r="J104" s="141" t="s">
        <v>1114</v>
      </c>
      <c r="K104" s="159" t="s">
        <v>1115</v>
      </c>
      <c r="L104" s="126">
        <v>2</v>
      </c>
      <c r="M104" s="126">
        <v>0</v>
      </c>
      <c r="N104" s="159" t="s">
        <v>546</v>
      </c>
      <c r="O104" s="126">
        <v>1</v>
      </c>
      <c r="S104" s="206">
        <v>0.28999999999999998</v>
      </c>
      <c r="T104" s="206">
        <v>1</v>
      </c>
      <c r="U104" s="206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1092</v>
      </c>
      <c r="G105" s="126" t="s">
        <v>1107</v>
      </c>
      <c r="H105" s="162">
        <v>46184</v>
      </c>
      <c r="I105" s="126">
        <v>1</v>
      </c>
      <c r="J105" s="141" t="s">
        <v>687</v>
      </c>
      <c r="K105" s="159" t="s">
        <v>688</v>
      </c>
      <c r="L105" s="126">
        <v>1</v>
      </c>
      <c r="M105" s="126">
        <v>0</v>
      </c>
      <c r="N105" s="159" t="s">
        <v>546</v>
      </c>
      <c r="O105" s="126">
        <v>1</v>
      </c>
      <c r="S105" s="206">
        <v>3.74</v>
      </c>
      <c r="T105" s="206">
        <v>1</v>
      </c>
      <c r="U105" s="206">
        <v>1</v>
      </c>
      <c r="X105" s="126" t="s">
        <v>1119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1092</v>
      </c>
      <c r="G106" s="126" t="s">
        <v>1107</v>
      </c>
      <c r="H106" s="162">
        <v>46184</v>
      </c>
      <c r="I106" s="126">
        <v>1</v>
      </c>
      <c r="J106" s="141" t="s">
        <v>628</v>
      </c>
      <c r="K106" s="159" t="s">
        <v>629</v>
      </c>
      <c r="L106" s="126">
        <v>3</v>
      </c>
      <c r="M106" s="126">
        <v>0</v>
      </c>
      <c r="N106" s="159" t="s">
        <v>619</v>
      </c>
      <c r="O106" s="126">
        <v>1</v>
      </c>
      <c r="S106" s="206">
        <v>2</v>
      </c>
      <c r="T106" s="206">
        <v>2.5</v>
      </c>
      <c r="U106" s="206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1092</v>
      </c>
      <c r="G107" s="126" t="s">
        <v>1107</v>
      </c>
      <c r="H107" s="162">
        <v>46184</v>
      </c>
      <c r="I107" s="126">
        <v>1</v>
      </c>
      <c r="J107" s="141" t="s">
        <v>1126</v>
      </c>
      <c r="K107" s="159" t="s">
        <v>1127</v>
      </c>
      <c r="L107" s="126">
        <v>1</v>
      </c>
      <c r="M107" s="126">
        <v>0</v>
      </c>
      <c r="N107" s="159" t="s">
        <v>546</v>
      </c>
      <c r="O107" s="126">
        <v>1</v>
      </c>
      <c r="S107" s="206">
        <v>1.32</v>
      </c>
      <c r="T107" s="206">
        <v>1.75</v>
      </c>
      <c r="U107" s="206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1092</v>
      </c>
      <c r="G108" s="126" t="s">
        <v>1107</v>
      </c>
      <c r="H108" s="162">
        <v>46184</v>
      </c>
      <c r="I108" s="126">
        <v>1</v>
      </c>
      <c r="J108" s="141" t="s">
        <v>716</v>
      </c>
      <c r="K108" s="159" t="s">
        <v>717</v>
      </c>
      <c r="L108" s="126">
        <v>1</v>
      </c>
      <c r="M108" s="126">
        <v>0</v>
      </c>
      <c r="N108" s="159" t="s">
        <v>546</v>
      </c>
      <c r="O108" s="126">
        <v>1</v>
      </c>
      <c r="S108" s="206">
        <v>3.01</v>
      </c>
      <c r="T108" s="206">
        <v>3.5</v>
      </c>
      <c r="U108" s="206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1092</v>
      </c>
      <c r="G109" s="126" t="s">
        <v>1107</v>
      </c>
      <c r="H109" s="162">
        <v>46184</v>
      </c>
      <c r="I109" s="126">
        <v>1</v>
      </c>
      <c r="J109" s="141" t="s">
        <v>1134</v>
      </c>
      <c r="K109" s="159" t="s">
        <v>1135</v>
      </c>
      <c r="L109" s="126">
        <v>5</v>
      </c>
      <c r="M109" s="126">
        <v>0</v>
      </c>
      <c r="N109" s="159" t="s">
        <v>1136</v>
      </c>
      <c r="O109" s="126">
        <v>1</v>
      </c>
      <c r="S109" s="206">
        <v>1.35</v>
      </c>
      <c r="T109" s="206">
        <v>1.75</v>
      </c>
      <c r="U109" s="206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1092</v>
      </c>
      <c r="G110" s="126" t="s">
        <v>1107</v>
      </c>
      <c r="H110" s="162">
        <v>46184</v>
      </c>
      <c r="I110" s="126">
        <v>1</v>
      </c>
      <c r="J110" s="141" t="s">
        <v>1140</v>
      </c>
      <c r="K110" s="159" t="s">
        <v>1141</v>
      </c>
      <c r="L110" s="126">
        <v>4</v>
      </c>
      <c r="M110" s="126">
        <v>0</v>
      </c>
      <c r="N110" s="159" t="s">
        <v>546</v>
      </c>
      <c r="O110" s="126">
        <v>100</v>
      </c>
      <c r="S110" s="206">
        <v>0.18</v>
      </c>
      <c r="T110" s="206">
        <v>0.5</v>
      </c>
      <c r="U110" s="206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1092</v>
      </c>
      <c r="G111" s="126" t="s">
        <v>1107</v>
      </c>
      <c r="H111" s="162">
        <v>46184</v>
      </c>
      <c r="I111" s="126">
        <v>1</v>
      </c>
      <c r="J111" s="141" t="s">
        <v>1145</v>
      </c>
      <c r="K111" s="159" t="s">
        <v>1146</v>
      </c>
      <c r="L111" s="126">
        <v>3</v>
      </c>
      <c r="M111" s="126">
        <v>0</v>
      </c>
      <c r="N111" s="159" t="s">
        <v>546</v>
      </c>
      <c r="O111" s="126">
        <v>1</v>
      </c>
      <c r="S111" s="206">
        <v>0.28999999999999998</v>
      </c>
      <c r="T111" s="206">
        <v>0.5</v>
      </c>
      <c r="U111" s="206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1092</v>
      </c>
      <c r="G112" s="126" t="s">
        <v>1107</v>
      </c>
      <c r="H112" s="162">
        <v>46184</v>
      </c>
      <c r="I112" s="126">
        <v>1</v>
      </c>
      <c r="J112" s="141" t="s">
        <v>976</v>
      </c>
      <c r="K112" s="159" t="s">
        <v>977</v>
      </c>
      <c r="L112" s="126">
        <v>3</v>
      </c>
      <c r="M112" s="126">
        <v>0</v>
      </c>
      <c r="N112" s="159" t="s">
        <v>546</v>
      </c>
      <c r="O112" s="126">
        <v>1</v>
      </c>
      <c r="S112" s="206">
        <v>0.24</v>
      </c>
      <c r="T112" s="206">
        <v>0.5</v>
      </c>
      <c r="U112" s="206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1092</v>
      </c>
      <c r="G113" s="126" t="s">
        <v>1107</v>
      </c>
      <c r="H113" s="162">
        <v>46184</v>
      </c>
      <c r="I113" s="126">
        <v>1</v>
      </c>
      <c r="J113" s="141" t="s">
        <v>602</v>
      </c>
      <c r="K113" s="159" t="s">
        <v>603</v>
      </c>
      <c r="L113" s="126">
        <v>15</v>
      </c>
      <c r="M113" s="126">
        <v>0</v>
      </c>
      <c r="N113" s="159" t="s">
        <v>546</v>
      </c>
      <c r="O113" s="126">
        <v>1</v>
      </c>
      <c r="S113" s="206">
        <v>0.5</v>
      </c>
      <c r="T113" s="206">
        <v>0.63</v>
      </c>
      <c r="U113" s="206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1092</v>
      </c>
      <c r="G114" s="126" t="s">
        <v>1107</v>
      </c>
      <c r="H114" s="162">
        <v>46184</v>
      </c>
      <c r="I114" s="126">
        <v>1</v>
      </c>
      <c r="J114" s="141" t="s">
        <v>1156</v>
      </c>
      <c r="K114" s="159" t="s">
        <v>1157</v>
      </c>
      <c r="L114" s="126">
        <v>1</v>
      </c>
      <c r="M114" s="126">
        <v>0</v>
      </c>
      <c r="N114" s="159" t="s">
        <v>546</v>
      </c>
      <c r="O114" s="126">
        <v>1</v>
      </c>
      <c r="S114" s="206">
        <v>0.7</v>
      </c>
      <c r="T114" s="206">
        <v>1.25</v>
      </c>
      <c r="U114" s="206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1092</v>
      </c>
      <c r="G115" s="126" t="s">
        <v>1161</v>
      </c>
      <c r="H115" s="162">
        <v>46184</v>
      </c>
      <c r="I115" s="126">
        <v>1</v>
      </c>
      <c r="J115" s="141" t="s">
        <v>753</v>
      </c>
      <c r="K115" s="159" t="s">
        <v>754</v>
      </c>
      <c r="L115" s="126">
        <v>5</v>
      </c>
      <c r="M115" s="126">
        <v>0</v>
      </c>
      <c r="N115" s="159" t="s">
        <v>795</v>
      </c>
      <c r="O115" s="126">
        <v>20</v>
      </c>
      <c r="S115" s="206">
        <v>4.1500000000000004</v>
      </c>
      <c r="T115" s="206">
        <v>4.75</v>
      </c>
      <c r="U115" s="206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1092</v>
      </c>
      <c r="G116" s="126" t="s">
        <v>1166</v>
      </c>
      <c r="H116" s="162">
        <v>46184</v>
      </c>
      <c r="I116" s="126">
        <v>1</v>
      </c>
      <c r="J116" s="141" t="s">
        <v>653</v>
      </c>
      <c r="K116" s="159" t="s">
        <v>654</v>
      </c>
      <c r="L116" s="126">
        <v>2</v>
      </c>
      <c r="M116" s="126">
        <v>0</v>
      </c>
      <c r="N116" s="159" t="s">
        <v>573</v>
      </c>
      <c r="O116" s="126">
        <v>1</v>
      </c>
      <c r="S116" s="206">
        <v>8.36</v>
      </c>
      <c r="T116" s="206">
        <v>8.25</v>
      </c>
      <c r="U116" s="206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1092</v>
      </c>
      <c r="G117" s="126" t="s">
        <v>1166</v>
      </c>
      <c r="H117" s="162">
        <v>46184</v>
      </c>
      <c r="I117" s="126">
        <v>1</v>
      </c>
      <c r="J117" s="141" t="s">
        <v>1171</v>
      </c>
      <c r="K117" s="159" t="s">
        <v>1172</v>
      </c>
      <c r="L117" s="126">
        <v>4</v>
      </c>
      <c r="M117" s="126">
        <v>0</v>
      </c>
      <c r="N117" s="159" t="s">
        <v>573</v>
      </c>
      <c r="O117" s="126">
        <v>1</v>
      </c>
      <c r="S117" s="206">
        <v>9.48</v>
      </c>
      <c r="T117" s="206">
        <v>10.5</v>
      </c>
      <c r="U117" s="206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1092</v>
      </c>
      <c r="G118" s="126" t="s">
        <v>1166</v>
      </c>
      <c r="H118" s="162">
        <v>46184</v>
      </c>
      <c r="I118" s="126">
        <v>1</v>
      </c>
      <c r="J118" s="141" t="s">
        <v>756</v>
      </c>
      <c r="K118" s="159" t="s">
        <v>757</v>
      </c>
      <c r="L118" s="126">
        <v>6</v>
      </c>
      <c r="M118" s="126">
        <v>0</v>
      </c>
      <c r="N118" s="159" t="s">
        <v>795</v>
      </c>
      <c r="O118" s="126">
        <v>20</v>
      </c>
      <c r="S118" s="206">
        <v>4.75</v>
      </c>
      <c r="T118" s="206">
        <v>5</v>
      </c>
      <c r="U118" s="206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1179</v>
      </c>
      <c r="G119" s="126" t="s">
        <v>1180</v>
      </c>
      <c r="H119" s="162">
        <v>46185</v>
      </c>
      <c r="I119" s="126">
        <v>1</v>
      </c>
      <c r="J119" s="141" t="s">
        <v>683</v>
      </c>
      <c r="K119" s="159" t="s">
        <v>684</v>
      </c>
      <c r="L119" s="126">
        <v>2</v>
      </c>
      <c r="M119" s="126">
        <v>0</v>
      </c>
      <c r="N119" s="159" t="s">
        <v>546</v>
      </c>
      <c r="O119" s="126">
        <v>1</v>
      </c>
      <c r="S119" s="206">
        <v>11.32</v>
      </c>
      <c r="T119" s="206">
        <v>10</v>
      </c>
      <c r="U119" s="206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1179</v>
      </c>
      <c r="G120" s="126" t="s">
        <v>1180</v>
      </c>
      <c r="H120" s="162">
        <v>46185</v>
      </c>
      <c r="I120" s="126">
        <v>1</v>
      </c>
      <c r="J120" s="141" t="s">
        <v>819</v>
      </c>
      <c r="K120" s="159" t="s">
        <v>820</v>
      </c>
      <c r="L120" s="126">
        <v>6</v>
      </c>
      <c r="M120" s="126">
        <v>0</v>
      </c>
      <c r="N120" s="159" t="s">
        <v>546</v>
      </c>
      <c r="O120" s="126">
        <v>1</v>
      </c>
      <c r="S120" s="206">
        <v>1.79</v>
      </c>
      <c r="T120" s="206">
        <v>3.5</v>
      </c>
      <c r="U120" s="206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1179</v>
      </c>
      <c r="G121" s="126" t="s">
        <v>1180</v>
      </c>
      <c r="H121" s="162">
        <v>46185</v>
      </c>
      <c r="I121" s="126">
        <v>1</v>
      </c>
      <c r="J121" s="141" t="s">
        <v>1188</v>
      </c>
      <c r="K121" s="159" t="s">
        <v>1189</v>
      </c>
      <c r="L121" s="126">
        <v>3</v>
      </c>
      <c r="M121" s="126">
        <v>0</v>
      </c>
      <c r="N121" s="159" t="s">
        <v>546</v>
      </c>
      <c r="O121" s="126">
        <v>1</v>
      </c>
      <c r="S121" s="206">
        <v>1.49</v>
      </c>
      <c r="T121" s="206">
        <v>2</v>
      </c>
      <c r="U121" s="206">
        <v>6</v>
      </c>
      <c r="X121" s="126" t="s">
        <v>1190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1179</v>
      </c>
      <c r="G122" s="126" t="s">
        <v>1180</v>
      </c>
      <c r="H122" s="162">
        <v>46185</v>
      </c>
      <c r="I122" s="126">
        <v>1</v>
      </c>
      <c r="J122" s="141" t="s">
        <v>1194</v>
      </c>
      <c r="K122" s="159" t="s">
        <v>1195</v>
      </c>
      <c r="L122" s="126">
        <v>2</v>
      </c>
      <c r="M122" s="126">
        <v>0</v>
      </c>
      <c r="N122" s="159" t="s">
        <v>546</v>
      </c>
      <c r="O122" s="126">
        <v>1</v>
      </c>
      <c r="S122" s="206">
        <v>0.5</v>
      </c>
      <c r="T122" s="206">
        <v>0.63</v>
      </c>
      <c r="U122" s="206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1179</v>
      </c>
      <c r="G123" s="126" t="s">
        <v>1180</v>
      </c>
      <c r="H123" s="162">
        <v>46185</v>
      </c>
      <c r="I123" s="126">
        <v>1</v>
      </c>
      <c r="J123" s="141" t="s">
        <v>1199</v>
      </c>
      <c r="K123" s="159" t="s">
        <v>1200</v>
      </c>
      <c r="L123" s="126">
        <v>1</v>
      </c>
      <c r="M123" s="126">
        <v>0</v>
      </c>
      <c r="N123" s="159" t="s">
        <v>546</v>
      </c>
      <c r="O123" s="126">
        <v>1</v>
      </c>
      <c r="S123" s="206">
        <v>1.75</v>
      </c>
      <c r="T123" s="206">
        <v>2</v>
      </c>
      <c r="U123" s="206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1179</v>
      </c>
      <c r="G124" s="126" t="s">
        <v>1180</v>
      </c>
      <c r="H124" s="162">
        <v>46185</v>
      </c>
      <c r="I124" s="126">
        <v>1</v>
      </c>
      <c r="J124" s="141" t="s">
        <v>1204</v>
      </c>
      <c r="K124" s="159" t="s">
        <v>1205</v>
      </c>
      <c r="L124" s="126">
        <v>1</v>
      </c>
      <c r="M124" s="126">
        <v>0</v>
      </c>
      <c r="N124" s="159" t="s">
        <v>546</v>
      </c>
      <c r="O124" s="126">
        <v>1</v>
      </c>
      <c r="S124" s="206">
        <v>0.55000000000000004</v>
      </c>
      <c r="T124" s="206">
        <v>1.1299999999999999</v>
      </c>
      <c r="U124" s="206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1179</v>
      </c>
      <c r="G125" s="126" t="s">
        <v>1180</v>
      </c>
      <c r="H125" s="162">
        <v>46185</v>
      </c>
      <c r="I125" s="126">
        <v>1</v>
      </c>
      <c r="J125" s="141" t="s">
        <v>1010</v>
      </c>
      <c r="K125" s="159" t="s">
        <v>1011</v>
      </c>
      <c r="L125" s="126">
        <v>1</v>
      </c>
      <c r="M125" s="126">
        <v>0</v>
      </c>
      <c r="N125" s="159" t="s">
        <v>546</v>
      </c>
      <c r="O125" s="126">
        <v>1</v>
      </c>
      <c r="S125" s="206">
        <v>2.7</v>
      </c>
      <c r="T125" s="206">
        <v>3</v>
      </c>
      <c r="U125" s="206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1179</v>
      </c>
      <c r="G126" s="126" t="s">
        <v>1180</v>
      </c>
      <c r="H126" s="162">
        <v>46185</v>
      </c>
      <c r="I126" s="126">
        <v>1</v>
      </c>
      <c r="J126" s="141" t="s">
        <v>1212</v>
      </c>
      <c r="K126" s="159" t="s">
        <v>1213</v>
      </c>
      <c r="L126" s="126">
        <v>1</v>
      </c>
      <c r="M126" s="126">
        <v>0</v>
      </c>
      <c r="N126" s="159" t="s">
        <v>546</v>
      </c>
      <c r="O126" s="126">
        <v>1</v>
      </c>
      <c r="S126" s="206">
        <v>0.95</v>
      </c>
      <c r="T126" s="206">
        <v>1.5</v>
      </c>
      <c r="U126" s="206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1179</v>
      </c>
      <c r="G127" s="126" t="s">
        <v>1180</v>
      </c>
      <c r="H127" s="162">
        <v>46185</v>
      </c>
      <c r="I127" s="126">
        <v>1</v>
      </c>
      <c r="J127" s="141" t="s">
        <v>1217</v>
      </c>
      <c r="K127" s="159" t="s">
        <v>1218</v>
      </c>
      <c r="L127" s="126">
        <v>1</v>
      </c>
      <c r="M127" s="126">
        <v>0</v>
      </c>
      <c r="N127" s="159" t="s">
        <v>546</v>
      </c>
      <c r="O127" s="126">
        <v>1</v>
      </c>
      <c r="S127" s="206">
        <v>0.41</v>
      </c>
      <c r="T127" s="206">
        <v>0.75</v>
      </c>
      <c r="U127" s="206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1179</v>
      </c>
      <c r="G128" s="126" t="s">
        <v>1180</v>
      </c>
      <c r="H128" s="162">
        <v>46185</v>
      </c>
      <c r="I128" s="126">
        <v>1</v>
      </c>
      <c r="J128" s="141" t="s">
        <v>1222</v>
      </c>
      <c r="K128" s="159" t="s">
        <v>1223</v>
      </c>
      <c r="L128" s="126">
        <v>1</v>
      </c>
      <c r="M128" s="126">
        <v>0</v>
      </c>
      <c r="N128" s="159" t="s">
        <v>546</v>
      </c>
      <c r="O128" s="126">
        <v>1</v>
      </c>
      <c r="S128" s="206">
        <v>1.9</v>
      </c>
      <c r="T128" s="206">
        <v>2.25</v>
      </c>
      <c r="U128" s="206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1179</v>
      </c>
      <c r="G129" s="126" t="s">
        <v>1180</v>
      </c>
      <c r="H129" s="162">
        <v>46185</v>
      </c>
      <c r="I129" s="126">
        <v>1</v>
      </c>
      <c r="J129" s="141" t="s">
        <v>648</v>
      </c>
      <c r="K129" s="159" t="s">
        <v>649</v>
      </c>
      <c r="L129" s="126">
        <v>7</v>
      </c>
      <c r="M129" s="126">
        <v>0</v>
      </c>
      <c r="N129" s="159" t="s">
        <v>546</v>
      </c>
      <c r="O129" s="126">
        <v>1</v>
      </c>
      <c r="S129" s="206">
        <v>0.15</v>
      </c>
      <c r="T129" s="206">
        <v>0.38</v>
      </c>
      <c r="U129" s="206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1179</v>
      </c>
      <c r="G130" s="126" t="s">
        <v>1180</v>
      </c>
      <c r="H130" s="162">
        <v>46185</v>
      </c>
      <c r="I130" s="126">
        <v>1</v>
      </c>
      <c r="J130" s="141" t="s">
        <v>1230</v>
      </c>
      <c r="K130" s="159" t="s">
        <v>1231</v>
      </c>
      <c r="L130" s="126">
        <v>2</v>
      </c>
      <c r="M130" s="126">
        <v>0</v>
      </c>
      <c r="N130" s="159" t="s">
        <v>546</v>
      </c>
      <c r="O130" s="126">
        <v>1</v>
      </c>
      <c r="S130" s="206">
        <v>0.22</v>
      </c>
      <c r="T130" s="206">
        <v>0.38</v>
      </c>
      <c r="U130" s="206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1179</v>
      </c>
      <c r="G131" s="126" t="s">
        <v>1180</v>
      </c>
      <c r="H131" s="162">
        <v>46185</v>
      </c>
      <c r="I131" s="126">
        <v>1</v>
      </c>
      <c r="J131" s="141" t="s">
        <v>1235</v>
      </c>
      <c r="K131" s="159" t="s">
        <v>1236</v>
      </c>
      <c r="L131" s="126">
        <v>2</v>
      </c>
      <c r="M131" s="126">
        <v>0</v>
      </c>
      <c r="N131" s="159" t="s">
        <v>546</v>
      </c>
      <c r="O131" s="126">
        <v>1</v>
      </c>
      <c r="S131" s="206">
        <v>0.25</v>
      </c>
      <c r="T131" s="206">
        <v>0.5</v>
      </c>
      <c r="U131" s="206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1179</v>
      </c>
      <c r="G132" s="126" t="s">
        <v>1180</v>
      </c>
      <c r="H132" s="162">
        <v>46185</v>
      </c>
      <c r="I132" s="126">
        <v>1</v>
      </c>
      <c r="J132" s="141" t="s">
        <v>907</v>
      </c>
      <c r="K132" s="159" t="s">
        <v>908</v>
      </c>
      <c r="L132" s="126">
        <v>1</v>
      </c>
      <c r="M132" s="126">
        <v>0</v>
      </c>
      <c r="N132" s="159" t="s">
        <v>546</v>
      </c>
      <c r="O132" s="126">
        <v>1</v>
      </c>
      <c r="S132" s="206">
        <v>0.15</v>
      </c>
      <c r="T132" s="206">
        <v>0.25</v>
      </c>
      <c r="U132" s="206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1179</v>
      </c>
      <c r="G133" s="126" t="s">
        <v>1180</v>
      </c>
      <c r="H133" s="162">
        <v>46185</v>
      </c>
      <c r="I133" s="126">
        <v>1</v>
      </c>
      <c r="J133" s="141" t="s">
        <v>1243</v>
      </c>
      <c r="K133" s="159" t="s">
        <v>1244</v>
      </c>
      <c r="L133" s="126">
        <v>1</v>
      </c>
      <c r="M133" s="126">
        <v>0</v>
      </c>
      <c r="N133" s="159" t="s">
        <v>546</v>
      </c>
      <c r="O133" s="126">
        <v>1</v>
      </c>
      <c r="S133" s="206">
        <v>0.53</v>
      </c>
      <c r="T133" s="206">
        <v>1</v>
      </c>
      <c r="U133" s="206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1179</v>
      </c>
      <c r="G134" s="126" t="s">
        <v>1180</v>
      </c>
      <c r="H134" s="162">
        <v>46185</v>
      </c>
      <c r="I134" s="126">
        <v>1</v>
      </c>
      <c r="J134" s="141" t="s">
        <v>736</v>
      </c>
      <c r="K134" s="159" t="s">
        <v>737</v>
      </c>
      <c r="L134" s="126">
        <v>1</v>
      </c>
      <c r="M134" s="126">
        <v>0</v>
      </c>
      <c r="N134" s="159" t="s">
        <v>670</v>
      </c>
      <c r="O134" s="126">
        <v>12</v>
      </c>
      <c r="S134" s="206">
        <v>4.41</v>
      </c>
      <c r="T134" s="206">
        <v>5</v>
      </c>
      <c r="U134" s="206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1179</v>
      </c>
      <c r="G135" s="126" t="s">
        <v>1251</v>
      </c>
      <c r="H135" s="162">
        <v>46185</v>
      </c>
      <c r="I135" s="126">
        <v>1</v>
      </c>
      <c r="J135" s="141" t="s">
        <v>753</v>
      </c>
      <c r="K135" s="159" t="s">
        <v>754</v>
      </c>
      <c r="L135" s="126">
        <v>10</v>
      </c>
      <c r="M135" s="126">
        <v>0</v>
      </c>
      <c r="N135" s="159" t="s">
        <v>795</v>
      </c>
      <c r="O135" s="126">
        <v>20</v>
      </c>
      <c r="S135" s="206">
        <v>4.1500000000000004</v>
      </c>
      <c r="T135" s="206">
        <v>4.5</v>
      </c>
      <c r="U135" s="206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1179</v>
      </c>
      <c r="G136" s="126" t="s">
        <v>1256</v>
      </c>
      <c r="H136" s="162">
        <v>46185</v>
      </c>
      <c r="I136" s="126">
        <v>1</v>
      </c>
      <c r="J136" s="141" t="s">
        <v>565</v>
      </c>
      <c r="K136" s="159" t="s">
        <v>566</v>
      </c>
      <c r="L136" s="126">
        <v>1</v>
      </c>
      <c r="M136" s="126">
        <v>0</v>
      </c>
      <c r="N136" s="159" t="s">
        <v>941</v>
      </c>
      <c r="O136" s="126">
        <v>1</v>
      </c>
      <c r="S136" s="206">
        <v>95</v>
      </c>
      <c r="T136" s="206">
        <v>95</v>
      </c>
      <c r="U136" s="206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1261</v>
      </c>
      <c r="G137" s="126" t="s">
        <v>1262</v>
      </c>
      <c r="H137" s="162">
        <v>46186</v>
      </c>
      <c r="I137" s="126">
        <v>1</v>
      </c>
      <c r="J137" s="141" t="s">
        <v>753</v>
      </c>
      <c r="K137" s="159" t="s">
        <v>754</v>
      </c>
      <c r="L137" s="126">
        <v>5</v>
      </c>
      <c r="M137" s="126">
        <v>0</v>
      </c>
      <c r="N137" s="159" t="s">
        <v>795</v>
      </c>
      <c r="O137" s="126">
        <v>20</v>
      </c>
      <c r="S137" s="206">
        <v>4.1500000000000004</v>
      </c>
      <c r="T137" s="206">
        <v>4.75</v>
      </c>
      <c r="U137" s="206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1261</v>
      </c>
      <c r="G138" s="126" t="s">
        <v>1262</v>
      </c>
      <c r="H138" s="162">
        <v>46186</v>
      </c>
      <c r="I138" s="126">
        <v>1</v>
      </c>
      <c r="J138" s="141" t="s">
        <v>782</v>
      </c>
      <c r="K138" s="159" t="s">
        <v>783</v>
      </c>
      <c r="L138" s="126">
        <v>5</v>
      </c>
      <c r="M138" s="126">
        <v>0</v>
      </c>
      <c r="N138" s="159" t="s">
        <v>573</v>
      </c>
      <c r="O138" s="126">
        <v>1</v>
      </c>
      <c r="S138" s="206">
        <v>4.92</v>
      </c>
      <c r="T138" s="206">
        <v>5</v>
      </c>
      <c r="U138" s="206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1261</v>
      </c>
      <c r="G139" s="126" t="s">
        <v>1270</v>
      </c>
      <c r="H139" s="162">
        <v>46186</v>
      </c>
      <c r="I139" s="126">
        <v>1</v>
      </c>
      <c r="J139" s="141" t="s">
        <v>809</v>
      </c>
      <c r="K139" s="159" t="s">
        <v>810</v>
      </c>
      <c r="L139" s="126">
        <v>2</v>
      </c>
      <c r="M139" s="126">
        <v>0</v>
      </c>
      <c r="N139" s="159" t="s">
        <v>546</v>
      </c>
      <c r="O139" s="126">
        <v>1</v>
      </c>
      <c r="S139" s="206">
        <v>0.53</v>
      </c>
      <c r="T139" s="206">
        <v>0.75</v>
      </c>
      <c r="U139" s="206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1261</v>
      </c>
      <c r="G140" s="126" t="s">
        <v>1270</v>
      </c>
      <c r="H140" s="162">
        <v>46186</v>
      </c>
      <c r="I140" s="126">
        <v>1</v>
      </c>
      <c r="J140" s="141" t="s">
        <v>1126</v>
      </c>
      <c r="K140" s="159" t="s">
        <v>1127</v>
      </c>
      <c r="L140" s="126">
        <v>2</v>
      </c>
      <c r="M140" s="126">
        <v>0</v>
      </c>
      <c r="N140" s="159" t="s">
        <v>546</v>
      </c>
      <c r="O140" s="126">
        <v>1</v>
      </c>
      <c r="S140" s="206">
        <v>1.32</v>
      </c>
      <c r="T140" s="206">
        <v>1.75</v>
      </c>
      <c r="U140" s="206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1261</v>
      </c>
      <c r="G141" s="126" t="s">
        <v>1270</v>
      </c>
      <c r="H141" s="162">
        <v>46186</v>
      </c>
      <c r="I141" s="126">
        <v>1</v>
      </c>
      <c r="J141" s="141" t="s">
        <v>981</v>
      </c>
      <c r="K141" s="159" t="s">
        <v>982</v>
      </c>
      <c r="L141" s="126">
        <v>3</v>
      </c>
      <c r="M141" s="126">
        <v>0</v>
      </c>
      <c r="N141" s="159" t="s">
        <v>546</v>
      </c>
      <c r="O141" s="126">
        <v>1</v>
      </c>
      <c r="S141" s="206">
        <v>0.34</v>
      </c>
      <c r="T141" s="206">
        <v>0.75</v>
      </c>
      <c r="U141" s="206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1261</v>
      </c>
      <c r="G142" s="126" t="s">
        <v>1270</v>
      </c>
      <c r="H142" s="162">
        <v>46186</v>
      </c>
      <c r="I142" s="126">
        <v>1</v>
      </c>
      <c r="J142" s="141" t="s">
        <v>976</v>
      </c>
      <c r="K142" s="159" t="s">
        <v>977</v>
      </c>
      <c r="L142" s="126">
        <v>2</v>
      </c>
      <c r="M142" s="126">
        <v>0</v>
      </c>
      <c r="N142" s="159" t="s">
        <v>546</v>
      </c>
      <c r="O142" s="126">
        <v>1</v>
      </c>
      <c r="S142" s="206">
        <v>0.24</v>
      </c>
      <c r="T142" s="206">
        <v>0.5</v>
      </c>
      <c r="U142" s="206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1261</v>
      </c>
      <c r="G143" s="126" t="s">
        <v>1270</v>
      </c>
      <c r="H143" s="162">
        <v>46186</v>
      </c>
      <c r="I143" s="126">
        <v>1</v>
      </c>
      <c r="J143" s="141" t="s">
        <v>1204</v>
      </c>
      <c r="K143" s="159" t="s">
        <v>1205</v>
      </c>
      <c r="L143" s="126">
        <v>1</v>
      </c>
      <c r="M143" s="126">
        <v>0</v>
      </c>
      <c r="N143" s="159" t="s">
        <v>546</v>
      </c>
      <c r="O143" s="126">
        <v>1</v>
      </c>
      <c r="S143" s="206">
        <v>0.55000000000000004</v>
      </c>
      <c r="T143" s="206">
        <v>0.75</v>
      </c>
      <c r="U143" s="206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1261</v>
      </c>
      <c r="G144" s="126" t="s">
        <v>1270</v>
      </c>
      <c r="H144" s="162">
        <v>46186</v>
      </c>
      <c r="I144" s="126">
        <v>1</v>
      </c>
      <c r="J144" s="141" t="s">
        <v>1243</v>
      </c>
      <c r="K144" s="159" t="s">
        <v>1244</v>
      </c>
      <c r="L144" s="126">
        <v>2</v>
      </c>
      <c r="M144" s="126">
        <v>0</v>
      </c>
      <c r="N144" s="159" t="s">
        <v>546</v>
      </c>
      <c r="O144" s="126">
        <v>1</v>
      </c>
      <c r="S144" s="206">
        <v>0.53</v>
      </c>
      <c r="T144" s="206">
        <v>0.5</v>
      </c>
      <c r="U144" s="206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1261</v>
      </c>
      <c r="G145" s="126" t="s">
        <v>1270</v>
      </c>
      <c r="H145" s="162">
        <v>46186</v>
      </c>
      <c r="I145" s="126">
        <v>1</v>
      </c>
      <c r="J145" s="141" t="s">
        <v>814</v>
      </c>
      <c r="K145" s="159" t="s">
        <v>815</v>
      </c>
      <c r="L145" s="126">
        <v>1</v>
      </c>
      <c r="M145" s="126">
        <v>0</v>
      </c>
      <c r="N145" s="159" t="s">
        <v>546</v>
      </c>
      <c r="O145" s="126">
        <v>1</v>
      </c>
      <c r="S145" s="206">
        <v>0.28000000000000003</v>
      </c>
      <c r="T145" s="206">
        <v>0.5</v>
      </c>
      <c r="U145" s="206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1261</v>
      </c>
      <c r="G146" s="126" t="s">
        <v>1270</v>
      </c>
      <c r="H146" s="162">
        <v>46186</v>
      </c>
      <c r="I146" s="126">
        <v>1</v>
      </c>
      <c r="J146" s="141" t="s">
        <v>1235</v>
      </c>
      <c r="K146" s="159" t="s">
        <v>1236</v>
      </c>
      <c r="L146" s="126">
        <v>1</v>
      </c>
      <c r="M146" s="126">
        <v>0</v>
      </c>
      <c r="N146" s="159" t="s">
        <v>546</v>
      </c>
      <c r="O146" s="126">
        <v>1</v>
      </c>
      <c r="S146" s="206">
        <v>0.25</v>
      </c>
      <c r="T146" s="206">
        <v>0.5</v>
      </c>
      <c r="U146" s="206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1261</v>
      </c>
      <c r="G147" s="126" t="s">
        <v>1270</v>
      </c>
      <c r="H147" s="162">
        <v>46186</v>
      </c>
      <c r="I147" s="126">
        <v>1</v>
      </c>
      <c r="J147" s="141" t="s">
        <v>1296</v>
      </c>
      <c r="K147" s="159" t="s">
        <v>1297</v>
      </c>
      <c r="L147" s="126">
        <v>1</v>
      </c>
      <c r="M147" s="126">
        <v>0</v>
      </c>
      <c r="N147" s="159" t="s">
        <v>546</v>
      </c>
      <c r="O147" s="126">
        <v>1</v>
      </c>
      <c r="S147" s="206">
        <v>1.51</v>
      </c>
      <c r="T147" s="206">
        <v>2</v>
      </c>
      <c r="U147" s="206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1261</v>
      </c>
      <c r="G148" s="126" t="s">
        <v>1270</v>
      </c>
      <c r="H148" s="162">
        <v>46186</v>
      </c>
      <c r="I148" s="126">
        <v>1</v>
      </c>
      <c r="J148" s="141" t="s">
        <v>819</v>
      </c>
      <c r="K148" s="159" t="s">
        <v>820</v>
      </c>
      <c r="L148" s="126">
        <v>1</v>
      </c>
      <c r="M148" s="126">
        <v>0</v>
      </c>
      <c r="N148" s="159" t="s">
        <v>546</v>
      </c>
      <c r="O148" s="126">
        <v>1</v>
      </c>
      <c r="S148" s="206">
        <v>1.79</v>
      </c>
      <c r="T148" s="206">
        <v>2.5</v>
      </c>
      <c r="U148" s="206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1261</v>
      </c>
      <c r="G149" s="126" t="s">
        <v>1270</v>
      </c>
      <c r="H149" s="162">
        <v>46186</v>
      </c>
      <c r="I149" s="126">
        <v>1</v>
      </c>
      <c r="J149" s="141" t="s">
        <v>1304</v>
      </c>
      <c r="K149" s="159" t="s">
        <v>1305</v>
      </c>
      <c r="L149" s="126">
        <v>1</v>
      </c>
      <c r="M149" s="126">
        <v>0</v>
      </c>
      <c r="N149" s="159" t="s">
        <v>546</v>
      </c>
      <c r="O149" s="126">
        <v>1</v>
      </c>
      <c r="S149" s="206">
        <v>0.34</v>
      </c>
      <c r="T149" s="206">
        <v>0.5</v>
      </c>
      <c r="U149" s="206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1261</v>
      </c>
      <c r="G150" s="126" t="s">
        <v>1270</v>
      </c>
      <c r="H150" s="162">
        <v>46186</v>
      </c>
      <c r="I150" s="126">
        <v>1</v>
      </c>
      <c r="J150" s="141" t="s">
        <v>1010</v>
      </c>
      <c r="K150" s="159" t="s">
        <v>1011</v>
      </c>
      <c r="L150" s="126">
        <v>1</v>
      </c>
      <c r="M150" s="126">
        <v>0</v>
      </c>
      <c r="N150" s="159" t="s">
        <v>546</v>
      </c>
      <c r="O150" s="126">
        <v>1</v>
      </c>
      <c r="S150" s="206">
        <v>2.7</v>
      </c>
      <c r="T150" s="206">
        <v>3</v>
      </c>
      <c r="U150" s="206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1261</v>
      </c>
      <c r="G151" s="126" t="s">
        <v>1312</v>
      </c>
      <c r="H151" s="162">
        <v>46186</v>
      </c>
      <c r="I151" s="126">
        <v>1</v>
      </c>
      <c r="J151" s="141" t="s">
        <v>1314</v>
      </c>
      <c r="K151" s="159" t="s">
        <v>1315</v>
      </c>
      <c r="L151" s="126">
        <v>20</v>
      </c>
      <c r="M151" s="126">
        <v>0</v>
      </c>
      <c r="N151" s="159" t="s">
        <v>1136</v>
      </c>
      <c r="O151" s="126">
        <v>1</v>
      </c>
      <c r="S151" s="206">
        <v>0.78</v>
      </c>
      <c r="T151" s="206">
        <v>1.38</v>
      </c>
      <c r="U151" s="206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1261</v>
      </c>
      <c r="G152" s="126" t="s">
        <v>1312</v>
      </c>
      <c r="H152" s="162">
        <v>46186</v>
      </c>
      <c r="I152" s="126">
        <v>1</v>
      </c>
      <c r="J152" s="141" t="s">
        <v>804</v>
      </c>
      <c r="K152" s="159" t="s">
        <v>805</v>
      </c>
      <c r="L152" s="126">
        <v>30</v>
      </c>
      <c r="M152" s="126">
        <v>0</v>
      </c>
      <c r="N152" s="159" t="s">
        <v>546</v>
      </c>
      <c r="O152" s="126">
        <v>1</v>
      </c>
      <c r="S152" s="206">
        <v>0.12</v>
      </c>
      <c r="T152" s="206">
        <v>0.25</v>
      </c>
      <c r="U152" s="206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126">
        <v>146</v>
      </c>
      <c r="D153" s="126">
        <v>37</v>
      </c>
      <c r="F153" s="126" t="s">
        <v>1261</v>
      </c>
      <c r="G153" s="126" t="s">
        <v>1312</v>
      </c>
      <c r="H153" s="162">
        <v>46186</v>
      </c>
      <c r="I153" s="126">
        <v>1</v>
      </c>
      <c r="J153" s="141" t="s">
        <v>719</v>
      </c>
      <c r="K153" s="159" t="s">
        <v>720</v>
      </c>
      <c r="L153" s="126">
        <v>20</v>
      </c>
      <c r="M153" s="126">
        <v>0</v>
      </c>
      <c r="N153" s="159" t="s">
        <v>1322</v>
      </c>
      <c r="O153" s="126">
        <v>4500</v>
      </c>
      <c r="S153" s="206">
        <v>0</v>
      </c>
      <c r="T153" s="206">
        <v>0.05</v>
      </c>
      <c r="U153" s="206">
        <v>1</v>
      </c>
      <c r="Y153" s="126">
        <v>2</v>
      </c>
      <c r="Z153" s="126">
        <v>6</v>
      </c>
      <c r="AA153" s="126">
        <v>2026</v>
      </c>
      <c r="AB153" s="126">
        <v>1</v>
      </c>
    </row>
    <row r="154" spans="3:28" ht="21.95" customHeight="1">
      <c r="C154" s="126">
        <v>147</v>
      </c>
      <c r="D154" s="126">
        <v>37</v>
      </c>
      <c r="F154" s="126" t="s">
        <v>1261</v>
      </c>
      <c r="G154" s="126" t="s">
        <v>1312</v>
      </c>
      <c r="H154" s="162">
        <v>46186</v>
      </c>
      <c r="I154" s="126">
        <v>1</v>
      </c>
      <c r="J154" s="141" t="s">
        <v>1324</v>
      </c>
      <c r="K154" s="159" t="s">
        <v>1325</v>
      </c>
      <c r="L154" s="126">
        <v>40</v>
      </c>
      <c r="M154" s="126">
        <v>0</v>
      </c>
      <c r="N154" s="159" t="s">
        <v>546</v>
      </c>
      <c r="O154" s="126">
        <v>180</v>
      </c>
      <c r="S154" s="206">
        <v>0.1</v>
      </c>
      <c r="T154" s="206">
        <v>0.13</v>
      </c>
      <c r="U154" s="206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1329</v>
      </c>
      <c r="G155" s="126" t="s">
        <v>1330</v>
      </c>
      <c r="H155" s="162">
        <v>46187</v>
      </c>
      <c r="I155" s="126">
        <v>1</v>
      </c>
      <c r="J155" s="141" t="s">
        <v>753</v>
      </c>
      <c r="K155" s="159" t="s">
        <v>754</v>
      </c>
      <c r="L155" s="126">
        <v>15</v>
      </c>
      <c r="M155" s="126">
        <v>0</v>
      </c>
      <c r="N155" s="159" t="s">
        <v>795</v>
      </c>
      <c r="O155" s="126">
        <v>20</v>
      </c>
      <c r="S155" s="206">
        <v>4.1500000000000004</v>
      </c>
      <c r="T155" s="206">
        <v>4.5</v>
      </c>
      <c r="U155" s="206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1329</v>
      </c>
      <c r="G156" s="126" t="s">
        <v>1335</v>
      </c>
      <c r="H156" s="162">
        <v>46187</v>
      </c>
      <c r="I156" s="126">
        <v>1</v>
      </c>
      <c r="J156" s="141" t="s">
        <v>753</v>
      </c>
      <c r="K156" s="159" t="s">
        <v>754</v>
      </c>
      <c r="L156" s="126">
        <v>10</v>
      </c>
      <c r="M156" s="126">
        <v>0</v>
      </c>
      <c r="N156" s="159" t="s">
        <v>795</v>
      </c>
      <c r="O156" s="126">
        <v>20</v>
      </c>
      <c r="S156" s="206">
        <v>4.1500000000000004</v>
      </c>
      <c r="T156" s="206">
        <v>4.75</v>
      </c>
      <c r="U156" s="206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1329</v>
      </c>
      <c r="G157" s="126" t="s">
        <v>1335</v>
      </c>
      <c r="H157" s="162">
        <v>46187</v>
      </c>
      <c r="I157" s="126">
        <v>1</v>
      </c>
      <c r="J157" s="141" t="s">
        <v>1340</v>
      </c>
      <c r="K157" s="159" t="s">
        <v>1341</v>
      </c>
      <c r="L157" s="126">
        <v>3</v>
      </c>
      <c r="M157" s="126">
        <v>0</v>
      </c>
      <c r="N157" s="159" t="s">
        <v>546</v>
      </c>
      <c r="O157" s="126">
        <v>1</v>
      </c>
      <c r="S157" s="206">
        <v>4.49</v>
      </c>
      <c r="T157" s="206">
        <v>5</v>
      </c>
      <c r="U157" s="206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1329</v>
      </c>
      <c r="G158" s="126" t="s">
        <v>1335</v>
      </c>
      <c r="H158" s="162">
        <v>46187</v>
      </c>
      <c r="I158" s="126">
        <v>1</v>
      </c>
      <c r="J158" s="141" t="s">
        <v>770</v>
      </c>
      <c r="K158" s="159" t="s">
        <v>771</v>
      </c>
      <c r="L158" s="126">
        <v>10</v>
      </c>
      <c r="M158" s="126">
        <v>0</v>
      </c>
      <c r="N158" s="159" t="s">
        <v>619</v>
      </c>
      <c r="O158" s="126">
        <v>1</v>
      </c>
      <c r="S158" s="206">
        <v>6</v>
      </c>
      <c r="T158" s="206">
        <v>6.5</v>
      </c>
      <c r="U158" s="206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1348</v>
      </c>
      <c r="G159" s="126" t="s">
        <v>1349</v>
      </c>
      <c r="H159" s="162">
        <v>46188</v>
      </c>
      <c r="I159" s="126">
        <v>1</v>
      </c>
      <c r="J159" s="141" t="s">
        <v>753</v>
      </c>
      <c r="K159" s="159" t="s">
        <v>754</v>
      </c>
      <c r="L159" s="126">
        <v>8</v>
      </c>
      <c r="M159" s="126">
        <v>0</v>
      </c>
      <c r="N159" s="159" t="s">
        <v>795</v>
      </c>
      <c r="O159" s="126">
        <v>20</v>
      </c>
      <c r="S159" s="206">
        <v>4.1500000000000004</v>
      </c>
      <c r="T159" s="206">
        <v>4.75</v>
      </c>
      <c r="U159" s="206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1348</v>
      </c>
      <c r="G160" s="126" t="s">
        <v>1349</v>
      </c>
      <c r="H160" s="162">
        <v>46188</v>
      </c>
      <c r="I160" s="126">
        <v>1</v>
      </c>
      <c r="J160" s="141" t="s">
        <v>565</v>
      </c>
      <c r="K160" s="159" t="s">
        <v>566</v>
      </c>
      <c r="L160" s="126">
        <v>3</v>
      </c>
      <c r="M160" s="126">
        <v>0</v>
      </c>
      <c r="N160" s="159" t="s">
        <v>795</v>
      </c>
      <c r="O160" s="126">
        <v>20</v>
      </c>
      <c r="S160" s="206">
        <v>4.75</v>
      </c>
      <c r="T160" s="206">
        <v>5</v>
      </c>
      <c r="U160" s="206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1348</v>
      </c>
      <c r="G161" s="126" t="s">
        <v>1357</v>
      </c>
      <c r="H161" s="162">
        <v>46188</v>
      </c>
      <c r="I161" s="126">
        <v>1</v>
      </c>
      <c r="J161" s="141" t="s">
        <v>1235</v>
      </c>
      <c r="K161" s="159" t="s">
        <v>1236</v>
      </c>
      <c r="L161" s="126">
        <v>4</v>
      </c>
      <c r="M161" s="126">
        <v>0</v>
      </c>
      <c r="N161" s="159" t="s">
        <v>546</v>
      </c>
      <c r="O161" s="126">
        <v>1</v>
      </c>
      <c r="S161" s="206">
        <v>0.25</v>
      </c>
      <c r="T161" s="206">
        <v>0.5</v>
      </c>
      <c r="U161" s="206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1348</v>
      </c>
      <c r="G162" s="126" t="s">
        <v>1357</v>
      </c>
      <c r="H162" s="162">
        <v>46188</v>
      </c>
      <c r="I162" s="126">
        <v>1</v>
      </c>
      <c r="J162" s="141" t="s">
        <v>762</v>
      </c>
      <c r="K162" s="159" t="s">
        <v>763</v>
      </c>
      <c r="L162" s="126">
        <v>1</v>
      </c>
      <c r="M162" s="126">
        <v>0</v>
      </c>
      <c r="N162" s="159" t="s">
        <v>619</v>
      </c>
      <c r="O162" s="126">
        <v>1</v>
      </c>
      <c r="S162" s="206">
        <v>1</v>
      </c>
      <c r="T162" s="206">
        <v>1.5</v>
      </c>
      <c r="U162" s="206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1348</v>
      </c>
      <c r="G163" s="126" t="s">
        <v>1357</v>
      </c>
      <c r="H163" s="162">
        <v>46188</v>
      </c>
      <c r="I163" s="126">
        <v>1</v>
      </c>
      <c r="J163" s="141" t="s">
        <v>976</v>
      </c>
      <c r="K163" s="159" t="s">
        <v>977</v>
      </c>
      <c r="L163" s="126">
        <v>4</v>
      </c>
      <c r="M163" s="126">
        <v>0</v>
      </c>
      <c r="N163" s="159" t="s">
        <v>546</v>
      </c>
      <c r="O163" s="126">
        <v>1</v>
      </c>
      <c r="S163" s="206">
        <v>0.24</v>
      </c>
      <c r="T163" s="206">
        <v>0.5</v>
      </c>
      <c r="U163" s="206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1348</v>
      </c>
      <c r="G164" s="126" t="s">
        <v>1357</v>
      </c>
      <c r="H164" s="162">
        <v>46188</v>
      </c>
      <c r="I164" s="126">
        <v>1</v>
      </c>
      <c r="J164" s="141" t="s">
        <v>1368</v>
      </c>
      <c r="K164" s="159" t="s">
        <v>1369</v>
      </c>
      <c r="L164" s="126">
        <v>2</v>
      </c>
      <c r="M164" s="126">
        <v>0</v>
      </c>
      <c r="N164" s="159" t="s">
        <v>546</v>
      </c>
      <c r="O164" s="126">
        <v>1</v>
      </c>
      <c r="S164" s="206">
        <v>0.19</v>
      </c>
      <c r="T164" s="206">
        <v>0.25</v>
      </c>
      <c r="U164" s="206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1348</v>
      </c>
      <c r="G165" s="126" t="s">
        <v>1357</v>
      </c>
      <c r="H165" s="162">
        <v>46188</v>
      </c>
      <c r="I165" s="126">
        <v>1</v>
      </c>
      <c r="J165" s="141" t="s">
        <v>1230</v>
      </c>
      <c r="K165" s="159" t="s">
        <v>1231</v>
      </c>
      <c r="L165" s="126">
        <v>2</v>
      </c>
      <c r="M165" s="126">
        <v>0</v>
      </c>
      <c r="N165" s="159" t="s">
        <v>546</v>
      </c>
      <c r="O165" s="126">
        <v>1</v>
      </c>
      <c r="S165" s="206">
        <v>0.22</v>
      </c>
      <c r="T165" s="206">
        <v>0.38</v>
      </c>
      <c r="U165" s="206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1348</v>
      </c>
      <c r="G166" s="126" t="s">
        <v>1357</v>
      </c>
      <c r="H166" s="162">
        <v>46188</v>
      </c>
      <c r="I166" s="126">
        <v>1</v>
      </c>
      <c r="J166" s="141" t="s">
        <v>648</v>
      </c>
      <c r="K166" s="159" t="s">
        <v>649</v>
      </c>
      <c r="L166" s="126">
        <v>4</v>
      </c>
      <c r="M166" s="126">
        <v>0</v>
      </c>
      <c r="N166" s="159" t="s">
        <v>546</v>
      </c>
      <c r="O166" s="126">
        <v>1</v>
      </c>
      <c r="S166" s="206">
        <v>0.15</v>
      </c>
      <c r="T166" s="206">
        <v>0.38</v>
      </c>
      <c r="U166" s="206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1348</v>
      </c>
      <c r="G167" s="126" t="s">
        <v>1357</v>
      </c>
      <c r="H167" s="162">
        <v>46188</v>
      </c>
      <c r="I167" s="126">
        <v>1</v>
      </c>
      <c r="J167" s="141" t="s">
        <v>1025</v>
      </c>
      <c r="K167" s="159" t="s">
        <v>1026</v>
      </c>
      <c r="L167" s="126">
        <v>1</v>
      </c>
      <c r="M167" s="126">
        <v>0</v>
      </c>
      <c r="N167" s="159" t="s">
        <v>546</v>
      </c>
      <c r="O167" s="126">
        <v>12</v>
      </c>
      <c r="S167" s="206">
        <v>0.75</v>
      </c>
      <c r="T167" s="206">
        <v>1</v>
      </c>
      <c r="U167" s="206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1348</v>
      </c>
      <c r="G168" s="126" t="s">
        <v>1357</v>
      </c>
      <c r="H168" s="162">
        <v>46188</v>
      </c>
      <c r="I168" s="126">
        <v>1</v>
      </c>
      <c r="J168" s="141" t="s">
        <v>1382</v>
      </c>
      <c r="K168" s="159" t="s">
        <v>1383</v>
      </c>
      <c r="L168" s="126">
        <v>1</v>
      </c>
      <c r="M168" s="126">
        <v>0</v>
      </c>
      <c r="N168" s="159" t="s">
        <v>546</v>
      </c>
      <c r="O168" s="126">
        <v>1</v>
      </c>
      <c r="S168" s="206">
        <v>0.13</v>
      </c>
      <c r="T168" s="206">
        <v>0.5</v>
      </c>
      <c r="U168" s="206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1348</v>
      </c>
      <c r="G169" s="126" t="s">
        <v>1357</v>
      </c>
      <c r="H169" s="162">
        <v>46188</v>
      </c>
      <c r="I169" s="126">
        <v>1</v>
      </c>
      <c r="J169" s="141" t="s">
        <v>1243</v>
      </c>
      <c r="K169" s="159" t="s">
        <v>1244</v>
      </c>
      <c r="L169" s="126">
        <v>1</v>
      </c>
      <c r="M169" s="126">
        <v>0</v>
      </c>
      <c r="N169" s="159" t="s">
        <v>546</v>
      </c>
      <c r="O169" s="126">
        <v>1</v>
      </c>
      <c r="S169" s="206">
        <v>0.53</v>
      </c>
      <c r="T169" s="206">
        <v>0.75</v>
      </c>
      <c r="U169" s="206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1348</v>
      </c>
      <c r="G170" s="126" t="s">
        <v>1390</v>
      </c>
      <c r="H170" s="162">
        <v>46188</v>
      </c>
      <c r="I170" s="126">
        <v>1</v>
      </c>
      <c r="J170" s="141" t="s">
        <v>753</v>
      </c>
      <c r="K170" s="159" t="s">
        <v>754</v>
      </c>
      <c r="L170" s="126">
        <v>5</v>
      </c>
      <c r="M170" s="126">
        <v>0</v>
      </c>
      <c r="N170" s="159" t="s">
        <v>795</v>
      </c>
      <c r="O170" s="126">
        <v>20</v>
      </c>
      <c r="S170" s="206">
        <v>4.1500000000000004</v>
      </c>
      <c r="T170" s="206">
        <v>4.75</v>
      </c>
      <c r="U170" s="206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1348</v>
      </c>
      <c r="G171" s="126" t="s">
        <v>1390</v>
      </c>
      <c r="H171" s="162">
        <v>46188</v>
      </c>
      <c r="I171" s="126">
        <v>1</v>
      </c>
      <c r="J171" s="141" t="s">
        <v>565</v>
      </c>
      <c r="K171" s="159" t="s">
        <v>566</v>
      </c>
      <c r="L171" s="126">
        <v>6</v>
      </c>
      <c r="M171" s="126">
        <v>0</v>
      </c>
      <c r="N171" s="159" t="s">
        <v>795</v>
      </c>
      <c r="O171" s="126">
        <v>20</v>
      </c>
      <c r="S171" s="206">
        <v>4.75</v>
      </c>
      <c r="T171" s="206">
        <v>5</v>
      </c>
      <c r="U171" s="206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1348</v>
      </c>
      <c r="G172" s="126" t="s">
        <v>1398</v>
      </c>
      <c r="H172" s="162">
        <v>46188</v>
      </c>
      <c r="I172" s="126">
        <v>1</v>
      </c>
      <c r="J172" s="141" t="s">
        <v>565</v>
      </c>
      <c r="K172" s="159" t="s">
        <v>566</v>
      </c>
      <c r="L172" s="126">
        <v>6</v>
      </c>
      <c r="M172" s="126">
        <v>0</v>
      </c>
      <c r="N172" s="159" t="s">
        <v>795</v>
      </c>
      <c r="O172" s="126">
        <v>20</v>
      </c>
      <c r="S172" s="206">
        <v>4.75</v>
      </c>
      <c r="T172" s="206">
        <v>5</v>
      </c>
      <c r="U172" s="206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1348</v>
      </c>
      <c r="G173" s="126" t="s">
        <v>1398</v>
      </c>
      <c r="H173" s="162">
        <v>46188</v>
      </c>
      <c r="I173" s="126">
        <v>1</v>
      </c>
      <c r="J173" s="141" t="s">
        <v>753</v>
      </c>
      <c r="K173" s="159" t="s">
        <v>754</v>
      </c>
      <c r="L173" s="126">
        <v>3</v>
      </c>
      <c r="M173" s="126">
        <v>0</v>
      </c>
      <c r="N173" s="159" t="s">
        <v>795</v>
      </c>
      <c r="O173" s="126">
        <v>20</v>
      </c>
      <c r="S173" s="206">
        <v>4.1500000000000004</v>
      </c>
      <c r="T173" s="206">
        <v>4.75</v>
      </c>
      <c r="U173" s="206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1348</v>
      </c>
      <c r="G174" s="126" t="s">
        <v>1398</v>
      </c>
      <c r="H174" s="162">
        <v>46188</v>
      </c>
      <c r="I174" s="126">
        <v>1</v>
      </c>
      <c r="J174" s="141" t="s">
        <v>1406</v>
      </c>
      <c r="K174" s="159" t="s">
        <v>1407</v>
      </c>
      <c r="L174" s="126">
        <v>2</v>
      </c>
      <c r="M174" s="126">
        <v>0</v>
      </c>
      <c r="N174" s="159" t="s">
        <v>1408</v>
      </c>
      <c r="O174" s="126">
        <v>1</v>
      </c>
      <c r="S174" s="206">
        <v>1.56</v>
      </c>
      <c r="T174" s="206">
        <v>3</v>
      </c>
      <c r="U174" s="206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1348</v>
      </c>
      <c r="G175" s="126" t="s">
        <v>1398</v>
      </c>
      <c r="H175" s="162">
        <v>46188</v>
      </c>
      <c r="I175" s="126">
        <v>1</v>
      </c>
      <c r="J175" s="141" t="s">
        <v>704</v>
      </c>
      <c r="K175" s="159" t="s">
        <v>705</v>
      </c>
      <c r="L175" s="126">
        <v>2</v>
      </c>
      <c r="M175" s="126">
        <v>0</v>
      </c>
      <c r="N175" s="159" t="s">
        <v>546</v>
      </c>
      <c r="O175" s="126">
        <v>1</v>
      </c>
      <c r="S175" s="206">
        <v>1.35</v>
      </c>
      <c r="T175" s="206">
        <v>2</v>
      </c>
      <c r="U175" s="206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1348</v>
      </c>
      <c r="G176" s="126" t="s">
        <v>1398</v>
      </c>
      <c r="H176" s="162">
        <v>46188</v>
      </c>
      <c r="I176" s="126">
        <v>1</v>
      </c>
      <c r="J176" s="141" t="s">
        <v>1010</v>
      </c>
      <c r="K176" s="159" t="s">
        <v>1011</v>
      </c>
      <c r="L176" s="126">
        <v>1</v>
      </c>
      <c r="M176" s="126">
        <v>0</v>
      </c>
      <c r="N176" s="159" t="s">
        <v>546</v>
      </c>
      <c r="O176" s="126">
        <v>1</v>
      </c>
      <c r="S176" s="206">
        <v>2.7</v>
      </c>
      <c r="T176" s="206">
        <v>3</v>
      </c>
      <c r="U176" s="206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1348</v>
      </c>
      <c r="G177" s="126" t="s">
        <v>1398</v>
      </c>
      <c r="H177" s="162">
        <v>46188</v>
      </c>
      <c r="I177" s="126">
        <v>1</v>
      </c>
      <c r="J177" s="141" t="s">
        <v>643</v>
      </c>
      <c r="K177" s="159" t="s">
        <v>644</v>
      </c>
      <c r="L177" s="126">
        <v>2</v>
      </c>
      <c r="M177" s="126">
        <v>0</v>
      </c>
      <c r="N177" s="159" t="s">
        <v>546</v>
      </c>
      <c r="O177" s="126">
        <v>1</v>
      </c>
      <c r="S177" s="206">
        <v>2.9</v>
      </c>
      <c r="T177" s="206">
        <v>3.5</v>
      </c>
      <c r="U177" s="206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1348</v>
      </c>
      <c r="G178" s="126" t="s">
        <v>1398</v>
      </c>
      <c r="H178" s="162">
        <v>46188</v>
      </c>
      <c r="I178" s="126">
        <v>1</v>
      </c>
      <c r="J178" s="141" t="s">
        <v>697</v>
      </c>
      <c r="K178" s="159" t="s">
        <v>698</v>
      </c>
      <c r="L178" s="126">
        <v>1</v>
      </c>
      <c r="M178" s="126">
        <v>0</v>
      </c>
      <c r="N178" s="159" t="s">
        <v>546</v>
      </c>
      <c r="O178" s="126">
        <v>1</v>
      </c>
      <c r="S178" s="206">
        <v>3.3</v>
      </c>
      <c r="T178" s="206">
        <v>4</v>
      </c>
      <c r="U178" s="206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1348</v>
      </c>
      <c r="G179" s="126" t="s">
        <v>1398</v>
      </c>
      <c r="H179" s="162">
        <v>46188</v>
      </c>
      <c r="I179" s="126">
        <v>1</v>
      </c>
      <c r="J179" s="141" t="s">
        <v>700</v>
      </c>
      <c r="K179" s="159" t="s">
        <v>701</v>
      </c>
      <c r="L179" s="126">
        <v>1</v>
      </c>
      <c r="M179" s="126">
        <v>0</v>
      </c>
      <c r="N179" s="159" t="s">
        <v>546</v>
      </c>
      <c r="O179" s="126">
        <v>1</v>
      </c>
      <c r="S179" s="206">
        <v>2.1</v>
      </c>
      <c r="T179" s="206">
        <v>3</v>
      </c>
      <c r="U179" s="206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1348</v>
      </c>
      <c r="G180" s="126" t="s">
        <v>1398</v>
      </c>
      <c r="H180" s="162">
        <v>46188</v>
      </c>
      <c r="I180" s="126">
        <v>1</v>
      </c>
      <c r="J180" s="141" t="s">
        <v>804</v>
      </c>
      <c r="K180" s="159" t="s">
        <v>805</v>
      </c>
      <c r="L180" s="126">
        <v>3</v>
      </c>
      <c r="M180" s="126">
        <v>0</v>
      </c>
      <c r="N180" s="159" t="s">
        <v>546</v>
      </c>
      <c r="O180" s="126">
        <v>1</v>
      </c>
      <c r="S180" s="206">
        <v>0.12</v>
      </c>
      <c r="T180" s="206">
        <v>0.25</v>
      </c>
      <c r="U180" s="206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1430</v>
      </c>
      <c r="G181" s="126" t="s">
        <v>1431</v>
      </c>
      <c r="H181" s="162">
        <v>46189</v>
      </c>
      <c r="I181" s="126">
        <v>1</v>
      </c>
      <c r="J181" s="141" t="s">
        <v>753</v>
      </c>
      <c r="K181" s="159" t="s">
        <v>754</v>
      </c>
      <c r="L181" s="126">
        <v>10</v>
      </c>
      <c r="M181" s="126">
        <v>0</v>
      </c>
      <c r="N181" s="159" t="s">
        <v>795</v>
      </c>
      <c r="O181" s="126">
        <v>20</v>
      </c>
      <c r="S181" s="206">
        <v>4.1500000000000004</v>
      </c>
      <c r="T181" s="206">
        <v>4.75</v>
      </c>
      <c r="U181" s="206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1430</v>
      </c>
      <c r="G182" s="126" t="s">
        <v>1436</v>
      </c>
      <c r="H182" s="162">
        <v>46189</v>
      </c>
      <c r="I182" s="126">
        <v>1</v>
      </c>
      <c r="J182" s="141" t="s">
        <v>753</v>
      </c>
      <c r="K182" s="159" t="s">
        <v>754</v>
      </c>
      <c r="L182" s="126">
        <v>3</v>
      </c>
      <c r="M182" s="126">
        <v>0</v>
      </c>
      <c r="N182" s="159" t="s">
        <v>795</v>
      </c>
      <c r="O182" s="126">
        <v>20</v>
      </c>
      <c r="S182" s="206">
        <v>4.1500000000000004</v>
      </c>
      <c r="T182" s="206">
        <v>4.75</v>
      </c>
      <c r="U182" s="206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1430</v>
      </c>
      <c r="G183" s="126" t="s">
        <v>1436</v>
      </c>
      <c r="H183" s="162">
        <v>46189</v>
      </c>
      <c r="I183" s="126">
        <v>1</v>
      </c>
      <c r="J183" s="141" t="s">
        <v>565</v>
      </c>
      <c r="K183" s="159" t="s">
        <v>566</v>
      </c>
      <c r="L183" s="126">
        <v>6</v>
      </c>
      <c r="M183" s="126">
        <v>0</v>
      </c>
      <c r="N183" s="159" t="s">
        <v>795</v>
      </c>
      <c r="O183" s="126">
        <v>20</v>
      </c>
      <c r="S183" s="206">
        <v>4.75</v>
      </c>
      <c r="T183" s="206">
        <v>5</v>
      </c>
      <c r="U183" s="206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1430</v>
      </c>
      <c r="G184" s="126" t="s">
        <v>1444</v>
      </c>
      <c r="H184" s="162">
        <v>46189</v>
      </c>
      <c r="I184" s="126">
        <v>1</v>
      </c>
      <c r="J184" s="141" t="s">
        <v>577</v>
      </c>
      <c r="K184" s="159" t="s">
        <v>578</v>
      </c>
      <c r="L184" s="126">
        <v>10</v>
      </c>
      <c r="M184" s="126">
        <v>0</v>
      </c>
      <c r="N184" s="159" t="s">
        <v>573</v>
      </c>
      <c r="O184" s="126">
        <v>1</v>
      </c>
      <c r="S184" s="206">
        <v>3.37</v>
      </c>
      <c r="T184" s="206">
        <v>3.5</v>
      </c>
      <c r="U184" s="206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1430</v>
      </c>
      <c r="G185" s="126" t="s">
        <v>1444</v>
      </c>
      <c r="H185" s="162">
        <v>46189</v>
      </c>
      <c r="I185" s="126">
        <v>1</v>
      </c>
      <c r="J185" s="141" t="s">
        <v>609</v>
      </c>
      <c r="K185" s="159" t="s">
        <v>610</v>
      </c>
      <c r="L185" s="126">
        <v>3</v>
      </c>
      <c r="M185" s="126">
        <v>0</v>
      </c>
      <c r="N185" s="159" t="s">
        <v>573</v>
      </c>
      <c r="O185" s="126">
        <v>1</v>
      </c>
      <c r="S185" s="206">
        <v>6.28</v>
      </c>
      <c r="T185" s="206">
        <v>6</v>
      </c>
      <c r="U185" s="206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1430</v>
      </c>
      <c r="G186" s="126" t="s">
        <v>1444</v>
      </c>
      <c r="H186" s="162">
        <v>46189</v>
      </c>
      <c r="I186" s="126">
        <v>1</v>
      </c>
      <c r="J186" s="141" t="s">
        <v>700</v>
      </c>
      <c r="K186" s="159" t="s">
        <v>701</v>
      </c>
      <c r="L186" s="126">
        <v>10</v>
      </c>
      <c r="M186" s="126">
        <v>0</v>
      </c>
      <c r="N186" s="159" t="s">
        <v>546</v>
      </c>
      <c r="O186" s="126">
        <v>1</v>
      </c>
      <c r="S186" s="206">
        <v>2.1</v>
      </c>
      <c r="T186" s="206">
        <v>3.25</v>
      </c>
      <c r="U186" s="206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1430</v>
      </c>
      <c r="G187" s="126" t="s">
        <v>1444</v>
      </c>
      <c r="H187" s="162">
        <v>46189</v>
      </c>
      <c r="I187" s="126">
        <v>1</v>
      </c>
      <c r="J187" s="141" t="s">
        <v>587</v>
      </c>
      <c r="K187" s="159" t="s">
        <v>588</v>
      </c>
      <c r="L187" s="126">
        <v>1</v>
      </c>
      <c r="M187" s="126">
        <v>0</v>
      </c>
      <c r="N187" s="159" t="s">
        <v>546</v>
      </c>
      <c r="O187" s="126">
        <v>1</v>
      </c>
      <c r="S187" s="206">
        <v>14.85</v>
      </c>
      <c r="T187" s="206">
        <v>15</v>
      </c>
      <c r="U187" s="206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1430</v>
      </c>
      <c r="G188" s="126" t="s">
        <v>1444</v>
      </c>
      <c r="H188" s="162">
        <v>46189</v>
      </c>
      <c r="I188" s="126">
        <v>1</v>
      </c>
      <c r="J188" s="141" t="s">
        <v>756</v>
      </c>
      <c r="K188" s="159" t="s">
        <v>757</v>
      </c>
      <c r="L188" s="126">
        <v>4</v>
      </c>
      <c r="M188" s="126">
        <v>0</v>
      </c>
      <c r="N188" s="159" t="s">
        <v>795</v>
      </c>
      <c r="O188" s="126">
        <v>20</v>
      </c>
      <c r="S188" s="206">
        <v>4.75</v>
      </c>
      <c r="T188" s="206">
        <v>5</v>
      </c>
      <c r="U188" s="206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1461</v>
      </c>
      <c r="G189" s="126" t="s">
        <v>1462</v>
      </c>
      <c r="H189" s="162">
        <v>46190</v>
      </c>
      <c r="I189" s="126">
        <v>1</v>
      </c>
      <c r="J189" s="141" t="s">
        <v>653</v>
      </c>
      <c r="K189" s="159" t="s">
        <v>654</v>
      </c>
      <c r="L189" s="126">
        <v>2</v>
      </c>
      <c r="M189" s="126">
        <v>0</v>
      </c>
      <c r="N189" s="159" t="s">
        <v>573</v>
      </c>
      <c r="O189" s="126">
        <v>1</v>
      </c>
      <c r="S189" s="206">
        <v>8.36</v>
      </c>
      <c r="T189" s="206">
        <v>8.25</v>
      </c>
      <c r="U189" s="206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1461</v>
      </c>
      <c r="G190" s="126" t="s">
        <v>1462</v>
      </c>
      <c r="H190" s="162">
        <v>46190</v>
      </c>
      <c r="I190" s="126">
        <v>1</v>
      </c>
      <c r="J190" s="141" t="s">
        <v>762</v>
      </c>
      <c r="K190" s="159" t="s">
        <v>763</v>
      </c>
      <c r="L190" s="126">
        <v>10</v>
      </c>
      <c r="M190" s="126">
        <v>0</v>
      </c>
      <c r="N190" s="159" t="s">
        <v>619</v>
      </c>
      <c r="O190" s="126">
        <v>1</v>
      </c>
      <c r="S190" s="206">
        <v>1</v>
      </c>
      <c r="T190" s="206">
        <v>1.5</v>
      </c>
      <c r="U190" s="206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1461</v>
      </c>
      <c r="G191" s="126" t="s">
        <v>1462</v>
      </c>
      <c r="H191" s="162">
        <v>46190</v>
      </c>
      <c r="I191" s="126">
        <v>1</v>
      </c>
      <c r="J191" s="141" t="s">
        <v>756</v>
      </c>
      <c r="K191" s="159" t="s">
        <v>757</v>
      </c>
      <c r="L191" s="126">
        <v>6</v>
      </c>
      <c r="M191" s="126">
        <v>0</v>
      </c>
      <c r="N191" s="159" t="s">
        <v>795</v>
      </c>
      <c r="O191" s="126">
        <v>20</v>
      </c>
      <c r="S191" s="206">
        <v>4.75</v>
      </c>
      <c r="T191" s="206">
        <v>5</v>
      </c>
      <c r="U191" s="206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1461</v>
      </c>
      <c r="G192" s="126" t="s">
        <v>1462</v>
      </c>
      <c r="H192" s="162">
        <v>46190</v>
      </c>
      <c r="I192" s="126">
        <v>1</v>
      </c>
      <c r="J192" s="141" t="s">
        <v>756</v>
      </c>
      <c r="K192" s="159" t="s">
        <v>757</v>
      </c>
      <c r="L192" s="126">
        <v>8</v>
      </c>
      <c r="M192" s="126">
        <v>0</v>
      </c>
      <c r="N192" s="159" t="s">
        <v>795</v>
      </c>
      <c r="O192" s="126">
        <v>20</v>
      </c>
      <c r="S192" s="206">
        <v>4.75</v>
      </c>
      <c r="T192" s="206">
        <v>5</v>
      </c>
      <c r="U192" s="206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1461</v>
      </c>
      <c r="G193" s="126" t="s">
        <v>1473</v>
      </c>
      <c r="H193" s="162">
        <v>46190</v>
      </c>
      <c r="I193" s="126">
        <v>1</v>
      </c>
      <c r="J193" s="141" t="s">
        <v>753</v>
      </c>
      <c r="K193" s="159" t="s">
        <v>754</v>
      </c>
      <c r="L193" s="126">
        <v>3</v>
      </c>
      <c r="M193" s="126">
        <v>0</v>
      </c>
      <c r="N193" s="159" t="s">
        <v>795</v>
      </c>
      <c r="O193" s="126">
        <v>20</v>
      </c>
      <c r="S193" s="206">
        <v>4.1500000000000004</v>
      </c>
      <c r="T193" s="206">
        <v>4.75</v>
      </c>
      <c r="U193" s="206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1461</v>
      </c>
      <c r="G194" s="126" t="s">
        <v>1473</v>
      </c>
      <c r="H194" s="162">
        <v>46190</v>
      </c>
      <c r="I194" s="126">
        <v>1</v>
      </c>
      <c r="J194" s="141" t="s">
        <v>756</v>
      </c>
      <c r="K194" s="159" t="s">
        <v>757</v>
      </c>
      <c r="L194" s="126">
        <v>12</v>
      </c>
      <c r="M194" s="126">
        <v>0</v>
      </c>
      <c r="N194" s="159" t="s">
        <v>795</v>
      </c>
      <c r="O194" s="126">
        <v>20</v>
      </c>
      <c r="S194" s="206">
        <v>4.75</v>
      </c>
      <c r="T194" s="206">
        <v>5</v>
      </c>
      <c r="U194" s="206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1461</v>
      </c>
      <c r="G195" s="126" t="s">
        <v>1473</v>
      </c>
      <c r="H195" s="162">
        <v>46190</v>
      </c>
      <c r="I195" s="126">
        <v>1</v>
      </c>
      <c r="J195" s="141" t="s">
        <v>767</v>
      </c>
      <c r="K195" s="159" t="s">
        <v>768</v>
      </c>
      <c r="L195" s="126">
        <v>5</v>
      </c>
      <c r="M195" s="126">
        <v>0</v>
      </c>
      <c r="N195" s="159" t="s">
        <v>619</v>
      </c>
      <c r="O195" s="126">
        <v>1</v>
      </c>
      <c r="S195" s="206">
        <v>4</v>
      </c>
      <c r="T195" s="206">
        <v>5</v>
      </c>
      <c r="U195" s="206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1461</v>
      </c>
      <c r="G196" s="126" t="s">
        <v>1484</v>
      </c>
      <c r="H196" s="162">
        <v>46190</v>
      </c>
      <c r="I196" s="126">
        <v>1</v>
      </c>
      <c r="J196" s="141" t="s">
        <v>1030</v>
      </c>
      <c r="K196" s="159" t="s">
        <v>1031</v>
      </c>
      <c r="L196" s="126">
        <v>7</v>
      </c>
      <c r="M196" s="126">
        <v>0</v>
      </c>
      <c r="N196" s="159" t="s">
        <v>546</v>
      </c>
      <c r="O196" s="126">
        <v>1</v>
      </c>
      <c r="S196" s="206">
        <v>0.85</v>
      </c>
      <c r="T196" s="206">
        <v>1</v>
      </c>
      <c r="U196" s="206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1461</v>
      </c>
      <c r="G197" s="126" t="s">
        <v>1484</v>
      </c>
      <c r="H197" s="162">
        <v>46190</v>
      </c>
      <c r="I197" s="126">
        <v>1</v>
      </c>
      <c r="J197" s="141" t="s">
        <v>997</v>
      </c>
      <c r="K197" s="159" t="s">
        <v>998</v>
      </c>
      <c r="L197" s="126">
        <v>4</v>
      </c>
      <c r="M197" s="126">
        <v>0</v>
      </c>
      <c r="N197" s="159" t="s">
        <v>546</v>
      </c>
      <c r="O197" s="126">
        <v>50</v>
      </c>
      <c r="S197" s="206">
        <v>0.3</v>
      </c>
      <c r="T197" s="206">
        <v>0.63</v>
      </c>
      <c r="U197" s="206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1461</v>
      </c>
      <c r="G198" s="126" t="s">
        <v>1484</v>
      </c>
      <c r="H198" s="162">
        <v>46190</v>
      </c>
      <c r="I198" s="126">
        <v>1</v>
      </c>
      <c r="J198" s="141" t="s">
        <v>1368</v>
      </c>
      <c r="K198" s="159" t="s">
        <v>1369</v>
      </c>
      <c r="L198" s="126">
        <v>4</v>
      </c>
      <c r="M198" s="126">
        <v>0</v>
      </c>
      <c r="N198" s="159" t="s">
        <v>546</v>
      </c>
      <c r="O198" s="126">
        <v>1</v>
      </c>
      <c r="S198" s="206">
        <v>0.19</v>
      </c>
      <c r="T198" s="206">
        <v>0.25</v>
      </c>
      <c r="U198" s="206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1461</v>
      </c>
      <c r="G199" s="126" t="s">
        <v>1484</v>
      </c>
      <c r="H199" s="162">
        <v>46190</v>
      </c>
      <c r="I199" s="126">
        <v>1</v>
      </c>
      <c r="J199" s="141" t="s">
        <v>1140</v>
      </c>
      <c r="K199" s="159" t="s">
        <v>1141</v>
      </c>
      <c r="L199" s="126">
        <v>4</v>
      </c>
      <c r="M199" s="126">
        <v>0</v>
      </c>
      <c r="N199" s="159" t="s">
        <v>546</v>
      </c>
      <c r="O199" s="126">
        <v>100</v>
      </c>
      <c r="S199" s="206">
        <v>0.18</v>
      </c>
      <c r="T199" s="206">
        <v>0.5</v>
      </c>
      <c r="U199" s="206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1461</v>
      </c>
      <c r="G200" s="126" t="s">
        <v>1484</v>
      </c>
      <c r="H200" s="162">
        <v>46190</v>
      </c>
      <c r="I200" s="126">
        <v>1</v>
      </c>
      <c r="J200" s="141" t="s">
        <v>814</v>
      </c>
      <c r="K200" s="159" t="s">
        <v>815</v>
      </c>
      <c r="L200" s="126">
        <v>2</v>
      </c>
      <c r="M200" s="126">
        <v>0</v>
      </c>
      <c r="N200" s="159" t="s">
        <v>546</v>
      </c>
      <c r="O200" s="126">
        <v>1</v>
      </c>
      <c r="S200" s="206">
        <v>0.28000000000000003</v>
      </c>
      <c r="T200" s="206">
        <v>0.38</v>
      </c>
      <c r="U200" s="206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1461</v>
      </c>
      <c r="G201" s="126" t="s">
        <v>1484</v>
      </c>
      <c r="H201" s="162">
        <v>46190</v>
      </c>
      <c r="I201" s="126">
        <v>1</v>
      </c>
      <c r="J201" s="141" t="s">
        <v>1324</v>
      </c>
      <c r="K201" s="159" t="s">
        <v>1325</v>
      </c>
      <c r="L201" s="126">
        <v>1</v>
      </c>
      <c r="M201" s="126">
        <v>0</v>
      </c>
      <c r="N201" s="159" t="s">
        <v>546</v>
      </c>
      <c r="O201" s="126">
        <v>180</v>
      </c>
      <c r="S201" s="206">
        <v>0.1</v>
      </c>
      <c r="T201" s="206">
        <v>0.13</v>
      </c>
      <c r="U201" s="206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1504</v>
      </c>
      <c r="G202" s="126" t="s">
        <v>1505</v>
      </c>
      <c r="H202" s="162">
        <v>46191</v>
      </c>
      <c r="I202" s="126">
        <v>1</v>
      </c>
      <c r="J202" s="141" t="s">
        <v>707</v>
      </c>
      <c r="K202" s="159" t="s">
        <v>708</v>
      </c>
      <c r="L202" s="126">
        <v>1</v>
      </c>
      <c r="M202" s="126">
        <v>0</v>
      </c>
      <c r="N202" s="159" t="s">
        <v>546</v>
      </c>
      <c r="O202" s="126">
        <v>1</v>
      </c>
      <c r="S202" s="206">
        <v>7.49</v>
      </c>
      <c r="T202" s="206">
        <v>8</v>
      </c>
      <c r="U202" s="206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1504</v>
      </c>
      <c r="G203" s="126" t="s">
        <v>1505</v>
      </c>
      <c r="H203" s="162">
        <v>46191</v>
      </c>
      <c r="I203" s="126">
        <v>1</v>
      </c>
      <c r="J203" s="141" t="s">
        <v>643</v>
      </c>
      <c r="K203" s="159" t="s">
        <v>644</v>
      </c>
      <c r="L203" s="126">
        <v>1</v>
      </c>
      <c r="M203" s="126">
        <v>0</v>
      </c>
      <c r="N203" s="159" t="s">
        <v>546</v>
      </c>
      <c r="O203" s="126">
        <v>1</v>
      </c>
      <c r="S203" s="206">
        <v>2.9</v>
      </c>
      <c r="T203" s="206">
        <v>3</v>
      </c>
      <c r="U203" s="206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1504</v>
      </c>
      <c r="G204" s="126" t="s">
        <v>1505</v>
      </c>
      <c r="H204" s="162">
        <v>46191</v>
      </c>
      <c r="I204" s="126">
        <v>1</v>
      </c>
      <c r="J204" s="141" t="s">
        <v>1194</v>
      </c>
      <c r="K204" s="159" t="s">
        <v>1195</v>
      </c>
      <c r="L204" s="126">
        <v>3</v>
      </c>
      <c r="M204" s="126">
        <v>0</v>
      </c>
      <c r="N204" s="159" t="s">
        <v>546</v>
      </c>
      <c r="O204" s="126">
        <v>1</v>
      </c>
      <c r="S204" s="206">
        <v>0.5</v>
      </c>
      <c r="T204" s="206">
        <v>0.88</v>
      </c>
      <c r="U204" s="206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1504</v>
      </c>
      <c r="G205" s="126" t="s">
        <v>1505</v>
      </c>
      <c r="H205" s="162">
        <v>46191</v>
      </c>
      <c r="I205" s="126">
        <v>1</v>
      </c>
      <c r="J205" s="141" t="s">
        <v>1516</v>
      </c>
      <c r="K205" s="159" t="s">
        <v>1517</v>
      </c>
      <c r="L205" s="126">
        <v>1</v>
      </c>
      <c r="M205" s="126">
        <v>0</v>
      </c>
      <c r="N205" s="159" t="s">
        <v>546</v>
      </c>
      <c r="O205" s="126">
        <v>1</v>
      </c>
      <c r="S205" s="206">
        <v>0.66</v>
      </c>
      <c r="T205" s="206">
        <v>1.25</v>
      </c>
      <c r="U205" s="206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1504</v>
      </c>
      <c r="G206" s="126" t="s">
        <v>1505</v>
      </c>
      <c r="H206" s="162">
        <v>46191</v>
      </c>
      <c r="I206" s="126">
        <v>1</v>
      </c>
      <c r="J206" s="141" t="s">
        <v>716</v>
      </c>
      <c r="K206" s="159" t="s">
        <v>717</v>
      </c>
      <c r="L206" s="126">
        <v>2</v>
      </c>
      <c r="M206" s="126">
        <v>0</v>
      </c>
      <c r="N206" s="159" t="s">
        <v>546</v>
      </c>
      <c r="O206" s="126">
        <v>1</v>
      </c>
      <c r="S206" s="206">
        <v>3.01</v>
      </c>
      <c r="T206" s="206">
        <v>2</v>
      </c>
      <c r="U206" s="206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1504</v>
      </c>
      <c r="G207" s="126" t="s">
        <v>1505</v>
      </c>
      <c r="H207" s="162">
        <v>46191</v>
      </c>
      <c r="I207" s="126">
        <v>1</v>
      </c>
      <c r="J207" s="141" t="s">
        <v>1524</v>
      </c>
      <c r="K207" s="159" t="s">
        <v>1525</v>
      </c>
      <c r="L207" s="126">
        <v>1</v>
      </c>
      <c r="M207" s="126">
        <v>0</v>
      </c>
      <c r="N207" s="159" t="s">
        <v>546</v>
      </c>
      <c r="O207" s="126">
        <v>1</v>
      </c>
      <c r="S207" s="206">
        <v>4.2300000000000004</v>
      </c>
      <c r="T207" s="206">
        <v>3.5</v>
      </c>
      <c r="U207" s="206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1504</v>
      </c>
      <c r="G208" s="126" t="s">
        <v>1505</v>
      </c>
      <c r="H208" s="162">
        <v>46191</v>
      </c>
      <c r="I208" s="126">
        <v>1</v>
      </c>
      <c r="J208" s="141" t="s">
        <v>767</v>
      </c>
      <c r="K208" s="159" t="s">
        <v>768</v>
      </c>
      <c r="L208" s="126">
        <v>10</v>
      </c>
      <c r="M208" s="126">
        <v>0</v>
      </c>
      <c r="N208" s="159" t="s">
        <v>619</v>
      </c>
      <c r="O208" s="126">
        <v>1</v>
      </c>
      <c r="S208" s="206">
        <v>4</v>
      </c>
      <c r="T208" s="206">
        <v>4.25</v>
      </c>
      <c r="U208" s="206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1504</v>
      </c>
      <c r="G209" s="126" t="s">
        <v>1505</v>
      </c>
      <c r="H209" s="162">
        <v>46191</v>
      </c>
      <c r="I209" s="126">
        <v>1</v>
      </c>
      <c r="J209" s="141" t="s">
        <v>762</v>
      </c>
      <c r="K209" s="159" t="s">
        <v>763</v>
      </c>
      <c r="L209" s="126">
        <v>1</v>
      </c>
      <c r="M209" s="126">
        <v>0</v>
      </c>
      <c r="N209" s="159" t="s">
        <v>619</v>
      </c>
      <c r="O209" s="126">
        <v>1</v>
      </c>
      <c r="S209" s="206">
        <v>1</v>
      </c>
      <c r="T209" s="206">
        <v>1.5</v>
      </c>
      <c r="U209" s="206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1504</v>
      </c>
      <c r="G210" s="126" t="s">
        <v>1505</v>
      </c>
      <c r="H210" s="162">
        <v>46191</v>
      </c>
      <c r="I210" s="126">
        <v>1</v>
      </c>
      <c r="J210" s="141" t="s">
        <v>723</v>
      </c>
      <c r="K210" s="159" t="s">
        <v>724</v>
      </c>
      <c r="L210" s="126">
        <v>1</v>
      </c>
      <c r="M210" s="126">
        <v>0</v>
      </c>
      <c r="N210" s="159" t="s">
        <v>869</v>
      </c>
      <c r="O210" s="126">
        <v>24</v>
      </c>
      <c r="S210" s="206">
        <v>4.5</v>
      </c>
      <c r="T210" s="206">
        <v>5</v>
      </c>
      <c r="U210" s="206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1504</v>
      </c>
      <c r="G211" s="126" t="s">
        <v>1538</v>
      </c>
      <c r="H211" s="162">
        <v>46191</v>
      </c>
      <c r="I211" s="126">
        <v>1</v>
      </c>
      <c r="J211" s="141" t="s">
        <v>753</v>
      </c>
      <c r="K211" s="159" t="s">
        <v>754</v>
      </c>
      <c r="L211" s="126">
        <v>10</v>
      </c>
      <c r="M211" s="126">
        <v>0</v>
      </c>
      <c r="N211" s="159" t="s">
        <v>795</v>
      </c>
      <c r="O211" s="126">
        <v>20</v>
      </c>
      <c r="S211" s="206">
        <v>4.1500000000000004</v>
      </c>
      <c r="T211" s="206">
        <v>4.75</v>
      </c>
      <c r="U211" s="206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1504</v>
      </c>
      <c r="G212" s="126" t="s">
        <v>1543</v>
      </c>
      <c r="H212" s="162">
        <v>46191</v>
      </c>
      <c r="I212" s="126">
        <v>1</v>
      </c>
      <c r="J212" s="141" t="s">
        <v>565</v>
      </c>
      <c r="K212" s="159" t="s">
        <v>566</v>
      </c>
      <c r="L212" s="126">
        <v>6</v>
      </c>
      <c r="M212" s="126">
        <v>0</v>
      </c>
      <c r="N212" s="159" t="s">
        <v>795</v>
      </c>
      <c r="O212" s="126">
        <v>20</v>
      </c>
      <c r="S212" s="206">
        <v>4.75</v>
      </c>
      <c r="T212" s="206">
        <v>5</v>
      </c>
      <c r="U212" s="206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1504</v>
      </c>
      <c r="G213" s="126" t="s">
        <v>1543</v>
      </c>
      <c r="H213" s="162">
        <v>46191</v>
      </c>
      <c r="I213" s="126">
        <v>1</v>
      </c>
      <c r="J213" s="141" t="s">
        <v>609</v>
      </c>
      <c r="K213" s="159" t="s">
        <v>610</v>
      </c>
      <c r="L213" s="126">
        <v>2</v>
      </c>
      <c r="M213" s="126">
        <v>0</v>
      </c>
      <c r="N213" s="159" t="s">
        <v>573</v>
      </c>
      <c r="O213" s="126">
        <v>1</v>
      </c>
      <c r="S213" s="206">
        <v>6.28</v>
      </c>
      <c r="T213" s="206">
        <v>6.25</v>
      </c>
      <c r="U213" s="206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1504</v>
      </c>
      <c r="G214" s="126" t="s">
        <v>1543</v>
      </c>
      <c r="H214" s="162">
        <v>46191</v>
      </c>
      <c r="I214" s="126">
        <v>1</v>
      </c>
      <c r="J214" s="141" t="s">
        <v>577</v>
      </c>
      <c r="K214" s="159" t="s">
        <v>578</v>
      </c>
      <c r="L214" s="126">
        <v>4</v>
      </c>
      <c r="M214" s="126">
        <v>0</v>
      </c>
      <c r="N214" s="159" t="s">
        <v>573</v>
      </c>
      <c r="O214" s="126">
        <v>1</v>
      </c>
      <c r="S214" s="206">
        <v>3.37</v>
      </c>
      <c r="T214" s="206">
        <v>3.5</v>
      </c>
      <c r="U214" s="206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1504</v>
      </c>
      <c r="G215" s="126" t="s">
        <v>1543</v>
      </c>
      <c r="H215" s="162">
        <v>46191</v>
      </c>
      <c r="I215" s="126">
        <v>1</v>
      </c>
      <c r="J215" s="141" t="s">
        <v>753</v>
      </c>
      <c r="K215" s="159" t="s">
        <v>754</v>
      </c>
      <c r="L215" s="126">
        <v>2</v>
      </c>
      <c r="M215" s="126">
        <v>0</v>
      </c>
      <c r="N215" s="159" t="s">
        <v>795</v>
      </c>
      <c r="O215" s="126">
        <v>20</v>
      </c>
      <c r="S215" s="206">
        <v>4.1500000000000004</v>
      </c>
      <c r="T215" s="206">
        <v>4.75</v>
      </c>
      <c r="U215" s="206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1504</v>
      </c>
      <c r="G216" s="126" t="s">
        <v>1543</v>
      </c>
      <c r="H216" s="162">
        <v>46191</v>
      </c>
      <c r="I216" s="126">
        <v>1</v>
      </c>
      <c r="J216" s="141" t="s">
        <v>779</v>
      </c>
      <c r="K216" s="159" t="s">
        <v>780</v>
      </c>
      <c r="L216" s="126">
        <v>3</v>
      </c>
      <c r="M216" s="126">
        <v>0</v>
      </c>
      <c r="N216" s="159" t="s">
        <v>573</v>
      </c>
      <c r="O216" s="126">
        <v>1</v>
      </c>
      <c r="S216" s="206">
        <v>4.09</v>
      </c>
      <c r="T216" s="206">
        <v>5</v>
      </c>
      <c r="U216" s="206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1504</v>
      </c>
      <c r="G217" s="126" t="s">
        <v>1543</v>
      </c>
      <c r="H217" s="162">
        <v>46191</v>
      </c>
      <c r="I217" s="126">
        <v>1</v>
      </c>
      <c r="J217" s="141" t="s">
        <v>697</v>
      </c>
      <c r="K217" s="159" t="s">
        <v>698</v>
      </c>
      <c r="L217" s="126">
        <v>5</v>
      </c>
      <c r="M217" s="126">
        <v>0</v>
      </c>
      <c r="N217" s="159" t="s">
        <v>546</v>
      </c>
      <c r="O217" s="126">
        <v>1</v>
      </c>
      <c r="S217" s="206">
        <v>3.3</v>
      </c>
      <c r="T217" s="206">
        <v>4</v>
      </c>
      <c r="U217" s="206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1563</v>
      </c>
      <c r="G218" s="126" t="s">
        <v>1564</v>
      </c>
      <c r="H218" s="162">
        <v>46192</v>
      </c>
      <c r="I218" s="126">
        <v>1</v>
      </c>
      <c r="J218" s="141" t="s">
        <v>767</v>
      </c>
      <c r="K218" s="159" t="s">
        <v>768</v>
      </c>
      <c r="L218" s="126">
        <v>5</v>
      </c>
      <c r="M218" s="126">
        <v>0</v>
      </c>
      <c r="N218" s="159" t="s">
        <v>619</v>
      </c>
      <c r="O218" s="126">
        <v>1</v>
      </c>
      <c r="S218" s="206">
        <v>4</v>
      </c>
      <c r="T218" s="206">
        <v>4.25</v>
      </c>
      <c r="U218" s="206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1563</v>
      </c>
      <c r="G219" s="126" t="s">
        <v>1564</v>
      </c>
      <c r="H219" s="162">
        <v>46192</v>
      </c>
      <c r="I219" s="126">
        <v>1</v>
      </c>
      <c r="J219" s="141" t="s">
        <v>609</v>
      </c>
      <c r="K219" s="159" t="s">
        <v>610</v>
      </c>
      <c r="L219" s="126">
        <v>1</v>
      </c>
      <c r="M219" s="126">
        <v>0</v>
      </c>
      <c r="N219" s="159" t="s">
        <v>573</v>
      </c>
      <c r="O219" s="126">
        <v>1</v>
      </c>
      <c r="S219" s="206">
        <v>6.28</v>
      </c>
      <c r="T219" s="206">
        <v>6</v>
      </c>
      <c r="U219" s="206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1563</v>
      </c>
      <c r="G220" s="126" t="s">
        <v>1564</v>
      </c>
      <c r="H220" s="162">
        <v>46192</v>
      </c>
      <c r="I220" s="126">
        <v>1</v>
      </c>
      <c r="J220" s="141" t="s">
        <v>1217</v>
      </c>
      <c r="K220" s="159" t="s">
        <v>1218</v>
      </c>
      <c r="L220" s="126">
        <v>1</v>
      </c>
      <c r="M220" s="126">
        <v>0</v>
      </c>
      <c r="N220" s="159" t="s">
        <v>546</v>
      </c>
      <c r="O220" s="126">
        <v>1</v>
      </c>
      <c r="S220" s="206">
        <v>0.41</v>
      </c>
      <c r="T220" s="206">
        <v>0.88</v>
      </c>
      <c r="U220" s="206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1563</v>
      </c>
      <c r="G221" s="126" t="s">
        <v>1575</v>
      </c>
      <c r="H221" s="162">
        <v>46192</v>
      </c>
      <c r="I221" s="126">
        <v>1</v>
      </c>
      <c r="J221" s="141" t="s">
        <v>756</v>
      </c>
      <c r="K221" s="159" t="s">
        <v>757</v>
      </c>
      <c r="L221" s="126">
        <v>3</v>
      </c>
      <c r="M221" s="126">
        <v>0</v>
      </c>
      <c r="N221" s="159" t="s">
        <v>795</v>
      </c>
      <c r="O221" s="126">
        <v>20</v>
      </c>
      <c r="S221" s="206">
        <v>4.75</v>
      </c>
      <c r="T221" s="206">
        <v>5</v>
      </c>
      <c r="U221" s="206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1563</v>
      </c>
      <c r="G222" s="126" t="s">
        <v>1575</v>
      </c>
      <c r="H222" s="162">
        <v>46192</v>
      </c>
      <c r="I222" s="126">
        <v>1</v>
      </c>
      <c r="J222" s="141" t="s">
        <v>762</v>
      </c>
      <c r="K222" s="159" t="s">
        <v>763</v>
      </c>
      <c r="L222" s="126">
        <v>2</v>
      </c>
      <c r="M222" s="126">
        <v>0</v>
      </c>
      <c r="N222" s="159" t="s">
        <v>619</v>
      </c>
      <c r="O222" s="126">
        <v>1</v>
      </c>
      <c r="S222" s="206">
        <v>1</v>
      </c>
      <c r="T222" s="206">
        <v>1.5</v>
      </c>
      <c r="U222" s="206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1563</v>
      </c>
      <c r="G223" s="126" t="s">
        <v>1583</v>
      </c>
      <c r="H223" s="162">
        <v>46192</v>
      </c>
      <c r="I223" s="126">
        <v>1</v>
      </c>
      <c r="J223" s="141" t="s">
        <v>749</v>
      </c>
      <c r="K223" s="159" t="s">
        <v>750</v>
      </c>
      <c r="L223" s="126">
        <v>1</v>
      </c>
      <c r="M223" s="126">
        <v>0</v>
      </c>
      <c r="N223" s="159" t="s">
        <v>941</v>
      </c>
      <c r="O223" s="126">
        <v>1</v>
      </c>
      <c r="S223" s="206">
        <v>85</v>
      </c>
      <c r="T223" s="206">
        <v>90</v>
      </c>
      <c r="U223" s="206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1563</v>
      </c>
      <c r="G224" s="126" t="s">
        <v>1583</v>
      </c>
      <c r="H224" s="162">
        <v>46192</v>
      </c>
      <c r="I224" s="126">
        <v>1</v>
      </c>
      <c r="J224" s="141" t="s">
        <v>582</v>
      </c>
      <c r="K224" s="159" t="s">
        <v>583</v>
      </c>
      <c r="L224" s="126">
        <v>2</v>
      </c>
      <c r="M224" s="126">
        <v>0</v>
      </c>
      <c r="N224" s="159" t="s">
        <v>546</v>
      </c>
      <c r="O224" s="126">
        <v>1</v>
      </c>
      <c r="S224" s="206">
        <v>5.8</v>
      </c>
      <c r="T224" s="206">
        <v>5</v>
      </c>
      <c r="U224" s="206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1563</v>
      </c>
      <c r="G225" s="126" t="s">
        <v>1583</v>
      </c>
      <c r="H225" s="162">
        <v>46192</v>
      </c>
      <c r="I225" s="126">
        <v>1</v>
      </c>
      <c r="J225" s="141" t="s">
        <v>1194</v>
      </c>
      <c r="K225" s="159" t="s">
        <v>1195</v>
      </c>
      <c r="L225" s="126">
        <v>2</v>
      </c>
      <c r="M225" s="126">
        <v>0</v>
      </c>
      <c r="N225" s="159" t="s">
        <v>546</v>
      </c>
      <c r="O225" s="126">
        <v>1</v>
      </c>
      <c r="S225" s="206">
        <v>0.5</v>
      </c>
      <c r="T225" s="206">
        <v>1.75</v>
      </c>
      <c r="U225" s="206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1594</v>
      </c>
      <c r="G226" s="126" t="s">
        <v>1595</v>
      </c>
      <c r="H226" s="162">
        <v>46193</v>
      </c>
      <c r="I226" s="126">
        <v>1</v>
      </c>
      <c r="J226" s="141" t="s">
        <v>756</v>
      </c>
      <c r="K226" s="159" t="s">
        <v>757</v>
      </c>
      <c r="L226" s="126">
        <v>12</v>
      </c>
      <c r="M226" s="126">
        <v>0</v>
      </c>
      <c r="N226" s="159" t="s">
        <v>795</v>
      </c>
      <c r="O226" s="126">
        <v>20</v>
      </c>
      <c r="S226" s="206">
        <v>4.75</v>
      </c>
      <c r="T226" s="206">
        <v>5</v>
      </c>
      <c r="U226" s="206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1594</v>
      </c>
      <c r="G227" s="126" t="s">
        <v>1600</v>
      </c>
      <c r="H227" s="162">
        <v>46193</v>
      </c>
      <c r="I227" s="126">
        <v>1</v>
      </c>
      <c r="J227" s="141" t="s">
        <v>653</v>
      </c>
      <c r="K227" s="159" t="s">
        <v>654</v>
      </c>
      <c r="L227" s="126">
        <v>3</v>
      </c>
      <c r="M227" s="126">
        <v>0</v>
      </c>
      <c r="N227" s="159" t="s">
        <v>573</v>
      </c>
      <c r="O227" s="126">
        <v>1</v>
      </c>
      <c r="S227" s="206">
        <v>8.36</v>
      </c>
      <c r="T227" s="206">
        <v>9</v>
      </c>
      <c r="U227" s="206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1594</v>
      </c>
      <c r="G228" s="126" t="s">
        <v>1600</v>
      </c>
      <c r="H228" s="162">
        <v>46193</v>
      </c>
      <c r="I228" s="126">
        <v>1</v>
      </c>
      <c r="J228" s="141" t="s">
        <v>779</v>
      </c>
      <c r="K228" s="159" t="s">
        <v>780</v>
      </c>
      <c r="L228" s="126">
        <v>6</v>
      </c>
      <c r="M228" s="126">
        <v>0</v>
      </c>
      <c r="N228" s="159" t="s">
        <v>573</v>
      </c>
      <c r="O228" s="126">
        <v>1</v>
      </c>
      <c r="S228" s="206">
        <v>4.09</v>
      </c>
      <c r="T228" s="206">
        <v>4.5</v>
      </c>
      <c r="U228" s="206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1594</v>
      </c>
      <c r="G229" s="126" t="s">
        <v>1600</v>
      </c>
      <c r="H229" s="162">
        <v>46193</v>
      </c>
      <c r="I229" s="126">
        <v>1</v>
      </c>
      <c r="J229" s="141" t="s">
        <v>700</v>
      </c>
      <c r="K229" s="159" t="s">
        <v>701</v>
      </c>
      <c r="L229" s="126">
        <v>2</v>
      </c>
      <c r="M229" s="126">
        <v>0</v>
      </c>
      <c r="N229" s="159" t="s">
        <v>546</v>
      </c>
      <c r="O229" s="126">
        <v>1</v>
      </c>
      <c r="S229" s="206">
        <v>2.1</v>
      </c>
      <c r="T229" s="206">
        <v>2.75</v>
      </c>
      <c r="U229" s="206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1594</v>
      </c>
      <c r="G230" s="126" t="s">
        <v>1600</v>
      </c>
      <c r="H230" s="162">
        <v>46193</v>
      </c>
      <c r="I230" s="126">
        <v>1</v>
      </c>
      <c r="J230" s="141" t="s">
        <v>884</v>
      </c>
      <c r="K230" s="159" t="s">
        <v>885</v>
      </c>
      <c r="L230" s="126">
        <v>4</v>
      </c>
      <c r="M230" s="126">
        <v>0</v>
      </c>
      <c r="N230" s="159" t="s">
        <v>546</v>
      </c>
      <c r="O230" s="126">
        <v>20</v>
      </c>
      <c r="S230" s="206">
        <v>0.24</v>
      </c>
      <c r="T230" s="206">
        <v>0.5</v>
      </c>
      <c r="U230" s="206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1594</v>
      </c>
      <c r="G231" s="126" t="s">
        <v>1600</v>
      </c>
      <c r="H231" s="162">
        <v>46193</v>
      </c>
      <c r="I231" s="126">
        <v>1</v>
      </c>
      <c r="J231" s="141" t="s">
        <v>1126</v>
      </c>
      <c r="K231" s="159" t="s">
        <v>1127</v>
      </c>
      <c r="L231" s="126">
        <v>1</v>
      </c>
      <c r="M231" s="126">
        <v>0</v>
      </c>
      <c r="N231" s="159" t="s">
        <v>546</v>
      </c>
      <c r="O231" s="126">
        <v>1</v>
      </c>
      <c r="S231" s="206">
        <v>1.32</v>
      </c>
      <c r="T231" s="206">
        <v>1.75</v>
      </c>
      <c r="U231" s="206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1594</v>
      </c>
      <c r="G232" s="126" t="s">
        <v>1600</v>
      </c>
      <c r="H232" s="162">
        <v>46193</v>
      </c>
      <c r="I232" s="126">
        <v>1</v>
      </c>
      <c r="J232" s="141" t="s">
        <v>799</v>
      </c>
      <c r="K232" s="159" t="s">
        <v>800</v>
      </c>
      <c r="L232" s="126">
        <v>1</v>
      </c>
      <c r="M232" s="126">
        <v>0</v>
      </c>
      <c r="N232" s="159" t="s">
        <v>546</v>
      </c>
      <c r="O232" s="126">
        <v>12</v>
      </c>
      <c r="S232" s="206">
        <v>0.34</v>
      </c>
      <c r="T232" s="206">
        <v>0.75</v>
      </c>
      <c r="U232" s="206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1594</v>
      </c>
      <c r="G233" s="126" t="s">
        <v>1620</v>
      </c>
      <c r="H233" s="162">
        <v>46193</v>
      </c>
      <c r="I233" s="126">
        <v>1</v>
      </c>
      <c r="J233" s="141" t="s">
        <v>753</v>
      </c>
      <c r="K233" s="159" t="s">
        <v>754</v>
      </c>
      <c r="L233" s="126">
        <v>10</v>
      </c>
      <c r="M233" s="126">
        <v>0</v>
      </c>
      <c r="N233" s="159" t="s">
        <v>795</v>
      </c>
      <c r="O233" s="126">
        <v>20</v>
      </c>
      <c r="S233" s="206">
        <v>4.1500000000000004</v>
      </c>
      <c r="T233" s="206">
        <v>4.5</v>
      </c>
      <c r="U233" s="206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1625</v>
      </c>
      <c r="G234" s="126" t="s">
        <v>1626</v>
      </c>
      <c r="H234" s="162">
        <v>46194</v>
      </c>
      <c r="I234" s="126">
        <v>1</v>
      </c>
      <c r="J234" s="141" t="s">
        <v>577</v>
      </c>
      <c r="K234" s="159" t="s">
        <v>578</v>
      </c>
      <c r="L234" s="126">
        <v>8</v>
      </c>
      <c r="M234" s="126">
        <v>0</v>
      </c>
      <c r="N234" s="159" t="s">
        <v>573</v>
      </c>
      <c r="O234" s="126">
        <v>1</v>
      </c>
      <c r="S234" s="206">
        <v>3.37</v>
      </c>
      <c r="T234" s="206">
        <v>3.5</v>
      </c>
      <c r="U234" s="206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1625</v>
      </c>
      <c r="G235" s="126" t="s">
        <v>1626</v>
      </c>
      <c r="H235" s="162">
        <v>46194</v>
      </c>
      <c r="I235" s="126">
        <v>1</v>
      </c>
      <c r="J235" s="141" t="s">
        <v>782</v>
      </c>
      <c r="K235" s="159" t="s">
        <v>783</v>
      </c>
      <c r="L235" s="126">
        <v>4</v>
      </c>
      <c r="M235" s="126">
        <v>0</v>
      </c>
      <c r="N235" s="159" t="s">
        <v>573</v>
      </c>
      <c r="O235" s="126">
        <v>1</v>
      </c>
      <c r="S235" s="206">
        <v>4.92</v>
      </c>
      <c r="T235" s="206">
        <v>5.7</v>
      </c>
      <c r="U235" s="206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1625</v>
      </c>
      <c r="G236" s="126" t="s">
        <v>1634</v>
      </c>
      <c r="H236" s="162">
        <v>46194</v>
      </c>
      <c r="I236" s="126">
        <v>1</v>
      </c>
      <c r="J236" s="141" t="s">
        <v>779</v>
      </c>
      <c r="K236" s="159" t="s">
        <v>780</v>
      </c>
      <c r="L236" s="126">
        <v>5</v>
      </c>
      <c r="M236" s="126">
        <v>0</v>
      </c>
      <c r="N236" s="159" t="s">
        <v>573</v>
      </c>
      <c r="O236" s="126">
        <v>1</v>
      </c>
      <c r="S236" s="206">
        <v>4.09</v>
      </c>
      <c r="T236" s="206">
        <v>4.5</v>
      </c>
      <c r="U236" s="206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1625</v>
      </c>
      <c r="G237" s="126" t="s">
        <v>1634</v>
      </c>
      <c r="H237" s="162">
        <v>46194</v>
      </c>
      <c r="I237" s="126">
        <v>1</v>
      </c>
      <c r="J237" s="141" t="s">
        <v>653</v>
      </c>
      <c r="K237" s="159" t="s">
        <v>654</v>
      </c>
      <c r="L237" s="126">
        <v>2</v>
      </c>
      <c r="M237" s="126">
        <v>0</v>
      </c>
      <c r="N237" s="159" t="s">
        <v>573</v>
      </c>
      <c r="O237" s="126">
        <v>1</v>
      </c>
      <c r="S237" s="206">
        <v>8.36</v>
      </c>
      <c r="T237" s="206">
        <v>8.25</v>
      </c>
      <c r="U237" s="206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1625</v>
      </c>
      <c r="G238" s="126" t="s">
        <v>1642</v>
      </c>
      <c r="H238" s="162">
        <v>46194</v>
      </c>
      <c r="I238" s="126">
        <v>1</v>
      </c>
      <c r="J238" s="141" t="s">
        <v>739</v>
      </c>
      <c r="K238" s="159" t="s">
        <v>740</v>
      </c>
      <c r="L238" s="126">
        <v>1</v>
      </c>
      <c r="M238" s="126">
        <v>0</v>
      </c>
      <c r="N238" s="159" t="s">
        <v>1644</v>
      </c>
      <c r="O238" s="126">
        <v>1</v>
      </c>
      <c r="S238" s="206">
        <v>47</v>
      </c>
      <c r="T238" s="206">
        <v>50</v>
      </c>
      <c r="U238" s="206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1625</v>
      </c>
      <c r="G239" s="126" t="s">
        <v>1642</v>
      </c>
      <c r="H239" s="162">
        <v>46194</v>
      </c>
      <c r="I239" s="126">
        <v>1</v>
      </c>
      <c r="J239" s="141" t="s">
        <v>1648</v>
      </c>
      <c r="K239" s="159" t="s">
        <v>1649</v>
      </c>
      <c r="L239" s="126">
        <v>10</v>
      </c>
      <c r="M239" s="126">
        <v>0</v>
      </c>
      <c r="N239" s="159" t="s">
        <v>546</v>
      </c>
      <c r="O239" s="126">
        <v>1</v>
      </c>
      <c r="S239" s="206">
        <v>0.4</v>
      </c>
      <c r="T239" s="206">
        <v>0.15</v>
      </c>
      <c r="U239" s="206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1653</v>
      </c>
      <c r="G240" s="126" t="s">
        <v>1654</v>
      </c>
      <c r="H240" s="162">
        <v>46195</v>
      </c>
      <c r="I240" s="126">
        <v>1</v>
      </c>
      <c r="J240" s="141" t="s">
        <v>749</v>
      </c>
      <c r="K240" s="159" t="s">
        <v>750</v>
      </c>
      <c r="L240" s="126">
        <v>10</v>
      </c>
      <c r="M240" s="126">
        <v>0</v>
      </c>
      <c r="N240" s="159" t="s">
        <v>795</v>
      </c>
      <c r="O240" s="126">
        <v>20</v>
      </c>
      <c r="S240" s="206">
        <v>4.25</v>
      </c>
      <c r="T240" s="206">
        <v>4.75</v>
      </c>
      <c r="U240" s="206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1653</v>
      </c>
      <c r="G241" s="126" t="s">
        <v>1654</v>
      </c>
      <c r="H241" s="162">
        <v>46195</v>
      </c>
      <c r="I241" s="126">
        <v>1</v>
      </c>
      <c r="J241" s="141" t="s">
        <v>753</v>
      </c>
      <c r="K241" s="159" t="s">
        <v>754</v>
      </c>
      <c r="L241" s="126">
        <v>5</v>
      </c>
      <c r="M241" s="126">
        <v>0</v>
      </c>
      <c r="N241" s="159" t="s">
        <v>795</v>
      </c>
      <c r="O241" s="126">
        <v>20</v>
      </c>
      <c r="S241" s="206">
        <v>4.1500000000000004</v>
      </c>
      <c r="T241" s="206">
        <v>4.75</v>
      </c>
      <c r="U241" s="206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1653</v>
      </c>
      <c r="G242" s="126" t="s">
        <v>1662</v>
      </c>
      <c r="H242" s="162">
        <v>46195</v>
      </c>
      <c r="I242" s="126">
        <v>1</v>
      </c>
      <c r="J242" s="141" t="s">
        <v>609</v>
      </c>
      <c r="K242" s="159" t="s">
        <v>610</v>
      </c>
      <c r="L242" s="126">
        <v>3</v>
      </c>
      <c r="M242" s="126">
        <v>0</v>
      </c>
      <c r="N242" s="159" t="s">
        <v>573</v>
      </c>
      <c r="O242" s="126">
        <v>1</v>
      </c>
      <c r="S242" s="206">
        <v>6.28</v>
      </c>
      <c r="T242" s="206">
        <v>7</v>
      </c>
      <c r="U242" s="206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1653</v>
      </c>
      <c r="G243" s="126" t="s">
        <v>1662</v>
      </c>
      <c r="H243" s="162">
        <v>46195</v>
      </c>
      <c r="I243" s="126">
        <v>1</v>
      </c>
      <c r="J243" s="141" t="s">
        <v>753</v>
      </c>
      <c r="K243" s="159" t="s">
        <v>754</v>
      </c>
      <c r="L243" s="126">
        <v>3</v>
      </c>
      <c r="M243" s="126">
        <v>0</v>
      </c>
      <c r="N243" s="159" t="s">
        <v>795</v>
      </c>
      <c r="O243" s="126">
        <v>20</v>
      </c>
      <c r="S243" s="206">
        <v>4.1500000000000004</v>
      </c>
      <c r="T243" s="206">
        <v>4.75</v>
      </c>
      <c r="U243" s="206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1653</v>
      </c>
      <c r="G244" s="126" t="s">
        <v>1670</v>
      </c>
      <c r="H244" s="162">
        <v>46195</v>
      </c>
      <c r="I244" s="126">
        <v>1</v>
      </c>
      <c r="J244" s="141" t="s">
        <v>753</v>
      </c>
      <c r="K244" s="159" t="s">
        <v>754</v>
      </c>
      <c r="L244" s="126">
        <v>5</v>
      </c>
      <c r="M244" s="126">
        <v>0</v>
      </c>
      <c r="N244" s="159" t="s">
        <v>795</v>
      </c>
      <c r="O244" s="126">
        <v>20</v>
      </c>
      <c r="S244" s="206">
        <v>4.1500000000000004</v>
      </c>
      <c r="T244" s="206">
        <v>4.75</v>
      </c>
      <c r="U244" s="206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1653</v>
      </c>
      <c r="G245" s="126" t="s">
        <v>1670</v>
      </c>
      <c r="H245" s="162">
        <v>46195</v>
      </c>
      <c r="I245" s="126">
        <v>1</v>
      </c>
      <c r="J245" s="141" t="s">
        <v>697</v>
      </c>
      <c r="K245" s="159" t="s">
        <v>698</v>
      </c>
      <c r="L245" s="126">
        <v>2</v>
      </c>
      <c r="M245" s="126">
        <v>0</v>
      </c>
      <c r="N245" s="159" t="s">
        <v>546</v>
      </c>
      <c r="O245" s="126">
        <v>1</v>
      </c>
      <c r="S245" s="206">
        <v>3.3</v>
      </c>
      <c r="T245" s="206">
        <v>3.75</v>
      </c>
      <c r="U245" s="206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1653</v>
      </c>
      <c r="G246" s="126" t="s">
        <v>1670</v>
      </c>
      <c r="H246" s="162">
        <v>46195</v>
      </c>
      <c r="I246" s="126">
        <v>1</v>
      </c>
      <c r="J246" s="141" t="s">
        <v>723</v>
      </c>
      <c r="K246" s="159" t="s">
        <v>724</v>
      </c>
      <c r="L246" s="126">
        <v>2</v>
      </c>
      <c r="M246" s="126">
        <v>0</v>
      </c>
      <c r="N246" s="159" t="s">
        <v>869</v>
      </c>
      <c r="O246" s="126">
        <v>24</v>
      </c>
      <c r="S246" s="206">
        <v>4.5</v>
      </c>
      <c r="T246" s="206">
        <v>5</v>
      </c>
      <c r="U246" s="206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1653</v>
      </c>
      <c r="G247" s="126" t="s">
        <v>1670</v>
      </c>
      <c r="H247" s="162">
        <v>46195</v>
      </c>
      <c r="I247" s="126">
        <v>1</v>
      </c>
      <c r="J247" s="141" t="s">
        <v>704</v>
      </c>
      <c r="K247" s="159" t="s">
        <v>705</v>
      </c>
      <c r="L247" s="126">
        <v>5</v>
      </c>
      <c r="M247" s="126">
        <v>0</v>
      </c>
      <c r="N247" s="159" t="s">
        <v>546</v>
      </c>
      <c r="O247" s="126">
        <v>1</v>
      </c>
      <c r="S247" s="206">
        <v>1.35</v>
      </c>
      <c r="T247" s="206">
        <v>2</v>
      </c>
      <c r="U247" s="206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1653</v>
      </c>
      <c r="G248" s="126" t="s">
        <v>1684</v>
      </c>
      <c r="H248" s="162">
        <v>46195</v>
      </c>
      <c r="I248" s="126">
        <v>1</v>
      </c>
      <c r="J248" s="141" t="s">
        <v>749</v>
      </c>
      <c r="K248" s="159" t="s">
        <v>750</v>
      </c>
      <c r="L248" s="126">
        <v>10</v>
      </c>
      <c r="M248" s="126">
        <v>0</v>
      </c>
      <c r="N248" s="159" t="s">
        <v>795</v>
      </c>
      <c r="O248" s="126">
        <v>20</v>
      </c>
      <c r="S248" s="206">
        <v>4.25</v>
      </c>
      <c r="T248" s="206">
        <v>4.5</v>
      </c>
      <c r="U248" s="206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1700</v>
      </c>
      <c r="G249" s="126" t="s">
        <v>1689</v>
      </c>
      <c r="H249" s="162">
        <v>46196</v>
      </c>
      <c r="I249" s="126">
        <v>1</v>
      </c>
      <c r="J249" s="141" t="s">
        <v>1524</v>
      </c>
      <c r="K249" s="159" t="s">
        <v>1525</v>
      </c>
      <c r="L249" s="126">
        <v>3</v>
      </c>
      <c r="M249" s="126">
        <v>0</v>
      </c>
      <c r="N249" s="159" t="s">
        <v>546</v>
      </c>
      <c r="O249" s="126">
        <v>1</v>
      </c>
      <c r="S249" s="206">
        <v>4.2300000000000004</v>
      </c>
      <c r="T249" s="206">
        <v>5</v>
      </c>
      <c r="U249" s="206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1700</v>
      </c>
      <c r="G250" s="126" t="s">
        <v>1689</v>
      </c>
      <c r="H250" s="162">
        <v>46196</v>
      </c>
      <c r="I250" s="126">
        <v>1</v>
      </c>
      <c r="J250" s="141" t="s">
        <v>1038</v>
      </c>
      <c r="K250" s="159" t="s">
        <v>1039</v>
      </c>
      <c r="L250" s="126">
        <v>5</v>
      </c>
      <c r="M250" s="126">
        <v>0</v>
      </c>
      <c r="N250" s="159" t="s">
        <v>546</v>
      </c>
      <c r="O250" s="126">
        <v>1</v>
      </c>
      <c r="S250" s="206">
        <v>4.33</v>
      </c>
      <c r="T250" s="206">
        <v>5</v>
      </c>
      <c r="U250" s="206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1700</v>
      </c>
      <c r="G251" s="126" t="s">
        <v>1689</v>
      </c>
      <c r="H251" s="162">
        <v>46196</v>
      </c>
      <c r="I251" s="126">
        <v>1</v>
      </c>
      <c r="J251" s="141" t="s">
        <v>753</v>
      </c>
      <c r="K251" s="159" t="s">
        <v>754</v>
      </c>
      <c r="L251" s="126">
        <v>5</v>
      </c>
      <c r="M251" s="126">
        <v>0</v>
      </c>
      <c r="N251" s="159" t="s">
        <v>795</v>
      </c>
      <c r="O251" s="126">
        <v>20</v>
      </c>
      <c r="S251" s="206">
        <v>4.1500000000000004</v>
      </c>
      <c r="T251" s="206">
        <v>4.75</v>
      </c>
      <c r="U251" s="206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1700</v>
      </c>
      <c r="G252" s="126" t="s">
        <v>1701</v>
      </c>
      <c r="H252" s="162">
        <v>46196</v>
      </c>
      <c r="I252" s="126">
        <v>1</v>
      </c>
      <c r="J252" s="141" t="s">
        <v>1703</v>
      </c>
      <c r="K252" s="159" t="s">
        <v>1704</v>
      </c>
      <c r="L252" s="126">
        <v>1</v>
      </c>
      <c r="M252" s="126">
        <v>0</v>
      </c>
      <c r="N252" s="159" t="s">
        <v>1705</v>
      </c>
      <c r="O252" s="126">
        <v>1</v>
      </c>
      <c r="S252" s="206">
        <v>53</v>
      </c>
      <c r="T252" s="206">
        <v>60</v>
      </c>
      <c r="U252" s="206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1700</v>
      </c>
      <c r="G253" s="126" t="s">
        <v>1701</v>
      </c>
      <c r="H253" s="162">
        <v>46196</v>
      </c>
      <c r="I253" s="126">
        <v>1</v>
      </c>
      <c r="J253" s="141" t="s">
        <v>1709</v>
      </c>
      <c r="K253" s="159" t="s">
        <v>1710</v>
      </c>
      <c r="L253" s="126">
        <v>1</v>
      </c>
      <c r="M253" s="126">
        <v>0</v>
      </c>
      <c r="N253" s="159" t="s">
        <v>670</v>
      </c>
      <c r="O253" s="126">
        <v>4</v>
      </c>
      <c r="S253" s="206">
        <v>20.25</v>
      </c>
      <c r="T253" s="206">
        <v>26</v>
      </c>
      <c r="U253" s="206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1700</v>
      </c>
      <c r="G254" s="126" t="s">
        <v>1701</v>
      </c>
      <c r="H254" s="162">
        <v>46196</v>
      </c>
      <c r="I254" s="126">
        <v>1</v>
      </c>
      <c r="J254" s="141" t="s">
        <v>782</v>
      </c>
      <c r="K254" s="159" t="s">
        <v>783</v>
      </c>
      <c r="L254" s="126">
        <v>5</v>
      </c>
      <c r="M254" s="126">
        <v>0</v>
      </c>
      <c r="N254" s="159" t="s">
        <v>573</v>
      </c>
      <c r="O254" s="126">
        <v>1</v>
      </c>
      <c r="S254" s="206">
        <v>4.92</v>
      </c>
      <c r="T254" s="206">
        <v>6</v>
      </c>
      <c r="U254" s="206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1700</v>
      </c>
      <c r="G255" s="126" t="s">
        <v>1717</v>
      </c>
      <c r="H255" s="162">
        <v>46196</v>
      </c>
      <c r="I255" s="126">
        <v>1</v>
      </c>
      <c r="J255" s="141" t="s">
        <v>756</v>
      </c>
      <c r="K255" s="159" t="s">
        <v>757</v>
      </c>
      <c r="L255" s="126">
        <v>12</v>
      </c>
      <c r="M255" s="126">
        <v>0</v>
      </c>
      <c r="N255" s="159" t="s">
        <v>795</v>
      </c>
      <c r="O255" s="126">
        <v>20</v>
      </c>
      <c r="S255" s="206">
        <v>4.75</v>
      </c>
      <c r="T255" s="206">
        <v>5</v>
      </c>
      <c r="U255" s="206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1722</v>
      </c>
      <c r="G256" s="126" t="s">
        <v>1723</v>
      </c>
      <c r="H256" s="162">
        <v>46197</v>
      </c>
      <c r="I256" s="126">
        <v>1</v>
      </c>
      <c r="J256" s="141" t="s">
        <v>756</v>
      </c>
      <c r="K256" s="159" t="s">
        <v>757</v>
      </c>
      <c r="L256" s="126">
        <v>3</v>
      </c>
      <c r="M256" s="126">
        <v>0</v>
      </c>
      <c r="N256" s="159" t="s">
        <v>795</v>
      </c>
      <c r="O256" s="126">
        <v>20</v>
      </c>
      <c r="S256" s="206">
        <v>4.75</v>
      </c>
      <c r="T256" s="206">
        <v>5</v>
      </c>
      <c r="U256" s="206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1722</v>
      </c>
      <c r="G257" s="126" t="s">
        <v>1723</v>
      </c>
      <c r="H257" s="162">
        <v>46197</v>
      </c>
      <c r="I257" s="126">
        <v>1</v>
      </c>
      <c r="J257" s="141" t="s">
        <v>762</v>
      </c>
      <c r="K257" s="159" t="s">
        <v>763</v>
      </c>
      <c r="L257" s="126">
        <v>1</v>
      </c>
      <c r="M257" s="126">
        <v>0</v>
      </c>
      <c r="N257" s="159" t="s">
        <v>619</v>
      </c>
      <c r="O257" s="126">
        <v>1</v>
      </c>
      <c r="S257" s="206">
        <v>1</v>
      </c>
      <c r="T257" s="206">
        <v>1.5</v>
      </c>
      <c r="U257" s="206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1722</v>
      </c>
      <c r="G258" s="126" t="s">
        <v>1731</v>
      </c>
      <c r="H258" s="162">
        <v>46197</v>
      </c>
      <c r="I258" s="126">
        <v>1</v>
      </c>
      <c r="J258" s="141" t="s">
        <v>609</v>
      </c>
      <c r="K258" s="159" t="s">
        <v>610</v>
      </c>
      <c r="L258" s="126">
        <v>7</v>
      </c>
      <c r="M258" s="126">
        <v>0</v>
      </c>
      <c r="N258" s="159" t="s">
        <v>573</v>
      </c>
      <c r="O258" s="126">
        <v>1</v>
      </c>
      <c r="S258" s="206">
        <v>6.28</v>
      </c>
      <c r="T258" s="206">
        <v>6.25</v>
      </c>
      <c r="U258" s="206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1722</v>
      </c>
      <c r="G259" s="126" t="s">
        <v>1731</v>
      </c>
      <c r="H259" s="162">
        <v>46197</v>
      </c>
      <c r="I259" s="126">
        <v>1</v>
      </c>
      <c r="J259" s="141" t="s">
        <v>653</v>
      </c>
      <c r="K259" s="159" t="s">
        <v>654</v>
      </c>
      <c r="L259" s="126">
        <v>2</v>
      </c>
      <c r="M259" s="126">
        <v>0</v>
      </c>
      <c r="N259" s="159" t="s">
        <v>573</v>
      </c>
      <c r="O259" s="126">
        <v>1</v>
      </c>
      <c r="S259" s="206">
        <v>8.36</v>
      </c>
      <c r="T259" s="206">
        <v>8.25</v>
      </c>
      <c r="U259" s="206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1722</v>
      </c>
      <c r="G260" s="126" t="s">
        <v>1739</v>
      </c>
      <c r="H260" s="162">
        <v>46197</v>
      </c>
      <c r="I260" s="126">
        <v>1</v>
      </c>
      <c r="J260" s="141" t="s">
        <v>753</v>
      </c>
      <c r="K260" s="159" t="s">
        <v>754</v>
      </c>
      <c r="L260" s="126">
        <v>5</v>
      </c>
      <c r="M260" s="126">
        <v>0</v>
      </c>
      <c r="N260" s="159" t="s">
        <v>795</v>
      </c>
      <c r="O260" s="126">
        <v>20</v>
      </c>
      <c r="S260" s="206">
        <v>4.1500000000000004</v>
      </c>
      <c r="T260" s="206">
        <v>4.5</v>
      </c>
      <c r="U260" s="206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1722</v>
      </c>
      <c r="G261" s="126" t="s">
        <v>1739</v>
      </c>
      <c r="H261" s="162">
        <v>46197</v>
      </c>
      <c r="I261" s="126">
        <v>1</v>
      </c>
      <c r="J261" s="141" t="s">
        <v>1744</v>
      </c>
      <c r="K261" s="159" t="s">
        <v>1745</v>
      </c>
      <c r="L261" s="126">
        <v>1</v>
      </c>
      <c r="M261" s="126">
        <v>0</v>
      </c>
      <c r="N261" s="159" t="s">
        <v>546</v>
      </c>
      <c r="O261" s="126">
        <v>1</v>
      </c>
      <c r="S261" s="206">
        <v>2.12</v>
      </c>
      <c r="T261" s="206">
        <v>2.25</v>
      </c>
      <c r="U261" s="206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1722</v>
      </c>
      <c r="G262" s="126" t="s">
        <v>1739</v>
      </c>
      <c r="H262" s="162">
        <v>46197</v>
      </c>
      <c r="I262" s="126">
        <v>1</v>
      </c>
      <c r="J262" s="141" t="s">
        <v>1749</v>
      </c>
      <c r="K262" s="159" t="s">
        <v>1750</v>
      </c>
      <c r="L262" s="126">
        <v>1</v>
      </c>
      <c r="M262" s="126">
        <v>0</v>
      </c>
      <c r="N262" s="159" t="s">
        <v>546</v>
      </c>
      <c r="O262" s="126">
        <v>1</v>
      </c>
      <c r="S262" s="206">
        <v>1.04</v>
      </c>
      <c r="T262" s="206">
        <v>2.5</v>
      </c>
      <c r="U262" s="206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1722</v>
      </c>
      <c r="G263" s="126" t="s">
        <v>1739</v>
      </c>
      <c r="H263" s="162">
        <v>46197</v>
      </c>
      <c r="I263" s="126">
        <v>1</v>
      </c>
      <c r="J263" s="141" t="s">
        <v>742</v>
      </c>
      <c r="K263" s="159" t="s">
        <v>743</v>
      </c>
      <c r="L263" s="126">
        <v>1</v>
      </c>
      <c r="M263" s="126">
        <v>0</v>
      </c>
      <c r="N263" s="159" t="s">
        <v>1705</v>
      </c>
      <c r="O263" s="126">
        <v>1</v>
      </c>
      <c r="S263" s="206">
        <v>53</v>
      </c>
      <c r="T263" s="206">
        <v>54.5</v>
      </c>
      <c r="U263" s="206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1722</v>
      </c>
      <c r="G264" s="126" t="s">
        <v>1757</v>
      </c>
      <c r="H264" s="162">
        <v>46197</v>
      </c>
      <c r="I264" s="126">
        <v>1</v>
      </c>
      <c r="J264" s="141" t="s">
        <v>565</v>
      </c>
      <c r="K264" s="159" t="s">
        <v>566</v>
      </c>
      <c r="L264" s="126">
        <v>5</v>
      </c>
      <c r="M264" s="126">
        <v>0</v>
      </c>
      <c r="N264" s="159" t="s">
        <v>795</v>
      </c>
      <c r="O264" s="126">
        <v>20</v>
      </c>
      <c r="S264" s="206">
        <v>4.75</v>
      </c>
      <c r="T264" s="206">
        <v>5.25</v>
      </c>
      <c r="U264" s="206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1722</v>
      </c>
      <c r="G265" s="126" t="s">
        <v>1757</v>
      </c>
      <c r="H265" s="162">
        <v>46197</v>
      </c>
      <c r="I265" s="126">
        <v>1</v>
      </c>
      <c r="J265" s="141" t="s">
        <v>1744</v>
      </c>
      <c r="K265" s="159" t="s">
        <v>1745</v>
      </c>
      <c r="L265" s="126">
        <v>7</v>
      </c>
      <c r="M265" s="126">
        <v>0</v>
      </c>
      <c r="N265" s="159" t="s">
        <v>546</v>
      </c>
      <c r="O265" s="126">
        <v>1</v>
      </c>
      <c r="S265" s="206">
        <v>2.12</v>
      </c>
      <c r="T265" s="206">
        <v>3</v>
      </c>
      <c r="U265" s="206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1722</v>
      </c>
      <c r="G266" s="126" t="s">
        <v>1757</v>
      </c>
      <c r="H266" s="162">
        <v>46197</v>
      </c>
      <c r="I266" s="126">
        <v>1</v>
      </c>
      <c r="J266" s="141" t="s">
        <v>700</v>
      </c>
      <c r="K266" s="159" t="s">
        <v>701</v>
      </c>
      <c r="L266" s="126">
        <v>7</v>
      </c>
      <c r="M266" s="126">
        <v>0</v>
      </c>
      <c r="N266" s="159" t="s">
        <v>546</v>
      </c>
      <c r="O266" s="126">
        <v>1</v>
      </c>
      <c r="S266" s="206">
        <v>2.1</v>
      </c>
      <c r="T266" s="206">
        <v>3</v>
      </c>
      <c r="U266" s="206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1722</v>
      </c>
      <c r="G267" s="126" t="s">
        <v>1757</v>
      </c>
      <c r="H267" s="162">
        <v>46197</v>
      </c>
      <c r="I267" s="126">
        <v>1</v>
      </c>
      <c r="J267" s="141" t="s">
        <v>628</v>
      </c>
      <c r="K267" s="159" t="s">
        <v>629</v>
      </c>
      <c r="L267" s="126">
        <v>7</v>
      </c>
      <c r="M267" s="126">
        <v>0</v>
      </c>
      <c r="N267" s="159" t="s">
        <v>619</v>
      </c>
      <c r="O267" s="126">
        <v>1</v>
      </c>
      <c r="S267" s="206">
        <v>2</v>
      </c>
      <c r="T267" s="206">
        <v>3</v>
      </c>
      <c r="U267" s="206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1771</v>
      </c>
      <c r="G268" s="126" t="s">
        <v>1772</v>
      </c>
      <c r="H268" s="162">
        <v>46198</v>
      </c>
      <c r="I268" s="126">
        <v>1</v>
      </c>
      <c r="J268" s="141" t="s">
        <v>753</v>
      </c>
      <c r="K268" s="159" t="s">
        <v>754</v>
      </c>
      <c r="L268" s="126">
        <v>6</v>
      </c>
      <c r="M268" s="126">
        <v>0</v>
      </c>
      <c r="N268" s="159" t="s">
        <v>795</v>
      </c>
      <c r="O268" s="126">
        <v>20</v>
      </c>
      <c r="S268" s="206">
        <v>4.1500000000000004</v>
      </c>
      <c r="T268" s="206">
        <v>4.75</v>
      </c>
      <c r="U268" s="206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1771</v>
      </c>
      <c r="G269" s="126" t="s">
        <v>1772</v>
      </c>
      <c r="H269" s="162">
        <v>46198</v>
      </c>
      <c r="I269" s="126">
        <v>1</v>
      </c>
      <c r="J269" s="141" t="s">
        <v>779</v>
      </c>
      <c r="K269" s="159" t="s">
        <v>780</v>
      </c>
      <c r="L269" s="126">
        <v>2</v>
      </c>
      <c r="M269" s="126">
        <v>0</v>
      </c>
      <c r="N269" s="159" t="s">
        <v>573</v>
      </c>
      <c r="O269" s="126">
        <v>1</v>
      </c>
      <c r="S269" s="206">
        <v>4.09</v>
      </c>
      <c r="T269" s="206">
        <v>4.5</v>
      </c>
      <c r="U269" s="206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1771</v>
      </c>
      <c r="G270" s="126" t="s">
        <v>1772</v>
      </c>
      <c r="H270" s="162">
        <v>46198</v>
      </c>
      <c r="I270" s="126">
        <v>1</v>
      </c>
      <c r="J270" s="141" t="s">
        <v>1340</v>
      </c>
      <c r="K270" s="159" t="s">
        <v>1341</v>
      </c>
      <c r="L270" s="126">
        <v>5</v>
      </c>
      <c r="M270" s="126">
        <v>0</v>
      </c>
      <c r="N270" s="159" t="s">
        <v>546</v>
      </c>
      <c r="O270" s="126">
        <v>1</v>
      </c>
      <c r="S270" s="206">
        <v>4.49</v>
      </c>
      <c r="T270" s="206">
        <v>5</v>
      </c>
      <c r="U270" s="206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1771</v>
      </c>
      <c r="G271" s="126" t="s">
        <v>1783</v>
      </c>
      <c r="H271" s="162">
        <v>46198</v>
      </c>
      <c r="I271" s="126">
        <v>1</v>
      </c>
      <c r="J271" s="141" t="s">
        <v>609</v>
      </c>
      <c r="K271" s="159" t="s">
        <v>610</v>
      </c>
      <c r="L271" s="126">
        <v>3</v>
      </c>
      <c r="M271" s="126">
        <v>0</v>
      </c>
      <c r="N271" s="159" t="s">
        <v>573</v>
      </c>
      <c r="O271" s="126">
        <v>1</v>
      </c>
      <c r="S271" s="206">
        <v>6.28</v>
      </c>
      <c r="T271" s="206">
        <v>6</v>
      </c>
      <c r="U271" s="206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1771</v>
      </c>
      <c r="G272" s="126" t="s">
        <v>1783</v>
      </c>
      <c r="H272" s="162">
        <v>46198</v>
      </c>
      <c r="I272" s="126">
        <v>1</v>
      </c>
      <c r="J272" s="141" t="s">
        <v>577</v>
      </c>
      <c r="K272" s="159" t="s">
        <v>578</v>
      </c>
      <c r="L272" s="126">
        <v>6</v>
      </c>
      <c r="M272" s="126">
        <v>0</v>
      </c>
      <c r="N272" s="159" t="s">
        <v>573</v>
      </c>
      <c r="O272" s="126">
        <v>1</v>
      </c>
      <c r="S272" s="206">
        <v>3.37</v>
      </c>
      <c r="T272" s="206">
        <v>3.5</v>
      </c>
      <c r="U272" s="206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1771</v>
      </c>
      <c r="G273" s="126" t="s">
        <v>1783</v>
      </c>
      <c r="H273" s="162">
        <v>46198</v>
      </c>
      <c r="I273" s="126">
        <v>1</v>
      </c>
      <c r="J273" s="141" t="s">
        <v>555</v>
      </c>
      <c r="K273" s="159" t="s">
        <v>556</v>
      </c>
      <c r="L273" s="126">
        <v>4</v>
      </c>
      <c r="M273" s="126">
        <v>0</v>
      </c>
      <c r="N273" s="159" t="s">
        <v>546</v>
      </c>
      <c r="O273" s="126">
        <v>12</v>
      </c>
      <c r="S273" s="206">
        <v>3.3</v>
      </c>
      <c r="T273" s="206">
        <v>3.8</v>
      </c>
      <c r="U273" s="206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1771</v>
      </c>
      <c r="G274" s="126" t="s">
        <v>1783</v>
      </c>
      <c r="H274" s="162">
        <v>46198</v>
      </c>
      <c r="I274" s="126">
        <v>1</v>
      </c>
      <c r="J274" s="141" t="s">
        <v>628</v>
      </c>
      <c r="K274" s="159" t="s">
        <v>629</v>
      </c>
      <c r="L274" s="126">
        <v>2</v>
      </c>
      <c r="M274" s="126">
        <v>0</v>
      </c>
      <c r="N274" s="159" t="s">
        <v>619</v>
      </c>
      <c r="O274" s="126">
        <v>1</v>
      </c>
      <c r="S274" s="206">
        <v>2</v>
      </c>
      <c r="T274" s="206">
        <v>2.5</v>
      </c>
      <c r="U274" s="206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1771</v>
      </c>
      <c r="G275" s="126" t="s">
        <v>1783</v>
      </c>
      <c r="H275" s="162">
        <v>46198</v>
      </c>
      <c r="I275" s="126">
        <v>1</v>
      </c>
      <c r="J275" s="141" t="s">
        <v>814</v>
      </c>
      <c r="K275" s="159" t="s">
        <v>815</v>
      </c>
      <c r="L275" s="126">
        <v>1</v>
      </c>
      <c r="M275" s="126">
        <v>0</v>
      </c>
      <c r="N275" s="159" t="s">
        <v>546</v>
      </c>
      <c r="O275" s="126">
        <v>1</v>
      </c>
      <c r="S275" s="206">
        <v>0.28000000000000003</v>
      </c>
      <c r="T275" s="206">
        <v>0.38</v>
      </c>
      <c r="U275" s="206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1771</v>
      </c>
      <c r="G276" s="126" t="s">
        <v>1800</v>
      </c>
      <c r="H276" s="162">
        <v>46198</v>
      </c>
      <c r="I276" s="126">
        <v>1</v>
      </c>
      <c r="J276" s="141" t="s">
        <v>597</v>
      </c>
      <c r="K276" s="159" t="s">
        <v>598</v>
      </c>
      <c r="L276" s="126">
        <v>4</v>
      </c>
      <c r="M276" s="126">
        <v>0</v>
      </c>
      <c r="N276" s="159" t="s">
        <v>546</v>
      </c>
      <c r="O276" s="126">
        <v>1</v>
      </c>
      <c r="S276" s="206">
        <v>0.12</v>
      </c>
      <c r="T276" s="206">
        <v>0.25</v>
      </c>
      <c r="U276" s="206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1771</v>
      </c>
      <c r="G277" s="126" t="s">
        <v>1800</v>
      </c>
      <c r="H277" s="162">
        <v>46198</v>
      </c>
      <c r="I277" s="126">
        <v>1</v>
      </c>
      <c r="J277" s="141" t="s">
        <v>648</v>
      </c>
      <c r="K277" s="159" t="s">
        <v>649</v>
      </c>
      <c r="L277" s="126">
        <v>6</v>
      </c>
      <c r="M277" s="126">
        <v>0</v>
      </c>
      <c r="N277" s="159" t="s">
        <v>546</v>
      </c>
      <c r="O277" s="126">
        <v>1</v>
      </c>
      <c r="S277" s="206">
        <v>0.15</v>
      </c>
      <c r="T277" s="206">
        <v>0.38</v>
      </c>
      <c r="U277" s="206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1771</v>
      </c>
      <c r="G278" s="126" t="s">
        <v>1800</v>
      </c>
      <c r="H278" s="162">
        <v>46198</v>
      </c>
      <c r="I278" s="126">
        <v>1</v>
      </c>
      <c r="J278" s="141" t="s">
        <v>976</v>
      </c>
      <c r="K278" s="159" t="s">
        <v>977</v>
      </c>
      <c r="L278" s="126">
        <v>6</v>
      </c>
      <c r="M278" s="126">
        <v>0</v>
      </c>
      <c r="N278" s="159" t="s">
        <v>546</v>
      </c>
      <c r="O278" s="126">
        <v>1</v>
      </c>
      <c r="S278" s="206">
        <v>0.24</v>
      </c>
      <c r="T278" s="206">
        <v>0.5</v>
      </c>
      <c r="U278" s="206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1771</v>
      </c>
      <c r="G279" s="126" t="s">
        <v>1800</v>
      </c>
      <c r="H279" s="162">
        <v>46198</v>
      </c>
      <c r="I279" s="126">
        <v>1</v>
      </c>
      <c r="J279" s="141" t="s">
        <v>804</v>
      </c>
      <c r="K279" s="159" t="s">
        <v>805</v>
      </c>
      <c r="L279" s="126">
        <v>6</v>
      </c>
      <c r="M279" s="126">
        <v>0</v>
      </c>
      <c r="N279" s="159" t="s">
        <v>546</v>
      </c>
      <c r="O279" s="126">
        <v>1</v>
      </c>
      <c r="S279" s="206">
        <v>0.12</v>
      </c>
      <c r="T279" s="206">
        <v>0.25</v>
      </c>
      <c r="U279" s="206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1771</v>
      </c>
      <c r="G280" s="126" t="s">
        <v>1800</v>
      </c>
      <c r="H280" s="162">
        <v>46198</v>
      </c>
      <c r="I280" s="126">
        <v>1</v>
      </c>
      <c r="J280" s="141" t="s">
        <v>1814</v>
      </c>
      <c r="K280" s="159" t="s">
        <v>1815</v>
      </c>
      <c r="L280" s="126">
        <v>7</v>
      </c>
      <c r="M280" s="126">
        <v>0</v>
      </c>
      <c r="N280" s="159" t="s">
        <v>546</v>
      </c>
      <c r="O280" s="126">
        <v>1</v>
      </c>
      <c r="S280" s="206">
        <v>1.1499999999999999</v>
      </c>
      <c r="T280" s="206">
        <v>1.5</v>
      </c>
      <c r="U280" s="206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1771</v>
      </c>
      <c r="G281" s="126" t="s">
        <v>1800</v>
      </c>
      <c r="H281" s="162">
        <v>46198</v>
      </c>
      <c r="I281" s="126">
        <v>1</v>
      </c>
      <c r="J281" s="141" t="s">
        <v>1126</v>
      </c>
      <c r="K281" s="159" t="s">
        <v>1127</v>
      </c>
      <c r="L281" s="126">
        <v>2</v>
      </c>
      <c r="M281" s="126">
        <v>0</v>
      </c>
      <c r="N281" s="159" t="s">
        <v>546</v>
      </c>
      <c r="O281" s="126">
        <v>1</v>
      </c>
      <c r="S281" s="206">
        <v>1.32</v>
      </c>
      <c r="T281" s="206">
        <v>1.88</v>
      </c>
      <c r="U281" s="206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1771</v>
      </c>
      <c r="G282" s="126" t="s">
        <v>1800</v>
      </c>
      <c r="H282" s="162">
        <v>46198</v>
      </c>
      <c r="I282" s="126">
        <v>1</v>
      </c>
      <c r="J282" s="141" t="s">
        <v>1382</v>
      </c>
      <c r="K282" s="159" t="s">
        <v>1383</v>
      </c>
      <c r="L282" s="126">
        <v>1</v>
      </c>
      <c r="M282" s="126">
        <v>0</v>
      </c>
      <c r="N282" s="159" t="s">
        <v>546</v>
      </c>
      <c r="O282" s="126">
        <v>1</v>
      </c>
      <c r="S282" s="206">
        <v>0.13</v>
      </c>
      <c r="T282" s="206">
        <v>0.25</v>
      </c>
      <c r="U282" s="206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1771</v>
      </c>
      <c r="G283" s="126" t="s">
        <v>1800</v>
      </c>
      <c r="H283" s="162">
        <v>46198</v>
      </c>
      <c r="I283" s="126">
        <v>1</v>
      </c>
      <c r="J283" s="141" t="s">
        <v>1204</v>
      </c>
      <c r="K283" s="159" t="s">
        <v>1205</v>
      </c>
      <c r="L283" s="126">
        <v>1</v>
      </c>
      <c r="M283" s="126">
        <v>0</v>
      </c>
      <c r="N283" s="159" t="s">
        <v>546</v>
      </c>
      <c r="O283" s="126">
        <v>1</v>
      </c>
      <c r="S283" s="206">
        <v>0.55000000000000004</v>
      </c>
      <c r="T283" s="206">
        <v>0.75</v>
      </c>
      <c r="U283" s="206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1771</v>
      </c>
      <c r="G284" s="126" t="s">
        <v>1828</v>
      </c>
      <c r="H284" s="162">
        <v>46198</v>
      </c>
      <c r="I284" s="126">
        <v>1</v>
      </c>
      <c r="J284" s="141" t="s">
        <v>648</v>
      </c>
      <c r="K284" s="159" t="s">
        <v>649</v>
      </c>
      <c r="L284" s="126">
        <v>2</v>
      </c>
      <c r="M284" s="126">
        <v>0</v>
      </c>
      <c r="N284" s="159" t="s">
        <v>546</v>
      </c>
      <c r="O284" s="126">
        <v>1</v>
      </c>
      <c r="S284" s="206">
        <v>0.15</v>
      </c>
      <c r="T284" s="206">
        <v>0.38</v>
      </c>
      <c r="U284" s="206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1771</v>
      </c>
      <c r="G285" s="126" t="s">
        <v>1828</v>
      </c>
      <c r="H285" s="162">
        <v>46198</v>
      </c>
      <c r="I285" s="126">
        <v>1</v>
      </c>
      <c r="J285" s="141" t="s">
        <v>809</v>
      </c>
      <c r="K285" s="159" t="s">
        <v>810</v>
      </c>
      <c r="L285" s="126">
        <v>2</v>
      </c>
      <c r="M285" s="126">
        <v>0</v>
      </c>
      <c r="N285" s="159" t="s">
        <v>546</v>
      </c>
      <c r="O285" s="126">
        <v>1</v>
      </c>
      <c r="S285" s="206">
        <v>0.53</v>
      </c>
      <c r="T285" s="206">
        <v>1.5</v>
      </c>
      <c r="U285" s="206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1771</v>
      </c>
      <c r="G286" s="126" t="s">
        <v>1828</v>
      </c>
      <c r="H286" s="162">
        <v>46198</v>
      </c>
      <c r="I286" s="126">
        <v>1</v>
      </c>
      <c r="J286" s="141" t="s">
        <v>1243</v>
      </c>
      <c r="K286" s="159" t="s">
        <v>1244</v>
      </c>
      <c r="L286" s="126">
        <v>2</v>
      </c>
      <c r="M286" s="126">
        <v>0</v>
      </c>
      <c r="N286" s="159" t="s">
        <v>546</v>
      </c>
      <c r="O286" s="126">
        <v>1</v>
      </c>
      <c r="S286" s="206">
        <v>0.53</v>
      </c>
      <c r="T286" s="206">
        <v>1</v>
      </c>
      <c r="U286" s="206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1771</v>
      </c>
      <c r="G287" s="126" t="s">
        <v>1828</v>
      </c>
      <c r="H287" s="162">
        <v>46198</v>
      </c>
      <c r="I287" s="126">
        <v>1</v>
      </c>
      <c r="J287" s="141" t="s">
        <v>753</v>
      </c>
      <c r="K287" s="159" t="s">
        <v>754</v>
      </c>
      <c r="L287" s="126">
        <v>5</v>
      </c>
      <c r="M287" s="126">
        <v>0</v>
      </c>
      <c r="N287" s="159" t="s">
        <v>795</v>
      </c>
      <c r="O287" s="126">
        <v>20</v>
      </c>
      <c r="S287" s="206">
        <v>4.1500000000000004</v>
      </c>
      <c r="T287" s="206">
        <v>4.5</v>
      </c>
      <c r="U287" s="206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1771</v>
      </c>
      <c r="G288" s="126" t="s">
        <v>1828</v>
      </c>
      <c r="H288" s="162">
        <v>46198</v>
      </c>
      <c r="I288" s="126">
        <v>1</v>
      </c>
      <c r="J288" s="141" t="s">
        <v>1010</v>
      </c>
      <c r="K288" s="159" t="s">
        <v>1011</v>
      </c>
      <c r="L288" s="126">
        <v>1</v>
      </c>
      <c r="M288" s="126">
        <v>0</v>
      </c>
      <c r="N288" s="159" t="s">
        <v>546</v>
      </c>
      <c r="O288" s="126">
        <v>1</v>
      </c>
      <c r="S288" s="206">
        <v>2.7</v>
      </c>
      <c r="T288" s="206">
        <v>3</v>
      </c>
      <c r="U288" s="206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1771</v>
      </c>
      <c r="G289" s="126" t="s">
        <v>1828</v>
      </c>
      <c r="H289" s="162">
        <v>46198</v>
      </c>
      <c r="I289" s="126">
        <v>1</v>
      </c>
      <c r="J289" s="141" t="s">
        <v>697</v>
      </c>
      <c r="K289" s="159" t="s">
        <v>698</v>
      </c>
      <c r="L289" s="126">
        <v>1</v>
      </c>
      <c r="M289" s="126">
        <v>0</v>
      </c>
      <c r="N289" s="159" t="s">
        <v>546</v>
      </c>
      <c r="O289" s="126">
        <v>1</v>
      </c>
      <c r="S289" s="206">
        <v>3.3</v>
      </c>
      <c r="T289" s="206">
        <v>3.75</v>
      </c>
      <c r="U289" s="206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1771</v>
      </c>
      <c r="G290" s="126" t="s">
        <v>1828</v>
      </c>
      <c r="H290" s="162">
        <v>46198</v>
      </c>
      <c r="I290" s="126">
        <v>1</v>
      </c>
      <c r="J290" s="141" t="s">
        <v>1204</v>
      </c>
      <c r="K290" s="159" t="s">
        <v>1205</v>
      </c>
      <c r="L290" s="126">
        <v>2</v>
      </c>
      <c r="M290" s="126">
        <v>0</v>
      </c>
      <c r="N290" s="159" t="s">
        <v>546</v>
      </c>
      <c r="O290" s="126">
        <v>1</v>
      </c>
      <c r="S290" s="206">
        <v>0.55000000000000004</v>
      </c>
      <c r="T290" s="206">
        <v>0.75</v>
      </c>
      <c r="U290" s="206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1771</v>
      </c>
      <c r="G291" s="126" t="s">
        <v>1828</v>
      </c>
      <c r="H291" s="162">
        <v>46198</v>
      </c>
      <c r="I291" s="126">
        <v>1</v>
      </c>
      <c r="J291" s="141" t="s">
        <v>704</v>
      </c>
      <c r="K291" s="159" t="s">
        <v>705</v>
      </c>
      <c r="L291" s="126">
        <v>2</v>
      </c>
      <c r="M291" s="126">
        <v>0</v>
      </c>
      <c r="N291" s="159" t="s">
        <v>546</v>
      </c>
      <c r="O291" s="126">
        <v>1</v>
      </c>
      <c r="S291" s="206">
        <v>1.35</v>
      </c>
      <c r="T291" s="206">
        <v>2</v>
      </c>
      <c r="U291" s="206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1771</v>
      </c>
      <c r="G292" s="126" t="s">
        <v>1828</v>
      </c>
      <c r="H292" s="162">
        <v>46198</v>
      </c>
      <c r="I292" s="126">
        <v>1</v>
      </c>
      <c r="J292" s="141" t="s">
        <v>1524</v>
      </c>
      <c r="K292" s="159" t="s">
        <v>1525</v>
      </c>
      <c r="L292" s="126">
        <v>2</v>
      </c>
      <c r="M292" s="126">
        <v>0</v>
      </c>
      <c r="N292" s="159" t="s">
        <v>546</v>
      </c>
      <c r="O292" s="126">
        <v>1</v>
      </c>
      <c r="S292" s="206">
        <v>4.2300000000000004</v>
      </c>
      <c r="T292" s="206">
        <v>5</v>
      </c>
      <c r="U292" s="206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1857</v>
      </c>
      <c r="G293" s="126" t="s">
        <v>1858</v>
      </c>
      <c r="H293" s="162">
        <v>46199</v>
      </c>
      <c r="I293" s="126">
        <v>1</v>
      </c>
      <c r="J293" s="141" t="s">
        <v>691</v>
      </c>
      <c r="K293" s="159" t="s">
        <v>692</v>
      </c>
      <c r="L293" s="126">
        <v>2</v>
      </c>
      <c r="M293" s="126">
        <v>0</v>
      </c>
      <c r="N293" s="159" t="s">
        <v>546</v>
      </c>
      <c r="O293" s="126">
        <v>1</v>
      </c>
      <c r="S293" s="206">
        <v>9.52</v>
      </c>
      <c r="T293" s="206">
        <v>10</v>
      </c>
      <c r="U293" s="206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1857</v>
      </c>
      <c r="G294" s="126" t="s">
        <v>1858</v>
      </c>
      <c r="H294" s="162">
        <v>46199</v>
      </c>
      <c r="I294" s="126">
        <v>1</v>
      </c>
      <c r="J294" s="141" t="s">
        <v>1814</v>
      </c>
      <c r="K294" s="159" t="s">
        <v>1815</v>
      </c>
      <c r="L294" s="126">
        <v>8</v>
      </c>
      <c r="M294" s="126">
        <v>0</v>
      </c>
      <c r="N294" s="159" t="s">
        <v>546</v>
      </c>
      <c r="O294" s="126">
        <v>1</v>
      </c>
      <c r="S294" s="206">
        <v>1.1499999999999999</v>
      </c>
      <c r="T294" s="206">
        <v>2</v>
      </c>
      <c r="U294" s="206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1857</v>
      </c>
      <c r="G295" s="126" t="s">
        <v>1858</v>
      </c>
      <c r="H295" s="162">
        <v>46199</v>
      </c>
      <c r="I295" s="126">
        <v>1</v>
      </c>
      <c r="J295" s="141" t="s">
        <v>804</v>
      </c>
      <c r="K295" s="159" t="s">
        <v>805</v>
      </c>
      <c r="L295" s="126">
        <v>5</v>
      </c>
      <c r="M295" s="126">
        <v>0</v>
      </c>
      <c r="N295" s="159" t="s">
        <v>546</v>
      </c>
      <c r="O295" s="126">
        <v>1</v>
      </c>
      <c r="S295" s="206">
        <v>0.12</v>
      </c>
      <c r="T295" s="206">
        <v>0.25</v>
      </c>
      <c r="U295" s="206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1857</v>
      </c>
      <c r="G296" s="126" t="s">
        <v>1858</v>
      </c>
      <c r="H296" s="162">
        <v>46199</v>
      </c>
      <c r="I296" s="126">
        <v>1</v>
      </c>
      <c r="J296" s="141" t="s">
        <v>814</v>
      </c>
      <c r="K296" s="159" t="s">
        <v>815</v>
      </c>
      <c r="L296" s="126">
        <v>2</v>
      </c>
      <c r="M296" s="126">
        <v>0</v>
      </c>
      <c r="N296" s="159" t="s">
        <v>546</v>
      </c>
      <c r="O296" s="126">
        <v>1</v>
      </c>
      <c r="S296" s="206">
        <v>0.28000000000000003</v>
      </c>
      <c r="T296" s="206">
        <v>0.38</v>
      </c>
      <c r="U296" s="206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1857</v>
      </c>
      <c r="G297" s="126" t="s">
        <v>1858</v>
      </c>
      <c r="H297" s="162">
        <v>46199</v>
      </c>
      <c r="I297" s="126">
        <v>1</v>
      </c>
      <c r="J297" s="141" t="s">
        <v>1217</v>
      </c>
      <c r="K297" s="159" t="s">
        <v>1218</v>
      </c>
      <c r="L297" s="126">
        <v>2</v>
      </c>
      <c r="M297" s="126">
        <v>0</v>
      </c>
      <c r="N297" s="159" t="s">
        <v>546</v>
      </c>
      <c r="O297" s="126">
        <v>1</v>
      </c>
      <c r="S297" s="206">
        <v>0.41</v>
      </c>
      <c r="T297" s="206">
        <v>0.75</v>
      </c>
      <c r="U297" s="206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1857</v>
      </c>
      <c r="G298" s="126" t="s">
        <v>1875</v>
      </c>
      <c r="H298" s="162">
        <v>46199</v>
      </c>
      <c r="I298" s="126">
        <v>1</v>
      </c>
      <c r="J298" s="141" t="s">
        <v>753</v>
      </c>
      <c r="K298" s="159" t="s">
        <v>754</v>
      </c>
      <c r="L298" s="126">
        <v>10</v>
      </c>
      <c r="M298" s="126">
        <v>0</v>
      </c>
      <c r="N298" s="159" t="s">
        <v>795</v>
      </c>
      <c r="O298" s="126">
        <v>20</v>
      </c>
      <c r="S298" s="206">
        <v>4.1500000000000004</v>
      </c>
      <c r="T298" s="206">
        <v>4.5</v>
      </c>
      <c r="U298" s="206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1857</v>
      </c>
      <c r="G299" s="126" t="s">
        <v>1880</v>
      </c>
      <c r="H299" s="162">
        <v>46199</v>
      </c>
      <c r="I299" s="126">
        <v>1</v>
      </c>
      <c r="J299" s="141" t="s">
        <v>753</v>
      </c>
      <c r="K299" s="159" t="s">
        <v>754</v>
      </c>
      <c r="L299" s="126">
        <v>5</v>
      </c>
      <c r="M299" s="126">
        <v>0</v>
      </c>
      <c r="N299" s="159" t="s">
        <v>795</v>
      </c>
      <c r="O299" s="126">
        <v>20</v>
      </c>
      <c r="S299" s="206">
        <v>4.1500000000000004</v>
      </c>
      <c r="T299" s="206">
        <v>4.5</v>
      </c>
      <c r="U299" s="206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1857</v>
      </c>
      <c r="G300" s="126" t="s">
        <v>1880</v>
      </c>
      <c r="H300" s="162">
        <v>46199</v>
      </c>
      <c r="I300" s="126">
        <v>1</v>
      </c>
      <c r="J300" s="141" t="s">
        <v>1010</v>
      </c>
      <c r="K300" s="159" t="s">
        <v>1011</v>
      </c>
      <c r="L300" s="126">
        <v>5</v>
      </c>
      <c r="M300" s="126">
        <v>0</v>
      </c>
      <c r="N300" s="159" t="s">
        <v>546</v>
      </c>
      <c r="O300" s="126">
        <v>1</v>
      </c>
      <c r="S300" s="206">
        <v>2.7</v>
      </c>
      <c r="T300" s="206">
        <v>3</v>
      </c>
      <c r="U300" s="206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1857</v>
      </c>
      <c r="G301" s="126" t="s">
        <v>1880</v>
      </c>
      <c r="H301" s="162">
        <v>46199</v>
      </c>
      <c r="I301" s="126">
        <v>1</v>
      </c>
      <c r="J301" s="141" t="s">
        <v>1524</v>
      </c>
      <c r="K301" s="159" t="s">
        <v>1525</v>
      </c>
      <c r="L301" s="126">
        <v>4</v>
      </c>
      <c r="M301" s="126">
        <v>0</v>
      </c>
      <c r="N301" s="159" t="s">
        <v>546</v>
      </c>
      <c r="O301" s="126">
        <v>1</v>
      </c>
      <c r="S301" s="206">
        <v>4.2300000000000004</v>
      </c>
      <c r="T301" s="206">
        <v>5</v>
      </c>
      <c r="U301" s="206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1891</v>
      </c>
      <c r="G302" s="126" t="s">
        <v>1892</v>
      </c>
      <c r="H302" s="162">
        <v>46200</v>
      </c>
      <c r="I302" s="126">
        <v>1</v>
      </c>
      <c r="J302" s="141" t="s">
        <v>1340</v>
      </c>
      <c r="K302" s="159" t="s">
        <v>1341</v>
      </c>
      <c r="L302" s="126">
        <v>9</v>
      </c>
      <c r="M302" s="126">
        <v>0</v>
      </c>
      <c r="N302" s="159" t="s">
        <v>546</v>
      </c>
      <c r="O302" s="126">
        <v>1</v>
      </c>
      <c r="S302" s="206">
        <v>4.49</v>
      </c>
      <c r="T302" s="206">
        <v>5</v>
      </c>
      <c r="U302" s="206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1891</v>
      </c>
      <c r="G303" s="126" t="s">
        <v>1897</v>
      </c>
      <c r="H303" s="162">
        <v>46200</v>
      </c>
      <c r="I303" s="126">
        <v>1</v>
      </c>
      <c r="J303" s="141" t="s">
        <v>767</v>
      </c>
      <c r="K303" s="159" t="s">
        <v>768</v>
      </c>
      <c r="L303" s="126">
        <v>16</v>
      </c>
      <c r="M303" s="126">
        <v>0</v>
      </c>
      <c r="N303" s="159" t="s">
        <v>619</v>
      </c>
      <c r="O303" s="126">
        <v>1</v>
      </c>
      <c r="S303" s="206">
        <v>4</v>
      </c>
      <c r="T303" s="206">
        <v>4</v>
      </c>
      <c r="U303" s="206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1891</v>
      </c>
      <c r="G304" s="126" t="s">
        <v>1897</v>
      </c>
      <c r="H304" s="162">
        <v>46200</v>
      </c>
      <c r="I304" s="126">
        <v>1</v>
      </c>
      <c r="J304" s="141" t="s">
        <v>762</v>
      </c>
      <c r="K304" s="159" t="s">
        <v>763</v>
      </c>
      <c r="L304" s="126">
        <v>10</v>
      </c>
      <c r="M304" s="126">
        <v>0</v>
      </c>
      <c r="N304" s="159" t="s">
        <v>619</v>
      </c>
      <c r="O304" s="126">
        <v>1</v>
      </c>
      <c r="S304" s="206">
        <v>1</v>
      </c>
      <c r="T304" s="206">
        <v>1.5</v>
      </c>
      <c r="U304" s="206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1891</v>
      </c>
      <c r="G305" s="126" t="s">
        <v>1897</v>
      </c>
      <c r="H305" s="162">
        <v>46200</v>
      </c>
      <c r="I305" s="126">
        <v>1</v>
      </c>
      <c r="J305" s="141" t="s">
        <v>609</v>
      </c>
      <c r="K305" s="159" t="s">
        <v>610</v>
      </c>
      <c r="L305" s="126">
        <v>2</v>
      </c>
      <c r="M305" s="126">
        <v>0</v>
      </c>
      <c r="N305" s="159" t="s">
        <v>573</v>
      </c>
      <c r="O305" s="126">
        <v>1</v>
      </c>
      <c r="S305" s="206">
        <v>6.28</v>
      </c>
      <c r="T305" s="206">
        <v>6</v>
      </c>
      <c r="U305" s="206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1891</v>
      </c>
      <c r="G306" s="126" t="s">
        <v>1897</v>
      </c>
      <c r="H306" s="162">
        <v>46200</v>
      </c>
      <c r="I306" s="126">
        <v>1</v>
      </c>
      <c r="J306" s="141" t="s">
        <v>700</v>
      </c>
      <c r="K306" s="159" t="s">
        <v>701</v>
      </c>
      <c r="L306" s="126">
        <v>2</v>
      </c>
      <c r="M306" s="126">
        <v>0</v>
      </c>
      <c r="N306" s="159" t="s">
        <v>546</v>
      </c>
      <c r="O306" s="126">
        <v>1</v>
      </c>
      <c r="S306" s="206">
        <v>2.1</v>
      </c>
      <c r="T306" s="206">
        <v>2.75</v>
      </c>
      <c r="U306" s="206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1891</v>
      </c>
      <c r="G307" s="126" t="s">
        <v>1911</v>
      </c>
      <c r="H307" s="162">
        <v>46200</v>
      </c>
      <c r="I307" s="126">
        <v>1</v>
      </c>
      <c r="J307" s="141" t="s">
        <v>753</v>
      </c>
      <c r="K307" s="159" t="s">
        <v>754</v>
      </c>
      <c r="L307" s="126">
        <v>5</v>
      </c>
      <c r="M307" s="126">
        <v>0</v>
      </c>
      <c r="N307" s="159" t="s">
        <v>795</v>
      </c>
      <c r="O307" s="126">
        <v>20</v>
      </c>
      <c r="S307" s="206">
        <v>4.1500000000000004</v>
      </c>
      <c r="T307" s="206">
        <v>4.75</v>
      </c>
      <c r="U307" s="206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1891</v>
      </c>
      <c r="G308" s="126" t="s">
        <v>1911</v>
      </c>
      <c r="H308" s="162">
        <v>46200</v>
      </c>
      <c r="I308" s="126">
        <v>1</v>
      </c>
      <c r="J308" s="141" t="s">
        <v>582</v>
      </c>
      <c r="K308" s="159" t="s">
        <v>583</v>
      </c>
      <c r="L308" s="126">
        <v>7</v>
      </c>
      <c r="M308" s="126">
        <v>0</v>
      </c>
      <c r="N308" s="159" t="s">
        <v>546</v>
      </c>
      <c r="O308" s="126">
        <v>1</v>
      </c>
      <c r="S308" s="206">
        <v>5.8</v>
      </c>
      <c r="T308" s="206">
        <v>6.25</v>
      </c>
      <c r="U308" s="206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1919</v>
      </c>
      <c r="G309" s="126" t="s">
        <v>1920</v>
      </c>
      <c r="H309" s="162">
        <v>46201</v>
      </c>
      <c r="I309" s="126">
        <v>1</v>
      </c>
      <c r="J309" s="141" t="s">
        <v>753</v>
      </c>
      <c r="K309" s="159" t="s">
        <v>754</v>
      </c>
      <c r="L309" s="126">
        <v>10</v>
      </c>
      <c r="M309" s="126">
        <v>0</v>
      </c>
      <c r="N309" s="159" t="s">
        <v>795</v>
      </c>
      <c r="O309" s="126">
        <v>20</v>
      </c>
      <c r="S309" s="206">
        <v>4.1500000000000004</v>
      </c>
      <c r="T309" s="206">
        <v>4.5</v>
      </c>
      <c r="U309" s="206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1919</v>
      </c>
      <c r="G310" s="126" t="s">
        <v>1920</v>
      </c>
      <c r="H310" s="162">
        <v>46201</v>
      </c>
      <c r="I310" s="126">
        <v>1</v>
      </c>
      <c r="J310" s="141" t="s">
        <v>1925</v>
      </c>
      <c r="K310" s="159" t="s">
        <v>1926</v>
      </c>
      <c r="L310" s="126">
        <v>1</v>
      </c>
      <c r="M310" s="126">
        <v>0</v>
      </c>
      <c r="N310" s="159" t="s">
        <v>546</v>
      </c>
      <c r="O310" s="126">
        <v>1</v>
      </c>
      <c r="S310" s="206">
        <v>6.41</v>
      </c>
      <c r="T310" s="206">
        <v>7</v>
      </c>
      <c r="U310" s="206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1919</v>
      </c>
      <c r="G311" s="126" t="s">
        <v>1920</v>
      </c>
      <c r="H311" s="162">
        <v>46201</v>
      </c>
      <c r="I311" s="126">
        <v>1</v>
      </c>
      <c r="J311" s="141" t="s">
        <v>1930</v>
      </c>
      <c r="K311" s="159" t="s">
        <v>1931</v>
      </c>
      <c r="L311" s="126">
        <v>5</v>
      </c>
      <c r="M311" s="126">
        <v>0</v>
      </c>
      <c r="N311" s="159" t="s">
        <v>546</v>
      </c>
      <c r="O311" s="126">
        <v>1</v>
      </c>
      <c r="S311" s="206">
        <v>0.04</v>
      </c>
      <c r="T311" s="206">
        <v>0.25</v>
      </c>
      <c r="U311" s="206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1919</v>
      </c>
      <c r="G312" s="126" t="s">
        <v>1935</v>
      </c>
      <c r="H312" s="162">
        <v>46201</v>
      </c>
      <c r="I312" s="126">
        <v>1</v>
      </c>
      <c r="J312" s="141" t="s">
        <v>749</v>
      </c>
      <c r="K312" s="159" t="s">
        <v>750</v>
      </c>
      <c r="L312" s="126">
        <v>1</v>
      </c>
      <c r="M312" s="126">
        <v>0</v>
      </c>
      <c r="N312" s="159" t="s">
        <v>795</v>
      </c>
      <c r="O312" s="126">
        <v>20</v>
      </c>
      <c r="S312" s="206">
        <v>4.25</v>
      </c>
      <c r="T312" s="206">
        <v>4.75</v>
      </c>
      <c r="U312" s="206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1919</v>
      </c>
      <c r="G313" s="126" t="s">
        <v>1935</v>
      </c>
      <c r="H313" s="162">
        <v>46201</v>
      </c>
      <c r="I313" s="126">
        <v>1</v>
      </c>
      <c r="J313" s="141" t="s">
        <v>1217</v>
      </c>
      <c r="K313" s="159" t="s">
        <v>1218</v>
      </c>
      <c r="L313" s="126">
        <v>2</v>
      </c>
      <c r="M313" s="126">
        <v>0</v>
      </c>
      <c r="N313" s="159" t="s">
        <v>546</v>
      </c>
      <c r="O313" s="126">
        <v>1</v>
      </c>
      <c r="S313" s="206">
        <v>0.41</v>
      </c>
      <c r="T313" s="206">
        <v>0.75</v>
      </c>
      <c r="U313" s="206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1919</v>
      </c>
      <c r="G314" s="126" t="s">
        <v>1935</v>
      </c>
      <c r="H314" s="162">
        <v>46201</v>
      </c>
      <c r="I314" s="126">
        <v>1</v>
      </c>
      <c r="J314" s="141" t="s">
        <v>1382</v>
      </c>
      <c r="K314" s="159" t="s">
        <v>1383</v>
      </c>
      <c r="L314" s="126">
        <v>2</v>
      </c>
      <c r="M314" s="126">
        <v>0</v>
      </c>
      <c r="N314" s="159" t="s">
        <v>546</v>
      </c>
      <c r="O314" s="126">
        <v>1</v>
      </c>
      <c r="S314" s="206">
        <v>0.13</v>
      </c>
      <c r="T314" s="206">
        <v>0.25</v>
      </c>
      <c r="U314" s="206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1919</v>
      </c>
      <c r="G315" s="126" t="s">
        <v>1935</v>
      </c>
      <c r="H315" s="162">
        <v>46201</v>
      </c>
      <c r="I315" s="126">
        <v>1</v>
      </c>
      <c r="J315" s="141" t="s">
        <v>628</v>
      </c>
      <c r="K315" s="159" t="s">
        <v>629</v>
      </c>
      <c r="L315" s="126">
        <v>1</v>
      </c>
      <c r="M315" s="126">
        <v>0</v>
      </c>
      <c r="N315" s="159" t="s">
        <v>619</v>
      </c>
      <c r="O315" s="126">
        <v>1</v>
      </c>
      <c r="S315" s="206">
        <v>2</v>
      </c>
      <c r="T315" s="206">
        <v>2.5</v>
      </c>
      <c r="U315" s="206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1919</v>
      </c>
      <c r="G316" s="126" t="s">
        <v>1935</v>
      </c>
      <c r="H316" s="162">
        <v>46201</v>
      </c>
      <c r="I316" s="126">
        <v>1</v>
      </c>
      <c r="J316" s="141" t="s">
        <v>592</v>
      </c>
      <c r="K316" s="159" t="s">
        <v>593</v>
      </c>
      <c r="L316" s="126">
        <v>1</v>
      </c>
      <c r="M316" s="126">
        <v>0</v>
      </c>
      <c r="N316" s="159" t="s">
        <v>546</v>
      </c>
      <c r="O316" s="126">
        <v>12</v>
      </c>
      <c r="S316" s="206">
        <v>1.1000000000000001</v>
      </c>
      <c r="T316" s="206">
        <v>1.5</v>
      </c>
      <c r="U316" s="206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1919</v>
      </c>
      <c r="G317" s="126" t="s">
        <v>1935</v>
      </c>
      <c r="H317" s="162">
        <v>46201</v>
      </c>
      <c r="I317" s="126">
        <v>1</v>
      </c>
      <c r="J317" s="141" t="s">
        <v>1194</v>
      </c>
      <c r="K317" s="159" t="s">
        <v>1195</v>
      </c>
      <c r="L317" s="126">
        <v>1</v>
      </c>
      <c r="M317" s="126">
        <v>0</v>
      </c>
      <c r="N317" s="159" t="s">
        <v>546</v>
      </c>
      <c r="O317" s="126">
        <v>1</v>
      </c>
      <c r="S317" s="206">
        <v>0.5</v>
      </c>
      <c r="T317" s="206">
        <v>1</v>
      </c>
      <c r="U317" s="206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1919</v>
      </c>
      <c r="G318" s="126" t="s">
        <v>1935</v>
      </c>
      <c r="H318" s="162">
        <v>46201</v>
      </c>
      <c r="I318" s="126">
        <v>1</v>
      </c>
      <c r="J318" s="141" t="s">
        <v>804</v>
      </c>
      <c r="K318" s="159" t="s">
        <v>805</v>
      </c>
      <c r="L318" s="126">
        <v>4</v>
      </c>
      <c r="M318" s="126">
        <v>0</v>
      </c>
      <c r="N318" s="159" t="s">
        <v>546</v>
      </c>
      <c r="O318" s="126">
        <v>1</v>
      </c>
      <c r="S318" s="206">
        <v>0.12</v>
      </c>
      <c r="T318" s="206">
        <v>0.25</v>
      </c>
      <c r="U318" s="206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1919</v>
      </c>
      <c r="G319" s="126" t="s">
        <v>1935</v>
      </c>
      <c r="H319" s="162">
        <v>46201</v>
      </c>
      <c r="I319" s="126">
        <v>1</v>
      </c>
      <c r="J319" s="141" t="s">
        <v>799</v>
      </c>
      <c r="K319" s="159" t="s">
        <v>800</v>
      </c>
      <c r="L319" s="126">
        <v>3</v>
      </c>
      <c r="M319" s="126">
        <v>0</v>
      </c>
      <c r="N319" s="159" t="s">
        <v>546</v>
      </c>
      <c r="O319" s="126">
        <v>12</v>
      </c>
      <c r="S319" s="206">
        <v>0.34</v>
      </c>
      <c r="T319" s="206">
        <v>0.63</v>
      </c>
      <c r="U319" s="206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1919</v>
      </c>
      <c r="G320" s="126" t="s">
        <v>1935</v>
      </c>
      <c r="H320" s="162">
        <v>46201</v>
      </c>
      <c r="I320" s="126">
        <v>1</v>
      </c>
      <c r="J320" s="141" t="s">
        <v>997</v>
      </c>
      <c r="K320" s="159" t="s">
        <v>998</v>
      </c>
      <c r="L320" s="126">
        <v>2</v>
      </c>
      <c r="M320" s="126">
        <v>0</v>
      </c>
      <c r="N320" s="159" t="s">
        <v>546</v>
      </c>
      <c r="O320" s="126">
        <v>50</v>
      </c>
      <c r="S320" s="206">
        <v>0.3</v>
      </c>
      <c r="T320" s="206">
        <v>0.75</v>
      </c>
      <c r="U320" s="206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1919</v>
      </c>
      <c r="G321" s="126" t="s">
        <v>1935</v>
      </c>
      <c r="H321" s="162">
        <v>46201</v>
      </c>
      <c r="I321" s="126">
        <v>1</v>
      </c>
      <c r="J321" s="141" t="s">
        <v>1524</v>
      </c>
      <c r="K321" s="159" t="s">
        <v>1525</v>
      </c>
      <c r="L321" s="126">
        <v>2</v>
      </c>
      <c r="M321" s="126">
        <v>0</v>
      </c>
      <c r="N321" s="159" t="s">
        <v>546</v>
      </c>
      <c r="O321" s="126">
        <v>1</v>
      </c>
      <c r="S321" s="206">
        <v>4.2300000000000004</v>
      </c>
      <c r="T321" s="206">
        <v>5</v>
      </c>
      <c r="U321" s="206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1919</v>
      </c>
      <c r="G322" s="126" t="s">
        <v>1935</v>
      </c>
      <c r="H322" s="162">
        <v>46201</v>
      </c>
      <c r="I322" s="126">
        <v>1</v>
      </c>
      <c r="J322" s="141" t="s">
        <v>1516</v>
      </c>
      <c r="K322" s="159" t="s">
        <v>1517</v>
      </c>
      <c r="L322" s="126">
        <v>1</v>
      </c>
      <c r="M322" s="126">
        <v>0</v>
      </c>
      <c r="N322" s="159" t="s">
        <v>546</v>
      </c>
      <c r="O322" s="126">
        <v>1</v>
      </c>
      <c r="S322" s="206">
        <v>0.66</v>
      </c>
      <c r="T322" s="206">
        <v>2</v>
      </c>
      <c r="U322" s="206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1919</v>
      </c>
      <c r="G323" s="126" t="s">
        <v>1935</v>
      </c>
      <c r="H323" s="162">
        <v>46201</v>
      </c>
      <c r="I323" s="126">
        <v>1</v>
      </c>
      <c r="J323" s="141" t="s">
        <v>814</v>
      </c>
      <c r="K323" s="159" t="s">
        <v>815</v>
      </c>
      <c r="L323" s="126">
        <v>3</v>
      </c>
      <c r="M323" s="126">
        <v>0</v>
      </c>
      <c r="N323" s="159" t="s">
        <v>546</v>
      </c>
      <c r="O323" s="126">
        <v>1</v>
      </c>
      <c r="S323" s="206">
        <v>0.28000000000000003</v>
      </c>
      <c r="T323" s="206">
        <v>0.38</v>
      </c>
      <c r="U323" s="206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1919</v>
      </c>
      <c r="G324" s="126" t="s">
        <v>1935</v>
      </c>
      <c r="H324" s="162">
        <v>46201</v>
      </c>
      <c r="I324" s="126">
        <v>1</v>
      </c>
      <c r="J324" s="141" t="s">
        <v>1010</v>
      </c>
      <c r="K324" s="159" t="s">
        <v>1011</v>
      </c>
      <c r="L324" s="126">
        <v>1</v>
      </c>
      <c r="M324" s="126">
        <v>0</v>
      </c>
      <c r="N324" s="159" t="s">
        <v>546</v>
      </c>
      <c r="O324" s="126">
        <v>1</v>
      </c>
      <c r="S324" s="206">
        <v>2.7</v>
      </c>
      <c r="T324" s="206">
        <v>3</v>
      </c>
      <c r="U324" s="206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1919</v>
      </c>
      <c r="G325" s="126" t="s">
        <v>1935</v>
      </c>
      <c r="H325" s="162">
        <v>46201</v>
      </c>
      <c r="I325" s="126">
        <v>1</v>
      </c>
      <c r="J325" s="141" t="s">
        <v>555</v>
      </c>
      <c r="K325" s="159" t="s">
        <v>556</v>
      </c>
      <c r="L325" s="126">
        <v>2</v>
      </c>
      <c r="M325" s="126">
        <v>0</v>
      </c>
      <c r="N325" s="159" t="s">
        <v>546</v>
      </c>
      <c r="O325" s="126">
        <v>12</v>
      </c>
      <c r="S325" s="206">
        <v>3.3</v>
      </c>
      <c r="T325" s="206">
        <v>3.75</v>
      </c>
      <c r="U325" s="206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1919</v>
      </c>
      <c r="G326" s="126" t="s">
        <v>1935</v>
      </c>
      <c r="H326" s="162">
        <v>46201</v>
      </c>
      <c r="I326" s="126">
        <v>1</v>
      </c>
      <c r="J326" s="141" t="s">
        <v>762</v>
      </c>
      <c r="K326" s="159" t="s">
        <v>763</v>
      </c>
      <c r="L326" s="126">
        <v>1</v>
      </c>
      <c r="M326" s="126">
        <v>0</v>
      </c>
      <c r="N326" s="159" t="s">
        <v>619</v>
      </c>
      <c r="O326" s="126">
        <v>1</v>
      </c>
      <c r="S326" s="206">
        <v>1</v>
      </c>
      <c r="T326" s="206">
        <v>1.5</v>
      </c>
      <c r="U326" s="206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126">
        <v>320</v>
      </c>
      <c r="D327" s="126">
        <v>84</v>
      </c>
      <c r="F327" s="126" t="s">
        <v>1919</v>
      </c>
      <c r="G327" s="126" t="s">
        <v>1935</v>
      </c>
      <c r="H327" s="162">
        <v>46201</v>
      </c>
      <c r="I327" s="126">
        <v>1</v>
      </c>
      <c r="J327" s="141" t="s">
        <v>719</v>
      </c>
      <c r="K327" s="159" t="s">
        <v>720</v>
      </c>
      <c r="L327" s="126">
        <v>500</v>
      </c>
      <c r="M327" s="126">
        <v>0</v>
      </c>
      <c r="N327" s="159" t="s">
        <v>1322</v>
      </c>
      <c r="O327" s="126">
        <v>4500</v>
      </c>
      <c r="S327" s="206">
        <v>0</v>
      </c>
      <c r="T327" s="206">
        <v>0</v>
      </c>
      <c r="U327" s="206">
        <v>0.75</v>
      </c>
      <c r="Y327" s="126">
        <v>4</v>
      </c>
      <c r="Z327" s="126">
        <v>6</v>
      </c>
      <c r="AA327" s="126">
        <v>2026</v>
      </c>
      <c r="AB327" s="126">
        <v>1</v>
      </c>
    </row>
    <row r="328" spans="3:28" ht="21.95" customHeight="1">
      <c r="C328" s="126">
        <v>321</v>
      </c>
      <c r="D328" s="126">
        <v>84</v>
      </c>
      <c r="F328" s="126" t="s">
        <v>1919</v>
      </c>
      <c r="G328" s="126" t="s">
        <v>1935</v>
      </c>
      <c r="H328" s="162">
        <v>46201</v>
      </c>
      <c r="I328" s="126">
        <v>1</v>
      </c>
      <c r="J328" s="141" t="s">
        <v>819</v>
      </c>
      <c r="K328" s="159" t="s">
        <v>820</v>
      </c>
      <c r="L328" s="126">
        <v>1</v>
      </c>
      <c r="M328" s="126">
        <v>0</v>
      </c>
      <c r="N328" s="159" t="s">
        <v>546</v>
      </c>
      <c r="O328" s="126">
        <v>1</v>
      </c>
      <c r="S328" s="206">
        <v>1.79</v>
      </c>
      <c r="T328" s="206">
        <v>2.5</v>
      </c>
      <c r="U328" s="206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1919</v>
      </c>
      <c r="G329" s="126" t="s">
        <v>1935</v>
      </c>
      <c r="H329" s="162">
        <v>46201</v>
      </c>
      <c r="I329" s="126">
        <v>1</v>
      </c>
      <c r="J329" s="141" t="s">
        <v>694</v>
      </c>
      <c r="K329" s="159" t="s">
        <v>695</v>
      </c>
      <c r="L329" s="126">
        <v>1</v>
      </c>
      <c r="M329" s="126">
        <v>0</v>
      </c>
      <c r="N329" s="159" t="s">
        <v>546</v>
      </c>
      <c r="O329" s="126">
        <v>1</v>
      </c>
      <c r="S329" s="206">
        <v>5.3</v>
      </c>
      <c r="T329" s="206">
        <v>5</v>
      </c>
      <c r="U329" s="206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1919</v>
      </c>
      <c r="G330" s="126" t="s">
        <v>1988</v>
      </c>
      <c r="H330" s="162">
        <v>46201</v>
      </c>
      <c r="I330" s="126">
        <v>1</v>
      </c>
      <c r="J330" s="141" t="s">
        <v>678</v>
      </c>
      <c r="K330" s="159" t="s">
        <v>679</v>
      </c>
      <c r="L330" s="126">
        <v>1</v>
      </c>
      <c r="M330" s="126">
        <v>0</v>
      </c>
      <c r="N330" s="159" t="s">
        <v>546</v>
      </c>
      <c r="O330" s="126">
        <v>1</v>
      </c>
      <c r="S330" s="206">
        <v>27.34</v>
      </c>
      <c r="T330" s="206">
        <v>16</v>
      </c>
      <c r="U330" s="206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1919</v>
      </c>
      <c r="G331" s="126" t="s">
        <v>1988</v>
      </c>
      <c r="H331" s="162">
        <v>46201</v>
      </c>
      <c r="I331" s="126">
        <v>1</v>
      </c>
      <c r="J331" s="141" t="s">
        <v>716</v>
      </c>
      <c r="K331" s="159" t="s">
        <v>717</v>
      </c>
      <c r="L331" s="126">
        <v>1</v>
      </c>
      <c r="M331" s="126">
        <v>0</v>
      </c>
      <c r="N331" s="159" t="s">
        <v>546</v>
      </c>
      <c r="O331" s="126">
        <v>1</v>
      </c>
      <c r="S331" s="206">
        <v>3.01</v>
      </c>
      <c r="T331" s="206">
        <v>3.5</v>
      </c>
      <c r="U331" s="206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1919</v>
      </c>
      <c r="G332" s="126" t="s">
        <v>1988</v>
      </c>
      <c r="H332" s="162">
        <v>46201</v>
      </c>
      <c r="I332" s="126">
        <v>1</v>
      </c>
      <c r="J332" s="141" t="s">
        <v>582</v>
      </c>
      <c r="K332" s="159" t="s">
        <v>583</v>
      </c>
      <c r="L332" s="126">
        <v>1</v>
      </c>
      <c r="M332" s="126">
        <v>0</v>
      </c>
      <c r="N332" s="159" t="s">
        <v>546</v>
      </c>
      <c r="O332" s="126">
        <v>1</v>
      </c>
      <c r="S332" s="206">
        <v>5.8</v>
      </c>
      <c r="T332" s="206">
        <v>5</v>
      </c>
      <c r="U332" s="206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1919</v>
      </c>
      <c r="G333" s="126" t="s">
        <v>1988</v>
      </c>
      <c r="H333" s="162">
        <v>46201</v>
      </c>
      <c r="I333" s="126">
        <v>1</v>
      </c>
      <c r="J333" s="141" t="s">
        <v>1194</v>
      </c>
      <c r="K333" s="159" t="s">
        <v>1195</v>
      </c>
      <c r="L333" s="126">
        <v>1</v>
      </c>
      <c r="M333" s="126">
        <v>0</v>
      </c>
      <c r="N333" s="159" t="s">
        <v>546</v>
      </c>
      <c r="O333" s="126">
        <v>1</v>
      </c>
      <c r="S333" s="206">
        <v>0.5</v>
      </c>
      <c r="T333" s="206">
        <v>1</v>
      </c>
      <c r="U333" s="206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1919</v>
      </c>
      <c r="G334" s="126" t="s">
        <v>1988</v>
      </c>
      <c r="H334" s="162">
        <v>46201</v>
      </c>
      <c r="I334" s="126">
        <v>1</v>
      </c>
      <c r="J334" s="141" t="s">
        <v>710</v>
      </c>
      <c r="K334" s="159" t="s">
        <v>711</v>
      </c>
      <c r="L334" s="126">
        <v>10</v>
      </c>
      <c r="M334" s="126">
        <v>0</v>
      </c>
      <c r="N334" s="159" t="s">
        <v>546</v>
      </c>
      <c r="O334" s="126">
        <v>1</v>
      </c>
      <c r="S334" s="206">
        <v>5.03</v>
      </c>
      <c r="T334" s="206">
        <v>5.25</v>
      </c>
      <c r="U334" s="206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1919</v>
      </c>
      <c r="G335" s="126" t="s">
        <v>1988</v>
      </c>
      <c r="H335" s="162">
        <v>46201</v>
      </c>
      <c r="I335" s="126">
        <v>1</v>
      </c>
      <c r="J335" s="141" t="s">
        <v>814</v>
      </c>
      <c r="K335" s="159" t="s">
        <v>815</v>
      </c>
      <c r="L335" s="126">
        <v>5</v>
      </c>
      <c r="M335" s="126">
        <v>0</v>
      </c>
      <c r="N335" s="159" t="s">
        <v>546</v>
      </c>
      <c r="O335" s="126">
        <v>1</v>
      </c>
      <c r="S335" s="206">
        <v>0.28000000000000003</v>
      </c>
      <c r="T335" s="206">
        <v>0.38</v>
      </c>
      <c r="U335" s="206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1919</v>
      </c>
      <c r="G336" s="126" t="s">
        <v>1988</v>
      </c>
      <c r="H336" s="162">
        <v>46201</v>
      </c>
      <c r="I336" s="126">
        <v>1</v>
      </c>
      <c r="J336" s="141" t="s">
        <v>804</v>
      </c>
      <c r="K336" s="159" t="s">
        <v>805</v>
      </c>
      <c r="L336" s="126">
        <v>5</v>
      </c>
      <c r="M336" s="126">
        <v>0</v>
      </c>
      <c r="N336" s="159" t="s">
        <v>546</v>
      </c>
      <c r="O336" s="126">
        <v>1</v>
      </c>
      <c r="S336" s="206">
        <v>0.12</v>
      </c>
      <c r="T336" s="206">
        <v>0.25</v>
      </c>
      <c r="U336" s="206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1919</v>
      </c>
      <c r="G337" s="126" t="s">
        <v>1988</v>
      </c>
      <c r="H337" s="162">
        <v>46201</v>
      </c>
      <c r="I337" s="126">
        <v>1</v>
      </c>
      <c r="J337" s="141" t="s">
        <v>2011</v>
      </c>
      <c r="K337" s="159" t="s">
        <v>2012</v>
      </c>
      <c r="L337" s="126">
        <v>2</v>
      </c>
      <c r="M337" s="126">
        <v>0</v>
      </c>
      <c r="N337" s="159" t="s">
        <v>546</v>
      </c>
      <c r="O337" s="126">
        <v>1</v>
      </c>
      <c r="S337" s="206">
        <v>0.11</v>
      </c>
      <c r="T337" s="206">
        <v>0.25</v>
      </c>
      <c r="U337" s="206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1919</v>
      </c>
      <c r="G338" s="126" t="s">
        <v>1988</v>
      </c>
      <c r="H338" s="162">
        <v>46201</v>
      </c>
      <c r="I338" s="126">
        <v>1</v>
      </c>
      <c r="J338" s="141" t="s">
        <v>1814</v>
      </c>
      <c r="K338" s="159" t="s">
        <v>1815</v>
      </c>
      <c r="L338" s="126">
        <v>3</v>
      </c>
      <c r="M338" s="126">
        <v>0</v>
      </c>
      <c r="N338" s="159" t="s">
        <v>546</v>
      </c>
      <c r="O338" s="126">
        <v>1</v>
      </c>
      <c r="S338" s="206">
        <v>1.1499999999999999</v>
      </c>
      <c r="T338" s="206">
        <v>2.5</v>
      </c>
      <c r="U338" s="206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1919</v>
      </c>
      <c r="G339" s="126" t="s">
        <v>1988</v>
      </c>
      <c r="H339" s="162">
        <v>46201</v>
      </c>
      <c r="I339" s="126">
        <v>1</v>
      </c>
      <c r="J339" s="141" t="s">
        <v>907</v>
      </c>
      <c r="K339" s="159" t="s">
        <v>908</v>
      </c>
      <c r="L339" s="126">
        <v>1</v>
      </c>
      <c r="M339" s="126">
        <v>0</v>
      </c>
      <c r="N339" s="159" t="s">
        <v>546</v>
      </c>
      <c r="O339" s="126">
        <v>1</v>
      </c>
      <c r="S339" s="206">
        <v>0.15</v>
      </c>
      <c r="T339" s="206">
        <v>0.25</v>
      </c>
      <c r="U339" s="206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1919</v>
      </c>
      <c r="G340" s="126" t="s">
        <v>1988</v>
      </c>
      <c r="H340" s="162">
        <v>46201</v>
      </c>
      <c r="I340" s="126">
        <v>1</v>
      </c>
      <c r="J340" s="141" t="s">
        <v>1010</v>
      </c>
      <c r="K340" s="159" t="s">
        <v>1011</v>
      </c>
      <c r="L340" s="126">
        <v>1</v>
      </c>
      <c r="M340" s="126">
        <v>0</v>
      </c>
      <c r="N340" s="159" t="s">
        <v>546</v>
      </c>
      <c r="O340" s="126">
        <v>1</v>
      </c>
      <c r="S340" s="206">
        <v>2.7</v>
      </c>
      <c r="T340" s="206">
        <v>3</v>
      </c>
      <c r="U340" s="206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1919</v>
      </c>
      <c r="G341" s="126" t="s">
        <v>1988</v>
      </c>
      <c r="H341" s="162">
        <v>46201</v>
      </c>
      <c r="I341" s="126">
        <v>1</v>
      </c>
      <c r="J341" s="141" t="s">
        <v>663</v>
      </c>
      <c r="K341" s="159" t="s">
        <v>664</v>
      </c>
      <c r="L341" s="126">
        <v>1</v>
      </c>
      <c r="M341" s="126">
        <v>0</v>
      </c>
      <c r="N341" s="159" t="s">
        <v>546</v>
      </c>
      <c r="O341" s="126">
        <v>1</v>
      </c>
      <c r="S341" s="206">
        <v>1.63</v>
      </c>
      <c r="T341" s="206">
        <v>2.5</v>
      </c>
      <c r="U341" s="206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1919</v>
      </c>
      <c r="G342" s="126" t="s">
        <v>1988</v>
      </c>
      <c r="H342" s="162">
        <v>46201</v>
      </c>
      <c r="I342" s="126">
        <v>1</v>
      </c>
      <c r="J342" s="141" t="s">
        <v>2028</v>
      </c>
      <c r="K342" s="159" t="s">
        <v>2029</v>
      </c>
      <c r="L342" s="126">
        <v>1</v>
      </c>
      <c r="M342" s="126">
        <v>0</v>
      </c>
      <c r="N342" s="159" t="s">
        <v>2030</v>
      </c>
      <c r="O342" s="126">
        <v>1</v>
      </c>
      <c r="S342" s="206">
        <v>5</v>
      </c>
      <c r="T342" s="206">
        <v>7.5</v>
      </c>
      <c r="U342" s="206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1919</v>
      </c>
      <c r="G343" s="126" t="s">
        <v>1988</v>
      </c>
      <c r="H343" s="162">
        <v>46201</v>
      </c>
      <c r="I343" s="126">
        <v>1</v>
      </c>
      <c r="J343" s="141" t="s">
        <v>2034</v>
      </c>
      <c r="K343" s="159" t="s">
        <v>2035</v>
      </c>
      <c r="L343" s="126">
        <v>1</v>
      </c>
      <c r="M343" s="126">
        <v>0</v>
      </c>
      <c r="N343" s="159" t="s">
        <v>2030</v>
      </c>
      <c r="O343" s="126">
        <v>1</v>
      </c>
      <c r="S343" s="206">
        <v>8.8000000000000007</v>
      </c>
      <c r="T343" s="206">
        <v>9.5</v>
      </c>
      <c r="U343" s="206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1919</v>
      </c>
      <c r="G344" s="126" t="s">
        <v>1988</v>
      </c>
      <c r="H344" s="162">
        <v>46201</v>
      </c>
      <c r="I344" s="126">
        <v>1</v>
      </c>
      <c r="J344" s="141" t="s">
        <v>1749</v>
      </c>
      <c r="K344" s="159" t="s">
        <v>1750</v>
      </c>
      <c r="L344" s="126">
        <v>1</v>
      </c>
      <c r="M344" s="126">
        <v>0</v>
      </c>
      <c r="N344" s="159" t="s">
        <v>546</v>
      </c>
      <c r="O344" s="126">
        <v>1</v>
      </c>
      <c r="S344" s="206">
        <v>1.04</v>
      </c>
      <c r="T344" s="206">
        <v>1.5</v>
      </c>
      <c r="U344" s="206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2042</v>
      </c>
      <c r="G345" s="126" t="s">
        <v>2043</v>
      </c>
      <c r="H345" s="162">
        <v>46202</v>
      </c>
      <c r="I345" s="126">
        <v>1</v>
      </c>
      <c r="J345" s="141" t="s">
        <v>749</v>
      </c>
      <c r="K345" s="159" t="s">
        <v>750</v>
      </c>
      <c r="L345" s="126">
        <v>10</v>
      </c>
      <c r="M345" s="126">
        <v>0</v>
      </c>
      <c r="N345" s="159" t="s">
        <v>795</v>
      </c>
      <c r="O345" s="126">
        <v>20</v>
      </c>
      <c r="S345" s="206">
        <v>4.25</v>
      </c>
      <c r="T345" s="206">
        <v>4.5</v>
      </c>
      <c r="U345" s="206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2042</v>
      </c>
      <c r="G346" s="126" t="s">
        <v>2048</v>
      </c>
      <c r="H346" s="162">
        <v>46202</v>
      </c>
      <c r="I346" s="126">
        <v>1</v>
      </c>
      <c r="J346" s="141" t="s">
        <v>749</v>
      </c>
      <c r="K346" s="159" t="s">
        <v>750</v>
      </c>
      <c r="L346" s="126">
        <v>5</v>
      </c>
      <c r="M346" s="126">
        <v>0</v>
      </c>
      <c r="N346" s="159" t="s">
        <v>795</v>
      </c>
      <c r="O346" s="126">
        <v>20</v>
      </c>
      <c r="S346" s="206">
        <v>4.25</v>
      </c>
      <c r="T346" s="206">
        <v>4.5</v>
      </c>
      <c r="U346" s="206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2042</v>
      </c>
      <c r="G347" s="126" t="s">
        <v>2048</v>
      </c>
      <c r="H347" s="162">
        <v>46202</v>
      </c>
      <c r="I347" s="126">
        <v>1</v>
      </c>
      <c r="J347" s="141" t="s">
        <v>736</v>
      </c>
      <c r="K347" s="159" t="s">
        <v>737</v>
      </c>
      <c r="L347" s="126">
        <v>6</v>
      </c>
      <c r="M347" s="126">
        <v>0</v>
      </c>
      <c r="N347" s="159" t="s">
        <v>670</v>
      </c>
      <c r="O347" s="126">
        <v>12</v>
      </c>
      <c r="S347" s="206">
        <v>4.41</v>
      </c>
      <c r="T347" s="206">
        <v>5</v>
      </c>
      <c r="U347" s="206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2042</v>
      </c>
      <c r="G348" s="126" t="s">
        <v>2048</v>
      </c>
      <c r="H348" s="162">
        <v>46202</v>
      </c>
      <c r="I348" s="126">
        <v>1</v>
      </c>
      <c r="J348" s="141" t="s">
        <v>742</v>
      </c>
      <c r="K348" s="159" t="s">
        <v>743</v>
      </c>
      <c r="L348" s="126">
        <v>1</v>
      </c>
      <c r="M348" s="126">
        <v>0</v>
      </c>
      <c r="N348" s="159" t="s">
        <v>1705</v>
      </c>
      <c r="O348" s="126">
        <v>1</v>
      </c>
      <c r="S348" s="206">
        <v>53</v>
      </c>
      <c r="T348" s="206">
        <v>57</v>
      </c>
      <c r="U348" s="206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2042</v>
      </c>
      <c r="G349" s="126" t="s">
        <v>2059</v>
      </c>
      <c r="H349" s="162">
        <v>46202</v>
      </c>
      <c r="I349" s="126">
        <v>1</v>
      </c>
      <c r="J349" s="141" t="s">
        <v>1010</v>
      </c>
      <c r="K349" s="159" t="s">
        <v>1011</v>
      </c>
      <c r="L349" s="126">
        <v>7</v>
      </c>
      <c r="M349" s="126">
        <v>0</v>
      </c>
      <c r="N349" s="159" t="s">
        <v>546</v>
      </c>
      <c r="O349" s="126">
        <v>1</v>
      </c>
      <c r="S349" s="206">
        <v>2.7</v>
      </c>
      <c r="T349" s="206">
        <v>3</v>
      </c>
      <c r="U349" s="206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2042</v>
      </c>
      <c r="G350" s="126" t="s">
        <v>2059</v>
      </c>
      <c r="H350" s="162">
        <v>46202</v>
      </c>
      <c r="I350" s="126">
        <v>1</v>
      </c>
      <c r="J350" s="141" t="s">
        <v>1406</v>
      </c>
      <c r="K350" s="159" t="s">
        <v>1407</v>
      </c>
      <c r="L350" s="126">
        <v>20</v>
      </c>
      <c r="M350" s="126">
        <v>0</v>
      </c>
      <c r="N350" s="159" t="s">
        <v>2064</v>
      </c>
      <c r="O350" s="126">
        <v>12</v>
      </c>
      <c r="S350" s="206">
        <v>0.13</v>
      </c>
      <c r="T350" s="206">
        <v>0.25</v>
      </c>
      <c r="U350" s="206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2042</v>
      </c>
      <c r="G351" s="126" t="s">
        <v>2059</v>
      </c>
      <c r="H351" s="162">
        <v>46202</v>
      </c>
      <c r="I351" s="126">
        <v>1</v>
      </c>
      <c r="J351" s="141" t="s">
        <v>2068</v>
      </c>
      <c r="K351" s="159" t="s">
        <v>2069</v>
      </c>
      <c r="L351" s="126">
        <v>1</v>
      </c>
      <c r="M351" s="126">
        <v>0</v>
      </c>
      <c r="N351" s="159" t="s">
        <v>546</v>
      </c>
      <c r="O351" s="126">
        <v>1</v>
      </c>
      <c r="S351" s="206">
        <v>2.6</v>
      </c>
      <c r="T351" s="206">
        <v>3</v>
      </c>
      <c r="U351" s="206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2042</v>
      </c>
      <c r="G352" s="126" t="s">
        <v>2059</v>
      </c>
      <c r="H352" s="162">
        <v>46202</v>
      </c>
      <c r="I352" s="126">
        <v>1</v>
      </c>
      <c r="J352" s="141" t="s">
        <v>1134</v>
      </c>
      <c r="K352" s="159" t="s">
        <v>1135</v>
      </c>
      <c r="L352" s="126">
        <v>1</v>
      </c>
      <c r="M352" s="126">
        <v>0</v>
      </c>
      <c r="N352" s="159" t="s">
        <v>1136</v>
      </c>
      <c r="O352" s="126">
        <v>1</v>
      </c>
      <c r="S352" s="206">
        <v>1.35</v>
      </c>
      <c r="T352" s="206">
        <v>1.75</v>
      </c>
      <c r="U352" s="206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2042</v>
      </c>
      <c r="G353" s="126" t="s">
        <v>2059</v>
      </c>
      <c r="H353" s="162">
        <v>46202</v>
      </c>
      <c r="I353" s="126">
        <v>1</v>
      </c>
      <c r="J353" s="141" t="s">
        <v>799</v>
      </c>
      <c r="K353" s="159" t="s">
        <v>800</v>
      </c>
      <c r="L353" s="126">
        <v>1</v>
      </c>
      <c r="M353" s="126">
        <v>0</v>
      </c>
      <c r="N353" s="159" t="s">
        <v>546</v>
      </c>
      <c r="O353" s="126">
        <v>12</v>
      </c>
      <c r="S353" s="206">
        <v>0.34</v>
      </c>
      <c r="T353" s="206">
        <v>0.88</v>
      </c>
      <c r="U353" s="206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2042</v>
      </c>
      <c r="G354" s="126" t="s">
        <v>2059</v>
      </c>
      <c r="H354" s="162">
        <v>46202</v>
      </c>
      <c r="I354" s="126">
        <v>1</v>
      </c>
      <c r="J354" s="141" t="s">
        <v>577</v>
      </c>
      <c r="K354" s="159" t="s">
        <v>578</v>
      </c>
      <c r="L354" s="126">
        <v>4</v>
      </c>
      <c r="M354" s="126">
        <v>0</v>
      </c>
      <c r="N354" s="159" t="s">
        <v>573</v>
      </c>
      <c r="O354" s="126">
        <v>1</v>
      </c>
      <c r="S354" s="206">
        <v>3.37</v>
      </c>
      <c r="T354" s="206">
        <v>3.4</v>
      </c>
      <c r="U354" s="206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2042</v>
      </c>
      <c r="G355" s="126" t="s">
        <v>2059</v>
      </c>
      <c r="H355" s="162">
        <v>46202</v>
      </c>
      <c r="I355" s="126">
        <v>1</v>
      </c>
      <c r="J355" s="141" t="s">
        <v>824</v>
      </c>
      <c r="K355" s="159" t="s">
        <v>825</v>
      </c>
      <c r="L355" s="126">
        <v>8</v>
      </c>
      <c r="M355" s="126">
        <v>0</v>
      </c>
      <c r="N355" s="159" t="s">
        <v>546</v>
      </c>
      <c r="O355" s="126">
        <v>12</v>
      </c>
      <c r="S355" s="206">
        <v>0.28999999999999998</v>
      </c>
      <c r="T355" s="206">
        <v>0.5</v>
      </c>
      <c r="U355" s="206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2042</v>
      </c>
      <c r="G356" s="126" t="s">
        <v>2059</v>
      </c>
      <c r="H356" s="162">
        <v>46202</v>
      </c>
      <c r="I356" s="126">
        <v>1</v>
      </c>
      <c r="J356" s="141" t="s">
        <v>997</v>
      </c>
      <c r="K356" s="159" t="s">
        <v>998</v>
      </c>
      <c r="L356" s="126">
        <v>1</v>
      </c>
      <c r="M356" s="126">
        <v>0</v>
      </c>
      <c r="N356" s="159" t="s">
        <v>546</v>
      </c>
      <c r="O356" s="126">
        <v>50</v>
      </c>
      <c r="S356" s="206">
        <v>0.3</v>
      </c>
      <c r="T356" s="206">
        <v>0.63</v>
      </c>
      <c r="U356" s="206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2042</v>
      </c>
      <c r="G357" s="126" t="s">
        <v>2059</v>
      </c>
      <c r="H357" s="162">
        <v>46202</v>
      </c>
      <c r="I357" s="126">
        <v>1</v>
      </c>
      <c r="J357" s="141" t="s">
        <v>1126</v>
      </c>
      <c r="K357" s="159" t="s">
        <v>1127</v>
      </c>
      <c r="L357" s="126">
        <v>1</v>
      </c>
      <c r="M357" s="126">
        <v>0</v>
      </c>
      <c r="N357" s="159" t="s">
        <v>546</v>
      </c>
      <c r="O357" s="126">
        <v>1</v>
      </c>
      <c r="S357" s="206">
        <v>1.32</v>
      </c>
      <c r="T357" s="206">
        <v>1.75</v>
      </c>
      <c r="U357" s="206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2091</v>
      </c>
      <c r="G358" s="126" t="s">
        <v>2092</v>
      </c>
      <c r="H358" s="162">
        <v>46203</v>
      </c>
      <c r="I358" s="126">
        <v>1</v>
      </c>
      <c r="J358" s="141" t="s">
        <v>678</v>
      </c>
      <c r="K358" s="159" t="s">
        <v>679</v>
      </c>
      <c r="L358" s="126">
        <v>1</v>
      </c>
      <c r="M358" s="126">
        <v>0</v>
      </c>
      <c r="N358" s="159" t="s">
        <v>546</v>
      </c>
      <c r="O358" s="126">
        <v>1</v>
      </c>
      <c r="S358" s="206">
        <v>27.34</v>
      </c>
      <c r="T358" s="206">
        <v>28.5</v>
      </c>
      <c r="U358" s="206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2091</v>
      </c>
      <c r="G359" s="126" t="s">
        <v>2092</v>
      </c>
      <c r="H359" s="162">
        <v>46203</v>
      </c>
      <c r="I359" s="126">
        <v>1</v>
      </c>
      <c r="J359" s="141" t="s">
        <v>2097</v>
      </c>
      <c r="K359" s="159" t="s">
        <v>2098</v>
      </c>
      <c r="L359" s="126">
        <v>2</v>
      </c>
      <c r="M359" s="126">
        <v>0</v>
      </c>
      <c r="N359" s="159" t="s">
        <v>546</v>
      </c>
      <c r="O359" s="126">
        <v>12</v>
      </c>
      <c r="S359" s="206">
        <v>0.2</v>
      </c>
      <c r="T359" s="206">
        <v>0.75</v>
      </c>
      <c r="U359" s="206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2091</v>
      </c>
      <c r="G360" s="126" t="s">
        <v>2092</v>
      </c>
      <c r="H360" s="162">
        <v>46203</v>
      </c>
      <c r="I360" s="126">
        <v>1</v>
      </c>
      <c r="J360" s="141" t="s">
        <v>2102</v>
      </c>
      <c r="K360" s="159" t="s">
        <v>2103</v>
      </c>
      <c r="L360" s="126">
        <v>2</v>
      </c>
      <c r="M360" s="126">
        <v>0</v>
      </c>
      <c r="N360" s="159" t="s">
        <v>546</v>
      </c>
      <c r="O360" s="126">
        <v>1</v>
      </c>
      <c r="S360" s="206">
        <v>1.2</v>
      </c>
      <c r="T360" s="206">
        <v>1.5</v>
      </c>
      <c r="U360" s="206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2091</v>
      </c>
      <c r="G361" s="126" t="s">
        <v>2092</v>
      </c>
      <c r="H361" s="162">
        <v>46203</v>
      </c>
      <c r="I361" s="126">
        <v>1</v>
      </c>
      <c r="J361" s="141" t="s">
        <v>2107</v>
      </c>
      <c r="K361" s="159" t="s">
        <v>2108</v>
      </c>
      <c r="L361" s="126">
        <v>2</v>
      </c>
      <c r="M361" s="126">
        <v>0</v>
      </c>
      <c r="N361" s="159" t="s">
        <v>546</v>
      </c>
      <c r="O361" s="126">
        <v>12</v>
      </c>
      <c r="S361" s="206">
        <v>0.1</v>
      </c>
      <c r="T361" s="206">
        <v>0.25</v>
      </c>
      <c r="U361" s="206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2091</v>
      </c>
      <c r="G362" s="126" t="s">
        <v>2092</v>
      </c>
      <c r="H362" s="162">
        <v>46203</v>
      </c>
      <c r="I362" s="126">
        <v>1</v>
      </c>
      <c r="J362" s="141" t="s">
        <v>587</v>
      </c>
      <c r="K362" s="159" t="s">
        <v>588</v>
      </c>
      <c r="L362" s="126">
        <v>2</v>
      </c>
      <c r="M362" s="126">
        <v>0</v>
      </c>
      <c r="N362" s="159" t="s">
        <v>546</v>
      </c>
      <c r="O362" s="126">
        <v>1</v>
      </c>
      <c r="S362" s="206">
        <v>14.85</v>
      </c>
      <c r="T362" s="206">
        <v>15.5</v>
      </c>
      <c r="U362" s="206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2091</v>
      </c>
      <c r="G363" s="126" t="s">
        <v>2115</v>
      </c>
      <c r="H363" s="162">
        <v>46203</v>
      </c>
      <c r="I363" s="126">
        <v>1</v>
      </c>
      <c r="J363" s="141" t="s">
        <v>779</v>
      </c>
      <c r="K363" s="159" t="s">
        <v>780</v>
      </c>
      <c r="L363" s="126">
        <v>5</v>
      </c>
      <c r="M363" s="126">
        <v>0</v>
      </c>
      <c r="N363" s="159" t="s">
        <v>573</v>
      </c>
      <c r="O363" s="126">
        <v>1</v>
      </c>
      <c r="S363" s="206">
        <v>4.09</v>
      </c>
      <c r="T363" s="206">
        <v>4.5</v>
      </c>
      <c r="U363" s="206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2091</v>
      </c>
      <c r="G364" s="126" t="s">
        <v>2115</v>
      </c>
      <c r="H364" s="162">
        <v>46203</v>
      </c>
      <c r="I364" s="126">
        <v>1</v>
      </c>
      <c r="J364" s="141" t="s">
        <v>767</v>
      </c>
      <c r="K364" s="159" t="s">
        <v>768</v>
      </c>
      <c r="L364" s="126">
        <v>2</v>
      </c>
      <c r="M364" s="126">
        <v>0</v>
      </c>
      <c r="N364" s="159" t="s">
        <v>619</v>
      </c>
      <c r="O364" s="126">
        <v>1</v>
      </c>
      <c r="S364" s="206">
        <v>4</v>
      </c>
      <c r="T364" s="206">
        <v>4.5</v>
      </c>
      <c r="U364" s="206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2091</v>
      </c>
      <c r="G365" s="126" t="s">
        <v>2115</v>
      </c>
      <c r="H365" s="162">
        <v>46203</v>
      </c>
      <c r="I365" s="126">
        <v>1</v>
      </c>
      <c r="J365" s="141" t="s">
        <v>2123</v>
      </c>
      <c r="K365" s="159" t="s">
        <v>2124</v>
      </c>
      <c r="L365" s="126">
        <v>2</v>
      </c>
      <c r="M365" s="126">
        <v>0</v>
      </c>
      <c r="N365" s="159" t="s">
        <v>546</v>
      </c>
      <c r="O365" s="126">
        <v>1</v>
      </c>
      <c r="S365" s="206">
        <v>0.38</v>
      </c>
      <c r="T365" s="206">
        <v>0.5</v>
      </c>
      <c r="U365" s="206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2091</v>
      </c>
      <c r="G366" s="126" t="s">
        <v>2115</v>
      </c>
      <c r="H366" s="162">
        <v>46203</v>
      </c>
      <c r="I366" s="126">
        <v>1</v>
      </c>
      <c r="J366" s="141" t="s">
        <v>799</v>
      </c>
      <c r="K366" s="159" t="s">
        <v>800</v>
      </c>
      <c r="L366" s="126">
        <v>1</v>
      </c>
      <c r="M366" s="126">
        <v>0</v>
      </c>
      <c r="N366" s="159" t="s">
        <v>546</v>
      </c>
      <c r="O366" s="126">
        <v>12</v>
      </c>
      <c r="S366" s="206">
        <v>0.34</v>
      </c>
      <c r="T366" s="206">
        <v>0.88</v>
      </c>
      <c r="U366" s="206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2091</v>
      </c>
      <c r="G367" s="126" t="s">
        <v>2115</v>
      </c>
      <c r="H367" s="162">
        <v>46203</v>
      </c>
      <c r="I367" s="126">
        <v>1</v>
      </c>
      <c r="J367" s="141" t="s">
        <v>1212</v>
      </c>
      <c r="K367" s="159" t="s">
        <v>1213</v>
      </c>
      <c r="L367" s="126">
        <v>1</v>
      </c>
      <c r="M367" s="126">
        <v>0</v>
      </c>
      <c r="N367" s="159" t="s">
        <v>546</v>
      </c>
      <c r="O367" s="126">
        <v>1</v>
      </c>
      <c r="S367" s="206">
        <v>0.95</v>
      </c>
      <c r="T367" s="206">
        <v>1.5</v>
      </c>
      <c r="U367" s="206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2091</v>
      </c>
      <c r="G368" s="126" t="s">
        <v>2115</v>
      </c>
      <c r="H368" s="162">
        <v>46203</v>
      </c>
      <c r="I368" s="126">
        <v>1</v>
      </c>
      <c r="J368" s="141" t="s">
        <v>804</v>
      </c>
      <c r="K368" s="159" t="s">
        <v>805</v>
      </c>
      <c r="L368" s="126">
        <v>2</v>
      </c>
      <c r="M368" s="126">
        <v>0</v>
      </c>
      <c r="N368" s="159" t="s">
        <v>546</v>
      </c>
      <c r="O368" s="126">
        <v>1</v>
      </c>
      <c r="S368" s="206">
        <v>0.12</v>
      </c>
      <c r="T368" s="206">
        <v>0.25</v>
      </c>
      <c r="U368" s="206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2091</v>
      </c>
      <c r="G369" s="126" t="s">
        <v>2115</v>
      </c>
      <c r="H369" s="162">
        <v>46203</v>
      </c>
      <c r="I369" s="126">
        <v>1</v>
      </c>
      <c r="J369" s="141" t="s">
        <v>1204</v>
      </c>
      <c r="K369" s="159" t="s">
        <v>1205</v>
      </c>
      <c r="L369" s="126">
        <v>2</v>
      </c>
      <c r="M369" s="126">
        <v>0</v>
      </c>
      <c r="N369" s="159" t="s">
        <v>546</v>
      </c>
      <c r="O369" s="126">
        <v>1</v>
      </c>
      <c r="S369" s="206">
        <v>0.55000000000000004</v>
      </c>
      <c r="T369" s="206">
        <v>0.75</v>
      </c>
      <c r="U369" s="206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2091</v>
      </c>
      <c r="G370" s="126" t="s">
        <v>2115</v>
      </c>
      <c r="H370" s="162">
        <v>46203</v>
      </c>
      <c r="I370" s="126">
        <v>1</v>
      </c>
      <c r="J370" s="141" t="s">
        <v>1194</v>
      </c>
      <c r="K370" s="159" t="s">
        <v>1195</v>
      </c>
      <c r="L370" s="126">
        <v>1</v>
      </c>
      <c r="M370" s="126">
        <v>0</v>
      </c>
      <c r="N370" s="159" t="s">
        <v>546</v>
      </c>
      <c r="O370" s="126">
        <v>1</v>
      </c>
      <c r="S370" s="206">
        <v>0.5</v>
      </c>
      <c r="T370" s="206">
        <v>0.75</v>
      </c>
      <c r="U370" s="206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580" ht="21.75" customHeight="1"/>
    <row r="792" ht="24.75" customHeight="1"/>
    <row r="1181" ht="17.25" customHeight="1"/>
  </sheetData>
  <autoFilter ref="C7:AB7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26" sqref="M26"/>
    </sheetView>
  </sheetViews>
  <sheetFormatPr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33" t="s">
        <v>461</v>
      </c>
      <c r="D4" s="246"/>
      <c r="E4" s="246"/>
      <c r="F4" s="246"/>
      <c r="G4" s="247"/>
      <c r="H4" s="248"/>
      <c r="I4" s="247"/>
      <c r="J4" s="247"/>
      <c r="K4" s="247"/>
      <c r="L4" s="247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66" t="s">
        <v>10</v>
      </c>
      <c r="D6" s="266" t="s">
        <v>107</v>
      </c>
      <c r="E6" s="266" t="s">
        <v>142</v>
      </c>
      <c r="F6" s="266" t="s">
        <v>193</v>
      </c>
      <c r="G6" s="266" t="s">
        <v>143</v>
      </c>
      <c r="H6" s="266" t="s">
        <v>150</v>
      </c>
      <c r="I6" s="266" t="s">
        <v>144</v>
      </c>
      <c r="J6" s="266" t="s">
        <v>149</v>
      </c>
      <c r="K6" s="266" t="s">
        <v>15</v>
      </c>
      <c r="L6" s="266" t="s">
        <v>109</v>
      </c>
    </row>
    <row r="7" spans="3:12" ht="19.5" customHeight="1">
      <c r="C7" s="311" t="s">
        <v>139</v>
      </c>
      <c r="D7" s="311" t="s">
        <v>102</v>
      </c>
      <c r="E7" s="311" t="s">
        <v>140</v>
      </c>
      <c r="F7" s="311" t="s">
        <v>194</v>
      </c>
      <c r="G7" s="311" t="s">
        <v>141</v>
      </c>
      <c r="H7" s="311" t="s">
        <v>151</v>
      </c>
      <c r="I7" s="311" t="s">
        <v>386</v>
      </c>
      <c r="J7" s="311" t="s">
        <v>148</v>
      </c>
      <c r="K7" s="311" t="s">
        <v>28</v>
      </c>
      <c r="L7" s="311" t="s">
        <v>98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8" activePane="bottomLeft" state="frozen"/>
      <selection activeCell="L28" sqref="L28"/>
      <selection pane="bottomLeft" activeCell="I19" sqref="I19"/>
    </sheetView>
  </sheetViews>
  <sheetFormatPr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8" customWidth="1"/>
    <col min="21" max="21" width="23.28515625" style="208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5"/>
      <c r="U2" s="205"/>
      <c r="V2" s="165"/>
      <c r="W2" s="129"/>
      <c r="X2" s="262"/>
      <c r="AE2" s="147"/>
      <c r="AF2" s="147"/>
    </row>
    <row r="3" spans="3:35" customFormat="1" ht="33.75">
      <c r="C3" s="294" t="s">
        <v>462</v>
      </c>
      <c r="D3" s="235"/>
      <c r="E3" s="235"/>
      <c r="F3" s="249"/>
      <c r="G3" s="250"/>
      <c r="H3" s="250"/>
      <c r="I3" s="250"/>
      <c r="J3" s="235"/>
      <c r="K3" s="235"/>
      <c r="L3" s="251"/>
      <c r="M3" s="252"/>
      <c r="N3" s="235"/>
      <c r="O3" s="235"/>
      <c r="P3" s="2"/>
      <c r="Q3" s="252"/>
      <c r="R3" s="252"/>
      <c r="S3" s="252"/>
      <c r="T3" s="236"/>
      <c r="U3" s="236">
        <f>P8*T8</f>
        <v>0</v>
      </c>
      <c r="V3" s="253"/>
      <c r="W3" s="250"/>
      <c r="X3" s="262"/>
      <c r="Y3" s="235"/>
      <c r="Z3" s="235"/>
      <c r="AA3" s="235"/>
      <c r="AB3" s="235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5"/>
      <c r="U4" s="205"/>
      <c r="V4" s="165"/>
      <c r="W4" s="129"/>
      <c r="X4" s="262"/>
    </row>
    <row r="5" spans="3:35" s="13" customFormat="1" ht="9" customHeight="1"/>
    <row r="6" spans="3:35" customFormat="1" ht="28.5" customHeight="1">
      <c r="C6" s="312" t="s">
        <v>10</v>
      </c>
      <c r="D6" s="312" t="s">
        <v>34</v>
      </c>
      <c r="E6" s="312" t="s">
        <v>125</v>
      </c>
      <c r="F6" s="313" t="s">
        <v>24</v>
      </c>
      <c r="G6" s="312" t="s">
        <v>41</v>
      </c>
      <c r="H6" s="312" t="s">
        <v>214</v>
      </c>
      <c r="I6" s="312" t="s">
        <v>211</v>
      </c>
      <c r="J6" s="312" t="s">
        <v>193</v>
      </c>
      <c r="K6" s="312" t="s">
        <v>131</v>
      </c>
      <c r="L6" s="312" t="s">
        <v>37</v>
      </c>
      <c r="M6" s="312" t="s">
        <v>38</v>
      </c>
      <c r="N6" s="312" t="s">
        <v>133</v>
      </c>
      <c r="O6" s="312" t="s">
        <v>122</v>
      </c>
      <c r="P6" s="312" t="s">
        <v>134</v>
      </c>
      <c r="Q6" s="312" t="s">
        <v>13</v>
      </c>
      <c r="R6" s="312" t="s">
        <v>264</v>
      </c>
      <c r="S6" s="312" t="s">
        <v>451</v>
      </c>
      <c r="T6" s="314" t="s">
        <v>138</v>
      </c>
      <c r="U6" s="314" t="s">
        <v>137</v>
      </c>
      <c r="V6" s="315" t="s">
        <v>24</v>
      </c>
      <c r="W6" s="312" t="s">
        <v>192</v>
      </c>
      <c r="X6" s="312" t="s">
        <v>467</v>
      </c>
      <c r="Y6" s="312" t="s">
        <v>109</v>
      </c>
      <c r="Z6" s="312" t="s">
        <v>23</v>
      </c>
      <c r="AA6" s="312" t="s">
        <v>95</v>
      </c>
      <c r="AB6" s="312" t="s">
        <v>120</v>
      </c>
    </row>
    <row r="7" spans="3:35" customFormat="1" ht="21.75" customHeight="1">
      <c r="C7" s="311" t="s">
        <v>139</v>
      </c>
      <c r="D7" s="311" t="s">
        <v>132</v>
      </c>
      <c r="E7" s="311" t="s">
        <v>96</v>
      </c>
      <c r="F7" s="316" t="s">
        <v>216</v>
      </c>
      <c r="G7" s="311" t="s">
        <v>11</v>
      </c>
      <c r="H7" s="311" t="s">
        <v>210</v>
      </c>
      <c r="I7" s="311" t="s">
        <v>418</v>
      </c>
      <c r="J7" s="311" t="s">
        <v>195</v>
      </c>
      <c r="K7" s="311" t="s">
        <v>130</v>
      </c>
      <c r="L7" s="311" t="s">
        <v>35</v>
      </c>
      <c r="M7" s="311" t="s">
        <v>190</v>
      </c>
      <c r="N7" s="311" t="s">
        <v>145</v>
      </c>
      <c r="O7" s="311" t="s">
        <v>146</v>
      </c>
      <c r="P7" s="311" t="s">
        <v>147</v>
      </c>
      <c r="Q7" s="311" t="s">
        <v>4</v>
      </c>
      <c r="R7" s="311" t="s">
        <v>197</v>
      </c>
      <c r="S7" s="311" t="s">
        <v>415</v>
      </c>
      <c r="T7" s="317" t="s">
        <v>135</v>
      </c>
      <c r="U7" s="317" t="s">
        <v>136</v>
      </c>
      <c r="V7" s="318" t="s">
        <v>215</v>
      </c>
      <c r="W7" s="311" t="s">
        <v>191</v>
      </c>
      <c r="X7" s="311" t="s">
        <v>466</v>
      </c>
      <c r="Y7" s="311" t="s">
        <v>98</v>
      </c>
      <c r="Z7" s="311" t="s">
        <v>26</v>
      </c>
      <c r="AA7" s="311" t="s">
        <v>2</v>
      </c>
      <c r="AB7" s="311" t="s">
        <v>121</v>
      </c>
    </row>
    <row r="8" spans="3:35" ht="21.95" customHeight="1">
      <c r="AE8" s="141"/>
    </row>
    <row r="9" spans="3:35" ht="21.95" customHeight="1">
      <c r="AE9" s="13"/>
      <c r="AF9" s="349"/>
      <c r="AG9" s="350"/>
      <c r="AI9" s="128"/>
    </row>
    <row r="10" spans="3:35" ht="21.95" customHeight="1">
      <c r="AE10" s="13"/>
      <c r="AF10" s="349"/>
      <c r="AG10" s="350"/>
      <c r="AI10" s="128"/>
    </row>
    <row r="11" spans="3:35" ht="21.95" customHeight="1">
      <c r="AE11" s="13"/>
      <c r="AF11" s="349"/>
      <c r="AG11" s="350"/>
      <c r="AI11" s="128"/>
    </row>
    <row r="12" spans="3:35" ht="21.95" customHeight="1">
      <c r="AE12" s="13"/>
      <c r="AF12" s="351"/>
      <c r="AG12" s="352"/>
      <c r="AI12" s="128"/>
    </row>
    <row r="13" spans="3:35" ht="21.95" customHeight="1">
      <c r="AE13" s="13"/>
      <c r="AF13" s="349"/>
      <c r="AG13" s="350"/>
      <c r="AI13" s="128"/>
    </row>
    <row r="14" spans="3:35" ht="21.95" customHeight="1">
      <c r="AE14" s="13"/>
      <c r="AF14" s="349"/>
      <c r="AG14" s="350"/>
      <c r="AI14" s="128"/>
    </row>
    <row r="15" spans="3:35" ht="21.95" customHeight="1">
      <c r="AE15" s="13"/>
      <c r="AF15" s="349"/>
      <c r="AG15" s="350"/>
      <c r="AI15" s="128"/>
    </row>
    <row r="16" spans="3:35" ht="21.95" customHeight="1">
      <c r="AE16" s="13"/>
      <c r="AF16" s="349"/>
      <c r="AG16" s="350"/>
      <c r="AI16" s="128"/>
    </row>
    <row r="17" spans="31:35" ht="21.95" customHeight="1">
      <c r="AE17" s="13"/>
      <c r="AF17" s="349"/>
      <c r="AG17" s="350"/>
      <c r="AI17" s="128"/>
    </row>
    <row r="18" spans="31:35" ht="21.95" customHeight="1">
      <c r="AE18" s="13"/>
      <c r="AF18" s="349"/>
      <c r="AG18" s="350"/>
      <c r="AI18" s="128"/>
    </row>
    <row r="19" spans="31:35" ht="21.95" customHeight="1">
      <c r="AE19" s="13"/>
      <c r="AF19" s="349"/>
      <c r="AG19" s="350"/>
      <c r="AI19" s="128"/>
    </row>
    <row r="20" spans="31:35" ht="21.95" customHeight="1">
      <c r="AE20" s="13"/>
      <c r="AF20" s="349"/>
      <c r="AG20" s="350"/>
      <c r="AI20" s="128"/>
    </row>
    <row r="21" spans="31:35" ht="21.95" customHeight="1">
      <c r="AE21" s="13"/>
      <c r="AF21" s="349"/>
      <c r="AG21" s="350"/>
      <c r="AI21" s="128"/>
    </row>
    <row r="22" spans="31:35" ht="21.95" customHeight="1">
      <c r="AE22" s="13"/>
      <c r="AF22" s="349"/>
      <c r="AG22" s="350"/>
      <c r="AI22" s="128"/>
    </row>
    <row r="23" spans="31:35" ht="21.95" customHeight="1">
      <c r="AE23" s="13"/>
      <c r="AF23" s="349"/>
      <c r="AG23" s="350"/>
      <c r="AI23" s="128"/>
    </row>
    <row r="24" spans="31:35" ht="21.95" customHeight="1">
      <c r="AE24" s="13"/>
      <c r="AF24" s="349"/>
      <c r="AG24" s="350"/>
      <c r="AI24" s="128"/>
    </row>
    <row r="25" spans="31:35" ht="21.95" customHeight="1">
      <c r="AE25" s="13"/>
      <c r="AF25" s="349"/>
      <c r="AG25" s="350"/>
      <c r="AI25" s="128"/>
    </row>
    <row r="26" spans="31:35" ht="21.95" customHeight="1">
      <c r="AE26" s="13"/>
      <c r="AF26" s="353"/>
      <c r="AG26" s="354"/>
      <c r="AI26" s="128"/>
    </row>
    <row r="27" spans="31:35" ht="21.95" customHeight="1">
      <c r="AE27" s="13"/>
      <c r="AF27" s="353"/>
      <c r="AG27" s="354"/>
      <c r="AI27" s="128"/>
    </row>
    <row r="28" spans="31:35" ht="21.95" customHeight="1">
      <c r="AE28" s="13"/>
      <c r="AF28" s="355"/>
      <c r="AG28" s="356"/>
      <c r="AI28" s="128"/>
    </row>
    <row r="29" spans="31:35" ht="21.95" customHeight="1">
      <c r="AE29" s="13"/>
      <c r="AF29" s="349"/>
      <c r="AG29" s="350"/>
      <c r="AI29" s="128"/>
    </row>
    <row r="30" spans="31:35" ht="21.95" customHeight="1">
      <c r="AE30" s="13"/>
      <c r="AF30" s="349"/>
      <c r="AG30" s="350"/>
      <c r="AI30" s="128"/>
    </row>
    <row r="31" spans="31:35" ht="21.95" customHeight="1">
      <c r="AE31" s="13"/>
      <c r="AF31" s="349"/>
      <c r="AG31" s="350"/>
      <c r="AI31" s="128"/>
    </row>
    <row r="32" spans="31:35" ht="21.95" customHeight="1">
      <c r="AE32" s="13"/>
      <c r="AF32" s="349"/>
      <c r="AG32" s="350"/>
      <c r="AI32" s="128"/>
    </row>
    <row r="33" spans="31:35" ht="21.95" customHeight="1">
      <c r="AE33" s="13"/>
      <c r="AF33" s="349"/>
      <c r="AG33" s="350"/>
      <c r="AI33" s="128"/>
    </row>
    <row r="34" spans="31:35" ht="21.95" customHeight="1">
      <c r="AE34" s="13"/>
      <c r="AF34" s="349"/>
      <c r="AG34" s="350"/>
      <c r="AI34" s="128"/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9"/>
      <c r="U376" s="209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125"/>
  <sheetViews>
    <sheetView showGridLines="0" topLeftCell="A3" zoomScale="90" zoomScaleNormal="90" workbookViewId="0">
      <pane ySplit="5" topLeftCell="A31" activePane="bottomLeft" state="frozen"/>
      <selection activeCell="L28" sqref="L28"/>
      <selection pane="bottomLeft" activeCell="I132" sqref="I132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8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8"/>
    </row>
    <row r="2" spans="3:19" s="13" customFormat="1" ht="23.25" hidden="1">
      <c r="C2" s="126"/>
      <c r="D2" s="140"/>
      <c r="E2" s="163"/>
      <c r="F2" s="149"/>
      <c r="G2" s="149"/>
      <c r="H2" s="159"/>
      <c r="I2" s="228"/>
    </row>
    <row r="3" spans="3:19" s="13" customFormat="1" ht="23.25">
      <c r="C3" s="126"/>
      <c r="D3" s="140"/>
      <c r="E3" s="163"/>
      <c r="F3" s="149"/>
      <c r="G3" s="149"/>
      <c r="H3" s="159"/>
      <c r="I3" s="228"/>
    </row>
    <row r="4" spans="3:19" s="13" customFormat="1" ht="32.25" customHeight="1">
      <c r="C4" s="126"/>
      <c r="D4" s="140"/>
      <c r="E4" s="167"/>
      <c r="F4" s="191"/>
      <c r="G4" s="191"/>
      <c r="H4" s="190"/>
      <c r="I4" s="229"/>
    </row>
    <row r="5" spans="3:19" s="13" customFormat="1" ht="8.25" customHeight="1">
      <c r="C5" s="126"/>
      <c r="D5" s="140"/>
      <c r="E5" s="163"/>
      <c r="F5" s="149"/>
      <c r="G5" s="149"/>
      <c r="H5" s="159"/>
      <c r="I5" s="228"/>
    </row>
    <row r="6" spans="3:19" s="13" customFormat="1" ht="25.5">
      <c r="C6" s="266" t="s">
        <v>173</v>
      </c>
      <c r="D6" s="267" t="s">
        <v>213</v>
      </c>
      <c r="E6" s="267" t="s">
        <v>12</v>
      </c>
      <c r="F6" s="266" t="s">
        <v>292</v>
      </c>
      <c r="G6" s="266" t="s">
        <v>186</v>
      </c>
      <c r="H6" s="266" t="s">
        <v>214</v>
      </c>
      <c r="I6" s="268" t="s">
        <v>211</v>
      </c>
      <c r="J6" s="266" t="s">
        <v>174</v>
      </c>
      <c r="K6" s="266" t="s">
        <v>175</v>
      </c>
      <c r="L6" s="266" t="s">
        <v>119</v>
      </c>
      <c r="M6" s="266" t="s">
        <v>176</v>
      </c>
      <c r="N6" s="266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69" t="s">
        <v>162</v>
      </c>
      <c r="D7" s="270" t="s">
        <v>207</v>
      </c>
      <c r="E7" s="270" t="s">
        <v>17</v>
      </c>
      <c r="F7" s="269" t="s">
        <v>293</v>
      </c>
      <c r="G7" s="269" t="s">
        <v>163</v>
      </c>
      <c r="H7" s="269" t="s">
        <v>210</v>
      </c>
      <c r="I7" s="271" t="s">
        <v>202</v>
      </c>
      <c r="J7" s="269" t="s">
        <v>164</v>
      </c>
      <c r="K7" s="269" t="s">
        <v>165</v>
      </c>
      <c r="L7" s="269" t="s">
        <v>172</v>
      </c>
      <c r="M7" s="269" t="s">
        <v>166</v>
      </c>
      <c r="N7" s="269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560</v>
      </c>
      <c r="E8" s="163" t="s">
        <v>561</v>
      </c>
      <c r="F8" s="149">
        <v>1</v>
      </c>
      <c r="G8" s="149">
        <v>1</v>
      </c>
      <c r="J8" s="126">
        <v>10</v>
      </c>
      <c r="K8" s="126">
        <v>0</v>
      </c>
      <c r="L8" s="126">
        <v>10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555</v>
      </c>
      <c r="E9" s="163" t="s">
        <v>556</v>
      </c>
      <c r="F9" s="149">
        <v>1</v>
      </c>
      <c r="G9" s="149">
        <v>1</v>
      </c>
      <c r="J9" s="126">
        <v>7</v>
      </c>
      <c r="K9" s="126">
        <v>0</v>
      </c>
      <c r="L9" s="126">
        <v>7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565</v>
      </c>
      <c r="E10" s="163" t="s">
        <v>566</v>
      </c>
      <c r="F10" s="149">
        <v>1</v>
      </c>
      <c r="G10" s="149">
        <v>1</v>
      </c>
      <c r="J10" s="126">
        <v>835</v>
      </c>
      <c r="K10" s="126">
        <v>0</v>
      </c>
      <c r="L10" s="126">
        <v>3165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571</v>
      </c>
      <c r="E11" s="163" t="s">
        <v>572</v>
      </c>
      <c r="F11" s="149">
        <v>1</v>
      </c>
      <c r="G11" s="149">
        <v>1</v>
      </c>
      <c r="J11" s="126">
        <v>4</v>
      </c>
      <c r="K11" s="126">
        <v>0</v>
      </c>
      <c r="L11" s="126">
        <v>4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577</v>
      </c>
      <c r="E12" s="163" t="s">
        <v>578</v>
      </c>
      <c r="F12" s="149">
        <v>1</v>
      </c>
      <c r="G12" s="149">
        <v>1</v>
      </c>
      <c r="J12" s="126">
        <v>64</v>
      </c>
      <c r="K12" s="126">
        <v>0</v>
      </c>
      <c r="L12" s="126">
        <v>192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582</v>
      </c>
      <c r="E13" s="163" t="s">
        <v>583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587</v>
      </c>
      <c r="E14" s="163" t="s">
        <v>588</v>
      </c>
      <c r="F14" s="149">
        <v>1</v>
      </c>
      <c r="G14" s="149">
        <v>1</v>
      </c>
      <c r="J14" s="126">
        <v>5</v>
      </c>
      <c r="K14" s="126">
        <v>0</v>
      </c>
      <c r="L14" s="126">
        <v>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592</v>
      </c>
      <c r="E15" s="163" t="s">
        <v>593</v>
      </c>
      <c r="F15" s="149">
        <v>1</v>
      </c>
      <c r="G15" s="149">
        <v>1</v>
      </c>
      <c r="J15" s="126">
        <v>2</v>
      </c>
      <c r="K15" s="126">
        <v>0</v>
      </c>
      <c r="L15" s="126">
        <v>2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597</v>
      </c>
      <c r="E16" s="163" t="s">
        <v>598</v>
      </c>
      <c r="F16" s="149">
        <v>1</v>
      </c>
      <c r="G16" s="149">
        <v>1</v>
      </c>
      <c r="J16" s="126">
        <v>7</v>
      </c>
      <c r="K16" s="126">
        <v>0</v>
      </c>
      <c r="L16" s="126">
        <v>7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602</v>
      </c>
      <c r="E17" s="163" t="s">
        <v>603</v>
      </c>
      <c r="F17" s="149">
        <v>1</v>
      </c>
      <c r="G17" s="149">
        <v>1</v>
      </c>
      <c r="J17" s="126">
        <v>16</v>
      </c>
      <c r="K17" s="126">
        <v>0</v>
      </c>
      <c r="L17" s="126">
        <v>16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609</v>
      </c>
      <c r="E18" s="163" t="s">
        <v>610</v>
      </c>
      <c r="F18" s="149">
        <v>1</v>
      </c>
      <c r="G18" s="149">
        <v>1</v>
      </c>
      <c r="J18" s="126">
        <v>20</v>
      </c>
      <c r="K18" s="126">
        <v>0</v>
      </c>
      <c r="L18" s="126">
        <v>120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617</v>
      </c>
      <c r="E19" s="163" t="s">
        <v>618</v>
      </c>
      <c r="F19" s="149">
        <v>1</v>
      </c>
      <c r="G19" s="149">
        <v>1</v>
      </c>
      <c r="J19" s="126">
        <v>24</v>
      </c>
      <c r="K19" s="126">
        <v>0</v>
      </c>
      <c r="L19" s="126">
        <v>12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628</v>
      </c>
      <c r="E20" s="163" t="s">
        <v>629</v>
      </c>
      <c r="F20" s="149">
        <v>1</v>
      </c>
      <c r="G20" s="149">
        <v>1</v>
      </c>
      <c r="J20" s="126">
        <v>132</v>
      </c>
      <c r="K20" s="126">
        <v>0</v>
      </c>
      <c r="L20" s="126">
        <v>252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633</v>
      </c>
      <c r="E21" s="163" t="s">
        <v>634</v>
      </c>
      <c r="F21" s="149">
        <v>1</v>
      </c>
      <c r="G21" s="149">
        <v>1</v>
      </c>
      <c r="J21" s="126">
        <v>17</v>
      </c>
      <c r="K21" s="126">
        <v>0</v>
      </c>
      <c r="L21" s="126">
        <v>17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638</v>
      </c>
      <c r="E22" s="163" t="s">
        <v>639</v>
      </c>
      <c r="F22" s="149">
        <v>1</v>
      </c>
      <c r="G22" s="149">
        <v>1</v>
      </c>
      <c r="J22" s="126">
        <v>4</v>
      </c>
      <c r="K22" s="126">
        <v>0</v>
      </c>
      <c r="L22" s="126">
        <v>4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643</v>
      </c>
      <c r="E23" s="163" t="s">
        <v>644</v>
      </c>
      <c r="F23" s="149">
        <v>1</v>
      </c>
      <c r="G23" s="149">
        <v>1</v>
      </c>
      <c r="J23" s="126">
        <v>2</v>
      </c>
      <c r="K23" s="126">
        <v>0</v>
      </c>
      <c r="L23" s="126">
        <v>5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648</v>
      </c>
      <c r="E24" s="163" t="s">
        <v>649</v>
      </c>
      <c r="F24" s="149">
        <v>1</v>
      </c>
      <c r="G24" s="149">
        <v>1</v>
      </c>
      <c r="J24" s="126">
        <v>30</v>
      </c>
      <c r="K24" s="126">
        <v>0</v>
      </c>
      <c r="L24" s="126">
        <v>30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653</v>
      </c>
      <c r="E25" s="163" t="s">
        <v>654</v>
      </c>
      <c r="F25" s="149">
        <v>1</v>
      </c>
      <c r="G25" s="149">
        <v>1</v>
      </c>
      <c r="J25" s="126">
        <v>12</v>
      </c>
      <c r="K25" s="126">
        <v>0</v>
      </c>
      <c r="L25" s="126">
        <v>60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663</v>
      </c>
      <c r="E26" s="163" t="s">
        <v>664</v>
      </c>
      <c r="F26" s="149">
        <v>1</v>
      </c>
      <c r="G26" s="149">
        <v>1</v>
      </c>
      <c r="J26" s="126">
        <v>15</v>
      </c>
      <c r="K26" s="126">
        <v>0</v>
      </c>
      <c r="L26" s="126">
        <v>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668</v>
      </c>
      <c r="E27" s="163" t="s">
        <v>669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678</v>
      </c>
      <c r="E28" s="163" t="s">
        <v>679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683</v>
      </c>
      <c r="E29" s="163" t="s">
        <v>684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582</v>
      </c>
      <c r="E30" s="163" t="s">
        <v>583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687</v>
      </c>
      <c r="E31" s="163" t="s">
        <v>688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691</v>
      </c>
      <c r="E32" s="163" t="s">
        <v>692</v>
      </c>
      <c r="F32" s="149">
        <v>1</v>
      </c>
      <c r="G32" s="149">
        <v>1</v>
      </c>
      <c r="J32" s="126">
        <v>3</v>
      </c>
      <c r="K32" s="126">
        <v>0</v>
      </c>
      <c r="L32" s="126">
        <v>13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694</v>
      </c>
      <c r="E33" s="163" t="s">
        <v>695</v>
      </c>
      <c r="F33" s="149">
        <v>1</v>
      </c>
      <c r="G33" s="149">
        <v>1</v>
      </c>
      <c r="J33" s="126">
        <v>7</v>
      </c>
      <c r="K33" s="126">
        <v>0</v>
      </c>
      <c r="L33" s="126">
        <v>1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697</v>
      </c>
      <c r="E34" s="163" t="s">
        <v>698</v>
      </c>
      <c r="F34" s="149">
        <v>1</v>
      </c>
      <c r="G34" s="149">
        <v>1</v>
      </c>
      <c r="J34" s="126">
        <v>1</v>
      </c>
      <c r="K34" s="126">
        <v>0</v>
      </c>
      <c r="L34" s="126">
        <v>11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700</v>
      </c>
      <c r="E35" s="163" t="s">
        <v>701</v>
      </c>
      <c r="F35" s="149">
        <v>1</v>
      </c>
      <c r="G35" s="149">
        <v>1</v>
      </c>
      <c r="J35" s="126">
        <v>15</v>
      </c>
      <c r="K35" s="126">
        <v>0</v>
      </c>
      <c r="L35" s="126">
        <v>30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704</v>
      </c>
      <c r="E36" s="163" t="s">
        <v>705</v>
      </c>
      <c r="F36" s="149">
        <v>1</v>
      </c>
      <c r="G36" s="149">
        <v>1</v>
      </c>
      <c r="J36" s="126">
        <v>1</v>
      </c>
      <c r="K36" s="126">
        <v>0</v>
      </c>
      <c r="L36" s="126">
        <v>19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707</v>
      </c>
      <c r="E37" s="163" t="s">
        <v>708</v>
      </c>
      <c r="F37" s="149">
        <v>1</v>
      </c>
      <c r="G37" s="149">
        <v>1</v>
      </c>
      <c r="J37" s="126">
        <v>1</v>
      </c>
      <c r="K37" s="126">
        <v>0</v>
      </c>
      <c r="L37" s="126">
        <v>4</v>
      </c>
      <c r="M37" s="126">
        <v>0</v>
      </c>
      <c r="N37" s="126">
        <v>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710</v>
      </c>
      <c r="E38" s="163" t="s">
        <v>711</v>
      </c>
      <c r="F38" s="149">
        <v>1</v>
      </c>
      <c r="G38" s="149">
        <v>1</v>
      </c>
      <c r="J38" s="126">
        <v>7</v>
      </c>
      <c r="K38" s="126">
        <v>0</v>
      </c>
      <c r="L38" s="126">
        <v>10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716</v>
      </c>
      <c r="E39" s="163" t="s">
        <v>717</v>
      </c>
      <c r="F39" s="149">
        <v>1</v>
      </c>
      <c r="G39" s="149">
        <v>1</v>
      </c>
      <c r="J39" s="126">
        <v>1</v>
      </c>
      <c r="K39" s="126">
        <v>0</v>
      </c>
      <c r="L39" s="126">
        <v>4</v>
      </c>
      <c r="M39" s="126">
        <v>0</v>
      </c>
      <c r="N39" s="126">
        <v>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719</v>
      </c>
      <c r="E40" s="163" t="s">
        <v>720</v>
      </c>
      <c r="F40" s="149">
        <v>1</v>
      </c>
      <c r="G40" s="149">
        <v>1</v>
      </c>
      <c r="J40" s="126">
        <v>21980</v>
      </c>
      <c r="K40" s="126">
        <v>0</v>
      </c>
      <c r="L40" s="126">
        <v>520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723</v>
      </c>
      <c r="E41" s="163" t="s">
        <v>724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727</v>
      </c>
      <c r="E42" s="163" t="s">
        <v>728</v>
      </c>
      <c r="F42" s="149">
        <v>1</v>
      </c>
      <c r="G42" s="149">
        <v>1</v>
      </c>
      <c r="J42" s="126">
        <v>700</v>
      </c>
      <c r="K42" s="126">
        <v>0</v>
      </c>
      <c r="L42" s="126">
        <v>0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731</v>
      </c>
      <c r="E43" s="163" t="s">
        <v>732</v>
      </c>
      <c r="F43" s="149">
        <v>1</v>
      </c>
      <c r="G43" s="149">
        <v>1</v>
      </c>
      <c r="J43" s="126">
        <v>3</v>
      </c>
      <c r="K43" s="126">
        <v>0</v>
      </c>
      <c r="L43" s="126">
        <v>0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736</v>
      </c>
      <c r="E44" s="163" t="s">
        <v>737</v>
      </c>
      <c r="F44" s="149">
        <v>1</v>
      </c>
      <c r="G44" s="149">
        <v>1</v>
      </c>
      <c r="J44" s="126">
        <v>2</v>
      </c>
      <c r="K44" s="126">
        <v>0</v>
      </c>
      <c r="L44" s="126">
        <v>7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739</v>
      </c>
      <c r="E45" s="163" t="s">
        <v>740</v>
      </c>
      <c r="F45" s="149">
        <v>1</v>
      </c>
      <c r="G45" s="149">
        <v>1</v>
      </c>
      <c r="J45" s="126">
        <v>4</v>
      </c>
      <c r="K45" s="126">
        <v>0</v>
      </c>
      <c r="L45" s="126">
        <v>6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742</v>
      </c>
      <c r="E46" s="163" t="s">
        <v>743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746</v>
      </c>
      <c r="E47" s="163" t="s">
        <v>747</v>
      </c>
      <c r="F47" s="149">
        <v>1</v>
      </c>
      <c r="G47" s="149">
        <v>1</v>
      </c>
      <c r="J47" s="126">
        <v>2</v>
      </c>
      <c r="K47" s="126">
        <v>0</v>
      </c>
      <c r="L47" s="126">
        <v>4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749</v>
      </c>
      <c r="E48" s="163" t="s">
        <v>750</v>
      </c>
      <c r="F48" s="149">
        <v>1</v>
      </c>
      <c r="G48" s="149">
        <v>1</v>
      </c>
      <c r="J48" s="126">
        <v>1200</v>
      </c>
      <c r="K48" s="126">
        <v>0</v>
      </c>
      <c r="L48" s="126">
        <v>3800</v>
      </c>
      <c r="M48" s="126">
        <v>0</v>
      </c>
      <c r="N48" s="126">
        <v>5000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753</v>
      </c>
      <c r="E49" s="163" t="s">
        <v>754</v>
      </c>
      <c r="F49" s="149">
        <v>1</v>
      </c>
      <c r="G49" s="149">
        <v>1</v>
      </c>
      <c r="J49" s="126">
        <v>0</v>
      </c>
      <c r="K49" s="126">
        <v>0</v>
      </c>
      <c r="L49" s="126">
        <v>12000</v>
      </c>
      <c r="M49" s="126">
        <v>0</v>
      </c>
      <c r="N49" s="126">
        <v>12000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756</v>
      </c>
      <c r="E50" s="163" t="s">
        <v>757</v>
      </c>
      <c r="F50" s="149">
        <v>1</v>
      </c>
      <c r="G50" s="149">
        <v>1</v>
      </c>
      <c r="J50" s="126">
        <v>1500</v>
      </c>
      <c r="K50" s="126">
        <v>0</v>
      </c>
      <c r="L50" s="126">
        <v>4500</v>
      </c>
      <c r="M50" s="126">
        <v>0</v>
      </c>
      <c r="N50" s="126">
        <v>6000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762</v>
      </c>
      <c r="E51" s="163" t="s">
        <v>763</v>
      </c>
      <c r="F51" s="149">
        <v>1</v>
      </c>
      <c r="G51" s="149">
        <v>1</v>
      </c>
      <c r="J51" s="126">
        <v>168</v>
      </c>
      <c r="K51" s="126">
        <v>0</v>
      </c>
      <c r="L51" s="126">
        <v>348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767</v>
      </c>
      <c r="E52" s="163" t="s">
        <v>768</v>
      </c>
      <c r="F52" s="149">
        <v>1</v>
      </c>
      <c r="G52" s="149">
        <v>1</v>
      </c>
      <c r="J52" s="126">
        <v>420</v>
      </c>
      <c r="K52" s="126">
        <v>0</v>
      </c>
      <c r="L52" s="126">
        <v>660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770</v>
      </c>
      <c r="E53" s="163" t="s">
        <v>771</v>
      </c>
      <c r="F53" s="149">
        <v>1</v>
      </c>
      <c r="G53" s="149">
        <v>1</v>
      </c>
      <c r="J53" s="126">
        <v>96</v>
      </c>
      <c r="K53" s="126">
        <v>0</v>
      </c>
      <c r="L53" s="126">
        <v>264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773</v>
      </c>
      <c r="E54" s="163" t="s">
        <v>774</v>
      </c>
      <c r="F54" s="149">
        <v>1</v>
      </c>
      <c r="G54" s="149">
        <v>1</v>
      </c>
      <c r="J54" s="126">
        <v>12</v>
      </c>
      <c r="K54" s="126">
        <v>0</v>
      </c>
      <c r="L54" s="126">
        <v>72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779</v>
      </c>
      <c r="E55" s="163" t="s">
        <v>780</v>
      </c>
      <c r="F55" s="149">
        <v>1</v>
      </c>
      <c r="G55" s="149">
        <v>1</v>
      </c>
      <c r="J55" s="126">
        <v>64</v>
      </c>
      <c r="K55" s="126">
        <v>0</v>
      </c>
      <c r="L55" s="126">
        <v>116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782</v>
      </c>
      <c r="E56" s="163" t="s">
        <v>783</v>
      </c>
      <c r="F56" s="149">
        <v>1</v>
      </c>
      <c r="G56" s="149">
        <v>1</v>
      </c>
      <c r="J56" s="126">
        <v>8</v>
      </c>
      <c r="K56" s="126">
        <v>0</v>
      </c>
      <c r="L56" s="126">
        <v>56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785</v>
      </c>
      <c r="E57" s="163" t="s">
        <v>786</v>
      </c>
      <c r="F57" s="149">
        <v>1</v>
      </c>
      <c r="G57" s="149">
        <v>1</v>
      </c>
      <c r="J57" s="126">
        <v>40</v>
      </c>
      <c r="K57" s="126">
        <v>0</v>
      </c>
      <c r="L57" s="126">
        <v>20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799</v>
      </c>
      <c r="E58" s="163" t="s">
        <v>800</v>
      </c>
      <c r="F58" s="149">
        <v>1</v>
      </c>
      <c r="G58" s="149">
        <v>1</v>
      </c>
      <c r="J58" s="126">
        <v>7</v>
      </c>
      <c r="K58" s="126">
        <v>0</v>
      </c>
      <c r="L58" s="126">
        <v>7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804</v>
      </c>
      <c r="E59" s="163" t="s">
        <v>805</v>
      </c>
      <c r="F59" s="149">
        <v>1</v>
      </c>
      <c r="G59" s="149">
        <v>1</v>
      </c>
      <c r="J59" s="126">
        <v>59</v>
      </c>
      <c r="K59" s="126">
        <v>0</v>
      </c>
      <c r="L59" s="126">
        <v>59</v>
      </c>
      <c r="M59" s="126">
        <v>0</v>
      </c>
      <c r="N59" s="126">
        <v>118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809</v>
      </c>
      <c r="E60" s="163" t="s">
        <v>810</v>
      </c>
      <c r="F60" s="149">
        <v>1</v>
      </c>
      <c r="G60" s="149">
        <v>1</v>
      </c>
      <c r="J60" s="126">
        <v>8</v>
      </c>
      <c r="K60" s="126">
        <v>0</v>
      </c>
      <c r="L60" s="126">
        <v>8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814</v>
      </c>
      <c r="E61" s="163" t="s">
        <v>815</v>
      </c>
      <c r="F61" s="149">
        <v>1</v>
      </c>
      <c r="G61" s="149">
        <v>1</v>
      </c>
      <c r="J61" s="126">
        <v>15</v>
      </c>
      <c r="K61" s="126">
        <v>0</v>
      </c>
      <c r="L61" s="126">
        <v>15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819</v>
      </c>
      <c r="E62" s="163" t="s">
        <v>820</v>
      </c>
      <c r="F62" s="149">
        <v>1</v>
      </c>
      <c r="G62" s="149">
        <v>1</v>
      </c>
      <c r="J62" s="126">
        <v>9</v>
      </c>
      <c r="K62" s="126">
        <v>0</v>
      </c>
      <c r="L62" s="126">
        <v>9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824</v>
      </c>
      <c r="E63" s="163" t="s">
        <v>825</v>
      </c>
      <c r="F63" s="149">
        <v>1</v>
      </c>
      <c r="G63" s="149">
        <v>1</v>
      </c>
      <c r="J63" s="126">
        <v>10</v>
      </c>
      <c r="K63" s="126">
        <v>0</v>
      </c>
      <c r="L63" s="126">
        <v>10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884</v>
      </c>
      <c r="E64" s="163" t="s">
        <v>885</v>
      </c>
      <c r="F64" s="149">
        <v>1</v>
      </c>
      <c r="G64" s="149">
        <v>1</v>
      </c>
      <c r="J64" s="126">
        <v>5</v>
      </c>
      <c r="K64" s="126">
        <v>0</v>
      </c>
      <c r="L64" s="126">
        <v>5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907</v>
      </c>
      <c r="E65" s="163" t="s">
        <v>908</v>
      </c>
      <c r="F65" s="149">
        <v>1</v>
      </c>
      <c r="G65" s="149">
        <v>1</v>
      </c>
      <c r="J65" s="126">
        <v>4</v>
      </c>
      <c r="K65" s="126">
        <v>0</v>
      </c>
      <c r="L65" s="126">
        <v>4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934</v>
      </c>
      <c r="E66" s="163" t="s">
        <v>935</v>
      </c>
      <c r="F66" s="149">
        <v>1</v>
      </c>
      <c r="G66" s="149">
        <v>1</v>
      </c>
      <c r="J66" s="126">
        <v>11</v>
      </c>
      <c r="K66" s="126">
        <v>0</v>
      </c>
      <c r="L66" s="126">
        <v>11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976</v>
      </c>
      <c r="E67" s="163" t="s">
        <v>977</v>
      </c>
      <c r="F67" s="149">
        <v>1</v>
      </c>
      <c r="G67" s="149">
        <v>1</v>
      </c>
      <c r="J67" s="126">
        <v>16</v>
      </c>
      <c r="K67" s="126">
        <v>0</v>
      </c>
      <c r="L67" s="126">
        <v>16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981</v>
      </c>
      <c r="E68" s="163" t="s">
        <v>982</v>
      </c>
      <c r="F68" s="149">
        <v>1</v>
      </c>
      <c r="G68" s="149">
        <v>1</v>
      </c>
      <c r="J68" s="126">
        <v>15</v>
      </c>
      <c r="K68" s="126">
        <v>0</v>
      </c>
      <c r="L68" s="126">
        <v>15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997</v>
      </c>
      <c r="E69" s="163" t="s">
        <v>998</v>
      </c>
      <c r="F69" s="149">
        <v>1</v>
      </c>
      <c r="G69" s="149">
        <v>1</v>
      </c>
      <c r="J69" s="126">
        <v>15</v>
      </c>
      <c r="K69" s="126">
        <v>0</v>
      </c>
      <c r="L69" s="126">
        <v>15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1010</v>
      </c>
      <c r="E70" s="163" t="s">
        <v>1011</v>
      </c>
      <c r="F70" s="149">
        <v>1</v>
      </c>
      <c r="G70" s="149">
        <v>1</v>
      </c>
      <c r="J70" s="126">
        <v>22</v>
      </c>
      <c r="K70" s="126">
        <v>0</v>
      </c>
      <c r="L70" s="126">
        <v>22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1025</v>
      </c>
      <c r="E71" s="163" t="s">
        <v>1026</v>
      </c>
      <c r="F71" s="149">
        <v>1</v>
      </c>
      <c r="G71" s="149">
        <v>1</v>
      </c>
      <c r="J71" s="126">
        <v>3</v>
      </c>
      <c r="K71" s="126">
        <v>0</v>
      </c>
      <c r="L71" s="126">
        <v>3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1030</v>
      </c>
      <c r="E72" s="163" t="s">
        <v>1031</v>
      </c>
      <c r="F72" s="149">
        <v>1</v>
      </c>
      <c r="G72" s="149">
        <v>1</v>
      </c>
      <c r="J72" s="126">
        <v>9</v>
      </c>
      <c r="K72" s="126">
        <v>0</v>
      </c>
      <c r="L72" s="126">
        <v>9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1038</v>
      </c>
      <c r="E73" s="163" t="s">
        <v>1039</v>
      </c>
      <c r="F73" s="149">
        <v>1</v>
      </c>
      <c r="G73" s="149">
        <v>1</v>
      </c>
      <c r="J73" s="126">
        <v>6</v>
      </c>
      <c r="K73" s="126">
        <v>0</v>
      </c>
      <c r="L73" s="126">
        <v>6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1109</v>
      </c>
      <c r="E74" s="163" t="s">
        <v>1110</v>
      </c>
      <c r="F74" s="149">
        <v>1</v>
      </c>
      <c r="G74" s="149">
        <v>1</v>
      </c>
      <c r="J74" s="126">
        <v>2</v>
      </c>
      <c r="K74" s="126">
        <v>0</v>
      </c>
      <c r="L74" s="126">
        <v>2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1114</v>
      </c>
      <c r="E75" s="163" t="s">
        <v>1115</v>
      </c>
      <c r="F75" s="149">
        <v>1</v>
      </c>
      <c r="G75" s="149">
        <v>1</v>
      </c>
      <c r="J75" s="126">
        <v>2</v>
      </c>
      <c r="K75" s="126">
        <v>0</v>
      </c>
      <c r="L75" s="126">
        <v>2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687</v>
      </c>
      <c r="E76" s="163" t="s">
        <v>688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1126</v>
      </c>
      <c r="E77" s="163" t="s">
        <v>1127</v>
      </c>
      <c r="F77" s="149">
        <v>1</v>
      </c>
      <c r="G77" s="149">
        <v>1</v>
      </c>
      <c r="J77" s="126">
        <v>7</v>
      </c>
      <c r="K77" s="126">
        <v>0</v>
      </c>
      <c r="L77" s="126">
        <v>7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1134</v>
      </c>
      <c r="E78" s="163" t="s">
        <v>1135</v>
      </c>
      <c r="F78" s="149">
        <v>1</v>
      </c>
      <c r="G78" s="149">
        <v>1</v>
      </c>
      <c r="J78" s="126">
        <v>6</v>
      </c>
      <c r="K78" s="126">
        <v>0</v>
      </c>
      <c r="L78" s="126">
        <v>6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1140</v>
      </c>
      <c r="E79" s="163" t="s">
        <v>1141</v>
      </c>
      <c r="F79" s="149">
        <v>1</v>
      </c>
      <c r="G79" s="149">
        <v>1</v>
      </c>
      <c r="J79" s="126">
        <v>8</v>
      </c>
      <c r="K79" s="126">
        <v>0</v>
      </c>
      <c r="L79" s="126">
        <v>8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1145</v>
      </c>
      <c r="E80" s="163" t="s">
        <v>1146</v>
      </c>
      <c r="F80" s="149">
        <v>1</v>
      </c>
      <c r="G80" s="149">
        <v>1</v>
      </c>
      <c r="J80" s="126">
        <v>3</v>
      </c>
      <c r="K80" s="126">
        <v>0</v>
      </c>
      <c r="L80" s="126">
        <v>3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1156</v>
      </c>
      <c r="E81" s="163" t="s">
        <v>1157</v>
      </c>
      <c r="F81" s="149">
        <v>1</v>
      </c>
      <c r="G81" s="149">
        <v>1</v>
      </c>
      <c r="J81" s="126">
        <v>1</v>
      </c>
      <c r="K81" s="126">
        <v>0</v>
      </c>
      <c r="L81" s="126">
        <v>1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1171</v>
      </c>
      <c r="E82" s="163" t="s">
        <v>1172</v>
      </c>
      <c r="F82" s="149">
        <v>1</v>
      </c>
      <c r="G82" s="149">
        <v>1</v>
      </c>
      <c r="J82" s="126">
        <v>16</v>
      </c>
      <c r="K82" s="126">
        <v>0</v>
      </c>
      <c r="L82" s="126">
        <v>16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683</v>
      </c>
      <c r="E83" s="163" t="s">
        <v>684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1188</v>
      </c>
      <c r="E84" s="163" t="s">
        <v>1189</v>
      </c>
      <c r="F84" s="149">
        <v>1</v>
      </c>
      <c r="G84" s="149">
        <v>1</v>
      </c>
      <c r="J84" s="126">
        <v>3</v>
      </c>
      <c r="K84" s="126">
        <v>0</v>
      </c>
      <c r="L84" s="126">
        <v>3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1194</v>
      </c>
      <c r="E85" s="163" t="s">
        <v>1195</v>
      </c>
      <c r="F85" s="149">
        <v>1</v>
      </c>
      <c r="G85" s="149">
        <v>1</v>
      </c>
      <c r="J85" s="126">
        <v>10</v>
      </c>
      <c r="K85" s="126">
        <v>0</v>
      </c>
      <c r="L85" s="126">
        <v>10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1199</v>
      </c>
      <c r="E86" s="163" t="s">
        <v>1200</v>
      </c>
      <c r="F86" s="149">
        <v>1</v>
      </c>
      <c r="G86" s="149">
        <v>1</v>
      </c>
      <c r="J86" s="126">
        <v>1</v>
      </c>
      <c r="K86" s="126">
        <v>0</v>
      </c>
      <c r="L86" s="126">
        <v>1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1204</v>
      </c>
      <c r="E87" s="163" t="s">
        <v>1205</v>
      </c>
      <c r="F87" s="149">
        <v>1</v>
      </c>
      <c r="G87" s="149">
        <v>1</v>
      </c>
      <c r="J87" s="126">
        <v>7</v>
      </c>
      <c r="K87" s="126">
        <v>0</v>
      </c>
      <c r="L87" s="126">
        <v>7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1212</v>
      </c>
      <c r="E88" s="163" t="s">
        <v>1213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1217</v>
      </c>
      <c r="E89" s="163" t="s">
        <v>1218</v>
      </c>
      <c r="F89" s="149">
        <v>1</v>
      </c>
      <c r="G89" s="149">
        <v>1</v>
      </c>
      <c r="J89" s="126">
        <v>6</v>
      </c>
      <c r="K89" s="126">
        <v>0</v>
      </c>
      <c r="L89" s="126">
        <v>6</v>
      </c>
      <c r="M89" s="126">
        <v>0</v>
      </c>
      <c r="N89" s="126">
        <v>12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1222</v>
      </c>
      <c r="E90" s="163" t="s">
        <v>1223</v>
      </c>
      <c r="F90" s="149">
        <v>1</v>
      </c>
      <c r="G90" s="149">
        <v>1</v>
      </c>
      <c r="J90" s="126">
        <v>1</v>
      </c>
      <c r="K90" s="126">
        <v>0</v>
      </c>
      <c r="L90" s="126">
        <v>1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1230</v>
      </c>
      <c r="E91" s="163" t="s">
        <v>1231</v>
      </c>
      <c r="F91" s="149">
        <v>1</v>
      </c>
      <c r="G91" s="149">
        <v>1</v>
      </c>
      <c r="J91" s="126">
        <v>4</v>
      </c>
      <c r="K91" s="126">
        <v>0</v>
      </c>
      <c r="L91" s="126">
        <v>4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1235</v>
      </c>
      <c r="E92" s="163" t="s">
        <v>1236</v>
      </c>
      <c r="F92" s="149">
        <v>1</v>
      </c>
      <c r="G92" s="149">
        <v>1</v>
      </c>
      <c r="J92" s="126">
        <v>7</v>
      </c>
      <c r="K92" s="126">
        <v>0</v>
      </c>
      <c r="L92" s="126">
        <v>7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1243</v>
      </c>
      <c r="E93" s="163" t="s">
        <v>1244</v>
      </c>
      <c r="F93" s="149">
        <v>1</v>
      </c>
      <c r="G93" s="149">
        <v>1</v>
      </c>
      <c r="J93" s="126">
        <v>6</v>
      </c>
      <c r="K93" s="126">
        <v>0</v>
      </c>
      <c r="L93" s="126">
        <v>6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1296</v>
      </c>
      <c r="E94" s="163" t="s">
        <v>1297</v>
      </c>
      <c r="F94" s="149">
        <v>1</v>
      </c>
      <c r="G94" s="149">
        <v>1</v>
      </c>
      <c r="J94" s="126">
        <v>1</v>
      </c>
      <c r="K94" s="126">
        <v>0</v>
      </c>
      <c r="L94" s="126">
        <v>1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1304</v>
      </c>
      <c r="E95" s="163" t="s">
        <v>1305</v>
      </c>
      <c r="F95" s="149">
        <v>1</v>
      </c>
      <c r="G95" s="149">
        <v>1</v>
      </c>
      <c r="J95" s="126">
        <v>1</v>
      </c>
      <c r="K95" s="126">
        <v>0</v>
      </c>
      <c r="L95" s="126">
        <v>1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1314</v>
      </c>
      <c r="E96" s="163" t="s">
        <v>1315</v>
      </c>
      <c r="F96" s="149">
        <v>1</v>
      </c>
      <c r="G96" s="149">
        <v>1</v>
      </c>
      <c r="J96" s="126">
        <v>20</v>
      </c>
      <c r="K96" s="126">
        <v>0</v>
      </c>
      <c r="L96" s="126">
        <v>20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1324</v>
      </c>
      <c r="E97" s="163" t="s">
        <v>1325</v>
      </c>
      <c r="F97" s="149">
        <v>1</v>
      </c>
      <c r="G97" s="149">
        <v>1</v>
      </c>
      <c r="J97" s="126">
        <v>41</v>
      </c>
      <c r="K97" s="126">
        <v>0</v>
      </c>
      <c r="L97" s="126">
        <v>41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1340</v>
      </c>
      <c r="E98" s="163" t="s">
        <v>1341</v>
      </c>
      <c r="F98" s="149">
        <v>1</v>
      </c>
      <c r="G98" s="149">
        <v>1</v>
      </c>
      <c r="J98" s="126">
        <v>17</v>
      </c>
      <c r="K98" s="126">
        <v>0</v>
      </c>
      <c r="L98" s="126">
        <v>17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1368</v>
      </c>
      <c r="E99" s="163" t="s">
        <v>1369</v>
      </c>
      <c r="F99" s="149">
        <v>1</v>
      </c>
      <c r="G99" s="149">
        <v>1</v>
      </c>
      <c r="J99" s="126">
        <v>6</v>
      </c>
      <c r="K99" s="126">
        <v>0</v>
      </c>
      <c r="L99" s="126">
        <v>6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1382</v>
      </c>
      <c r="E100" s="163" t="s">
        <v>1383</v>
      </c>
      <c r="F100" s="149">
        <v>1</v>
      </c>
      <c r="G100" s="149">
        <v>1</v>
      </c>
      <c r="J100" s="126">
        <v>4</v>
      </c>
      <c r="K100" s="126">
        <v>0</v>
      </c>
      <c r="L100" s="126">
        <v>4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1406</v>
      </c>
      <c r="E101" s="163" t="s">
        <v>1407</v>
      </c>
      <c r="F101" s="149">
        <v>1</v>
      </c>
      <c r="G101" s="149">
        <v>1</v>
      </c>
      <c r="J101" s="126">
        <v>44</v>
      </c>
      <c r="K101" s="126">
        <v>0</v>
      </c>
      <c r="L101" s="126">
        <v>44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1516</v>
      </c>
      <c r="E102" s="163" t="s">
        <v>1517</v>
      </c>
      <c r="F102" s="149">
        <v>1</v>
      </c>
      <c r="G102" s="149">
        <v>1</v>
      </c>
      <c r="J102" s="126">
        <v>2</v>
      </c>
      <c r="K102" s="126">
        <v>0</v>
      </c>
      <c r="L102" s="126">
        <v>2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1524</v>
      </c>
      <c r="E103" s="163" t="s">
        <v>1525</v>
      </c>
      <c r="F103" s="149">
        <v>1</v>
      </c>
      <c r="G103" s="149">
        <v>1</v>
      </c>
      <c r="J103" s="126">
        <v>12</v>
      </c>
      <c r="K103" s="126">
        <v>0</v>
      </c>
      <c r="L103" s="126">
        <v>12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582</v>
      </c>
      <c r="E104" s="163" t="s">
        <v>583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1648</v>
      </c>
      <c r="E105" s="163" t="s">
        <v>1649</v>
      </c>
      <c r="F105" s="149">
        <v>1</v>
      </c>
      <c r="G105" s="149">
        <v>1</v>
      </c>
      <c r="J105" s="126">
        <v>10</v>
      </c>
      <c r="K105" s="126">
        <v>0</v>
      </c>
      <c r="L105" s="126">
        <v>10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1703</v>
      </c>
      <c r="E106" s="163" t="s">
        <v>1704</v>
      </c>
      <c r="F106" s="149">
        <v>1</v>
      </c>
      <c r="G106" s="149">
        <v>1</v>
      </c>
      <c r="J106" s="126">
        <v>1</v>
      </c>
      <c r="K106" s="126">
        <v>0</v>
      </c>
      <c r="L106" s="126">
        <v>1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1709</v>
      </c>
      <c r="E107" s="163" t="s">
        <v>1710</v>
      </c>
      <c r="F107" s="149">
        <v>1</v>
      </c>
      <c r="G107" s="149">
        <v>1</v>
      </c>
      <c r="J107" s="126">
        <v>1</v>
      </c>
      <c r="K107" s="126">
        <v>0</v>
      </c>
      <c r="L107" s="126">
        <v>1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1744</v>
      </c>
      <c r="E108" s="163" t="s">
        <v>1745</v>
      </c>
      <c r="F108" s="149">
        <v>1</v>
      </c>
      <c r="G108" s="149">
        <v>1</v>
      </c>
      <c r="J108" s="126">
        <v>8</v>
      </c>
      <c r="K108" s="126">
        <v>0</v>
      </c>
      <c r="L108" s="126">
        <v>8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1749</v>
      </c>
      <c r="E109" s="163" t="s">
        <v>1750</v>
      </c>
      <c r="F109" s="149">
        <v>1</v>
      </c>
      <c r="G109" s="149">
        <v>1</v>
      </c>
      <c r="J109" s="126">
        <v>2</v>
      </c>
      <c r="K109" s="126">
        <v>0</v>
      </c>
      <c r="L109" s="126">
        <v>2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1814</v>
      </c>
      <c r="E110" s="163" t="s">
        <v>1815</v>
      </c>
      <c r="F110" s="149">
        <v>1</v>
      </c>
      <c r="G110" s="149">
        <v>1</v>
      </c>
      <c r="J110" s="126">
        <v>18</v>
      </c>
      <c r="K110" s="126">
        <v>0</v>
      </c>
      <c r="L110" s="126">
        <v>18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582</v>
      </c>
      <c r="E111" s="163" t="s">
        <v>583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1925</v>
      </c>
      <c r="E112" s="163" t="s">
        <v>1926</v>
      </c>
      <c r="F112" s="149">
        <v>1</v>
      </c>
      <c r="G112" s="149">
        <v>1</v>
      </c>
      <c r="J112" s="126">
        <v>1</v>
      </c>
      <c r="K112" s="126">
        <v>0</v>
      </c>
      <c r="L112" s="126">
        <v>1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1930</v>
      </c>
      <c r="E113" s="163" t="s">
        <v>1931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678</v>
      </c>
      <c r="E114" s="163" t="s">
        <v>679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582</v>
      </c>
      <c r="E115" s="163" t="s">
        <v>583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2011</v>
      </c>
      <c r="E116" s="163" t="s">
        <v>2012</v>
      </c>
      <c r="F116" s="149">
        <v>1</v>
      </c>
      <c r="G116" s="149">
        <v>1</v>
      </c>
      <c r="J116" s="126">
        <v>2</v>
      </c>
      <c r="K116" s="126">
        <v>0</v>
      </c>
      <c r="L116" s="126">
        <v>2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2028</v>
      </c>
      <c r="E117" s="163" t="s">
        <v>2029</v>
      </c>
      <c r="F117" s="149">
        <v>1</v>
      </c>
      <c r="G117" s="149">
        <v>1</v>
      </c>
      <c r="J117" s="126">
        <v>50</v>
      </c>
      <c r="K117" s="126">
        <v>0</v>
      </c>
      <c r="L117" s="126">
        <v>50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2034</v>
      </c>
      <c r="E118" s="163" t="s">
        <v>2035</v>
      </c>
      <c r="F118" s="149">
        <v>1</v>
      </c>
      <c r="G118" s="149">
        <v>1</v>
      </c>
      <c r="J118" s="126">
        <v>50</v>
      </c>
      <c r="K118" s="126">
        <v>0</v>
      </c>
      <c r="L118" s="126">
        <v>50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2068</v>
      </c>
      <c r="E119" s="163" t="s">
        <v>2069</v>
      </c>
      <c r="F119" s="149">
        <v>1</v>
      </c>
      <c r="G119" s="149">
        <v>1</v>
      </c>
      <c r="J119" s="126">
        <v>1</v>
      </c>
      <c r="K119" s="126">
        <v>0</v>
      </c>
      <c r="L119" s="126">
        <v>1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678</v>
      </c>
      <c r="E120" s="163" t="s">
        <v>679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2097</v>
      </c>
      <c r="E121" s="163" t="s">
        <v>2098</v>
      </c>
      <c r="F121" s="149">
        <v>1</v>
      </c>
      <c r="G121" s="149">
        <v>1</v>
      </c>
      <c r="J121" s="126">
        <v>2</v>
      </c>
      <c r="K121" s="126">
        <v>0</v>
      </c>
      <c r="L121" s="126">
        <v>2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2102</v>
      </c>
      <c r="E122" s="163" t="s">
        <v>2103</v>
      </c>
      <c r="F122" s="149">
        <v>1</v>
      </c>
      <c r="G122" s="149">
        <v>1</v>
      </c>
      <c r="J122" s="126">
        <v>2</v>
      </c>
      <c r="K122" s="126">
        <v>0</v>
      </c>
      <c r="L122" s="126">
        <v>2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2107</v>
      </c>
      <c r="E123" s="163" t="s">
        <v>2108</v>
      </c>
      <c r="F123" s="149">
        <v>1</v>
      </c>
      <c r="G123" s="149">
        <v>1</v>
      </c>
      <c r="J123" s="126">
        <v>2</v>
      </c>
      <c r="K123" s="126">
        <v>0</v>
      </c>
      <c r="L123" s="126">
        <v>2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2123</v>
      </c>
      <c r="E124" s="163" t="s">
        <v>2124</v>
      </c>
      <c r="F124" s="149">
        <v>1</v>
      </c>
      <c r="G124" s="149">
        <v>1</v>
      </c>
      <c r="J124" s="126">
        <v>2</v>
      </c>
      <c r="K124" s="126">
        <v>0</v>
      </c>
      <c r="L124" s="126">
        <v>2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582</v>
      </c>
      <c r="E125" s="163" t="s">
        <v>583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</sheetData>
  <autoFilter ref="C7:N124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45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C7" sqref="C7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66" t="s">
        <v>173</v>
      </c>
      <c r="D6" s="267" t="s">
        <v>213</v>
      </c>
      <c r="E6" s="266" t="s">
        <v>12</v>
      </c>
      <c r="F6" s="266" t="s">
        <v>224</v>
      </c>
      <c r="G6" s="266" t="s">
        <v>294</v>
      </c>
      <c r="H6" s="266" t="s">
        <v>24</v>
      </c>
      <c r="I6" s="266" t="s">
        <v>118</v>
      </c>
      <c r="J6" s="266" t="s">
        <v>119</v>
      </c>
      <c r="K6" s="266" t="s">
        <v>176</v>
      </c>
      <c r="L6" s="266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69" t="s">
        <v>162</v>
      </c>
      <c r="D7" s="270" t="s">
        <v>207</v>
      </c>
      <c r="E7" s="269" t="s">
        <v>17</v>
      </c>
      <c r="F7" s="269" t="s">
        <v>291</v>
      </c>
      <c r="G7" s="269" t="s">
        <v>163</v>
      </c>
      <c r="H7" s="269" t="s">
        <v>21</v>
      </c>
      <c r="I7" s="269" t="s">
        <v>165</v>
      </c>
      <c r="J7" s="269" t="s">
        <v>172</v>
      </c>
      <c r="K7" s="269" t="s">
        <v>166</v>
      </c>
      <c r="L7" s="269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560</v>
      </c>
      <c r="E8" s="159" t="s">
        <v>561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555</v>
      </c>
      <c r="E9" s="159" t="s">
        <v>556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565</v>
      </c>
      <c r="E10" s="159" t="s">
        <v>566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571</v>
      </c>
      <c r="E11" s="159" t="s">
        <v>572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577</v>
      </c>
      <c r="E12" s="159" t="s">
        <v>578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582</v>
      </c>
      <c r="E13" s="159" t="s">
        <v>583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587</v>
      </c>
      <c r="E14" s="159" t="s">
        <v>588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592</v>
      </c>
      <c r="E15" s="159" t="s">
        <v>593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597</v>
      </c>
      <c r="E16" s="159" t="s">
        <v>598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602</v>
      </c>
      <c r="E17" s="159" t="s">
        <v>603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59"/>
    </row>
    <row r="18" spans="3:18" ht="23.1" customHeight="1">
      <c r="C18" s="126">
        <v>195</v>
      </c>
      <c r="D18" s="141" t="s">
        <v>609</v>
      </c>
      <c r="E18" s="159" t="s">
        <v>610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59"/>
    </row>
    <row r="19" spans="3:18" ht="23.1" customHeight="1">
      <c r="C19" s="126">
        <v>187</v>
      </c>
      <c r="D19" s="141" t="s">
        <v>577</v>
      </c>
      <c r="E19" s="159" t="s">
        <v>578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59"/>
    </row>
    <row r="20" spans="3:18" ht="23.1" customHeight="1">
      <c r="C20" s="126">
        <v>186</v>
      </c>
      <c r="D20" s="141" t="s">
        <v>617</v>
      </c>
      <c r="E20" s="159" t="s">
        <v>618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59"/>
    </row>
    <row r="21" spans="3:18" ht="23.1" customHeight="1">
      <c r="C21" s="126">
        <v>182</v>
      </c>
      <c r="D21" s="141" t="s">
        <v>628</v>
      </c>
      <c r="E21" s="159" t="s">
        <v>629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59"/>
    </row>
    <row r="22" spans="3:18" ht="23.1" customHeight="1">
      <c r="C22" s="126">
        <v>96</v>
      </c>
      <c r="D22" s="141" t="s">
        <v>633</v>
      </c>
      <c r="E22" s="159" t="s">
        <v>634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638</v>
      </c>
      <c r="E23" s="159" t="s">
        <v>639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59"/>
    </row>
    <row r="24" spans="3:18" ht="23.1" customHeight="1">
      <c r="C24" s="126">
        <v>22</v>
      </c>
      <c r="D24" s="141" t="s">
        <v>643</v>
      </c>
      <c r="E24" s="159" t="s">
        <v>644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59"/>
    </row>
    <row r="25" spans="3:18" ht="23.1" customHeight="1">
      <c r="C25" s="126">
        <v>46</v>
      </c>
      <c r="D25" s="141" t="s">
        <v>648</v>
      </c>
      <c r="E25" s="159" t="s">
        <v>649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653</v>
      </c>
      <c r="E26" s="159" t="s">
        <v>654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59"/>
    </row>
    <row r="27" spans="3:18" ht="23.1" customHeight="1">
      <c r="C27" s="126">
        <v>17</v>
      </c>
      <c r="D27" s="141" t="s">
        <v>663</v>
      </c>
      <c r="E27" s="159" t="s">
        <v>664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668</v>
      </c>
      <c r="E28" s="159" t="s">
        <v>669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678</v>
      </c>
      <c r="E29" s="159" t="s">
        <v>679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683</v>
      </c>
      <c r="E30" s="159" t="s">
        <v>684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582</v>
      </c>
      <c r="E31" s="159" t="s">
        <v>583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687</v>
      </c>
      <c r="E32" s="159" t="s">
        <v>688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587</v>
      </c>
      <c r="E33" s="159" t="s">
        <v>588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691</v>
      </c>
      <c r="E34" s="159" t="s">
        <v>692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694</v>
      </c>
      <c r="E35" s="159" t="s">
        <v>695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697</v>
      </c>
      <c r="E36" s="159" t="s">
        <v>698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700</v>
      </c>
      <c r="E37" s="159" t="s">
        <v>701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663</v>
      </c>
      <c r="E38" s="159" t="s">
        <v>664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704</v>
      </c>
      <c r="E39" s="159" t="s">
        <v>705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707</v>
      </c>
      <c r="E40" s="159" t="s">
        <v>708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710</v>
      </c>
      <c r="E41" s="159" t="s">
        <v>711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643</v>
      </c>
      <c r="E42" s="159" t="s">
        <v>644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716</v>
      </c>
      <c r="E43" s="159" t="s">
        <v>717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719</v>
      </c>
      <c r="E44" s="159" t="s">
        <v>720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723</v>
      </c>
      <c r="E45" s="159" t="s">
        <v>724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727</v>
      </c>
      <c r="E46" s="159" t="s">
        <v>728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731</v>
      </c>
      <c r="E47" s="159" t="s">
        <v>732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668</v>
      </c>
      <c r="E48" s="159" t="s">
        <v>669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736</v>
      </c>
      <c r="E49" s="159" t="s">
        <v>737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739</v>
      </c>
      <c r="E50" s="159" t="s">
        <v>740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742</v>
      </c>
      <c r="E51" s="159" t="s">
        <v>743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746</v>
      </c>
      <c r="E52" s="159" t="s">
        <v>747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749</v>
      </c>
      <c r="E53" s="159" t="s">
        <v>750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753</v>
      </c>
      <c r="E54" s="159" t="s">
        <v>754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756</v>
      </c>
      <c r="E55" s="159" t="s">
        <v>757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565</v>
      </c>
      <c r="E56" s="159" t="s">
        <v>566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762</v>
      </c>
      <c r="E57" s="159" t="s">
        <v>763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628</v>
      </c>
      <c r="E58" s="159" t="s">
        <v>629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767</v>
      </c>
      <c r="E59" s="159" t="s">
        <v>768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770</v>
      </c>
      <c r="E60" s="159" t="s">
        <v>771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773</v>
      </c>
      <c r="E61" s="159" t="s">
        <v>774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617</v>
      </c>
      <c r="E62" s="159" t="s">
        <v>618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577</v>
      </c>
      <c r="E63" s="159" t="s">
        <v>578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779</v>
      </c>
      <c r="E64" s="159" t="s">
        <v>780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782</v>
      </c>
      <c r="E65" s="159" t="s">
        <v>783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785</v>
      </c>
      <c r="E66" s="159" t="s">
        <v>786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609</v>
      </c>
      <c r="E67" s="159" t="s">
        <v>610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653</v>
      </c>
      <c r="E68" s="159" t="s">
        <v>654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749</v>
      </c>
      <c r="E69" s="159" t="s">
        <v>750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799</v>
      </c>
      <c r="E70" s="159" t="s">
        <v>800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804</v>
      </c>
      <c r="E71" s="159" t="s">
        <v>805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809</v>
      </c>
      <c r="E72" s="159" t="s">
        <v>810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814</v>
      </c>
      <c r="E73" s="159" t="s">
        <v>815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819</v>
      </c>
      <c r="E74" s="159" t="s">
        <v>820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824</v>
      </c>
      <c r="E75" s="159" t="s">
        <v>825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746</v>
      </c>
      <c r="E76" s="159" t="s">
        <v>747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753</v>
      </c>
      <c r="E77" s="159" t="s">
        <v>754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565</v>
      </c>
      <c r="E78" s="159" t="s">
        <v>566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691</v>
      </c>
      <c r="E79" s="159" t="s">
        <v>692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704</v>
      </c>
      <c r="E80" s="159" t="s">
        <v>705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609</v>
      </c>
      <c r="E81" s="159" t="s">
        <v>610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723</v>
      </c>
      <c r="E82" s="159" t="s">
        <v>724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773</v>
      </c>
      <c r="E83" s="159" t="s">
        <v>774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749</v>
      </c>
      <c r="E84" s="159" t="s">
        <v>750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884</v>
      </c>
      <c r="E85" s="159" t="s">
        <v>885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697</v>
      </c>
      <c r="E86" s="159" t="s">
        <v>698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628</v>
      </c>
      <c r="E87" s="159" t="s">
        <v>629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739</v>
      </c>
      <c r="E88" s="159" t="s">
        <v>740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648</v>
      </c>
      <c r="E89" s="159" t="s">
        <v>649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638</v>
      </c>
      <c r="E90" s="159" t="s">
        <v>639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633</v>
      </c>
      <c r="E91" s="159" t="s">
        <v>634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907</v>
      </c>
      <c r="E92" s="159" t="s">
        <v>908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756</v>
      </c>
      <c r="E93" s="159" t="s">
        <v>757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753</v>
      </c>
      <c r="E94" s="159" t="s">
        <v>754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565</v>
      </c>
      <c r="E95" s="159" t="s">
        <v>566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756</v>
      </c>
      <c r="E96" s="159" t="s">
        <v>757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653</v>
      </c>
      <c r="E97" s="159" t="s">
        <v>654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934</v>
      </c>
      <c r="E98" s="159" t="s">
        <v>935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753</v>
      </c>
      <c r="E99" s="159" t="s">
        <v>754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753</v>
      </c>
      <c r="E100" s="159" t="s">
        <v>754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767</v>
      </c>
      <c r="E101" s="159" t="s">
        <v>768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587</v>
      </c>
      <c r="E102" s="159" t="s">
        <v>588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691</v>
      </c>
      <c r="E103" s="159" t="s">
        <v>692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707</v>
      </c>
      <c r="E104" s="159" t="s">
        <v>708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976</v>
      </c>
      <c r="E105" s="159" t="s">
        <v>977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981</v>
      </c>
      <c r="E106" s="159" t="s">
        <v>982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767</v>
      </c>
      <c r="E107" s="159" t="s">
        <v>768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700</v>
      </c>
      <c r="E108" s="159" t="s">
        <v>701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809</v>
      </c>
      <c r="E109" s="159" t="s">
        <v>810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997</v>
      </c>
      <c r="E110" s="159" t="s">
        <v>998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668</v>
      </c>
      <c r="E111" s="159" t="s">
        <v>669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779</v>
      </c>
      <c r="E112" s="159" t="s">
        <v>780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1010</v>
      </c>
      <c r="E113" s="159" t="s">
        <v>1011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753</v>
      </c>
      <c r="E114" s="159" t="s">
        <v>754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785</v>
      </c>
      <c r="E115" s="159" t="s">
        <v>786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1025</v>
      </c>
      <c r="E116" s="159" t="s">
        <v>1026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1030</v>
      </c>
      <c r="E117" s="159" t="s">
        <v>1031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770</v>
      </c>
      <c r="E118" s="159" t="s">
        <v>771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1038</v>
      </c>
      <c r="E119" s="159" t="s">
        <v>1039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628</v>
      </c>
      <c r="E120" s="159" t="s">
        <v>629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577</v>
      </c>
      <c r="E121" s="159" t="s">
        <v>578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609</v>
      </c>
      <c r="E122" s="159" t="s">
        <v>610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643</v>
      </c>
      <c r="E123" s="159" t="s">
        <v>644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753</v>
      </c>
      <c r="E124" s="159" t="s">
        <v>754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756</v>
      </c>
      <c r="E125" s="159" t="s">
        <v>757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767</v>
      </c>
      <c r="E126" s="159" t="s">
        <v>768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770</v>
      </c>
      <c r="E127" s="159" t="s">
        <v>771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707</v>
      </c>
      <c r="E128" s="159" t="s">
        <v>708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697</v>
      </c>
      <c r="E129" s="159" t="s">
        <v>698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756</v>
      </c>
      <c r="E130" s="159" t="s">
        <v>757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663</v>
      </c>
      <c r="E131" s="159" t="s">
        <v>664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907</v>
      </c>
      <c r="E132" s="159" t="s">
        <v>908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762</v>
      </c>
      <c r="E133" s="159" t="s">
        <v>763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1109</v>
      </c>
      <c r="E134" s="159" t="s">
        <v>1110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1114</v>
      </c>
      <c r="E135" s="159" t="s">
        <v>1115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687</v>
      </c>
      <c r="E136" s="159" t="s">
        <v>688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628</v>
      </c>
      <c r="E137" s="159" t="s">
        <v>629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1126</v>
      </c>
      <c r="E138" s="159" t="s">
        <v>1127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716</v>
      </c>
      <c r="E139" s="159" t="s">
        <v>717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1134</v>
      </c>
      <c r="E140" s="159" t="s">
        <v>1135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1140</v>
      </c>
      <c r="E141" s="159" t="s">
        <v>1141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1145</v>
      </c>
      <c r="E142" s="159" t="s">
        <v>1146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976</v>
      </c>
      <c r="E143" s="159" t="s">
        <v>977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602</v>
      </c>
      <c r="E144" s="159" t="s">
        <v>603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1156</v>
      </c>
      <c r="E145" s="159" t="s">
        <v>1157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753</v>
      </c>
      <c r="E146" s="159" t="s">
        <v>754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653</v>
      </c>
      <c r="E147" s="159" t="s">
        <v>654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1171</v>
      </c>
      <c r="E148" s="159" t="s">
        <v>1172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683</v>
      </c>
      <c r="E149" s="159" t="s">
        <v>684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819</v>
      </c>
      <c r="E150" s="159" t="s">
        <v>820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1188</v>
      </c>
      <c r="E151" s="159" t="s">
        <v>1189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1194</v>
      </c>
      <c r="E152" s="159" t="s">
        <v>1195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1199</v>
      </c>
      <c r="E153" s="159" t="s">
        <v>1200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1204</v>
      </c>
      <c r="E154" s="159" t="s">
        <v>1205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1010</v>
      </c>
      <c r="E155" s="159" t="s">
        <v>1011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1212</v>
      </c>
      <c r="E156" s="159" t="s">
        <v>1213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1217</v>
      </c>
      <c r="E157" s="159" t="s">
        <v>1218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1222</v>
      </c>
      <c r="E158" s="159" t="s">
        <v>1223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648</v>
      </c>
      <c r="E159" s="159" t="s">
        <v>649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1230</v>
      </c>
      <c r="E160" s="159" t="s">
        <v>1231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1235</v>
      </c>
      <c r="E161" s="159" t="s">
        <v>1236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907</v>
      </c>
      <c r="E162" s="159" t="s">
        <v>908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1243</v>
      </c>
      <c r="E163" s="159" t="s">
        <v>1244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736</v>
      </c>
      <c r="E164" s="159" t="s">
        <v>737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753</v>
      </c>
      <c r="E165" s="159" t="s">
        <v>754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565</v>
      </c>
      <c r="E166" s="159" t="s">
        <v>566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753</v>
      </c>
      <c r="E167" s="159" t="s">
        <v>754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782</v>
      </c>
      <c r="E168" s="159" t="s">
        <v>783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809</v>
      </c>
      <c r="E169" s="159" t="s">
        <v>810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1126</v>
      </c>
      <c r="E170" s="159" t="s">
        <v>1127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981</v>
      </c>
      <c r="E171" s="159" t="s">
        <v>982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976</v>
      </c>
      <c r="E172" s="159" t="s">
        <v>977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1204</v>
      </c>
      <c r="E173" s="159" t="s">
        <v>1205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1243</v>
      </c>
      <c r="E174" s="159" t="s">
        <v>1244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814</v>
      </c>
      <c r="E175" s="159" t="s">
        <v>815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1235</v>
      </c>
      <c r="E176" s="159" t="s">
        <v>1236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1296</v>
      </c>
      <c r="E177" s="159" t="s">
        <v>1297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819</v>
      </c>
      <c r="E178" s="159" t="s">
        <v>820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1304</v>
      </c>
      <c r="E179" s="159" t="s">
        <v>1305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1010</v>
      </c>
      <c r="E180" s="159" t="s">
        <v>1011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1314</v>
      </c>
      <c r="E181" s="159" t="s">
        <v>1315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804</v>
      </c>
      <c r="E182" s="159" t="s">
        <v>805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719</v>
      </c>
      <c r="E183" s="159" t="s">
        <v>720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1324</v>
      </c>
      <c r="E184" s="159" t="s">
        <v>1325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753</v>
      </c>
      <c r="E185" s="159" t="s">
        <v>754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1340</v>
      </c>
      <c r="E186" s="159" t="s">
        <v>1341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770</v>
      </c>
      <c r="E187" s="159" t="s">
        <v>771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753</v>
      </c>
      <c r="E188" s="159" t="s">
        <v>754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565</v>
      </c>
      <c r="E189" s="159" t="s">
        <v>566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1235</v>
      </c>
      <c r="E190" s="159" t="s">
        <v>1236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762</v>
      </c>
      <c r="E191" s="159" t="s">
        <v>763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976</v>
      </c>
      <c r="E192" s="159" t="s">
        <v>977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1368</v>
      </c>
      <c r="E193" s="159" t="s">
        <v>1369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1230</v>
      </c>
      <c r="E194" s="159" t="s">
        <v>1231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648</v>
      </c>
      <c r="E195" s="159" t="s">
        <v>649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1025</v>
      </c>
      <c r="E196" s="159" t="s">
        <v>1026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1382</v>
      </c>
      <c r="E197" s="159" t="s">
        <v>1383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1243</v>
      </c>
      <c r="E198" s="159" t="s">
        <v>1244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1406</v>
      </c>
      <c r="E199" s="159" t="s">
        <v>1407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704</v>
      </c>
      <c r="E200" s="159" t="s">
        <v>705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1010</v>
      </c>
      <c r="E201" s="159" t="s">
        <v>1011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643</v>
      </c>
      <c r="E202" s="159" t="s">
        <v>644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697</v>
      </c>
      <c r="E203" s="159" t="s">
        <v>698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700</v>
      </c>
      <c r="E204" s="159" t="s">
        <v>701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804</v>
      </c>
      <c r="E205" s="159" t="s">
        <v>805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753</v>
      </c>
      <c r="E206" s="159" t="s">
        <v>754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565</v>
      </c>
      <c r="E207" s="159" t="s">
        <v>566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577</v>
      </c>
      <c r="E208" s="159" t="s">
        <v>578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609</v>
      </c>
      <c r="E209" s="159" t="s">
        <v>610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700</v>
      </c>
      <c r="E210" s="159" t="s">
        <v>701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587</v>
      </c>
      <c r="E211" s="159" t="s">
        <v>588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756</v>
      </c>
      <c r="E212" s="159" t="s">
        <v>757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653</v>
      </c>
      <c r="E213" s="159" t="s">
        <v>654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762</v>
      </c>
      <c r="E214" s="159" t="s">
        <v>763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756</v>
      </c>
      <c r="E215" s="159" t="s">
        <v>757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753</v>
      </c>
      <c r="E216" s="159" t="s">
        <v>754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767</v>
      </c>
      <c r="E217" s="159" t="s">
        <v>768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1030</v>
      </c>
      <c r="E218" s="159" t="s">
        <v>1031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997</v>
      </c>
      <c r="E219" s="159" t="s">
        <v>998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1368</v>
      </c>
      <c r="E220" s="159" t="s">
        <v>1369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1140</v>
      </c>
      <c r="E221" s="159" t="s">
        <v>1141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814</v>
      </c>
      <c r="E222" s="159" t="s">
        <v>815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1324</v>
      </c>
      <c r="E223" s="159" t="s">
        <v>1325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707</v>
      </c>
      <c r="E224" s="159" t="s">
        <v>708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643</v>
      </c>
      <c r="E225" s="159" t="s">
        <v>644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1194</v>
      </c>
      <c r="E226" s="159" t="s">
        <v>1195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1516</v>
      </c>
      <c r="E227" s="159" t="s">
        <v>1517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716</v>
      </c>
      <c r="E228" s="159" t="s">
        <v>717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1524</v>
      </c>
      <c r="E229" s="159" t="s">
        <v>1525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767</v>
      </c>
      <c r="E230" s="159" t="s">
        <v>768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762</v>
      </c>
      <c r="E231" s="159" t="s">
        <v>763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723</v>
      </c>
      <c r="E232" s="159" t="s">
        <v>724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753</v>
      </c>
      <c r="E233" s="159" t="s">
        <v>754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565</v>
      </c>
      <c r="E234" s="159" t="s">
        <v>566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609</v>
      </c>
      <c r="E235" s="159" t="s">
        <v>610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577</v>
      </c>
      <c r="E236" s="159" t="s">
        <v>578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779</v>
      </c>
      <c r="E237" s="159" t="s">
        <v>780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697</v>
      </c>
      <c r="E238" s="159" t="s">
        <v>698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767</v>
      </c>
      <c r="E239" s="159" t="s">
        <v>768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609</v>
      </c>
      <c r="E240" s="159" t="s">
        <v>610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1217</v>
      </c>
      <c r="E241" s="159" t="s">
        <v>1218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756</v>
      </c>
      <c r="E242" s="159" t="s">
        <v>757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762</v>
      </c>
      <c r="E243" s="159" t="s">
        <v>763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749</v>
      </c>
      <c r="E244" s="159" t="s">
        <v>750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582</v>
      </c>
      <c r="E245" s="159" t="s">
        <v>583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1194</v>
      </c>
      <c r="E246" s="159" t="s">
        <v>1195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756</v>
      </c>
      <c r="E247" s="159" t="s">
        <v>757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653</v>
      </c>
      <c r="E248" s="159" t="s">
        <v>654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779</v>
      </c>
      <c r="E249" s="159" t="s">
        <v>780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700</v>
      </c>
      <c r="E250" s="159" t="s">
        <v>701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884</v>
      </c>
      <c r="E251" s="159" t="s">
        <v>885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1126</v>
      </c>
      <c r="E252" s="159" t="s">
        <v>1127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799</v>
      </c>
      <c r="E253" s="159" t="s">
        <v>800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753</v>
      </c>
      <c r="E254" s="159" t="s">
        <v>754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577</v>
      </c>
      <c r="E255" s="159" t="s">
        <v>578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782</v>
      </c>
      <c r="E256" s="159" t="s">
        <v>783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779</v>
      </c>
      <c r="E257" s="159" t="s">
        <v>780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653</v>
      </c>
      <c r="E258" s="159" t="s">
        <v>654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739</v>
      </c>
      <c r="E259" s="159" t="s">
        <v>740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1648</v>
      </c>
      <c r="E260" s="159" t="s">
        <v>1649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749</v>
      </c>
      <c r="E261" s="159" t="s">
        <v>750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753</v>
      </c>
      <c r="E262" s="159" t="s">
        <v>754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609</v>
      </c>
      <c r="E263" s="159" t="s">
        <v>610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697</v>
      </c>
      <c r="E264" s="159" t="s">
        <v>698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723</v>
      </c>
      <c r="E265" s="159" t="s">
        <v>724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704</v>
      </c>
      <c r="E266" s="159" t="s">
        <v>705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1524</v>
      </c>
      <c r="E267" s="159" t="s">
        <v>1525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1038</v>
      </c>
      <c r="E268" s="159" t="s">
        <v>1039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1703</v>
      </c>
      <c r="E269" s="159" t="s">
        <v>1704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1709</v>
      </c>
      <c r="E270" s="159" t="s">
        <v>1710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782</v>
      </c>
      <c r="E271" s="159" t="s">
        <v>783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756</v>
      </c>
      <c r="E272" s="159" t="s">
        <v>757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756</v>
      </c>
      <c r="E273" s="159" t="s">
        <v>757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762</v>
      </c>
      <c r="E274" s="159" t="s">
        <v>763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609</v>
      </c>
      <c r="E275" s="159" t="s">
        <v>610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653</v>
      </c>
      <c r="E276" s="159" t="s">
        <v>654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753</v>
      </c>
      <c r="E277" s="159" t="s">
        <v>754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1744</v>
      </c>
      <c r="E278" s="159" t="s">
        <v>1745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1749</v>
      </c>
      <c r="E279" s="159" t="s">
        <v>1750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742</v>
      </c>
      <c r="E280" s="159" t="s">
        <v>743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565</v>
      </c>
      <c r="E281" s="159" t="s">
        <v>566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700</v>
      </c>
      <c r="E282" s="159" t="s">
        <v>701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628</v>
      </c>
      <c r="E283" s="159" t="s">
        <v>629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753</v>
      </c>
      <c r="E284" s="159" t="s">
        <v>754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779</v>
      </c>
      <c r="E285" s="159" t="s">
        <v>780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1340</v>
      </c>
      <c r="E286" s="159" t="s">
        <v>1341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609</v>
      </c>
      <c r="E287" s="159" t="s">
        <v>610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577</v>
      </c>
      <c r="E288" s="159" t="s">
        <v>578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555</v>
      </c>
      <c r="E289" s="159" t="s">
        <v>556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628</v>
      </c>
      <c r="E290" s="159" t="s">
        <v>629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814</v>
      </c>
      <c r="E291" s="159" t="s">
        <v>815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597</v>
      </c>
      <c r="E292" s="159" t="s">
        <v>598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648</v>
      </c>
      <c r="E293" s="159" t="s">
        <v>649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976</v>
      </c>
      <c r="E294" s="159" t="s">
        <v>977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804</v>
      </c>
      <c r="E295" s="159" t="s">
        <v>805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1814</v>
      </c>
      <c r="E296" s="159" t="s">
        <v>1815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1126</v>
      </c>
      <c r="E297" s="159" t="s">
        <v>1127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1382</v>
      </c>
      <c r="E298" s="159" t="s">
        <v>1383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1204</v>
      </c>
      <c r="E299" s="159" t="s">
        <v>1205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809</v>
      </c>
      <c r="E300" s="159" t="s">
        <v>810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1243</v>
      </c>
      <c r="E301" s="159" t="s">
        <v>1244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1010</v>
      </c>
      <c r="E302" s="159" t="s">
        <v>1011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697</v>
      </c>
      <c r="E303" s="159" t="s">
        <v>698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704</v>
      </c>
      <c r="E304" s="159" t="s">
        <v>705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1524</v>
      </c>
      <c r="E305" s="159" t="s">
        <v>1525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691</v>
      </c>
      <c r="E306" s="159" t="s">
        <v>692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1814</v>
      </c>
      <c r="E307" s="159" t="s">
        <v>1815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804</v>
      </c>
      <c r="E308" s="159" t="s">
        <v>805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814</v>
      </c>
      <c r="E309" s="159" t="s">
        <v>815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1217</v>
      </c>
      <c r="E310" s="159" t="s">
        <v>1218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753</v>
      </c>
      <c r="E311" s="159" t="s">
        <v>754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1010</v>
      </c>
      <c r="E312" s="159" t="s">
        <v>1011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1524</v>
      </c>
      <c r="E313" s="159" t="s">
        <v>1525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1340</v>
      </c>
      <c r="E314" s="159" t="s">
        <v>1341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767</v>
      </c>
      <c r="E315" s="159" t="s">
        <v>768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762</v>
      </c>
      <c r="E316" s="159" t="s">
        <v>763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609</v>
      </c>
      <c r="E317" s="159" t="s">
        <v>610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700</v>
      </c>
      <c r="E318" s="159" t="s">
        <v>701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753</v>
      </c>
      <c r="E319" s="159" t="s">
        <v>754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582</v>
      </c>
      <c r="E320" s="159" t="s">
        <v>583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753</v>
      </c>
      <c r="E321" s="159" t="s">
        <v>754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1925</v>
      </c>
      <c r="E322" s="159" t="s">
        <v>1926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1930</v>
      </c>
      <c r="E323" s="159" t="s">
        <v>1931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749</v>
      </c>
      <c r="E324" s="159" t="s">
        <v>750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1217</v>
      </c>
      <c r="E325" s="159" t="s">
        <v>1218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1382</v>
      </c>
      <c r="E326" s="159" t="s">
        <v>1383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628</v>
      </c>
      <c r="E327" s="159" t="s">
        <v>629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592</v>
      </c>
      <c r="E328" s="159" t="s">
        <v>593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1194</v>
      </c>
      <c r="E329" s="159" t="s">
        <v>1195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804</v>
      </c>
      <c r="E330" s="159" t="s">
        <v>805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799</v>
      </c>
      <c r="E331" s="159" t="s">
        <v>800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997</v>
      </c>
      <c r="E332" s="159" t="s">
        <v>998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1524</v>
      </c>
      <c r="E333" s="159" t="s">
        <v>1525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1516</v>
      </c>
      <c r="E334" s="159" t="s">
        <v>1517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814</v>
      </c>
      <c r="E335" s="159" t="s">
        <v>815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1010</v>
      </c>
      <c r="E336" s="159" t="s">
        <v>1011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555</v>
      </c>
      <c r="E337" s="159" t="s">
        <v>556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762</v>
      </c>
      <c r="E338" s="159" t="s">
        <v>763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719</v>
      </c>
      <c r="E339" s="159" t="s">
        <v>720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819</v>
      </c>
      <c r="E340" s="159" t="s">
        <v>820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694</v>
      </c>
      <c r="E341" s="159" t="s">
        <v>695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678</v>
      </c>
      <c r="E342" s="159" t="s">
        <v>679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716</v>
      </c>
      <c r="E343" s="159" t="s">
        <v>717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582</v>
      </c>
      <c r="E344" s="159" t="s">
        <v>583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710</v>
      </c>
      <c r="E345" s="159" t="s">
        <v>711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2011</v>
      </c>
      <c r="E346" s="159" t="s">
        <v>2012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1814</v>
      </c>
      <c r="E347" s="159" t="s">
        <v>1815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907</v>
      </c>
      <c r="E348" s="159" t="s">
        <v>908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663</v>
      </c>
      <c r="E349" s="159" t="s">
        <v>664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2028</v>
      </c>
      <c r="E350" s="159" t="s">
        <v>2029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2034</v>
      </c>
      <c r="E351" s="159" t="s">
        <v>2035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1749</v>
      </c>
      <c r="E352" s="159" t="s">
        <v>1750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749</v>
      </c>
      <c r="E353" s="159" t="s">
        <v>750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736</v>
      </c>
      <c r="E354" s="159" t="s">
        <v>737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742</v>
      </c>
      <c r="E355" s="159" t="s">
        <v>743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1010</v>
      </c>
      <c r="E356" s="159" t="s">
        <v>1011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1406</v>
      </c>
      <c r="E357" s="159" t="s">
        <v>1407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2068</v>
      </c>
      <c r="E358" s="159" t="s">
        <v>2069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1134</v>
      </c>
      <c r="E359" s="159" t="s">
        <v>1135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799</v>
      </c>
      <c r="E360" s="159" t="s">
        <v>800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577</v>
      </c>
      <c r="E361" s="159" t="s">
        <v>578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824</v>
      </c>
      <c r="E362" s="159" t="s">
        <v>825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997</v>
      </c>
      <c r="E363" s="159" t="s">
        <v>998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1126</v>
      </c>
      <c r="E364" s="159" t="s">
        <v>1127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678</v>
      </c>
      <c r="E365" s="159" t="s">
        <v>679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2097</v>
      </c>
      <c r="E366" s="159" t="s">
        <v>2098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2102</v>
      </c>
      <c r="E367" s="159" t="s">
        <v>2103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2107</v>
      </c>
      <c r="E368" s="159" t="s">
        <v>2108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587</v>
      </c>
      <c r="E369" s="159" t="s">
        <v>588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779</v>
      </c>
      <c r="E370" s="159" t="s">
        <v>780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767</v>
      </c>
      <c r="E371" s="159" t="s">
        <v>768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2123</v>
      </c>
      <c r="E372" s="159" t="s">
        <v>2124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799</v>
      </c>
      <c r="E373" s="159" t="s">
        <v>800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1212</v>
      </c>
      <c r="E374" s="159" t="s">
        <v>1213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804</v>
      </c>
      <c r="E375" s="159" t="s">
        <v>805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1204</v>
      </c>
      <c r="E376" s="159" t="s">
        <v>1205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1194</v>
      </c>
      <c r="E377" s="159" t="s">
        <v>1195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819</v>
      </c>
      <c r="E378" s="159" t="s">
        <v>820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1126</v>
      </c>
      <c r="E379" s="159" t="s">
        <v>1127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1814</v>
      </c>
      <c r="E380" s="159" t="s">
        <v>1815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691</v>
      </c>
      <c r="E381" s="159" t="s">
        <v>692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700</v>
      </c>
      <c r="E382" s="159" t="s">
        <v>701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704</v>
      </c>
      <c r="E383" s="159" t="s">
        <v>705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710</v>
      </c>
      <c r="E384" s="159" t="s">
        <v>711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1296</v>
      </c>
      <c r="E385" s="159" t="s">
        <v>1297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1524</v>
      </c>
      <c r="E386" s="159" t="s">
        <v>1525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1188</v>
      </c>
      <c r="E387" s="159" t="s">
        <v>1189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1749</v>
      </c>
      <c r="E388" s="159" t="s">
        <v>1750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1199</v>
      </c>
      <c r="E389" s="159" t="s">
        <v>1200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1194</v>
      </c>
      <c r="E390" s="159" t="s">
        <v>1195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1516</v>
      </c>
      <c r="E391" s="159" t="s">
        <v>1517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1114</v>
      </c>
      <c r="E392" s="159" t="s">
        <v>1115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1145</v>
      </c>
      <c r="E393" s="159" t="s">
        <v>1146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1109</v>
      </c>
      <c r="E394" s="159" t="s">
        <v>1110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809</v>
      </c>
      <c r="E395" s="159" t="s">
        <v>810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976</v>
      </c>
      <c r="E396" s="159" t="s">
        <v>977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1230</v>
      </c>
      <c r="E397" s="159" t="s">
        <v>1231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981</v>
      </c>
      <c r="E398" s="159" t="s">
        <v>982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648</v>
      </c>
      <c r="E399" s="159" t="s">
        <v>649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814</v>
      </c>
      <c r="E400" s="159" t="s">
        <v>815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804</v>
      </c>
      <c r="E401" s="159" t="s">
        <v>805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1340</v>
      </c>
      <c r="E402" s="159" t="s">
        <v>1341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934</v>
      </c>
      <c r="E403" s="159" t="s">
        <v>935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1212</v>
      </c>
      <c r="E404" s="159" t="s">
        <v>1213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1744</v>
      </c>
      <c r="E405" s="159" t="s">
        <v>1745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1204</v>
      </c>
      <c r="E406" s="159" t="s">
        <v>1205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1925</v>
      </c>
      <c r="E407" s="159" t="s">
        <v>1926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1038</v>
      </c>
      <c r="E408" s="159" t="s">
        <v>1039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1222</v>
      </c>
      <c r="E409" s="159" t="s">
        <v>1223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1217</v>
      </c>
      <c r="E410" s="159" t="s">
        <v>1218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1243</v>
      </c>
      <c r="E411" s="159" t="s">
        <v>1244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1235</v>
      </c>
      <c r="E412" s="159" t="s">
        <v>1236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907</v>
      </c>
      <c r="E413" s="159" t="s">
        <v>908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2011</v>
      </c>
      <c r="E414" s="159" t="s">
        <v>2012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1304</v>
      </c>
      <c r="E415" s="159" t="s">
        <v>1305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1368</v>
      </c>
      <c r="E416" s="159" t="s">
        <v>1369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1382</v>
      </c>
      <c r="E417" s="159" t="s">
        <v>1383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1134</v>
      </c>
      <c r="E418" s="159" t="s">
        <v>1135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2034</v>
      </c>
      <c r="E419" s="159" t="s">
        <v>2035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2028</v>
      </c>
      <c r="E420" s="159" t="s">
        <v>2029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1140</v>
      </c>
      <c r="E421" s="159" t="s">
        <v>1141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1314</v>
      </c>
      <c r="E422" s="159" t="s">
        <v>1315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1324</v>
      </c>
      <c r="E423" s="159" t="s">
        <v>1325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633</v>
      </c>
      <c r="E424" s="159" t="s">
        <v>634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638</v>
      </c>
      <c r="E425" s="159" t="s">
        <v>639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884</v>
      </c>
      <c r="E426" s="159" t="s">
        <v>885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1025</v>
      </c>
      <c r="E427" s="159" t="s">
        <v>1026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592</v>
      </c>
      <c r="E428" s="159" t="s">
        <v>593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1010</v>
      </c>
      <c r="E429" s="159" t="s">
        <v>1011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2068</v>
      </c>
      <c r="E430" s="159" t="s">
        <v>2069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1156</v>
      </c>
      <c r="E431" s="159" t="s">
        <v>1157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2123</v>
      </c>
      <c r="E432" s="159" t="s">
        <v>2124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799</v>
      </c>
      <c r="E433" s="159" t="s">
        <v>800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997</v>
      </c>
      <c r="E434" s="159" t="s">
        <v>998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824</v>
      </c>
      <c r="E435" s="159" t="s">
        <v>825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1930</v>
      </c>
      <c r="E436" s="159" t="s">
        <v>1931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1406</v>
      </c>
      <c r="E437" s="159" t="s">
        <v>1407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555</v>
      </c>
      <c r="E438" s="159" t="s">
        <v>2219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736</v>
      </c>
      <c r="E439" s="159" t="s">
        <v>2221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1703</v>
      </c>
      <c r="E440" s="159" t="s">
        <v>2223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739</v>
      </c>
      <c r="E441" s="159" t="s">
        <v>2225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746</v>
      </c>
      <c r="E442" s="159" t="s">
        <v>2228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1709</v>
      </c>
      <c r="E443" s="159" t="s">
        <v>2230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1030</v>
      </c>
      <c r="E444" s="159" t="s">
        <v>1031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2102</v>
      </c>
      <c r="E445" s="159" t="s">
        <v>2103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602</v>
      </c>
      <c r="E446" s="159" t="s">
        <v>603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1648</v>
      </c>
      <c r="E447" s="159" t="s">
        <v>1649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2107</v>
      </c>
      <c r="E448" s="159" t="s">
        <v>2108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2097</v>
      </c>
      <c r="E449" s="159" t="s">
        <v>2098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762</v>
      </c>
      <c r="E450" s="159" t="s">
        <v>763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628</v>
      </c>
      <c r="E451" s="159" t="s">
        <v>629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767</v>
      </c>
      <c r="E452" s="159" t="s">
        <v>768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770</v>
      </c>
      <c r="E453" s="159" t="s">
        <v>771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773</v>
      </c>
      <c r="E454" s="159" t="s">
        <v>774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577</v>
      </c>
      <c r="E455" s="159" t="s">
        <v>578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779</v>
      </c>
      <c r="E456" s="159" t="s">
        <v>780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571</v>
      </c>
      <c r="E457" s="159" t="s">
        <v>572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609</v>
      </c>
      <c r="E458" s="159" t="s">
        <v>610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1171</v>
      </c>
      <c r="E459" s="159" t="s">
        <v>1172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1800"/>
  <sheetViews>
    <sheetView showGridLines="0" topLeftCell="A3" zoomScale="80" zoomScaleNormal="80" workbookViewId="0">
      <pane ySplit="5" topLeftCell="A366" activePane="bottomLeft" state="frozen"/>
      <selection activeCell="L28" sqref="L28"/>
      <selection pane="bottomLeft" activeCell="J26" sqref="J26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220" customWidth="1"/>
    <col min="23" max="23" width="19.5703125" style="220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10"/>
      <c r="W1" s="210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10"/>
      <c r="W2" s="210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210"/>
      <c r="W3" s="210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210"/>
      <c r="W4" s="210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210"/>
      <c r="W5" s="210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66" t="s">
        <v>184</v>
      </c>
      <c r="D6" s="266" t="s">
        <v>208</v>
      </c>
      <c r="E6" s="267" t="s">
        <v>189</v>
      </c>
      <c r="F6" s="267" t="s">
        <v>12</v>
      </c>
      <c r="G6" s="268" t="s">
        <v>24</v>
      </c>
      <c r="H6" s="266" t="s">
        <v>186</v>
      </c>
      <c r="I6" s="266" t="s">
        <v>142</v>
      </c>
      <c r="J6" s="268" t="s">
        <v>185</v>
      </c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6"/>
      <c r="V6" s="319" t="s">
        <v>188</v>
      </c>
      <c r="W6" s="319" t="s">
        <v>187</v>
      </c>
      <c r="X6" s="266" t="s">
        <v>109</v>
      </c>
      <c r="Y6" s="266" t="s">
        <v>452</v>
      </c>
      <c r="Z6" s="268" t="s">
        <v>211</v>
      </c>
      <c r="AA6" s="266" t="s">
        <v>209</v>
      </c>
      <c r="AB6" s="266" t="s">
        <v>23</v>
      </c>
      <c r="AC6" s="266" t="s">
        <v>95</v>
      </c>
      <c r="AD6" s="266" t="s">
        <v>120</v>
      </c>
    </row>
    <row r="7" spans="2:32" s="13" customFormat="1" ht="84">
      <c r="B7" s="133"/>
      <c r="C7" s="311" t="s">
        <v>139</v>
      </c>
      <c r="D7" s="311" t="s">
        <v>162</v>
      </c>
      <c r="E7" s="320" t="s">
        <v>207</v>
      </c>
      <c r="F7" s="320" t="s">
        <v>17</v>
      </c>
      <c r="G7" s="316" t="s">
        <v>21</v>
      </c>
      <c r="H7" s="311" t="s">
        <v>163</v>
      </c>
      <c r="I7" s="311" t="s">
        <v>140</v>
      </c>
      <c r="J7" s="316" t="s">
        <v>159</v>
      </c>
      <c r="K7" s="321" t="s">
        <v>160</v>
      </c>
      <c r="L7" s="321" t="s">
        <v>161</v>
      </c>
      <c r="M7" s="321" t="s">
        <v>152</v>
      </c>
      <c r="N7" s="321" t="s">
        <v>153</v>
      </c>
      <c r="O7" s="321" t="s">
        <v>154</v>
      </c>
      <c r="P7" s="321" t="s">
        <v>155</v>
      </c>
      <c r="Q7" s="321" t="s">
        <v>156</v>
      </c>
      <c r="R7" s="321" t="s">
        <v>157</v>
      </c>
      <c r="S7" s="321" t="s">
        <v>420</v>
      </c>
      <c r="T7" s="321" t="s">
        <v>158</v>
      </c>
      <c r="U7" s="322" t="s">
        <v>18</v>
      </c>
      <c r="V7" s="323" t="s">
        <v>19</v>
      </c>
      <c r="W7" s="323" t="s">
        <v>8</v>
      </c>
      <c r="X7" s="311" t="s">
        <v>98</v>
      </c>
      <c r="Y7" s="311" t="s">
        <v>210</v>
      </c>
      <c r="Z7" s="316" t="s">
        <v>202</v>
      </c>
      <c r="AA7" s="311" t="s">
        <v>203</v>
      </c>
      <c r="AB7" s="311" t="s">
        <v>26</v>
      </c>
      <c r="AC7" s="311" t="s">
        <v>2</v>
      </c>
      <c r="AD7" s="311" t="s">
        <v>121</v>
      </c>
    </row>
    <row r="8" spans="2:32" ht="23.1" customHeight="1">
      <c r="C8" s="126">
        <v>1</v>
      </c>
      <c r="D8" s="126">
        <v>6</v>
      </c>
      <c r="E8" s="141" t="s">
        <v>560</v>
      </c>
      <c r="F8" s="163" t="s">
        <v>561</v>
      </c>
      <c r="G8" s="162">
        <v>46174</v>
      </c>
      <c r="H8" s="131">
        <v>1</v>
      </c>
      <c r="I8" s="131">
        <v>1</v>
      </c>
      <c r="J8" s="141" t="s">
        <v>552</v>
      </c>
      <c r="K8" s="141">
        <v>1</v>
      </c>
      <c r="N8" s="141">
        <v>1</v>
      </c>
      <c r="U8" s="126">
        <v>-10</v>
      </c>
      <c r="V8" s="220">
        <v>2.89</v>
      </c>
      <c r="W8" s="220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9"/>
    </row>
    <row r="9" spans="2:32" ht="23.1" customHeight="1">
      <c r="C9" s="126">
        <v>2</v>
      </c>
      <c r="D9" s="126">
        <v>153</v>
      </c>
      <c r="E9" s="141" t="s">
        <v>555</v>
      </c>
      <c r="F9" s="163" t="s">
        <v>556</v>
      </c>
      <c r="G9" s="162">
        <v>46174</v>
      </c>
      <c r="H9" s="131">
        <v>1</v>
      </c>
      <c r="I9" s="131">
        <v>1</v>
      </c>
      <c r="J9" s="141" t="s">
        <v>552</v>
      </c>
      <c r="K9" s="141">
        <v>1</v>
      </c>
      <c r="N9" s="141">
        <v>1</v>
      </c>
      <c r="U9" s="126">
        <v>-1</v>
      </c>
      <c r="V9" s="220">
        <v>3.3</v>
      </c>
      <c r="W9" s="220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9"/>
    </row>
    <row r="10" spans="2:32" ht="23.25" customHeight="1">
      <c r="C10" s="126">
        <v>3</v>
      </c>
      <c r="D10" s="126">
        <v>179</v>
      </c>
      <c r="E10" s="141" t="s">
        <v>565</v>
      </c>
      <c r="F10" s="163" t="s">
        <v>566</v>
      </c>
      <c r="G10" s="162">
        <v>46174</v>
      </c>
      <c r="H10" s="131">
        <v>1</v>
      </c>
      <c r="I10" s="131">
        <v>1</v>
      </c>
      <c r="J10" s="141" t="s">
        <v>552</v>
      </c>
      <c r="K10" s="141">
        <v>1</v>
      </c>
      <c r="N10" s="141">
        <v>2</v>
      </c>
      <c r="U10" s="126">
        <v>-15</v>
      </c>
      <c r="V10" s="220">
        <v>0.1</v>
      </c>
      <c r="W10" s="220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571</v>
      </c>
      <c r="F11" s="163" t="s">
        <v>572</v>
      </c>
      <c r="G11" s="162">
        <v>46174</v>
      </c>
      <c r="H11" s="131">
        <v>1</v>
      </c>
      <c r="I11" s="131">
        <v>1</v>
      </c>
      <c r="J11" s="141" t="s">
        <v>552</v>
      </c>
      <c r="K11" s="141">
        <v>1</v>
      </c>
      <c r="N11" s="141">
        <v>2</v>
      </c>
      <c r="U11" s="126">
        <v>-4</v>
      </c>
      <c r="V11" s="220">
        <v>6.03</v>
      </c>
      <c r="W11" s="220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577</v>
      </c>
      <c r="F12" s="163" t="s">
        <v>578</v>
      </c>
      <c r="G12" s="162">
        <v>46174</v>
      </c>
      <c r="H12" s="131">
        <v>1</v>
      </c>
      <c r="I12" s="131">
        <v>1</v>
      </c>
      <c r="J12" s="141" t="s">
        <v>552</v>
      </c>
      <c r="K12" s="141">
        <v>1</v>
      </c>
      <c r="N12" s="141">
        <v>2</v>
      </c>
      <c r="U12" s="126">
        <v>-12</v>
      </c>
      <c r="V12" s="220">
        <v>3.37</v>
      </c>
      <c r="W12" s="220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582</v>
      </c>
      <c r="F13" s="163" t="s">
        <v>583</v>
      </c>
      <c r="G13" s="162">
        <v>46174</v>
      </c>
      <c r="H13" s="131">
        <v>1</v>
      </c>
      <c r="I13" s="131">
        <v>1</v>
      </c>
      <c r="J13" s="141" t="s">
        <v>552</v>
      </c>
      <c r="K13" s="141">
        <v>1</v>
      </c>
      <c r="N13" s="141">
        <v>2</v>
      </c>
      <c r="U13" s="126">
        <v>-1</v>
      </c>
      <c r="V13" s="220">
        <v>5.8</v>
      </c>
      <c r="W13" s="220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587</v>
      </c>
      <c r="F14" s="163" t="s">
        <v>588</v>
      </c>
      <c r="G14" s="162">
        <v>46174</v>
      </c>
      <c r="H14" s="131">
        <v>1</v>
      </c>
      <c r="I14" s="131">
        <v>1</v>
      </c>
      <c r="J14" s="141" t="s">
        <v>552</v>
      </c>
      <c r="K14" s="141">
        <v>1</v>
      </c>
      <c r="N14" s="141">
        <v>2</v>
      </c>
      <c r="U14" s="126">
        <v>-1</v>
      </c>
      <c r="V14" s="220">
        <v>14.85</v>
      </c>
      <c r="W14" s="220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592</v>
      </c>
      <c r="F15" s="163" t="s">
        <v>593</v>
      </c>
      <c r="G15" s="162">
        <v>46174</v>
      </c>
      <c r="H15" s="131">
        <v>1</v>
      </c>
      <c r="I15" s="131">
        <v>1</v>
      </c>
      <c r="J15" s="141" t="s">
        <v>552</v>
      </c>
      <c r="K15" s="141">
        <v>1</v>
      </c>
      <c r="N15" s="141">
        <v>2</v>
      </c>
      <c r="U15" s="126">
        <v>-1</v>
      </c>
      <c r="V15" s="220">
        <v>1.1000000000000001</v>
      </c>
      <c r="W15" s="220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597</v>
      </c>
      <c r="F16" s="163" t="s">
        <v>598</v>
      </c>
      <c r="G16" s="162">
        <v>46174</v>
      </c>
      <c r="H16" s="131">
        <v>1</v>
      </c>
      <c r="I16" s="131">
        <v>1</v>
      </c>
      <c r="J16" s="141" t="s">
        <v>552</v>
      </c>
      <c r="K16" s="141">
        <v>1</v>
      </c>
      <c r="N16" s="141">
        <v>2</v>
      </c>
      <c r="U16" s="126">
        <v>-3</v>
      </c>
      <c r="V16" s="220">
        <v>0.12</v>
      </c>
      <c r="W16" s="220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602</v>
      </c>
      <c r="F17" s="163" t="s">
        <v>603</v>
      </c>
      <c r="G17" s="162">
        <v>46174</v>
      </c>
      <c r="H17" s="131">
        <v>1</v>
      </c>
      <c r="I17" s="131">
        <v>1</v>
      </c>
      <c r="J17" s="141" t="s">
        <v>552</v>
      </c>
      <c r="K17" s="141">
        <v>1</v>
      </c>
      <c r="N17" s="141">
        <v>2</v>
      </c>
      <c r="U17" s="126">
        <v>-1</v>
      </c>
      <c r="V17" s="220">
        <v>0.5</v>
      </c>
      <c r="W17" s="220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609</v>
      </c>
      <c r="F18" s="163" t="s">
        <v>610</v>
      </c>
      <c r="G18" s="162">
        <v>46175</v>
      </c>
      <c r="H18" s="131">
        <v>1</v>
      </c>
      <c r="I18" s="131">
        <v>1</v>
      </c>
      <c r="J18" s="141" t="s">
        <v>552</v>
      </c>
      <c r="K18" s="141">
        <v>1</v>
      </c>
      <c r="N18" s="141">
        <v>3</v>
      </c>
      <c r="U18" s="126">
        <v>-12</v>
      </c>
      <c r="V18" s="220">
        <v>6.28</v>
      </c>
      <c r="W18" s="220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577</v>
      </c>
      <c r="F19" s="163" t="s">
        <v>578</v>
      </c>
      <c r="G19" s="162">
        <v>46175</v>
      </c>
      <c r="H19" s="131">
        <v>1</v>
      </c>
      <c r="I19" s="131">
        <v>1</v>
      </c>
      <c r="J19" s="141" t="s">
        <v>552</v>
      </c>
      <c r="K19" s="141">
        <v>1</v>
      </c>
      <c r="N19" s="141">
        <v>3</v>
      </c>
      <c r="U19" s="126">
        <v>-8</v>
      </c>
      <c r="V19" s="220">
        <v>3.37</v>
      </c>
      <c r="W19" s="220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617</v>
      </c>
      <c r="F20" s="163" t="s">
        <v>618</v>
      </c>
      <c r="G20" s="162">
        <v>46175</v>
      </c>
      <c r="H20" s="131">
        <v>1</v>
      </c>
      <c r="I20" s="131">
        <v>1</v>
      </c>
      <c r="J20" s="141" t="s">
        <v>552</v>
      </c>
      <c r="K20" s="141">
        <v>1</v>
      </c>
      <c r="N20" s="141">
        <v>3</v>
      </c>
      <c r="U20" s="126">
        <v>-12</v>
      </c>
      <c r="V20" s="220">
        <v>12</v>
      </c>
      <c r="W20" s="220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609</v>
      </c>
      <c r="F21" s="163" t="s">
        <v>610</v>
      </c>
      <c r="G21" s="162">
        <v>46175</v>
      </c>
      <c r="H21" s="131">
        <v>1</v>
      </c>
      <c r="I21" s="131">
        <v>1</v>
      </c>
      <c r="J21" s="141" t="s">
        <v>552</v>
      </c>
      <c r="K21" s="141">
        <v>1</v>
      </c>
      <c r="N21" s="141">
        <v>3</v>
      </c>
      <c r="U21" s="126">
        <v>-12</v>
      </c>
      <c r="V21" s="220">
        <v>6.28</v>
      </c>
      <c r="W21" s="220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577</v>
      </c>
      <c r="F22" s="163" t="s">
        <v>578</v>
      </c>
      <c r="G22" s="162">
        <v>46175</v>
      </c>
      <c r="H22" s="131">
        <v>1</v>
      </c>
      <c r="I22" s="131">
        <v>1</v>
      </c>
      <c r="J22" s="141" t="s">
        <v>552</v>
      </c>
      <c r="K22" s="141">
        <v>1</v>
      </c>
      <c r="N22" s="141">
        <v>4</v>
      </c>
      <c r="U22" s="126">
        <v>-24</v>
      </c>
      <c r="V22" s="220">
        <v>3.37</v>
      </c>
      <c r="W22" s="220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628</v>
      </c>
      <c r="F23" s="163" t="s">
        <v>629</v>
      </c>
      <c r="G23" s="162">
        <v>46175</v>
      </c>
      <c r="H23" s="131">
        <v>1</v>
      </c>
      <c r="I23" s="131">
        <v>1</v>
      </c>
      <c r="J23" s="141" t="s">
        <v>552</v>
      </c>
      <c r="K23" s="141">
        <v>1</v>
      </c>
      <c r="N23" s="141">
        <v>4</v>
      </c>
      <c r="U23" s="126">
        <v>-60</v>
      </c>
      <c r="V23" s="220">
        <v>2</v>
      </c>
      <c r="W23" s="220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633</v>
      </c>
      <c r="F24" s="163" t="s">
        <v>634</v>
      </c>
      <c r="G24" s="162">
        <v>46175</v>
      </c>
      <c r="H24" s="131">
        <v>1</v>
      </c>
      <c r="I24" s="131">
        <v>1</v>
      </c>
      <c r="J24" s="141" t="s">
        <v>552</v>
      </c>
      <c r="K24" s="141">
        <v>1</v>
      </c>
      <c r="N24" s="141">
        <v>4</v>
      </c>
      <c r="U24" s="126">
        <v>-2</v>
      </c>
      <c r="V24" s="220">
        <v>0.27</v>
      </c>
      <c r="W24" s="220">
        <v>0.38</v>
      </c>
      <c r="X24" s="126">
        <v>1</v>
      </c>
      <c r="Z24" s="230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638</v>
      </c>
      <c r="F25" s="163" t="s">
        <v>639</v>
      </c>
      <c r="G25" s="162">
        <v>46175</v>
      </c>
      <c r="H25" s="131">
        <v>1</v>
      </c>
      <c r="I25" s="131">
        <v>1</v>
      </c>
      <c r="J25" s="141" t="s">
        <v>552</v>
      </c>
      <c r="K25" s="141">
        <v>1</v>
      </c>
      <c r="N25" s="141">
        <v>4</v>
      </c>
      <c r="U25" s="126">
        <v>-2</v>
      </c>
      <c r="V25" s="220">
        <v>0.3</v>
      </c>
      <c r="W25" s="220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643</v>
      </c>
      <c r="F26" s="163" t="s">
        <v>644</v>
      </c>
      <c r="G26" s="162">
        <v>46175</v>
      </c>
      <c r="H26" s="131">
        <v>1</v>
      </c>
      <c r="I26" s="131">
        <v>1</v>
      </c>
      <c r="J26" s="141" t="s">
        <v>552</v>
      </c>
      <c r="K26" s="141">
        <v>1</v>
      </c>
      <c r="N26" s="141">
        <v>4</v>
      </c>
      <c r="U26" s="126">
        <v>-1</v>
      </c>
      <c r="V26" s="220">
        <v>2.9</v>
      </c>
      <c r="W26" s="220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648</v>
      </c>
      <c r="F27" s="163" t="s">
        <v>649</v>
      </c>
      <c r="G27" s="162">
        <v>46175</v>
      </c>
      <c r="H27" s="131">
        <v>1</v>
      </c>
      <c r="I27" s="131">
        <v>1</v>
      </c>
      <c r="J27" s="141" t="s">
        <v>552</v>
      </c>
      <c r="K27" s="141">
        <v>1</v>
      </c>
      <c r="N27" s="141">
        <v>4</v>
      </c>
      <c r="U27" s="126">
        <v>-10</v>
      </c>
      <c r="V27" s="220">
        <v>0.15</v>
      </c>
      <c r="W27" s="220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653</v>
      </c>
      <c r="F28" s="163" t="s">
        <v>654</v>
      </c>
      <c r="G28" s="162">
        <v>46175</v>
      </c>
      <c r="H28" s="131">
        <v>1</v>
      </c>
      <c r="I28" s="131">
        <v>1</v>
      </c>
      <c r="J28" s="141" t="s">
        <v>552</v>
      </c>
      <c r="K28" s="141">
        <v>1</v>
      </c>
      <c r="N28" s="141">
        <v>4</v>
      </c>
      <c r="U28" s="126">
        <v>-4</v>
      </c>
      <c r="V28" s="220">
        <v>8.36</v>
      </c>
      <c r="W28" s="220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577</v>
      </c>
      <c r="F29" s="163" t="s">
        <v>578</v>
      </c>
      <c r="G29" s="162">
        <v>46175</v>
      </c>
      <c r="H29" s="131">
        <v>1</v>
      </c>
      <c r="I29" s="131">
        <v>1</v>
      </c>
      <c r="J29" s="141" t="s">
        <v>552</v>
      </c>
      <c r="K29" s="141">
        <v>1</v>
      </c>
      <c r="N29" s="141">
        <v>5</v>
      </c>
      <c r="U29" s="126">
        <v>-12</v>
      </c>
      <c r="V29" s="220">
        <v>3.37</v>
      </c>
      <c r="W29" s="220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663</v>
      </c>
      <c r="F30" s="163" t="s">
        <v>664</v>
      </c>
      <c r="G30" s="162">
        <v>46175</v>
      </c>
      <c r="H30" s="131">
        <v>1</v>
      </c>
      <c r="I30" s="131">
        <v>1</v>
      </c>
      <c r="J30" s="141" t="s">
        <v>552</v>
      </c>
      <c r="K30" s="141">
        <v>1</v>
      </c>
      <c r="N30" s="141">
        <v>5</v>
      </c>
      <c r="U30" s="126">
        <v>-1</v>
      </c>
      <c r="V30" s="220">
        <v>1.63</v>
      </c>
      <c r="W30" s="220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668</v>
      </c>
      <c r="F31" s="163" t="s">
        <v>669</v>
      </c>
      <c r="G31" s="162">
        <v>46175</v>
      </c>
      <c r="H31" s="131">
        <v>1</v>
      </c>
      <c r="I31" s="131">
        <v>1</v>
      </c>
      <c r="J31" s="141" t="s">
        <v>552</v>
      </c>
      <c r="K31" s="141">
        <v>1</v>
      </c>
      <c r="N31" s="141">
        <v>5</v>
      </c>
      <c r="U31" s="126">
        <v>-1</v>
      </c>
      <c r="V31" s="220">
        <v>14.5</v>
      </c>
      <c r="W31" s="220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678</v>
      </c>
      <c r="F32" s="163" t="s">
        <v>679</v>
      </c>
      <c r="G32" s="162">
        <v>46143</v>
      </c>
      <c r="H32" s="131">
        <v>1</v>
      </c>
      <c r="I32" s="131">
        <v>1</v>
      </c>
      <c r="J32" s="141" t="s">
        <v>682</v>
      </c>
      <c r="L32" s="141">
        <v>2</v>
      </c>
      <c r="Q32" s="141">
        <v>1</v>
      </c>
      <c r="U32" s="126">
        <v>4</v>
      </c>
      <c r="V32" s="220">
        <v>27.34</v>
      </c>
      <c r="W32" s="220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683</v>
      </c>
      <c r="F33" s="163" t="s">
        <v>684</v>
      </c>
      <c r="G33" s="162">
        <v>46143</v>
      </c>
      <c r="H33" s="131">
        <v>1</v>
      </c>
      <c r="I33" s="131">
        <v>1</v>
      </c>
      <c r="J33" s="141" t="s">
        <v>682</v>
      </c>
      <c r="L33" s="141">
        <v>2</v>
      </c>
      <c r="Q33" s="141">
        <v>1</v>
      </c>
      <c r="U33" s="126">
        <v>5</v>
      </c>
      <c r="V33" s="220">
        <v>11.32</v>
      </c>
      <c r="W33" s="220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582</v>
      </c>
      <c r="F34" s="163" t="s">
        <v>583</v>
      </c>
      <c r="G34" s="162">
        <v>46143</v>
      </c>
      <c r="H34" s="131">
        <v>1</v>
      </c>
      <c r="I34" s="131">
        <v>1</v>
      </c>
      <c r="J34" s="141" t="s">
        <v>682</v>
      </c>
      <c r="L34" s="141">
        <v>2</v>
      </c>
      <c r="Q34" s="141">
        <v>1</v>
      </c>
      <c r="U34" s="126">
        <v>7</v>
      </c>
      <c r="V34" s="220">
        <v>5.8</v>
      </c>
      <c r="W34" s="220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687</v>
      </c>
      <c r="F35" s="163" t="s">
        <v>688</v>
      </c>
      <c r="G35" s="162">
        <v>46143</v>
      </c>
      <c r="H35" s="131">
        <v>1</v>
      </c>
      <c r="I35" s="131">
        <v>1</v>
      </c>
      <c r="J35" s="141" t="s">
        <v>682</v>
      </c>
      <c r="L35" s="141">
        <v>2</v>
      </c>
      <c r="Q35" s="141">
        <v>1</v>
      </c>
      <c r="U35" s="126">
        <v>6</v>
      </c>
      <c r="V35" s="220">
        <v>3.74</v>
      </c>
      <c r="W35" s="220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587</v>
      </c>
      <c r="F36" s="163" t="s">
        <v>588</v>
      </c>
      <c r="G36" s="162">
        <v>46143</v>
      </c>
      <c r="H36" s="131">
        <v>1</v>
      </c>
      <c r="I36" s="131">
        <v>1</v>
      </c>
      <c r="J36" s="141" t="s">
        <v>682</v>
      </c>
      <c r="L36" s="141">
        <v>2</v>
      </c>
      <c r="Q36" s="141">
        <v>1</v>
      </c>
      <c r="U36" s="126">
        <v>10</v>
      </c>
      <c r="V36" s="220">
        <v>14.85</v>
      </c>
      <c r="W36" s="220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691</v>
      </c>
      <c r="F37" s="163" t="s">
        <v>692</v>
      </c>
      <c r="G37" s="162">
        <v>46143</v>
      </c>
      <c r="H37" s="131">
        <v>1</v>
      </c>
      <c r="I37" s="131">
        <v>1</v>
      </c>
      <c r="J37" s="141" t="s">
        <v>682</v>
      </c>
      <c r="L37" s="141">
        <v>2</v>
      </c>
      <c r="Q37" s="141">
        <v>1</v>
      </c>
      <c r="U37" s="126">
        <v>10</v>
      </c>
      <c r="V37" s="220">
        <v>9.52</v>
      </c>
      <c r="W37" s="220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694</v>
      </c>
      <c r="F38" s="163" t="s">
        <v>695</v>
      </c>
      <c r="G38" s="162">
        <v>46143</v>
      </c>
      <c r="H38" s="131">
        <v>1</v>
      </c>
      <c r="I38" s="131">
        <v>1</v>
      </c>
      <c r="J38" s="141" t="s">
        <v>682</v>
      </c>
      <c r="L38" s="141">
        <v>2</v>
      </c>
      <c r="Q38" s="141">
        <v>1</v>
      </c>
      <c r="U38" s="126">
        <v>8</v>
      </c>
      <c r="V38" s="220">
        <v>5.3</v>
      </c>
      <c r="W38" s="220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697</v>
      </c>
      <c r="F39" s="163" t="s">
        <v>698</v>
      </c>
      <c r="G39" s="162">
        <v>46143</v>
      </c>
      <c r="H39" s="131">
        <v>1</v>
      </c>
      <c r="I39" s="131">
        <v>1</v>
      </c>
      <c r="J39" s="141" t="s">
        <v>682</v>
      </c>
      <c r="L39" s="141">
        <v>2</v>
      </c>
      <c r="Q39" s="141">
        <v>1</v>
      </c>
      <c r="U39" s="126">
        <v>12</v>
      </c>
      <c r="V39" s="220">
        <v>3.3</v>
      </c>
      <c r="W39" s="220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700</v>
      </c>
      <c r="F40" s="163" t="s">
        <v>701</v>
      </c>
      <c r="G40" s="162">
        <v>46143</v>
      </c>
      <c r="H40" s="131">
        <v>1</v>
      </c>
      <c r="I40" s="131">
        <v>1</v>
      </c>
      <c r="J40" s="141" t="s">
        <v>682</v>
      </c>
      <c r="L40" s="141">
        <v>2</v>
      </c>
      <c r="Q40" s="141">
        <v>1</v>
      </c>
      <c r="U40" s="126">
        <v>15</v>
      </c>
      <c r="V40" s="220">
        <v>2.1</v>
      </c>
      <c r="W40" s="220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663</v>
      </c>
      <c r="F41" s="163" t="s">
        <v>664</v>
      </c>
      <c r="G41" s="162">
        <v>46143</v>
      </c>
      <c r="H41" s="131">
        <v>1</v>
      </c>
      <c r="I41" s="131">
        <v>1</v>
      </c>
      <c r="J41" s="141" t="s">
        <v>682</v>
      </c>
      <c r="L41" s="141">
        <v>2</v>
      </c>
      <c r="Q41" s="141">
        <v>1</v>
      </c>
      <c r="U41" s="126">
        <v>20</v>
      </c>
      <c r="V41" s="220">
        <v>1.63</v>
      </c>
      <c r="W41" s="220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704</v>
      </c>
      <c r="F42" s="163" t="s">
        <v>705</v>
      </c>
      <c r="G42" s="162">
        <v>46143</v>
      </c>
      <c r="H42" s="131">
        <v>1</v>
      </c>
      <c r="I42" s="131">
        <v>1</v>
      </c>
      <c r="J42" s="141" t="s">
        <v>682</v>
      </c>
      <c r="L42" s="141">
        <v>2</v>
      </c>
      <c r="Q42" s="141">
        <v>1</v>
      </c>
      <c r="U42" s="126">
        <v>18</v>
      </c>
      <c r="V42" s="220">
        <v>1.35</v>
      </c>
      <c r="W42" s="220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707</v>
      </c>
      <c r="F43" s="163" t="s">
        <v>708</v>
      </c>
      <c r="G43" s="162">
        <v>46143</v>
      </c>
      <c r="H43" s="131">
        <v>1</v>
      </c>
      <c r="I43" s="131">
        <v>1</v>
      </c>
      <c r="J43" s="141" t="s">
        <v>682</v>
      </c>
      <c r="L43" s="141">
        <v>2</v>
      </c>
      <c r="Q43" s="141">
        <v>1</v>
      </c>
      <c r="U43" s="126">
        <v>5</v>
      </c>
      <c r="V43" s="220">
        <v>7.49</v>
      </c>
      <c r="W43" s="220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710</v>
      </c>
      <c r="F44" s="163" t="s">
        <v>711</v>
      </c>
      <c r="G44" s="162">
        <v>46143</v>
      </c>
      <c r="H44" s="131">
        <v>1</v>
      </c>
      <c r="I44" s="131">
        <v>1</v>
      </c>
      <c r="J44" s="141" t="s">
        <v>682</v>
      </c>
      <c r="L44" s="141">
        <v>2</v>
      </c>
      <c r="Q44" s="141">
        <v>1</v>
      </c>
      <c r="U44" s="126">
        <v>3</v>
      </c>
      <c r="V44" s="220">
        <v>5.03</v>
      </c>
      <c r="W44" s="220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643</v>
      </c>
      <c r="F45" s="163" t="s">
        <v>644</v>
      </c>
      <c r="G45" s="162">
        <v>46143</v>
      </c>
      <c r="H45" s="131">
        <v>1</v>
      </c>
      <c r="I45" s="131">
        <v>1</v>
      </c>
      <c r="J45" s="141" t="s">
        <v>682</v>
      </c>
      <c r="L45" s="141">
        <v>2</v>
      </c>
      <c r="Q45" s="141">
        <v>1</v>
      </c>
      <c r="U45" s="126">
        <v>7</v>
      </c>
      <c r="V45" s="220">
        <v>2.9</v>
      </c>
      <c r="W45" s="220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716</v>
      </c>
      <c r="F46" s="163" t="s">
        <v>717</v>
      </c>
      <c r="G46" s="162">
        <v>46146</v>
      </c>
      <c r="H46" s="131">
        <v>1</v>
      </c>
      <c r="I46" s="131">
        <v>1</v>
      </c>
      <c r="J46" s="141" t="s">
        <v>682</v>
      </c>
      <c r="L46" s="141">
        <v>2</v>
      </c>
      <c r="Q46" s="141">
        <v>2</v>
      </c>
      <c r="U46" s="126">
        <v>5</v>
      </c>
      <c r="V46" s="220">
        <v>3.01</v>
      </c>
      <c r="W46" s="220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719</v>
      </c>
      <c r="F47" s="163" t="s">
        <v>720</v>
      </c>
      <c r="G47" s="162">
        <v>46146</v>
      </c>
      <c r="H47" s="131">
        <v>1</v>
      </c>
      <c r="I47" s="131">
        <v>1</v>
      </c>
      <c r="J47" s="141" t="s">
        <v>682</v>
      </c>
      <c r="L47" s="141">
        <v>2</v>
      </c>
      <c r="Q47" s="141">
        <v>2</v>
      </c>
      <c r="U47" s="126">
        <v>22500</v>
      </c>
      <c r="V47" s="220">
        <v>5</v>
      </c>
      <c r="W47" s="220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723</v>
      </c>
      <c r="F48" s="163" t="s">
        <v>724</v>
      </c>
      <c r="G48" s="162">
        <v>46146</v>
      </c>
      <c r="H48" s="131">
        <v>1</v>
      </c>
      <c r="I48" s="131">
        <v>1</v>
      </c>
      <c r="J48" s="141" t="s">
        <v>682</v>
      </c>
      <c r="L48" s="141">
        <v>2</v>
      </c>
      <c r="Q48" s="141">
        <v>2</v>
      </c>
      <c r="U48" s="126">
        <v>4</v>
      </c>
      <c r="V48" s="220">
        <v>4.5</v>
      </c>
      <c r="W48" s="220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727</v>
      </c>
      <c r="F49" s="163" t="s">
        <v>728</v>
      </c>
      <c r="G49" s="162">
        <v>46146</v>
      </c>
      <c r="H49" s="131">
        <v>1</v>
      </c>
      <c r="I49" s="131">
        <v>1</v>
      </c>
      <c r="J49" s="141" t="s">
        <v>682</v>
      </c>
      <c r="L49" s="141">
        <v>2</v>
      </c>
      <c r="Q49" s="141">
        <v>2</v>
      </c>
      <c r="U49" s="126">
        <v>700</v>
      </c>
      <c r="V49" s="220">
        <v>4</v>
      </c>
      <c r="W49" s="220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731</v>
      </c>
      <c r="F50" s="163" t="s">
        <v>732</v>
      </c>
      <c r="G50" s="162">
        <v>46146</v>
      </c>
      <c r="H50" s="131">
        <v>1</v>
      </c>
      <c r="I50" s="131">
        <v>1</v>
      </c>
      <c r="J50" s="141" t="s">
        <v>682</v>
      </c>
      <c r="L50" s="141">
        <v>2</v>
      </c>
      <c r="Q50" s="141">
        <v>2</v>
      </c>
      <c r="U50" s="126">
        <v>3</v>
      </c>
      <c r="V50" s="220">
        <v>11.25</v>
      </c>
      <c r="W50" s="220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668</v>
      </c>
      <c r="F51" s="163" t="s">
        <v>669</v>
      </c>
      <c r="G51" s="162">
        <v>46146</v>
      </c>
      <c r="H51" s="131">
        <v>1</v>
      </c>
      <c r="I51" s="131">
        <v>1</v>
      </c>
      <c r="J51" s="141" t="s">
        <v>682</v>
      </c>
      <c r="L51" s="141">
        <v>2</v>
      </c>
      <c r="Q51" s="141">
        <v>2</v>
      </c>
      <c r="U51" s="126">
        <v>3</v>
      </c>
      <c r="V51" s="220">
        <v>14.5</v>
      </c>
      <c r="W51" s="220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736</v>
      </c>
      <c r="F52" s="163" t="s">
        <v>737</v>
      </c>
      <c r="G52" s="162">
        <v>46146</v>
      </c>
      <c r="H52" s="131">
        <v>1</v>
      </c>
      <c r="I52" s="131">
        <v>1</v>
      </c>
      <c r="J52" s="141" t="s">
        <v>682</v>
      </c>
      <c r="L52" s="141">
        <v>2</v>
      </c>
      <c r="Q52" s="141">
        <v>2</v>
      </c>
      <c r="U52" s="126">
        <v>5</v>
      </c>
      <c r="V52" s="220">
        <v>4.41</v>
      </c>
      <c r="W52" s="220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739</v>
      </c>
      <c r="F53" s="163" t="s">
        <v>740</v>
      </c>
      <c r="G53" s="162">
        <v>46146</v>
      </c>
      <c r="H53" s="131">
        <v>1</v>
      </c>
      <c r="I53" s="131">
        <v>1</v>
      </c>
      <c r="J53" s="141" t="s">
        <v>682</v>
      </c>
      <c r="L53" s="141">
        <v>2</v>
      </c>
      <c r="Q53" s="141">
        <v>2</v>
      </c>
      <c r="U53" s="126">
        <v>2</v>
      </c>
      <c r="V53" s="220">
        <v>11.75</v>
      </c>
      <c r="W53" s="220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742</v>
      </c>
      <c r="F54" s="163" t="s">
        <v>743</v>
      </c>
      <c r="G54" s="162">
        <v>46146</v>
      </c>
      <c r="H54" s="131">
        <v>1</v>
      </c>
      <c r="I54" s="131">
        <v>1</v>
      </c>
      <c r="J54" s="141" t="s">
        <v>682</v>
      </c>
      <c r="L54" s="141">
        <v>2</v>
      </c>
      <c r="Q54" s="141">
        <v>2</v>
      </c>
      <c r="U54" s="126">
        <v>2</v>
      </c>
      <c r="V54" s="220">
        <v>53</v>
      </c>
      <c r="W54" s="220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746</v>
      </c>
      <c r="F55" s="163" t="s">
        <v>747</v>
      </c>
      <c r="G55" s="162">
        <v>46146</v>
      </c>
      <c r="H55" s="131">
        <v>1</v>
      </c>
      <c r="I55" s="131">
        <v>1</v>
      </c>
      <c r="J55" s="141" t="s">
        <v>682</v>
      </c>
      <c r="L55" s="141">
        <v>2</v>
      </c>
      <c r="Q55" s="141">
        <v>2</v>
      </c>
      <c r="U55" s="126">
        <v>2</v>
      </c>
      <c r="V55" s="220">
        <v>12.75</v>
      </c>
      <c r="W55" s="220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749</v>
      </c>
      <c r="F56" s="163" t="s">
        <v>750</v>
      </c>
      <c r="G56" s="162">
        <v>46146</v>
      </c>
      <c r="H56" s="131">
        <v>1</v>
      </c>
      <c r="I56" s="131">
        <v>1</v>
      </c>
      <c r="J56" s="141" t="s">
        <v>682</v>
      </c>
      <c r="L56" s="141">
        <v>2</v>
      </c>
      <c r="Q56" s="141">
        <v>2</v>
      </c>
      <c r="U56" s="126">
        <v>5000</v>
      </c>
      <c r="V56" s="220">
        <v>85</v>
      </c>
      <c r="W56" s="220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753</v>
      </c>
      <c r="F57" s="163" t="s">
        <v>754</v>
      </c>
      <c r="G57" s="162">
        <v>46146</v>
      </c>
      <c r="H57" s="131">
        <v>1</v>
      </c>
      <c r="I57" s="131">
        <v>1</v>
      </c>
      <c r="J57" s="141" t="s">
        <v>682</v>
      </c>
      <c r="L57" s="141">
        <v>2</v>
      </c>
      <c r="Q57" s="141">
        <v>2</v>
      </c>
      <c r="U57" s="126">
        <v>12000</v>
      </c>
      <c r="V57" s="220">
        <v>83</v>
      </c>
      <c r="W57" s="220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756</v>
      </c>
      <c r="F58" s="163" t="s">
        <v>757</v>
      </c>
      <c r="G58" s="162">
        <v>46146</v>
      </c>
      <c r="H58" s="131">
        <v>1</v>
      </c>
      <c r="I58" s="131">
        <v>1</v>
      </c>
      <c r="J58" s="141" t="s">
        <v>682</v>
      </c>
      <c r="L58" s="141">
        <v>2</v>
      </c>
      <c r="Q58" s="141">
        <v>2</v>
      </c>
      <c r="U58" s="126">
        <v>6000</v>
      </c>
      <c r="V58" s="220">
        <v>95</v>
      </c>
      <c r="W58" s="220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565</v>
      </c>
      <c r="F59" s="163" t="s">
        <v>566</v>
      </c>
      <c r="G59" s="162">
        <v>46146</v>
      </c>
      <c r="H59" s="131">
        <v>1</v>
      </c>
      <c r="I59" s="131">
        <v>1</v>
      </c>
      <c r="J59" s="141" t="s">
        <v>682</v>
      </c>
      <c r="L59" s="141">
        <v>2</v>
      </c>
      <c r="Q59" s="141">
        <v>2</v>
      </c>
      <c r="U59" s="126">
        <v>4000</v>
      </c>
      <c r="V59" s="220">
        <v>95</v>
      </c>
      <c r="W59" s="220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762</v>
      </c>
      <c r="F60" s="163" t="s">
        <v>763</v>
      </c>
      <c r="G60" s="162">
        <v>46148</v>
      </c>
      <c r="H60" s="131">
        <v>1</v>
      </c>
      <c r="I60" s="131">
        <v>1</v>
      </c>
      <c r="J60" s="141" t="s">
        <v>682</v>
      </c>
      <c r="L60" s="141">
        <v>2</v>
      </c>
      <c r="Q60" s="141">
        <v>3</v>
      </c>
      <c r="U60" s="126">
        <v>180</v>
      </c>
      <c r="V60" s="220">
        <v>1</v>
      </c>
      <c r="W60" s="220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628</v>
      </c>
      <c r="F61" s="163" t="s">
        <v>629</v>
      </c>
      <c r="G61" s="162">
        <v>46148</v>
      </c>
      <c r="H61" s="131">
        <v>1</v>
      </c>
      <c r="I61" s="131">
        <v>1</v>
      </c>
      <c r="J61" s="141" t="s">
        <v>682</v>
      </c>
      <c r="L61" s="141">
        <v>2</v>
      </c>
      <c r="Q61" s="141">
        <v>3</v>
      </c>
      <c r="U61" s="126">
        <v>120</v>
      </c>
      <c r="V61" s="220">
        <v>2</v>
      </c>
      <c r="W61" s="220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767</v>
      </c>
      <c r="F62" s="163" t="s">
        <v>768</v>
      </c>
      <c r="G62" s="162">
        <v>46148</v>
      </c>
      <c r="H62" s="131">
        <v>1</v>
      </c>
      <c r="I62" s="131">
        <v>1</v>
      </c>
      <c r="J62" s="141" t="s">
        <v>682</v>
      </c>
      <c r="L62" s="141">
        <v>2</v>
      </c>
      <c r="Q62" s="141">
        <v>3</v>
      </c>
      <c r="U62" s="126">
        <v>240</v>
      </c>
      <c r="V62" s="220">
        <v>4</v>
      </c>
      <c r="W62" s="220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770</v>
      </c>
      <c r="F63" s="163" t="s">
        <v>771</v>
      </c>
      <c r="G63" s="162">
        <v>46148</v>
      </c>
      <c r="H63" s="131">
        <v>1</v>
      </c>
      <c r="I63" s="131">
        <v>1</v>
      </c>
      <c r="J63" s="141" t="s">
        <v>682</v>
      </c>
      <c r="L63" s="141">
        <v>2</v>
      </c>
      <c r="Q63" s="141">
        <v>3</v>
      </c>
      <c r="U63" s="126">
        <v>168</v>
      </c>
      <c r="V63" s="220">
        <v>6</v>
      </c>
      <c r="W63" s="220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773</v>
      </c>
      <c r="F64" s="163" t="s">
        <v>774</v>
      </c>
      <c r="G64" s="162">
        <v>46148</v>
      </c>
      <c r="H64" s="131">
        <v>1</v>
      </c>
      <c r="I64" s="131">
        <v>1</v>
      </c>
      <c r="J64" s="141" t="s">
        <v>682</v>
      </c>
      <c r="L64" s="141">
        <v>2</v>
      </c>
      <c r="Q64" s="141">
        <v>3</v>
      </c>
      <c r="U64" s="126">
        <v>60</v>
      </c>
      <c r="V64" s="220">
        <v>8</v>
      </c>
      <c r="W64" s="220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617</v>
      </c>
      <c r="F65" s="163" t="s">
        <v>618</v>
      </c>
      <c r="G65" s="162">
        <v>46148</v>
      </c>
      <c r="H65" s="131">
        <v>1</v>
      </c>
      <c r="I65" s="131">
        <v>1</v>
      </c>
      <c r="J65" s="141" t="s">
        <v>682</v>
      </c>
      <c r="L65" s="141">
        <v>2</v>
      </c>
      <c r="Q65" s="141">
        <v>3</v>
      </c>
      <c r="U65" s="126">
        <v>36</v>
      </c>
      <c r="V65" s="220">
        <v>12</v>
      </c>
      <c r="W65" s="220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577</v>
      </c>
      <c r="F66" s="163" t="s">
        <v>578</v>
      </c>
      <c r="G66" s="162">
        <v>46148</v>
      </c>
      <c r="H66" s="131">
        <v>1</v>
      </c>
      <c r="I66" s="131">
        <v>1</v>
      </c>
      <c r="J66" s="141" t="s">
        <v>682</v>
      </c>
      <c r="L66" s="141">
        <v>2</v>
      </c>
      <c r="Q66" s="141">
        <v>3</v>
      </c>
      <c r="U66" s="126">
        <v>128</v>
      </c>
      <c r="V66" s="220">
        <v>3.37</v>
      </c>
      <c r="W66" s="220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779</v>
      </c>
      <c r="F67" s="163" t="s">
        <v>780</v>
      </c>
      <c r="G67" s="162">
        <v>46148</v>
      </c>
      <c r="H67" s="131">
        <v>1</v>
      </c>
      <c r="I67" s="131">
        <v>1</v>
      </c>
      <c r="J67" s="141" t="s">
        <v>682</v>
      </c>
      <c r="L67" s="141">
        <v>2</v>
      </c>
      <c r="Q67" s="141">
        <v>3</v>
      </c>
      <c r="U67" s="126">
        <v>52</v>
      </c>
      <c r="V67" s="220">
        <v>4.09</v>
      </c>
      <c r="W67" s="220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782</v>
      </c>
      <c r="F68" s="163" t="s">
        <v>783</v>
      </c>
      <c r="G68" s="162">
        <v>46148</v>
      </c>
      <c r="H68" s="131">
        <v>1</v>
      </c>
      <c r="I68" s="131">
        <v>1</v>
      </c>
      <c r="J68" s="141" t="s">
        <v>682</v>
      </c>
      <c r="L68" s="141">
        <v>2</v>
      </c>
      <c r="Q68" s="141">
        <v>3</v>
      </c>
      <c r="U68" s="126">
        <v>64</v>
      </c>
      <c r="V68" s="220">
        <v>4.92</v>
      </c>
      <c r="W68" s="220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785</v>
      </c>
      <c r="F69" s="163" t="s">
        <v>786</v>
      </c>
      <c r="G69" s="162">
        <v>46148</v>
      </c>
      <c r="H69" s="131">
        <v>1</v>
      </c>
      <c r="I69" s="131">
        <v>1</v>
      </c>
      <c r="J69" s="141" t="s">
        <v>682</v>
      </c>
      <c r="L69" s="141">
        <v>2</v>
      </c>
      <c r="Q69" s="141">
        <v>3</v>
      </c>
      <c r="U69" s="126">
        <v>60</v>
      </c>
      <c r="V69" s="220">
        <v>3.88</v>
      </c>
      <c r="W69" s="220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609</v>
      </c>
      <c r="F70" s="163" t="s">
        <v>610</v>
      </c>
      <c r="G70" s="162">
        <v>46148</v>
      </c>
      <c r="H70" s="131">
        <v>1</v>
      </c>
      <c r="I70" s="131">
        <v>1</v>
      </c>
      <c r="J70" s="141" t="s">
        <v>682</v>
      </c>
      <c r="L70" s="141">
        <v>2</v>
      </c>
      <c r="Q70" s="141">
        <v>3</v>
      </c>
      <c r="U70" s="126">
        <v>100</v>
      </c>
      <c r="V70" s="220">
        <v>6.28</v>
      </c>
      <c r="W70" s="220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653</v>
      </c>
      <c r="F71" s="163" t="s">
        <v>654</v>
      </c>
      <c r="G71" s="162">
        <v>46148</v>
      </c>
      <c r="H71" s="131">
        <v>1</v>
      </c>
      <c r="I71" s="131">
        <v>1</v>
      </c>
      <c r="J71" s="141" t="s">
        <v>682</v>
      </c>
      <c r="L71" s="141">
        <v>2</v>
      </c>
      <c r="Q71" s="141">
        <v>3</v>
      </c>
      <c r="U71" s="126">
        <v>72</v>
      </c>
      <c r="V71" s="220">
        <v>8.36</v>
      </c>
      <c r="W71" s="220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749</v>
      </c>
      <c r="F72" s="163" t="s">
        <v>750</v>
      </c>
      <c r="G72" s="162">
        <v>46176</v>
      </c>
      <c r="H72" s="131">
        <v>1</v>
      </c>
      <c r="I72" s="131">
        <v>1</v>
      </c>
      <c r="J72" s="141" t="s">
        <v>552</v>
      </c>
      <c r="K72" s="141">
        <v>1</v>
      </c>
      <c r="N72" s="141">
        <v>6</v>
      </c>
      <c r="U72" s="126">
        <v>-500</v>
      </c>
      <c r="V72" s="220">
        <v>4.25</v>
      </c>
      <c r="W72" s="220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799</v>
      </c>
      <c r="F73" s="163" t="s">
        <v>800</v>
      </c>
      <c r="G73" s="162">
        <v>46176</v>
      </c>
      <c r="H73" s="131">
        <v>1</v>
      </c>
      <c r="I73" s="131">
        <v>1</v>
      </c>
      <c r="J73" s="141" t="s">
        <v>552</v>
      </c>
      <c r="K73" s="141">
        <v>1</v>
      </c>
      <c r="N73" s="141">
        <v>6</v>
      </c>
      <c r="U73" s="126">
        <v>-1</v>
      </c>
      <c r="V73" s="220">
        <v>0.34</v>
      </c>
      <c r="W73" s="220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804</v>
      </c>
      <c r="F74" s="163" t="s">
        <v>805</v>
      </c>
      <c r="G74" s="162">
        <v>46176</v>
      </c>
      <c r="H74" s="131">
        <v>1</v>
      </c>
      <c r="I74" s="131">
        <v>1</v>
      </c>
      <c r="J74" s="141" t="s">
        <v>552</v>
      </c>
      <c r="K74" s="141">
        <v>1</v>
      </c>
      <c r="N74" s="141">
        <v>6</v>
      </c>
      <c r="U74" s="126">
        <v>-4</v>
      </c>
      <c r="V74" s="220">
        <v>0.12</v>
      </c>
      <c r="W74" s="220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809</v>
      </c>
      <c r="F75" s="163" t="s">
        <v>810</v>
      </c>
      <c r="G75" s="162">
        <v>46176</v>
      </c>
      <c r="H75" s="131">
        <v>1</v>
      </c>
      <c r="I75" s="131">
        <v>1</v>
      </c>
      <c r="J75" s="141" t="s">
        <v>552</v>
      </c>
      <c r="K75" s="141">
        <v>1</v>
      </c>
      <c r="N75" s="141">
        <v>6</v>
      </c>
      <c r="U75" s="126">
        <v>-2</v>
      </c>
      <c r="V75" s="220">
        <v>0.53</v>
      </c>
      <c r="W75" s="220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814</v>
      </c>
      <c r="F76" s="163" t="s">
        <v>815</v>
      </c>
      <c r="G76" s="162">
        <v>46176</v>
      </c>
      <c r="H76" s="131">
        <v>1</v>
      </c>
      <c r="I76" s="131">
        <v>1</v>
      </c>
      <c r="J76" s="141" t="s">
        <v>552</v>
      </c>
      <c r="K76" s="141">
        <v>1</v>
      </c>
      <c r="N76" s="141">
        <v>6</v>
      </c>
      <c r="U76" s="126">
        <v>-1</v>
      </c>
      <c r="V76" s="220">
        <v>0.28000000000000003</v>
      </c>
      <c r="W76" s="220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819</v>
      </c>
      <c r="F77" s="163" t="s">
        <v>820</v>
      </c>
      <c r="G77" s="162">
        <v>46176</v>
      </c>
      <c r="H77" s="131">
        <v>1</v>
      </c>
      <c r="I77" s="131">
        <v>1</v>
      </c>
      <c r="J77" s="141" t="s">
        <v>552</v>
      </c>
      <c r="K77" s="141">
        <v>1</v>
      </c>
      <c r="N77" s="141">
        <v>6</v>
      </c>
      <c r="U77" s="126">
        <v>-1</v>
      </c>
      <c r="V77" s="220">
        <v>1.79</v>
      </c>
      <c r="W77" s="220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824</v>
      </c>
      <c r="F78" s="163" t="s">
        <v>825</v>
      </c>
      <c r="G78" s="162">
        <v>46176</v>
      </c>
      <c r="H78" s="131">
        <v>1</v>
      </c>
      <c r="I78" s="131">
        <v>1</v>
      </c>
      <c r="J78" s="141" t="s">
        <v>552</v>
      </c>
      <c r="K78" s="141">
        <v>1</v>
      </c>
      <c r="N78" s="141">
        <v>6</v>
      </c>
      <c r="U78" s="126">
        <v>-2</v>
      </c>
      <c r="V78" s="220">
        <v>0.28999999999999998</v>
      </c>
      <c r="W78" s="220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746</v>
      </c>
      <c r="F79" s="163" t="s">
        <v>747</v>
      </c>
      <c r="G79" s="162">
        <v>46176</v>
      </c>
      <c r="H79" s="131">
        <v>1</v>
      </c>
      <c r="I79" s="131">
        <v>1</v>
      </c>
      <c r="J79" s="141" t="s">
        <v>552</v>
      </c>
      <c r="K79" s="141">
        <v>1</v>
      </c>
      <c r="N79" s="141">
        <v>7</v>
      </c>
      <c r="U79" s="126">
        <v>-4</v>
      </c>
      <c r="V79" s="220">
        <v>12.75</v>
      </c>
      <c r="W79" s="220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753</v>
      </c>
      <c r="F80" s="163" t="s">
        <v>754</v>
      </c>
      <c r="G80" s="162">
        <v>46177</v>
      </c>
      <c r="H80" s="131">
        <v>1</v>
      </c>
      <c r="I80" s="131">
        <v>1</v>
      </c>
      <c r="J80" s="141" t="s">
        <v>552</v>
      </c>
      <c r="K80" s="141">
        <v>1</v>
      </c>
      <c r="N80" s="141">
        <v>8</v>
      </c>
      <c r="U80" s="126">
        <v>-250</v>
      </c>
      <c r="V80" s="220">
        <v>4.1500000000000004</v>
      </c>
      <c r="W80" s="220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565</v>
      </c>
      <c r="F81" s="163" t="s">
        <v>566</v>
      </c>
      <c r="G81" s="162">
        <v>46177</v>
      </c>
      <c r="H81" s="131">
        <v>1</v>
      </c>
      <c r="I81" s="131">
        <v>1</v>
      </c>
      <c r="J81" s="141" t="s">
        <v>552</v>
      </c>
      <c r="K81" s="141">
        <v>1</v>
      </c>
      <c r="N81" s="141">
        <v>8</v>
      </c>
      <c r="U81" s="126">
        <v>-250</v>
      </c>
      <c r="V81" s="220">
        <v>4.75</v>
      </c>
      <c r="W81" s="220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691</v>
      </c>
      <c r="F82" s="163" t="s">
        <v>692</v>
      </c>
      <c r="G82" s="162">
        <v>46177</v>
      </c>
      <c r="H82" s="131">
        <v>1</v>
      </c>
      <c r="I82" s="131">
        <v>1</v>
      </c>
      <c r="J82" s="141" t="s">
        <v>552</v>
      </c>
      <c r="K82" s="141">
        <v>1</v>
      </c>
      <c r="N82" s="141">
        <v>8</v>
      </c>
      <c r="U82" s="126">
        <v>-2</v>
      </c>
      <c r="V82" s="220">
        <v>9.52</v>
      </c>
      <c r="W82" s="220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704</v>
      </c>
      <c r="F83" s="163" t="s">
        <v>705</v>
      </c>
      <c r="G83" s="162">
        <v>46177</v>
      </c>
      <c r="H83" s="131">
        <v>1</v>
      </c>
      <c r="I83" s="131">
        <v>1</v>
      </c>
      <c r="J83" s="141" t="s">
        <v>552</v>
      </c>
      <c r="K83" s="141">
        <v>1</v>
      </c>
      <c r="N83" s="141">
        <v>8</v>
      </c>
      <c r="U83" s="126">
        <v>-10</v>
      </c>
      <c r="V83" s="220">
        <v>1.35</v>
      </c>
      <c r="W83" s="220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609</v>
      </c>
      <c r="F84" s="163" t="s">
        <v>610</v>
      </c>
      <c r="G84" s="162">
        <v>46177</v>
      </c>
      <c r="H84" s="131">
        <v>1</v>
      </c>
      <c r="I84" s="131">
        <v>1</v>
      </c>
      <c r="J84" s="141" t="s">
        <v>552</v>
      </c>
      <c r="K84" s="141">
        <v>1</v>
      </c>
      <c r="N84" s="141">
        <v>9</v>
      </c>
      <c r="U84" s="126">
        <v>-8</v>
      </c>
      <c r="V84" s="220">
        <v>6.28</v>
      </c>
      <c r="W84" s="220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691</v>
      </c>
      <c r="F85" s="163" t="s">
        <v>692</v>
      </c>
      <c r="G85" s="162">
        <v>46177</v>
      </c>
      <c r="H85" s="131">
        <v>1</v>
      </c>
      <c r="I85" s="131">
        <v>1</v>
      </c>
      <c r="J85" s="141" t="s">
        <v>552</v>
      </c>
      <c r="K85" s="141">
        <v>1</v>
      </c>
      <c r="N85" s="141">
        <v>9</v>
      </c>
      <c r="U85" s="126">
        <v>-4</v>
      </c>
      <c r="V85" s="220">
        <v>9.52</v>
      </c>
      <c r="W85" s="220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723</v>
      </c>
      <c r="F86" s="163" t="s">
        <v>724</v>
      </c>
      <c r="G86" s="162">
        <v>46177</v>
      </c>
      <c r="H86" s="131">
        <v>1</v>
      </c>
      <c r="I86" s="131">
        <v>1</v>
      </c>
      <c r="J86" s="141" t="s">
        <v>552</v>
      </c>
      <c r="K86" s="141">
        <v>1</v>
      </c>
      <c r="N86" s="141">
        <v>10</v>
      </c>
      <c r="U86" s="126">
        <v>-1</v>
      </c>
      <c r="V86" s="220">
        <v>4.5</v>
      </c>
      <c r="W86" s="220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773</v>
      </c>
      <c r="F87" s="163" t="s">
        <v>774</v>
      </c>
      <c r="G87" s="162">
        <v>46177</v>
      </c>
      <c r="H87" s="131">
        <v>1</v>
      </c>
      <c r="I87" s="131">
        <v>1</v>
      </c>
      <c r="J87" s="141" t="s">
        <v>552</v>
      </c>
      <c r="K87" s="141">
        <v>1</v>
      </c>
      <c r="N87" s="141">
        <v>10</v>
      </c>
      <c r="U87" s="126">
        <v>-72</v>
      </c>
      <c r="V87" s="220">
        <v>8</v>
      </c>
      <c r="W87" s="220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749</v>
      </c>
      <c r="F88" s="163" t="s">
        <v>750</v>
      </c>
      <c r="G88" s="162">
        <v>46178</v>
      </c>
      <c r="H88" s="131">
        <v>1</v>
      </c>
      <c r="I88" s="131">
        <v>1</v>
      </c>
      <c r="J88" s="141" t="s">
        <v>552</v>
      </c>
      <c r="K88" s="141">
        <v>1</v>
      </c>
      <c r="N88" s="141">
        <v>11</v>
      </c>
      <c r="U88" s="126">
        <v>-500</v>
      </c>
      <c r="V88" s="220">
        <v>4.25</v>
      </c>
      <c r="W88" s="220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884</v>
      </c>
      <c r="F89" s="163" t="s">
        <v>885</v>
      </c>
      <c r="G89" s="162">
        <v>46178</v>
      </c>
      <c r="H89" s="131">
        <v>1</v>
      </c>
      <c r="I89" s="131">
        <v>1</v>
      </c>
      <c r="J89" s="141" t="s">
        <v>552</v>
      </c>
      <c r="K89" s="141">
        <v>1</v>
      </c>
      <c r="N89" s="141">
        <v>12</v>
      </c>
      <c r="U89" s="126">
        <v>-1</v>
      </c>
      <c r="V89" s="220">
        <v>0.24</v>
      </c>
      <c r="W89" s="220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697</v>
      </c>
      <c r="F90" s="163" t="s">
        <v>698</v>
      </c>
      <c r="G90" s="162">
        <v>46178</v>
      </c>
      <c r="H90" s="131">
        <v>1</v>
      </c>
      <c r="I90" s="131">
        <v>1</v>
      </c>
      <c r="J90" s="141" t="s">
        <v>552</v>
      </c>
      <c r="K90" s="141">
        <v>1</v>
      </c>
      <c r="N90" s="141">
        <v>12</v>
      </c>
      <c r="U90" s="126">
        <v>-1</v>
      </c>
      <c r="V90" s="220">
        <v>3.3</v>
      </c>
      <c r="W90" s="220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628</v>
      </c>
      <c r="F91" s="163" t="s">
        <v>629</v>
      </c>
      <c r="G91" s="162">
        <v>46178</v>
      </c>
      <c r="H91" s="131">
        <v>1</v>
      </c>
      <c r="I91" s="131">
        <v>1</v>
      </c>
      <c r="J91" s="141" t="s">
        <v>552</v>
      </c>
      <c r="K91" s="141">
        <v>1</v>
      </c>
      <c r="N91" s="141">
        <v>12</v>
      </c>
      <c r="U91" s="126">
        <v>-12</v>
      </c>
      <c r="V91" s="220">
        <v>2</v>
      </c>
      <c r="W91" s="220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739</v>
      </c>
      <c r="F92" s="163" t="s">
        <v>740</v>
      </c>
      <c r="G92" s="162">
        <v>46178</v>
      </c>
      <c r="H92" s="131">
        <v>1</v>
      </c>
      <c r="I92" s="131">
        <v>1</v>
      </c>
      <c r="J92" s="141" t="s">
        <v>552</v>
      </c>
      <c r="K92" s="141">
        <v>1</v>
      </c>
      <c r="N92" s="141">
        <v>12</v>
      </c>
      <c r="U92" s="126">
        <v>-2</v>
      </c>
      <c r="V92" s="220">
        <v>11.75</v>
      </c>
      <c r="W92" s="220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648</v>
      </c>
      <c r="F93" s="163" t="s">
        <v>649</v>
      </c>
      <c r="G93" s="162">
        <v>46178</v>
      </c>
      <c r="H93" s="131">
        <v>1</v>
      </c>
      <c r="I93" s="131">
        <v>1</v>
      </c>
      <c r="J93" s="141" t="s">
        <v>552</v>
      </c>
      <c r="K93" s="141">
        <v>1</v>
      </c>
      <c r="N93" s="141">
        <v>12</v>
      </c>
      <c r="U93" s="126">
        <v>-1</v>
      </c>
      <c r="V93" s="220">
        <v>0.15</v>
      </c>
      <c r="W93" s="220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638</v>
      </c>
      <c r="F94" s="163" t="s">
        <v>639</v>
      </c>
      <c r="G94" s="162">
        <v>46178</v>
      </c>
      <c r="H94" s="131">
        <v>1</v>
      </c>
      <c r="I94" s="131">
        <v>1</v>
      </c>
      <c r="J94" s="141" t="s">
        <v>552</v>
      </c>
      <c r="K94" s="141">
        <v>1</v>
      </c>
      <c r="N94" s="141">
        <v>12</v>
      </c>
      <c r="U94" s="126">
        <v>-2</v>
      </c>
      <c r="V94" s="220">
        <v>0.3</v>
      </c>
      <c r="W94" s="220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633</v>
      </c>
      <c r="F95" s="163" t="s">
        <v>634</v>
      </c>
      <c r="G95" s="162">
        <v>46178</v>
      </c>
      <c r="H95" s="131">
        <v>1</v>
      </c>
      <c r="I95" s="131">
        <v>1</v>
      </c>
      <c r="J95" s="141" t="s">
        <v>552</v>
      </c>
      <c r="K95" s="141">
        <v>1</v>
      </c>
      <c r="N95" s="141">
        <v>12</v>
      </c>
      <c r="U95" s="126">
        <v>-15</v>
      </c>
      <c r="V95" s="220">
        <v>0.27</v>
      </c>
      <c r="W95" s="220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907</v>
      </c>
      <c r="F96" s="163" t="s">
        <v>908</v>
      </c>
      <c r="G96" s="162">
        <v>46178</v>
      </c>
      <c r="H96" s="131">
        <v>1</v>
      </c>
      <c r="I96" s="131">
        <v>1</v>
      </c>
      <c r="J96" s="141" t="s">
        <v>552</v>
      </c>
      <c r="K96" s="141">
        <v>1</v>
      </c>
      <c r="N96" s="141">
        <v>12</v>
      </c>
      <c r="U96" s="126">
        <v>-1</v>
      </c>
      <c r="V96" s="220">
        <v>0.15</v>
      </c>
      <c r="W96" s="220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756</v>
      </c>
      <c r="F97" s="163" t="s">
        <v>757</v>
      </c>
      <c r="G97" s="162">
        <v>46178</v>
      </c>
      <c r="H97" s="131">
        <v>1</v>
      </c>
      <c r="I97" s="131">
        <v>1</v>
      </c>
      <c r="J97" s="141" t="s">
        <v>552</v>
      </c>
      <c r="K97" s="141">
        <v>1</v>
      </c>
      <c r="N97" s="141">
        <v>13</v>
      </c>
      <c r="U97" s="126">
        <v>-450</v>
      </c>
      <c r="V97" s="220">
        <v>4.75</v>
      </c>
      <c r="W97" s="220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753</v>
      </c>
      <c r="F98" s="163" t="s">
        <v>754</v>
      </c>
      <c r="G98" s="162">
        <v>46178</v>
      </c>
      <c r="H98" s="131">
        <v>1</v>
      </c>
      <c r="I98" s="131">
        <v>1</v>
      </c>
      <c r="J98" s="141" t="s">
        <v>552</v>
      </c>
      <c r="K98" s="141">
        <v>1</v>
      </c>
      <c r="N98" s="141">
        <v>14</v>
      </c>
      <c r="U98" s="126">
        <v>-150</v>
      </c>
      <c r="V98" s="220">
        <v>4.1500000000000004</v>
      </c>
      <c r="W98" s="220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565</v>
      </c>
      <c r="F99" s="163" t="s">
        <v>566</v>
      </c>
      <c r="G99" s="162">
        <v>46178</v>
      </c>
      <c r="H99" s="131">
        <v>1</v>
      </c>
      <c r="I99" s="131">
        <v>1</v>
      </c>
      <c r="J99" s="141" t="s">
        <v>552</v>
      </c>
      <c r="K99" s="141">
        <v>1</v>
      </c>
      <c r="N99" s="141">
        <v>14</v>
      </c>
      <c r="U99" s="126">
        <v>-300</v>
      </c>
      <c r="V99" s="220">
        <v>4.75</v>
      </c>
      <c r="W99" s="220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756</v>
      </c>
      <c r="F100" s="163" t="s">
        <v>757</v>
      </c>
      <c r="G100" s="162">
        <v>46179</v>
      </c>
      <c r="H100" s="131">
        <v>1</v>
      </c>
      <c r="I100" s="131">
        <v>1</v>
      </c>
      <c r="J100" s="141" t="s">
        <v>552</v>
      </c>
      <c r="K100" s="141">
        <v>1</v>
      </c>
      <c r="N100" s="141">
        <v>15</v>
      </c>
      <c r="U100" s="126">
        <v>-250</v>
      </c>
      <c r="V100" s="220">
        <v>4.75</v>
      </c>
      <c r="W100" s="220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653</v>
      </c>
      <c r="F101" s="163" t="s">
        <v>654</v>
      </c>
      <c r="G101" s="162">
        <v>46179</v>
      </c>
      <c r="H101" s="131">
        <v>1</v>
      </c>
      <c r="I101" s="131">
        <v>1</v>
      </c>
      <c r="J101" s="141" t="s">
        <v>552</v>
      </c>
      <c r="K101" s="141">
        <v>1</v>
      </c>
      <c r="N101" s="141">
        <v>15</v>
      </c>
      <c r="U101" s="126">
        <v>-12</v>
      </c>
      <c r="V101" s="220">
        <v>8.36</v>
      </c>
      <c r="W101" s="220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934</v>
      </c>
      <c r="F102" s="163" t="s">
        <v>935</v>
      </c>
      <c r="G102" s="162">
        <v>46179</v>
      </c>
      <c r="H102" s="131">
        <v>1</v>
      </c>
      <c r="I102" s="131">
        <v>1</v>
      </c>
      <c r="J102" s="141" t="s">
        <v>552</v>
      </c>
      <c r="K102" s="141">
        <v>1</v>
      </c>
      <c r="N102" s="141">
        <v>15</v>
      </c>
      <c r="U102" s="126">
        <v>-11</v>
      </c>
      <c r="V102" s="220">
        <v>1.91</v>
      </c>
      <c r="W102" s="220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753</v>
      </c>
      <c r="F103" s="163" t="s">
        <v>754</v>
      </c>
      <c r="G103" s="162">
        <v>46179</v>
      </c>
      <c r="H103" s="131">
        <v>1</v>
      </c>
      <c r="I103" s="131">
        <v>1</v>
      </c>
      <c r="J103" s="141" t="s">
        <v>552</v>
      </c>
      <c r="K103" s="141">
        <v>1</v>
      </c>
      <c r="N103" s="141">
        <v>16</v>
      </c>
      <c r="U103" s="126">
        <v>-1000</v>
      </c>
      <c r="V103" s="220">
        <v>83</v>
      </c>
      <c r="W103" s="220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753</v>
      </c>
      <c r="F104" s="163" t="s">
        <v>754</v>
      </c>
      <c r="G104" s="162">
        <v>46180</v>
      </c>
      <c r="H104" s="131">
        <v>1</v>
      </c>
      <c r="I104" s="131">
        <v>1</v>
      </c>
      <c r="J104" s="141" t="s">
        <v>552</v>
      </c>
      <c r="K104" s="141">
        <v>1</v>
      </c>
      <c r="N104" s="141">
        <v>17</v>
      </c>
      <c r="U104" s="126">
        <v>-200</v>
      </c>
      <c r="V104" s="220">
        <v>4.1500000000000004</v>
      </c>
      <c r="W104" s="220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767</v>
      </c>
      <c r="F105" s="163" t="s">
        <v>768</v>
      </c>
      <c r="G105" s="162">
        <v>46180</v>
      </c>
      <c r="H105" s="131">
        <v>1</v>
      </c>
      <c r="I105" s="131">
        <v>1</v>
      </c>
      <c r="J105" s="141" t="s">
        <v>552</v>
      </c>
      <c r="K105" s="141">
        <v>1</v>
      </c>
      <c r="N105" s="141">
        <v>17</v>
      </c>
      <c r="U105" s="126">
        <v>-60</v>
      </c>
      <c r="V105" s="220">
        <v>4</v>
      </c>
      <c r="W105" s="220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753</v>
      </c>
      <c r="F106" s="163" t="s">
        <v>754</v>
      </c>
      <c r="G106" s="162">
        <v>46180</v>
      </c>
      <c r="H106" s="131">
        <v>1</v>
      </c>
      <c r="I106" s="131">
        <v>1</v>
      </c>
      <c r="J106" s="141" t="s">
        <v>552</v>
      </c>
      <c r="K106" s="141">
        <v>1</v>
      </c>
      <c r="N106" s="141">
        <v>18</v>
      </c>
      <c r="U106" s="126">
        <v>-500</v>
      </c>
      <c r="V106" s="220">
        <v>4.1500000000000004</v>
      </c>
      <c r="W106" s="220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753</v>
      </c>
      <c r="F107" s="163" t="s">
        <v>754</v>
      </c>
      <c r="G107" s="162">
        <v>46180</v>
      </c>
      <c r="H107" s="131">
        <v>1</v>
      </c>
      <c r="I107" s="131">
        <v>1</v>
      </c>
      <c r="J107" s="141" t="s">
        <v>552</v>
      </c>
      <c r="K107" s="141">
        <v>1</v>
      </c>
      <c r="N107" s="141">
        <v>19</v>
      </c>
      <c r="U107" s="126">
        <v>-50</v>
      </c>
      <c r="V107" s="220">
        <v>4.1500000000000004</v>
      </c>
      <c r="W107" s="220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587</v>
      </c>
      <c r="F108" s="163" t="s">
        <v>588</v>
      </c>
      <c r="G108" s="162">
        <v>46180</v>
      </c>
      <c r="H108" s="131">
        <v>1</v>
      </c>
      <c r="I108" s="131">
        <v>1</v>
      </c>
      <c r="J108" s="141" t="s">
        <v>552</v>
      </c>
      <c r="K108" s="141">
        <v>1</v>
      </c>
      <c r="N108" s="141">
        <v>19</v>
      </c>
      <c r="U108" s="126">
        <v>-1</v>
      </c>
      <c r="V108" s="220">
        <v>14.85</v>
      </c>
      <c r="W108" s="220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691</v>
      </c>
      <c r="F109" s="163" t="s">
        <v>692</v>
      </c>
      <c r="G109" s="162">
        <v>46180</v>
      </c>
      <c r="H109" s="131">
        <v>1</v>
      </c>
      <c r="I109" s="131">
        <v>1</v>
      </c>
      <c r="J109" s="141" t="s">
        <v>552</v>
      </c>
      <c r="K109" s="141">
        <v>1</v>
      </c>
      <c r="N109" s="141">
        <v>19</v>
      </c>
      <c r="U109" s="126">
        <v>-5</v>
      </c>
      <c r="V109" s="220">
        <v>9.52</v>
      </c>
      <c r="W109" s="220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707</v>
      </c>
      <c r="F110" s="163" t="s">
        <v>708</v>
      </c>
      <c r="G110" s="162">
        <v>46181</v>
      </c>
      <c r="H110" s="131">
        <v>1</v>
      </c>
      <c r="I110" s="131">
        <v>1</v>
      </c>
      <c r="J110" s="141" t="s">
        <v>552</v>
      </c>
      <c r="K110" s="141">
        <v>1</v>
      </c>
      <c r="N110" s="141">
        <v>20</v>
      </c>
      <c r="U110" s="126">
        <v>-1</v>
      </c>
      <c r="V110" s="220">
        <v>7.49</v>
      </c>
      <c r="W110" s="220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976</v>
      </c>
      <c r="F111" s="163" t="s">
        <v>977</v>
      </c>
      <c r="G111" s="162">
        <v>46181</v>
      </c>
      <c r="H111" s="131">
        <v>1</v>
      </c>
      <c r="I111" s="131">
        <v>1</v>
      </c>
      <c r="J111" s="141" t="s">
        <v>552</v>
      </c>
      <c r="K111" s="141">
        <v>1</v>
      </c>
      <c r="N111" s="141">
        <v>20</v>
      </c>
      <c r="U111" s="126">
        <v>-1</v>
      </c>
      <c r="V111" s="220">
        <v>0.24</v>
      </c>
      <c r="W111" s="220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981</v>
      </c>
      <c r="F112" s="163" t="s">
        <v>982</v>
      </c>
      <c r="G112" s="162">
        <v>46181</v>
      </c>
      <c r="H112" s="131">
        <v>1</v>
      </c>
      <c r="I112" s="131">
        <v>1</v>
      </c>
      <c r="J112" s="141" t="s">
        <v>552</v>
      </c>
      <c r="K112" s="141">
        <v>1</v>
      </c>
      <c r="N112" s="141">
        <v>20</v>
      </c>
      <c r="U112" s="126">
        <v>-12</v>
      </c>
      <c r="V112" s="220">
        <v>0.34</v>
      </c>
      <c r="W112" s="220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767</v>
      </c>
      <c r="F113" s="163" t="s">
        <v>768</v>
      </c>
      <c r="G113" s="162">
        <v>46181</v>
      </c>
      <c r="H113" s="131">
        <v>1</v>
      </c>
      <c r="I113" s="131">
        <v>1</v>
      </c>
      <c r="J113" s="141" t="s">
        <v>552</v>
      </c>
      <c r="K113" s="141">
        <v>1</v>
      </c>
      <c r="N113" s="141">
        <v>20</v>
      </c>
      <c r="U113" s="126">
        <v>-120</v>
      </c>
      <c r="V113" s="220">
        <v>4</v>
      </c>
      <c r="W113" s="220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700</v>
      </c>
      <c r="F114" s="163" t="s">
        <v>701</v>
      </c>
      <c r="G114" s="162">
        <v>46181</v>
      </c>
      <c r="H114" s="131">
        <v>1</v>
      </c>
      <c r="I114" s="131">
        <v>1</v>
      </c>
      <c r="J114" s="141" t="s">
        <v>552</v>
      </c>
      <c r="K114" s="141">
        <v>1</v>
      </c>
      <c r="N114" s="141">
        <v>21</v>
      </c>
      <c r="U114" s="126">
        <v>-8</v>
      </c>
      <c r="V114" s="220">
        <v>2.1</v>
      </c>
      <c r="W114" s="220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809</v>
      </c>
      <c r="F115" s="163" t="s">
        <v>810</v>
      </c>
      <c r="G115" s="162">
        <v>46181</v>
      </c>
      <c r="H115" s="131">
        <v>1</v>
      </c>
      <c r="I115" s="131">
        <v>1</v>
      </c>
      <c r="J115" s="141" t="s">
        <v>552</v>
      </c>
      <c r="K115" s="141">
        <v>1</v>
      </c>
      <c r="N115" s="141">
        <v>21</v>
      </c>
      <c r="U115" s="126">
        <v>-2</v>
      </c>
      <c r="V115" s="220">
        <v>0.53</v>
      </c>
      <c r="W115" s="220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997</v>
      </c>
      <c r="F116" s="163" t="s">
        <v>998</v>
      </c>
      <c r="G116" s="162">
        <v>46181</v>
      </c>
      <c r="H116" s="131">
        <v>1</v>
      </c>
      <c r="I116" s="131">
        <v>1</v>
      </c>
      <c r="J116" s="141" t="s">
        <v>552</v>
      </c>
      <c r="K116" s="141">
        <v>1</v>
      </c>
      <c r="N116" s="141">
        <v>21</v>
      </c>
      <c r="U116" s="126">
        <v>-8</v>
      </c>
      <c r="V116" s="220">
        <v>0.3</v>
      </c>
      <c r="W116" s="220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668</v>
      </c>
      <c r="F117" s="163" t="s">
        <v>669</v>
      </c>
      <c r="G117" s="162">
        <v>46181</v>
      </c>
      <c r="H117" s="131">
        <v>1</v>
      </c>
      <c r="I117" s="131">
        <v>1</v>
      </c>
      <c r="J117" s="141" t="s">
        <v>552</v>
      </c>
      <c r="K117" s="141">
        <v>1</v>
      </c>
      <c r="N117" s="141">
        <v>21</v>
      </c>
      <c r="U117" s="126">
        <v>-2</v>
      </c>
      <c r="V117" s="220">
        <v>14.5</v>
      </c>
      <c r="W117" s="220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779</v>
      </c>
      <c r="F118" s="163" t="s">
        <v>780</v>
      </c>
      <c r="G118" s="162">
        <v>46181</v>
      </c>
      <c r="H118" s="131">
        <v>1</v>
      </c>
      <c r="I118" s="131">
        <v>1</v>
      </c>
      <c r="J118" s="141" t="s">
        <v>552</v>
      </c>
      <c r="K118" s="141">
        <v>1</v>
      </c>
      <c r="N118" s="141">
        <v>22</v>
      </c>
      <c r="U118" s="126">
        <v>-32</v>
      </c>
      <c r="V118" s="220">
        <v>4.09</v>
      </c>
      <c r="W118" s="220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1010</v>
      </c>
      <c r="F119" s="163" t="s">
        <v>1011</v>
      </c>
      <c r="G119" s="162">
        <v>46181</v>
      </c>
      <c r="H119" s="131">
        <v>1</v>
      </c>
      <c r="I119" s="131">
        <v>1</v>
      </c>
      <c r="J119" s="141" t="s">
        <v>552</v>
      </c>
      <c r="K119" s="141">
        <v>1</v>
      </c>
      <c r="N119" s="141">
        <v>22</v>
      </c>
      <c r="U119" s="126">
        <v>-4</v>
      </c>
      <c r="V119" s="220">
        <v>2.7</v>
      </c>
      <c r="W119" s="220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753</v>
      </c>
      <c r="F120" s="163" t="s">
        <v>754</v>
      </c>
      <c r="G120" s="162">
        <v>46182</v>
      </c>
      <c r="H120" s="131">
        <v>1</v>
      </c>
      <c r="I120" s="131">
        <v>1</v>
      </c>
      <c r="J120" s="141" t="s">
        <v>552</v>
      </c>
      <c r="K120" s="141">
        <v>1</v>
      </c>
      <c r="N120" s="141">
        <v>23</v>
      </c>
      <c r="U120" s="126">
        <v>-500</v>
      </c>
      <c r="V120" s="220">
        <v>4.1500000000000004</v>
      </c>
      <c r="W120" s="220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785</v>
      </c>
      <c r="F121" s="163" t="s">
        <v>786</v>
      </c>
      <c r="G121" s="162">
        <v>46182</v>
      </c>
      <c r="H121" s="131">
        <v>1</v>
      </c>
      <c r="I121" s="131">
        <v>1</v>
      </c>
      <c r="J121" s="141" t="s">
        <v>552</v>
      </c>
      <c r="K121" s="141">
        <v>1</v>
      </c>
      <c r="N121" s="141">
        <v>23</v>
      </c>
      <c r="U121" s="126">
        <v>-16</v>
      </c>
      <c r="V121" s="220">
        <v>3.88</v>
      </c>
      <c r="W121" s="220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1025</v>
      </c>
      <c r="F122" s="163" t="s">
        <v>1026</v>
      </c>
      <c r="G122" s="162">
        <v>46182</v>
      </c>
      <c r="H122" s="131">
        <v>1</v>
      </c>
      <c r="I122" s="131">
        <v>1</v>
      </c>
      <c r="J122" s="141" t="s">
        <v>552</v>
      </c>
      <c r="K122" s="141">
        <v>1</v>
      </c>
      <c r="N122" s="141">
        <v>23</v>
      </c>
      <c r="U122" s="126">
        <v>-2</v>
      </c>
      <c r="V122" s="220">
        <v>0.75</v>
      </c>
      <c r="W122" s="220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1030</v>
      </c>
      <c r="F123" s="163" t="s">
        <v>1031</v>
      </c>
      <c r="G123" s="162">
        <v>46182</v>
      </c>
      <c r="H123" s="131">
        <v>1</v>
      </c>
      <c r="I123" s="131">
        <v>1</v>
      </c>
      <c r="J123" s="141" t="s">
        <v>552</v>
      </c>
      <c r="K123" s="141">
        <v>1</v>
      </c>
      <c r="N123" s="141">
        <v>23</v>
      </c>
      <c r="U123" s="126">
        <v>-2</v>
      </c>
      <c r="V123" s="220">
        <v>0.85</v>
      </c>
      <c r="W123" s="220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770</v>
      </c>
      <c r="F124" s="163" t="s">
        <v>771</v>
      </c>
      <c r="G124" s="162">
        <v>46182</v>
      </c>
      <c r="H124" s="131">
        <v>1</v>
      </c>
      <c r="I124" s="131">
        <v>1</v>
      </c>
      <c r="J124" s="141" t="s">
        <v>552</v>
      </c>
      <c r="K124" s="141">
        <v>1</v>
      </c>
      <c r="N124" s="141">
        <v>23</v>
      </c>
      <c r="U124" s="126">
        <v>-24</v>
      </c>
      <c r="V124" s="220">
        <v>6</v>
      </c>
      <c r="W124" s="220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1038</v>
      </c>
      <c r="F125" s="163" t="s">
        <v>1039</v>
      </c>
      <c r="G125" s="162">
        <v>46182</v>
      </c>
      <c r="H125" s="131">
        <v>1</v>
      </c>
      <c r="I125" s="131">
        <v>1</v>
      </c>
      <c r="J125" s="141" t="s">
        <v>552</v>
      </c>
      <c r="K125" s="141">
        <v>1</v>
      </c>
      <c r="N125" s="141">
        <v>23</v>
      </c>
      <c r="U125" s="126">
        <v>-1</v>
      </c>
      <c r="V125" s="220">
        <v>4.33</v>
      </c>
      <c r="W125" s="220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628</v>
      </c>
      <c r="F126" s="163" t="s">
        <v>629</v>
      </c>
      <c r="G126" s="162">
        <v>46182</v>
      </c>
      <c r="H126" s="131">
        <v>1</v>
      </c>
      <c r="I126" s="131">
        <v>1</v>
      </c>
      <c r="J126" s="141" t="s">
        <v>552</v>
      </c>
      <c r="K126" s="141">
        <v>1</v>
      </c>
      <c r="N126" s="141">
        <v>23</v>
      </c>
      <c r="U126" s="126">
        <v>-24</v>
      </c>
      <c r="V126" s="220">
        <v>2</v>
      </c>
      <c r="W126" s="220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577</v>
      </c>
      <c r="F127" s="163" t="s">
        <v>578</v>
      </c>
      <c r="G127" s="162">
        <v>46182</v>
      </c>
      <c r="H127" s="131">
        <v>1</v>
      </c>
      <c r="I127" s="131">
        <v>1</v>
      </c>
      <c r="J127" s="141" t="s">
        <v>552</v>
      </c>
      <c r="K127" s="141">
        <v>1</v>
      </c>
      <c r="N127" s="141">
        <v>24</v>
      </c>
      <c r="U127" s="126">
        <v>-8</v>
      </c>
      <c r="V127" s="220">
        <v>3.37</v>
      </c>
      <c r="W127" s="220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785</v>
      </c>
      <c r="F128" s="163" t="s">
        <v>786</v>
      </c>
      <c r="G128" s="162">
        <v>46182</v>
      </c>
      <c r="H128" s="131">
        <v>1</v>
      </c>
      <c r="I128" s="131">
        <v>1</v>
      </c>
      <c r="J128" s="141" t="s">
        <v>552</v>
      </c>
      <c r="K128" s="141">
        <v>1</v>
      </c>
      <c r="N128" s="141">
        <v>24</v>
      </c>
      <c r="U128" s="126">
        <v>-4</v>
      </c>
      <c r="V128" s="220">
        <v>3.88</v>
      </c>
      <c r="W128" s="220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609</v>
      </c>
      <c r="F129" s="163" t="s">
        <v>610</v>
      </c>
      <c r="G129" s="162">
        <v>46182</v>
      </c>
      <c r="H129" s="131">
        <v>1</v>
      </c>
      <c r="I129" s="131">
        <v>1</v>
      </c>
      <c r="J129" s="141" t="s">
        <v>552</v>
      </c>
      <c r="K129" s="141">
        <v>1</v>
      </c>
      <c r="N129" s="141">
        <v>24</v>
      </c>
      <c r="U129" s="126">
        <v>-4</v>
      </c>
      <c r="V129" s="220">
        <v>6.28</v>
      </c>
      <c r="W129" s="220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753</v>
      </c>
      <c r="F130" s="163" t="s">
        <v>754</v>
      </c>
      <c r="G130" s="162">
        <v>46182</v>
      </c>
      <c r="H130" s="131">
        <v>1</v>
      </c>
      <c r="I130" s="131">
        <v>1</v>
      </c>
      <c r="J130" s="141" t="s">
        <v>552</v>
      </c>
      <c r="K130" s="141">
        <v>1</v>
      </c>
      <c r="N130" s="141">
        <v>24</v>
      </c>
      <c r="U130" s="126">
        <v>-700</v>
      </c>
      <c r="V130" s="220">
        <v>4.1500000000000004</v>
      </c>
      <c r="W130" s="220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643</v>
      </c>
      <c r="F131" s="163" t="s">
        <v>644</v>
      </c>
      <c r="G131" s="162">
        <v>46182</v>
      </c>
      <c r="H131" s="131">
        <v>1</v>
      </c>
      <c r="I131" s="131">
        <v>1</v>
      </c>
      <c r="J131" s="141" t="s">
        <v>552</v>
      </c>
      <c r="K131" s="141">
        <v>1</v>
      </c>
      <c r="N131" s="141">
        <v>24</v>
      </c>
      <c r="U131" s="126">
        <v>-1</v>
      </c>
      <c r="V131" s="220">
        <v>2.9</v>
      </c>
      <c r="W131" s="220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753</v>
      </c>
      <c r="F132" s="163" t="s">
        <v>754</v>
      </c>
      <c r="G132" s="162">
        <v>46183</v>
      </c>
      <c r="H132" s="131">
        <v>1</v>
      </c>
      <c r="I132" s="131">
        <v>1</v>
      </c>
      <c r="J132" s="141" t="s">
        <v>552</v>
      </c>
      <c r="K132" s="141">
        <v>1</v>
      </c>
      <c r="N132" s="141">
        <v>25</v>
      </c>
      <c r="U132" s="126">
        <v>-500</v>
      </c>
      <c r="V132" s="220">
        <v>4.1500000000000004</v>
      </c>
      <c r="W132" s="220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756</v>
      </c>
      <c r="F133" s="163" t="s">
        <v>757</v>
      </c>
      <c r="G133" s="162">
        <v>46183</v>
      </c>
      <c r="H133" s="131">
        <v>1</v>
      </c>
      <c r="I133" s="131">
        <v>1</v>
      </c>
      <c r="J133" s="141" t="s">
        <v>552</v>
      </c>
      <c r="K133" s="141">
        <v>1</v>
      </c>
      <c r="N133" s="141">
        <v>25</v>
      </c>
      <c r="U133" s="126">
        <v>-300</v>
      </c>
      <c r="V133" s="220">
        <v>4.75</v>
      </c>
      <c r="W133" s="220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767</v>
      </c>
      <c r="F134" s="163" t="s">
        <v>768</v>
      </c>
      <c r="G134" s="162">
        <v>46183</v>
      </c>
      <c r="H134" s="131">
        <v>1</v>
      </c>
      <c r="I134" s="131">
        <v>1</v>
      </c>
      <c r="J134" s="141" t="s">
        <v>552</v>
      </c>
      <c r="K134" s="141">
        <v>1</v>
      </c>
      <c r="N134" s="141">
        <v>26</v>
      </c>
      <c r="U134" s="126">
        <v>-24</v>
      </c>
      <c r="V134" s="220">
        <v>4</v>
      </c>
      <c r="W134" s="220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770</v>
      </c>
      <c r="F135" s="163" t="s">
        <v>771</v>
      </c>
      <c r="G135" s="162">
        <v>46183</v>
      </c>
      <c r="H135" s="131">
        <v>1</v>
      </c>
      <c r="I135" s="131">
        <v>1</v>
      </c>
      <c r="J135" s="141" t="s">
        <v>552</v>
      </c>
      <c r="K135" s="141">
        <v>1</v>
      </c>
      <c r="N135" s="141">
        <v>26</v>
      </c>
      <c r="U135" s="126">
        <v>-36</v>
      </c>
      <c r="V135" s="220">
        <v>6</v>
      </c>
      <c r="W135" s="220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707</v>
      </c>
      <c r="F136" s="163" t="s">
        <v>708</v>
      </c>
      <c r="G136" s="162">
        <v>46183</v>
      </c>
      <c r="H136" s="131">
        <v>1</v>
      </c>
      <c r="I136" s="131">
        <v>1</v>
      </c>
      <c r="J136" s="141" t="s">
        <v>552</v>
      </c>
      <c r="K136" s="141">
        <v>1</v>
      </c>
      <c r="N136" s="141">
        <v>27</v>
      </c>
      <c r="U136" s="126">
        <v>-2</v>
      </c>
      <c r="V136" s="220">
        <v>7.49</v>
      </c>
      <c r="W136" s="220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697</v>
      </c>
      <c r="F137" s="163" t="s">
        <v>698</v>
      </c>
      <c r="G137" s="162">
        <v>46183</v>
      </c>
      <c r="H137" s="131">
        <v>1</v>
      </c>
      <c r="I137" s="131">
        <v>1</v>
      </c>
      <c r="J137" s="141" t="s">
        <v>552</v>
      </c>
      <c r="K137" s="141">
        <v>1</v>
      </c>
      <c r="N137" s="141">
        <v>27</v>
      </c>
      <c r="U137" s="126">
        <v>-1</v>
      </c>
      <c r="V137" s="220">
        <v>3.3</v>
      </c>
      <c r="W137" s="220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770</v>
      </c>
      <c r="F138" s="163" t="s">
        <v>771</v>
      </c>
      <c r="G138" s="162">
        <v>46183</v>
      </c>
      <c r="H138" s="131">
        <v>1</v>
      </c>
      <c r="I138" s="131">
        <v>1</v>
      </c>
      <c r="J138" s="141" t="s">
        <v>552</v>
      </c>
      <c r="K138" s="141">
        <v>1</v>
      </c>
      <c r="N138" s="141">
        <v>27</v>
      </c>
      <c r="U138" s="126">
        <v>-84</v>
      </c>
      <c r="V138" s="220">
        <v>6</v>
      </c>
      <c r="W138" s="220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756</v>
      </c>
      <c r="F139" s="163" t="s">
        <v>757</v>
      </c>
      <c r="G139" s="162">
        <v>46184</v>
      </c>
      <c r="H139" s="131">
        <v>1</v>
      </c>
      <c r="I139" s="131">
        <v>1</v>
      </c>
      <c r="J139" s="141" t="s">
        <v>552</v>
      </c>
      <c r="K139" s="141">
        <v>1</v>
      </c>
      <c r="N139" s="141">
        <v>28</v>
      </c>
      <c r="U139" s="126">
        <v>-200</v>
      </c>
      <c r="V139" s="220">
        <v>4.75</v>
      </c>
      <c r="W139" s="220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663</v>
      </c>
      <c r="F140" s="163" t="s">
        <v>664</v>
      </c>
      <c r="G140" s="162">
        <v>46184</v>
      </c>
      <c r="H140" s="131">
        <v>1</v>
      </c>
      <c r="I140" s="131">
        <v>1</v>
      </c>
      <c r="J140" s="141" t="s">
        <v>552</v>
      </c>
      <c r="K140" s="141">
        <v>1</v>
      </c>
      <c r="N140" s="141">
        <v>28</v>
      </c>
      <c r="U140" s="126">
        <v>-3</v>
      </c>
      <c r="V140" s="220">
        <v>1.63</v>
      </c>
      <c r="W140" s="220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907</v>
      </c>
      <c r="F141" s="163" t="s">
        <v>908</v>
      </c>
      <c r="G141" s="162">
        <v>46184</v>
      </c>
      <c r="H141" s="131">
        <v>1</v>
      </c>
      <c r="I141" s="131">
        <v>1</v>
      </c>
      <c r="J141" s="141" t="s">
        <v>552</v>
      </c>
      <c r="K141" s="141">
        <v>1</v>
      </c>
      <c r="N141" s="141">
        <v>28</v>
      </c>
      <c r="U141" s="126">
        <v>-1</v>
      </c>
      <c r="V141" s="220">
        <v>0.15</v>
      </c>
      <c r="W141" s="220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762</v>
      </c>
      <c r="F142" s="163" t="s">
        <v>763</v>
      </c>
      <c r="G142" s="162">
        <v>46184</v>
      </c>
      <c r="H142" s="131">
        <v>1</v>
      </c>
      <c r="I142" s="131">
        <v>1</v>
      </c>
      <c r="J142" s="141" t="s">
        <v>552</v>
      </c>
      <c r="K142" s="141">
        <v>1</v>
      </c>
      <c r="N142" s="141">
        <v>28</v>
      </c>
      <c r="U142" s="126">
        <v>-36</v>
      </c>
      <c r="V142" s="220">
        <v>1</v>
      </c>
      <c r="W142" s="220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1109</v>
      </c>
      <c r="F143" s="163" t="s">
        <v>1110</v>
      </c>
      <c r="G143" s="162">
        <v>46184</v>
      </c>
      <c r="H143" s="131">
        <v>1</v>
      </c>
      <c r="I143" s="131">
        <v>1</v>
      </c>
      <c r="J143" s="141" t="s">
        <v>552</v>
      </c>
      <c r="K143" s="141">
        <v>1</v>
      </c>
      <c r="N143" s="141">
        <v>29</v>
      </c>
      <c r="U143" s="126">
        <v>-2</v>
      </c>
      <c r="V143" s="220">
        <v>0.23</v>
      </c>
      <c r="W143" s="220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1114</v>
      </c>
      <c r="F144" s="163" t="s">
        <v>1115</v>
      </c>
      <c r="G144" s="162">
        <v>46184</v>
      </c>
      <c r="H144" s="131">
        <v>1</v>
      </c>
      <c r="I144" s="131">
        <v>1</v>
      </c>
      <c r="J144" s="141" t="s">
        <v>552</v>
      </c>
      <c r="K144" s="141">
        <v>1</v>
      </c>
      <c r="N144" s="141">
        <v>29</v>
      </c>
      <c r="U144" s="126">
        <v>-2</v>
      </c>
      <c r="V144" s="220">
        <v>0.28999999999999998</v>
      </c>
      <c r="W144" s="220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687</v>
      </c>
      <c r="F145" s="163" t="s">
        <v>688</v>
      </c>
      <c r="G145" s="162">
        <v>46184</v>
      </c>
      <c r="H145" s="131">
        <v>1</v>
      </c>
      <c r="I145" s="131">
        <v>1</v>
      </c>
      <c r="J145" s="141" t="s">
        <v>552</v>
      </c>
      <c r="K145" s="141">
        <v>1</v>
      </c>
      <c r="N145" s="141">
        <v>29</v>
      </c>
      <c r="U145" s="126">
        <v>-1</v>
      </c>
      <c r="V145" s="220">
        <v>3.74</v>
      </c>
      <c r="W145" s="220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628</v>
      </c>
      <c r="F146" s="163" t="s">
        <v>629</v>
      </c>
      <c r="G146" s="162">
        <v>46184</v>
      </c>
      <c r="H146" s="131">
        <v>1</v>
      </c>
      <c r="I146" s="131">
        <v>1</v>
      </c>
      <c r="J146" s="141" t="s">
        <v>552</v>
      </c>
      <c r="K146" s="141">
        <v>1</v>
      </c>
      <c r="N146" s="141">
        <v>29</v>
      </c>
      <c r="U146" s="126">
        <v>-36</v>
      </c>
      <c r="V146" s="220">
        <v>2</v>
      </c>
      <c r="W146" s="220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1126</v>
      </c>
      <c r="F147" s="163" t="s">
        <v>1127</v>
      </c>
      <c r="G147" s="162">
        <v>46184</v>
      </c>
      <c r="H147" s="131">
        <v>1</v>
      </c>
      <c r="I147" s="131">
        <v>1</v>
      </c>
      <c r="J147" s="141" t="s">
        <v>552</v>
      </c>
      <c r="K147" s="141">
        <v>1</v>
      </c>
      <c r="N147" s="141">
        <v>29</v>
      </c>
      <c r="U147" s="126">
        <v>-1</v>
      </c>
      <c r="V147" s="220">
        <v>1.32</v>
      </c>
      <c r="W147" s="220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716</v>
      </c>
      <c r="F148" s="163" t="s">
        <v>717</v>
      </c>
      <c r="G148" s="162">
        <v>46184</v>
      </c>
      <c r="H148" s="131">
        <v>1</v>
      </c>
      <c r="I148" s="131">
        <v>1</v>
      </c>
      <c r="J148" s="141" t="s">
        <v>552</v>
      </c>
      <c r="K148" s="141">
        <v>1</v>
      </c>
      <c r="N148" s="141">
        <v>29</v>
      </c>
      <c r="U148" s="126">
        <v>-1</v>
      </c>
      <c r="V148" s="220">
        <v>3.01</v>
      </c>
      <c r="W148" s="220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1134</v>
      </c>
      <c r="F149" s="163" t="s">
        <v>1135</v>
      </c>
      <c r="G149" s="162">
        <v>46184</v>
      </c>
      <c r="H149" s="131">
        <v>1</v>
      </c>
      <c r="I149" s="131">
        <v>1</v>
      </c>
      <c r="J149" s="141" t="s">
        <v>552</v>
      </c>
      <c r="K149" s="141">
        <v>1</v>
      </c>
      <c r="N149" s="141">
        <v>29</v>
      </c>
      <c r="U149" s="126">
        <v>-5</v>
      </c>
      <c r="V149" s="220">
        <v>1.35</v>
      </c>
      <c r="W149" s="220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1140</v>
      </c>
      <c r="F150" s="163" t="s">
        <v>1141</v>
      </c>
      <c r="G150" s="162">
        <v>46184</v>
      </c>
      <c r="H150" s="131">
        <v>1</v>
      </c>
      <c r="I150" s="131">
        <v>1</v>
      </c>
      <c r="J150" s="141" t="s">
        <v>552</v>
      </c>
      <c r="K150" s="141">
        <v>1</v>
      </c>
      <c r="N150" s="141">
        <v>29</v>
      </c>
      <c r="U150" s="126">
        <v>-4</v>
      </c>
      <c r="V150" s="220">
        <v>0.18</v>
      </c>
      <c r="W150" s="220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1145</v>
      </c>
      <c r="F151" s="163" t="s">
        <v>1146</v>
      </c>
      <c r="G151" s="162">
        <v>46184</v>
      </c>
      <c r="H151" s="131">
        <v>1</v>
      </c>
      <c r="I151" s="131">
        <v>1</v>
      </c>
      <c r="J151" s="141" t="s">
        <v>552</v>
      </c>
      <c r="K151" s="141">
        <v>1</v>
      </c>
      <c r="N151" s="141">
        <v>29</v>
      </c>
      <c r="U151" s="126">
        <v>-3</v>
      </c>
      <c r="V151" s="220">
        <v>0.28999999999999998</v>
      </c>
      <c r="W151" s="220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976</v>
      </c>
      <c r="F152" s="163" t="s">
        <v>977</v>
      </c>
      <c r="G152" s="162">
        <v>46184</v>
      </c>
      <c r="H152" s="131">
        <v>1</v>
      </c>
      <c r="I152" s="131">
        <v>1</v>
      </c>
      <c r="J152" s="141" t="s">
        <v>552</v>
      </c>
      <c r="K152" s="141">
        <v>1</v>
      </c>
      <c r="N152" s="141">
        <v>29</v>
      </c>
      <c r="U152" s="126">
        <v>-3</v>
      </c>
      <c r="V152" s="220">
        <v>0.24</v>
      </c>
      <c r="W152" s="220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602</v>
      </c>
      <c r="F153" s="163" t="s">
        <v>603</v>
      </c>
      <c r="G153" s="162">
        <v>46184</v>
      </c>
      <c r="H153" s="131">
        <v>1</v>
      </c>
      <c r="I153" s="131">
        <v>1</v>
      </c>
      <c r="J153" s="141" t="s">
        <v>552</v>
      </c>
      <c r="K153" s="141">
        <v>1</v>
      </c>
      <c r="N153" s="141">
        <v>29</v>
      </c>
      <c r="U153" s="126">
        <v>-15</v>
      </c>
      <c r="V153" s="220">
        <v>0.5</v>
      </c>
      <c r="W153" s="220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1156</v>
      </c>
      <c r="F154" s="163" t="s">
        <v>1157</v>
      </c>
      <c r="G154" s="162">
        <v>46184</v>
      </c>
      <c r="H154" s="131">
        <v>1</v>
      </c>
      <c r="I154" s="131">
        <v>1</v>
      </c>
      <c r="J154" s="141" t="s">
        <v>552</v>
      </c>
      <c r="K154" s="141">
        <v>1</v>
      </c>
      <c r="N154" s="141">
        <v>29</v>
      </c>
      <c r="U154" s="126">
        <v>-1</v>
      </c>
      <c r="V154" s="220">
        <v>0.7</v>
      </c>
      <c r="W154" s="220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753</v>
      </c>
      <c r="F155" s="163" t="s">
        <v>754</v>
      </c>
      <c r="G155" s="162">
        <v>46184</v>
      </c>
      <c r="H155" s="131">
        <v>1</v>
      </c>
      <c r="I155" s="131">
        <v>1</v>
      </c>
      <c r="J155" s="141" t="s">
        <v>552</v>
      </c>
      <c r="K155" s="141">
        <v>1</v>
      </c>
      <c r="N155" s="141">
        <v>30</v>
      </c>
      <c r="U155" s="126">
        <v>-250</v>
      </c>
      <c r="V155" s="220">
        <v>4.1500000000000004</v>
      </c>
      <c r="W155" s="220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653</v>
      </c>
      <c r="F156" s="163" t="s">
        <v>654</v>
      </c>
      <c r="G156" s="162">
        <v>46184</v>
      </c>
      <c r="H156" s="131">
        <v>1</v>
      </c>
      <c r="I156" s="131">
        <v>1</v>
      </c>
      <c r="J156" s="141" t="s">
        <v>552</v>
      </c>
      <c r="K156" s="141">
        <v>1</v>
      </c>
      <c r="N156" s="141">
        <v>31</v>
      </c>
      <c r="U156" s="126">
        <v>-8</v>
      </c>
      <c r="V156" s="220">
        <v>8.36</v>
      </c>
      <c r="W156" s="220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1171</v>
      </c>
      <c r="F157" s="163" t="s">
        <v>1172</v>
      </c>
      <c r="G157" s="162">
        <v>46184</v>
      </c>
      <c r="H157" s="131">
        <v>1</v>
      </c>
      <c r="I157" s="131">
        <v>1</v>
      </c>
      <c r="J157" s="141" t="s">
        <v>552</v>
      </c>
      <c r="K157" s="141">
        <v>1</v>
      </c>
      <c r="N157" s="141">
        <v>31</v>
      </c>
      <c r="U157" s="126">
        <v>-16</v>
      </c>
      <c r="V157" s="220">
        <v>9.48</v>
      </c>
      <c r="W157" s="220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756</v>
      </c>
      <c r="F158" s="163" t="s">
        <v>757</v>
      </c>
      <c r="G158" s="162">
        <v>46184</v>
      </c>
      <c r="H158" s="131">
        <v>1</v>
      </c>
      <c r="I158" s="131">
        <v>1</v>
      </c>
      <c r="J158" s="141" t="s">
        <v>552</v>
      </c>
      <c r="K158" s="141">
        <v>1</v>
      </c>
      <c r="N158" s="141">
        <v>31</v>
      </c>
      <c r="U158" s="126">
        <v>-300</v>
      </c>
      <c r="V158" s="220">
        <v>4.75</v>
      </c>
      <c r="W158" s="220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683</v>
      </c>
      <c r="F159" s="163" t="s">
        <v>684</v>
      </c>
      <c r="G159" s="162">
        <v>46185</v>
      </c>
      <c r="H159" s="131">
        <v>1</v>
      </c>
      <c r="I159" s="131">
        <v>1</v>
      </c>
      <c r="J159" s="141" t="s">
        <v>552</v>
      </c>
      <c r="K159" s="141">
        <v>1</v>
      </c>
      <c r="N159" s="141">
        <v>32</v>
      </c>
      <c r="U159" s="126">
        <v>-2</v>
      </c>
      <c r="V159" s="220">
        <v>11.32</v>
      </c>
      <c r="W159" s="220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819</v>
      </c>
      <c r="F160" s="163" t="s">
        <v>820</v>
      </c>
      <c r="G160" s="162">
        <v>46185</v>
      </c>
      <c r="H160" s="131">
        <v>1</v>
      </c>
      <c r="I160" s="131">
        <v>1</v>
      </c>
      <c r="J160" s="141" t="s">
        <v>552</v>
      </c>
      <c r="K160" s="141">
        <v>1</v>
      </c>
      <c r="N160" s="141">
        <v>32</v>
      </c>
      <c r="U160" s="126">
        <v>-6</v>
      </c>
      <c r="V160" s="220">
        <v>1.79</v>
      </c>
      <c r="W160" s="220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1188</v>
      </c>
      <c r="F161" s="163" t="s">
        <v>1189</v>
      </c>
      <c r="G161" s="162">
        <v>46185</v>
      </c>
      <c r="H161" s="131">
        <v>1</v>
      </c>
      <c r="I161" s="131">
        <v>1</v>
      </c>
      <c r="J161" s="141" t="s">
        <v>552</v>
      </c>
      <c r="K161" s="141">
        <v>1</v>
      </c>
      <c r="N161" s="141">
        <v>32</v>
      </c>
      <c r="U161" s="126">
        <v>-3</v>
      </c>
      <c r="V161" s="220">
        <v>1.49</v>
      </c>
      <c r="W161" s="220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1194</v>
      </c>
      <c r="F162" s="163" t="s">
        <v>1195</v>
      </c>
      <c r="G162" s="162">
        <v>46185</v>
      </c>
      <c r="H162" s="131">
        <v>1</v>
      </c>
      <c r="I162" s="131">
        <v>1</v>
      </c>
      <c r="J162" s="141" t="s">
        <v>552</v>
      </c>
      <c r="K162" s="141">
        <v>1</v>
      </c>
      <c r="N162" s="141">
        <v>32</v>
      </c>
      <c r="U162" s="126">
        <v>-2</v>
      </c>
      <c r="V162" s="220">
        <v>0.5</v>
      </c>
      <c r="W162" s="220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1199</v>
      </c>
      <c r="F163" s="163" t="s">
        <v>1200</v>
      </c>
      <c r="G163" s="162">
        <v>46185</v>
      </c>
      <c r="H163" s="131">
        <v>1</v>
      </c>
      <c r="I163" s="131">
        <v>1</v>
      </c>
      <c r="J163" s="141" t="s">
        <v>552</v>
      </c>
      <c r="K163" s="141">
        <v>1</v>
      </c>
      <c r="N163" s="141">
        <v>32</v>
      </c>
      <c r="U163" s="126">
        <v>-1</v>
      </c>
      <c r="V163" s="220">
        <v>1.75</v>
      </c>
      <c r="W163" s="220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1204</v>
      </c>
      <c r="F164" s="163" t="s">
        <v>1205</v>
      </c>
      <c r="G164" s="162">
        <v>46185</v>
      </c>
      <c r="H164" s="131">
        <v>1</v>
      </c>
      <c r="I164" s="131">
        <v>1</v>
      </c>
      <c r="J164" s="141" t="s">
        <v>552</v>
      </c>
      <c r="K164" s="141">
        <v>1</v>
      </c>
      <c r="N164" s="141">
        <v>32</v>
      </c>
      <c r="U164" s="126">
        <v>-1</v>
      </c>
      <c r="V164" s="220">
        <v>0.55000000000000004</v>
      </c>
      <c r="W164" s="220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1010</v>
      </c>
      <c r="F165" s="163" t="s">
        <v>1011</v>
      </c>
      <c r="G165" s="162">
        <v>46185</v>
      </c>
      <c r="H165" s="131">
        <v>1</v>
      </c>
      <c r="I165" s="131">
        <v>1</v>
      </c>
      <c r="J165" s="141" t="s">
        <v>552</v>
      </c>
      <c r="K165" s="141">
        <v>1</v>
      </c>
      <c r="N165" s="141">
        <v>32</v>
      </c>
      <c r="U165" s="126">
        <v>-1</v>
      </c>
      <c r="V165" s="220">
        <v>2.7</v>
      </c>
      <c r="W165" s="220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1212</v>
      </c>
      <c r="F166" s="163" t="s">
        <v>1213</v>
      </c>
      <c r="G166" s="162">
        <v>46185</v>
      </c>
      <c r="H166" s="131">
        <v>1</v>
      </c>
      <c r="I166" s="131">
        <v>1</v>
      </c>
      <c r="J166" s="141" t="s">
        <v>552</v>
      </c>
      <c r="K166" s="141">
        <v>1</v>
      </c>
      <c r="N166" s="141">
        <v>32</v>
      </c>
      <c r="U166" s="126">
        <v>-1</v>
      </c>
      <c r="V166" s="220">
        <v>0.95</v>
      </c>
      <c r="W166" s="220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1217</v>
      </c>
      <c r="F167" s="163" t="s">
        <v>1218</v>
      </c>
      <c r="G167" s="162">
        <v>46185</v>
      </c>
      <c r="H167" s="131">
        <v>1</v>
      </c>
      <c r="I167" s="131">
        <v>1</v>
      </c>
      <c r="J167" s="141" t="s">
        <v>552</v>
      </c>
      <c r="K167" s="141">
        <v>1</v>
      </c>
      <c r="N167" s="141">
        <v>32</v>
      </c>
      <c r="U167" s="126">
        <v>-1</v>
      </c>
      <c r="V167" s="220">
        <v>0.41</v>
      </c>
      <c r="W167" s="220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1222</v>
      </c>
      <c r="F168" s="163" t="s">
        <v>1223</v>
      </c>
      <c r="G168" s="162">
        <v>46185</v>
      </c>
      <c r="H168" s="131">
        <v>1</v>
      </c>
      <c r="I168" s="131">
        <v>1</v>
      </c>
      <c r="J168" s="141" t="s">
        <v>552</v>
      </c>
      <c r="K168" s="141">
        <v>1</v>
      </c>
      <c r="N168" s="141">
        <v>32</v>
      </c>
      <c r="U168" s="126">
        <v>-1</v>
      </c>
      <c r="V168" s="220">
        <v>1.9</v>
      </c>
      <c r="W168" s="220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648</v>
      </c>
      <c r="F169" s="163" t="s">
        <v>649</v>
      </c>
      <c r="G169" s="162">
        <v>46185</v>
      </c>
      <c r="H169" s="131">
        <v>1</v>
      </c>
      <c r="I169" s="131">
        <v>1</v>
      </c>
      <c r="J169" s="141" t="s">
        <v>552</v>
      </c>
      <c r="K169" s="141">
        <v>1</v>
      </c>
      <c r="N169" s="141">
        <v>32</v>
      </c>
      <c r="U169" s="126">
        <v>-7</v>
      </c>
      <c r="V169" s="220">
        <v>0.15</v>
      </c>
      <c r="W169" s="220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1230</v>
      </c>
      <c r="F170" s="163" t="s">
        <v>1231</v>
      </c>
      <c r="G170" s="162">
        <v>46185</v>
      </c>
      <c r="H170" s="131">
        <v>1</v>
      </c>
      <c r="I170" s="131">
        <v>1</v>
      </c>
      <c r="J170" s="141" t="s">
        <v>552</v>
      </c>
      <c r="K170" s="141">
        <v>1</v>
      </c>
      <c r="N170" s="141">
        <v>32</v>
      </c>
      <c r="U170" s="126">
        <v>-2</v>
      </c>
      <c r="V170" s="220">
        <v>0.22</v>
      </c>
      <c r="W170" s="220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1235</v>
      </c>
      <c r="F171" s="163" t="s">
        <v>1236</v>
      </c>
      <c r="G171" s="162">
        <v>46185</v>
      </c>
      <c r="H171" s="131">
        <v>1</v>
      </c>
      <c r="I171" s="131">
        <v>1</v>
      </c>
      <c r="J171" s="141" t="s">
        <v>552</v>
      </c>
      <c r="K171" s="141">
        <v>1</v>
      </c>
      <c r="N171" s="141">
        <v>32</v>
      </c>
      <c r="U171" s="126">
        <v>-2</v>
      </c>
      <c r="V171" s="220">
        <v>0.25</v>
      </c>
      <c r="W171" s="220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907</v>
      </c>
      <c r="F172" s="163" t="s">
        <v>908</v>
      </c>
      <c r="G172" s="162">
        <v>46185</v>
      </c>
      <c r="H172" s="131">
        <v>1</v>
      </c>
      <c r="I172" s="131">
        <v>1</v>
      </c>
      <c r="J172" s="141" t="s">
        <v>552</v>
      </c>
      <c r="K172" s="141">
        <v>1</v>
      </c>
      <c r="N172" s="141">
        <v>32</v>
      </c>
      <c r="U172" s="126">
        <v>-1</v>
      </c>
      <c r="V172" s="220">
        <v>0.15</v>
      </c>
      <c r="W172" s="220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1243</v>
      </c>
      <c r="F173" s="163" t="s">
        <v>1244</v>
      </c>
      <c r="G173" s="162">
        <v>46185</v>
      </c>
      <c r="H173" s="131">
        <v>1</v>
      </c>
      <c r="I173" s="131">
        <v>1</v>
      </c>
      <c r="J173" s="141" t="s">
        <v>552</v>
      </c>
      <c r="K173" s="141">
        <v>1</v>
      </c>
      <c r="N173" s="141">
        <v>32</v>
      </c>
      <c r="U173" s="126">
        <v>-1</v>
      </c>
      <c r="V173" s="220">
        <v>0.53</v>
      </c>
      <c r="W173" s="220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736</v>
      </c>
      <c r="F174" s="163" t="s">
        <v>737</v>
      </c>
      <c r="G174" s="162">
        <v>46185</v>
      </c>
      <c r="H174" s="131">
        <v>1</v>
      </c>
      <c r="I174" s="131">
        <v>1</v>
      </c>
      <c r="J174" s="141" t="s">
        <v>552</v>
      </c>
      <c r="K174" s="141">
        <v>1</v>
      </c>
      <c r="N174" s="141">
        <v>32</v>
      </c>
      <c r="U174" s="126">
        <v>-1</v>
      </c>
      <c r="V174" s="220">
        <v>4.41</v>
      </c>
      <c r="W174" s="220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753</v>
      </c>
      <c r="F175" s="163" t="s">
        <v>754</v>
      </c>
      <c r="G175" s="162">
        <v>46185</v>
      </c>
      <c r="H175" s="131">
        <v>1</v>
      </c>
      <c r="I175" s="131">
        <v>1</v>
      </c>
      <c r="J175" s="141" t="s">
        <v>552</v>
      </c>
      <c r="K175" s="141">
        <v>1</v>
      </c>
      <c r="N175" s="141">
        <v>33</v>
      </c>
      <c r="U175" s="126">
        <v>-500</v>
      </c>
      <c r="V175" s="220">
        <v>4.1500000000000004</v>
      </c>
      <c r="W175" s="220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565</v>
      </c>
      <c r="F176" s="163" t="s">
        <v>566</v>
      </c>
      <c r="G176" s="162">
        <v>46185</v>
      </c>
      <c r="H176" s="131">
        <v>1</v>
      </c>
      <c r="I176" s="131">
        <v>1</v>
      </c>
      <c r="J176" s="141" t="s">
        <v>552</v>
      </c>
      <c r="K176" s="141">
        <v>1</v>
      </c>
      <c r="N176" s="141">
        <v>34</v>
      </c>
      <c r="U176" s="126">
        <v>-1000</v>
      </c>
      <c r="V176" s="220">
        <v>95</v>
      </c>
      <c r="W176" s="220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753</v>
      </c>
      <c r="F177" s="163" t="s">
        <v>754</v>
      </c>
      <c r="G177" s="162">
        <v>46186</v>
      </c>
      <c r="H177" s="131">
        <v>1</v>
      </c>
      <c r="I177" s="131">
        <v>1</v>
      </c>
      <c r="J177" s="141" t="s">
        <v>552</v>
      </c>
      <c r="K177" s="141">
        <v>1</v>
      </c>
      <c r="N177" s="141">
        <v>35</v>
      </c>
      <c r="U177" s="126">
        <v>-250</v>
      </c>
      <c r="V177" s="220">
        <v>4.1500000000000004</v>
      </c>
      <c r="W177" s="220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782</v>
      </c>
      <c r="F178" s="163" t="s">
        <v>783</v>
      </c>
      <c r="G178" s="162">
        <v>46186</v>
      </c>
      <c r="H178" s="131">
        <v>1</v>
      </c>
      <c r="I178" s="131">
        <v>1</v>
      </c>
      <c r="J178" s="141" t="s">
        <v>552</v>
      </c>
      <c r="K178" s="141">
        <v>1</v>
      </c>
      <c r="N178" s="141">
        <v>35</v>
      </c>
      <c r="U178" s="126">
        <v>-20</v>
      </c>
      <c r="V178" s="220">
        <v>4.92</v>
      </c>
      <c r="W178" s="220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809</v>
      </c>
      <c r="F179" s="163" t="s">
        <v>810</v>
      </c>
      <c r="G179" s="162">
        <v>46186</v>
      </c>
      <c r="H179" s="131">
        <v>1</v>
      </c>
      <c r="I179" s="131">
        <v>1</v>
      </c>
      <c r="J179" s="141" t="s">
        <v>552</v>
      </c>
      <c r="K179" s="141">
        <v>1</v>
      </c>
      <c r="N179" s="141">
        <v>36</v>
      </c>
      <c r="U179" s="126">
        <v>-2</v>
      </c>
      <c r="V179" s="220">
        <v>0.53</v>
      </c>
      <c r="W179" s="220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1126</v>
      </c>
      <c r="F180" s="163" t="s">
        <v>1127</v>
      </c>
      <c r="G180" s="162">
        <v>46186</v>
      </c>
      <c r="H180" s="131">
        <v>1</v>
      </c>
      <c r="I180" s="131">
        <v>1</v>
      </c>
      <c r="J180" s="141" t="s">
        <v>552</v>
      </c>
      <c r="K180" s="141">
        <v>1</v>
      </c>
      <c r="N180" s="141">
        <v>36</v>
      </c>
      <c r="U180" s="126">
        <v>-2</v>
      </c>
      <c r="V180" s="220">
        <v>1.32</v>
      </c>
      <c r="W180" s="220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981</v>
      </c>
      <c r="F181" s="163" t="s">
        <v>982</v>
      </c>
      <c r="G181" s="162">
        <v>46186</v>
      </c>
      <c r="H181" s="131">
        <v>1</v>
      </c>
      <c r="I181" s="131">
        <v>1</v>
      </c>
      <c r="J181" s="141" t="s">
        <v>552</v>
      </c>
      <c r="K181" s="141">
        <v>1</v>
      </c>
      <c r="N181" s="141">
        <v>36</v>
      </c>
      <c r="U181" s="126">
        <v>-3</v>
      </c>
      <c r="V181" s="220">
        <v>0.34</v>
      </c>
      <c r="W181" s="220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976</v>
      </c>
      <c r="F182" s="163" t="s">
        <v>977</v>
      </c>
      <c r="G182" s="162">
        <v>46186</v>
      </c>
      <c r="H182" s="131">
        <v>1</v>
      </c>
      <c r="I182" s="131">
        <v>1</v>
      </c>
      <c r="J182" s="141" t="s">
        <v>552</v>
      </c>
      <c r="K182" s="141">
        <v>1</v>
      </c>
      <c r="N182" s="141">
        <v>36</v>
      </c>
      <c r="U182" s="126">
        <v>-2</v>
      </c>
      <c r="V182" s="220">
        <v>0.24</v>
      </c>
      <c r="W182" s="220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1204</v>
      </c>
      <c r="F183" s="163" t="s">
        <v>1205</v>
      </c>
      <c r="G183" s="162">
        <v>46186</v>
      </c>
      <c r="H183" s="131">
        <v>1</v>
      </c>
      <c r="I183" s="131">
        <v>1</v>
      </c>
      <c r="J183" s="141" t="s">
        <v>552</v>
      </c>
      <c r="K183" s="141">
        <v>1</v>
      </c>
      <c r="N183" s="141">
        <v>36</v>
      </c>
      <c r="U183" s="126">
        <v>-1</v>
      </c>
      <c r="V183" s="220">
        <v>0.55000000000000004</v>
      </c>
      <c r="W183" s="220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1243</v>
      </c>
      <c r="F184" s="163" t="s">
        <v>1244</v>
      </c>
      <c r="G184" s="162">
        <v>46186</v>
      </c>
      <c r="H184" s="131">
        <v>1</v>
      </c>
      <c r="I184" s="131">
        <v>1</v>
      </c>
      <c r="J184" s="141" t="s">
        <v>552</v>
      </c>
      <c r="K184" s="141">
        <v>1</v>
      </c>
      <c r="N184" s="141">
        <v>36</v>
      </c>
      <c r="U184" s="126">
        <v>-2</v>
      </c>
      <c r="V184" s="220">
        <v>0.53</v>
      </c>
      <c r="W184" s="220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814</v>
      </c>
      <c r="F185" s="163" t="s">
        <v>815</v>
      </c>
      <c r="G185" s="162">
        <v>46186</v>
      </c>
      <c r="H185" s="131">
        <v>1</v>
      </c>
      <c r="I185" s="131">
        <v>1</v>
      </c>
      <c r="J185" s="141" t="s">
        <v>552</v>
      </c>
      <c r="K185" s="141">
        <v>1</v>
      </c>
      <c r="N185" s="141">
        <v>36</v>
      </c>
      <c r="U185" s="126">
        <v>-1</v>
      </c>
      <c r="V185" s="220">
        <v>0.28000000000000003</v>
      </c>
      <c r="W185" s="220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1235</v>
      </c>
      <c r="F186" s="163" t="s">
        <v>1236</v>
      </c>
      <c r="G186" s="162">
        <v>46186</v>
      </c>
      <c r="H186" s="131">
        <v>1</v>
      </c>
      <c r="I186" s="131">
        <v>1</v>
      </c>
      <c r="J186" s="141" t="s">
        <v>552</v>
      </c>
      <c r="K186" s="141">
        <v>1</v>
      </c>
      <c r="N186" s="141">
        <v>36</v>
      </c>
      <c r="U186" s="126">
        <v>-1</v>
      </c>
      <c r="V186" s="220">
        <v>0.25</v>
      </c>
      <c r="W186" s="220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1296</v>
      </c>
      <c r="F187" s="163" t="s">
        <v>1297</v>
      </c>
      <c r="G187" s="162">
        <v>46186</v>
      </c>
      <c r="H187" s="131">
        <v>1</v>
      </c>
      <c r="I187" s="131">
        <v>1</v>
      </c>
      <c r="J187" s="141" t="s">
        <v>552</v>
      </c>
      <c r="K187" s="141">
        <v>1</v>
      </c>
      <c r="N187" s="141">
        <v>36</v>
      </c>
      <c r="U187" s="126">
        <v>-1</v>
      </c>
      <c r="V187" s="220">
        <v>1.51</v>
      </c>
      <c r="W187" s="220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819</v>
      </c>
      <c r="F188" s="163" t="s">
        <v>820</v>
      </c>
      <c r="G188" s="162">
        <v>46186</v>
      </c>
      <c r="H188" s="131">
        <v>1</v>
      </c>
      <c r="I188" s="131">
        <v>1</v>
      </c>
      <c r="J188" s="141" t="s">
        <v>552</v>
      </c>
      <c r="K188" s="141">
        <v>1</v>
      </c>
      <c r="N188" s="141">
        <v>36</v>
      </c>
      <c r="U188" s="126">
        <v>-1</v>
      </c>
      <c r="V188" s="220">
        <v>1.79</v>
      </c>
      <c r="W188" s="220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1304</v>
      </c>
      <c r="F189" s="163" t="s">
        <v>1305</v>
      </c>
      <c r="G189" s="162">
        <v>46186</v>
      </c>
      <c r="H189" s="131">
        <v>1</v>
      </c>
      <c r="I189" s="131">
        <v>1</v>
      </c>
      <c r="J189" s="141" t="s">
        <v>552</v>
      </c>
      <c r="K189" s="141">
        <v>1</v>
      </c>
      <c r="N189" s="141">
        <v>36</v>
      </c>
      <c r="U189" s="126">
        <v>-1</v>
      </c>
      <c r="V189" s="220">
        <v>0.34</v>
      </c>
      <c r="W189" s="220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1010</v>
      </c>
      <c r="F190" s="163" t="s">
        <v>1011</v>
      </c>
      <c r="G190" s="162">
        <v>46186</v>
      </c>
      <c r="H190" s="131">
        <v>1</v>
      </c>
      <c r="I190" s="131">
        <v>1</v>
      </c>
      <c r="J190" s="141" t="s">
        <v>552</v>
      </c>
      <c r="K190" s="141">
        <v>1</v>
      </c>
      <c r="N190" s="141">
        <v>36</v>
      </c>
      <c r="U190" s="126">
        <v>-1</v>
      </c>
      <c r="V190" s="220">
        <v>2.7</v>
      </c>
      <c r="W190" s="220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1314</v>
      </c>
      <c r="F191" s="163" t="s">
        <v>1315</v>
      </c>
      <c r="G191" s="162">
        <v>46186</v>
      </c>
      <c r="H191" s="131">
        <v>1</v>
      </c>
      <c r="I191" s="131">
        <v>1</v>
      </c>
      <c r="J191" s="141" t="s">
        <v>552</v>
      </c>
      <c r="K191" s="141">
        <v>1</v>
      </c>
      <c r="N191" s="141">
        <v>37</v>
      </c>
      <c r="U191" s="126">
        <v>-20</v>
      </c>
      <c r="V191" s="220">
        <v>0.78</v>
      </c>
      <c r="W191" s="220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804</v>
      </c>
      <c r="F192" s="163" t="s">
        <v>805</v>
      </c>
      <c r="G192" s="162">
        <v>46186</v>
      </c>
      <c r="H192" s="131">
        <v>1</v>
      </c>
      <c r="I192" s="131">
        <v>1</v>
      </c>
      <c r="J192" s="141" t="s">
        <v>552</v>
      </c>
      <c r="K192" s="141">
        <v>1</v>
      </c>
      <c r="N192" s="141">
        <v>37</v>
      </c>
      <c r="U192" s="126">
        <v>-30</v>
      </c>
      <c r="V192" s="220">
        <v>0.12</v>
      </c>
      <c r="W192" s="220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719</v>
      </c>
      <c r="F193" s="163" t="s">
        <v>720</v>
      </c>
      <c r="G193" s="162">
        <v>46186</v>
      </c>
      <c r="H193" s="131">
        <v>1</v>
      </c>
      <c r="I193" s="131">
        <v>1</v>
      </c>
      <c r="J193" s="141" t="s">
        <v>552</v>
      </c>
      <c r="K193" s="141">
        <v>1</v>
      </c>
      <c r="N193" s="141">
        <v>37</v>
      </c>
      <c r="U193" s="126">
        <v>-20</v>
      </c>
      <c r="V193" s="220">
        <v>0</v>
      </c>
      <c r="W193" s="220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1324</v>
      </c>
      <c r="F194" s="163" t="s">
        <v>1325</v>
      </c>
      <c r="G194" s="162">
        <v>46186</v>
      </c>
      <c r="H194" s="131">
        <v>1</v>
      </c>
      <c r="I194" s="131">
        <v>1</v>
      </c>
      <c r="J194" s="141" t="s">
        <v>552</v>
      </c>
      <c r="K194" s="141">
        <v>1</v>
      </c>
      <c r="N194" s="141">
        <v>37</v>
      </c>
      <c r="U194" s="126">
        <v>-40</v>
      </c>
      <c r="V194" s="220">
        <v>0.1</v>
      </c>
      <c r="W194" s="220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753</v>
      </c>
      <c r="F195" s="163" t="s">
        <v>754</v>
      </c>
      <c r="G195" s="162">
        <v>46187</v>
      </c>
      <c r="H195" s="131">
        <v>1</v>
      </c>
      <c r="I195" s="131">
        <v>1</v>
      </c>
      <c r="J195" s="141" t="s">
        <v>552</v>
      </c>
      <c r="K195" s="141">
        <v>1</v>
      </c>
      <c r="N195" s="141">
        <v>38</v>
      </c>
      <c r="U195" s="126">
        <v>-750</v>
      </c>
      <c r="V195" s="220">
        <v>4.1500000000000004</v>
      </c>
      <c r="W195" s="220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753</v>
      </c>
      <c r="F196" s="163" t="s">
        <v>754</v>
      </c>
      <c r="G196" s="162">
        <v>46187</v>
      </c>
      <c r="H196" s="131">
        <v>1</v>
      </c>
      <c r="I196" s="131">
        <v>1</v>
      </c>
      <c r="J196" s="141" t="s">
        <v>552</v>
      </c>
      <c r="K196" s="141">
        <v>1</v>
      </c>
      <c r="N196" s="141">
        <v>39</v>
      </c>
      <c r="U196" s="126">
        <v>-500</v>
      </c>
      <c r="V196" s="220">
        <v>4.1500000000000004</v>
      </c>
      <c r="W196" s="220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1340</v>
      </c>
      <c r="F197" s="163" t="s">
        <v>1341</v>
      </c>
      <c r="G197" s="162">
        <v>46187</v>
      </c>
      <c r="H197" s="131">
        <v>1</v>
      </c>
      <c r="I197" s="131">
        <v>1</v>
      </c>
      <c r="J197" s="141" t="s">
        <v>552</v>
      </c>
      <c r="K197" s="141">
        <v>1</v>
      </c>
      <c r="N197" s="141">
        <v>39</v>
      </c>
      <c r="U197" s="126">
        <v>-3</v>
      </c>
      <c r="V197" s="220">
        <v>4.49</v>
      </c>
      <c r="W197" s="220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770</v>
      </c>
      <c r="F198" s="163" t="s">
        <v>771</v>
      </c>
      <c r="G198" s="162">
        <v>46187</v>
      </c>
      <c r="H198" s="131">
        <v>1</v>
      </c>
      <c r="I198" s="131">
        <v>1</v>
      </c>
      <c r="J198" s="141" t="s">
        <v>552</v>
      </c>
      <c r="K198" s="141">
        <v>1</v>
      </c>
      <c r="N198" s="141">
        <v>39</v>
      </c>
      <c r="U198" s="126">
        <v>-120</v>
      </c>
      <c r="V198" s="220">
        <v>6</v>
      </c>
      <c r="W198" s="220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753</v>
      </c>
      <c r="F199" s="163" t="s">
        <v>754</v>
      </c>
      <c r="G199" s="162">
        <v>46188</v>
      </c>
      <c r="H199" s="131">
        <v>1</v>
      </c>
      <c r="I199" s="131">
        <v>1</v>
      </c>
      <c r="J199" s="141" t="s">
        <v>552</v>
      </c>
      <c r="K199" s="141">
        <v>1</v>
      </c>
      <c r="N199" s="141">
        <v>40</v>
      </c>
      <c r="U199" s="126">
        <v>-400</v>
      </c>
      <c r="V199" s="220">
        <v>4.1500000000000004</v>
      </c>
      <c r="W199" s="220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565</v>
      </c>
      <c r="F200" s="163" t="s">
        <v>566</v>
      </c>
      <c r="G200" s="162">
        <v>46188</v>
      </c>
      <c r="H200" s="131">
        <v>1</v>
      </c>
      <c r="I200" s="131">
        <v>1</v>
      </c>
      <c r="J200" s="141" t="s">
        <v>552</v>
      </c>
      <c r="K200" s="141">
        <v>1</v>
      </c>
      <c r="N200" s="141">
        <v>40</v>
      </c>
      <c r="U200" s="126">
        <v>-150</v>
      </c>
      <c r="V200" s="220">
        <v>4.75</v>
      </c>
      <c r="W200" s="220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1235</v>
      </c>
      <c r="F201" s="163" t="s">
        <v>1236</v>
      </c>
      <c r="G201" s="162">
        <v>46188</v>
      </c>
      <c r="H201" s="131">
        <v>1</v>
      </c>
      <c r="I201" s="131">
        <v>1</v>
      </c>
      <c r="J201" s="141" t="s">
        <v>552</v>
      </c>
      <c r="K201" s="141">
        <v>1</v>
      </c>
      <c r="N201" s="141">
        <v>41</v>
      </c>
      <c r="U201" s="126">
        <v>-4</v>
      </c>
      <c r="V201" s="220">
        <v>0.25</v>
      </c>
      <c r="W201" s="220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762</v>
      </c>
      <c r="F202" s="163" t="s">
        <v>763</v>
      </c>
      <c r="G202" s="162">
        <v>46188</v>
      </c>
      <c r="H202" s="131">
        <v>1</v>
      </c>
      <c r="I202" s="131">
        <v>1</v>
      </c>
      <c r="J202" s="141" t="s">
        <v>552</v>
      </c>
      <c r="K202" s="141">
        <v>1</v>
      </c>
      <c r="N202" s="141">
        <v>41</v>
      </c>
      <c r="U202" s="126">
        <v>-12</v>
      </c>
      <c r="V202" s="220">
        <v>1</v>
      </c>
      <c r="W202" s="220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976</v>
      </c>
      <c r="F203" s="163" t="s">
        <v>977</v>
      </c>
      <c r="G203" s="162">
        <v>46188</v>
      </c>
      <c r="H203" s="131">
        <v>1</v>
      </c>
      <c r="I203" s="131">
        <v>1</v>
      </c>
      <c r="J203" s="141" t="s">
        <v>552</v>
      </c>
      <c r="K203" s="141">
        <v>1</v>
      </c>
      <c r="N203" s="141">
        <v>41</v>
      </c>
      <c r="U203" s="126">
        <v>-4</v>
      </c>
      <c r="V203" s="220">
        <v>0.24</v>
      </c>
      <c r="W203" s="220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1368</v>
      </c>
      <c r="F204" s="163" t="s">
        <v>1369</v>
      </c>
      <c r="G204" s="162">
        <v>46188</v>
      </c>
      <c r="H204" s="131">
        <v>1</v>
      </c>
      <c r="I204" s="131">
        <v>1</v>
      </c>
      <c r="J204" s="141" t="s">
        <v>552</v>
      </c>
      <c r="K204" s="141">
        <v>1</v>
      </c>
      <c r="N204" s="141">
        <v>41</v>
      </c>
      <c r="U204" s="126">
        <v>-2</v>
      </c>
      <c r="V204" s="220">
        <v>0.19</v>
      </c>
      <c r="W204" s="220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1230</v>
      </c>
      <c r="F205" s="163" t="s">
        <v>1231</v>
      </c>
      <c r="G205" s="162">
        <v>46188</v>
      </c>
      <c r="H205" s="131">
        <v>1</v>
      </c>
      <c r="I205" s="131">
        <v>1</v>
      </c>
      <c r="J205" s="141" t="s">
        <v>552</v>
      </c>
      <c r="K205" s="141">
        <v>1</v>
      </c>
      <c r="N205" s="141">
        <v>41</v>
      </c>
      <c r="U205" s="126">
        <v>-2</v>
      </c>
      <c r="V205" s="220">
        <v>0.22</v>
      </c>
      <c r="W205" s="220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648</v>
      </c>
      <c r="F206" s="163" t="s">
        <v>649</v>
      </c>
      <c r="G206" s="162">
        <v>46188</v>
      </c>
      <c r="H206" s="131">
        <v>1</v>
      </c>
      <c r="I206" s="131">
        <v>1</v>
      </c>
      <c r="J206" s="141" t="s">
        <v>552</v>
      </c>
      <c r="K206" s="141">
        <v>1</v>
      </c>
      <c r="N206" s="141">
        <v>41</v>
      </c>
      <c r="U206" s="126">
        <v>-4</v>
      </c>
      <c r="V206" s="220">
        <v>0.15</v>
      </c>
      <c r="W206" s="220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1025</v>
      </c>
      <c r="F207" s="163" t="s">
        <v>1026</v>
      </c>
      <c r="G207" s="162">
        <v>46188</v>
      </c>
      <c r="H207" s="131">
        <v>1</v>
      </c>
      <c r="I207" s="131">
        <v>1</v>
      </c>
      <c r="J207" s="141" t="s">
        <v>552</v>
      </c>
      <c r="K207" s="141">
        <v>1</v>
      </c>
      <c r="N207" s="141">
        <v>41</v>
      </c>
      <c r="U207" s="126">
        <v>-1</v>
      </c>
      <c r="V207" s="220">
        <v>0.75</v>
      </c>
      <c r="W207" s="220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1382</v>
      </c>
      <c r="F208" s="163" t="s">
        <v>1383</v>
      </c>
      <c r="G208" s="162">
        <v>46188</v>
      </c>
      <c r="H208" s="131">
        <v>1</v>
      </c>
      <c r="I208" s="131">
        <v>1</v>
      </c>
      <c r="J208" s="141" t="s">
        <v>552</v>
      </c>
      <c r="K208" s="141">
        <v>1</v>
      </c>
      <c r="N208" s="141">
        <v>41</v>
      </c>
      <c r="U208" s="126">
        <v>-1</v>
      </c>
      <c r="V208" s="220">
        <v>0.13</v>
      </c>
      <c r="W208" s="220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1243</v>
      </c>
      <c r="F209" s="163" t="s">
        <v>1244</v>
      </c>
      <c r="G209" s="162">
        <v>46188</v>
      </c>
      <c r="H209" s="131">
        <v>1</v>
      </c>
      <c r="I209" s="131">
        <v>1</v>
      </c>
      <c r="J209" s="141" t="s">
        <v>552</v>
      </c>
      <c r="K209" s="141">
        <v>1</v>
      </c>
      <c r="N209" s="141">
        <v>41</v>
      </c>
      <c r="U209" s="126">
        <v>-1</v>
      </c>
      <c r="V209" s="220">
        <v>0.53</v>
      </c>
      <c r="W209" s="220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753</v>
      </c>
      <c r="F210" s="163" t="s">
        <v>754</v>
      </c>
      <c r="G210" s="162">
        <v>46188</v>
      </c>
      <c r="H210" s="131">
        <v>1</v>
      </c>
      <c r="I210" s="131">
        <v>1</v>
      </c>
      <c r="J210" s="141" t="s">
        <v>552</v>
      </c>
      <c r="K210" s="141">
        <v>1</v>
      </c>
      <c r="N210" s="141">
        <v>42</v>
      </c>
      <c r="U210" s="126">
        <v>-250</v>
      </c>
      <c r="V210" s="220">
        <v>4.1500000000000004</v>
      </c>
      <c r="W210" s="220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565</v>
      </c>
      <c r="F211" s="163" t="s">
        <v>566</v>
      </c>
      <c r="G211" s="162">
        <v>46188</v>
      </c>
      <c r="H211" s="131">
        <v>1</v>
      </c>
      <c r="I211" s="131">
        <v>1</v>
      </c>
      <c r="J211" s="141" t="s">
        <v>552</v>
      </c>
      <c r="K211" s="141">
        <v>1</v>
      </c>
      <c r="N211" s="141">
        <v>42</v>
      </c>
      <c r="U211" s="126">
        <v>-300</v>
      </c>
      <c r="V211" s="220">
        <v>4.75</v>
      </c>
      <c r="W211" s="220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565</v>
      </c>
      <c r="F212" s="163" t="s">
        <v>566</v>
      </c>
      <c r="G212" s="162">
        <v>46188</v>
      </c>
      <c r="H212" s="131">
        <v>1</v>
      </c>
      <c r="I212" s="131">
        <v>1</v>
      </c>
      <c r="J212" s="141" t="s">
        <v>552</v>
      </c>
      <c r="K212" s="141">
        <v>1</v>
      </c>
      <c r="N212" s="141">
        <v>43</v>
      </c>
      <c r="U212" s="126">
        <v>-300</v>
      </c>
      <c r="V212" s="220">
        <v>4.75</v>
      </c>
      <c r="W212" s="220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753</v>
      </c>
      <c r="F213" s="163" t="s">
        <v>754</v>
      </c>
      <c r="G213" s="162">
        <v>46188</v>
      </c>
      <c r="H213" s="131">
        <v>1</v>
      </c>
      <c r="I213" s="131">
        <v>1</v>
      </c>
      <c r="J213" s="141" t="s">
        <v>552</v>
      </c>
      <c r="K213" s="141">
        <v>1</v>
      </c>
      <c r="N213" s="141">
        <v>43</v>
      </c>
      <c r="U213" s="126">
        <v>-150</v>
      </c>
      <c r="V213" s="220">
        <v>4.1500000000000004</v>
      </c>
      <c r="W213" s="220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1406</v>
      </c>
      <c r="F214" s="163" t="s">
        <v>1407</v>
      </c>
      <c r="G214" s="162">
        <v>46188</v>
      </c>
      <c r="H214" s="131">
        <v>1</v>
      </c>
      <c r="I214" s="131">
        <v>1</v>
      </c>
      <c r="J214" s="141" t="s">
        <v>552</v>
      </c>
      <c r="K214" s="141">
        <v>1</v>
      </c>
      <c r="N214" s="141">
        <v>43</v>
      </c>
      <c r="U214" s="126">
        <v>-24</v>
      </c>
      <c r="V214" s="220">
        <v>1.56</v>
      </c>
      <c r="W214" s="220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704</v>
      </c>
      <c r="F215" s="163" t="s">
        <v>705</v>
      </c>
      <c r="G215" s="162">
        <v>46188</v>
      </c>
      <c r="H215" s="131">
        <v>1</v>
      </c>
      <c r="I215" s="131">
        <v>1</v>
      </c>
      <c r="J215" s="141" t="s">
        <v>552</v>
      </c>
      <c r="K215" s="141">
        <v>1</v>
      </c>
      <c r="N215" s="141">
        <v>43</v>
      </c>
      <c r="U215" s="126">
        <v>-2</v>
      </c>
      <c r="V215" s="220">
        <v>1.35</v>
      </c>
      <c r="W215" s="220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1010</v>
      </c>
      <c r="F216" s="163" t="s">
        <v>1011</v>
      </c>
      <c r="G216" s="162">
        <v>46188</v>
      </c>
      <c r="H216" s="131">
        <v>1</v>
      </c>
      <c r="I216" s="131">
        <v>1</v>
      </c>
      <c r="J216" s="141" t="s">
        <v>552</v>
      </c>
      <c r="K216" s="141">
        <v>1</v>
      </c>
      <c r="N216" s="141">
        <v>43</v>
      </c>
      <c r="U216" s="126">
        <v>-1</v>
      </c>
      <c r="V216" s="220">
        <v>2.7</v>
      </c>
      <c r="W216" s="220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643</v>
      </c>
      <c r="F217" s="163" t="s">
        <v>644</v>
      </c>
      <c r="G217" s="162">
        <v>46188</v>
      </c>
      <c r="H217" s="131">
        <v>1</v>
      </c>
      <c r="I217" s="131">
        <v>1</v>
      </c>
      <c r="J217" s="141" t="s">
        <v>552</v>
      </c>
      <c r="K217" s="141">
        <v>1</v>
      </c>
      <c r="N217" s="141">
        <v>43</v>
      </c>
      <c r="U217" s="126">
        <v>-2</v>
      </c>
      <c r="V217" s="220">
        <v>2.9</v>
      </c>
      <c r="W217" s="220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697</v>
      </c>
      <c r="F218" s="163" t="s">
        <v>698</v>
      </c>
      <c r="G218" s="162">
        <v>46188</v>
      </c>
      <c r="H218" s="131">
        <v>1</v>
      </c>
      <c r="I218" s="131">
        <v>1</v>
      </c>
      <c r="J218" s="141" t="s">
        <v>552</v>
      </c>
      <c r="K218" s="141">
        <v>1</v>
      </c>
      <c r="N218" s="141">
        <v>43</v>
      </c>
      <c r="U218" s="126">
        <v>-1</v>
      </c>
      <c r="V218" s="220">
        <v>3.3</v>
      </c>
      <c r="W218" s="220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700</v>
      </c>
      <c r="F219" s="163" t="s">
        <v>701</v>
      </c>
      <c r="G219" s="162">
        <v>46188</v>
      </c>
      <c r="H219" s="131">
        <v>1</v>
      </c>
      <c r="I219" s="131">
        <v>1</v>
      </c>
      <c r="J219" s="141" t="s">
        <v>552</v>
      </c>
      <c r="K219" s="141">
        <v>1</v>
      </c>
      <c r="N219" s="141">
        <v>43</v>
      </c>
      <c r="U219" s="126">
        <v>-1</v>
      </c>
      <c r="V219" s="220">
        <v>2.1</v>
      </c>
      <c r="W219" s="220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804</v>
      </c>
      <c r="F220" s="163" t="s">
        <v>805</v>
      </c>
      <c r="G220" s="162">
        <v>46188</v>
      </c>
      <c r="H220" s="131">
        <v>1</v>
      </c>
      <c r="I220" s="131">
        <v>1</v>
      </c>
      <c r="J220" s="141" t="s">
        <v>552</v>
      </c>
      <c r="K220" s="141">
        <v>1</v>
      </c>
      <c r="N220" s="141">
        <v>43</v>
      </c>
      <c r="U220" s="126">
        <v>-3</v>
      </c>
      <c r="V220" s="220">
        <v>0.12</v>
      </c>
      <c r="W220" s="220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753</v>
      </c>
      <c r="F221" s="163" t="s">
        <v>754</v>
      </c>
      <c r="G221" s="162">
        <v>46189</v>
      </c>
      <c r="H221" s="131">
        <v>1</v>
      </c>
      <c r="I221" s="131">
        <v>1</v>
      </c>
      <c r="J221" s="141" t="s">
        <v>552</v>
      </c>
      <c r="K221" s="141">
        <v>1</v>
      </c>
      <c r="N221" s="141">
        <v>44</v>
      </c>
      <c r="U221" s="126">
        <v>-500</v>
      </c>
      <c r="V221" s="220">
        <v>4.1500000000000004</v>
      </c>
      <c r="W221" s="220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753</v>
      </c>
      <c r="F222" s="163" t="s">
        <v>754</v>
      </c>
      <c r="G222" s="162">
        <v>46189</v>
      </c>
      <c r="H222" s="131">
        <v>1</v>
      </c>
      <c r="I222" s="131">
        <v>1</v>
      </c>
      <c r="J222" s="141" t="s">
        <v>552</v>
      </c>
      <c r="K222" s="141">
        <v>1</v>
      </c>
      <c r="N222" s="141">
        <v>45</v>
      </c>
      <c r="U222" s="126">
        <v>-150</v>
      </c>
      <c r="V222" s="220">
        <v>4.1500000000000004</v>
      </c>
      <c r="W222" s="220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565</v>
      </c>
      <c r="F223" s="163" t="s">
        <v>566</v>
      </c>
      <c r="G223" s="162">
        <v>46189</v>
      </c>
      <c r="H223" s="131">
        <v>1</v>
      </c>
      <c r="I223" s="131">
        <v>1</v>
      </c>
      <c r="J223" s="141" t="s">
        <v>552</v>
      </c>
      <c r="K223" s="141">
        <v>1</v>
      </c>
      <c r="N223" s="141">
        <v>45</v>
      </c>
      <c r="U223" s="126">
        <v>-300</v>
      </c>
      <c r="V223" s="220">
        <v>4.75</v>
      </c>
      <c r="W223" s="220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577</v>
      </c>
      <c r="F224" s="163" t="s">
        <v>578</v>
      </c>
      <c r="G224" s="162">
        <v>46189</v>
      </c>
      <c r="H224" s="131">
        <v>1</v>
      </c>
      <c r="I224" s="131">
        <v>1</v>
      </c>
      <c r="J224" s="141" t="s">
        <v>552</v>
      </c>
      <c r="K224" s="141">
        <v>1</v>
      </c>
      <c r="N224" s="141">
        <v>46</v>
      </c>
      <c r="U224" s="126">
        <v>-40</v>
      </c>
      <c r="V224" s="220">
        <v>3.37</v>
      </c>
      <c r="W224" s="220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609</v>
      </c>
      <c r="F225" s="163" t="s">
        <v>610</v>
      </c>
      <c r="G225" s="162">
        <v>46189</v>
      </c>
      <c r="H225" s="131">
        <v>1</v>
      </c>
      <c r="I225" s="131">
        <v>1</v>
      </c>
      <c r="J225" s="141" t="s">
        <v>552</v>
      </c>
      <c r="K225" s="141">
        <v>1</v>
      </c>
      <c r="N225" s="141">
        <v>46</v>
      </c>
      <c r="U225" s="126">
        <v>-12</v>
      </c>
      <c r="V225" s="220">
        <v>6.28</v>
      </c>
      <c r="W225" s="220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700</v>
      </c>
      <c r="F226" s="163" t="s">
        <v>701</v>
      </c>
      <c r="G226" s="162">
        <v>46189</v>
      </c>
      <c r="H226" s="131">
        <v>1</v>
      </c>
      <c r="I226" s="131">
        <v>1</v>
      </c>
      <c r="J226" s="141" t="s">
        <v>552</v>
      </c>
      <c r="K226" s="141">
        <v>1</v>
      </c>
      <c r="N226" s="141">
        <v>46</v>
      </c>
      <c r="U226" s="126">
        <v>-10</v>
      </c>
      <c r="V226" s="220">
        <v>2.1</v>
      </c>
      <c r="W226" s="220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587</v>
      </c>
      <c r="F227" s="163" t="s">
        <v>588</v>
      </c>
      <c r="G227" s="162">
        <v>46189</v>
      </c>
      <c r="H227" s="131">
        <v>1</v>
      </c>
      <c r="I227" s="131">
        <v>1</v>
      </c>
      <c r="J227" s="141" t="s">
        <v>552</v>
      </c>
      <c r="K227" s="141">
        <v>1</v>
      </c>
      <c r="N227" s="141">
        <v>46</v>
      </c>
      <c r="U227" s="126">
        <v>-1</v>
      </c>
      <c r="V227" s="220">
        <v>14.85</v>
      </c>
      <c r="W227" s="220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756</v>
      </c>
      <c r="F228" s="163" t="s">
        <v>757</v>
      </c>
      <c r="G228" s="162">
        <v>46189</v>
      </c>
      <c r="H228" s="131">
        <v>1</v>
      </c>
      <c r="I228" s="131">
        <v>1</v>
      </c>
      <c r="J228" s="141" t="s">
        <v>552</v>
      </c>
      <c r="K228" s="141">
        <v>1</v>
      </c>
      <c r="N228" s="141">
        <v>46</v>
      </c>
      <c r="U228" s="126">
        <v>-200</v>
      </c>
      <c r="V228" s="220">
        <v>4.75</v>
      </c>
      <c r="W228" s="220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653</v>
      </c>
      <c r="F229" s="163" t="s">
        <v>654</v>
      </c>
      <c r="G229" s="162">
        <v>46190</v>
      </c>
      <c r="H229" s="131">
        <v>1</v>
      </c>
      <c r="I229" s="131">
        <v>1</v>
      </c>
      <c r="J229" s="141" t="s">
        <v>552</v>
      </c>
      <c r="K229" s="141">
        <v>1</v>
      </c>
      <c r="N229" s="141">
        <v>47</v>
      </c>
      <c r="U229" s="126">
        <v>-8</v>
      </c>
      <c r="V229" s="220">
        <v>8.36</v>
      </c>
      <c r="W229" s="220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762</v>
      </c>
      <c r="F230" s="163" t="s">
        <v>763</v>
      </c>
      <c r="G230" s="162">
        <v>46190</v>
      </c>
      <c r="H230" s="131">
        <v>1</v>
      </c>
      <c r="I230" s="131">
        <v>1</v>
      </c>
      <c r="J230" s="141" t="s">
        <v>552</v>
      </c>
      <c r="K230" s="141">
        <v>1</v>
      </c>
      <c r="N230" s="141">
        <v>47</v>
      </c>
      <c r="U230" s="126">
        <v>-120</v>
      </c>
      <c r="V230" s="220">
        <v>1</v>
      </c>
      <c r="W230" s="220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756</v>
      </c>
      <c r="F231" s="163" t="s">
        <v>757</v>
      </c>
      <c r="G231" s="162">
        <v>46190</v>
      </c>
      <c r="H231" s="131">
        <v>1</v>
      </c>
      <c r="I231" s="131">
        <v>1</v>
      </c>
      <c r="J231" s="141" t="s">
        <v>552</v>
      </c>
      <c r="K231" s="141">
        <v>1</v>
      </c>
      <c r="N231" s="141">
        <v>47</v>
      </c>
      <c r="U231" s="126">
        <v>-300</v>
      </c>
      <c r="V231" s="220">
        <v>4.75</v>
      </c>
      <c r="W231" s="220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756</v>
      </c>
      <c r="F232" s="163" t="s">
        <v>757</v>
      </c>
      <c r="G232" s="162">
        <v>46190</v>
      </c>
      <c r="H232" s="131">
        <v>1</v>
      </c>
      <c r="I232" s="131">
        <v>1</v>
      </c>
      <c r="J232" s="141" t="s">
        <v>552</v>
      </c>
      <c r="K232" s="141">
        <v>1</v>
      </c>
      <c r="N232" s="141">
        <v>47</v>
      </c>
      <c r="U232" s="126">
        <v>-400</v>
      </c>
      <c r="V232" s="220">
        <v>4.75</v>
      </c>
      <c r="W232" s="220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753</v>
      </c>
      <c r="F233" s="163" t="s">
        <v>754</v>
      </c>
      <c r="G233" s="162">
        <v>46190</v>
      </c>
      <c r="H233" s="131">
        <v>1</v>
      </c>
      <c r="I233" s="131">
        <v>1</v>
      </c>
      <c r="J233" s="141" t="s">
        <v>552</v>
      </c>
      <c r="K233" s="141">
        <v>1</v>
      </c>
      <c r="N233" s="141">
        <v>48</v>
      </c>
      <c r="U233" s="126">
        <v>-150</v>
      </c>
      <c r="V233" s="220">
        <v>4.1500000000000004</v>
      </c>
      <c r="W233" s="220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756</v>
      </c>
      <c r="F234" s="163" t="s">
        <v>757</v>
      </c>
      <c r="G234" s="162">
        <v>46190</v>
      </c>
      <c r="H234" s="131">
        <v>1</v>
      </c>
      <c r="I234" s="131">
        <v>1</v>
      </c>
      <c r="J234" s="141" t="s">
        <v>552</v>
      </c>
      <c r="K234" s="141">
        <v>1</v>
      </c>
      <c r="N234" s="141">
        <v>48</v>
      </c>
      <c r="U234" s="126">
        <v>-600</v>
      </c>
      <c r="V234" s="220">
        <v>4.75</v>
      </c>
      <c r="W234" s="220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767</v>
      </c>
      <c r="F235" s="163" t="s">
        <v>768</v>
      </c>
      <c r="G235" s="162">
        <v>46190</v>
      </c>
      <c r="H235" s="131">
        <v>1</v>
      </c>
      <c r="I235" s="131">
        <v>1</v>
      </c>
      <c r="J235" s="141" t="s">
        <v>552</v>
      </c>
      <c r="K235" s="141">
        <v>1</v>
      </c>
      <c r="N235" s="141">
        <v>48</v>
      </c>
      <c r="U235" s="126">
        <v>-60</v>
      </c>
      <c r="V235" s="220">
        <v>4</v>
      </c>
      <c r="W235" s="220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1030</v>
      </c>
      <c r="F236" s="163" t="s">
        <v>1031</v>
      </c>
      <c r="G236" s="162">
        <v>46190</v>
      </c>
      <c r="H236" s="131">
        <v>1</v>
      </c>
      <c r="I236" s="131">
        <v>1</v>
      </c>
      <c r="J236" s="141" t="s">
        <v>552</v>
      </c>
      <c r="K236" s="141">
        <v>1</v>
      </c>
      <c r="N236" s="141">
        <v>49</v>
      </c>
      <c r="U236" s="126">
        <v>-7</v>
      </c>
      <c r="V236" s="220">
        <v>0.85</v>
      </c>
      <c r="W236" s="220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997</v>
      </c>
      <c r="F237" s="163" t="s">
        <v>998</v>
      </c>
      <c r="G237" s="162">
        <v>46190</v>
      </c>
      <c r="H237" s="131">
        <v>1</v>
      </c>
      <c r="I237" s="131">
        <v>1</v>
      </c>
      <c r="J237" s="141" t="s">
        <v>552</v>
      </c>
      <c r="K237" s="141">
        <v>1</v>
      </c>
      <c r="N237" s="141">
        <v>49</v>
      </c>
      <c r="U237" s="126">
        <v>-4</v>
      </c>
      <c r="V237" s="220">
        <v>0.3</v>
      </c>
      <c r="W237" s="220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1368</v>
      </c>
      <c r="F238" s="163" t="s">
        <v>1369</v>
      </c>
      <c r="G238" s="162">
        <v>46190</v>
      </c>
      <c r="H238" s="131">
        <v>1</v>
      </c>
      <c r="I238" s="131">
        <v>1</v>
      </c>
      <c r="J238" s="141" t="s">
        <v>552</v>
      </c>
      <c r="K238" s="141">
        <v>1</v>
      </c>
      <c r="N238" s="141">
        <v>49</v>
      </c>
      <c r="U238" s="126">
        <v>-4</v>
      </c>
      <c r="V238" s="220">
        <v>0.19</v>
      </c>
      <c r="W238" s="220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1140</v>
      </c>
      <c r="F239" s="163" t="s">
        <v>1141</v>
      </c>
      <c r="G239" s="162">
        <v>46190</v>
      </c>
      <c r="H239" s="131">
        <v>1</v>
      </c>
      <c r="I239" s="131">
        <v>1</v>
      </c>
      <c r="J239" s="141" t="s">
        <v>552</v>
      </c>
      <c r="K239" s="141">
        <v>1</v>
      </c>
      <c r="N239" s="141">
        <v>49</v>
      </c>
      <c r="U239" s="126">
        <v>-4</v>
      </c>
      <c r="V239" s="220">
        <v>0.18</v>
      </c>
      <c r="W239" s="220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814</v>
      </c>
      <c r="F240" s="163" t="s">
        <v>815</v>
      </c>
      <c r="G240" s="162">
        <v>46190</v>
      </c>
      <c r="H240" s="131">
        <v>1</v>
      </c>
      <c r="I240" s="131">
        <v>1</v>
      </c>
      <c r="J240" s="141" t="s">
        <v>552</v>
      </c>
      <c r="K240" s="141">
        <v>1</v>
      </c>
      <c r="N240" s="141">
        <v>49</v>
      </c>
      <c r="U240" s="126">
        <v>-2</v>
      </c>
      <c r="V240" s="220">
        <v>0.28000000000000003</v>
      </c>
      <c r="W240" s="220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1324</v>
      </c>
      <c r="F241" s="163" t="s">
        <v>1325</v>
      </c>
      <c r="G241" s="162">
        <v>46190</v>
      </c>
      <c r="H241" s="131">
        <v>1</v>
      </c>
      <c r="I241" s="131">
        <v>1</v>
      </c>
      <c r="J241" s="141" t="s">
        <v>552</v>
      </c>
      <c r="K241" s="141">
        <v>1</v>
      </c>
      <c r="N241" s="141">
        <v>49</v>
      </c>
      <c r="U241" s="126">
        <v>-1</v>
      </c>
      <c r="V241" s="220">
        <v>0.1</v>
      </c>
      <c r="W241" s="220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707</v>
      </c>
      <c r="F242" s="163" t="s">
        <v>708</v>
      </c>
      <c r="G242" s="162">
        <v>46191</v>
      </c>
      <c r="H242" s="131">
        <v>1</v>
      </c>
      <c r="I242" s="131">
        <v>1</v>
      </c>
      <c r="J242" s="141" t="s">
        <v>552</v>
      </c>
      <c r="K242" s="141">
        <v>1</v>
      </c>
      <c r="N242" s="141">
        <v>50</v>
      </c>
      <c r="U242" s="126">
        <v>-1</v>
      </c>
      <c r="V242" s="220">
        <v>7.49</v>
      </c>
      <c r="W242" s="220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643</v>
      </c>
      <c r="F243" s="163" t="s">
        <v>644</v>
      </c>
      <c r="G243" s="162">
        <v>46191</v>
      </c>
      <c r="H243" s="131">
        <v>1</v>
      </c>
      <c r="I243" s="131">
        <v>1</v>
      </c>
      <c r="J243" s="141" t="s">
        <v>552</v>
      </c>
      <c r="K243" s="141">
        <v>1</v>
      </c>
      <c r="N243" s="141">
        <v>50</v>
      </c>
      <c r="U243" s="126">
        <v>-1</v>
      </c>
      <c r="V243" s="220">
        <v>2.9</v>
      </c>
      <c r="W243" s="220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1194</v>
      </c>
      <c r="F244" s="163" t="s">
        <v>1195</v>
      </c>
      <c r="G244" s="162">
        <v>46191</v>
      </c>
      <c r="H244" s="131">
        <v>1</v>
      </c>
      <c r="I244" s="131">
        <v>1</v>
      </c>
      <c r="J244" s="141" t="s">
        <v>552</v>
      </c>
      <c r="K244" s="141">
        <v>1</v>
      </c>
      <c r="N244" s="141">
        <v>50</v>
      </c>
      <c r="U244" s="126">
        <v>-3</v>
      </c>
      <c r="V244" s="220">
        <v>0.5</v>
      </c>
      <c r="W244" s="220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1516</v>
      </c>
      <c r="F245" s="163" t="s">
        <v>1517</v>
      </c>
      <c r="G245" s="162">
        <v>46191</v>
      </c>
      <c r="H245" s="131">
        <v>1</v>
      </c>
      <c r="I245" s="131">
        <v>1</v>
      </c>
      <c r="J245" s="141" t="s">
        <v>552</v>
      </c>
      <c r="K245" s="141">
        <v>1</v>
      </c>
      <c r="N245" s="141">
        <v>50</v>
      </c>
      <c r="U245" s="126">
        <v>-1</v>
      </c>
      <c r="V245" s="220">
        <v>0.66</v>
      </c>
      <c r="W245" s="220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716</v>
      </c>
      <c r="F246" s="163" t="s">
        <v>717</v>
      </c>
      <c r="G246" s="162">
        <v>46191</v>
      </c>
      <c r="H246" s="131">
        <v>1</v>
      </c>
      <c r="I246" s="131">
        <v>1</v>
      </c>
      <c r="J246" s="141" t="s">
        <v>552</v>
      </c>
      <c r="K246" s="141">
        <v>1</v>
      </c>
      <c r="N246" s="141">
        <v>50</v>
      </c>
      <c r="U246" s="126">
        <v>-2</v>
      </c>
      <c r="V246" s="220">
        <v>3.01</v>
      </c>
      <c r="W246" s="220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1524</v>
      </c>
      <c r="F247" s="163" t="s">
        <v>1525</v>
      </c>
      <c r="G247" s="162">
        <v>46191</v>
      </c>
      <c r="H247" s="131">
        <v>1</v>
      </c>
      <c r="I247" s="131">
        <v>1</v>
      </c>
      <c r="J247" s="141" t="s">
        <v>552</v>
      </c>
      <c r="K247" s="141">
        <v>1</v>
      </c>
      <c r="N247" s="141">
        <v>50</v>
      </c>
      <c r="U247" s="126">
        <v>-1</v>
      </c>
      <c r="V247" s="220">
        <v>4.2300000000000004</v>
      </c>
      <c r="W247" s="220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767</v>
      </c>
      <c r="F248" s="163" t="s">
        <v>768</v>
      </c>
      <c r="G248" s="162">
        <v>46191</v>
      </c>
      <c r="H248" s="131">
        <v>1</v>
      </c>
      <c r="I248" s="131">
        <v>1</v>
      </c>
      <c r="J248" s="141" t="s">
        <v>552</v>
      </c>
      <c r="K248" s="141">
        <v>1</v>
      </c>
      <c r="N248" s="141">
        <v>50</v>
      </c>
      <c r="U248" s="126">
        <v>-120</v>
      </c>
      <c r="V248" s="220">
        <v>4</v>
      </c>
      <c r="W248" s="220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762</v>
      </c>
      <c r="F249" s="163" t="s">
        <v>763</v>
      </c>
      <c r="G249" s="162">
        <v>46191</v>
      </c>
      <c r="H249" s="131">
        <v>1</v>
      </c>
      <c r="I249" s="131">
        <v>1</v>
      </c>
      <c r="J249" s="141" t="s">
        <v>552</v>
      </c>
      <c r="K249" s="141">
        <v>1</v>
      </c>
      <c r="N249" s="141">
        <v>50</v>
      </c>
      <c r="U249" s="126">
        <v>-12</v>
      </c>
      <c r="V249" s="220">
        <v>1</v>
      </c>
      <c r="W249" s="220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723</v>
      </c>
      <c r="F250" s="163" t="s">
        <v>724</v>
      </c>
      <c r="G250" s="162">
        <v>46191</v>
      </c>
      <c r="H250" s="131">
        <v>1</v>
      </c>
      <c r="I250" s="131">
        <v>1</v>
      </c>
      <c r="J250" s="141" t="s">
        <v>552</v>
      </c>
      <c r="K250" s="141">
        <v>1</v>
      </c>
      <c r="N250" s="141">
        <v>50</v>
      </c>
      <c r="U250" s="126">
        <v>-1</v>
      </c>
      <c r="V250" s="220">
        <v>4.5</v>
      </c>
      <c r="W250" s="220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753</v>
      </c>
      <c r="F251" s="163" t="s">
        <v>754</v>
      </c>
      <c r="G251" s="162">
        <v>46191</v>
      </c>
      <c r="H251" s="131">
        <v>1</v>
      </c>
      <c r="I251" s="131">
        <v>1</v>
      </c>
      <c r="J251" s="141" t="s">
        <v>552</v>
      </c>
      <c r="K251" s="141">
        <v>1</v>
      </c>
      <c r="N251" s="141">
        <v>51</v>
      </c>
      <c r="U251" s="126">
        <v>-500</v>
      </c>
      <c r="V251" s="220">
        <v>4.1500000000000004</v>
      </c>
      <c r="W251" s="220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565</v>
      </c>
      <c r="F252" s="163" t="s">
        <v>566</v>
      </c>
      <c r="G252" s="162">
        <v>46191</v>
      </c>
      <c r="H252" s="131">
        <v>1</v>
      </c>
      <c r="I252" s="131">
        <v>1</v>
      </c>
      <c r="J252" s="141" t="s">
        <v>552</v>
      </c>
      <c r="K252" s="141">
        <v>1</v>
      </c>
      <c r="N252" s="141">
        <v>52</v>
      </c>
      <c r="U252" s="126">
        <v>-300</v>
      </c>
      <c r="V252" s="220">
        <v>4.75</v>
      </c>
      <c r="W252" s="220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609</v>
      </c>
      <c r="F253" s="163" t="s">
        <v>610</v>
      </c>
      <c r="G253" s="162">
        <v>46191</v>
      </c>
      <c r="H253" s="131">
        <v>1</v>
      </c>
      <c r="I253" s="131">
        <v>1</v>
      </c>
      <c r="J253" s="141" t="s">
        <v>552</v>
      </c>
      <c r="K253" s="141">
        <v>1</v>
      </c>
      <c r="N253" s="141">
        <v>52</v>
      </c>
      <c r="U253" s="126">
        <v>-8</v>
      </c>
      <c r="V253" s="220">
        <v>6.28</v>
      </c>
      <c r="W253" s="220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577</v>
      </c>
      <c r="F254" s="163" t="s">
        <v>578</v>
      </c>
      <c r="G254" s="162">
        <v>46191</v>
      </c>
      <c r="H254" s="131">
        <v>1</v>
      </c>
      <c r="I254" s="131">
        <v>1</v>
      </c>
      <c r="J254" s="141" t="s">
        <v>552</v>
      </c>
      <c r="K254" s="141">
        <v>1</v>
      </c>
      <c r="N254" s="141">
        <v>52</v>
      </c>
      <c r="U254" s="126">
        <v>-16</v>
      </c>
      <c r="V254" s="220">
        <v>3.37</v>
      </c>
      <c r="W254" s="220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753</v>
      </c>
      <c r="F255" s="163" t="s">
        <v>754</v>
      </c>
      <c r="G255" s="162">
        <v>46191</v>
      </c>
      <c r="H255" s="131">
        <v>1</v>
      </c>
      <c r="I255" s="131">
        <v>1</v>
      </c>
      <c r="J255" s="141" t="s">
        <v>552</v>
      </c>
      <c r="K255" s="141">
        <v>1</v>
      </c>
      <c r="N255" s="141">
        <v>52</v>
      </c>
      <c r="U255" s="126">
        <v>-100</v>
      </c>
      <c r="V255" s="220">
        <v>4.1500000000000004</v>
      </c>
      <c r="W255" s="220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779</v>
      </c>
      <c r="F256" s="163" t="s">
        <v>780</v>
      </c>
      <c r="G256" s="162">
        <v>46191</v>
      </c>
      <c r="H256" s="131">
        <v>1</v>
      </c>
      <c r="I256" s="131">
        <v>1</v>
      </c>
      <c r="J256" s="141" t="s">
        <v>552</v>
      </c>
      <c r="K256" s="141">
        <v>1</v>
      </c>
      <c r="N256" s="141">
        <v>52</v>
      </c>
      <c r="U256" s="126">
        <v>-12</v>
      </c>
      <c r="V256" s="220">
        <v>4.09</v>
      </c>
      <c r="W256" s="220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697</v>
      </c>
      <c r="F257" s="163" t="s">
        <v>698</v>
      </c>
      <c r="G257" s="162">
        <v>46191</v>
      </c>
      <c r="H257" s="131">
        <v>1</v>
      </c>
      <c r="I257" s="131">
        <v>1</v>
      </c>
      <c r="J257" s="141" t="s">
        <v>552</v>
      </c>
      <c r="K257" s="141">
        <v>1</v>
      </c>
      <c r="N257" s="141">
        <v>52</v>
      </c>
      <c r="U257" s="126">
        <v>-5</v>
      </c>
      <c r="V257" s="220">
        <v>3.3</v>
      </c>
      <c r="W257" s="220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767</v>
      </c>
      <c r="F258" s="163" t="s">
        <v>768</v>
      </c>
      <c r="G258" s="162">
        <v>46192</v>
      </c>
      <c r="H258" s="131">
        <v>1</v>
      </c>
      <c r="I258" s="131">
        <v>1</v>
      </c>
      <c r="J258" s="141" t="s">
        <v>552</v>
      </c>
      <c r="K258" s="141">
        <v>1</v>
      </c>
      <c r="N258" s="141">
        <v>53</v>
      </c>
      <c r="U258" s="126">
        <v>-60</v>
      </c>
      <c r="V258" s="220">
        <v>4</v>
      </c>
      <c r="W258" s="220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609</v>
      </c>
      <c r="F259" s="163" t="s">
        <v>610</v>
      </c>
      <c r="G259" s="162">
        <v>46192</v>
      </c>
      <c r="H259" s="131">
        <v>1</v>
      </c>
      <c r="I259" s="131">
        <v>1</v>
      </c>
      <c r="J259" s="141" t="s">
        <v>552</v>
      </c>
      <c r="K259" s="141">
        <v>1</v>
      </c>
      <c r="N259" s="141">
        <v>53</v>
      </c>
      <c r="U259" s="126">
        <v>-4</v>
      </c>
      <c r="V259" s="220">
        <v>6.28</v>
      </c>
      <c r="W259" s="220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1217</v>
      </c>
      <c r="F260" s="163" t="s">
        <v>1218</v>
      </c>
      <c r="G260" s="162">
        <v>46192</v>
      </c>
      <c r="H260" s="131">
        <v>1</v>
      </c>
      <c r="I260" s="131">
        <v>1</v>
      </c>
      <c r="J260" s="141" t="s">
        <v>552</v>
      </c>
      <c r="K260" s="141">
        <v>1</v>
      </c>
      <c r="N260" s="141">
        <v>53</v>
      </c>
      <c r="U260" s="126">
        <v>-1</v>
      </c>
      <c r="V260" s="220">
        <v>0.41</v>
      </c>
      <c r="W260" s="220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756</v>
      </c>
      <c r="F261" s="163" t="s">
        <v>757</v>
      </c>
      <c r="G261" s="162">
        <v>46192</v>
      </c>
      <c r="H261" s="131">
        <v>1</v>
      </c>
      <c r="I261" s="131">
        <v>1</v>
      </c>
      <c r="J261" s="141" t="s">
        <v>552</v>
      </c>
      <c r="K261" s="141">
        <v>1</v>
      </c>
      <c r="N261" s="141">
        <v>54</v>
      </c>
      <c r="U261" s="126">
        <v>-150</v>
      </c>
      <c r="V261" s="220">
        <v>4.75</v>
      </c>
      <c r="W261" s="220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762</v>
      </c>
      <c r="F262" s="163" t="s">
        <v>763</v>
      </c>
      <c r="G262" s="162">
        <v>46192</v>
      </c>
      <c r="H262" s="131">
        <v>1</v>
      </c>
      <c r="I262" s="131">
        <v>1</v>
      </c>
      <c r="J262" s="141" t="s">
        <v>552</v>
      </c>
      <c r="K262" s="141">
        <v>1</v>
      </c>
      <c r="N262" s="141">
        <v>54</v>
      </c>
      <c r="U262" s="126">
        <v>-24</v>
      </c>
      <c r="V262" s="220">
        <v>1</v>
      </c>
      <c r="W262" s="220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749</v>
      </c>
      <c r="F263" s="163" t="s">
        <v>750</v>
      </c>
      <c r="G263" s="162">
        <v>46192</v>
      </c>
      <c r="H263" s="131">
        <v>1</v>
      </c>
      <c r="I263" s="131">
        <v>1</v>
      </c>
      <c r="J263" s="141" t="s">
        <v>552</v>
      </c>
      <c r="K263" s="141">
        <v>1</v>
      </c>
      <c r="N263" s="141">
        <v>55</v>
      </c>
      <c r="U263" s="126">
        <v>-1000</v>
      </c>
      <c r="V263" s="220">
        <v>85</v>
      </c>
      <c r="W263" s="220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582</v>
      </c>
      <c r="F264" s="163" t="s">
        <v>583</v>
      </c>
      <c r="G264" s="162">
        <v>46192</v>
      </c>
      <c r="H264" s="131">
        <v>1</v>
      </c>
      <c r="I264" s="131">
        <v>1</v>
      </c>
      <c r="J264" s="141" t="s">
        <v>552</v>
      </c>
      <c r="K264" s="141">
        <v>1</v>
      </c>
      <c r="N264" s="141">
        <v>55</v>
      </c>
      <c r="U264" s="126">
        <v>-2</v>
      </c>
      <c r="V264" s="220">
        <v>5.8</v>
      </c>
      <c r="W264" s="220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1194</v>
      </c>
      <c r="F265" s="163" t="s">
        <v>1195</v>
      </c>
      <c r="G265" s="162">
        <v>46192</v>
      </c>
      <c r="H265" s="131">
        <v>1</v>
      </c>
      <c r="I265" s="131">
        <v>1</v>
      </c>
      <c r="J265" s="141" t="s">
        <v>552</v>
      </c>
      <c r="K265" s="141">
        <v>1</v>
      </c>
      <c r="N265" s="141">
        <v>55</v>
      </c>
      <c r="U265" s="126">
        <v>-2</v>
      </c>
      <c r="V265" s="220">
        <v>0.5</v>
      </c>
      <c r="W265" s="220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756</v>
      </c>
      <c r="F266" s="163" t="s">
        <v>757</v>
      </c>
      <c r="G266" s="162">
        <v>46193</v>
      </c>
      <c r="H266" s="131">
        <v>1</v>
      </c>
      <c r="I266" s="131">
        <v>1</v>
      </c>
      <c r="J266" s="141" t="s">
        <v>552</v>
      </c>
      <c r="K266" s="141">
        <v>1</v>
      </c>
      <c r="N266" s="141">
        <v>56</v>
      </c>
      <c r="U266" s="126">
        <v>-600</v>
      </c>
      <c r="V266" s="220">
        <v>4.75</v>
      </c>
      <c r="W266" s="220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653</v>
      </c>
      <c r="F267" s="163" t="s">
        <v>654</v>
      </c>
      <c r="G267" s="162">
        <v>46193</v>
      </c>
      <c r="H267" s="131">
        <v>1</v>
      </c>
      <c r="I267" s="131">
        <v>1</v>
      </c>
      <c r="J267" s="141" t="s">
        <v>552</v>
      </c>
      <c r="K267" s="141">
        <v>1</v>
      </c>
      <c r="N267" s="141">
        <v>57</v>
      </c>
      <c r="U267" s="126">
        <v>-12</v>
      </c>
      <c r="V267" s="220">
        <v>8.36</v>
      </c>
      <c r="W267" s="220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779</v>
      </c>
      <c r="F268" s="163" t="s">
        <v>780</v>
      </c>
      <c r="G268" s="162">
        <v>46193</v>
      </c>
      <c r="H268" s="131">
        <v>1</v>
      </c>
      <c r="I268" s="131">
        <v>1</v>
      </c>
      <c r="J268" s="141" t="s">
        <v>552</v>
      </c>
      <c r="K268" s="141">
        <v>1</v>
      </c>
      <c r="N268" s="141">
        <v>57</v>
      </c>
      <c r="U268" s="126">
        <v>-24</v>
      </c>
      <c r="V268" s="220">
        <v>4.09</v>
      </c>
      <c r="W268" s="220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700</v>
      </c>
      <c r="F269" s="163" t="s">
        <v>701</v>
      </c>
      <c r="G269" s="162">
        <v>46193</v>
      </c>
      <c r="H269" s="131">
        <v>1</v>
      </c>
      <c r="I269" s="131">
        <v>1</v>
      </c>
      <c r="J269" s="141" t="s">
        <v>552</v>
      </c>
      <c r="K269" s="141">
        <v>1</v>
      </c>
      <c r="N269" s="141">
        <v>57</v>
      </c>
      <c r="U269" s="126">
        <v>-2</v>
      </c>
      <c r="V269" s="220">
        <v>2.1</v>
      </c>
      <c r="W269" s="220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884</v>
      </c>
      <c r="F270" s="163" t="s">
        <v>885</v>
      </c>
      <c r="G270" s="162">
        <v>46193</v>
      </c>
      <c r="H270" s="131">
        <v>1</v>
      </c>
      <c r="I270" s="131">
        <v>1</v>
      </c>
      <c r="J270" s="141" t="s">
        <v>552</v>
      </c>
      <c r="K270" s="141">
        <v>1</v>
      </c>
      <c r="N270" s="141">
        <v>57</v>
      </c>
      <c r="U270" s="126">
        <v>-4</v>
      </c>
      <c r="V270" s="220">
        <v>0.24</v>
      </c>
      <c r="W270" s="220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1126</v>
      </c>
      <c r="F271" s="163" t="s">
        <v>1127</v>
      </c>
      <c r="G271" s="162">
        <v>46193</v>
      </c>
      <c r="H271" s="131">
        <v>1</v>
      </c>
      <c r="I271" s="131">
        <v>1</v>
      </c>
      <c r="J271" s="141" t="s">
        <v>552</v>
      </c>
      <c r="K271" s="141">
        <v>1</v>
      </c>
      <c r="N271" s="141">
        <v>57</v>
      </c>
      <c r="U271" s="126">
        <v>-1</v>
      </c>
      <c r="V271" s="220">
        <v>1.32</v>
      </c>
      <c r="W271" s="220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799</v>
      </c>
      <c r="F272" s="163" t="s">
        <v>800</v>
      </c>
      <c r="G272" s="162">
        <v>46193</v>
      </c>
      <c r="H272" s="131">
        <v>1</v>
      </c>
      <c r="I272" s="131">
        <v>1</v>
      </c>
      <c r="J272" s="141" t="s">
        <v>552</v>
      </c>
      <c r="K272" s="141">
        <v>1</v>
      </c>
      <c r="N272" s="141">
        <v>57</v>
      </c>
      <c r="U272" s="126">
        <v>-1</v>
      </c>
      <c r="V272" s="220">
        <v>0.34</v>
      </c>
      <c r="W272" s="220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753</v>
      </c>
      <c r="F273" s="163" t="s">
        <v>754</v>
      </c>
      <c r="G273" s="162">
        <v>46193</v>
      </c>
      <c r="H273" s="131">
        <v>1</v>
      </c>
      <c r="I273" s="131">
        <v>1</v>
      </c>
      <c r="J273" s="141" t="s">
        <v>552</v>
      </c>
      <c r="K273" s="141">
        <v>1</v>
      </c>
      <c r="N273" s="141">
        <v>58</v>
      </c>
      <c r="U273" s="126">
        <v>-500</v>
      </c>
      <c r="V273" s="220">
        <v>4.1500000000000004</v>
      </c>
      <c r="W273" s="220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577</v>
      </c>
      <c r="F274" s="163" t="s">
        <v>578</v>
      </c>
      <c r="G274" s="162">
        <v>46194</v>
      </c>
      <c r="H274" s="131">
        <v>1</v>
      </c>
      <c r="I274" s="131">
        <v>1</v>
      </c>
      <c r="J274" s="141" t="s">
        <v>552</v>
      </c>
      <c r="K274" s="141">
        <v>1</v>
      </c>
      <c r="N274" s="141">
        <v>59</v>
      </c>
      <c r="U274" s="126">
        <v>-32</v>
      </c>
      <c r="V274" s="220">
        <v>3.37</v>
      </c>
      <c r="W274" s="220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782</v>
      </c>
      <c r="F275" s="163" t="s">
        <v>783</v>
      </c>
      <c r="G275" s="162">
        <v>46194</v>
      </c>
      <c r="H275" s="131">
        <v>1</v>
      </c>
      <c r="I275" s="131">
        <v>1</v>
      </c>
      <c r="J275" s="141" t="s">
        <v>552</v>
      </c>
      <c r="K275" s="141">
        <v>1</v>
      </c>
      <c r="N275" s="141">
        <v>59</v>
      </c>
      <c r="U275" s="126">
        <v>-16</v>
      </c>
      <c r="V275" s="220">
        <v>4.92</v>
      </c>
      <c r="W275" s="220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779</v>
      </c>
      <c r="F276" s="163" t="s">
        <v>780</v>
      </c>
      <c r="G276" s="162">
        <v>46194</v>
      </c>
      <c r="H276" s="131">
        <v>1</v>
      </c>
      <c r="I276" s="131">
        <v>1</v>
      </c>
      <c r="J276" s="141" t="s">
        <v>552</v>
      </c>
      <c r="K276" s="141">
        <v>1</v>
      </c>
      <c r="N276" s="141">
        <v>60</v>
      </c>
      <c r="U276" s="126">
        <v>-20</v>
      </c>
      <c r="V276" s="220">
        <v>4.09</v>
      </c>
      <c r="W276" s="220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653</v>
      </c>
      <c r="F277" s="163" t="s">
        <v>654</v>
      </c>
      <c r="G277" s="162">
        <v>46194</v>
      </c>
      <c r="H277" s="131">
        <v>1</v>
      </c>
      <c r="I277" s="131">
        <v>1</v>
      </c>
      <c r="J277" s="141" t="s">
        <v>552</v>
      </c>
      <c r="K277" s="141">
        <v>1</v>
      </c>
      <c r="N277" s="141">
        <v>60</v>
      </c>
      <c r="U277" s="126">
        <v>-8</v>
      </c>
      <c r="V277" s="220">
        <v>8.36</v>
      </c>
      <c r="W277" s="220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739</v>
      </c>
      <c r="F278" s="163" t="s">
        <v>740</v>
      </c>
      <c r="G278" s="162">
        <v>46194</v>
      </c>
      <c r="H278" s="131">
        <v>1</v>
      </c>
      <c r="I278" s="131">
        <v>1</v>
      </c>
      <c r="J278" s="141" t="s">
        <v>552</v>
      </c>
      <c r="K278" s="141">
        <v>1</v>
      </c>
      <c r="N278" s="141">
        <v>61</v>
      </c>
      <c r="U278" s="126">
        <v>-4</v>
      </c>
      <c r="V278" s="220">
        <v>47</v>
      </c>
      <c r="W278" s="220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1648</v>
      </c>
      <c r="F279" s="163" t="s">
        <v>1649</v>
      </c>
      <c r="G279" s="162">
        <v>46194</v>
      </c>
      <c r="H279" s="131">
        <v>1</v>
      </c>
      <c r="I279" s="131">
        <v>1</v>
      </c>
      <c r="J279" s="141" t="s">
        <v>552</v>
      </c>
      <c r="K279" s="141">
        <v>1</v>
      </c>
      <c r="N279" s="141">
        <v>61</v>
      </c>
      <c r="U279" s="126">
        <v>-10</v>
      </c>
      <c r="V279" s="220">
        <v>0.4</v>
      </c>
      <c r="W279" s="220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749</v>
      </c>
      <c r="F280" s="163" t="s">
        <v>750</v>
      </c>
      <c r="G280" s="162">
        <v>46195</v>
      </c>
      <c r="H280" s="131">
        <v>1</v>
      </c>
      <c r="I280" s="131">
        <v>1</v>
      </c>
      <c r="J280" s="141" t="s">
        <v>552</v>
      </c>
      <c r="K280" s="141">
        <v>1</v>
      </c>
      <c r="N280" s="141">
        <v>62</v>
      </c>
      <c r="U280" s="126">
        <v>-500</v>
      </c>
      <c r="V280" s="220">
        <v>4.25</v>
      </c>
      <c r="W280" s="220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753</v>
      </c>
      <c r="F281" s="163" t="s">
        <v>754</v>
      </c>
      <c r="G281" s="162">
        <v>46195</v>
      </c>
      <c r="H281" s="131">
        <v>1</v>
      </c>
      <c r="I281" s="131">
        <v>1</v>
      </c>
      <c r="J281" s="141" t="s">
        <v>552</v>
      </c>
      <c r="K281" s="141">
        <v>1</v>
      </c>
      <c r="N281" s="141">
        <v>62</v>
      </c>
      <c r="U281" s="126">
        <v>-250</v>
      </c>
      <c r="V281" s="220">
        <v>4.1500000000000004</v>
      </c>
      <c r="W281" s="220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609</v>
      </c>
      <c r="F282" s="163" t="s">
        <v>610</v>
      </c>
      <c r="G282" s="162">
        <v>46195</v>
      </c>
      <c r="H282" s="131">
        <v>1</v>
      </c>
      <c r="I282" s="131">
        <v>1</v>
      </c>
      <c r="J282" s="141" t="s">
        <v>552</v>
      </c>
      <c r="K282" s="141">
        <v>1</v>
      </c>
      <c r="N282" s="141">
        <v>63</v>
      </c>
      <c r="U282" s="126">
        <v>-12</v>
      </c>
      <c r="V282" s="220">
        <v>6.28</v>
      </c>
      <c r="W282" s="220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753</v>
      </c>
      <c r="F283" s="163" t="s">
        <v>754</v>
      </c>
      <c r="G283" s="162">
        <v>46195</v>
      </c>
      <c r="H283" s="131">
        <v>1</v>
      </c>
      <c r="I283" s="131">
        <v>1</v>
      </c>
      <c r="J283" s="141" t="s">
        <v>552</v>
      </c>
      <c r="K283" s="141">
        <v>1</v>
      </c>
      <c r="N283" s="141">
        <v>63</v>
      </c>
      <c r="U283" s="126">
        <v>-150</v>
      </c>
      <c r="V283" s="220">
        <v>4.1500000000000004</v>
      </c>
      <c r="W283" s="220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753</v>
      </c>
      <c r="F284" s="163" t="s">
        <v>754</v>
      </c>
      <c r="G284" s="162">
        <v>46195</v>
      </c>
      <c r="H284" s="131">
        <v>1</v>
      </c>
      <c r="I284" s="131">
        <v>1</v>
      </c>
      <c r="J284" s="141" t="s">
        <v>552</v>
      </c>
      <c r="K284" s="141">
        <v>1</v>
      </c>
      <c r="N284" s="141">
        <v>64</v>
      </c>
      <c r="U284" s="126">
        <v>-250</v>
      </c>
      <c r="V284" s="220">
        <v>4.1500000000000004</v>
      </c>
      <c r="W284" s="220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697</v>
      </c>
      <c r="F285" s="163" t="s">
        <v>698</v>
      </c>
      <c r="G285" s="162">
        <v>46195</v>
      </c>
      <c r="H285" s="131">
        <v>1</v>
      </c>
      <c r="I285" s="131">
        <v>1</v>
      </c>
      <c r="J285" s="141" t="s">
        <v>552</v>
      </c>
      <c r="K285" s="141">
        <v>1</v>
      </c>
      <c r="N285" s="141">
        <v>64</v>
      </c>
      <c r="U285" s="126">
        <v>-2</v>
      </c>
      <c r="V285" s="220">
        <v>3.3</v>
      </c>
      <c r="W285" s="220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723</v>
      </c>
      <c r="F286" s="163" t="s">
        <v>724</v>
      </c>
      <c r="G286" s="162">
        <v>46195</v>
      </c>
      <c r="H286" s="131">
        <v>1</v>
      </c>
      <c r="I286" s="131">
        <v>1</v>
      </c>
      <c r="J286" s="141" t="s">
        <v>552</v>
      </c>
      <c r="K286" s="141">
        <v>1</v>
      </c>
      <c r="N286" s="141">
        <v>64</v>
      </c>
      <c r="U286" s="126">
        <v>-2</v>
      </c>
      <c r="V286" s="220">
        <v>4.5</v>
      </c>
      <c r="W286" s="220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704</v>
      </c>
      <c r="F287" s="163" t="s">
        <v>705</v>
      </c>
      <c r="G287" s="162">
        <v>46195</v>
      </c>
      <c r="H287" s="131">
        <v>1</v>
      </c>
      <c r="I287" s="131">
        <v>1</v>
      </c>
      <c r="J287" s="141" t="s">
        <v>552</v>
      </c>
      <c r="K287" s="141">
        <v>1</v>
      </c>
      <c r="N287" s="141">
        <v>64</v>
      </c>
      <c r="U287" s="126">
        <v>-5</v>
      </c>
      <c r="V287" s="220">
        <v>1.35</v>
      </c>
      <c r="W287" s="220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749</v>
      </c>
      <c r="F288" s="163" t="s">
        <v>750</v>
      </c>
      <c r="G288" s="162">
        <v>46195</v>
      </c>
      <c r="H288" s="131">
        <v>1</v>
      </c>
      <c r="I288" s="131">
        <v>1</v>
      </c>
      <c r="J288" s="141" t="s">
        <v>552</v>
      </c>
      <c r="K288" s="141">
        <v>1</v>
      </c>
      <c r="N288" s="141">
        <v>65</v>
      </c>
      <c r="U288" s="126">
        <v>-500</v>
      </c>
      <c r="V288" s="220">
        <v>4.25</v>
      </c>
      <c r="W288" s="220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1524</v>
      </c>
      <c r="F289" s="163" t="s">
        <v>1525</v>
      </c>
      <c r="G289" s="162">
        <v>46195</v>
      </c>
      <c r="H289" s="131">
        <v>1</v>
      </c>
      <c r="I289" s="131">
        <v>1</v>
      </c>
      <c r="J289" s="141" t="s">
        <v>552</v>
      </c>
      <c r="K289" s="141">
        <v>1</v>
      </c>
      <c r="N289" s="141">
        <v>66</v>
      </c>
      <c r="U289" s="126">
        <v>-3</v>
      </c>
      <c r="V289" s="220">
        <v>4.2300000000000004</v>
      </c>
      <c r="W289" s="220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1038</v>
      </c>
      <c r="F290" s="163" t="s">
        <v>1039</v>
      </c>
      <c r="G290" s="162">
        <v>46195</v>
      </c>
      <c r="H290" s="131">
        <v>1</v>
      </c>
      <c r="I290" s="131">
        <v>1</v>
      </c>
      <c r="J290" s="141" t="s">
        <v>552</v>
      </c>
      <c r="K290" s="141">
        <v>1</v>
      </c>
      <c r="N290" s="141">
        <v>66</v>
      </c>
      <c r="U290" s="126">
        <v>-5</v>
      </c>
      <c r="V290" s="220">
        <v>4.33</v>
      </c>
      <c r="W290" s="220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753</v>
      </c>
      <c r="F291" s="163" t="s">
        <v>754</v>
      </c>
      <c r="G291" s="162">
        <v>46195</v>
      </c>
      <c r="H291" s="131">
        <v>1</v>
      </c>
      <c r="I291" s="131">
        <v>1</v>
      </c>
      <c r="J291" s="141" t="s">
        <v>552</v>
      </c>
      <c r="K291" s="141">
        <v>1</v>
      </c>
      <c r="N291" s="141">
        <v>66</v>
      </c>
      <c r="U291" s="126">
        <v>-250</v>
      </c>
      <c r="V291" s="220">
        <v>4.1500000000000004</v>
      </c>
      <c r="W291" s="220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1703</v>
      </c>
      <c r="F292" s="163" t="s">
        <v>1704</v>
      </c>
      <c r="G292" s="162">
        <v>46196</v>
      </c>
      <c r="H292" s="131">
        <v>1</v>
      </c>
      <c r="I292" s="131">
        <v>1</v>
      </c>
      <c r="J292" s="141" t="s">
        <v>552</v>
      </c>
      <c r="K292" s="141">
        <v>1</v>
      </c>
      <c r="N292" s="141">
        <v>67</v>
      </c>
      <c r="U292" s="126">
        <v>-1</v>
      </c>
      <c r="V292" s="220">
        <v>53</v>
      </c>
      <c r="W292" s="220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1709</v>
      </c>
      <c r="F293" s="163" t="s">
        <v>1710</v>
      </c>
      <c r="G293" s="162">
        <v>46196</v>
      </c>
      <c r="H293" s="131">
        <v>1</v>
      </c>
      <c r="I293" s="131">
        <v>1</v>
      </c>
      <c r="J293" s="141" t="s">
        <v>552</v>
      </c>
      <c r="K293" s="141">
        <v>1</v>
      </c>
      <c r="N293" s="141">
        <v>67</v>
      </c>
      <c r="U293" s="126">
        <v>-1</v>
      </c>
      <c r="V293" s="220">
        <v>20.25</v>
      </c>
      <c r="W293" s="220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782</v>
      </c>
      <c r="F294" s="163" t="s">
        <v>783</v>
      </c>
      <c r="G294" s="162">
        <v>46196</v>
      </c>
      <c r="H294" s="131">
        <v>1</v>
      </c>
      <c r="I294" s="131">
        <v>1</v>
      </c>
      <c r="J294" s="141" t="s">
        <v>552</v>
      </c>
      <c r="K294" s="141">
        <v>1</v>
      </c>
      <c r="N294" s="141">
        <v>67</v>
      </c>
      <c r="U294" s="126">
        <v>-20</v>
      </c>
      <c r="V294" s="220">
        <v>4.92</v>
      </c>
      <c r="W294" s="220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756</v>
      </c>
      <c r="F295" s="163" t="s">
        <v>757</v>
      </c>
      <c r="G295" s="162">
        <v>46196</v>
      </c>
      <c r="H295" s="131">
        <v>1</v>
      </c>
      <c r="I295" s="131">
        <v>1</v>
      </c>
      <c r="J295" s="141" t="s">
        <v>552</v>
      </c>
      <c r="K295" s="141">
        <v>1</v>
      </c>
      <c r="N295" s="141">
        <v>68</v>
      </c>
      <c r="U295" s="126">
        <v>-600</v>
      </c>
      <c r="V295" s="220">
        <v>4.75</v>
      </c>
      <c r="W295" s="220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756</v>
      </c>
      <c r="F296" s="163" t="s">
        <v>757</v>
      </c>
      <c r="G296" s="162">
        <v>46197</v>
      </c>
      <c r="H296" s="131">
        <v>1</v>
      </c>
      <c r="I296" s="131">
        <v>1</v>
      </c>
      <c r="J296" s="141" t="s">
        <v>552</v>
      </c>
      <c r="K296" s="141">
        <v>1</v>
      </c>
      <c r="N296" s="141">
        <v>69</v>
      </c>
      <c r="U296" s="126">
        <v>-150</v>
      </c>
      <c r="V296" s="220">
        <v>4.75</v>
      </c>
      <c r="W296" s="220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762</v>
      </c>
      <c r="F297" s="163" t="s">
        <v>763</v>
      </c>
      <c r="G297" s="162">
        <v>46197</v>
      </c>
      <c r="H297" s="131">
        <v>1</v>
      </c>
      <c r="I297" s="131">
        <v>1</v>
      </c>
      <c r="J297" s="141" t="s">
        <v>552</v>
      </c>
      <c r="K297" s="141">
        <v>1</v>
      </c>
      <c r="N297" s="141">
        <v>69</v>
      </c>
      <c r="U297" s="126">
        <v>-12</v>
      </c>
      <c r="V297" s="220">
        <v>1</v>
      </c>
      <c r="W297" s="220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609</v>
      </c>
      <c r="F298" s="163" t="s">
        <v>610</v>
      </c>
      <c r="G298" s="162">
        <v>46197</v>
      </c>
      <c r="H298" s="131">
        <v>1</v>
      </c>
      <c r="I298" s="131">
        <v>1</v>
      </c>
      <c r="J298" s="141" t="s">
        <v>552</v>
      </c>
      <c r="K298" s="141">
        <v>1</v>
      </c>
      <c r="N298" s="141">
        <v>70</v>
      </c>
      <c r="U298" s="126">
        <v>-28</v>
      </c>
      <c r="V298" s="220">
        <v>6.28</v>
      </c>
      <c r="W298" s="220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653</v>
      </c>
      <c r="F299" s="163" t="s">
        <v>654</v>
      </c>
      <c r="G299" s="162">
        <v>46197</v>
      </c>
      <c r="H299" s="131">
        <v>1</v>
      </c>
      <c r="I299" s="131">
        <v>1</v>
      </c>
      <c r="J299" s="141" t="s">
        <v>552</v>
      </c>
      <c r="K299" s="141">
        <v>1</v>
      </c>
      <c r="N299" s="141">
        <v>70</v>
      </c>
      <c r="U299" s="126">
        <v>-8</v>
      </c>
      <c r="V299" s="220">
        <v>8.36</v>
      </c>
      <c r="W299" s="220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753</v>
      </c>
      <c r="F300" s="163" t="s">
        <v>754</v>
      </c>
      <c r="G300" s="162">
        <v>46197</v>
      </c>
      <c r="H300" s="131">
        <v>1</v>
      </c>
      <c r="I300" s="131">
        <v>1</v>
      </c>
      <c r="J300" s="141" t="s">
        <v>552</v>
      </c>
      <c r="K300" s="141">
        <v>1</v>
      </c>
      <c r="N300" s="141">
        <v>71</v>
      </c>
      <c r="U300" s="126">
        <v>-250</v>
      </c>
      <c r="V300" s="220">
        <v>4.1500000000000004</v>
      </c>
      <c r="W300" s="220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1744</v>
      </c>
      <c r="F301" s="163" t="s">
        <v>1745</v>
      </c>
      <c r="G301" s="162">
        <v>46197</v>
      </c>
      <c r="H301" s="131">
        <v>1</v>
      </c>
      <c r="I301" s="131">
        <v>1</v>
      </c>
      <c r="J301" s="141" t="s">
        <v>552</v>
      </c>
      <c r="K301" s="141">
        <v>1</v>
      </c>
      <c r="N301" s="141">
        <v>71</v>
      </c>
      <c r="U301" s="126">
        <v>-1</v>
      </c>
      <c r="V301" s="220">
        <v>2.12</v>
      </c>
      <c r="W301" s="220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1749</v>
      </c>
      <c r="F302" s="163" t="s">
        <v>1750</v>
      </c>
      <c r="G302" s="162">
        <v>46197</v>
      </c>
      <c r="H302" s="131">
        <v>1</v>
      </c>
      <c r="I302" s="131">
        <v>1</v>
      </c>
      <c r="J302" s="141" t="s">
        <v>552</v>
      </c>
      <c r="K302" s="141">
        <v>1</v>
      </c>
      <c r="N302" s="141">
        <v>71</v>
      </c>
      <c r="U302" s="126">
        <v>-1</v>
      </c>
      <c r="V302" s="220">
        <v>1.04</v>
      </c>
      <c r="W302" s="220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742</v>
      </c>
      <c r="F303" s="163" t="s">
        <v>743</v>
      </c>
      <c r="G303" s="162">
        <v>46197</v>
      </c>
      <c r="H303" s="131">
        <v>1</v>
      </c>
      <c r="I303" s="131">
        <v>1</v>
      </c>
      <c r="J303" s="141" t="s">
        <v>552</v>
      </c>
      <c r="K303" s="141">
        <v>1</v>
      </c>
      <c r="N303" s="141">
        <v>71</v>
      </c>
      <c r="U303" s="126">
        <v>-1</v>
      </c>
      <c r="V303" s="220">
        <v>53</v>
      </c>
      <c r="W303" s="220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565</v>
      </c>
      <c r="F304" s="163" t="s">
        <v>566</v>
      </c>
      <c r="G304" s="162">
        <v>46197</v>
      </c>
      <c r="H304" s="131">
        <v>1</v>
      </c>
      <c r="I304" s="131">
        <v>1</v>
      </c>
      <c r="J304" s="141" t="s">
        <v>552</v>
      </c>
      <c r="K304" s="141">
        <v>1</v>
      </c>
      <c r="N304" s="141">
        <v>72</v>
      </c>
      <c r="U304" s="126">
        <v>-250</v>
      </c>
      <c r="V304" s="220">
        <v>4.75</v>
      </c>
      <c r="W304" s="220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1744</v>
      </c>
      <c r="F305" s="163" t="s">
        <v>1745</v>
      </c>
      <c r="G305" s="162">
        <v>46197</v>
      </c>
      <c r="H305" s="131">
        <v>1</v>
      </c>
      <c r="I305" s="131">
        <v>1</v>
      </c>
      <c r="J305" s="141" t="s">
        <v>552</v>
      </c>
      <c r="K305" s="141">
        <v>1</v>
      </c>
      <c r="N305" s="141">
        <v>72</v>
      </c>
      <c r="U305" s="126">
        <v>-7</v>
      </c>
      <c r="V305" s="220">
        <v>2.12</v>
      </c>
      <c r="W305" s="220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700</v>
      </c>
      <c r="F306" s="163" t="s">
        <v>701</v>
      </c>
      <c r="G306" s="162">
        <v>46197</v>
      </c>
      <c r="H306" s="131">
        <v>1</v>
      </c>
      <c r="I306" s="131">
        <v>1</v>
      </c>
      <c r="J306" s="141" t="s">
        <v>552</v>
      </c>
      <c r="K306" s="141">
        <v>1</v>
      </c>
      <c r="N306" s="141">
        <v>72</v>
      </c>
      <c r="U306" s="126">
        <v>-7</v>
      </c>
      <c r="V306" s="220">
        <v>2.1</v>
      </c>
      <c r="W306" s="220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628</v>
      </c>
      <c r="F307" s="163" t="s">
        <v>629</v>
      </c>
      <c r="G307" s="162">
        <v>46197</v>
      </c>
      <c r="H307" s="131">
        <v>1</v>
      </c>
      <c r="I307" s="131">
        <v>1</v>
      </c>
      <c r="J307" s="141" t="s">
        <v>552</v>
      </c>
      <c r="K307" s="141">
        <v>1</v>
      </c>
      <c r="N307" s="141">
        <v>72</v>
      </c>
      <c r="U307" s="126">
        <v>-84</v>
      </c>
      <c r="V307" s="220">
        <v>2</v>
      </c>
      <c r="W307" s="220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753</v>
      </c>
      <c r="F308" s="163" t="s">
        <v>754</v>
      </c>
      <c r="G308" s="162">
        <v>46198</v>
      </c>
      <c r="H308" s="131">
        <v>1</v>
      </c>
      <c r="I308" s="131">
        <v>1</v>
      </c>
      <c r="J308" s="141" t="s">
        <v>552</v>
      </c>
      <c r="K308" s="141">
        <v>1</v>
      </c>
      <c r="N308" s="141">
        <v>73</v>
      </c>
      <c r="U308" s="126">
        <v>-300</v>
      </c>
      <c r="V308" s="220">
        <v>4.1500000000000004</v>
      </c>
      <c r="W308" s="220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779</v>
      </c>
      <c r="F309" s="163" t="s">
        <v>780</v>
      </c>
      <c r="G309" s="162">
        <v>46198</v>
      </c>
      <c r="H309" s="131">
        <v>1</v>
      </c>
      <c r="I309" s="131">
        <v>1</v>
      </c>
      <c r="J309" s="141" t="s">
        <v>552</v>
      </c>
      <c r="K309" s="141">
        <v>1</v>
      </c>
      <c r="N309" s="141">
        <v>73</v>
      </c>
      <c r="U309" s="126">
        <v>-8</v>
      </c>
      <c r="V309" s="220">
        <v>4.09</v>
      </c>
      <c r="W309" s="220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1340</v>
      </c>
      <c r="F310" s="163" t="s">
        <v>1341</v>
      </c>
      <c r="G310" s="162">
        <v>46198</v>
      </c>
      <c r="H310" s="131">
        <v>1</v>
      </c>
      <c r="I310" s="131">
        <v>1</v>
      </c>
      <c r="J310" s="141" t="s">
        <v>552</v>
      </c>
      <c r="K310" s="141">
        <v>1</v>
      </c>
      <c r="N310" s="141">
        <v>73</v>
      </c>
      <c r="U310" s="126">
        <v>-5</v>
      </c>
      <c r="V310" s="220">
        <v>4.49</v>
      </c>
      <c r="W310" s="220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609</v>
      </c>
      <c r="F311" s="163" t="s">
        <v>610</v>
      </c>
      <c r="G311" s="162">
        <v>46198</v>
      </c>
      <c r="H311" s="131">
        <v>1</v>
      </c>
      <c r="I311" s="131">
        <v>1</v>
      </c>
      <c r="J311" s="141" t="s">
        <v>552</v>
      </c>
      <c r="K311" s="141">
        <v>1</v>
      </c>
      <c r="N311" s="141">
        <v>74</v>
      </c>
      <c r="U311" s="126">
        <v>-12</v>
      </c>
      <c r="V311" s="220">
        <v>6.28</v>
      </c>
      <c r="W311" s="220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577</v>
      </c>
      <c r="F312" s="163" t="s">
        <v>578</v>
      </c>
      <c r="G312" s="162">
        <v>46198</v>
      </c>
      <c r="H312" s="131">
        <v>1</v>
      </c>
      <c r="I312" s="131">
        <v>1</v>
      </c>
      <c r="J312" s="141" t="s">
        <v>552</v>
      </c>
      <c r="K312" s="141">
        <v>1</v>
      </c>
      <c r="N312" s="141">
        <v>74</v>
      </c>
      <c r="U312" s="126">
        <v>-24</v>
      </c>
      <c r="V312" s="220">
        <v>3.37</v>
      </c>
      <c r="W312" s="220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555</v>
      </c>
      <c r="F313" s="163" t="s">
        <v>556</v>
      </c>
      <c r="G313" s="162">
        <v>46198</v>
      </c>
      <c r="H313" s="131">
        <v>1</v>
      </c>
      <c r="I313" s="131">
        <v>1</v>
      </c>
      <c r="J313" s="141" t="s">
        <v>552</v>
      </c>
      <c r="K313" s="141">
        <v>1</v>
      </c>
      <c r="N313" s="141">
        <v>74</v>
      </c>
      <c r="U313" s="126">
        <v>-4</v>
      </c>
      <c r="V313" s="220">
        <v>3.3</v>
      </c>
      <c r="W313" s="220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628</v>
      </c>
      <c r="F314" s="163" t="s">
        <v>629</v>
      </c>
      <c r="G314" s="162">
        <v>46198</v>
      </c>
      <c r="H314" s="131">
        <v>1</v>
      </c>
      <c r="I314" s="131">
        <v>1</v>
      </c>
      <c r="J314" s="141" t="s">
        <v>552</v>
      </c>
      <c r="K314" s="141">
        <v>1</v>
      </c>
      <c r="N314" s="141">
        <v>74</v>
      </c>
      <c r="U314" s="126">
        <v>-24</v>
      </c>
      <c r="V314" s="220">
        <v>2</v>
      </c>
      <c r="W314" s="220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814</v>
      </c>
      <c r="F315" s="163" t="s">
        <v>815</v>
      </c>
      <c r="G315" s="162">
        <v>46198</v>
      </c>
      <c r="H315" s="131">
        <v>1</v>
      </c>
      <c r="I315" s="131">
        <v>1</v>
      </c>
      <c r="J315" s="141" t="s">
        <v>552</v>
      </c>
      <c r="K315" s="141">
        <v>1</v>
      </c>
      <c r="N315" s="141">
        <v>74</v>
      </c>
      <c r="U315" s="126">
        <v>-1</v>
      </c>
      <c r="V315" s="220">
        <v>0.28000000000000003</v>
      </c>
      <c r="W315" s="220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597</v>
      </c>
      <c r="F316" s="163" t="s">
        <v>598</v>
      </c>
      <c r="G316" s="162">
        <v>46198</v>
      </c>
      <c r="H316" s="131">
        <v>1</v>
      </c>
      <c r="I316" s="131">
        <v>1</v>
      </c>
      <c r="J316" s="141" t="s">
        <v>552</v>
      </c>
      <c r="K316" s="141">
        <v>1</v>
      </c>
      <c r="N316" s="141">
        <v>75</v>
      </c>
      <c r="U316" s="126">
        <v>-4</v>
      </c>
      <c r="V316" s="220">
        <v>0.12</v>
      </c>
      <c r="W316" s="220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648</v>
      </c>
      <c r="F317" s="163" t="s">
        <v>649</v>
      </c>
      <c r="G317" s="162">
        <v>46198</v>
      </c>
      <c r="H317" s="131">
        <v>1</v>
      </c>
      <c r="I317" s="131">
        <v>1</v>
      </c>
      <c r="J317" s="141" t="s">
        <v>552</v>
      </c>
      <c r="K317" s="141">
        <v>1</v>
      </c>
      <c r="N317" s="141">
        <v>75</v>
      </c>
      <c r="U317" s="126">
        <v>-6</v>
      </c>
      <c r="V317" s="220">
        <v>0.15</v>
      </c>
      <c r="W317" s="220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976</v>
      </c>
      <c r="F318" s="163" t="s">
        <v>977</v>
      </c>
      <c r="G318" s="162">
        <v>46198</v>
      </c>
      <c r="H318" s="131">
        <v>1</v>
      </c>
      <c r="I318" s="131">
        <v>1</v>
      </c>
      <c r="J318" s="141" t="s">
        <v>552</v>
      </c>
      <c r="K318" s="141">
        <v>1</v>
      </c>
      <c r="N318" s="141">
        <v>75</v>
      </c>
      <c r="U318" s="126">
        <v>-6</v>
      </c>
      <c r="V318" s="220">
        <v>0.24</v>
      </c>
      <c r="W318" s="220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804</v>
      </c>
      <c r="F319" s="163" t="s">
        <v>805</v>
      </c>
      <c r="G319" s="162">
        <v>46198</v>
      </c>
      <c r="H319" s="131">
        <v>1</v>
      </c>
      <c r="I319" s="131">
        <v>1</v>
      </c>
      <c r="J319" s="141" t="s">
        <v>552</v>
      </c>
      <c r="K319" s="141">
        <v>1</v>
      </c>
      <c r="N319" s="141">
        <v>75</v>
      </c>
      <c r="U319" s="126">
        <v>-6</v>
      </c>
      <c r="V319" s="220">
        <v>0.12</v>
      </c>
      <c r="W319" s="220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1814</v>
      </c>
      <c r="F320" s="163" t="s">
        <v>1815</v>
      </c>
      <c r="G320" s="162">
        <v>46198</v>
      </c>
      <c r="H320" s="131">
        <v>1</v>
      </c>
      <c r="I320" s="131">
        <v>1</v>
      </c>
      <c r="J320" s="141" t="s">
        <v>552</v>
      </c>
      <c r="K320" s="141">
        <v>1</v>
      </c>
      <c r="N320" s="141">
        <v>75</v>
      </c>
      <c r="U320" s="126">
        <v>-7</v>
      </c>
      <c r="V320" s="220">
        <v>1.1499999999999999</v>
      </c>
      <c r="W320" s="220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1126</v>
      </c>
      <c r="F321" s="163" t="s">
        <v>1127</v>
      </c>
      <c r="G321" s="162">
        <v>46198</v>
      </c>
      <c r="H321" s="131">
        <v>1</v>
      </c>
      <c r="I321" s="131">
        <v>1</v>
      </c>
      <c r="J321" s="141" t="s">
        <v>552</v>
      </c>
      <c r="K321" s="141">
        <v>1</v>
      </c>
      <c r="N321" s="141">
        <v>75</v>
      </c>
      <c r="U321" s="126">
        <v>-2</v>
      </c>
      <c r="V321" s="220">
        <v>1.32</v>
      </c>
      <c r="W321" s="220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1382</v>
      </c>
      <c r="F322" s="163" t="s">
        <v>1383</v>
      </c>
      <c r="G322" s="162">
        <v>46198</v>
      </c>
      <c r="H322" s="131">
        <v>1</v>
      </c>
      <c r="I322" s="131">
        <v>1</v>
      </c>
      <c r="J322" s="141" t="s">
        <v>552</v>
      </c>
      <c r="K322" s="141">
        <v>1</v>
      </c>
      <c r="N322" s="141">
        <v>75</v>
      </c>
      <c r="U322" s="126">
        <v>-1</v>
      </c>
      <c r="V322" s="220">
        <v>0.13</v>
      </c>
      <c r="W322" s="220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1204</v>
      </c>
      <c r="F323" s="163" t="s">
        <v>1205</v>
      </c>
      <c r="G323" s="162">
        <v>46198</v>
      </c>
      <c r="H323" s="131">
        <v>1</v>
      </c>
      <c r="I323" s="131">
        <v>1</v>
      </c>
      <c r="J323" s="141" t="s">
        <v>552</v>
      </c>
      <c r="K323" s="141">
        <v>1</v>
      </c>
      <c r="N323" s="141">
        <v>75</v>
      </c>
      <c r="U323" s="126">
        <v>-1</v>
      </c>
      <c r="V323" s="220">
        <v>0.55000000000000004</v>
      </c>
      <c r="W323" s="220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648</v>
      </c>
      <c r="F324" s="163" t="s">
        <v>649</v>
      </c>
      <c r="G324" s="162">
        <v>46198</v>
      </c>
      <c r="H324" s="131">
        <v>1</v>
      </c>
      <c r="I324" s="131">
        <v>1</v>
      </c>
      <c r="J324" s="141" t="s">
        <v>552</v>
      </c>
      <c r="K324" s="141">
        <v>1</v>
      </c>
      <c r="N324" s="141">
        <v>76</v>
      </c>
      <c r="U324" s="126">
        <v>-2</v>
      </c>
      <c r="V324" s="220">
        <v>0.15</v>
      </c>
      <c r="W324" s="220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809</v>
      </c>
      <c r="F325" s="163" t="s">
        <v>810</v>
      </c>
      <c r="G325" s="162">
        <v>46198</v>
      </c>
      <c r="H325" s="131">
        <v>1</v>
      </c>
      <c r="I325" s="131">
        <v>1</v>
      </c>
      <c r="J325" s="141" t="s">
        <v>552</v>
      </c>
      <c r="K325" s="141">
        <v>1</v>
      </c>
      <c r="N325" s="141">
        <v>76</v>
      </c>
      <c r="U325" s="126">
        <v>-2</v>
      </c>
      <c r="V325" s="220">
        <v>0.53</v>
      </c>
      <c r="W325" s="220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1243</v>
      </c>
      <c r="F326" s="163" t="s">
        <v>1244</v>
      </c>
      <c r="G326" s="162">
        <v>46198</v>
      </c>
      <c r="H326" s="131">
        <v>1</v>
      </c>
      <c r="I326" s="131">
        <v>1</v>
      </c>
      <c r="J326" s="141" t="s">
        <v>552</v>
      </c>
      <c r="K326" s="141">
        <v>1</v>
      </c>
      <c r="N326" s="141">
        <v>76</v>
      </c>
      <c r="U326" s="126">
        <v>-2</v>
      </c>
      <c r="V326" s="220">
        <v>0.53</v>
      </c>
      <c r="W326" s="220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753</v>
      </c>
      <c r="F327" s="163" t="s">
        <v>754</v>
      </c>
      <c r="G327" s="162">
        <v>46198</v>
      </c>
      <c r="H327" s="131">
        <v>1</v>
      </c>
      <c r="I327" s="131">
        <v>1</v>
      </c>
      <c r="J327" s="141" t="s">
        <v>552</v>
      </c>
      <c r="K327" s="141">
        <v>1</v>
      </c>
      <c r="N327" s="141">
        <v>76</v>
      </c>
      <c r="U327" s="126">
        <v>-250</v>
      </c>
      <c r="V327" s="220">
        <v>4.1500000000000004</v>
      </c>
      <c r="W327" s="220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1010</v>
      </c>
      <c r="F328" s="163" t="s">
        <v>1011</v>
      </c>
      <c r="G328" s="162">
        <v>46198</v>
      </c>
      <c r="H328" s="131">
        <v>1</v>
      </c>
      <c r="I328" s="131">
        <v>1</v>
      </c>
      <c r="J328" s="141" t="s">
        <v>552</v>
      </c>
      <c r="K328" s="141">
        <v>1</v>
      </c>
      <c r="N328" s="141">
        <v>76</v>
      </c>
      <c r="U328" s="126">
        <v>-1</v>
      </c>
      <c r="V328" s="220">
        <v>2.7</v>
      </c>
      <c r="W328" s="220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697</v>
      </c>
      <c r="F329" s="163" t="s">
        <v>698</v>
      </c>
      <c r="G329" s="162">
        <v>46198</v>
      </c>
      <c r="H329" s="131">
        <v>1</v>
      </c>
      <c r="I329" s="131">
        <v>1</v>
      </c>
      <c r="J329" s="141" t="s">
        <v>552</v>
      </c>
      <c r="K329" s="141">
        <v>1</v>
      </c>
      <c r="N329" s="141">
        <v>76</v>
      </c>
      <c r="U329" s="126">
        <v>-1</v>
      </c>
      <c r="V329" s="220">
        <v>3.3</v>
      </c>
      <c r="W329" s="220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1204</v>
      </c>
      <c r="F330" s="163" t="s">
        <v>1205</v>
      </c>
      <c r="G330" s="162">
        <v>46198</v>
      </c>
      <c r="H330" s="131">
        <v>1</v>
      </c>
      <c r="I330" s="131">
        <v>1</v>
      </c>
      <c r="J330" s="141" t="s">
        <v>552</v>
      </c>
      <c r="K330" s="141">
        <v>1</v>
      </c>
      <c r="N330" s="141">
        <v>76</v>
      </c>
      <c r="U330" s="126">
        <v>-2</v>
      </c>
      <c r="V330" s="220">
        <v>0.55000000000000004</v>
      </c>
      <c r="W330" s="220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704</v>
      </c>
      <c r="F331" s="163" t="s">
        <v>705</v>
      </c>
      <c r="G331" s="162">
        <v>46198</v>
      </c>
      <c r="H331" s="131">
        <v>1</v>
      </c>
      <c r="I331" s="131">
        <v>1</v>
      </c>
      <c r="J331" s="141" t="s">
        <v>552</v>
      </c>
      <c r="K331" s="141">
        <v>1</v>
      </c>
      <c r="N331" s="141">
        <v>76</v>
      </c>
      <c r="U331" s="126">
        <v>-2</v>
      </c>
      <c r="V331" s="220">
        <v>1.35</v>
      </c>
      <c r="W331" s="220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1524</v>
      </c>
      <c r="F332" s="163" t="s">
        <v>1525</v>
      </c>
      <c r="G332" s="162">
        <v>46198</v>
      </c>
      <c r="H332" s="131">
        <v>1</v>
      </c>
      <c r="I332" s="131">
        <v>1</v>
      </c>
      <c r="J332" s="141" t="s">
        <v>552</v>
      </c>
      <c r="K332" s="141">
        <v>1</v>
      </c>
      <c r="N332" s="141">
        <v>76</v>
      </c>
      <c r="U332" s="126">
        <v>-2</v>
      </c>
      <c r="V332" s="220">
        <v>4.2300000000000004</v>
      </c>
      <c r="W332" s="220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691</v>
      </c>
      <c r="F333" s="163" t="s">
        <v>692</v>
      </c>
      <c r="G333" s="162">
        <v>46199</v>
      </c>
      <c r="H333" s="131">
        <v>1</v>
      </c>
      <c r="I333" s="131">
        <v>1</v>
      </c>
      <c r="J333" s="141" t="s">
        <v>552</v>
      </c>
      <c r="K333" s="141">
        <v>1</v>
      </c>
      <c r="N333" s="141">
        <v>77</v>
      </c>
      <c r="U333" s="126">
        <v>-2</v>
      </c>
      <c r="V333" s="220">
        <v>9.52</v>
      </c>
      <c r="W333" s="220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1814</v>
      </c>
      <c r="F334" s="163" t="s">
        <v>1815</v>
      </c>
      <c r="G334" s="162">
        <v>46199</v>
      </c>
      <c r="H334" s="131">
        <v>1</v>
      </c>
      <c r="I334" s="131">
        <v>1</v>
      </c>
      <c r="J334" s="141" t="s">
        <v>552</v>
      </c>
      <c r="K334" s="141">
        <v>1</v>
      </c>
      <c r="N334" s="141">
        <v>77</v>
      </c>
      <c r="U334" s="126">
        <v>-8</v>
      </c>
      <c r="V334" s="220">
        <v>1.1499999999999999</v>
      </c>
      <c r="W334" s="220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804</v>
      </c>
      <c r="F335" s="163" t="s">
        <v>805</v>
      </c>
      <c r="G335" s="162">
        <v>46199</v>
      </c>
      <c r="H335" s="131">
        <v>1</v>
      </c>
      <c r="I335" s="131">
        <v>1</v>
      </c>
      <c r="J335" s="141" t="s">
        <v>552</v>
      </c>
      <c r="K335" s="141">
        <v>1</v>
      </c>
      <c r="N335" s="141">
        <v>77</v>
      </c>
      <c r="U335" s="126">
        <v>-5</v>
      </c>
      <c r="V335" s="220">
        <v>0.12</v>
      </c>
      <c r="W335" s="220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814</v>
      </c>
      <c r="F336" s="163" t="s">
        <v>815</v>
      </c>
      <c r="G336" s="162">
        <v>46199</v>
      </c>
      <c r="H336" s="131">
        <v>1</v>
      </c>
      <c r="I336" s="131">
        <v>1</v>
      </c>
      <c r="J336" s="141" t="s">
        <v>552</v>
      </c>
      <c r="K336" s="141">
        <v>1</v>
      </c>
      <c r="N336" s="141">
        <v>77</v>
      </c>
      <c r="U336" s="126">
        <v>-2</v>
      </c>
      <c r="V336" s="220">
        <v>0.28000000000000003</v>
      </c>
      <c r="W336" s="220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1217</v>
      </c>
      <c r="F337" s="163" t="s">
        <v>1218</v>
      </c>
      <c r="G337" s="162">
        <v>46199</v>
      </c>
      <c r="H337" s="131">
        <v>1</v>
      </c>
      <c r="I337" s="131">
        <v>1</v>
      </c>
      <c r="J337" s="141" t="s">
        <v>552</v>
      </c>
      <c r="K337" s="141">
        <v>1</v>
      </c>
      <c r="N337" s="141">
        <v>77</v>
      </c>
      <c r="U337" s="126">
        <v>-2</v>
      </c>
      <c r="V337" s="220">
        <v>0.41</v>
      </c>
      <c r="W337" s="220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753</v>
      </c>
      <c r="F338" s="163" t="s">
        <v>754</v>
      </c>
      <c r="G338" s="162">
        <v>46199</v>
      </c>
      <c r="H338" s="131">
        <v>1</v>
      </c>
      <c r="I338" s="131">
        <v>1</v>
      </c>
      <c r="J338" s="141" t="s">
        <v>552</v>
      </c>
      <c r="K338" s="141">
        <v>1</v>
      </c>
      <c r="N338" s="141">
        <v>78</v>
      </c>
      <c r="U338" s="126">
        <v>-500</v>
      </c>
      <c r="V338" s="220">
        <v>4.1500000000000004</v>
      </c>
      <c r="W338" s="220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753</v>
      </c>
      <c r="F339" s="163" t="s">
        <v>754</v>
      </c>
      <c r="G339" s="162">
        <v>46199</v>
      </c>
      <c r="H339" s="131">
        <v>1</v>
      </c>
      <c r="I339" s="131">
        <v>1</v>
      </c>
      <c r="J339" s="141" t="s">
        <v>552</v>
      </c>
      <c r="K339" s="141">
        <v>1</v>
      </c>
      <c r="N339" s="141">
        <v>79</v>
      </c>
      <c r="U339" s="126">
        <v>-250</v>
      </c>
      <c r="V339" s="220">
        <v>4.1500000000000004</v>
      </c>
      <c r="W339" s="220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1010</v>
      </c>
      <c r="F340" s="163" t="s">
        <v>1011</v>
      </c>
      <c r="G340" s="162">
        <v>46199</v>
      </c>
      <c r="H340" s="131">
        <v>1</v>
      </c>
      <c r="I340" s="131">
        <v>1</v>
      </c>
      <c r="J340" s="141" t="s">
        <v>552</v>
      </c>
      <c r="K340" s="130">
        <v>1</v>
      </c>
      <c r="N340" s="141">
        <v>79</v>
      </c>
      <c r="U340" s="126">
        <v>-5</v>
      </c>
      <c r="V340" s="220">
        <v>2.7</v>
      </c>
      <c r="W340" s="220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1524</v>
      </c>
      <c r="F341" s="163" t="s">
        <v>1525</v>
      </c>
      <c r="G341" s="162">
        <v>46199</v>
      </c>
      <c r="H341" s="131">
        <v>1</v>
      </c>
      <c r="I341" s="131">
        <v>1</v>
      </c>
      <c r="J341" s="141" t="s">
        <v>552</v>
      </c>
      <c r="K341" s="130">
        <v>1</v>
      </c>
      <c r="N341" s="141">
        <v>79</v>
      </c>
      <c r="U341" s="126">
        <v>-4</v>
      </c>
      <c r="V341" s="220">
        <v>4.2300000000000004</v>
      </c>
      <c r="W341" s="220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1340</v>
      </c>
      <c r="F342" s="163" t="s">
        <v>1341</v>
      </c>
      <c r="G342" s="162">
        <v>46200</v>
      </c>
      <c r="H342" s="131">
        <v>1</v>
      </c>
      <c r="I342" s="131">
        <v>1</v>
      </c>
      <c r="J342" s="141" t="s">
        <v>552</v>
      </c>
      <c r="K342" s="130">
        <v>1</v>
      </c>
      <c r="N342" s="141">
        <v>80</v>
      </c>
      <c r="U342" s="126">
        <v>-9</v>
      </c>
      <c r="V342" s="220">
        <v>4.49</v>
      </c>
      <c r="W342" s="220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767</v>
      </c>
      <c r="F343" s="163" t="s">
        <v>768</v>
      </c>
      <c r="G343" s="162">
        <v>46200</v>
      </c>
      <c r="H343" s="131">
        <v>1</v>
      </c>
      <c r="I343" s="131">
        <v>1</v>
      </c>
      <c r="J343" s="141" t="s">
        <v>552</v>
      </c>
      <c r="K343" s="130">
        <v>1</v>
      </c>
      <c r="N343" s="141">
        <v>81</v>
      </c>
      <c r="U343" s="126">
        <v>-192</v>
      </c>
      <c r="V343" s="220">
        <v>4</v>
      </c>
      <c r="W343" s="220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762</v>
      </c>
      <c r="F344" s="163" t="s">
        <v>763</v>
      </c>
      <c r="G344" s="162">
        <v>46200</v>
      </c>
      <c r="H344" s="131">
        <v>1</v>
      </c>
      <c r="I344" s="131">
        <v>1</v>
      </c>
      <c r="J344" s="141" t="s">
        <v>552</v>
      </c>
      <c r="K344" s="130">
        <v>1</v>
      </c>
      <c r="N344" s="141">
        <v>81</v>
      </c>
      <c r="U344" s="126">
        <v>-120</v>
      </c>
      <c r="V344" s="220">
        <v>1</v>
      </c>
      <c r="W344" s="220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609</v>
      </c>
      <c r="F345" s="163" t="s">
        <v>610</v>
      </c>
      <c r="G345" s="162">
        <v>46200</v>
      </c>
      <c r="H345" s="131">
        <v>1</v>
      </c>
      <c r="I345" s="131">
        <v>1</v>
      </c>
      <c r="J345" s="141" t="s">
        <v>552</v>
      </c>
      <c r="K345" s="141">
        <v>1</v>
      </c>
      <c r="N345" s="141">
        <v>81</v>
      </c>
      <c r="U345" s="126">
        <v>-8</v>
      </c>
      <c r="V345" s="220">
        <v>6.28</v>
      </c>
      <c r="W345" s="220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700</v>
      </c>
      <c r="F346" s="163" t="s">
        <v>701</v>
      </c>
      <c r="G346" s="162">
        <v>46200</v>
      </c>
      <c r="H346" s="131">
        <v>1</v>
      </c>
      <c r="I346" s="131">
        <v>1</v>
      </c>
      <c r="J346" s="141" t="s">
        <v>552</v>
      </c>
      <c r="K346" s="141">
        <v>1</v>
      </c>
      <c r="N346" s="141">
        <v>81</v>
      </c>
      <c r="U346" s="126">
        <v>-2</v>
      </c>
      <c r="V346" s="220">
        <v>2.1</v>
      </c>
      <c r="W346" s="220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753</v>
      </c>
      <c r="F347" s="163" t="s">
        <v>754</v>
      </c>
      <c r="G347" s="162">
        <v>46200</v>
      </c>
      <c r="H347" s="131">
        <v>1</v>
      </c>
      <c r="I347" s="131">
        <v>1</v>
      </c>
      <c r="J347" s="141" t="s">
        <v>552</v>
      </c>
      <c r="K347" s="141">
        <v>1</v>
      </c>
      <c r="N347" s="141">
        <v>82</v>
      </c>
      <c r="U347" s="126">
        <v>-250</v>
      </c>
      <c r="V347" s="220">
        <v>4.1500000000000004</v>
      </c>
      <c r="W347" s="220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582</v>
      </c>
      <c r="F348" s="163" t="s">
        <v>583</v>
      </c>
      <c r="G348" s="162">
        <v>46200</v>
      </c>
      <c r="H348" s="131">
        <v>1</v>
      </c>
      <c r="I348" s="131">
        <v>1</v>
      </c>
      <c r="J348" s="141" t="s">
        <v>552</v>
      </c>
      <c r="K348" s="141">
        <v>1</v>
      </c>
      <c r="N348" s="141">
        <v>82</v>
      </c>
      <c r="U348" s="126">
        <v>-7</v>
      </c>
      <c r="V348" s="220">
        <v>5.8</v>
      </c>
      <c r="W348" s="220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753</v>
      </c>
      <c r="F349" s="163" t="s">
        <v>754</v>
      </c>
      <c r="G349" s="162">
        <v>46201</v>
      </c>
      <c r="H349" s="131">
        <v>1</v>
      </c>
      <c r="I349" s="131">
        <v>1</v>
      </c>
      <c r="J349" s="141" t="s">
        <v>552</v>
      </c>
      <c r="K349" s="141">
        <v>1</v>
      </c>
      <c r="N349" s="141">
        <v>83</v>
      </c>
      <c r="U349" s="126">
        <v>-500</v>
      </c>
      <c r="V349" s="220">
        <v>4.1500000000000004</v>
      </c>
      <c r="W349" s="220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1925</v>
      </c>
      <c r="F350" s="163" t="s">
        <v>1926</v>
      </c>
      <c r="G350" s="162">
        <v>46201</v>
      </c>
      <c r="H350" s="131">
        <v>1</v>
      </c>
      <c r="I350" s="131">
        <v>1</v>
      </c>
      <c r="J350" s="141" t="s">
        <v>552</v>
      </c>
      <c r="K350" s="141">
        <v>1</v>
      </c>
      <c r="N350" s="141">
        <v>83</v>
      </c>
      <c r="U350" s="126">
        <v>-1</v>
      </c>
      <c r="V350" s="220">
        <v>6.41</v>
      </c>
      <c r="W350" s="220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1930</v>
      </c>
      <c r="F351" s="163" t="s">
        <v>1931</v>
      </c>
      <c r="G351" s="162">
        <v>46201</v>
      </c>
      <c r="H351" s="131">
        <v>1</v>
      </c>
      <c r="I351" s="131">
        <v>1</v>
      </c>
      <c r="J351" s="141" t="s">
        <v>552</v>
      </c>
      <c r="K351" s="141">
        <v>1</v>
      </c>
      <c r="N351" s="141">
        <v>83</v>
      </c>
      <c r="U351" s="126">
        <v>-5</v>
      </c>
      <c r="V351" s="220">
        <v>0.04</v>
      </c>
      <c r="W351" s="220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749</v>
      </c>
      <c r="F352" s="163" t="s">
        <v>750</v>
      </c>
      <c r="G352" s="162">
        <v>46201</v>
      </c>
      <c r="H352" s="131">
        <v>1</v>
      </c>
      <c r="I352" s="131">
        <v>1</v>
      </c>
      <c r="J352" s="141" t="s">
        <v>552</v>
      </c>
      <c r="K352" s="141">
        <v>1</v>
      </c>
      <c r="N352" s="141">
        <v>84</v>
      </c>
      <c r="U352" s="126">
        <v>-50</v>
      </c>
      <c r="V352" s="220">
        <v>4.25</v>
      </c>
      <c r="W352" s="220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1217</v>
      </c>
      <c r="F353" s="163" t="s">
        <v>1218</v>
      </c>
      <c r="G353" s="162">
        <v>46201</v>
      </c>
      <c r="H353" s="131">
        <v>1</v>
      </c>
      <c r="I353" s="131">
        <v>1</v>
      </c>
      <c r="J353" s="141" t="s">
        <v>552</v>
      </c>
      <c r="K353" s="141">
        <v>1</v>
      </c>
      <c r="N353" s="141">
        <v>84</v>
      </c>
      <c r="U353" s="126">
        <v>-2</v>
      </c>
      <c r="V353" s="220">
        <v>0.41</v>
      </c>
      <c r="W353" s="220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1382</v>
      </c>
      <c r="F354" s="163" t="s">
        <v>1383</v>
      </c>
      <c r="G354" s="162">
        <v>46201</v>
      </c>
      <c r="H354" s="131">
        <v>1</v>
      </c>
      <c r="I354" s="131">
        <v>1</v>
      </c>
      <c r="J354" s="141" t="s">
        <v>552</v>
      </c>
      <c r="K354" s="141">
        <v>1</v>
      </c>
      <c r="N354" s="141">
        <v>84</v>
      </c>
      <c r="U354" s="126">
        <v>-2</v>
      </c>
      <c r="V354" s="220">
        <v>0.13</v>
      </c>
      <c r="W354" s="220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628</v>
      </c>
      <c r="F355" s="163" t="s">
        <v>629</v>
      </c>
      <c r="G355" s="162">
        <v>46201</v>
      </c>
      <c r="H355" s="131">
        <v>1</v>
      </c>
      <c r="I355" s="131">
        <v>1</v>
      </c>
      <c r="J355" s="141" t="s">
        <v>552</v>
      </c>
      <c r="K355" s="141">
        <v>1</v>
      </c>
      <c r="N355" s="141">
        <v>84</v>
      </c>
      <c r="U355" s="126">
        <v>-12</v>
      </c>
      <c r="V355" s="220">
        <v>2</v>
      </c>
      <c r="W355" s="220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592</v>
      </c>
      <c r="F356" s="163" t="s">
        <v>593</v>
      </c>
      <c r="G356" s="162">
        <v>46201</v>
      </c>
      <c r="H356" s="131">
        <v>1</v>
      </c>
      <c r="I356" s="131">
        <v>1</v>
      </c>
      <c r="J356" s="141" t="s">
        <v>552</v>
      </c>
      <c r="K356" s="141">
        <v>1</v>
      </c>
      <c r="N356" s="141">
        <v>84</v>
      </c>
      <c r="U356" s="126">
        <v>-1</v>
      </c>
      <c r="V356" s="220">
        <v>1.1000000000000001</v>
      </c>
      <c r="W356" s="220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1194</v>
      </c>
      <c r="F357" s="163" t="s">
        <v>1195</v>
      </c>
      <c r="G357" s="162">
        <v>46201</v>
      </c>
      <c r="H357" s="131">
        <v>1</v>
      </c>
      <c r="I357" s="131">
        <v>1</v>
      </c>
      <c r="J357" s="141" t="s">
        <v>552</v>
      </c>
      <c r="K357" s="141">
        <v>1</v>
      </c>
      <c r="N357" s="141">
        <v>84</v>
      </c>
      <c r="U357" s="126">
        <v>-1</v>
      </c>
      <c r="V357" s="220">
        <v>0.5</v>
      </c>
      <c r="W357" s="220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804</v>
      </c>
      <c r="F358" s="163" t="s">
        <v>805</v>
      </c>
      <c r="G358" s="162">
        <v>46201</v>
      </c>
      <c r="H358" s="131">
        <v>1</v>
      </c>
      <c r="I358" s="131">
        <v>1</v>
      </c>
      <c r="J358" s="141" t="s">
        <v>552</v>
      </c>
      <c r="K358" s="141">
        <v>1</v>
      </c>
      <c r="N358" s="141">
        <v>84</v>
      </c>
      <c r="U358" s="126">
        <v>-4</v>
      </c>
      <c r="V358" s="220">
        <v>0.12</v>
      </c>
      <c r="W358" s="220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799</v>
      </c>
      <c r="F359" s="163" t="s">
        <v>800</v>
      </c>
      <c r="G359" s="162">
        <v>46201</v>
      </c>
      <c r="H359" s="131">
        <v>1</v>
      </c>
      <c r="I359" s="131">
        <v>1</v>
      </c>
      <c r="J359" s="141" t="s">
        <v>552</v>
      </c>
      <c r="K359" s="141">
        <v>1</v>
      </c>
      <c r="N359" s="141">
        <v>84</v>
      </c>
      <c r="U359" s="126">
        <v>-3</v>
      </c>
      <c r="V359" s="220">
        <v>0.34</v>
      </c>
      <c r="W359" s="220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997</v>
      </c>
      <c r="F360" s="163" t="s">
        <v>998</v>
      </c>
      <c r="G360" s="162">
        <v>46201</v>
      </c>
      <c r="H360" s="131">
        <v>1</v>
      </c>
      <c r="I360" s="131">
        <v>1</v>
      </c>
      <c r="J360" s="141" t="s">
        <v>552</v>
      </c>
      <c r="K360" s="141">
        <v>1</v>
      </c>
      <c r="N360" s="141">
        <v>84</v>
      </c>
      <c r="U360" s="126">
        <v>-2</v>
      </c>
      <c r="V360" s="220">
        <v>0.3</v>
      </c>
      <c r="W360" s="220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1524</v>
      </c>
      <c r="F361" s="163" t="s">
        <v>1525</v>
      </c>
      <c r="G361" s="162">
        <v>46201</v>
      </c>
      <c r="H361" s="131">
        <v>1</v>
      </c>
      <c r="I361" s="131">
        <v>1</v>
      </c>
      <c r="J361" s="141" t="s">
        <v>552</v>
      </c>
      <c r="K361" s="141">
        <v>1</v>
      </c>
      <c r="N361" s="141">
        <v>84</v>
      </c>
      <c r="U361" s="126">
        <v>-2</v>
      </c>
      <c r="V361" s="220">
        <v>4.2300000000000004</v>
      </c>
      <c r="W361" s="220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1516</v>
      </c>
      <c r="F362" s="163" t="s">
        <v>1517</v>
      </c>
      <c r="G362" s="162">
        <v>46201</v>
      </c>
      <c r="H362" s="131">
        <v>1</v>
      </c>
      <c r="I362" s="131">
        <v>1</v>
      </c>
      <c r="J362" s="141" t="s">
        <v>552</v>
      </c>
      <c r="K362" s="141">
        <v>1</v>
      </c>
      <c r="N362" s="141">
        <v>84</v>
      </c>
      <c r="U362" s="126">
        <v>-1</v>
      </c>
      <c r="V362" s="220">
        <v>0.66</v>
      </c>
      <c r="W362" s="220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814</v>
      </c>
      <c r="F363" s="163" t="s">
        <v>815</v>
      </c>
      <c r="G363" s="162">
        <v>46201</v>
      </c>
      <c r="H363" s="131">
        <v>1</v>
      </c>
      <c r="I363" s="131">
        <v>1</v>
      </c>
      <c r="J363" s="141" t="s">
        <v>552</v>
      </c>
      <c r="K363" s="141">
        <v>1</v>
      </c>
      <c r="N363" s="141">
        <v>84</v>
      </c>
      <c r="U363" s="126">
        <v>-3</v>
      </c>
      <c r="V363" s="220">
        <v>0.28000000000000003</v>
      </c>
      <c r="W363" s="220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1010</v>
      </c>
      <c r="F364" s="163" t="s">
        <v>1011</v>
      </c>
      <c r="G364" s="162">
        <v>46201</v>
      </c>
      <c r="H364" s="131">
        <v>1</v>
      </c>
      <c r="I364" s="131">
        <v>1</v>
      </c>
      <c r="J364" s="141" t="s">
        <v>552</v>
      </c>
      <c r="K364" s="141">
        <v>1</v>
      </c>
      <c r="N364" s="141">
        <v>84</v>
      </c>
      <c r="U364" s="126">
        <v>-1</v>
      </c>
      <c r="V364" s="220">
        <v>2.7</v>
      </c>
      <c r="W364" s="220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555</v>
      </c>
      <c r="F365" s="163" t="s">
        <v>556</v>
      </c>
      <c r="G365" s="162">
        <v>46201</v>
      </c>
      <c r="H365" s="131">
        <v>1</v>
      </c>
      <c r="I365" s="131">
        <v>1</v>
      </c>
      <c r="J365" s="141" t="s">
        <v>552</v>
      </c>
      <c r="K365" s="141">
        <v>1</v>
      </c>
      <c r="N365" s="141">
        <v>84</v>
      </c>
      <c r="U365" s="126">
        <v>-2</v>
      </c>
      <c r="V365" s="220">
        <v>3.3</v>
      </c>
      <c r="W365" s="220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762</v>
      </c>
      <c r="F366" s="163" t="s">
        <v>763</v>
      </c>
      <c r="G366" s="162">
        <v>46201</v>
      </c>
      <c r="H366" s="131">
        <v>1</v>
      </c>
      <c r="I366" s="131">
        <v>1</v>
      </c>
      <c r="J366" s="141" t="s">
        <v>552</v>
      </c>
      <c r="K366" s="141">
        <v>1</v>
      </c>
      <c r="N366" s="141">
        <v>84</v>
      </c>
      <c r="U366" s="126">
        <v>-12</v>
      </c>
      <c r="V366" s="220">
        <v>1</v>
      </c>
      <c r="W366" s="220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719</v>
      </c>
      <c r="F367" s="163" t="s">
        <v>720</v>
      </c>
      <c r="G367" s="162">
        <v>46201</v>
      </c>
      <c r="H367" s="131">
        <v>1</v>
      </c>
      <c r="I367" s="131">
        <v>1</v>
      </c>
      <c r="J367" s="141" t="s">
        <v>552</v>
      </c>
      <c r="K367" s="141">
        <v>1</v>
      </c>
      <c r="N367" s="141">
        <v>84</v>
      </c>
      <c r="U367" s="126">
        <v>-500</v>
      </c>
      <c r="V367" s="220">
        <v>0</v>
      </c>
      <c r="W367" s="220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819</v>
      </c>
      <c r="F368" s="163" t="s">
        <v>820</v>
      </c>
      <c r="G368" s="162">
        <v>46201</v>
      </c>
      <c r="H368" s="131">
        <v>1</v>
      </c>
      <c r="I368" s="131">
        <v>1</v>
      </c>
      <c r="J368" s="141" t="s">
        <v>552</v>
      </c>
      <c r="K368" s="141">
        <v>1</v>
      </c>
      <c r="N368" s="141">
        <v>84</v>
      </c>
      <c r="U368" s="126">
        <v>-1</v>
      </c>
      <c r="V368" s="220">
        <v>1.79</v>
      </c>
      <c r="W368" s="220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694</v>
      </c>
      <c r="F369" s="163" t="s">
        <v>695</v>
      </c>
      <c r="G369" s="162">
        <v>46201</v>
      </c>
      <c r="H369" s="131">
        <v>1</v>
      </c>
      <c r="I369" s="131">
        <v>1</v>
      </c>
      <c r="J369" s="141" t="s">
        <v>552</v>
      </c>
      <c r="K369" s="141">
        <v>1</v>
      </c>
      <c r="N369" s="141">
        <v>84</v>
      </c>
      <c r="U369" s="126">
        <v>-1</v>
      </c>
      <c r="V369" s="220">
        <v>5.3</v>
      </c>
      <c r="W369" s="220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678</v>
      </c>
      <c r="F370" s="163" t="s">
        <v>679</v>
      </c>
      <c r="G370" s="162">
        <v>46201</v>
      </c>
      <c r="H370" s="131">
        <v>1</v>
      </c>
      <c r="I370" s="131">
        <v>1</v>
      </c>
      <c r="J370" s="141" t="s">
        <v>552</v>
      </c>
      <c r="K370" s="141">
        <v>1</v>
      </c>
      <c r="N370" s="141">
        <v>85</v>
      </c>
      <c r="U370" s="126">
        <v>-1</v>
      </c>
      <c r="V370" s="220">
        <v>27.34</v>
      </c>
      <c r="W370" s="220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716</v>
      </c>
      <c r="F371" s="163" t="s">
        <v>717</v>
      </c>
      <c r="G371" s="162">
        <v>46201</v>
      </c>
      <c r="H371" s="131">
        <v>1</v>
      </c>
      <c r="I371" s="131">
        <v>1</v>
      </c>
      <c r="J371" s="141" t="s">
        <v>552</v>
      </c>
      <c r="K371" s="141">
        <v>1</v>
      </c>
      <c r="N371" s="141">
        <v>85</v>
      </c>
      <c r="U371" s="126">
        <v>-1</v>
      </c>
      <c r="V371" s="220">
        <v>3.01</v>
      </c>
      <c r="W371" s="220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582</v>
      </c>
      <c r="F372" s="163" t="s">
        <v>583</v>
      </c>
      <c r="G372" s="162">
        <v>46201</v>
      </c>
      <c r="H372" s="131">
        <v>1</v>
      </c>
      <c r="I372" s="131">
        <v>1</v>
      </c>
      <c r="J372" s="141" t="s">
        <v>552</v>
      </c>
      <c r="K372" s="141">
        <v>1</v>
      </c>
      <c r="N372" s="141">
        <v>85</v>
      </c>
      <c r="U372" s="126">
        <v>-1</v>
      </c>
      <c r="V372" s="220">
        <v>5.8</v>
      </c>
      <c r="W372" s="220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1194</v>
      </c>
      <c r="F373" s="163" t="s">
        <v>1195</v>
      </c>
      <c r="G373" s="162">
        <v>46201</v>
      </c>
      <c r="H373" s="131">
        <v>1</v>
      </c>
      <c r="I373" s="131">
        <v>1</v>
      </c>
      <c r="J373" s="141" t="s">
        <v>552</v>
      </c>
      <c r="K373" s="141">
        <v>1</v>
      </c>
      <c r="N373" s="141">
        <v>85</v>
      </c>
      <c r="U373" s="126">
        <v>-1</v>
      </c>
      <c r="V373" s="220">
        <v>0.5</v>
      </c>
      <c r="W373" s="220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710</v>
      </c>
      <c r="F374" s="163" t="s">
        <v>711</v>
      </c>
      <c r="G374" s="162">
        <v>46201</v>
      </c>
      <c r="H374" s="131">
        <v>1</v>
      </c>
      <c r="I374" s="131">
        <v>1</v>
      </c>
      <c r="J374" s="141" t="s">
        <v>552</v>
      </c>
      <c r="K374" s="141">
        <v>1</v>
      </c>
      <c r="N374" s="141">
        <v>85</v>
      </c>
      <c r="U374" s="126">
        <v>-10</v>
      </c>
      <c r="V374" s="220">
        <v>5.03</v>
      </c>
      <c r="W374" s="220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814</v>
      </c>
      <c r="F375" s="163" t="s">
        <v>815</v>
      </c>
      <c r="G375" s="162">
        <v>46201</v>
      </c>
      <c r="H375" s="131">
        <v>1</v>
      </c>
      <c r="I375" s="131">
        <v>1</v>
      </c>
      <c r="J375" s="141" t="s">
        <v>552</v>
      </c>
      <c r="K375" s="141">
        <v>1</v>
      </c>
      <c r="N375" s="141">
        <v>85</v>
      </c>
      <c r="U375" s="126">
        <v>-5</v>
      </c>
      <c r="V375" s="220">
        <v>0.28000000000000003</v>
      </c>
      <c r="W375" s="220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804</v>
      </c>
      <c r="F376" s="163" t="s">
        <v>805</v>
      </c>
      <c r="G376" s="162">
        <v>46201</v>
      </c>
      <c r="H376" s="131">
        <v>1</v>
      </c>
      <c r="I376" s="131">
        <v>1</v>
      </c>
      <c r="J376" s="141" t="s">
        <v>552</v>
      </c>
      <c r="K376" s="141">
        <v>1</v>
      </c>
      <c r="N376" s="141">
        <v>85</v>
      </c>
      <c r="U376" s="126">
        <v>-5</v>
      </c>
      <c r="V376" s="220">
        <v>0.12</v>
      </c>
      <c r="W376" s="220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2011</v>
      </c>
      <c r="F377" s="163" t="s">
        <v>2012</v>
      </c>
      <c r="G377" s="162">
        <v>46201</v>
      </c>
      <c r="H377" s="131">
        <v>1</v>
      </c>
      <c r="I377" s="131">
        <v>1</v>
      </c>
      <c r="J377" s="141" t="s">
        <v>552</v>
      </c>
      <c r="K377" s="141">
        <v>1</v>
      </c>
      <c r="N377" s="141">
        <v>85</v>
      </c>
      <c r="U377" s="126">
        <v>-2</v>
      </c>
      <c r="V377" s="220">
        <v>0.11</v>
      </c>
      <c r="W377" s="220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1814</v>
      </c>
      <c r="F378" s="163" t="s">
        <v>1815</v>
      </c>
      <c r="G378" s="162">
        <v>46201</v>
      </c>
      <c r="H378" s="131">
        <v>1</v>
      </c>
      <c r="I378" s="131">
        <v>1</v>
      </c>
      <c r="J378" s="141" t="s">
        <v>552</v>
      </c>
      <c r="K378" s="141">
        <v>1</v>
      </c>
      <c r="N378" s="141">
        <v>85</v>
      </c>
      <c r="U378" s="126">
        <v>-3</v>
      </c>
      <c r="V378" s="220">
        <v>1.1499999999999999</v>
      </c>
      <c r="W378" s="220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907</v>
      </c>
      <c r="F379" s="163" t="s">
        <v>908</v>
      </c>
      <c r="G379" s="162">
        <v>46201</v>
      </c>
      <c r="H379" s="131">
        <v>1</v>
      </c>
      <c r="I379" s="131">
        <v>1</v>
      </c>
      <c r="J379" s="141" t="s">
        <v>552</v>
      </c>
      <c r="K379" s="141">
        <v>1</v>
      </c>
      <c r="N379" s="141">
        <v>85</v>
      </c>
      <c r="U379" s="126">
        <v>-1</v>
      </c>
      <c r="V379" s="220">
        <v>0.15</v>
      </c>
      <c r="W379" s="220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1010</v>
      </c>
      <c r="F380" s="163" t="s">
        <v>1011</v>
      </c>
      <c r="G380" s="162">
        <v>46201</v>
      </c>
      <c r="H380" s="131">
        <v>1</v>
      </c>
      <c r="I380" s="131">
        <v>1</v>
      </c>
      <c r="J380" s="141" t="s">
        <v>552</v>
      </c>
      <c r="K380" s="141">
        <v>1</v>
      </c>
      <c r="N380" s="141">
        <v>85</v>
      </c>
      <c r="U380" s="126">
        <v>-1</v>
      </c>
      <c r="V380" s="220">
        <v>2.7</v>
      </c>
      <c r="W380" s="220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663</v>
      </c>
      <c r="F381" s="163" t="s">
        <v>664</v>
      </c>
      <c r="G381" s="162">
        <v>46201</v>
      </c>
      <c r="H381" s="131">
        <v>1</v>
      </c>
      <c r="I381" s="131">
        <v>1</v>
      </c>
      <c r="J381" s="141" t="s">
        <v>552</v>
      </c>
      <c r="K381" s="141">
        <v>1</v>
      </c>
      <c r="N381" s="141">
        <v>85</v>
      </c>
      <c r="U381" s="126">
        <v>-1</v>
      </c>
      <c r="V381" s="220">
        <v>1.63</v>
      </c>
      <c r="W381" s="220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2028</v>
      </c>
      <c r="F382" s="163" t="s">
        <v>2029</v>
      </c>
      <c r="G382" s="162">
        <v>46201</v>
      </c>
      <c r="H382" s="131">
        <v>1</v>
      </c>
      <c r="I382" s="131">
        <v>1</v>
      </c>
      <c r="J382" s="141" t="s">
        <v>552</v>
      </c>
      <c r="K382" s="141">
        <v>1</v>
      </c>
      <c r="N382" s="141">
        <v>85</v>
      </c>
      <c r="U382" s="126">
        <v>-50</v>
      </c>
      <c r="V382" s="220">
        <v>5</v>
      </c>
      <c r="W382" s="220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2034</v>
      </c>
      <c r="F383" s="163" t="s">
        <v>2035</v>
      </c>
      <c r="G383" s="162">
        <v>46201</v>
      </c>
      <c r="H383" s="131">
        <v>1</v>
      </c>
      <c r="I383" s="131">
        <v>1</v>
      </c>
      <c r="J383" s="141" t="s">
        <v>552</v>
      </c>
      <c r="K383" s="141">
        <v>1</v>
      </c>
      <c r="N383" s="141">
        <v>85</v>
      </c>
      <c r="U383" s="126">
        <v>-50</v>
      </c>
      <c r="V383" s="220">
        <v>8.8000000000000007</v>
      </c>
      <c r="W383" s="220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1749</v>
      </c>
      <c r="F384" s="163" t="s">
        <v>1750</v>
      </c>
      <c r="G384" s="162">
        <v>46201</v>
      </c>
      <c r="H384" s="131">
        <v>1</v>
      </c>
      <c r="I384" s="131">
        <v>1</v>
      </c>
      <c r="J384" s="141" t="s">
        <v>552</v>
      </c>
      <c r="K384" s="141">
        <v>1</v>
      </c>
      <c r="N384" s="141">
        <v>85</v>
      </c>
      <c r="U384" s="126">
        <v>-1</v>
      </c>
      <c r="V384" s="220">
        <v>1.04</v>
      </c>
      <c r="W384" s="220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749</v>
      </c>
      <c r="F385" s="163" t="s">
        <v>750</v>
      </c>
      <c r="G385" s="162">
        <v>46202</v>
      </c>
      <c r="H385" s="131">
        <v>1</v>
      </c>
      <c r="I385" s="131">
        <v>1</v>
      </c>
      <c r="J385" s="141" t="s">
        <v>552</v>
      </c>
      <c r="K385" s="141">
        <v>1</v>
      </c>
      <c r="N385" s="141">
        <v>86</v>
      </c>
      <c r="U385" s="126">
        <v>-500</v>
      </c>
      <c r="V385" s="220">
        <v>4.25</v>
      </c>
      <c r="W385" s="220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749</v>
      </c>
      <c r="F386" s="163" t="s">
        <v>750</v>
      </c>
      <c r="G386" s="162">
        <v>46202</v>
      </c>
      <c r="H386" s="131">
        <v>1</v>
      </c>
      <c r="I386" s="131">
        <v>1</v>
      </c>
      <c r="J386" s="141" t="s">
        <v>552</v>
      </c>
      <c r="K386" s="141">
        <v>1</v>
      </c>
      <c r="N386" s="141">
        <v>87</v>
      </c>
      <c r="U386" s="126">
        <v>-250</v>
      </c>
      <c r="V386" s="220">
        <v>4.25</v>
      </c>
      <c r="W386" s="220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736</v>
      </c>
      <c r="F387" s="163" t="s">
        <v>737</v>
      </c>
      <c r="G387" s="162">
        <v>46202</v>
      </c>
      <c r="H387" s="131">
        <v>1</v>
      </c>
      <c r="I387" s="131">
        <v>1</v>
      </c>
      <c r="J387" s="141" t="s">
        <v>552</v>
      </c>
      <c r="K387" s="141">
        <v>1</v>
      </c>
      <c r="N387" s="141">
        <v>87</v>
      </c>
      <c r="U387" s="126">
        <v>-6</v>
      </c>
      <c r="V387" s="220">
        <v>4.41</v>
      </c>
      <c r="W387" s="220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742</v>
      </c>
      <c r="F388" s="163" t="s">
        <v>743</v>
      </c>
      <c r="G388" s="162">
        <v>46202</v>
      </c>
      <c r="H388" s="131">
        <v>1</v>
      </c>
      <c r="I388" s="131">
        <v>1</v>
      </c>
      <c r="J388" s="141" t="s">
        <v>552</v>
      </c>
      <c r="K388" s="141">
        <v>1</v>
      </c>
      <c r="N388" s="141">
        <v>87</v>
      </c>
      <c r="U388" s="126">
        <v>-1</v>
      </c>
      <c r="V388" s="220">
        <v>53</v>
      </c>
      <c r="W388" s="220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1010</v>
      </c>
      <c r="F389" s="163" t="s">
        <v>1011</v>
      </c>
      <c r="G389" s="162">
        <v>46202</v>
      </c>
      <c r="H389" s="131">
        <v>1</v>
      </c>
      <c r="I389" s="131">
        <v>1</v>
      </c>
      <c r="J389" s="141" t="s">
        <v>552</v>
      </c>
      <c r="K389" s="141">
        <v>1</v>
      </c>
      <c r="N389" s="141">
        <v>88</v>
      </c>
      <c r="U389" s="126">
        <v>-7</v>
      </c>
      <c r="V389" s="220">
        <v>2.7</v>
      </c>
      <c r="W389" s="220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1406</v>
      </c>
      <c r="F390" s="163" t="s">
        <v>1407</v>
      </c>
      <c r="G390" s="162">
        <v>46202</v>
      </c>
      <c r="H390" s="131">
        <v>1</v>
      </c>
      <c r="I390" s="131">
        <v>1</v>
      </c>
      <c r="J390" s="141" t="s">
        <v>552</v>
      </c>
      <c r="K390" s="141">
        <v>1</v>
      </c>
      <c r="N390" s="141">
        <v>88</v>
      </c>
      <c r="U390" s="126">
        <v>-20</v>
      </c>
      <c r="V390" s="220">
        <v>0.13</v>
      </c>
      <c r="W390" s="220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2068</v>
      </c>
      <c r="F391" s="163" t="s">
        <v>2069</v>
      </c>
      <c r="G391" s="162">
        <v>46202</v>
      </c>
      <c r="H391" s="131">
        <v>1</v>
      </c>
      <c r="I391" s="131">
        <v>1</v>
      </c>
      <c r="J391" s="141" t="s">
        <v>552</v>
      </c>
      <c r="K391" s="141">
        <v>1</v>
      </c>
      <c r="N391" s="141">
        <v>88</v>
      </c>
      <c r="U391" s="126">
        <v>-1</v>
      </c>
      <c r="V391" s="220">
        <v>2.6</v>
      </c>
      <c r="W391" s="220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1134</v>
      </c>
      <c r="F392" s="163" t="s">
        <v>1135</v>
      </c>
      <c r="G392" s="162">
        <v>46202</v>
      </c>
      <c r="H392" s="131">
        <v>1</v>
      </c>
      <c r="I392" s="131">
        <v>1</v>
      </c>
      <c r="J392" s="141" t="s">
        <v>552</v>
      </c>
      <c r="K392" s="141">
        <v>1</v>
      </c>
      <c r="N392" s="141">
        <v>88</v>
      </c>
      <c r="U392" s="126">
        <v>-1</v>
      </c>
      <c r="V392" s="220">
        <v>1.35</v>
      </c>
      <c r="W392" s="220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799</v>
      </c>
      <c r="F393" s="163" t="s">
        <v>800</v>
      </c>
      <c r="G393" s="162">
        <v>46202</v>
      </c>
      <c r="H393" s="131">
        <v>1</v>
      </c>
      <c r="I393" s="131">
        <v>1</v>
      </c>
      <c r="J393" s="141" t="s">
        <v>552</v>
      </c>
      <c r="K393" s="141">
        <v>1</v>
      </c>
      <c r="N393" s="141">
        <v>88</v>
      </c>
      <c r="U393" s="126">
        <v>-1</v>
      </c>
      <c r="V393" s="220">
        <v>0.34</v>
      </c>
      <c r="W393" s="220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577</v>
      </c>
      <c r="F394" s="163" t="s">
        <v>578</v>
      </c>
      <c r="G394" s="162">
        <v>46202</v>
      </c>
      <c r="H394" s="131">
        <v>1</v>
      </c>
      <c r="I394" s="131">
        <v>1</v>
      </c>
      <c r="J394" s="141" t="s">
        <v>552</v>
      </c>
      <c r="K394" s="141">
        <v>1</v>
      </c>
      <c r="N394" s="141">
        <v>88</v>
      </c>
      <c r="U394" s="126">
        <v>-16</v>
      </c>
      <c r="V394" s="220">
        <v>3.37</v>
      </c>
      <c r="W394" s="220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824</v>
      </c>
      <c r="F395" s="163" t="s">
        <v>825</v>
      </c>
      <c r="G395" s="162">
        <v>46202</v>
      </c>
      <c r="H395" s="131">
        <v>1</v>
      </c>
      <c r="I395" s="131">
        <v>1</v>
      </c>
      <c r="J395" s="141" t="s">
        <v>552</v>
      </c>
      <c r="K395" s="141">
        <v>1</v>
      </c>
      <c r="N395" s="141">
        <v>88</v>
      </c>
      <c r="U395" s="126">
        <v>-8</v>
      </c>
      <c r="V395" s="220">
        <v>0.28999999999999998</v>
      </c>
      <c r="W395" s="220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997</v>
      </c>
      <c r="F396" s="163" t="s">
        <v>998</v>
      </c>
      <c r="G396" s="162">
        <v>46202</v>
      </c>
      <c r="H396" s="131">
        <v>1</v>
      </c>
      <c r="I396" s="131">
        <v>1</v>
      </c>
      <c r="J396" s="141" t="s">
        <v>552</v>
      </c>
      <c r="K396" s="141">
        <v>1</v>
      </c>
      <c r="N396" s="141">
        <v>88</v>
      </c>
      <c r="U396" s="126">
        <v>-1</v>
      </c>
      <c r="V396" s="220">
        <v>0.3</v>
      </c>
      <c r="W396" s="220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1126</v>
      </c>
      <c r="F397" s="163" t="s">
        <v>1127</v>
      </c>
      <c r="G397" s="162">
        <v>46202</v>
      </c>
      <c r="H397" s="131">
        <v>1</v>
      </c>
      <c r="I397" s="131">
        <v>1</v>
      </c>
      <c r="J397" s="141" t="s">
        <v>552</v>
      </c>
      <c r="K397" s="141">
        <v>1</v>
      </c>
      <c r="N397" s="141">
        <v>88</v>
      </c>
      <c r="U397" s="126">
        <v>-1</v>
      </c>
      <c r="V397" s="220">
        <v>1.32</v>
      </c>
      <c r="W397" s="220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678</v>
      </c>
      <c r="F398" s="163" t="s">
        <v>679</v>
      </c>
      <c r="G398" s="162">
        <v>46203</v>
      </c>
      <c r="H398" s="131">
        <v>1</v>
      </c>
      <c r="I398" s="131">
        <v>1</v>
      </c>
      <c r="J398" s="141" t="s">
        <v>552</v>
      </c>
      <c r="K398" s="141">
        <v>1</v>
      </c>
      <c r="N398" s="141">
        <v>89</v>
      </c>
      <c r="U398" s="126">
        <v>-1</v>
      </c>
      <c r="V398" s="220">
        <v>27.34</v>
      </c>
      <c r="W398" s="220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2097</v>
      </c>
      <c r="F399" s="163" t="s">
        <v>2098</v>
      </c>
      <c r="G399" s="162">
        <v>46203</v>
      </c>
      <c r="H399" s="131">
        <v>1</v>
      </c>
      <c r="I399" s="131">
        <v>1</v>
      </c>
      <c r="J399" s="141" t="s">
        <v>552</v>
      </c>
      <c r="K399" s="141">
        <v>1</v>
      </c>
      <c r="N399" s="141">
        <v>89</v>
      </c>
      <c r="U399" s="126">
        <v>-2</v>
      </c>
      <c r="V399" s="220">
        <v>0.2</v>
      </c>
      <c r="W399" s="220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2102</v>
      </c>
      <c r="F400" s="163" t="s">
        <v>2103</v>
      </c>
      <c r="G400" s="162">
        <v>46203</v>
      </c>
      <c r="H400" s="131">
        <v>1</v>
      </c>
      <c r="I400" s="131">
        <v>1</v>
      </c>
      <c r="J400" s="141" t="s">
        <v>552</v>
      </c>
      <c r="K400" s="141">
        <v>1</v>
      </c>
      <c r="N400" s="141">
        <v>89</v>
      </c>
      <c r="U400" s="126">
        <v>-2</v>
      </c>
      <c r="V400" s="220">
        <v>1.2</v>
      </c>
      <c r="W400" s="220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2107</v>
      </c>
      <c r="F401" s="163" t="s">
        <v>2108</v>
      </c>
      <c r="G401" s="162">
        <v>46203</v>
      </c>
      <c r="H401" s="131">
        <v>1</v>
      </c>
      <c r="I401" s="131">
        <v>1</v>
      </c>
      <c r="J401" s="141" t="s">
        <v>552</v>
      </c>
      <c r="K401" s="141">
        <v>1</v>
      </c>
      <c r="N401" s="141">
        <v>89</v>
      </c>
      <c r="U401" s="126">
        <v>-2</v>
      </c>
      <c r="V401" s="220">
        <v>0.1</v>
      </c>
      <c r="W401" s="220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587</v>
      </c>
      <c r="F402" s="163" t="s">
        <v>588</v>
      </c>
      <c r="G402" s="162">
        <v>46203</v>
      </c>
      <c r="H402" s="131">
        <v>1</v>
      </c>
      <c r="I402" s="131">
        <v>1</v>
      </c>
      <c r="J402" s="141" t="s">
        <v>552</v>
      </c>
      <c r="K402" s="141">
        <v>1</v>
      </c>
      <c r="N402" s="141">
        <v>89</v>
      </c>
      <c r="U402" s="126">
        <v>-2</v>
      </c>
      <c r="V402" s="220">
        <v>14.85</v>
      </c>
      <c r="W402" s="220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779</v>
      </c>
      <c r="F403" s="163" t="s">
        <v>780</v>
      </c>
      <c r="G403" s="162">
        <v>46203</v>
      </c>
      <c r="H403" s="131">
        <v>1</v>
      </c>
      <c r="I403" s="131">
        <v>1</v>
      </c>
      <c r="J403" s="141" t="s">
        <v>552</v>
      </c>
      <c r="K403" s="141">
        <v>1</v>
      </c>
      <c r="N403" s="141">
        <v>90</v>
      </c>
      <c r="U403" s="126">
        <v>-20</v>
      </c>
      <c r="V403" s="220">
        <v>4.09</v>
      </c>
      <c r="W403" s="220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767</v>
      </c>
      <c r="F404" s="163" t="s">
        <v>768</v>
      </c>
      <c r="G404" s="162">
        <v>46203</v>
      </c>
      <c r="H404" s="131">
        <v>1</v>
      </c>
      <c r="I404" s="131">
        <v>1</v>
      </c>
      <c r="J404" s="141" t="s">
        <v>552</v>
      </c>
      <c r="K404" s="141">
        <v>1</v>
      </c>
      <c r="N404" s="141">
        <v>90</v>
      </c>
      <c r="U404" s="126">
        <v>-24</v>
      </c>
      <c r="V404" s="220">
        <v>4</v>
      </c>
      <c r="W404" s="220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2123</v>
      </c>
      <c r="F405" s="163" t="s">
        <v>2124</v>
      </c>
      <c r="G405" s="162">
        <v>46203</v>
      </c>
      <c r="H405" s="131">
        <v>1</v>
      </c>
      <c r="I405" s="131">
        <v>1</v>
      </c>
      <c r="J405" s="141" t="s">
        <v>552</v>
      </c>
      <c r="K405" s="141">
        <v>1</v>
      </c>
      <c r="N405" s="141">
        <v>90</v>
      </c>
      <c r="U405" s="126">
        <v>-2</v>
      </c>
      <c r="V405" s="220">
        <v>0.38</v>
      </c>
      <c r="W405" s="220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799</v>
      </c>
      <c r="F406" s="163" t="s">
        <v>800</v>
      </c>
      <c r="G406" s="162">
        <v>46203</v>
      </c>
      <c r="H406" s="131">
        <v>1</v>
      </c>
      <c r="I406" s="131">
        <v>1</v>
      </c>
      <c r="J406" s="141" t="s">
        <v>552</v>
      </c>
      <c r="K406" s="141">
        <v>1</v>
      </c>
      <c r="N406" s="141">
        <v>90</v>
      </c>
      <c r="U406" s="126">
        <v>-1</v>
      </c>
      <c r="V406" s="220">
        <v>0.34</v>
      </c>
      <c r="W406" s="220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1212</v>
      </c>
      <c r="F407" s="163" t="s">
        <v>1213</v>
      </c>
      <c r="G407" s="162">
        <v>46203</v>
      </c>
      <c r="H407" s="131">
        <v>1</v>
      </c>
      <c r="I407" s="131">
        <v>1</v>
      </c>
      <c r="J407" s="141" t="s">
        <v>552</v>
      </c>
      <c r="K407" s="141">
        <v>1</v>
      </c>
      <c r="N407" s="141">
        <v>90</v>
      </c>
      <c r="U407" s="126">
        <v>-1</v>
      </c>
      <c r="V407" s="220">
        <v>0.95</v>
      </c>
      <c r="W407" s="220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804</v>
      </c>
      <c r="F408" s="163" t="s">
        <v>805</v>
      </c>
      <c r="G408" s="162">
        <v>46203</v>
      </c>
      <c r="H408" s="131">
        <v>1</v>
      </c>
      <c r="I408" s="131">
        <v>1</v>
      </c>
      <c r="J408" s="141" t="s">
        <v>552</v>
      </c>
      <c r="K408" s="141">
        <v>1</v>
      </c>
      <c r="N408" s="141">
        <v>90</v>
      </c>
      <c r="U408" s="126">
        <v>-2</v>
      </c>
      <c r="V408" s="220">
        <v>0.12</v>
      </c>
      <c r="W408" s="220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1204</v>
      </c>
      <c r="F409" s="163" t="s">
        <v>1205</v>
      </c>
      <c r="G409" s="162">
        <v>46203</v>
      </c>
      <c r="H409" s="131">
        <v>1</v>
      </c>
      <c r="I409" s="131">
        <v>1</v>
      </c>
      <c r="J409" s="141" t="s">
        <v>552</v>
      </c>
      <c r="K409" s="141">
        <v>1</v>
      </c>
      <c r="N409" s="141">
        <v>90</v>
      </c>
      <c r="U409" s="126">
        <v>-2</v>
      </c>
      <c r="V409" s="220">
        <v>0.55000000000000004</v>
      </c>
      <c r="W409" s="220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1194</v>
      </c>
      <c r="F410" s="163" t="s">
        <v>1195</v>
      </c>
      <c r="G410" s="162">
        <v>46203</v>
      </c>
      <c r="H410" s="131">
        <v>1</v>
      </c>
      <c r="I410" s="131">
        <v>1</v>
      </c>
      <c r="J410" s="141" t="s">
        <v>552</v>
      </c>
      <c r="K410" s="141">
        <v>1</v>
      </c>
      <c r="N410" s="141">
        <v>90</v>
      </c>
      <c r="U410" s="126">
        <v>-1</v>
      </c>
      <c r="V410" s="220">
        <v>0.5</v>
      </c>
      <c r="W410" s="220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582</v>
      </c>
      <c r="F411" s="163" t="s">
        <v>583</v>
      </c>
      <c r="G411" s="162">
        <v>46174</v>
      </c>
      <c r="H411" s="131">
        <v>1</v>
      </c>
      <c r="I411" s="131">
        <v>1</v>
      </c>
      <c r="J411" s="141" t="s">
        <v>682</v>
      </c>
      <c r="L411" s="141">
        <v>2</v>
      </c>
      <c r="Q411" s="141">
        <v>4</v>
      </c>
      <c r="U411" s="126">
        <v>8</v>
      </c>
      <c r="V411" s="220">
        <v>5.8</v>
      </c>
      <c r="W411" s="220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560</v>
      </c>
      <c r="F412" s="163" t="s">
        <v>561</v>
      </c>
      <c r="G412" s="162">
        <v>46174</v>
      </c>
      <c r="H412" s="131">
        <v>1</v>
      </c>
      <c r="I412" s="131">
        <v>1</v>
      </c>
      <c r="J412" s="141" t="s">
        <v>682</v>
      </c>
      <c r="L412" s="141">
        <v>2</v>
      </c>
      <c r="Q412" s="141">
        <v>4</v>
      </c>
      <c r="U412" s="126">
        <v>20</v>
      </c>
      <c r="V412" s="220">
        <v>2.89</v>
      </c>
      <c r="W412" s="220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819</v>
      </c>
      <c r="F413" s="163" t="s">
        <v>820</v>
      </c>
      <c r="G413" s="162">
        <v>46174</v>
      </c>
      <c r="H413" s="131">
        <v>1</v>
      </c>
      <c r="I413" s="131">
        <v>1</v>
      </c>
      <c r="J413" s="141" t="s">
        <v>682</v>
      </c>
      <c r="L413" s="141">
        <v>2</v>
      </c>
      <c r="Q413" s="141">
        <v>4</v>
      </c>
      <c r="U413" s="126">
        <v>18</v>
      </c>
      <c r="V413" s="220">
        <v>1.79</v>
      </c>
      <c r="W413" s="220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1126</v>
      </c>
      <c r="F414" s="163" t="s">
        <v>1127</v>
      </c>
      <c r="G414" s="162">
        <v>46174</v>
      </c>
      <c r="H414" s="131">
        <v>1</v>
      </c>
      <c r="I414" s="131">
        <v>1</v>
      </c>
      <c r="J414" s="141" t="s">
        <v>682</v>
      </c>
      <c r="L414" s="141">
        <v>2</v>
      </c>
      <c r="Q414" s="141">
        <v>4</v>
      </c>
      <c r="U414" s="126">
        <v>14</v>
      </c>
      <c r="V414" s="220">
        <v>1.32</v>
      </c>
      <c r="W414" s="220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1814</v>
      </c>
      <c r="F415" s="163" t="s">
        <v>1815</v>
      </c>
      <c r="G415" s="162">
        <v>46174</v>
      </c>
      <c r="H415" s="131">
        <v>1</v>
      </c>
      <c r="I415" s="131">
        <v>1</v>
      </c>
      <c r="J415" s="141" t="s">
        <v>682</v>
      </c>
      <c r="L415" s="141">
        <v>2</v>
      </c>
      <c r="Q415" s="141">
        <v>4</v>
      </c>
      <c r="U415" s="126">
        <v>36</v>
      </c>
      <c r="V415" s="220">
        <v>1.1499999999999999</v>
      </c>
      <c r="W415" s="220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691</v>
      </c>
      <c r="F416" s="163" t="s">
        <v>692</v>
      </c>
      <c r="G416" s="162">
        <v>46174</v>
      </c>
      <c r="H416" s="131">
        <v>1</v>
      </c>
      <c r="I416" s="131">
        <v>1</v>
      </c>
      <c r="J416" s="141" t="s">
        <v>682</v>
      </c>
      <c r="L416" s="141">
        <v>2</v>
      </c>
      <c r="Q416" s="141">
        <v>4</v>
      </c>
      <c r="U416" s="126">
        <v>6</v>
      </c>
      <c r="V416" s="220">
        <v>9.52</v>
      </c>
      <c r="W416" s="220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700</v>
      </c>
      <c r="F417" s="163" t="s">
        <v>701</v>
      </c>
      <c r="G417" s="162">
        <v>46174</v>
      </c>
      <c r="H417" s="131">
        <v>1</v>
      </c>
      <c r="I417" s="131">
        <v>1</v>
      </c>
      <c r="J417" s="141" t="s">
        <v>682</v>
      </c>
      <c r="L417" s="141">
        <v>2</v>
      </c>
      <c r="Q417" s="141">
        <v>4</v>
      </c>
      <c r="U417" s="126">
        <v>30</v>
      </c>
      <c r="V417" s="220">
        <v>2.1</v>
      </c>
      <c r="W417" s="220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704</v>
      </c>
      <c r="F418" s="163" t="s">
        <v>705</v>
      </c>
      <c r="G418" s="162">
        <v>46174</v>
      </c>
      <c r="H418" s="131">
        <v>1</v>
      </c>
      <c r="I418" s="131">
        <v>1</v>
      </c>
      <c r="J418" s="141" t="s">
        <v>682</v>
      </c>
      <c r="L418" s="141">
        <v>2</v>
      </c>
      <c r="Q418" s="141">
        <v>4</v>
      </c>
      <c r="U418" s="126">
        <v>2</v>
      </c>
      <c r="V418" s="220">
        <v>1.35</v>
      </c>
      <c r="W418" s="220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710</v>
      </c>
      <c r="F419" s="163" t="s">
        <v>711</v>
      </c>
      <c r="G419" s="162">
        <v>46174</v>
      </c>
      <c r="H419" s="131">
        <v>1</v>
      </c>
      <c r="I419" s="131">
        <v>1</v>
      </c>
      <c r="J419" s="141" t="s">
        <v>682</v>
      </c>
      <c r="L419" s="141">
        <v>2</v>
      </c>
      <c r="Q419" s="141">
        <v>4</v>
      </c>
      <c r="U419" s="126">
        <v>14</v>
      </c>
      <c r="V419" s="220">
        <v>5.03</v>
      </c>
      <c r="W419" s="220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1296</v>
      </c>
      <c r="F420" s="163" t="s">
        <v>1297</v>
      </c>
      <c r="G420" s="162">
        <v>46174</v>
      </c>
      <c r="H420" s="131">
        <v>1</v>
      </c>
      <c r="I420" s="131">
        <v>1</v>
      </c>
      <c r="J420" s="141" t="s">
        <v>682</v>
      </c>
      <c r="L420" s="141">
        <v>2</v>
      </c>
      <c r="Q420" s="141">
        <v>4</v>
      </c>
      <c r="U420" s="126">
        <v>2</v>
      </c>
      <c r="V420" s="220">
        <v>1.51</v>
      </c>
      <c r="W420" s="220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1524</v>
      </c>
      <c r="F421" s="163" t="s">
        <v>1525</v>
      </c>
      <c r="G421" s="162">
        <v>46174</v>
      </c>
      <c r="H421" s="131">
        <v>1</v>
      </c>
      <c r="I421" s="131">
        <v>1</v>
      </c>
      <c r="J421" s="141" t="s">
        <v>682</v>
      </c>
      <c r="L421" s="141">
        <v>2</v>
      </c>
      <c r="Q421" s="141">
        <v>4</v>
      </c>
      <c r="U421" s="126">
        <v>24</v>
      </c>
      <c r="V421" s="220">
        <v>4.2300000000000004</v>
      </c>
      <c r="W421" s="220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1188</v>
      </c>
      <c r="F422" s="163" t="s">
        <v>1189</v>
      </c>
      <c r="G422" s="162">
        <v>46174</v>
      </c>
      <c r="H422" s="131">
        <v>1</v>
      </c>
      <c r="I422" s="131">
        <v>1</v>
      </c>
      <c r="J422" s="141" t="s">
        <v>682</v>
      </c>
      <c r="L422" s="141">
        <v>2</v>
      </c>
      <c r="Q422" s="141">
        <v>4</v>
      </c>
      <c r="U422" s="126">
        <v>6</v>
      </c>
      <c r="V422" s="220">
        <v>1.49</v>
      </c>
      <c r="W422" s="220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1749</v>
      </c>
      <c r="F423" s="163" t="s">
        <v>1750</v>
      </c>
      <c r="G423" s="162">
        <v>46174</v>
      </c>
      <c r="H423" s="131">
        <v>1</v>
      </c>
      <c r="I423" s="131">
        <v>1</v>
      </c>
      <c r="J423" s="141" t="s">
        <v>682</v>
      </c>
      <c r="L423" s="141">
        <v>2</v>
      </c>
      <c r="Q423" s="141">
        <v>4</v>
      </c>
      <c r="U423" s="126">
        <v>4</v>
      </c>
      <c r="V423" s="220">
        <v>1.04</v>
      </c>
      <c r="W423" s="220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1199</v>
      </c>
      <c r="F424" s="163" t="s">
        <v>1200</v>
      </c>
      <c r="G424" s="162">
        <v>46174</v>
      </c>
      <c r="H424" s="131">
        <v>1</v>
      </c>
      <c r="I424" s="131">
        <v>1</v>
      </c>
      <c r="J424" s="141" t="s">
        <v>682</v>
      </c>
      <c r="L424" s="141">
        <v>2</v>
      </c>
      <c r="Q424" s="141">
        <v>4</v>
      </c>
      <c r="U424" s="126">
        <v>2</v>
      </c>
      <c r="V424" s="220">
        <v>1.75</v>
      </c>
      <c r="W424" s="220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1194</v>
      </c>
      <c r="F425" s="163" t="s">
        <v>1195</v>
      </c>
      <c r="G425" s="162">
        <v>46174</v>
      </c>
      <c r="H425" s="131">
        <v>1</v>
      </c>
      <c r="I425" s="131">
        <v>1</v>
      </c>
      <c r="J425" s="141" t="s">
        <v>682</v>
      </c>
      <c r="L425" s="141">
        <v>2</v>
      </c>
      <c r="Q425" s="141">
        <v>5</v>
      </c>
      <c r="U425" s="126">
        <v>20</v>
      </c>
      <c r="V425" s="220">
        <v>0.5</v>
      </c>
      <c r="W425" s="220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1516</v>
      </c>
      <c r="F426" s="163" t="s">
        <v>1517</v>
      </c>
      <c r="G426" s="162">
        <v>46174</v>
      </c>
      <c r="H426" s="131">
        <v>1</v>
      </c>
      <c r="I426" s="131">
        <v>1</v>
      </c>
      <c r="J426" s="141" t="s">
        <v>682</v>
      </c>
      <c r="L426" s="141">
        <v>2</v>
      </c>
      <c r="Q426" s="141">
        <v>5</v>
      </c>
      <c r="U426" s="126">
        <v>4</v>
      </c>
      <c r="V426" s="220">
        <v>0.66</v>
      </c>
      <c r="W426" s="220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1114</v>
      </c>
      <c r="F427" s="163" t="s">
        <v>1115</v>
      </c>
      <c r="G427" s="162">
        <v>46174</v>
      </c>
      <c r="H427" s="131">
        <v>1</v>
      </c>
      <c r="I427" s="131">
        <v>1</v>
      </c>
      <c r="J427" s="141" t="s">
        <v>682</v>
      </c>
      <c r="L427" s="141">
        <v>2</v>
      </c>
      <c r="Q427" s="141">
        <v>5</v>
      </c>
      <c r="U427" s="126">
        <v>4</v>
      </c>
      <c r="V427" s="220">
        <v>0.28999999999999998</v>
      </c>
      <c r="W427" s="220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1145</v>
      </c>
      <c r="F428" s="163" t="s">
        <v>1146</v>
      </c>
      <c r="G428" s="162">
        <v>46174</v>
      </c>
      <c r="H428" s="131">
        <v>1</v>
      </c>
      <c r="I428" s="131">
        <v>1</v>
      </c>
      <c r="J428" s="141" t="s">
        <v>682</v>
      </c>
      <c r="L428" s="141">
        <v>2</v>
      </c>
      <c r="Q428" s="141">
        <v>5</v>
      </c>
      <c r="U428" s="126">
        <v>6</v>
      </c>
      <c r="V428" s="220">
        <v>0.28999999999999998</v>
      </c>
      <c r="W428" s="220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1109</v>
      </c>
      <c r="F429" s="163" t="s">
        <v>1110</v>
      </c>
      <c r="G429" s="162">
        <v>46174</v>
      </c>
      <c r="H429" s="131">
        <v>1</v>
      </c>
      <c r="I429" s="131">
        <v>1</v>
      </c>
      <c r="J429" s="141" t="s">
        <v>682</v>
      </c>
      <c r="L429" s="141">
        <v>2</v>
      </c>
      <c r="Q429" s="141">
        <v>5</v>
      </c>
      <c r="U429" s="126">
        <v>4</v>
      </c>
      <c r="V429" s="220">
        <v>0.23</v>
      </c>
      <c r="W429" s="220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809</v>
      </c>
      <c r="F430" s="163" t="s">
        <v>810</v>
      </c>
      <c r="G430" s="162">
        <v>46174</v>
      </c>
      <c r="H430" s="131">
        <v>1</v>
      </c>
      <c r="I430" s="131">
        <v>1</v>
      </c>
      <c r="J430" s="141" t="s">
        <v>682</v>
      </c>
      <c r="L430" s="141">
        <v>2</v>
      </c>
      <c r="Q430" s="141">
        <v>5</v>
      </c>
      <c r="U430" s="126">
        <v>16</v>
      </c>
      <c r="V430" s="220">
        <v>0.53</v>
      </c>
      <c r="W430" s="220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976</v>
      </c>
      <c r="F431" s="163" t="s">
        <v>977</v>
      </c>
      <c r="G431" s="162">
        <v>46174</v>
      </c>
      <c r="H431" s="131">
        <v>1</v>
      </c>
      <c r="I431" s="131">
        <v>1</v>
      </c>
      <c r="J431" s="141" t="s">
        <v>682</v>
      </c>
      <c r="L431" s="141">
        <v>2</v>
      </c>
      <c r="Q431" s="141">
        <v>5</v>
      </c>
      <c r="U431" s="126">
        <v>32</v>
      </c>
      <c r="V431" s="220">
        <v>0.24</v>
      </c>
      <c r="W431" s="220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1230</v>
      </c>
      <c r="F432" s="163" t="s">
        <v>1231</v>
      </c>
      <c r="G432" s="162">
        <v>46174</v>
      </c>
      <c r="H432" s="131">
        <v>1</v>
      </c>
      <c r="I432" s="131">
        <v>1</v>
      </c>
      <c r="J432" s="141" t="s">
        <v>682</v>
      </c>
      <c r="L432" s="141">
        <v>2</v>
      </c>
      <c r="Q432" s="141">
        <v>5</v>
      </c>
      <c r="U432" s="126">
        <v>8</v>
      </c>
      <c r="V432" s="220">
        <v>0.22</v>
      </c>
      <c r="W432" s="220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981</v>
      </c>
      <c r="F433" s="163" t="s">
        <v>982</v>
      </c>
      <c r="G433" s="162">
        <v>46174</v>
      </c>
      <c r="H433" s="131">
        <v>1</v>
      </c>
      <c r="I433" s="131">
        <v>1</v>
      </c>
      <c r="J433" s="141" t="s">
        <v>682</v>
      </c>
      <c r="L433" s="141">
        <v>2</v>
      </c>
      <c r="Q433" s="141">
        <v>5</v>
      </c>
      <c r="U433" s="126">
        <v>30</v>
      </c>
      <c r="V433" s="220">
        <v>0.34</v>
      </c>
      <c r="W433" s="220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648</v>
      </c>
      <c r="F434" s="163" t="s">
        <v>649</v>
      </c>
      <c r="G434" s="162">
        <v>46174</v>
      </c>
      <c r="H434" s="131">
        <v>1</v>
      </c>
      <c r="I434" s="131">
        <v>1</v>
      </c>
      <c r="J434" s="141" t="s">
        <v>682</v>
      </c>
      <c r="L434" s="141">
        <v>2</v>
      </c>
      <c r="Q434" s="141">
        <v>5</v>
      </c>
      <c r="U434" s="126">
        <v>60</v>
      </c>
      <c r="V434" s="220">
        <v>0.15</v>
      </c>
      <c r="W434" s="220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597</v>
      </c>
      <c r="F435" s="163" t="s">
        <v>598</v>
      </c>
      <c r="G435" s="162">
        <v>46174</v>
      </c>
      <c r="H435" s="131">
        <v>1</v>
      </c>
      <c r="I435" s="131">
        <v>1</v>
      </c>
      <c r="J435" s="141" t="s">
        <v>682</v>
      </c>
      <c r="L435" s="141">
        <v>2</v>
      </c>
      <c r="Q435" s="141">
        <v>5</v>
      </c>
      <c r="U435" s="126">
        <v>14</v>
      </c>
      <c r="V435" s="220">
        <v>0.12</v>
      </c>
      <c r="W435" s="220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814</v>
      </c>
      <c r="F436" s="163" t="s">
        <v>815</v>
      </c>
      <c r="G436" s="162">
        <v>46174</v>
      </c>
      <c r="H436" s="131">
        <v>1</v>
      </c>
      <c r="I436" s="131">
        <v>1</v>
      </c>
      <c r="J436" s="141" t="s">
        <v>682</v>
      </c>
      <c r="L436" s="141">
        <v>2</v>
      </c>
      <c r="Q436" s="141">
        <v>5</v>
      </c>
      <c r="U436" s="126">
        <v>30</v>
      </c>
      <c r="V436" s="220">
        <v>0.28000000000000003</v>
      </c>
      <c r="W436" s="220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804</v>
      </c>
      <c r="F437" s="163" t="s">
        <v>805</v>
      </c>
      <c r="G437" s="162">
        <v>46174</v>
      </c>
      <c r="H437" s="131">
        <v>1</v>
      </c>
      <c r="I437" s="131">
        <v>1</v>
      </c>
      <c r="J437" s="141" t="s">
        <v>682</v>
      </c>
      <c r="L437" s="141">
        <v>2</v>
      </c>
      <c r="Q437" s="141">
        <v>5</v>
      </c>
      <c r="U437" s="126">
        <v>118</v>
      </c>
      <c r="V437" s="220">
        <v>0.12</v>
      </c>
      <c r="W437" s="220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1340</v>
      </c>
      <c r="F438" s="163" t="s">
        <v>1341</v>
      </c>
      <c r="G438" s="162">
        <v>46174</v>
      </c>
      <c r="H438" s="131">
        <v>1</v>
      </c>
      <c r="I438" s="131">
        <v>1</v>
      </c>
      <c r="J438" s="141" t="s">
        <v>682</v>
      </c>
      <c r="L438" s="141">
        <v>2</v>
      </c>
      <c r="Q438" s="141">
        <v>5</v>
      </c>
      <c r="U438" s="126">
        <v>34</v>
      </c>
      <c r="V438" s="220">
        <v>4.49</v>
      </c>
      <c r="W438" s="220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934</v>
      </c>
      <c r="F439" s="163" t="s">
        <v>935</v>
      </c>
      <c r="G439" s="162">
        <v>46176</v>
      </c>
      <c r="H439" s="131">
        <v>1</v>
      </c>
      <c r="I439" s="131">
        <v>1</v>
      </c>
      <c r="J439" s="141" t="s">
        <v>682</v>
      </c>
      <c r="L439" s="141">
        <v>2</v>
      </c>
      <c r="Q439" s="141">
        <v>6</v>
      </c>
      <c r="U439" s="126">
        <v>22</v>
      </c>
      <c r="V439" s="220">
        <v>1.91</v>
      </c>
      <c r="W439" s="220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1212</v>
      </c>
      <c r="F440" s="163" t="s">
        <v>1213</v>
      </c>
      <c r="G440" s="162">
        <v>46176</v>
      </c>
      <c r="H440" s="131">
        <v>1</v>
      </c>
      <c r="I440" s="131">
        <v>1</v>
      </c>
      <c r="J440" s="141" t="s">
        <v>682</v>
      </c>
      <c r="L440" s="141">
        <v>2</v>
      </c>
      <c r="Q440" s="141">
        <v>6</v>
      </c>
      <c r="U440" s="126">
        <v>4</v>
      </c>
      <c r="V440" s="220">
        <v>0.95</v>
      </c>
      <c r="W440" s="220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1744</v>
      </c>
      <c r="F441" s="163" t="s">
        <v>1745</v>
      </c>
      <c r="G441" s="162">
        <v>46176</v>
      </c>
      <c r="H441" s="131">
        <v>1</v>
      </c>
      <c r="I441" s="131">
        <v>1</v>
      </c>
      <c r="J441" s="141" t="s">
        <v>682</v>
      </c>
      <c r="L441" s="141">
        <v>2</v>
      </c>
      <c r="Q441" s="141">
        <v>6</v>
      </c>
      <c r="U441" s="126">
        <v>16</v>
      </c>
      <c r="V441" s="220">
        <v>2.12</v>
      </c>
      <c r="W441" s="220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1204</v>
      </c>
      <c r="F442" s="163" t="s">
        <v>1205</v>
      </c>
      <c r="G442" s="162">
        <v>46176</v>
      </c>
      <c r="H442" s="131">
        <v>1</v>
      </c>
      <c r="I442" s="131">
        <v>1</v>
      </c>
      <c r="J442" s="141" t="s">
        <v>682</v>
      </c>
      <c r="L442" s="141">
        <v>2</v>
      </c>
      <c r="Q442" s="141">
        <v>6</v>
      </c>
      <c r="U442" s="126">
        <v>14</v>
      </c>
      <c r="V442" s="220">
        <v>0.55000000000000004</v>
      </c>
      <c r="W442" s="220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1925</v>
      </c>
      <c r="F443" s="163" t="s">
        <v>1926</v>
      </c>
      <c r="G443" s="162">
        <v>46176</v>
      </c>
      <c r="H443" s="131">
        <v>1</v>
      </c>
      <c r="I443" s="131">
        <v>1</v>
      </c>
      <c r="J443" s="141" t="s">
        <v>682</v>
      </c>
      <c r="L443" s="141">
        <v>2</v>
      </c>
      <c r="Q443" s="141">
        <v>6</v>
      </c>
      <c r="U443" s="126">
        <v>2</v>
      </c>
      <c r="V443" s="220">
        <v>6.41</v>
      </c>
      <c r="W443" s="220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1038</v>
      </c>
      <c r="F444" s="163" t="s">
        <v>1039</v>
      </c>
      <c r="G444" s="162">
        <v>46176</v>
      </c>
      <c r="H444" s="131">
        <v>1</v>
      </c>
      <c r="I444" s="131">
        <v>1</v>
      </c>
      <c r="J444" s="141" t="s">
        <v>682</v>
      </c>
      <c r="L444" s="141">
        <v>2</v>
      </c>
      <c r="Q444" s="141">
        <v>6</v>
      </c>
      <c r="U444" s="126">
        <v>12</v>
      </c>
      <c r="V444" s="220">
        <v>4.33</v>
      </c>
      <c r="W444" s="220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1222</v>
      </c>
      <c r="F445" s="163" t="s">
        <v>1223</v>
      </c>
      <c r="G445" s="162">
        <v>46176</v>
      </c>
      <c r="H445" s="131">
        <v>1</v>
      </c>
      <c r="I445" s="131">
        <v>1</v>
      </c>
      <c r="J445" s="141" t="s">
        <v>682</v>
      </c>
      <c r="L445" s="141">
        <v>2</v>
      </c>
      <c r="Q445" s="141">
        <v>6</v>
      </c>
      <c r="U445" s="126">
        <v>2</v>
      </c>
      <c r="V445" s="220">
        <v>1.9</v>
      </c>
      <c r="W445" s="220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1217</v>
      </c>
      <c r="F446" s="163" t="s">
        <v>1218</v>
      </c>
      <c r="G446" s="162">
        <v>46176</v>
      </c>
      <c r="H446" s="131">
        <v>1</v>
      </c>
      <c r="I446" s="131">
        <v>1</v>
      </c>
      <c r="J446" s="141" t="s">
        <v>682</v>
      </c>
      <c r="L446" s="141">
        <v>2</v>
      </c>
      <c r="Q446" s="141">
        <v>6</v>
      </c>
      <c r="U446" s="126">
        <v>12</v>
      </c>
      <c r="V446" s="220">
        <v>0.41</v>
      </c>
      <c r="W446" s="220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1243</v>
      </c>
      <c r="F447" s="163" t="s">
        <v>1244</v>
      </c>
      <c r="G447" s="162">
        <v>46176</v>
      </c>
      <c r="H447" s="131">
        <v>1</v>
      </c>
      <c r="I447" s="131">
        <v>1</v>
      </c>
      <c r="J447" s="141" t="s">
        <v>682</v>
      </c>
      <c r="L447" s="141">
        <v>2</v>
      </c>
      <c r="Q447" s="141">
        <v>6</v>
      </c>
      <c r="U447" s="126">
        <v>12</v>
      </c>
      <c r="V447" s="220">
        <v>0.53</v>
      </c>
      <c r="W447" s="220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1235</v>
      </c>
      <c r="F448" s="163" t="s">
        <v>1236</v>
      </c>
      <c r="G448" s="162">
        <v>46176</v>
      </c>
      <c r="H448" s="131">
        <v>1</v>
      </c>
      <c r="I448" s="131">
        <v>1</v>
      </c>
      <c r="J448" s="141" t="s">
        <v>682</v>
      </c>
      <c r="L448" s="141">
        <v>2</v>
      </c>
      <c r="Q448" s="141">
        <v>6</v>
      </c>
      <c r="U448" s="126">
        <v>14</v>
      </c>
      <c r="V448" s="220">
        <v>0.25</v>
      </c>
      <c r="W448" s="220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907</v>
      </c>
      <c r="F449" s="163" t="s">
        <v>908</v>
      </c>
      <c r="G449" s="162">
        <v>46176</v>
      </c>
      <c r="H449" s="131">
        <v>1</v>
      </c>
      <c r="I449" s="131">
        <v>1</v>
      </c>
      <c r="J449" s="141" t="s">
        <v>682</v>
      </c>
      <c r="L449" s="141">
        <v>2</v>
      </c>
      <c r="Q449" s="141">
        <v>6</v>
      </c>
      <c r="U449" s="126">
        <v>8</v>
      </c>
      <c r="V449" s="220">
        <v>0.15</v>
      </c>
      <c r="W449" s="220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2011</v>
      </c>
      <c r="F450" s="163" t="s">
        <v>2012</v>
      </c>
      <c r="G450" s="162">
        <v>46176</v>
      </c>
      <c r="H450" s="131">
        <v>1</v>
      </c>
      <c r="I450" s="131">
        <v>1</v>
      </c>
      <c r="J450" s="141" t="s">
        <v>682</v>
      </c>
      <c r="L450" s="141">
        <v>2</v>
      </c>
      <c r="Q450" s="141">
        <v>6</v>
      </c>
      <c r="U450" s="126">
        <v>4</v>
      </c>
      <c r="V450" s="220">
        <v>0.11</v>
      </c>
      <c r="W450" s="220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1304</v>
      </c>
      <c r="F451" s="163" t="s">
        <v>1305</v>
      </c>
      <c r="G451" s="162">
        <v>46176</v>
      </c>
      <c r="H451" s="131">
        <v>1</v>
      </c>
      <c r="I451" s="131">
        <v>1</v>
      </c>
      <c r="J451" s="141" t="s">
        <v>682</v>
      </c>
      <c r="L451" s="141">
        <v>2</v>
      </c>
      <c r="Q451" s="141">
        <v>6</v>
      </c>
      <c r="U451" s="126">
        <v>2</v>
      </c>
      <c r="V451" s="220">
        <v>0.34</v>
      </c>
      <c r="W451" s="220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1368</v>
      </c>
      <c r="F452" s="163" t="s">
        <v>1369</v>
      </c>
      <c r="G452" s="162">
        <v>46176</v>
      </c>
      <c r="H452" s="131">
        <v>1</v>
      </c>
      <c r="I452" s="131">
        <v>1</v>
      </c>
      <c r="J452" s="141" t="s">
        <v>682</v>
      </c>
      <c r="L452" s="141">
        <v>2</v>
      </c>
      <c r="Q452" s="141">
        <v>6</v>
      </c>
      <c r="U452" s="126">
        <v>12</v>
      </c>
      <c r="V452" s="220">
        <v>0.19</v>
      </c>
      <c r="W452" s="220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1382</v>
      </c>
      <c r="F453" s="163" t="s">
        <v>1383</v>
      </c>
      <c r="G453" s="162">
        <v>46176</v>
      </c>
      <c r="H453" s="131">
        <v>1</v>
      </c>
      <c r="I453" s="131">
        <v>1</v>
      </c>
      <c r="J453" s="141" t="s">
        <v>682</v>
      </c>
      <c r="L453" s="141">
        <v>2</v>
      </c>
      <c r="Q453" s="141">
        <v>7</v>
      </c>
      <c r="U453" s="126">
        <v>8</v>
      </c>
      <c r="V453" s="220">
        <v>0.13</v>
      </c>
      <c r="W453" s="220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1134</v>
      </c>
      <c r="F454" s="163" t="s">
        <v>1135</v>
      </c>
      <c r="G454" s="162">
        <v>46176</v>
      </c>
      <c r="H454" s="131">
        <v>1</v>
      </c>
      <c r="I454" s="131">
        <v>1</v>
      </c>
      <c r="J454" s="141" t="s">
        <v>682</v>
      </c>
      <c r="L454" s="141">
        <v>2</v>
      </c>
      <c r="Q454" s="141">
        <v>7</v>
      </c>
      <c r="U454" s="126">
        <v>12</v>
      </c>
      <c r="V454" s="220">
        <v>1.35</v>
      </c>
      <c r="W454" s="220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2034</v>
      </c>
      <c r="F455" s="163" t="s">
        <v>2035</v>
      </c>
      <c r="G455" s="162">
        <v>46176</v>
      </c>
      <c r="H455" s="131">
        <v>1</v>
      </c>
      <c r="I455" s="131">
        <v>1</v>
      </c>
      <c r="J455" s="141" t="s">
        <v>682</v>
      </c>
      <c r="L455" s="141">
        <v>2</v>
      </c>
      <c r="Q455" s="141">
        <v>7</v>
      </c>
      <c r="U455" s="126">
        <v>100</v>
      </c>
      <c r="V455" s="220">
        <v>8.8000000000000007</v>
      </c>
      <c r="W455" s="220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2028</v>
      </c>
      <c r="F456" s="163" t="s">
        <v>2029</v>
      </c>
      <c r="G456" s="162">
        <v>46176</v>
      </c>
      <c r="H456" s="131">
        <v>1</v>
      </c>
      <c r="I456" s="131">
        <v>1</v>
      </c>
      <c r="J456" s="141" t="s">
        <v>682</v>
      </c>
      <c r="L456" s="141">
        <v>2</v>
      </c>
      <c r="Q456" s="141">
        <v>7</v>
      </c>
      <c r="U456" s="126">
        <v>100</v>
      </c>
      <c r="V456" s="220">
        <v>5</v>
      </c>
      <c r="W456" s="220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1140</v>
      </c>
      <c r="F457" s="163" t="s">
        <v>1141</v>
      </c>
      <c r="G457" s="162">
        <v>46176</v>
      </c>
      <c r="H457" s="131">
        <v>1</v>
      </c>
      <c r="I457" s="131">
        <v>1</v>
      </c>
      <c r="J457" s="141" t="s">
        <v>682</v>
      </c>
      <c r="L457" s="141">
        <v>2</v>
      </c>
      <c r="Q457" s="141">
        <v>7</v>
      </c>
      <c r="U457" s="126">
        <v>16</v>
      </c>
      <c r="V457" s="220">
        <v>0.18</v>
      </c>
      <c r="W457" s="220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1314</v>
      </c>
      <c r="F458" s="163" t="s">
        <v>1315</v>
      </c>
      <c r="G458" s="162">
        <v>46176</v>
      </c>
      <c r="H458" s="131">
        <v>1</v>
      </c>
      <c r="I458" s="131">
        <v>1</v>
      </c>
      <c r="J458" s="141" t="s">
        <v>682</v>
      </c>
      <c r="L458" s="141">
        <v>2</v>
      </c>
      <c r="Q458" s="141">
        <v>7</v>
      </c>
      <c r="U458" s="126">
        <v>40</v>
      </c>
      <c r="V458" s="220">
        <v>0.78</v>
      </c>
      <c r="W458" s="220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1324</v>
      </c>
      <c r="F459" s="163" t="s">
        <v>1325</v>
      </c>
      <c r="G459" s="162">
        <v>46176</v>
      </c>
      <c r="H459" s="131">
        <v>1</v>
      </c>
      <c r="I459" s="131">
        <v>1</v>
      </c>
      <c r="J459" s="141" t="s">
        <v>682</v>
      </c>
      <c r="L459" s="141">
        <v>2</v>
      </c>
      <c r="Q459" s="141">
        <v>7</v>
      </c>
      <c r="U459" s="126">
        <v>82</v>
      </c>
      <c r="V459" s="220">
        <v>0.1</v>
      </c>
      <c r="W459" s="220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633</v>
      </c>
      <c r="F460" s="163" t="s">
        <v>634</v>
      </c>
      <c r="G460" s="162">
        <v>46176</v>
      </c>
      <c r="H460" s="131">
        <v>1</v>
      </c>
      <c r="I460" s="131">
        <v>1</v>
      </c>
      <c r="J460" s="141" t="s">
        <v>682</v>
      </c>
      <c r="L460" s="141">
        <v>2</v>
      </c>
      <c r="Q460" s="141">
        <v>7</v>
      </c>
      <c r="U460" s="126">
        <v>34</v>
      </c>
      <c r="V460" s="220">
        <v>0.27</v>
      </c>
      <c r="W460" s="220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638</v>
      </c>
      <c r="F461" s="163" t="s">
        <v>639</v>
      </c>
      <c r="G461" s="162">
        <v>46176</v>
      </c>
      <c r="H461" s="131">
        <v>1</v>
      </c>
      <c r="I461" s="131">
        <v>1</v>
      </c>
      <c r="J461" s="141" t="s">
        <v>682</v>
      </c>
      <c r="L461" s="141">
        <v>2</v>
      </c>
      <c r="Q461" s="141">
        <v>7</v>
      </c>
      <c r="U461" s="126">
        <v>8</v>
      </c>
      <c r="V461" s="220">
        <v>0.3</v>
      </c>
      <c r="W461" s="220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884</v>
      </c>
      <c r="F462" s="163" t="s">
        <v>885</v>
      </c>
      <c r="G462" s="162">
        <v>46176</v>
      </c>
      <c r="H462" s="131">
        <v>1</v>
      </c>
      <c r="I462" s="131">
        <v>1</v>
      </c>
      <c r="J462" s="141" t="s">
        <v>682</v>
      </c>
      <c r="L462" s="141">
        <v>2</v>
      </c>
      <c r="Q462" s="141">
        <v>7</v>
      </c>
      <c r="U462" s="126">
        <v>10</v>
      </c>
      <c r="V462" s="220">
        <v>0.24</v>
      </c>
      <c r="W462" s="220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1025</v>
      </c>
      <c r="F463" s="163" t="s">
        <v>1026</v>
      </c>
      <c r="G463" s="162">
        <v>46176</v>
      </c>
      <c r="H463" s="131">
        <v>1</v>
      </c>
      <c r="I463" s="131">
        <v>1</v>
      </c>
      <c r="J463" s="141" t="s">
        <v>682</v>
      </c>
      <c r="L463" s="141">
        <v>2</v>
      </c>
      <c r="Q463" s="141">
        <v>7</v>
      </c>
      <c r="U463" s="126">
        <v>6</v>
      </c>
      <c r="V463" s="220">
        <v>0.75</v>
      </c>
      <c r="W463" s="220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592</v>
      </c>
      <c r="F464" s="163" t="s">
        <v>593</v>
      </c>
      <c r="G464" s="162">
        <v>46176</v>
      </c>
      <c r="H464" s="131">
        <v>1</v>
      </c>
      <c r="I464" s="131">
        <v>1</v>
      </c>
      <c r="J464" s="141" t="s">
        <v>682</v>
      </c>
      <c r="L464" s="141">
        <v>2</v>
      </c>
      <c r="Q464" s="141">
        <v>7</v>
      </c>
      <c r="U464" s="126">
        <v>4</v>
      </c>
      <c r="V464" s="220">
        <v>1.1000000000000001</v>
      </c>
      <c r="W464" s="220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1010</v>
      </c>
      <c r="F465" s="163" t="s">
        <v>1011</v>
      </c>
      <c r="G465" s="162">
        <v>46176</v>
      </c>
      <c r="H465" s="131">
        <v>1</v>
      </c>
      <c r="I465" s="131">
        <v>1</v>
      </c>
      <c r="J465" s="141" t="s">
        <v>682</v>
      </c>
      <c r="L465" s="141">
        <v>2</v>
      </c>
      <c r="Q465" s="141">
        <v>7</v>
      </c>
      <c r="U465" s="126">
        <v>44</v>
      </c>
      <c r="V465" s="220">
        <v>2.7</v>
      </c>
      <c r="W465" s="220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2068</v>
      </c>
      <c r="F466" s="163" t="s">
        <v>2069</v>
      </c>
      <c r="G466" s="162">
        <v>46176</v>
      </c>
      <c r="H466" s="131">
        <v>1</v>
      </c>
      <c r="I466" s="131">
        <v>1</v>
      </c>
      <c r="J466" s="141" t="s">
        <v>682</v>
      </c>
      <c r="L466" s="141">
        <v>2</v>
      </c>
      <c r="Q466" s="141">
        <v>7</v>
      </c>
      <c r="U466" s="126">
        <v>2</v>
      </c>
      <c r="V466" s="220">
        <v>2.6</v>
      </c>
      <c r="W466" s="220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1156</v>
      </c>
      <c r="F467" s="163" t="s">
        <v>1157</v>
      </c>
      <c r="G467" s="162">
        <v>46179</v>
      </c>
      <c r="H467" s="131">
        <v>1</v>
      </c>
      <c r="I467" s="131">
        <v>1</v>
      </c>
      <c r="J467" s="141" t="s">
        <v>682</v>
      </c>
      <c r="L467" s="141">
        <v>2</v>
      </c>
      <c r="Q467" s="141">
        <v>8</v>
      </c>
      <c r="U467" s="126">
        <v>2</v>
      </c>
      <c r="V467" s="220">
        <v>0.7</v>
      </c>
      <c r="W467" s="220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2123</v>
      </c>
      <c r="F468" s="163" t="s">
        <v>2124</v>
      </c>
      <c r="G468" s="162">
        <v>46179</v>
      </c>
      <c r="H468" s="131">
        <v>1</v>
      </c>
      <c r="I468" s="131">
        <v>1</v>
      </c>
      <c r="J468" s="141" t="s">
        <v>682</v>
      </c>
      <c r="L468" s="141">
        <v>2</v>
      </c>
      <c r="Q468" s="141">
        <v>8</v>
      </c>
      <c r="U468" s="126">
        <v>4</v>
      </c>
      <c r="V468" s="220">
        <v>0.38</v>
      </c>
      <c r="W468" s="220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799</v>
      </c>
      <c r="F469" s="163" t="s">
        <v>800</v>
      </c>
      <c r="G469" s="162">
        <v>46179</v>
      </c>
      <c r="H469" s="131">
        <v>1</v>
      </c>
      <c r="I469" s="131">
        <v>1</v>
      </c>
      <c r="J469" s="141" t="s">
        <v>682</v>
      </c>
      <c r="L469" s="141">
        <v>2</v>
      </c>
      <c r="Q469" s="141">
        <v>8</v>
      </c>
      <c r="U469" s="126">
        <v>14</v>
      </c>
      <c r="V469" s="220">
        <v>0.34</v>
      </c>
      <c r="W469" s="220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997</v>
      </c>
      <c r="F470" s="163" t="s">
        <v>998</v>
      </c>
      <c r="G470" s="162">
        <v>46179</v>
      </c>
      <c r="H470" s="131">
        <v>1</v>
      </c>
      <c r="I470" s="131">
        <v>1</v>
      </c>
      <c r="J470" s="141" t="s">
        <v>682</v>
      </c>
      <c r="L470" s="141">
        <v>2</v>
      </c>
      <c r="Q470" s="141">
        <v>8</v>
      </c>
      <c r="U470" s="126">
        <v>30</v>
      </c>
      <c r="V470" s="220">
        <v>0.3</v>
      </c>
      <c r="W470" s="220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824</v>
      </c>
      <c r="F471" s="163" t="s">
        <v>825</v>
      </c>
      <c r="G471" s="162">
        <v>46179</v>
      </c>
      <c r="H471" s="131">
        <v>1</v>
      </c>
      <c r="I471" s="131">
        <v>1</v>
      </c>
      <c r="J471" s="141" t="s">
        <v>682</v>
      </c>
      <c r="L471" s="141">
        <v>2</v>
      </c>
      <c r="Q471" s="141">
        <v>8</v>
      </c>
      <c r="U471" s="126">
        <v>20</v>
      </c>
      <c r="V471" s="220">
        <v>0.28999999999999998</v>
      </c>
      <c r="W471" s="220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1930</v>
      </c>
      <c r="F472" s="163" t="s">
        <v>1931</v>
      </c>
      <c r="G472" s="162">
        <v>46179</v>
      </c>
      <c r="H472" s="131">
        <v>1</v>
      </c>
      <c r="I472" s="131">
        <v>1</v>
      </c>
      <c r="J472" s="141" t="s">
        <v>682</v>
      </c>
      <c r="L472" s="141">
        <v>2</v>
      </c>
      <c r="Q472" s="141">
        <v>8</v>
      </c>
      <c r="U472" s="126">
        <v>10</v>
      </c>
      <c r="V472" s="220">
        <v>0.04</v>
      </c>
      <c r="W472" s="220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1406</v>
      </c>
      <c r="F473" s="163" t="s">
        <v>1407</v>
      </c>
      <c r="G473" s="162">
        <v>46179</v>
      </c>
      <c r="H473" s="131">
        <v>1</v>
      </c>
      <c r="I473" s="131">
        <v>1</v>
      </c>
      <c r="J473" s="141" t="s">
        <v>682</v>
      </c>
      <c r="L473" s="141">
        <v>2</v>
      </c>
      <c r="Q473" s="141">
        <v>8</v>
      </c>
      <c r="U473" s="126">
        <v>88</v>
      </c>
      <c r="V473" s="220">
        <v>0.13</v>
      </c>
      <c r="W473" s="220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555</v>
      </c>
      <c r="F474" s="163" t="s">
        <v>2219</v>
      </c>
      <c r="G474" s="162">
        <v>46179</v>
      </c>
      <c r="H474" s="131">
        <v>1</v>
      </c>
      <c r="I474" s="131">
        <v>1</v>
      </c>
      <c r="J474" s="141" t="s">
        <v>682</v>
      </c>
      <c r="L474" s="141">
        <v>2</v>
      </c>
      <c r="Q474" s="141">
        <v>8</v>
      </c>
      <c r="U474" s="126">
        <v>14</v>
      </c>
      <c r="V474" s="220">
        <v>3.3</v>
      </c>
      <c r="W474" s="220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736</v>
      </c>
      <c r="F475" s="163" t="s">
        <v>2221</v>
      </c>
      <c r="G475" s="162">
        <v>46179</v>
      </c>
      <c r="H475" s="131">
        <v>1</v>
      </c>
      <c r="I475" s="131">
        <v>1</v>
      </c>
      <c r="J475" s="141" t="s">
        <v>682</v>
      </c>
      <c r="L475" s="141">
        <v>2</v>
      </c>
      <c r="Q475" s="141">
        <v>8</v>
      </c>
      <c r="U475" s="126">
        <v>4</v>
      </c>
      <c r="V475" s="220">
        <v>4.41</v>
      </c>
      <c r="W475" s="220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1703</v>
      </c>
      <c r="F476" s="163" t="s">
        <v>2223</v>
      </c>
      <c r="G476" s="162">
        <v>46179</v>
      </c>
      <c r="H476" s="131">
        <v>1</v>
      </c>
      <c r="I476" s="131">
        <v>1</v>
      </c>
      <c r="J476" s="141" t="s">
        <v>682</v>
      </c>
      <c r="L476" s="141">
        <v>2</v>
      </c>
      <c r="Q476" s="141">
        <v>8</v>
      </c>
      <c r="U476" s="126">
        <v>2</v>
      </c>
      <c r="V476" s="220">
        <v>53</v>
      </c>
      <c r="W476" s="220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739</v>
      </c>
      <c r="F477" s="163" t="s">
        <v>2225</v>
      </c>
      <c r="G477" s="162">
        <v>46179</v>
      </c>
      <c r="H477" s="131">
        <v>1</v>
      </c>
      <c r="I477" s="131">
        <v>1</v>
      </c>
      <c r="J477" s="141" t="s">
        <v>682</v>
      </c>
      <c r="L477" s="141">
        <v>2</v>
      </c>
      <c r="Q477" s="141">
        <v>8</v>
      </c>
      <c r="U477" s="126">
        <v>8</v>
      </c>
      <c r="V477" s="220">
        <v>47</v>
      </c>
      <c r="W477" s="220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746</v>
      </c>
      <c r="F478" s="163" t="s">
        <v>2228</v>
      </c>
      <c r="G478" s="162">
        <v>46179</v>
      </c>
      <c r="H478" s="131">
        <v>1</v>
      </c>
      <c r="I478" s="131">
        <v>1</v>
      </c>
      <c r="J478" s="141" t="s">
        <v>682</v>
      </c>
      <c r="L478" s="141">
        <v>2</v>
      </c>
      <c r="Q478" s="141">
        <v>8</v>
      </c>
      <c r="U478" s="126">
        <v>4</v>
      </c>
      <c r="V478" s="220">
        <v>51</v>
      </c>
      <c r="W478" s="220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1709</v>
      </c>
      <c r="F479" s="163" t="s">
        <v>2230</v>
      </c>
      <c r="G479" s="162">
        <v>46179</v>
      </c>
      <c r="H479" s="131">
        <v>1</v>
      </c>
      <c r="I479" s="131">
        <v>1</v>
      </c>
      <c r="J479" s="141" t="s">
        <v>682</v>
      </c>
      <c r="L479" s="141">
        <v>2</v>
      </c>
      <c r="Q479" s="141">
        <v>8</v>
      </c>
      <c r="U479" s="126">
        <v>2</v>
      </c>
      <c r="V479" s="220">
        <v>20.25</v>
      </c>
      <c r="W479" s="220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1030</v>
      </c>
      <c r="F480" s="163" t="s">
        <v>1031</v>
      </c>
      <c r="G480" s="162">
        <v>46179</v>
      </c>
      <c r="H480" s="131">
        <v>1</v>
      </c>
      <c r="I480" s="131">
        <v>1</v>
      </c>
      <c r="J480" s="141" t="s">
        <v>682</v>
      </c>
      <c r="L480" s="141">
        <v>2</v>
      </c>
      <c r="Q480" s="141">
        <v>8</v>
      </c>
      <c r="U480" s="126">
        <v>18</v>
      </c>
      <c r="V480" s="220">
        <v>0.85</v>
      </c>
      <c r="W480" s="220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2102</v>
      </c>
      <c r="F481" s="163" t="s">
        <v>2103</v>
      </c>
      <c r="G481" s="162">
        <v>46179</v>
      </c>
      <c r="H481" s="131">
        <v>1</v>
      </c>
      <c r="I481" s="131">
        <v>1</v>
      </c>
      <c r="J481" s="141" t="s">
        <v>682</v>
      </c>
      <c r="L481" s="141">
        <v>2</v>
      </c>
      <c r="Q481" s="141">
        <v>9</v>
      </c>
      <c r="U481" s="126">
        <v>4</v>
      </c>
      <c r="V481" s="220">
        <v>1.2</v>
      </c>
      <c r="W481" s="220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602</v>
      </c>
      <c r="F482" s="163" t="s">
        <v>603</v>
      </c>
      <c r="G482" s="162">
        <v>46179</v>
      </c>
      <c r="H482" s="131">
        <v>1</v>
      </c>
      <c r="I482" s="131">
        <v>1</v>
      </c>
      <c r="J482" s="141" t="s">
        <v>682</v>
      </c>
      <c r="L482" s="141">
        <v>2</v>
      </c>
      <c r="Q482" s="141">
        <v>9</v>
      </c>
      <c r="U482" s="126">
        <v>32</v>
      </c>
      <c r="V482" s="220">
        <v>0.5</v>
      </c>
      <c r="W482" s="220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1648</v>
      </c>
      <c r="F483" s="163" t="s">
        <v>1649</v>
      </c>
      <c r="G483" s="162">
        <v>46179</v>
      </c>
      <c r="H483" s="131">
        <v>1</v>
      </c>
      <c r="I483" s="131">
        <v>1</v>
      </c>
      <c r="J483" s="141" t="s">
        <v>682</v>
      </c>
      <c r="L483" s="141">
        <v>2</v>
      </c>
      <c r="Q483" s="141">
        <v>9</v>
      </c>
      <c r="U483" s="126">
        <v>20</v>
      </c>
      <c r="V483" s="220">
        <v>0.4</v>
      </c>
      <c r="W483" s="220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2107</v>
      </c>
      <c r="F484" s="163" t="s">
        <v>2108</v>
      </c>
      <c r="G484" s="162">
        <v>46179</v>
      </c>
      <c r="H484" s="131">
        <v>1</v>
      </c>
      <c r="I484" s="131">
        <v>1</v>
      </c>
      <c r="J484" s="141" t="s">
        <v>682</v>
      </c>
      <c r="L484" s="141">
        <v>2</v>
      </c>
      <c r="Q484" s="141">
        <v>9</v>
      </c>
      <c r="U484" s="126">
        <v>4</v>
      </c>
      <c r="V484" s="220">
        <v>0.1</v>
      </c>
      <c r="W484" s="220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2097</v>
      </c>
      <c r="F485" s="163" t="s">
        <v>2098</v>
      </c>
      <c r="G485" s="162">
        <v>46179</v>
      </c>
      <c r="H485" s="131">
        <v>1</v>
      </c>
      <c r="I485" s="131">
        <v>1</v>
      </c>
      <c r="J485" s="141" t="s">
        <v>682</v>
      </c>
      <c r="L485" s="141">
        <v>2</v>
      </c>
      <c r="Q485" s="141">
        <v>9</v>
      </c>
      <c r="U485" s="126">
        <v>4</v>
      </c>
      <c r="V485" s="220">
        <v>0.2</v>
      </c>
      <c r="W485" s="220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762</v>
      </c>
      <c r="F486" s="163" t="s">
        <v>763</v>
      </c>
      <c r="G486" s="162">
        <v>46179</v>
      </c>
      <c r="H486" s="131">
        <v>1</v>
      </c>
      <c r="I486" s="131">
        <v>1</v>
      </c>
      <c r="J486" s="141" t="s">
        <v>682</v>
      </c>
      <c r="L486" s="141">
        <v>2</v>
      </c>
      <c r="Q486" s="141">
        <v>9</v>
      </c>
      <c r="U486" s="126">
        <v>336</v>
      </c>
      <c r="V486" s="220">
        <v>1</v>
      </c>
      <c r="W486" s="220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628</v>
      </c>
      <c r="F487" s="163" t="s">
        <v>629</v>
      </c>
      <c r="G487" s="162">
        <v>46179</v>
      </c>
      <c r="H487" s="131">
        <v>1</v>
      </c>
      <c r="I487" s="131">
        <v>1</v>
      </c>
      <c r="J487" s="141" t="s">
        <v>682</v>
      </c>
      <c r="L487" s="141">
        <v>2</v>
      </c>
      <c r="Q487" s="141">
        <v>9</v>
      </c>
      <c r="U487" s="126">
        <v>264</v>
      </c>
      <c r="V487" s="220">
        <v>2</v>
      </c>
      <c r="W487" s="220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767</v>
      </c>
      <c r="F488" s="163" t="s">
        <v>768</v>
      </c>
      <c r="G488" s="162">
        <v>46179</v>
      </c>
      <c r="H488" s="131">
        <v>1</v>
      </c>
      <c r="I488" s="131">
        <v>1</v>
      </c>
      <c r="J488" s="141" t="s">
        <v>682</v>
      </c>
      <c r="L488" s="141">
        <v>2</v>
      </c>
      <c r="Q488" s="141">
        <v>9</v>
      </c>
      <c r="U488" s="126">
        <v>840</v>
      </c>
      <c r="V488" s="220">
        <v>4</v>
      </c>
      <c r="W488" s="220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770</v>
      </c>
      <c r="F489" s="163" t="s">
        <v>771</v>
      </c>
      <c r="G489" s="162">
        <v>46179</v>
      </c>
      <c r="H489" s="131">
        <v>1</v>
      </c>
      <c r="I489" s="131">
        <v>1</v>
      </c>
      <c r="J489" s="141" t="s">
        <v>682</v>
      </c>
      <c r="L489" s="141">
        <v>2</v>
      </c>
      <c r="Q489" s="141">
        <v>9</v>
      </c>
      <c r="U489" s="126">
        <v>192</v>
      </c>
      <c r="V489" s="220">
        <v>6</v>
      </c>
      <c r="W489" s="220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773</v>
      </c>
      <c r="F490" s="163" t="s">
        <v>774</v>
      </c>
      <c r="G490" s="162">
        <v>46179</v>
      </c>
      <c r="H490" s="131">
        <v>1</v>
      </c>
      <c r="I490" s="131">
        <v>1</v>
      </c>
      <c r="J490" s="141" t="s">
        <v>682</v>
      </c>
      <c r="L490" s="141">
        <v>2</v>
      </c>
      <c r="Q490" s="141">
        <v>9</v>
      </c>
      <c r="U490" s="126">
        <v>24</v>
      </c>
      <c r="V490" s="220">
        <v>8</v>
      </c>
      <c r="W490" s="220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577</v>
      </c>
      <c r="F491" s="163" t="s">
        <v>578</v>
      </c>
      <c r="G491" s="162">
        <v>46179</v>
      </c>
      <c r="H491" s="131">
        <v>1</v>
      </c>
      <c r="I491" s="131">
        <v>1</v>
      </c>
      <c r="J491" s="141" t="s">
        <v>682</v>
      </c>
      <c r="L491" s="141">
        <v>2</v>
      </c>
      <c r="Q491" s="141">
        <v>9</v>
      </c>
      <c r="U491" s="126">
        <v>128</v>
      </c>
      <c r="V491" s="220">
        <v>3.37</v>
      </c>
      <c r="W491" s="220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779</v>
      </c>
      <c r="F492" s="163" t="s">
        <v>780</v>
      </c>
      <c r="G492" s="162">
        <v>46179</v>
      </c>
      <c r="H492" s="131">
        <v>1</v>
      </c>
      <c r="I492" s="131">
        <v>1</v>
      </c>
      <c r="J492" s="141" t="s">
        <v>682</v>
      </c>
      <c r="L492" s="141">
        <v>2</v>
      </c>
      <c r="Q492" s="141">
        <v>9</v>
      </c>
      <c r="U492" s="126">
        <v>128</v>
      </c>
      <c r="V492" s="220">
        <v>4.09</v>
      </c>
      <c r="W492" s="220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571</v>
      </c>
      <c r="F493" s="163" t="s">
        <v>572</v>
      </c>
      <c r="G493" s="162">
        <v>46179</v>
      </c>
      <c r="H493" s="131">
        <v>1</v>
      </c>
      <c r="I493" s="131">
        <v>1</v>
      </c>
      <c r="J493" s="141" t="s">
        <v>682</v>
      </c>
      <c r="L493" s="141">
        <v>2</v>
      </c>
      <c r="Q493" s="141">
        <v>9</v>
      </c>
      <c r="U493" s="126">
        <v>8</v>
      </c>
      <c r="V493" s="220">
        <v>6.03</v>
      </c>
      <c r="W493" s="220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609</v>
      </c>
      <c r="F494" s="163" t="s">
        <v>610</v>
      </c>
      <c r="G494" s="162">
        <v>46179</v>
      </c>
      <c r="H494" s="131">
        <v>1</v>
      </c>
      <c r="I494" s="131">
        <v>1</v>
      </c>
      <c r="J494" s="141" t="s">
        <v>682</v>
      </c>
      <c r="L494" s="141">
        <v>2</v>
      </c>
      <c r="Q494" s="141">
        <v>9</v>
      </c>
      <c r="U494" s="126">
        <v>40</v>
      </c>
      <c r="V494" s="220">
        <v>6.28</v>
      </c>
      <c r="W494" s="220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1171</v>
      </c>
      <c r="F495" s="163" t="s">
        <v>1172</v>
      </c>
      <c r="G495" s="162">
        <v>46179</v>
      </c>
      <c r="H495" s="131">
        <v>1</v>
      </c>
      <c r="I495" s="131">
        <v>1</v>
      </c>
      <c r="J495" s="141" t="s">
        <v>682</v>
      </c>
      <c r="L495" s="141">
        <v>2</v>
      </c>
      <c r="Q495" s="141">
        <v>9</v>
      </c>
      <c r="U495" s="126">
        <v>32</v>
      </c>
      <c r="V495" s="220">
        <v>9.48</v>
      </c>
      <c r="W495" s="220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1122" spans="21:26" ht="23.1" customHeight="1">
      <c r="U1122" s="137"/>
      <c r="X1122" s="137"/>
      <c r="Y1122" s="137"/>
      <c r="Z1122" s="231"/>
    </row>
    <row r="1186" spans="6:6" ht="23.1" customHeight="1">
      <c r="F1186" s="127"/>
    </row>
    <row r="1746" spans="11:21" ht="23.1" customHeight="1">
      <c r="K1746" s="178"/>
      <c r="U1746" s="141"/>
    </row>
    <row r="1747" spans="11:21" ht="23.1" customHeight="1">
      <c r="K1747" s="178"/>
      <c r="U1747" s="141"/>
    </row>
    <row r="1748" spans="11:21" ht="23.1" customHeight="1">
      <c r="U1748" s="141"/>
    </row>
    <row r="1749" spans="11:21" ht="23.1" customHeight="1">
      <c r="U1749" s="141"/>
    </row>
    <row r="1750" spans="11:21" ht="23.1" customHeight="1">
      <c r="U1750" s="141"/>
    </row>
    <row r="1751" spans="11:21" ht="23.1" customHeight="1">
      <c r="U1751" s="141"/>
    </row>
    <row r="1800" spans="21:21" ht="23.1" customHeight="1">
      <c r="U1800" s="137"/>
    </row>
  </sheetData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116"/>
  <sheetViews>
    <sheetView showGridLines="0" zoomScale="90" zoomScaleNormal="90" workbookViewId="0">
      <pane ySplit="7" topLeftCell="A30" activePane="bottomLeft" state="frozen"/>
      <selection activeCell="L28" sqref="L28"/>
      <selection pane="bottomLeft" activeCell="H124" sqref="H124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8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8"/>
    </row>
    <row r="2" spans="3:29" s="13" customFormat="1" ht="23.25" hidden="1">
      <c r="C2" s="126"/>
      <c r="D2" s="140"/>
      <c r="E2" s="163"/>
      <c r="F2" s="159"/>
      <c r="G2" s="228"/>
    </row>
    <row r="3" spans="3:29" s="13" customFormat="1" ht="23.25">
      <c r="C3" s="126"/>
      <c r="D3" s="140"/>
      <c r="E3" s="163"/>
      <c r="F3" s="159"/>
      <c r="G3" s="228"/>
    </row>
    <row r="4" spans="3:29" s="13" customFormat="1" ht="32.25" customHeight="1">
      <c r="C4" s="126"/>
      <c r="D4" s="140"/>
      <c r="E4" s="167"/>
      <c r="F4" s="190"/>
      <c r="G4" s="229"/>
    </row>
    <row r="5" spans="3:29" s="13" customFormat="1" ht="26.25" customHeight="1">
      <c r="C5" s="126"/>
      <c r="D5" s="140"/>
      <c r="E5" s="163"/>
      <c r="F5" s="159"/>
      <c r="G5" s="228"/>
    </row>
    <row r="6" spans="3:29" s="13" customFormat="1" ht="25.5">
      <c r="C6" s="266" t="s">
        <v>173</v>
      </c>
      <c r="D6" s="267" t="s">
        <v>213</v>
      </c>
      <c r="E6" s="267" t="s">
        <v>12</v>
      </c>
      <c r="F6" s="266" t="s">
        <v>214</v>
      </c>
      <c r="G6" s="268" t="s">
        <v>211</v>
      </c>
      <c r="H6" s="266" t="s">
        <v>174</v>
      </c>
      <c r="I6" s="266" t="s">
        <v>175</v>
      </c>
      <c r="J6" s="266" t="s">
        <v>119</v>
      </c>
      <c r="K6" s="266" t="s">
        <v>119</v>
      </c>
      <c r="L6" s="266" t="s">
        <v>176</v>
      </c>
      <c r="M6" s="266" t="s">
        <v>176</v>
      </c>
      <c r="N6" s="266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57"/>
      <c r="X6" s="357"/>
      <c r="Y6" s="357"/>
      <c r="Z6" s="357"/>
      <c r="AA6" s="357"/>
      <c r="AB6" s="357"/>
      <c r="AC6" s="357"/>
    </row>
    <row r="7" spans="3:29" ht="20.25" customHeight="1">
      <c r="C7" s="269" t="s">
        <v>162</v>
      </c>
      <c r="D7" s="270" t="s">
        <v>207</v>
      </c>
      <c r="E7" s="270" t="s">
        <v>17</v>
      </c>
      <c r="F7" s="269" t="s">
        <v>210</v>
      </c>
      <c r="G7" s="271" t="s">
        <v>202</v>
      </c>
      <c r="H7" s="269" t="s">
        <v>164</v>
      </c>
      <c r="I7" s="269" t="s">
        <v>165</v>
      </c>
      <c r="J7" s="269" t="s">
        <v>172</v>
      </c>
      <c r="K7" s="269" t="s">
        <v>367</v>
      </c>
      <c r="L7" s="269" t="s">
        <v>166</v>
      </c>
      <c r="M7" s="269" t="s">
        <v>368</v>
      </c>
      <c r="N7" s="269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58"/>
      <c r="X7" s="358"/>
      <c r="Y7" s="358"/>
      <c r="Z7" s="358"/>
      <c r="AA7" s="358"/>
      <c r="AB7" s="358"/>
      <c r="AC7" s="358"/>
    </row>
    <row r="8" spans="3:29" ht="23.1" customHeight="1">
      <c r="C8" s="126">
        <v>6</v>
      </c>
      <c r="D8" s="141" t="s">
        <v>560</v>
      </c>
      <c r="E8" s="163" t="s">
        <v>561</v>
      </c>
      <c r="H8" s="126">
        <v>10</v>
      </c>
      <c r="I8" s="126">
        <v>0</v>
      </c>
      <c r="J8" s="126">
        <v>10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555</v>
      </c>
      <c r="E9" s="163" t="s">
        <v>556</v>
      </c>
      <c r="H9" s="126">
        <v>7</v>
      </c>
      <c r="I9" s="126">
        <v>0</v>
      </c>
      <c r="J9" s="126">
        <v>7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565</v>
      </c>
      <c r="E10" s="163" t="s">
        <v>566</v>
      </c>
      <c r="H10" s="126">
        <v>835</v>
      </c>
      <c r="I10" s="126">
        <v>0</v>
      </c>
      <c r="J10" s="126">
        <v>3165</v>
      </c>
      <c r="K10" s="126">
        <v>0</v>
      </c>
      <c r="L10" s="126">
        <v>0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571</v>
      </c>
      <c r="E11" s="163" t="s">
        <v>572</v>
      </c>
      <c r="H11" s="126">
        <v>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577</v>
      </c>
      <c r="E12" s="163" t="s">
        <v>578</v>
      </c>
      <c r="H12" s="126">
        <v>64</v>
      </c>
      <c r="I12" s="126">
        <v>0</v>
      </c>
      <c r="J12" s="126">
        <v>192</v>
      </c>
      <c r="K12" s="126">
        <v>0</v>
      </c>
      <c r="L12" s="126">
        <v>0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582</v>
      </c>
      <c r="E13" s="163" t="s">
        <v>583</v>
      </c>
      <c r="H13" s="126">
        <v>4</v>
      </c>
      <c r="I13" s="126">
        <v>0</v>
      </c>
      <c r="J13" s="126">
        <v>11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587</v>
      </c>
      <c r="E14" s="163" t="s">
        <v>588</v>
      </c>
      <c r="H14" s="126">
        <v>5</v>
      </c>
      <c r="I14" s="126">
        <v>0</v>
      </c>
      <c r="J14" s="126">
        <v>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592</v>
      </c>
      <c r="E15" s="163" t="s">
        <v>593</v>
      </c>
      <c r="H15" s="126">
        <v>2</v>
      </c>
      <c r="I15" s="126">
        <v>0</v>
      </c>
      <c r="J15" s="126">
        <v>2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597</v>
      </c>
      <c r="E16" s="163" t="s">
        <v>598</v>
      </c>
      <c r="H16" s="126">
        <v>7</v>
      </c>
      <c r="I16" s="126">
        <v>0</v>
      </c>
      <c r="J16" s="126">
        <v>7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602</v>
      </c>
      <c r="E17" s="163" t="s">
        <v>603</v>
      </c>
      <c r="H17" s="126">
        <v>16</v>
      </c>
      <c r="I17" s="126">
        <v>0</v>
      </c>
      <c r="J17" s="126">
        <v>16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609</v>
      </c>
      <c r="E18" s="163" t="s">
        <v>610</v>
      </c>
      <c r="H18" s="126">
        <v>20</v>
      </c>
      <c r="I18" s="126">
        <v>0</v>
      </c>
      <c r="J18" s="126">
        <v>120</v>
      </c>
      <c r="K18" s="126">
        <v>0</v>
      </c>
      <c r="L18" s="126">
        <v>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617</v>
      </c>
      <c r="E19" s="163" t="s">
        <v>618</v>
      </c>
      <c r="H19" s="126">
        <v>24</v>
      </c>
      <c r="I19" s="126">
        <v>0</v>
      </c>
      <c r="J19" s="126">
        <v>12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628</v>
      </c>
      <c r="E20" s="163" t="s">
        <v>629</v>
      </c>
      <c r="H20" s="126">
        <v>132</v>
      </c>
      <c r="I20" s="126">
        <v>0</v>
      </c>
      <c r="J20" s="126">
        <v>252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633</v>
      </c>
      <c r="E21" s="163" t="s">
        <v>634</v>
      </c>
      <c r="H21" s="126">
        <v>17</v>
      </c>
      <c r="I21" s="126">
        <v>0</v>
      </c>
      <c r="J21" s="126">
        <v>17</v>
      </c>
      <c r="K21" s="126">
        <v>0</v>
      </c>
      <c r="L21" s="126">
        <v>0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638</v>
      </c>
      <c r="E22" s="163" t="s">
        <v>639</v>
      </c>
      <c r="H22" s="126">
        <v>4</v>
      </c>
      <c r="I22" s="126">
        <v>0</v>
      </c>
      <c r="J22" s="126">
        <v>4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643</v>
      </c>
      <c r="E23" s="163" t="s">
        <v>644</v>
      </c>
      <c r="H23" s="126">
        <v>2</v>
      </c>
      <c r="I23" s="126">
        <v>0</v>
      </c>
      <c r="J23" s="126">
        <v>5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648</v>
      </c>
      <c r="E24" s="163" t="s">
        <v>649</v>
      </c>
      <c r="H24" s="126">
        <v>30</v>
      </c>
      <c r="I24" s="126">
        <v>0</v>
      </c>
      <c r="J24" s="126">
        <v>30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653</v>
      </c>
      <c r="E25" s="163" t="s">
        <v>654</v>
      </c>
      <c r="H25" s="126">
        <v>12</v>
      </c>
      <c r="I25" s="126">
        <v>0</v>
      </c>
      <c r="J25" s="126">
        <v>60</v>
      </c>
      <c r="K25" s="126">
        <v>0</v>
      </c>
      <c r="L25" s="126">
        <v>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663</v>
      </c>
      <c r="E26" s="163" t="s">
        <v>664</v>
      </c>
      <c r="H26" s="126">
        <v>15</v>
      </c>
      <c r="I26" s="126">
        <v>0</v>
      </c>
      <c r="J26" s="126">
        <v>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668</v>
      </c>
      <c r="E27" s="163" t="s">
        <v>669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678</v>
      </c>
      <c r="E28" s="163" t="s">
        <v>679</v>
      </c>
      <c r="H28" s="126">
        <v>2</v>
      </c>
      <c r="I28" s="126">
        <v>0</v>
      </c>
      <c r="J28" s="126">
        <v>2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683</v>
      </c>
      <c r="E29" s="163" t="s">
        <v>684</v>
      </c>
      <c r="H29" s="126">
        <v>3</v>
      </c>
      <c r="I29" s="126">
        <v>0</v>
      </c>
      <c r="J29" s="126">
        <v>2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687</v>
      </c>
      <c r="E30" s="163" t="s">
        <v>688</v>
      </c>
      <c r="H30" s="126">
        <v>5</v>
      </c>
      <c r="I30" s="126">
        <v>0</v>
      </c>
      <c r="J30" s="126">
        <v>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691</v>
      </c>
      <c r="E31" s="163" t="s">
        <v>692</v>
      </c>
      <c r="H31" s="126">
        <v>3</v>
      </c>
      <c r="I31" s="126">
        <v>0</v>
      </c>
      <c r="J31" s="126">
        <v>13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694</v>
      </c>
      <c r="E32" s="163" t="s">
        <v>695</v>
      </c>
      <c r="H32" s="126">
        <v>7</v>
      </c>
      <c r="I32" s="126">
        <v>0</v>
      </c>
      <c r="J32" s="126">
        <v>1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697</v>
      </c>
      <c r="E33" s="163" t="s">
        <v>698</v>
      </c>
      <c r="H33" s="126">
        <v>1</v>
      </c>
      <c r="I33" s="126">
        <v>0</v>
      </c>
      <c r="J33" s="126">
        <v>11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700</v>
      </c>
      <c r="E34" s="163" t="s">
        <v>701</v>
      </c>
      <c r="H34" s="126">
        <v>15</v>
      </c>
      <c r="I34" s="126">
        <v>0</v>
      </c>
      <c r="J34" s="126">
        <v>30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704</v>
      </c>
      <c r="E35" s="163" t="s">
        <v>705</v>
      </c>
      <c r="H35" s="126">
        <v>1</v>
      </c>
      <c r="I35" s="126">
        <v>0</v>
      </c>
      <c r="J35" s="126">
        <v>19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707</v>
      </c>
      <c r="E36" s="163" t="s">
        <v>708</v>
      </c>
      <c r="H36" s="126">
        <v>1</v>
      </c>
      <c r="I36" s="126">
        <v>0</v>
      </c>
      <c r="J36" s="126">
        <v>4</v>
      </c>
      <c r="K36" s="126">
        <v>0</v>
      </c>
      <c r="L36" s="126">
        <v>0</v>
      </c>
      <c r="M36" s="126">
        <v>0</v>
      </c>
      <c r="N36" s="126">
        <v>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710</v>
      </c>
      <c r="E37" s="163" t="s">
        <v>711</v>
      </c>
      <c r="H37" s="126">
        <v>7</v>
      </c>
      <c r="I37" s="126">
        <v>0</v>
      </c>
      <c r="J37" s="126">
        <v>10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716</v>
      </c>
      <c r="E38" s="163" t="s">
        <v>717</v>
      </c>
      <c r="H38" s="126">
        <v>1</v>
      </c>
      <c r="I38" s="126">
        <v>0</v>
      </c>
      <c r="J38" s="126">
        <v>4</v>
      </c>
      <c r="K38" s="126">
        <v>0</v>
      </c>
      <c r="L38" s="126">
        <v>0</v>
      </c>
      <c r="M38" s="126">
        <v>0</v>
      </c>
      <c r="N38" s="126">
        <v>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719</v>
      </c>
      <c r="E39" s="163" t="s">
        <v>720</v>
      </c>
      <c r="H39" s="126">
        <v>21980</v>
      </c>
      <c r="I39" s="126">
        <v>0</v>
      </c>
      <c r="J39" s="126">
        <v>520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723</v>
      </c>
      <c r="E40" s="163" t="s">
        <v>724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727</v>
      </c>
      <c r="E41" s="163" t="s">
        <v>728</v>
      </c>
      <c r="H41" s="126">
        <v>700</v>
      </c>
      <c r="I41" s="126">
        <v>0</v>
      </c>
      <c r="J41" s="126">
        <v>0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731</v>
      </c>
      <c r="E42" s="163" t="s">
        <v>732</v>
      </c>
      <c r="H42" s="126">
        <v>3</v>
      </c>
      <c r="I42" s="126">
        <v>0</v>
      </c>
      <c r="J42" s="126">
        <v>0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736</v>
      </c>
      <c r="E43" s="163" t="s">
        <v>737</v>
      </c>
      <c r="H43" s="126">
        <v>2</v>
      </c>
      <c r="I43" s="126">
        <v>0</v>
      </c>
      <c r="J43" s="126">
        <v>7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739</v>
      </c>
      <c r="E44" s="163" t="s">
        <v>740</v>
      </c>
      <c r="H44" s="126">
        <v>4</v>
      </c>
      <c r="I44" s="126">
        <v>0</v>
      </c>
      <c r="J44" s="126">
        <v>6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742</v>
      </c>
      <c r="E45" s="163" t="s">
        <v>743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746</v>
      </c>
      <c r="E46" s="163" t="s">
        <v>747</v>
      </c>
      <c r="H46" s="126">
        <v>2</v>
      </c>
      <c r="I46" s="126">
        <v>0</v>
      </c>
      <c r="J46" s="126">
        <v>4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749</v>
      </c>
      <c r="E47" s="163" t="s">
        <v>750</v>
      </c>
      <c r="H47" s="126">
        <v>1200</v>
      </c>
      <c r="I47" s="126">
        <v>0</v>
      </c>
      <c r="J47" s="126">
        <v>3800</v>
      </c>
      <c r="K47" s="126">
        <v>0</v>
      </c>
      <c r="L47" s="126">
        <v>0</v>
      </c>
      <c r="M47" s="126">
        <v>0</v>
      </c>
      <c r="N47" s="126">
        <v>5000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753</v>
      </c>
      <c r="E48" s="163" t="s">
        <v>754</v>
      </c>
      <c r="H48" s="126">
        <v>0</v>
      </c>
      <c r="I48" s="126">
        <v>0</v>
      </c>
      <c r="J48" s="126">
        <v>12000</v>
      </c>
      <c r="K48" s="126">
        <v>0</v>
      </c>
      <c r="L48" s="126">
        <v>0</v>
      </c>
      <c r="M48" s="126">
        <v>0</v>
      </c>
      <c r="N48" s="126">
        <v>12000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756</v>
      </c>
      <c r="E49" s="163" t="s">
        <v>757</v>
      </c>
      <c r="H49" s="126">
        <v>1500</v>
      </c>
      <c r="I49" s="126">
        <v>0</v>
      </c>
      <c r="J49" s="126">
        <v>4500</v>
      </c>
      <c r="K49" s="126">
        <v>0</v>
      </c>
      <c r="L49" s="126">
        <v>0</v>
      </c>
      <c r="M49" s="126">
        <v>0</v>
      </c>
      <c r="N49" s="126">
        <v>6000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762</v>
      </c>
      <c r="E50" s="163" t="s">
        <v>763</v>
      </c>
      <c r="H50" s="126">
        <v>168</v>
      </c>
      <c r="I50" s="126">
        <v>0</v>
      </c>
      <c r="J50" s="126">
        <v>348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767</v>
      </c>
      <c r="E51" s="163" t="s">
        <v>768</v>
      </c>
      <c r="H51" s="126">
        <v>420</v>
      </c>
      <c r="I51" s="126">
        <v>0</v>
      </c>
      <c r="J51" s="126">
        <v>660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770</v>
      </c>
      <c r="E52" s="163" t="s">
        <v>771</v>
      </c>
      <c r="H52" s="126">
        <v>96</v>
      </c>
      <c r="I52" s="126">
        <v>0</v>
      </c>
      <c r="J52" s="126">
        <v>264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773</v>
      </c>
      <c r="E53" s="163" t="s">
        <v>774</v>
      </c>
      <c r="H53" s="126">
        <v>12</v>
      </c>
      <c r="I53" s="126">
        <v>0</v>
      </c>
      <c r="J53" s="126">
        <v>72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779</v>
      </c>
      <c r="E54" s="163" t="s">
        <v>780</v>
      </c>
      <c r="H54" s="126">
        <v>64</v>
      </c>
      <c r="I54" s="126">
        <v>0</v>
      </c>
      <c r="J54" s="126">
        <v>116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782</v>
      </c>
      <c r="E55" s="163" t="s">
        <v>783</v>
      </c>
      <c r="H55" s="126">
        <v>8</v>
      </c>
      <c r="I55" s="126">
        <v>0</v>
      </c>
      <c r="J55" s="126">
        <v>56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785</v>
      </c>
      <c r="E56" s="163" t="s">
        <v>786</v>
      </c>
      <c r="H56" s="126">
        <v>40</v>
      </c>
      <c r="I56" s="126">
        <v>0</v>
      </c>
      <c r="J56" s="126">
        <v>20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799</v>
      </c>
      <c r="E57" s="163" t="s">
        <v>800</v>
      </c>
      <c r="H57" s="126">
        <v>7</v>
      </c>
      <c r="I57" s="126">
        <v>0</v>
      </c>
      <c r="J57" s="126">
        <v>7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804</v>
      </c>
      <c r="E58" s="163" t="s">
        <v>805</v>
      </c>
      <c r="H58" s="126">
        <v>59</v>
      </c>
      <c r="I58" s="126">
        <v>0</v>
      </c>
      <c r="J58" s="126">
        <v>59</v>
      </c>
      <c r="K58" s="126">
        <v>0</v>
      </c>
      <c r="L58" s="126">
        <v>0</v>
      </c>
      <c r="M58" s="126">
        <v>0</v>
      </c>
      <c r="N58" s="126">
        <v>118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809</v>
      </c>
      <c r="E59" s="163" t="s">
        <v>810</v>
      </c>
      <c r="H59" s="126">
        <v>8</v>
      </c>
      <c r="I59" s="126">
        <v>0</v>
      </c>
      <c r="J59" s="126">
        <v>8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814</v>
      </c>
      <c r="E60" s="163" t="s">
        <v>815</v>
      </c>
      <c r="H60" s="126">
        <v>15</v>
      </c>
      <c r="I60" s="126">
        <v>0</v>
      </c>
      <c r="J60" s="126">
        <v>15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819</v>
      </c>
      <c r="E61" s="163" t="s">
        <v>820</v>
      </c>
      <c r="H61" s="126">
        <v>9</v>
      </c>
      <c r="I61" s="126">
        <v>0</v>
      </c>
      <c r="J61" s="126">
        <v>9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824</v>
      </c>
      <c r="E62" s="163" t="s">
        <v>825</v>
      </c>
      <c r="H62" s="126">
        <v>10</v>
      </c>
      <c r="I62" s="126">
        <v>0</v>
      </c>
      <c r="J62" s="126">
        <v>10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884</v>
      </c>
      <c r="E63" s="163" t="s">
        <v>885</v>
      </c>
      <c r="H63" s="126">
        <v>5</v>
      </c>
      <c r="I63" s="126">
        <v>0</v>
      </c>
      <c r="J63" s="126">
        <v>5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907</v>
      </c>
      <c r="E64" s="163" t="s">
        <v>908</v>
      </c>
      <c r="H64" s="126">
        <v>4</v>
      </c>
      <c r="I64" s="126">
        <v>0</v>
      </c>
      <c r="J64" s="126">
        <v>4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934</v>
      </c>
      <c r="E65" s="163" t="s">
        <v>935</v>
      </c>
      <c r="H65" s="126">
        <v>11</v>
      </c>
      <c r="I65" s="126">
        <v>0</v>
      </c>
      <c r="J65" s="126">
        <v>11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976</v>
      </c>
      <c r="E66" s="163" t="s">
        <v>977</v>
      </c>
      <c r="H66" s="126">
        <v>16</v>
      </c>
      <c r="I66" s="126">
        <v>0</v>
      </c>
      <c r="J66" s="126">
        <v>16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981</v>
      </c>
      <c r="E67" s="163" t="s">
        <v>982</v>
      </c>
      <c r="H67" s="126">
        <v>15</v>
      </c>
      <c r="I67" s="126">
        <v>0</v>
      </c>
      <c r="J67" s="126">
        <v>15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997</v>
      </c>
      <c r="E68" s="163" t="s">
        <v>998</v>
      </c>
      <c r="H68" s="126">
        <v>15</v>
      </c>
      <c r="I68" s="126">
        <v>0</v>
      </c>
      <c r="J68" s="126">
        <v>15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1010</v>
      </c>
      <c r="E69" s="163" t="s">
        <v>1011</v>
      </c>
      <c r="H69" s="126">
        <v>22</v>
      </c>
      <c r="I69" s="126">
        <v>0</v>
      </c>
      <c r="J69" s="126">
        <v>22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1025</v>
      </c>
      <c r="E70" s="163" t="s">
        <v>1026</v>
      </c>
      <c r="H70" s="126">
        <v>3</v>
      </c>
      <c r="I70" s="126">
        <v>0</v>
      </c>
      <c r="J70" s="126">
        <v>3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1030</v>
      </c>
      <c r="E71" s="163" t="s">
        <v>1031</v>
      </c>
      <c r="H71" s="126">
        <v>9</v>
      </c>
      <c r="I71" s="126">
        <v>0</v>
      </c>
      <c r="J71" s="126">
        <v>9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1038</v>
      </c>
      <c r="E72" s="163" t="s">
        <v>1039</v>
      </c>
      <c r="H72" s="126">
        <v>6</v>
      </c>
      <c r="I72" s="126">
        <v>0</v>
      </c>
      <c r="J72" s="126">
        <v>6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1109</v>
      </c>
      <c r="E73" s="163" t="s">
        <v>1110</v>
      </c>
      <c r="H73" s="126">
        <v>2</v>
      </c>
      <c r="I73" s="126">
        <v>0</v>
      </c>
      <c r="J73" s="126">
        <v>2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1114</v>
      </c>
      <c r="E74" s="163" t="s">
        <v>1115</v>
      </c>
      <c r="H74" s="126">
        <v>2</v>
      </c>
      <c r="I74" s="126">
        <v>0</v>
      </c>
      <c r="J74" s="126">
        <v>2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1126</v>
      </c>
      <c r="E75" s="163" t="s">
        <v>1127</v>
      </c>
      <c r="H75" s="126">
        <v>7</v>
      </c>
      <c r="I75" s="126">
        <v>0</v>
      </c>
      <c r="J75" s="126">
        <v>7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1134</v>
      </c>
      <c r="E76" s="163" t="s">
        <v>1135</v>
      </c>
      <c r="H76" s="126">
        <v>6</v>
      </c>
      <c r="I76" s="126">
        <v>0</v>
      </c>
      <c r="J76" s="126">
        <v>6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1140</v>
      </c>
      <c r="E77" s="163" t="s">
        <v>1141</v>
      </c>
      <c r="H77" s="126">
        <v>8</v>
      </c>
      <c r="I77" s="126">
        <v>0</v>
      </c>
      <c r="J77" s="126">
        <v>8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1145</v>
      </c>
      <c r="E78" s="163" t="s">
        <v>1146</v>
      </c>
      <c r="H78" s="126">
        <v>3</v>
      </c>
      <c r="I78" s="126">
        <v>0</v>
      </c>
      <c r="J78" s="126">
        <v>3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1156</v>
      </c>
      <c r="E79" s="163" t="s">
        <v>1157</v>
      </c>
      <c r="H79" s="126">
        <v>1</v>
      </c>
      <c r="I79" s="126">
        <v>0</v>
      </c>
      <c r="J79" s="126">
        <v>1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1171</v>
      </c>
      <c r="E80" s="163" t="s">
        <v>1172</v>
      </c>
      <c r="H80" s="126">
        <v>16</v>
      </c>
      <c r="I80" s="126">
        <v>0</v>
      </c>
      <c r="J80" s="126">
        <v>16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1188</v>
      </c>
      <c r="E81" s="163" t="s">
        <v>1189</v>
      </c>
      <c r="H81" s="126">
        <v>3</v>
      </c>
      <c r="I81" s="126">
        <v>0</v>
      </c>
      <c r="J81" s="126">
        <v>3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1194</v>
      </c>
      <c r="E82" s="163" t="s">
        <v>1195</v>
      </c>
      <c r="H82" s="126">
        <v>10</v>
      </c>
      <c r="I82" s="126">
        <v>0</v>
      </c>
      <c r="J82" s="126">
        <v>10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1199</v>
      </c>
      <c r="E83" s="163" t="s">
        <v>1200</v>
      </c>
      <c r="H83" s="126">
        <v>1</v>
      </c>
      <c r="I83" s="126">
        <v>0</v>
      </c>
      <c r="J83" s="126">
        <v>1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1204</v>
      </c>
      <c r="E84" s="163" t="s">
        <v>1205</v>
      </c>
      <c r="H84" s="126">
        <v>7</v>
      </c>
      <c r="I84" s="126">
        <v>0</v>
      </c>
      <c r="J84" s="126">
        <v>7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1212</v>
      </c>
      <c r="E85" s="163" t="s">
        <v>1213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1217</v>
      </c>
      <c r="E86" s="163" t="s">
        <v>1218</v>
      </c>
      <c r="H86" s="126">
        <v>6</v>
      </c>
      <c r="I86" s="126">
        <v>0</v>
      </c>
      <c r="J86" s="126">
        <v>6</v>
      </c>
      <c r="K86" s="126">
        <v>0</v>
      </c>
      <c r="L86" s="126">
        <v>0</v>
      </c>
      <c r="M86" s="126">
        <v>0</v>
      </c>
      <c r="N86" s="126">
        <v>12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1222</v>
      </c>
      <c r="E87" s="163" t="s">
        <v>1223</v>
      </c>
      <c r="H87" s="126">
        <v>1</v>
      </c>
      <c r="I87" s="126">
        <v>0</v>
      </c>
      <c r="J87" s="126">
        <v>1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1230</v>
      </c>
      <c r="E88" s="163" t="s">
        <v>1231</v>
      </c>
      <c r="H88" s="126">
        <v>4</v>
      </c>
      <c r="I88" s="126">
        <v>0</v>
      </c>
      <c r="J88" s="126">
        <v>4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1235</v>
      </c>
      <c r="E89" s="163" t="s">
        <v>1236</v>
      </c>
      <c r="H89" s="126">
        <v>7</v>
      </c>
      <c r="I89" s="126">
        <v>0</v>
      </c>
      <c r="J89" s="126">
        <v>7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1243</v>
      </c>
      <c r="E90" s="163" t="s">
        <v>1244</v>
      </c>
      <c r="H90" s="126">
        <v>6</v>
      </c>
      <c r="I90" s="126">
        <v>0</v>
      </c>
      <c r="J90" s="126">
        <v>6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1296</v>
      </c>
      <c r="E91" s="163" t="s">
        <v>1297</v>
      </c>
      <c r="H91" s="126">
        <v>1</v>
      </c>
      <c r="I91" s="126">
        <v>0</v>
      </c>
      <c r="J91" s="126">
        <v>1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1304</v>
      </c>
      <c r="E92" s="163" t="s">
        <v>1305</v>
      </c>
      <c r="H92" s="126">
        <v>1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1314</v>
      </c>
      <c r="E93" s="163" t="s">
        <v>1315</v>
      </c>
      <c r="H93" s="126">
        <v>20</v>
      </c>
      <c r="I93" s="126">
        <v>0</v>
      </c>
      <c r="J93" s="126">
        <v>20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1324</v>
      </c>
      <c r="E94" s="163" t="s">
        <v>1325</v>
      </c>
      <c r="H94" s="126">
        <v>41</v>
      </c>
      <c r="I94" s="126">
        <v>0</v>
      </c>
      <c r="J94" s="126">
        <v>41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1340</v>
      </c>
      <c r="E95" s="163" t="s">
        <v>1341</v>
      </c>
      <c r="H95" s="126">
        <v>17</v>
      </c>
      <c r="I95" s="126">
        <v>0</v>
      </c>
      <c r="J95" s="126">
        <v>17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1368</v>
      </c>
      <c r="E96" s="163" t="s">
        <v>1369</v>
      </c>
      <c r="H96" s="126">
        <v>6</v>
      </c>
      <c r="I96" s="126">
        <v>0</v>
      </c>
      <c r="J96" s="126">
        <v>6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1382</v>
      </c>
      <c r="E97" s="163" t="s">
        <v>1383</v>
      </c>
      <c r="H97" s="126">
        <v>4</v>
      </c>
      <c r="I97" s="126">
        <v>0</v>
      </c>
      <c r="J97" s="126">
        <v>4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1406</v>
      </c>
      <c r="E98" s="163" t="s">
        <v>1407</v>
      </c>
      <c r="H98" s="126">
        <v>44</v>
      </c>
      <c r="I98" s="126">
        <v>0</v>
      </c>
      <c r="J98" s="126">
        <v>44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1516</v>
      </c>
      <c r="E99" s="163" t="s">
        <v>1517</v>
      </c>
      <c r="H99" s="126">
        <v>2</v>
      </c>
      <c r="I99" s="126">
        <v>0</v>
      </c>
      <c r="J99" s="126">
        <v>2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1524</v>
      </c>
      <c r="E100" s="163" t="s">
        <v>1525</v>
      </c>
      <c r="H100" s="126">
        <v>12</v>
      </c>
      <c r="I100" s="126">
        <v>0</v>
      </c>
      <c r="J100" s="126">
        <v>12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1648</v>
      </c>
      <c r="E101" s="163" t="s">
        <v>1649</v>
      </c>
      <c r="H101" s="126">
        <v>10</v>
      </c>
      <c r="I101" s="126">
        <v>0</v>
      </c>
      <c r="J101" s="126">
        <v>10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1703</v>
      </c>
      <c r="E102" s="163" t="s">
        <v>1704</v>
      </c>
      <c r="H102" s="126">
        <v>1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1709</v>
      </c>
      <c r="E103" s="163" t="s">
        <v>1710</v>
      </c>
      <c r="H103" s="126">
        <v>1</v>
      </c>
      <c r="I103" s="126">
        <v>0</v>
      </c>
      <c r="J103" s="126">
        <v>1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1744</v>
      </c>
      <c r="E104" s="163" t="s">
        <v>1745</v>
      </c>
      <c r="H104" s="126">
        <v>8</v>
      </c>
      <c r="I104" s="126">
        <v>0</v>
      </c>
      <c r="J104" s="126">
        <v>8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1749</v>
      </c>
      <c r="E105" s="163" t="s">
        <v>1750</v>
      </c>
      <c r="H105" s="126">
        <v>2</v>
      </c>
      <c r="I105" s="126">
        <v>0</v>
      </c>
      <c r="J105" s="126">
        <v>2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1814</v>
      </c>
      <c r="E106" s="163" t="s">
        <v>1815</v>
      </c>
      <c r="H106" s="126">
        <v>18</v>
      </c>
      <c r="I106" s="126">
        <v>0</v>
      </c>
      <c r="J106" s="126">
        <v>18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1925</v>
      </c>
      <c r="E107" s="163" t="s">
        <v>1926</v>
      </c>
      <c r="H107" s="126">
        <v>1</v>
      </c>
      <c r="I107" s="126">
        <v>0</v>
      </c>
      <c r="J107" s="126">
        <v>1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1930</v>
      </c>
      <c r="E108" s="163" t="s">
        <v>1931</v>
      </c>
      <c r="H108" s="126">
        <v>5</v>
      </c>
      <c r="I108" s="126">
        <v>0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2011</v>
      </c>
      <c r="E109" s="163" t="s">
        <v>2012</v>
      </c>
      <c r="H109" s="126">
        <v>2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2028</v>
      </c>
      <c r="E110" s="163" t="s">
        <v>2029</v>
      </c>
      <c r="H110" s="126">
        <v>50</v>
      </c>
      <c r="I110" s="126">
        <v>0</v>
      </c>
      <c r="J110" s="126">
        <v>50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2034</v>
      </c>
      <c r="E111" s="163" t="s">
        <v>2035</v>
      </c>
      <c r="H111" s="126">
        <v>50</v>
      </c>
      <c r="I111" s="126">
        <v>0</v>
      </c>
      <c r="J111" s="126">
        <v>50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2068</v>
      </c>
      <c r="E112" s="163" t="s">
        <v>2069</v>
      </c>
      <c r="H112" s="126">
        <v>1</v>
      </c>
      <c r="I112" s="126">
        <v>0</v>
      </c>
      <c r="J112" s="126">
        <v>1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2097</v>
      </c>
      <c r="E113" s="163" t="s">
        <v>2098</v>
      </c>
      <c r="H113" s="126">
        <v>2</v>
      </c>
      <c r="I113" s="126">
        <v>0</v>
      </c>
      <c r="J113" s="126">
        <v>2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2102</v>
      </c>
      <c r="E114" s="163" t="s">
        <v>2103</v>
      </c>
      <c r="H114" s="126">
        <v>2</v>
      </c>
      <c r="I114" s="126">
        <v>0</v>
      </c>
      <c r="J114" s="126">
        <v>2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2107</v>
      </c>
      <c r="E115" s="163" t="s">
        <v>2108</v>
      </c>
      <c r="H115" s="126">
        <v>2</v>
      </c>
      <c r="I115" s="126">
        <v>0</v>
      </c>
      <c r="J115" s="126">
        <v>2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2123</v>
      </c>
      <c r="E116" s="163" t="s">
        <v>2124</v>
      </c>
      <c r="H116" s="126">
        <v>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</sheetData>
  <autoFilter ref="C7:N116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45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M20" sqref="M20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6" t="s">
        <v>173</v>
      </c>
      <c r="D6" s="266" t="s">
        <v>213</v>
      </c>
      <c r="E6" s="266" t="s">
        <v>12</v>
      </c>
      <c r="F6" s="266" t="s">
        <v>186</v>
      </c>
      <c r="G6" s="266" t="s">
        <v>212</v>
      </c>
      <c r="H6" s="266" t="s">
        <v>211</v>
      </c>
      <c r="I6" s="266" t="s">
        <v>24</v>
      </c>
      <c r="J6" s="266" t="s">
        <v>118</v>
      </c>
      <c r="K6" s="266" t="s">
        <v>119</v>
      </c>
      <c r="L6" s="266" t="s">
        <v>176</v>
      </c>
      <c r="M6" s="266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9" t="s">
        <v>162</v>
      </c>
      <c r="D7" s="269" t="s">
        <v>207</v>
      </c>
      <c r="E7" s="269" t="s">
        <v>17</v>
      </c>
      <c r="F7" s="269" t="s">
        <v>110</v>
      </c>
      <c r="G7" s="269" t="s">
        <v>210</v>
      </c>
      <c r="H7" s="269" t="s">
        <v>202</v>
      </c>
      <c r="I7" s="269" t="s">
        <v>21</v>
      </c>
      <c r="J7" s="269" t="s">
        <v>165</v>
      </c>
      <c r="K7" s="269" t="s">
        <v>172</v>
      </c>
      <c r="L7" s="269" t="s">
        <v>166</v>
      </c>
      <c r="M7" s="269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560</v>
      </c>
      <c r="E8" s="159" t="s">
        <v>561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555</v>
      </c>
      <c r="E9" s="159" t="s">
        <v>556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565</v>
      </c>
      <c r="E10" s="159" t="s">
        <v>566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571</v>
      </c>
      <c r="E11" s="159" t="s">
        <v>572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577</v>
      </c>
      <c r="E12" s="159" t="s">
        <v>578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582</v>
      </c>
      <c r="E13" s="159" t="s">
        <v>583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587</v>
      </c>
      <c r="E14" s="159" t="s">
        <v>588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592</v>
      </c>
      <c r="E15" s="159" t="s">
        <v>593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597</v>
      </c>
      <c r="E16" s="159" t="s">
        <v>598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602</v>
      </c>
      <c r="E17" s="159" t="s">
        <v>603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609</v>
      </c>
      <c r="E18" s="159" t="s">
        <v>610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577</v>
      </c>
      <c r="E19" s="159" t="s">
        <v>578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617</v>
      </c>
      <c r="E20" s="159" t="s">
        <v>618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628</v>
      </c>
      <c r="E21" s="159" t="s">
        <v>629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633</v>
      </c>
      <c r="E22" s="159" t="s">
        <v>634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638</v>
      </c>
      <c r="E23" s="159" t="s">
        <v>639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643</v>
      </c>
      <c r="E24" s="159" t="s">
        <v>644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648</v>
      </c>
      <c r="E25" s="159" t="s">
        <v>649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653</v>
      </c>
      <c r="E26" s="159" t="s">
        <v>654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663</v>
      </c>
      <c r="E27" s="159" t="s">
        <v>664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668</v>
      </c>
      <c r="E28" s="159" t="s">
        <v>669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678</v>
      </c>
      <c r="E29" s="159" t="s">
        <v>679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683</v>
      </c>
      <c r="E30" s="159" t="s">
        <v>684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582</v>
      </c>
      <c r="E31" s="159" t="s">
        <v>583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687</v>
      </c>
      <c r="E32" s="159" t="s">
        <v>688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587</v>
      </c>
      <c r="E33" s="159" t="s">
        <v>588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691</v>
      </c>
      <c r="E34" s="159" t="s">
        <v>692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694</v>
      </c>
      <c r="E35" s="159" t="s">
        <v>695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697</v>
      </c>
      <c r="E36" s="159" t="s">
        <v>698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700</v>
      </c>
      <c r="E37" s="159" t="s">
        <v>701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663</v>
      </c>
      <c r="E38" s="159" t="s">
        <v>664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704</v>
      </c>
      <c r="E39" s="159" t="s">
        <v>705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707</v>
      </c>
      <c r="E40" s="159" t="s">
        <v>708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710</v>
      </c>
      <c r="E41" s="159" t="s">
        <v>711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643</v>
      </c>
      <c r="E42" s="159" t="s">
        <v>644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716</v>
      </c>
      <c r="E43" s="159" t="s">
        <v>717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719</v>
      </c>
      <c r="E44" s="159" t="s">
        <v>720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723</v>
      </c>
      <c r="E45" s="159" t="s">
        <v>724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727</v>
      </c>
      <c r="E46" s="159" t="s">
        <v>728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731</v>
      </c>
      <c r="E47" s="159" t="s">
        <v>732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668</v>
      </c>
      <c r="E48" s="159" t="s">
        <v>669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736</v>
      </c>
      <c r="E49" s="159" t="s">
        <v>737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739</v>
      </c>
      <c r="E50" s="159" t="s">
        <v>740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742</v>
      </c>
      <c r="E51" s="159" t="s">
        <v>743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746</v>
      </c>
      <c r="E52" s="159" t="s">
        <v>747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749</v>
      </c>
      <c r="E53" s="159" t="s">
        <v>750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753</v>
      </c>
      <c r="E54" s="159" t="s">
        <v>754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756</v>
      </c>
      <c r="E55" s="159" t="s">
        <v>757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565</v>
      </c>
      <c r="E56" s="159" t="s">
        <v>566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762</v>
      </c>
      <c r="E57" s="159" t="s">
        <v>763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628</v>
      </c>
      <c r="E58" s="159" t="s">
        <v>629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767</v>
      </c>
      <c r="E59" s="159" t="s">
        <v>768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770</v>
      </c>
      <c r="E60" s="159" t="s">
        <v>771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773</v>
      </c>
      <c r="E61" s="159" t="s">
        <v>774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617</v>
      </c>
      <c r="E62" s="159" t="s">
        <v>618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577</v>
      </c>
      <c r="E63" s="159" t="s">
        <v>578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779</v>
      </c>
      <c r="E64" s="159" t="s">
        <v>780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782</v>
      </c>
      <c r="E65" s="159" t="s">
        <v>783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785</v>
      </c>
      <c r="E66" s="159" t="s">
        <v>786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609</v>
      </c>
      <c r="E67" s="159" t="s">
        <v>610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653</v>
      </c>
      <c r="E68" s="159" t="s">
        <v>654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749</v>
      </c>
      <c r="E69" s="159" t="s">
        <v>750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799</v>
      </c>
      <c r="E70" s="159" t="s">
        <v>800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804</v>
      </c>
      <c r="E71" s="159" t="s">
        <v>805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809</v>
      </c>
      <c r="E72" s="159" t="s">
        <v>810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814</v>
      </c>
      <c r="E73" s="159" t="s">
        <v>815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819</v>
      </c>
      <c r="E74" s="159" t="s">
        <v>820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824</v>
      </c>
      <c r="E75" s="159" t="s">
        <v>825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746</v>
      </c>
      <c r="E76" s="159" t="s">
        <v>747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753</v>
      </c>
      <c r="E77" s="159" t="s">
        <v>754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565</v>
      </c>
      <c r="E78" s="159" t="s">
        <v>566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691</v>
      </c>
      <c r="E79" s="159" t="s">
        <v>692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704</v>
      </c>
      <c r="E80" s="159" t="s">
        <v>705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609</v>
      </c>
      <c r="E81" s="159" t="s">
        <v>610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723</v>
      </c>
      <c r="E82" s="159" t="s">
        <v>724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773</v>
      </c>
      <c r="E83" s="159" t="s">
        <v>774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749</v>
      </c>
      <c r="E84" s="159" t="s">
        <v>750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884</v>
      </c>
      <c r="E85" s="159" t="s">
        <v>885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697</v>
      </c>
      <c r="E86" s="159" t="s">
        <v>698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628</v>
      </c>
      <c r="E87" s="159" t="s">
        <v>629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739</v>
      </c>
      <c r="E88" s="159" t="s">
        <v>740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648</v>
      </c>
      <c r="E89" s="159" t="s">
        <v>649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638</v>
      </c>
      <c r="E90" s="159" t="s">
        <v>639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633</v>
      </c>
      <c r="E91" s="159" t="s">
        <v>634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907</v>
      </c>
      <c r="E92" s="159" t="s">
        <v>908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756</v>
      </c>
      <c r="E93" s="159" t="s">
        <v>757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753</v>
      </c>
      <c r="E94" s="159" t="s">
        <v>754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565</v>
      </c>
      <c r="E95" s="159" t="s">
        <v>566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756</v>
      </c>
      <c r="E96" s="159" t="s">
        <v>757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653</v>
      </c>
      <c r="E97" s="159" t="s">
        <v>654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934</v>
      </c>
      <c r="E98" s="159" t="s">
        <v>935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753</v>
      </c>
      <c r="E99" s="159" t="s">
        <v>754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753</v>
      </c>
      <c r="E100" s="159" t="s">
        <v>754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767</v>
      </c>
      <c r="E101" s="159" t="s">
        <v>768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587</v>
      </c>
      <c r="E102" s="159" t="s">
        <v>588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691</v>
      </c>
      <c r="E103" s="159" t="s">
        <v>692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707</v>
      </c>
      <c r="E104" s="159" t="s">
        <v>708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976</v>
      </c>
      <c r="E105" s="159" t="s">
        <v>977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981</v>
      </c>
      <c r="E106" s="159" t="s">
        <v>982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767</v>
      </c>
      <c r="E107" s="159" t="s">
        <v>768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700</v>
      </c>
      <c r="E108" s="159" t="s">
        <v>701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809</v>
      </c>
      <c r="E109" s="159" t="s">
        <v>810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997</v>
      </c>
      <c r="E110" s="159" t="s">
        <v>998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668</v>
      </c>
      <c r="E111" s="159" t="s">
        <v>669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779</v>
      </c>
      <c r="E112" s="159" t="s">
        <v>780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1010</v>
      </c>
      <c r="E113" s="159" t="s">
        <v>1011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753</v>
      </c>
      <c r="E114" s="159" t="s">
        <v>754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785</v>
      </c>
      <c r="E115" s="159" t="s">
        <v>786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1025</v>
      </c>
      <c r="E116" s="159" t="s">
        <v>1026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1030</v>
      </c>
      <c r="E117" s="159" t="s">
        <v>1031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770</v>
      </c>
      <c r="E118" s="159" t="s">
        <v>771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1038</v>
      </c>
      <c r="E119" s="159" t="s">
        <v>1039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628</v>
      </c>
      <c r="E120" s="159" t="s">
        <v>629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577</v>
      </c>
      <c r="E121" s="159" t="s">
        <v>578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609</v>
      </c>
      <c r="E122" s="159" t="s">
        <v>610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643</v>
      </c>
      <c r="E123" s="159" t="s">
        <v>644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753</v>
      </c>
      <c r="E124" s="159" t="s">
        <v>754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756</v>
      </c>
      <c r="E125" s="159" t="s">
        <v>757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767</v>
      </c>
      <c r="E126" s="159" t="s">
        <v>768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770</v>
      </c>
      <c r="E127" s="159" t="s">
        <v>771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707</v>
      </c>
      <c r="E128" s="159" t="s">
        <v>708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697</v>
      </c>
      <c r="E129" s="159" t="s">
        <v>698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756</v>
      </c>
      <c r="E130" s="159" t="s">
        <v>757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663</v>
      </c>
      <c r="E131" s="159" t="s">
        <v>664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907</v>
      </c>
      <c r="E132" s="159" t="s">
        <v>908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762</v>
      </c>
      <c r="E133" s="159" t="s">
        <v>763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1109</v>
      </c>
      <c r="E134" s="159" t="s">
        <v>1110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1114</v>
      </c>
      <c r="E135" s="159" t="s">
        <v>1115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687</v>
      </c>
      <c r="E136" s="159" t="s">
        <v>688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628</v>
      </c>
      <c r="E137" s="159" t="s">
        <v>629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1126</v>
      </c>
      <c r="E138" s="159" t="s">
        <v>1127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716</v>
      </c>
      <c r="E139" s="159" t="s">
        <v>717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1134</v>
      </c>
      <c r="E140" s="159" t="s">
        <v>1135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1140</v>
      </c>
      <c r="E141" s="159" t="s">
        <v>1141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1145</v>
      </c>
      <c r="E142" s="159" t="s">
        <v>1146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976</v>
      </c>
      <c r="E143" s="159" t="s">
        <v>977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602</v>
      </c>
      <c r="E144" s="159" t="s">
        <v>603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1156</v>
      </c>
      <c r="E145" s="159" t="s">
        <v>1157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753</v>
      </c>
      <c r="E146" s="159" t="s">
        <v>754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653</v>
      </c>
      <c r="E147" s="159" t="s">
        <v>654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1171</v>
      </c>
      <c r="E148" s="159" t="s">
        <v>1172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683</v>
      </c>
      <c r="E149" s="159" t="s">
        <v>684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819</v>
      </c>
      <c r="E150" s="159" t="s">
        <v>820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1188</v>
      </c>
      <c r="E151" s="159" t="s">
        <v>1189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1194</v>
      </c>
      <c r="E152" s="159" t="s">
        <v>1195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1199</v>
      </c>
      <c r="E153" s="159" t="s">
        <v>1200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1204</v>
      </c>
      <c r="E154" s="159" t="s">
        <v>1205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1010</v>
      </c>
      <c r="E155" s="159" t="s">
        <v>1011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1212</v>
      </c>
      <c r="E156" s="159" t="s">
        <v>1213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1217</v>
      </c>
      <c r="E157" s="159" t="s">
        <v>1218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1222</v>
      </c>
      <c r="E158" s="159" t="s">
        <v>1223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648</v>
      </c>
      <c r="E159" s="159" t="s">
        <v>649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1230</v>
      </c>
      <c r="E160" s="159" t="s">
        <v>1231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1235</v>
      </c>
      <c r="E161" s="159" t="s">
        <v>1236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907</v>
      </c>
      <c r="E162" s="159" t="s">
        <v>908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1243</v>
      </c>
      <c r="E163" s="159" t="s">
        <v>1244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736</v>
      </c>
      <c r="E164" s="159" t="s">
        <v>737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753</v>
      </c>
      <c r="E165" s="159" t="s">
        <v>754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565</v>
      </c>
      <c r="E166" s="159" t="s">
        <v>566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753</v>
      </c>
      <c r="E167" s="159" t="s">
        <v>754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782</v>
      </c>
      <c r="E168" s="159" t="s">
        <v>783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809</v>
      </c>
      <c r="E169" s="159" t="s">
        <v>810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1126</v>
      </c>
      <c r="E170" s="159" t="s">
        <v>1127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981</v>
      </c>
      <c r="E171" s="159" t="s">
        <v>982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976</v>
      </c>
      <c r="E172" s="159" t="s">
        <v>977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1204</v>
      </c>
      <c r="E173" s="159" t="s">
        <v>1205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1243</v>
      </c>
      <c r="E174" s="159" t="s">
        <v>1244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814</v>
      </c>
      <c r="E175" s="159" t="s">
        <v>815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1235</v>
      </c>
      <c r="E176" s="159" t="s">
        <v>1236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1296</v>
      </c>
      <c r="E177" s="159" t="s">
        <v>1297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819</v>
      </c>
      <c r="E178" s="159" t="s">
        <v>820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1304</v>
      </c>
      <c r="E179" s="159" t="s">
        <v>1305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1010</v>
      </c>
      <c r="E180" s="159" t="s">
        <v>1011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1314</v>
      </c>
      <c r="E181" s="159" t="s">
        <v>1315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804</v>
      </c>
      <c r="E182" s="159" t="s">
        <v>805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719</v>
      </c>
      <c r="E183" s="159" t="s">
        <v>720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1324</v>
      </c>
      <c r="E184" s="159" t="s">
        <v>1325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753</v>
      </c>
      <c r="E185" s="159" t="s">
        <v>754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1340</v>
      </c>
      <c r="E186" s="159" t="s">
        <v>1341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770</v>
      </c>
      <c r="E187" s="159" t="s">
        <v>771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753</v>
      </c>
      <c r="E188" s="159" t="s">
        <v>754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565</v>
      </c>
      <c r="E189" s="159" t="s">
        <v>566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1235</v>
      </c>
      <c r="E190" s="159" t="s">
        <v>1236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762</v>
      </c>
      <c r="E191" s="159" t="s">
        <v>763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976</v>
      </c>
      <c r="E192" s="159" t="s">
        <v>977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1368</v>
      </c>
      <c r="E193" s="159" t="s">
        <v>1369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1230</v>
      </c>
      <c r="E194" s="159" t="s">
        <v>1231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648</v>
      </c>
      <c r="E195" s="159" t="s">
        <v>649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1025</v>
      </c>
      <c r="E196" s="159" t="s">
        <v>1026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1382</v>
      </c>
      <c r="E197" s="159" t="s">
        <v>1383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1243</v>
      </c>
      <c r="E198" s="159" t="s">
        <v>1244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1406</v>
      </c>
      <c r="E199" s="159" t="s">
        <v>1407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704</v>
      </c>
      <c r="E200" s="159" t="s">
        <v>705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1010</v>
      </c>
      <c r="E201" s="159" t="s">
        <v>1011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643</v>
      </c>
      <c r="E202" s="159" t="s">
        <v>644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697</v>
      </c>
      <c r="E203" s="159" t="s">
        <v>698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700</v>
      </c>
      <c r="E204" s="159" t="s">
        <v>701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804</v>
      </c>
      <c r="E205" s="159" t="s">
        <v>805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753</v>
      </c>
      <c r="E206" s="159" t="s">
        <v>754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565</v>
      </c>
      <c r="E207" s="159" t="s">
        <v>566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577</v>
      </c>
      <c r="E208" s="159" t="s">
        <v>578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609</v>
      </c>
      <c r="E209" s="159" t="s">
        <v>610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700</v>
      </c>
      <c r="E210" s="159" t="s">
        <v>701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587</v>
      </c>
      <c r="E211" s="159" t="s">
        <v>588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756</v>
      </c>
      <c r="E212" s="159" t="s">
        <v>757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653</v>
      </c>
      <c r="E213" s="159" t="s">
        <v>654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762</v>
      </c>
      <c r="E214" s="159" t="s">
        <v>763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756</v>
      </c>
      <c r="E215" s="159" t="s">
        <v>757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753</v>
      </c>
      <c r="E216" s="159" t="s">
        <v>754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767</v>
      </c>
      <c r="E217" s="159" t="s">
        <v>768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1030</v>
      </c>
      <c r="E218" s="159" t="s">
        <v>1031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997</v>
      </c>
      <c r="E219" s="159" t="s">
        <v>998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1368</v>
      </c>
      <c r="E220" s="159" t="s">
        <v>1369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1140</v>
      </c>
      <c r="E221" s="159" t="s">
        <v>1141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814</v>
      </c>
      <c r="E222" s="159" t="s">
        <v>815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1324</v>
      </c>
      <c r="E223" s="159" t="s">
        <v>1325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707</v>
      </c>
      <c r="E224" s="159" t="s">
        <v>708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643</v>
      </c>
      <c r="E225" s="159" t="s">
        <v>644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1194</v>
      </c>
      <c r="E226" s="159" t="s">
        <v>1195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1516</v>
      </c>
      <c r="E227" s="159" t="s">
        <v>1517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716</v>
      </c>
      <c r="E228" s="159" t="s">
        <v>717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1524</v>
      </c>
      <c r="E229" s="159" t="s">
        <v>1525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767</v>
      </c>
      <c r="E230" s="159" t="s">
        <v>768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762</v>
      </c>
      <c r="E231" s="159" t="s">
        <v>763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723</v>
      </c>
      <c r="E232" s="159" t="s">
        <v>724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753</v>
      </c>
      <c r="E233" s="159" t="s">
        <v>754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565</v>
      </c>
      <c r="E234" s="159" t="s">
        <v>566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609</v>
      </c>
      <c r="E235" s="159" t="s">
        <v>610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577</v>
      </c>
      <c r="E236" s="159" t="s">
        <v>578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779</v>
      </c>
      <c r="E237" s="159" t="s">
        <v>780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697</v>
      </c>
      <c r="E238" s="159" t="s">
        <v>698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767</v>
      </c>
      <c r="E239" s="159" t="s">
        <v>768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609</v>
      </c>
      <c r="E240" s="159" t="s">
        <v>610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1217</v>
      </c>
      <c r="E241" s="159" t="s">
        <v>1218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756</v>
      </c>
      <c r="E242" s="159" t="s">
        <v>757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762</v>
      </c>
      <c r="E243" s="159" t="s">
        <v>763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749</v>
      </c>
      <c r="E244" s="159" t="s">
        <v>750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582</v>
      </c>
      <c r="E245" s="159" t="s">
        <v>583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1194</v>
      </c>
      <c r="E246" s="159" t="s">
        <v>1195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756</v>
      </c>
      <c r="E247" s="159" t="s">
        <v>757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653</v>
      </c>
      <c r="E248" s="159" t="s">
        <v>654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779</v>
      </c>
      <c r="E249" s="159" t="s">
        <v>780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700</v>
      </c>
      <c r="E250" s="159" t="s">
        <v>701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884</v>
      </c>
      <c r="E251" s="159" t="s">
        <v>885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1126</v>
      </c>
      <c r="E252" s="159" t="s">
        <v>1127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799</v>
      </c>
      <c r="E253" s="159" t="s">
        <v>800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753</v>
      </c>
      <c r="E254" s="159" t="s">
        <v>754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577</v>
      </c>
      <c r="E255" s="159" t="s">
        <v>578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782</v>
      </c>
      <c r="E256" s="159" t="s">
        <v>783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779</v>
      </c>
      <c r="E257" s="159" t="s">
        <v>780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653</v>
      </c>
      <c r="E258" s="159" t="s">
        <v>654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739</v>
      </c>
      <c r="E259" s="159" t="s">
        <v>740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1648</v>
      </c>
      <c r="E260" s="159" t="s">
        <v>1649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749</v>
      </c>
      <c r="E261" s="159" t="s">
        <v>750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753</v>
      </c>
      <c r="E262" s="159" t="s">
        <v>754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609</v>
      </c>
      <c r="E263" s="159" t="s">
        <v>610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697</v>
      </c>
      <c r="E264" s="159" t="s">
        <v>698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723</v>
      </c>
      <c r="E265" s="159" t="s">
        <v>724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704</v>
      </c>
      <c r="E266" s="159" t="s">
        <v>705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1524</v>
      </c>
      <c r="E267" s="159" t="s">
        <v>1525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1038</v>
      </c>
      <c r="E268" s="159" t="s">
        <v>1039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1703</v>
      </c>
      <c r="E269" s="159" t="s">
        <v>1704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1709</v>
      </c>
      <c r="E270" s="159" t="s">
        <v>1710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782</v>
      </c>
      <c r="E271" s="159" t="s">
        <v>783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756</v>
      </c>
      <c r="E272" s="159" t="s">
        <v>757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756</v>
      </c>
      <c r="E273" s="159" t="s">
        <v>757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762</v>
      </c>
      <c r="E274" s="159" t="s">
        <v>763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609</v>
      </c>
      <c r="E275" s="159" t="s">
        <v>610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653</v>
      </c>
      <c r="E276" s="159" t="s">
        <v>654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753</v>
      </c>
      <c r="E277" s="159" t="s">
        <v>754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1744</v>
      </c>
      <c r="E278" s="159" t="s">
        <v>1745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1749</v>
      </c>
      <c r="E279" s="159" t="s">
        <v>1750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742</v>
      </c>
      <c r="E280" s="159" t="s">
        <v>743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565</v>
      </c>
      <c r="E281" s="159" t="s">
        <v>566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700</v>
      </c>
      <c r="E282" s="159" t="s">
        <v>701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628</v>
      </c>
      <c r="E283" s="159" t="s">
        <v>629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753</v>
      </c>
      <c r="E284" s="159" t="s">
        <v>754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779</v>
      </c>
      <c r="E285" s="159" t="s">
        <v>780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1340</v>
      </c>
      <c r="E286" s="159" t="s">
        <v>1341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609</v>
      </c>
      <c r="E287" s="159" t="s">
        <v>610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577</v>
      </c>
      <c r="E288" s="159" t="s">
        <v>578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555</v>
      </c>
      <c r="E289" s="159" t="s">
        <v>556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628</v>
      </c>
      <c r="E290" s="159" t="s">
        <v>629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814</v>
      </c>
      <c r="E291" s="159" t="s">
        <v>815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597</v>
      </c>
      <c r="E292" s="159" t="s">
        <v>598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648</v>
      </c>
      <c r="E293" s="159" t="s">
        <v>649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976</v>
      </c>
      <c r="E294" s="159" t="s">
        <v>977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804</v>
      </c>
      <c r="E295" s="159" t="s">
        <v>805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1814</v>
      </c>
      <c r="E296" s="159" t="s">
        <v>1815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1126</v>
      </c>
      <c r="E297" s="159" t="s">
        <v>1127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1382</v>
      </c>
      <c r="E298" s="159" t="s">
        <v>1383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1204</v>
      </c>
      <c r="E299" s="159" t="s">
        <v>1205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809</v>
      </c>
      <c r="E300" s="159" t="s">
        <v>810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1243</v>
      </c>
      <c r="E301" s="159" t="s">
        <v>1244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1010</v>
      </c>
      <c r="E302" s="159" t="s">
        <v>1011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697</v>
      </c>
      <c r="E303" s="159" t="s">
        <v>698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704</v>
      </c>
      <c r="E304" s="159" t="s">
        <v>705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1524</v>
      </c>
      <c r="E305" s="159" t="s">
        <v>1525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691</v>
      </c>
      <c r="E306" s="159" t="s">
        <v>692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1814</v>
      </c>
      <c r="E307" s="159" t="s">
        <v>1815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804</v>
      </c>
      <c r="E308" s="159" t="s">
        <v>805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814</v>
      </c>
      <c r="E309" s="159" t="s">
        <v>815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1217</v>
      </c>
      <c r="E310" s="159" t="s">
        <v>1218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753</v>
      </c>
      <c r="E311" s="159" t="s">
        <v>754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1010</v>
      </c>
      <c r="E312" s="159" t="s">
        <v>1011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1524</v>
      </c>
      <c r="E313" s="159" t="s">
        <v>1525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1340</v>
      </c>
      <c r="E314" s="159" t="s">
        <v>1341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767</v>
      </c>
      <c r="E315" s="159" t="s">
        <v>768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762</v>
      </c>
      <c r="E316" s="159" t="s">
        <v>763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609</v>
      </c>
      <c r="E317" s="159" t="s">
        <v>610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700</v>
      </c>
      <c r="E318" s="159" t="s">
        <v>701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753</v>
      </c>
      <c r="E319" s="159" t="s">
        <v>754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582</v>
      </c>
      <c r="E320" s="159" t="s">
        <v>583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753</v>
      </c>
      <c r="E321" s="159" t="s">
        <v>754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1925</v>
      </c>
      <c r="E322" s="159" t="s">
        <v>1926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1930</v>
      </c>
      <c r="E323" s="159" t="s">
        <v>1931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749</v>
      </c>
      <c r="E324" s="159" t="s">
        <v>750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1217</v>
      </c>
      <c r="E325" s="159" t="s">
        <v>1218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1382</v>
      </c>
      <c r="E326" s="159" t="s">
        <v>1383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628</v>
      </c>
      <c r="E327" s="159" t="s">
        <v>629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592</v>
      </c>
      <c r="E328" s="159" t="s">
        <v>593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1194</v>
      </c>
      <c r="E329" s="159" t="s">
        <v>1195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804</v>
      </c>
      <c r="E330" s="159" t="s">
        <v>805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799</v>
      </c>
      <c r="E331" s="159" t="s">
        <v>800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997</v>
      </c>
      <c r="E332" s="159" t="s">
        <v>998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1524</v>
      </c>
      <c r="E333" s="159" t="s">
        <v>1525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1516</v>
      </c>
      <c r="E334" s="159" t="s">
        <v>1517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814</v>
      </c>
      <c r="E335" s="159" t="s">
        <v>815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1010</v>
      </c>
      <c r="E336" s="159" t="s">
        <v>1011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555</v>
      </c>
      <c r="E337" s="159" t="s">
        <v>556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762</v>
      </c>
      <c r="E338" s="159" t="s">
        <v>763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719</v>
      </c>
      <c r="E339" s="159" t="s">
        <v>720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819</v>
      </c>
      <c r="E340" s="159" t="s">
        <v>820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694</v>
      </c>
      <c r="E341" s="159" t="s">
        <v>695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678</v>
      </c>
      <c r="E342" s="159" t="s">
        <v>679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716</v>
      </c>
      <c r="E343" s="159" t="s">
        <v>717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582</v>
      </c>
      <c r="E344" s="159" t="s">
        <v>583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710</v>
      </c>
      <c r="E345" s="159" t="s">
        <v>711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2011</v>
      </c>
      <c r="E346" s="159" t="s">
        <v>2012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1814</v>
      </c>
      <c r="E347" s="159" t="s">
        <v>1815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907</v>
      </c>
      <c r="E348" s="159" t="s">
        <v>908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663</v>
      </c>
      <c r="E349" s="159" t="s">
        <v>664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2028</v>
      </c>
      <c r="E350" s="159" t="s">
        <v>2029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2034</v>
      </c>
      <c r="E351" s="159" t="s">
        <v>2035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1749</v>
      </c>
      <c r="E352" s="159" t="s">
        <v>1750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749</v>
      </c>
      <c r="E353" s="159" t="s">
        <v>750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736</v>
      </c>
      <c r="E354" s="159" t="s">
        <v>737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742</v>
      </c>
      <c r="E355" s="159" t="s">
        <v>743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1010</v>
      </c>
      <c r="E356" s="159" t="s">
        <v>1011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1406</v>
      </c>
      <c r="E357" s="159" t="s">
        <v>1407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2068</v>
      </c>
      <c r="E358" s="159" t="s">
        <v>2069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1134</v>
      </c>
      <c r="E359" s="159" t="s">
        <v>1135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799</v>
      </c>
      <c r="E360" s="159" t="s">
        <v>800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577</v>
      </c>
      <c r="E361" s="159" t="s">
        <v>578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824</v>
      </c>
      <c r="E362" s="159" t="s">
        <v>825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997</v>
      </c>
      <c r="E363" s="159" t="s">
        <v>998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1126</v>
      </c>
      <c r="E364" s="159" t="s">
        <v>1127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678</v>
      </c>
      <c r="E365" s="159" t="s">
        <v>679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2097</v>
      </c>
      <c r="E366" s="159" t="s">
        <v>2098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2102</v>
      </c>
      <c r="E367" s="159" t="s">
        <v>2103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2107</v>
      </c>
      <c r="E368" s="159" t="s">
        <v>2108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587</v>
      </c>
      <c r="E369" s="159" t="s">
        <v>588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779</v>
      </c>
      <c r="E370" s="159" t="s">
        <v>780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767</v>
      </c>
      <c r="E371" s="159" t="s">
        <v>768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2123</v>
      </c>
      <c r="E372" s="159" t="s">
        <v>2124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799</v>
      </c>
      <c r="E373" s="159" t="s">
        <v>800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1212</v>
      </c>
      <c r="E374" s="159" t="s">
        <v>1213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804</v>
      </c>
      <c r="E375" s="159" t="s">
        <v>805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1204</v>
      </c>
      <c r="E376" s="159" t="s">
        <v>1205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1194</v>
      </c>
      <c r="E377" s="159" t="s">
        <v>1195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819</v>
      </c>
      <c r="E378" s="159" t="s">
        <v>820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1126</v>
      </c>
      <c r="E379" s="159" t="s">
        <v>1127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1814</v>
      </c>
      <c r="E380" s="159" t="s">
        <v>1815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691</v>
      </c>
      <c r="E381" s="159" t="s">
        <v>692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700</v>
      </c>
      <c r="E382" s="159" t="s">
        <v>701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704</v>
      </c>
      <c r="E383" s="159" t="s">
        <v>705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710</v>
      </c>
      <c r="E384" s="159" t="s">
        <v>711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1296</v>
      </c>
      <c r="E385" s="159" t="s">
        <v>1297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1524</v>
      </c>
      <c r="E386" s="159" t="s">
        <v>1525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1188</v>
      </c>
      <c r="E387" s="159" t="s">
        <v>1189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1749</v>
      </c>
      <c r="E388" s="159" t="s">
        <v>1750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1199</v>
      </c>
      <c r="E389" s="159" t="s">
        <v>1200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1194</v>
      </c>
      <c r="E390" s="159" t="s">
        <v>1195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1516</v>
      </c>
      <c r="E391" s="159" t="s">
        <v>1517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1114</v>
      </c>
      <c r="E392" s="159" t="s">
        <v>1115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1145</v>
      </c>
      <c r="E393" s="159" t="s">
        <v>1146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1109</v>
      </c>
      <c r="E394" s="159" t="s">
        <v>1110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809</v>
      </c>
      <c r="E395" s="159" t="s">
        <v>810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976</v>
      </c>
      <c r="E396" s="159" t="s">
        <v>977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1230</v>
      </c>
      <c r="E397" s="159" t="s">
        <v>1231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981</v>
      </c>
      <c r="E398" s="159" t="s">
        <v>982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648</v>
      </c>
      <c r="E399" s="159" t="s">
        <v>649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814</v>
      </c>
      <c r="E400" s="159" t="s">
        <v>815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804</v>
      </c>
      <c r="E401" s="159" t="s">
        <v>805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1340</v>
      </c>
      <c r="E402" s="159" t="s">
        <v>1341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934</v>
      </c>
      <c r="E403" s="159" t="s">
        <v>935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1212</v>
      </c>
      <c r="E404" s="159" t="s">
        <v>1213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1744</v>
      </c>
      <c r="E405" s="159" t="s">
        <v>1745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1204</v>
      </c>
      <c r="E406" s="159" t="s">
        <v>1205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1925</v>
      </c>
      <c r="E407" s="159" t="s">
        <v>1926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1038</v>
      </c>
      <c r="E408" s="159" t="s">
        <v>1039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1222</v>
      </c>
      <c r="E409" s="159" t="s">
        <v>1223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1217</v>
      </c>
      <c r="E410" s="159" t="s">
        <v>1218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1243</v>
      </c>
      <c r="E411" s="159" t="s">
        <v>1244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1235</v>
      </c>
      <c r="E412" s="159" t="s">
        <v>1236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907</v>
      </c>
      <c r="E413" s="159" t="s">
        <v>908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2011</v>
      </c>
      <c r="E414" s="159" t="s">
        <v>2012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1304</v>
      </c>
      <c r="E415" s="159" t="s">
        <v>1305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1368</v>
      </c>
      <c r="E416" s="159" t="s">
        <v>1369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1382</v>
      </c>
      <c r="E417" s="159" t="s">
        <v>1383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1134</v>
      </c>
      <c r="E418" s="159" t="s">
        <v>1135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2034</v>
      </c>
      <c r="E419" s="159" t="s">
        <v>2035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2028</v>
      </c>
      <c r="E420" s="159" t="s">
        <v>2029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1140</v>
      </c>
      <c r="E421" s="159" t="s">
        <v>1141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1314</v>
      </c>
      <c r="E422" s="159" t="s">
        <v>1315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1324</v>
      </c>
      <c r="E423" s="159" t="s">
        <v>1325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633</v>
      </c>
      <c r="E424" s="159" t="s">
        <v>634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638</v>
      </c>
      <c r="E425" s="159" t="s">
        <v>639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884</v>
      </c>
      <c r="E426" s="159" t="s">
        <v>885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1025</v>
      </c>
      <c r="E427" s="159" t="s">
        <v>1026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592</v>
      </c>
      <c r="E428" s="159" t="s">
        <v>593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1010</v>
      </c>
      <c r="E429" s="159" t="s">
        <v>1011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2068</v>
      </c>
      <c r="E430" s="159" t="s">
        <v>2069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1156</v>
      </c>
      <c r="E431" s="159" t="s">
        <v>1157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2123</v>
      </c>
      <c r="E432" s="159" t="s">
        <v>2124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799</v>
      </c>
      <c r="E433" s="159" t="s">
        <v>800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997</v>
      </c>
      <c r="E434" s="159" t="s">
        <v>998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824</v>
      </c>
      <c r="E435" s="159" t="s">
        <v>825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1930</v>
      </c>
      <c r="E436" s="159" t="s">
        <v>1931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1406</v>
      </c>
      <c r="E437" s="159" t="s">
        <v>1407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555</v>
      </c>
      <c r="E438" s="159" t="s">
        <v>2219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736</v>
      </c>
      <c r="E439" s="159" t="s">
        <v>2221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1703</v>
      </c>
      <c r="E440" s="159" t="s">
        <v>2223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739</v>
      </c>
      <c r="E441" s="159" t="s">
        <v>2225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746</v>
      </c>
      <c r="E442" s="159" t="s">
        <v>2228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1709</v>
      </c>
      <c r="E443" s="159" t="s">
        <v>2230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1030</v>
      </c>
      <c r="E444" s="159" t="s">
        <v>1031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2102</v>
      </c>
      <c r="E445" s="159" t="s">
        <v>2103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602</v>
      </c>
      <c r="E446" s="159" t="s">
        <v>603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1648</v>
      </c>
      <c r="E447" s="159" t="s">
        <v>1649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2107</v>
      </c>
      <c r="E448" s="159" t="s">
        <v>2108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2097</v>
      </c>
      <c r="E449" s="159" t="s">
        <v>2098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762</v>
      </c>
      <c r="E450" s="159" t="s">
        <v>763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628</v>
      </c>
      <c r="E451" s="159" t="s">
        <v>629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767</v>
      </c>
      <c r="E452" s="159" t="s">
        <v>768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770</v>
      </c>
      <c r="E453" s="159" t="s">
        <v>771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773</v>
      </c>
      <c r="E454" s="159" t="s">
        <v>774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577</v>
      </c>
      <c r="E455" s="159" t="s">
        <v>578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779</v>
      </c>
      <c r="E456" s="159" t="s">
        <v>780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571</v>
      </c>
      <c r="E457" s="159" t="s">
        <v>572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609</v>
      </c>
      <c r="E458" s="159" t="s">
        <v>610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1171</v>
      </c>
      <c r="E459" s="159" t="s">
        <v>1172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8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8"/>
    </row>
    <row r="2" spans="3:30" s="13" customFormat="1" ht="23.25" hidden="1">
      <c r="C2" s="126"/>
      <c r="D2" s="140"/>
      <c r="E2" s="163"/>
      <c r="F2" s="159"/>
      <c r="G2" s="228"/>
    </row>
    <row r="3" spans="3:30" s="13" customFormat="1" ht="23.25">
      <c r="C3" s="126"/>
      <c r="D3" s="140"/>
      <c r="E3" s="163"/>
      <c r="F3" s="159"/>
      <c r="G3" s="228"/>
    </row>
    <row r="4" spans="3:30" s="13" customFormat="1" ht="32.25" customHeight="1">
      <c r="C4" s="126"/>
      <c r="D4" s="140"/>
      <c r="E4" s="167"/>
      <c r="F4" s="190"/>
      <c r="G4" s="229"/>
    </row>
    <row r="5" spans="3:30" s="13" customFormat="1" ht="26.25" customHeight="1">
      <c r="C5" s="126"/>
      <c r="D5" s="140"/>
      <c r="E5" s="163"/>
      <c r="F5" s="159"/>
      <c r="G5" s="228"/>
    </row>
    <row r="6" spans="3:30" s="13" customFormat="1" ht="25.5">
      <c r="C6" s="266" t="s">
        <v>173</v>
      </c>
      <c r="D6" s="267" t="s">
        <v>213</v>
      </c>
      <c r="E6" s="267" t="s">
        <v>12</v>
      </c>
      <c r="F6" s="266" t="s">
        <v>214</v>
      </c>
      <c r="G6" s="268" t="s">
        <v>211</v>
      </c>
      <c r="H6" s="266" t="s">
        <v>174</v>
      </c>
      <c r="I6" s="266" t="s">
        <v>175</v>
      </c>
      <c r="J6" s="266" t="s">
        <v>119</v>
      </c>
      <c r="K6" s="266" t="s">
        <v>119</v>
      </c>
      <c r="L6" s="266" t="s">
        <v>176</v>
      </c>
      <c r="M6" s="266" t="s">
        <v>176</v>
      </c>
      <c r="N6" s="266" t="s">
        <v>177</v>
      </c>
      <c r="O6" s="266" t="s">
        <v>178</v>
      </c>
      <c r="P6" s="266" t="s">
        <v>179</v>
      </c>
      <c r="Q6" s="266" t="s">
        <v>179</v>
      </c>
      <c r="R6" s="266" t="s">
        <v>180</v>
      </c>
      <c r="S6" s="266" t="s">
        <v>181</v>
      </c>
      <c r="T6" s="266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69" t="s">
        <v>162</v>
      </c>
      <c r="D7" s="270" t="s">
        <v>207</v>
      </c>
      <c r="E7" s="270" t="s">
        <v>17</v>
      </c>
      <c r="F7" s="269" t="s">
        <v>210</v>
      </c>
      <c r="G7" s="271" t="s">
        <v>202</v>
      </c>
      <c r="H7" s="269" t="s">
        <v>164</v>
      </c>
      <c r="I7" s="269" t="s">
        <v>165</v>
      </c>
      <c r="J7" s="269" t="s">
        <v>172</v>
      </c>
      <c r="K7" s="269" t="s">
        <v>367</v>
      </c>
      <c r="L7" s="269" t="s">
        <v>166</v>
      </c>
      <c r="M7" s="269" t="s">
        <v>368</v>
      </c>
      <c r="N7" s="269" t="s">
        <v>167</v>
      </c>
      <c r="O7" s="269" t="s">
        <v>168</v>
      </c>
      <c r="P7" s="269" t="s">
        <v>169</v>
      </c>
      <c r="Q7" s="269" t="s">
        <v>369</v>
      </c>
      <c r="R7" s="269" t="s">
        <v>170</v>
      </c>
      <c r="S7" s="269" t="s">
        <v>171</v>
      </c>
      <c r="T7" s="269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6" t="s">
        <v>173</v>
      </c>
      <c r="D6" s="267" t="s">
        <v>213</v>
      </c>
      <c r="E6" s="266" t="s">
        <v>12</v>
      </c>
      <c r="F6" s="266" t="s">
        <v>186</v>
      </c>
      <c r="G6" s="266" t="s">
        <v>212</v>
      </c>
      <c r="H6" s="268" t="s">
        <v>211</v>
      </c>
      <c r="I6" s="268" t="s">
        <v>24</v>
      </c>
      <c r="J6" s="266" t="s">
        <v>118</v>
      </c>
      <c r="K6" s="266" t="s">
        <v>119</v>
      </c>
      <c r="L6" s="266" t="s">
        <v>176</v>
      </c>
      <c r="M6" s="266" t="s">
        <v>177</v>
      </c>
      <c r="N6" s="266" t="s">
        <v>178</v>
      </c>
      <c r="O6" s="266" t="s">
        <v>179</v>
      </c>
      <c r="P6" s="266" t="s">
        <v>180</v>
      </c>
      <c r="Q6" s="266" t="s">
        <v>181</v>
      </c>
      <c r="R6" s="266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9" t="s">
        <v>162</v>
      </c>
      <c r="D7" s="270" t="s">
        <v>207</v>
      </c>
      <c r="E7" s="269" t="s">
        <v>17</v>
      </c>
      <c r="F7" s="269" t="s">
        <v>110</v>
      </c>
      <c r="G7" s="269" t="s">
        <v>210</v>
      </c>
      <c r="H7" s="271" t="s">
        <v>202</v>
      </c>
      <c r="I7" s="271" t="s">
        <v>21</v>
      </c>
      <c r="J7" s="269" t="s">
        <v>165</v>
      </c>
      <c r="K7" s="269" t="s">
        <v>172</v>
      </c>
      <c r="L7" s="269" t="s">
        <v>166</v>
      </c>
      <c r="M7" s="269" t="s">
        <v>167</v>
      </c>
      <c r="N7" s="269" t="s">
        <v>168</v>
      </c>
      <c r="O7" s="269" t="s">
        <v>169</v>
      </c>
      <c r="P7" s="269" t="s">
        <v>170</v>
      </c>
      <c r="Q7" s="269" t="s">
        <v>171</v>
      </c>
      <c r="R7" s="269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15" sqref="H15"/>
    </sheetView>
  </sheetViews>
  <sheetFormatPr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72" t="s">
        <v>10</v>
      </c>
      <c r="D6" s="273" t="s">
        <v>243</v>
      </c>
      <c r="E6" s="274" t="s">
        <v>244</v>
      </c>
      <c r="F6" s="272" t="s">
        <v>222</v>
      </c>
      <c r="G6" s="272" t="s">
        <v>107</v>
      </c>
      <c r="H6" s="272" t="s">
        <v>241</v>
      </c>
      <c r="I6" s="273" t="s">
        <v>242</v>
      </c>
      <c r="J6" s="275" t="s">
        <v>273</v>
      </c>
      <c r="K6" s="272" t="s">
        <v>0</v>
      </c>
      <c r="L6" s="272" t="s">
        <v>223</v>
      </c>
      <c r="M6" s="272" t="s">
        <v>225</v>
      </c>
      <c r="N6" s="272" t="s">
        <v>246</v>
      </c>
      <c r="O6" s="272" t="s">
        <v>247</v>
      </c>
      <c r="P6" s="272" t="s">
        <v>248</v>
      </c>
      <c r="Q6" s="272" t="s">
        <v>9</v>
      </c>
      <c r="R6" s="272" t="s">
        <v>276</v>
      </c>
      <c r="S6" s="272" t="s">
        <v>108</v>
      </c>
      <c r="T6" s="272" t="s">
        <v>245</v>
      </c>
      <c r="U6" s="272" t="s">
        <v>274</v>
      </c>
      <c r="V6" s="272" t="s">
        <v>249</v>
      </c>
      <c r="W6" s="272" t="s">
        <v>275</v>
      </c>
      <c r="X6" s="272" t="s">
        <v>250</v>
      </c>
      <c r="Y6" s="273" t="s">
        <v>251</v>
      </c>
      <c r="Z6" s="273" t="s">
        <v>25</v>
      </c>
      <c r="AA6" s="276" t="s">
        <v>209</v>
      </c>
      <c r="AB6" s="273" t="s">
        <v>226</v>
      </c>
      <c r="AC6" s="274" t="s">
        <v>253</v>
      </c>
      <c r="AD6" s="272" t="s">
        <v>252</v>
      </c>
      <c r="AE6" s="272" t="s">
        <v>254</v>
      </c>
      <c r="AF6" s="272" t="s">
        <v>255</v>
      </c>
      <c r="AG6" s="272" t="s">
        <v>109</v>
      </c>
      <c r="AH6" s="272" t="s">
        <v>23</v>
      </c>
      <c r="AI6" s="272" t="s">
        <v>95</v>
      </c>
      <c r="AJ6" s="272" t="s">
        <v>120</v>
      </c>
    </row>
    <row r="7" spans="3:42" s="126" customFormat="1" ht="15">
      <c r="C7" s="269" t="s">
        <v>1</v>
      </c>
      <c r="D7" s="270" t="s">
        <v>227</v>
      </c>
      <c r="E7" s="271" t="s">
        <v>228</v>
      </c>
      <c r="F7" s="269" t="s">
        <v>221</v>
      </c>
      <c r="G7" s="269" t="s">
        <v>124</v>
      </c>
      <c r="H7" s="269" t="s">
        <v>160</v>
      </c>
      <c r="I7" s="270" t="s">
        <v>97</v>
      </c>
      <c r="J7" s="277" t="s">
        <v>272</v>
      </c>
      <c r="K7" s="269" t="s">
        <v>229</v>
      </c>
      <c r="L7" s="269" t="s">
        <v>230</v>
      </c>
      <c r="M7" s="269" t="s">
        <v>3</v>
      </c>
      <c r="N7" s="269" t="s">
        <v>232</v>
      </c>
      <c r="O7" s="269" t="s">
        <v>233</v>
      </c>
      <c r="P7" s="269" t="s">
        <v>234</v>
      </c>
      <c r="Q7" s="269" t="s">
        <v>278</v>
      </c>
      <c r="R7" s="269" t="s">
        <v>277</v>
      </c>
      <c r="S7" s="269" t="s">
        <v>205</v>
      </c>
      <c r="T7" s="269" t="s">
        <v>231</v>
      </c>
      <c r="U7" s="269" t="s">
        <v>271</v>
      </c>
      <c r="V7" s="269" t="s">
        <v>206</v>
      </c>
      <c r="W7" s="269" t="s">
        <v>30</v>
      </c>
      <c r="X7" s="269" t="s">
        <v>236</v>
      </c>
      <c r="Y7" s="270" t="s">
        <v>240</v>
      </c>
      <c r="Z7" s="270" t="s">
        <v>28</v>
      </c>
      <c r="AA7" s="278" t="s">
        <v>203</v>
      </c>
      <c r="AB7" s="278" t="s">
        <v>191</v>
      </c>
      <c r="AC7" s="271" t="s">
        <v>204</v>
      </c>
      <c r="AD7" s="269" t="s">
        <v>237</v>
      </c>
      <c r="AE7" s="269" t="s">
        <v>238</v>
      </c>
      <c r="AF7" s="269" t="s">
        <v>239</v>
      </c>
      <c r="AG7" s="269" t="s">
        <v>98</v>
      </c>
      <c r="AH7" s="269" t="s">
        <v>26</v>
      </c>
      <c r="AI7" s="269" t="s">
        <v>2</v>
      </c>
      <c r="AJ7" s="269" t="s">
        <v>121</v>
      </c>
    </row>
    <row r="8" spans="3:42">
      <c r="C8" s="126">
        <v>1</v>
      </c>
      <c r="D8" s="141" t="s">
        <v>2253</v>
      </c>
      <c r="E8" s="162">
        <v>46232</v>
      </c>
      <c r="F8" s="126">
        <v>1</v>
      </c>
      <c r="G8" s="126">
        <v>1</v>
      </c>
      <c r="H8" s="126">
        <v>3</v>
      </c>
      <c r="I8" s="163" t="s">
        <v>549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2254</v>
      </c>
      <c r="Y8" s="141" t="s">
        <v>2255</v>
      </c>
      <c r="AA8" s="166">
        <v>46232.615543981483</v>
      </c>
      <c r="AC8" s="162">
        <v>46232</v>
      </c>
      <c r="AD8" s="149" t="s">
        <v>2257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69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2258</v>
      </c>
      <c r="E9" s="162">
        <v>46233</v>
      </c>
      <c r="F9" s="126">
        <v>1</v>
      </c>
      <c r="G9" s="126">
        <v>1</v>
      </c>
      <c r="H9" s="126">
        <v>2</v>
      </c>
      <c r="I9" s="163" t="s">
        <v>2259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2254</v>
      </c>
      <c r="Y9" s="141" t="s">
        <v>2255</v>
      </c>
      <c r="Z9" s="141" t="s">
        <v>2256</v>
      </c>
      <c r="AA9" s="166">
        <v>46233.2496875</v>
      </c>
      <c r="AC9" s="162">
        <v>46233</v>
      </c>
      <c r="AD9" s="149" t="s">
        <v>2260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70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2266</v>
      </c>
      <c r="E10" s="162">
        <v>46234</v>
      </c>
      <c r="G10" s="126">
        <v>1</v>
      </c>
      <c r="H10" s="126">
        <v>5</v>
      </c>
      <c r="I10" s="163" t="s">
        <v>2267</v>
      </c>
      <c r="J10" s="170" t="s">
        <v>2268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2269</v>
      </c>
      <c r="Y10" s="141" t="s">
        <v>2270</v>
      </c>
      <c r="Z10" s="141" t="s">
        <v>2256</v>
      </c>
      <c r="AA10" s="166">
        <v>46234.445324074077</v>
      </c>
      <c r="AC10" s="162">
        <v>46234</v>
      </c>
      <c r="AD10" s="149" t="s">
        <v>2271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71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2272</v>
      </c>
      <c r="E11" s="162">
        <v>46234</v>
      </c>
      <c r="G11" s="126">
        <v>1</v>
      </c>
      <c r="H11" s="126">
        <v>6</v>
      </c>
      <c r="I11" s="163" t="s">
        <v>2273</v>
      </c>
      <c r="J11" s="170" t="s">
        <v>2268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2269</v>
      </c>
      <c r="Y11" s="141" t="s">
        <v>2270</v>
      </c>
      <c r="Z11" s="141" t="s">
        <v>2256</v>
      </c>
      <c r="AA11" s="166">
        <v>46234.640682870369</v>
      </c>
      <c r="AC11" s="162">
        <v>46234</v>
      </c>
      <c r="AD11" s="149" t="s">
        <v>2274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69" t="s">
        <v>221</v>
      </c>
      <c r="AP11" s="130" t="str">
        <f t="shared" si="0"/>
        <v>4 . Company Id</v>
      </c>
    </row>
    <row r="12" spans="3:42">
      <c r="AN12" s="130">
        <v>5</v>
      </c>
      <c r="AO12" s="269" t="s">
        <v>124</v>
      </c>
      <c r="AP12" s="130" t="str">
        <f t="shared" si="0"/>
        <v>5 . Branch Id</v>
      </c>
    </row>
    <row r="13" spans="3:42">
      <c r="AN13" s="130">
        <v>6</v>
      </c>
      <c r="AO13" s="269" t="s">
        <v>160</v>
      </c>
      <c r="AP13" s="130" t="str">
        <f t="shared" si="0"/>
        <v>6 . Customer Id</v>
      </c>
    </row>
    <row r="14" spans="3:42">
      <c r="AN14" s="130">
        <v>7</v>
      </c>
      <c r="AO14" s="270" t="s">
        <v>97</v>
      </c>
      <c r="AP14" s="130" t="str">
        <f t="shared" si="0"/>
        <v>7 . Customer Name</v>
      </c>
    </row>
    <row r="15" spans="3:42">
      <c r="AN15" s="130">
        <v>8</v>
      </c>
      <c r="AO15" s="277" t="s">
        <v>272</v>
      </c>
      <c r="AP15" s="130" t="str">
        <f t="shared" si="0"/>
        <v>8 . Service Type</v>
      </c>
    </row>
    <row r="16" spans="3:42">
      <c r="AN16" s="130">
        <v>9</v>
      </c>
      <c r="AO16" s="269" t="s">
        <v>229</v>
      </c>
      <c r="AP16" s="130" t="str">
        <f t="shared" si="0"/>
        <v>9 . Currency ID</v>
      </c>
    </row>
    <row r="17" spans="40:42">
      <c r="AN17" s="130">
        <v>10</v>
      </c>
      <c r="AO17" s="269" t="s">
        <v>230</v>
      </c>
      <c r="AP17" s="130" t="str">
        <f t="shared" si="0"/>
        <v>10 . Price Type Id</v>
      </c>
    </row>
    <row r="18" spans="40:42">
      <c r="AN18" s="130">
        <v>11</v>
      </c>
      <c r="AO18" s="269" t="s">
        <v>3</v>
      </c>
      <c r="AP18" s="130" t="str">
        <f t="shared" si="0"/>
        <v>11 . Exchange Rate</v>
      </c>
    </row>
    <row r="19" spans="40:42">
      <c r="AN19" s="130">
        <v>12</v>
      </c>
      <c r="AO19" s="269" t="s">
        <v>232</v>
      </c>
      <c r="AP19" s="130" t="str">
        <f t="shared" si="0"/>
        <v>12 . Vat Percent</v>
      </c>
    </row>
    <row r="20" spans="40:42">
      <c r="AN20" s="130">
        <v>13</v>
      </c>
      <c r="AO20" s="269" t="s">
        <v>233</v>
      </c>
      <c r="AP20" s="130" t="str">
        <f t="shared" si="0"/>
        <v>13 . Vat Setting ID</v>
      </c>
    </row>
    <row r="21" spans="40:42">
      <c r="AN21" s="130">
        <v>14</v>
      </c>
      <c r="AO21" s="269" t="s">
        <v>234</v>
      </c>
      <c r="AP21" s="130" t="str">
        <f t="shared" si="0"/>
        <v>14 . Vat Cal</v>
      </c>
    </row>
    <row r="22" spans="40:42">
      <c r="AN22" s="130">
        <v>15</v>
      </c>
      <c r="AO22" s="269" t="s">
        <v>278</v>
      </c>
      <c r="AP22" s="130" t="str">
        <f t="shared" si="0"/>
        <v>15 . Dis Amount</v>
      </c>
    </row>
    <row r="23" spans="40:42">
      <c r="AN23" s="130">
        <v>16</v>
      </c>
      <c r="AO23" s="269" t="s">
        <v>277</v>
      </c>
      <c r="AP23" s="130" t="str">
        <f t="shared" si="0"/>
        <v>16 . Dis​​ Percent</v>
      </c>
    </row>
    <row r="24" spans="40:42">
      <c r="AN24" s="130">
        <v>17</v>
      </c>
      <c r="AO24" s="269" t="s">
        <v>205</v>
      </c>
      <c r="AP24" s="130" t="str">
        <f t="shared" si="0"/>
        <v>17 . Sub Total</v>
      </c>
    </row>
    <row r="25" spans="40:42">
      <c r="AN25" s="130">
        <v>18</v>
      </c>
      <c r="AO25" s="269" t="s">
        <v>231</v>
      </c>
      <c r="AP25" s="130" t="str">
        <f t="shared" si="0"/>
        <v>18 . Total VAT</v>
      </c>
    </row>
    <row r="26" spans="40:42">
      <c r="AN26" s="130">
        <v>19</v>
      </c>
      <c r="AO26" s="269" t="s">
        <v>271</v>
      </c>
      <c r="AP26" s="130" t="str">
        <f t="shared" si="0"/>
        <v>19 . Total Discount</v>
      </c>
    </row>
    <row r="27" spans="40:42">
      <c r="AN27" s="130">
        <v>20</v>
      </c>
      <c r="AO27" s="269" t="s">
        <v>206</v>
      </c>
      <c r="AP27" s="130" t="str">
        <f t="shared" si="0"/>
        <v>20 . Total Deposit</v>
      </c>
    </row>
    <row r="28" spans="40:42">
      <c r="AN28" s="130">
        <v>21</v>
      </c>
      <c r="AO28" s="269" t="s">
        <v>30</v>
      </c>
      <c r="AP28" s="130" t="str">
        <f t="shared" si="0"/>
        <v>21 . Total Amount</v>
      </c>
    </row>
    <row r="29" spans="40:42">
      <c r="AN29" s="130">
        <v>22</v>
      </c>
      <c r="AO29" s="269" t="s">
        <v>236</v>
      </c>
      <c r="AP29" s="130" t="str">
        <f t="shared" si="0"/>
        <v>22 . Ship To</v>
      </c>
    </row>
    <row r="30" spans="40:42">
      <c r="AN30" s="130">
        <v>23</v>
      </c>
      <c r="AO30" s="270" t="s">
        <v>240</v>
      </c>
      <c r="AP30" s="130" t="str">
        <f t="shared" si="0"/>
        <v>23 . Ship Telephone</v>
      </c>
    </row>
    <row r="31" spans="40:42">
      <c r="AN31" s="130">
        <v>24</v>
      </c>
      <c r="AO31" s="270" t="s">
        <v>28</v>
      </c>
      <c r="AP31" s="130" t="str">
        <f t="shared" si="0"/>
        <v>24 . Note</v>
      </c>
    </row>
    <row r="32" spans="40:42">
      <c r="AN32" s="130">
        <v>25</v>
      </c>
      <c r="AO32" s="278" t="s">
        <v>203</v>
      </c>
      <c r="AP32" s="130" t="str">
        <f t="shared" si="0"/>
        <v>25 . Created</v>
      </c>
    </row>
    <row r="33" spans="40:42">
      <c r="AN33" s="130">
        <v>26</v>
      </c>
      <c r="AO33" s="278" t="s">
        <v>191</v>
      </c>
      <c r="AP33" s="130" t="str">
        <f t="shared" si="0"/>
        <v>26 . Created By</v>
      </c>
    </row>
    <row r="34" spans="40:42">
      <c r="AN34" s="130">
        <v>27</v>
      </c>
      <c r="AO34" s="271" t="s">
        <v>204</v>
      </c>
      <c r="AP34" s="130" t="str">
        <f t="shared" si="0"/>
        <v>27 . Approved</v>
      </c>
    </row>
    <row r="35" spans="40:42">
      <c r="AN35" s="130">
        <v>28</v>
      </c>
      <c r="AO35" s="269" t="s">
        <v>237</v>
      </c>
      <c r="AP35" s="130" t="str">
        <f t="shared" si="0"/>
        <v>28 . Approved By</v>
      </c>
    </row>
    <row r="36" spans="40:42">
      <c r="AN36" s="130">
        <v>29</v>
      </c>
      <c r="AO36" s="269" t="s">
        <v>238</v>
      </c>
      <c r="AP36" s="130" t="str">
        <f t="shared" si="0"/>
        <v>29 . Is Close</v>
      </c>
    </row>
    <row r="37" spans="40:42">
      <c r="AN37" s="130">
        <v>30</v>
      </c>
      <c r="AO37" s="269" t="s">
        <v>239</v>
      </c>
      <c r="AP37" s="130" t="str">
        <f t="shared" si="0"/>
        <v>30 . Is Approve</v>
      </c>
    </row>
    <row r="38" spans="40:42">
      <c r="AN38" s="130">
        <v>31</v>
      </c>
      <c r="AO38" s="269" t="s">
        <v>98</v>
      </c>
      <c r="AP38" s="130" t="str">
        <f t="shared" si="0"/>
        <v>31 . Status</v>
      </c>
    </row>
    <row r="39" spans="40:42">
      <c r="AN39" s="130">
        <v>32</v>
      </c>
      <c r="AO39" s="269" t="s">
        <v>26</v>
      </c>
      <c r="AP39" s="130" t="str">
        <f t="shared" si="0"/>
        <v>32 . Week</v>
      </c>
    </row>
    <row r="40" spans="40:42">
      <c r="AN40" s="130">
        <v>33</v>
      </c>
      <c r="AO40" s="269" t="s">
        <v>2</v>
      </c>
      <c r="AP40" s="130" t="str">
        <f t="shared" si="0"/>
        <v>33 . Month</v>
      </c>
    </row>
    <row r="41" spans="40:42">
      <c r="AN41" s="130">
        <v>34</v>
      </c>
      <c r="AO41" s="269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72" t="s">
        <v>10</v>
      </c>
      <c r="D6" s="272" t="s">
        <v>243</v>
      </c>
      <c r="E6" s="273" t="s">
        <v>270</v>
      </c>
      <c r="F6" s="272" t="s">
        <v>244</v>
      </c>
      <c r="G6" s="273" t="s">
        <v>101</v>
      </c>
      <c r="H6" s="273" t="s">
        <v>173</v>
      </c>
      <c r="I6" s="273" t="s">
        <v>260</v>
      </c>
      <c r="J6" s="273" t="s">
        <v>261</v>
      </c>
      <c r="K6" s="273" t="s">
        <v>16</v>
      </c>
      <c r="L6" s="273" t="s">
        <v>16</v>
      </c>
      <c r="M6" s="273" t="s">
        <v>262</v>
      </c>
      <c r="N6" s="273" t="s">
        <v>263</v>
      </c>
      <c r="O6" s="272" t="s">
        <v>264</v>
      </c>
      <c r="P6" s="273" t="s">
        <v>265</v>
      </c>
      <c r="Q6" s="272" t="s">
        <v>267</v>
      </c>
      <c r="R6" s="272" t="s">
        <v>266</v>
      </c>
      <c r="S6" s="272" t="s">
        <v>14</v>
      </c>
      <c r="T6" s="272" t="s">
        <v>187</v>
      </c>
      <c r="U6" s="272" t="s">
        <v>280</v>
      </c>
      <c r="V6" s="272" t="s">
        <v>268</v>
      </c>
      <c r="W6" s="272" t="s">
        <v>109</v>
      </c>
      <c r="X6" s="272" t="s">
        <v>23</v>
      </c>
      <c r="Y6" s="272" t="s">
        <v>95</v>
      </c>
      <c r="Z6" s="272" t="s">
        <v>120</v>
      </c>
    </row>
    <row r="7" spans="3:32" s="13" customFormat="1" ht="15">
      <c r="C7" s="279" t="s">
        <v>139</v>
      </c>
      <c r="D7" s="279" t="s">
        <v>256</v>
      </c>
      <c r="E7" s="280" t="s">
        <v>269</v>
      </c>
      <c r="F7" s="279" t="s">
        <v>228</v>
      </c>
      <c r="G7" s="280" t="s">
        <v>160</v>
      </c>
      <c r="H7" s="280" t="s">
        <v>162</v>
      </c>
      <c r="I7" s="280" t="s">
        <v>207</v>
      </c>
      <c r="J7" s="280" t="s">
        <v>17</v>
      </c>
      <c r="K7" s="280" t="s">
        <v>18</v>
      </c>
      <c r="L7" s="280" t="s">
        <v>196</v>
      </c>
      <c r="M7" s="280" t="s">
        <v>4</v>
      </c>
      <c r="N7" s="280" t="s">
        <v>257</v>
      </c>
      <c r="O7" s="279" t="s">
        <v>197</v>
      </c>
      <c r="P7" s="280" t="s">
        <v>258</v>
      </c>
      <c r="Q7" s="279" t="s">
        <v>259</v>
      </c>
      <c r="R7" s="279" t="s">
        <v>235</v>
      </c>
      <c r="S7" s="279" t="s">
        <v>19</v>
      </c>
      <c r="T7" s="279" t="s">
        <v>8</v>
      </c>
      <c r="U7" s="279" t="s">
        <v>279</v>
      </c>
      <c r="V7" s="279" t="s">
        <v>201</v>
      </c>
      <c r="W7" s="279" t="s">
        <v>98</v>
      </c>
      <c r="X7" s="279" t="s">
        <v>26</v>
      </c>
      <c r="Y7" s="279" t="s">
        <v>2</v>
      </c>
      <c r="Z7" s="279" t="s">
        <v>121</v>
      </c>
    </row>
    <row r="8" spans="3:32">
      <c r="C8" s="126">
        <v>1</v>
      </c>
      <c r="D8" s="126">
        <v>1</v>
      </c>
      <c r="E8" s="141" t="s">
        <v>2253</v>
      </c>
      <c r="F8" s="162">
        <v>46232</v>
      </c>
      <c r="G8" s="141">
        <v>1</v>
      </c>
      <c r="H8" s="141">
        <v>198</v>
      </c>
      <c r="I8" s="141" t="s">
        <v>1171</v>
      </c>
      <c r="J8" s="170" t="s">
        <v>1172</v>
      </c>
      <c r="K8" s="126">
        <v>10</v>
      </c>
      <c r="L8" s="126">
        <v>0</v>
      </c>
      <c r="M8" s="142" t="s">
        <v>573</v>
      </c>
      <c r="O8" s="126">
        <v>1</v>
      </c>
      <c r="P8" s="141" t="s">
        <v>2256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37"/>
    </row>
    <row r="9" spans="3:32">
      <c r="C9" s="126">
        <v>2</v>
      </c>
      <c r="D9" s="126">
        <v>1</v>
      </c>
      <c r="E9" s="141" t="s">
        <v>2253</v>
      </c>
      <c r="F9" s="162">
        <v>46232</v>
      </c>
      <c r="G9" s="141">
        <v>1</v>
      </c>
      <c r="H9" s="141">
        <v>191</v>
      </c>
      <c r="I9" s="141" t="s">
        <v>782</v>
      </c>
      <c r="J9" s="170" t="s">
        <v>783</v>
      </c>
      <c r="K9" s="126">
        <v>10</v>
      </c>
      <c r="L9" s="126">
        <v>0</v>
      </c>
      <c r="M9" s="142" t="s">
        <v>573</v>
      </c>
      <c r="O9" s="126">
        <v>1</v>
      </c>
      <c r="P9" s="141" t="s">
        <v>2256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37"/>
    </row>
    <row r="10" spans="3:32">
      <c r="C10" s="126">
        <v>3</v>
      </c>
      <c r="D10" s="126">
        <v>1</v>
      </c>
      <c r="E10" s="141" t="s">
        <v>2253</v>
      </c>
      <c r="F10" s="162">
        <v>46232</v>
      </c>
      <c r="G10" s="141">
        <v>1</v>
      </c>
      <c r="H10" s="141">
        <v>191</v>
      </c>
      <c r="I10" s="141" t="s">
        <v>782</v>
      </c>
      <c r="J10" s="170" t="s">
        <v>783</v>
      </c>
      <c r="K10" s="126">
        <v>10</v>
      </c>
      <c r="L10" s="126">
        <v>0</v>
      </c>
      <c r="M10" s="142" t="s">
        <v>573</v>
      </c>
      <c r="O10" s="126">
        <v>1</v>
      </c>
      <c r="P10" s="141" t="s">
        <v>2256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432"/>
    </row>
    <row r="11" spans="3:32">
      <c r="C11" s="126">
        <v>4</v>
      </c>
      <c r="D11" s="126">
        <v>2</v>
      </c>
      <c r="E11" s="141" t="s">
        <v>2258</v>
      </c>
      <c r="F11" s="162">
        <v>46233</v>
      </c>
      <c r="G11" s="141">
        <v>2</v>
      </c>
      <c r="H11" s="141">
        <v>1</v>
      </c>
      <c r="I11" s="141" t="s">
        <v>678</v>
      </c>
      <c r="J11" s="170" t="s">
        <v>679</v>
      </c>
      <c r="K11" s="126">
        <v>2</v>
      </c>
      <c r="L11" s="126">
        <v>0</v>
      </c>
      <c r="M11" s="142" t="s">
        <v>546</v>
      </c>
      <c r="O11" s="126">
        <v>1</v>
      </c>
      <c r="P11" s="141" t="s">
        <v>2256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37"/>
    </row>
    <row r="12" spans="3:32">
      <c r="C12" s="126">
        <v>5</v>
      </c>
      <c r="D12" s="126">
        <v>2</v>
      </c>
      <c r="E12" s="141" t="s">
        <v>2258</v>
      </c>
      <c r="F12" s="162">
        <v>46233</v>
      </c>
      <c r="G12" s="141">
        <v>2</v>
      </c>
      <c r="H12" s="141">
        <v>2</v>
      </c>
      <c r="I12" s="141" t="s">
        <v>683</v>
      </c>
      <c r="J12" s="170" t="s">
        <v>684</v>
      </c>
      <c r="K12" s="126">
        <v>3</v>
      </c>
      <c r="L12" s="126">
        <v>0</v>
      </c>
      <c r="M12" s="142" t="s">
        <v>546</v>
      </c>
      <c r="O12" s="126">
        <v>1</v>
      </c>
      <c r="P12" s="141" t="s">
        <v>2256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432"/>
    </row>
    <row r="13" spans="3:32">
      <c r="C13" s="126">
        <v>6</v>
      </c>
      <c r="D13" s="126">
        <v>2</v>
      </c>
      <c r="E13" s="141" t="s">
        <v>2258</v>
      </c>
      <c r="F13" s="162">
        <v>46233</v>
      </c>
      <c r="G13" s="141">
        <v>2</v>
      </c>
      <c r="H13" s="141">
        <v>3</v>
      </c>
      <c r="I13" s="141" t="s">
        <v>2261</v>
      </c>
      <c r="J13" s="170" t="s">
        <v>2262</v>
      </c>
      <c r="K13" s="126">
        <v>4</v>
      </c>
      <c r="L13" s="126">
        <v>0</v>
      </c>
      <c r="M13" s="142" t="s">
        <v>546</v>
      </c>
      <c r="O13" s="126">
        <v>1</v>
      </c>
      <c r="P13" s="141" t="s">
        <v>2256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432"/>
    </row>
    <row r="14" spans="3:32">
      <c r="C14" s="126">
        <v>7</v>
      </c>
      <c r="D14" s="126">
        <v>2</v>
      </c>
      <c r="E14" s="141" t="s">
        <v>2258</v>
      </c>
      <c r="F14" s="162">
        <v>46233</v>
      </c>
      <c r="G14" s="141">
        <v>2</v>
      </c>
      <c r="H14" s="141">
        <v>4</v>
      </c>
      <c r="I14" s="141" t="s">
        <v>582</v>
      </c>
      <c r="J14" s="170" t="s">
        <v>583</v>
      </c>
      <c r="K14" s="126">
        <v>5</v>
      </c>
      <c r="L14" s="126">
        <v>0</v>
      </c>
      <c r="M14" s="142" t="s">
        <v>546</v>
      </c>
      <c r="O14" s="126">
        <v>1</v>
      </c>
      <c r="P14" s="141" t="s">
        <v>2256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432"/>
    </row>
    <row r="15" spans="3:32">
      <c r="C15" s="126">
        <v>8</v>
      </c>
      <c r="D15" s="126">
        <v>2</v>
      </c>
      <c r="E15" s="141" t="s">
        <v>2258</v>
      </c>
      <c r="F15" s="162">
        <v>46233</v>
      </c>
      <c r="G15" s="141">
        <v>2</v>
      </c>
      <c r="H15" s="141">
        <v>5</v>
      </c>
      <c r="I15" s="141" t="s">
        <v>687</v>
      </c>
      <c r="J15" s="170" t="s">
        <v>688</v>
      </c>
      <c r="K15" s="126">
        <v>6</v>
      </c>
      <c r="L15" s="126">
        <v>0</v>
      </c>
      <c r="M15" s="142" t="s">
        <v>546</v>
      </c>
      <c r="O15" s="126">
        <v>1</v>
      </c>
      <c r="P15" s="141" t="s">
        <v>2256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432"/>
    </row>
    <row r="16" spans="3:32">
      <c r="C16" s="126">
        <v>9</v>
      </c>
      <c r="D16" s="126">
        <v>2</v>
      </c>
      <c r="E16" s="141" t="s">
        <v>2258</v>
      </c>
      <c r="F16" s="162">
        <v>46233</v>
      </c>
      <c r="G16" s="141">
        <v>2</v>
      </c>
      <c r="H16" s="141">
        <v>6</v>
      </c>
      <c r="I16" s="141" t="s">
        <v>560</v>
      </c>
      <c r="J16" s="170" t="s">
        <v>561</v>
      </c>
      <c r="K16" s="126">
        <v>7</v>
      </c>
      <c r="L16" s="126">
        <v>0</v>
      </c>
      <c r="M16" s="142" t="s">
        <v>546</v>
      </c>
      <c r="O16" s="126">
        <v>1</v>
      </c>
      <c r="P16" s="141" t="s">
        <v>2256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432"/>
    </row>
    <row r="17" spans="3:32">
      <c r="C17" s="126">
        <v>10</v>
      </c>
      <c r="D17" s="126">
        <v>2</v>
      </c>
      <c r="E17" s="141" t="s">
        <v>2258</v>
      </c>
      <c r="F17" s="162">
        <v>46233</v>
      </c>
      <c r="G17" s="141">
        <v>2</v>
      </c>
      <c r="H17" s="141">
        <v>7</v>
      </c>
      <c r="I17" s="141" t="s">
        <v>819</v>
      </c>
      <c r="J17" s="170" t="s">
        <v>820</v>
      </c>
      <c r="K17" s="126">
        <v>8</v>
      </c>
      <c r="L17" s="126">
        <v>0</v>
      </c>
      <c r="M17" s="142" t="s">
        <v>546</v>
      </c>
      <c r="O17" s="126">
        <v>1</v>
      </c>
      <c r="P17" s="141" t="s">
        <v>2256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432"/>
    </row>
    <row r="18" spans="3:32">
      <c r="C18" s="126">
        <v>11</v>
      </c>
      <c r="D18" s="126">
        <v>2</v>
      </c>
      <c r="E18" s="141" t="s">
        <v>2258</v>
      </c>
      <c r="F18" s="162">
        <v>46233</v>
      </c>
      <c r="G18" s="141">
        <v>2</v>
      </c>
      <c r="H18" s="141">
        <v>8</v>
      </c>
      <c r="I18" s="141" t="s">
        <v>1126</v>
      </c>
      <c r="J18" s="170" t="s">
        <v>1127</v>
      </c>
      <c r="K18" s="126">
        <v>9</v>
      </c>
      <c r="L18" s="126">
        <v>0</v>
      </c>
      <c r="M18" s="142" t="s">
        <v>546</v>
      </c>
      <c r="O18" s="126">
        <v>1</v>
      </c>
      <c r="P18" s="141" t="s">
        <v>2256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432"/>
    </row>
    <row r="19" spans="3:32">
      <c r="C19" s="126">
        <v>12</v>
      </c>
      <c r="D19" s="126">
        <v>2</v>
      </c>
      <c r="E19" s="141" t="s">
        <v>2258</v>
      </c>
      <c r="F19" s="162">
        <v>46233</v>
      </c>
      <c r="G19" s="141">
        <v>2</v>
      </c>
      <c r="H19" s="141">
        <v>9</v>
      </c>
      <c r="I19" s="141" t="s">
        <v>1814</v>
      </c>
      <c r="J19" s="170" t="s">
        <v>1815</v>
      </c>
      <c r="K19" s="126">
        <v>10</v>
      </c>
      <c r="L19" s="126">
        <v>0</v>
      </c>
      <c r="M19" s="142" t="s">
        <v>546</v>
      </c>
      <c r="O19" s="126">
        <v>1</v>
      </c>
      <c r="P19" s="141" t="s">
        <v>2256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432"/>
    </row>
    <row r="20" spans="3:32">
      <c r="C20" s="126">
        <v>13</v>
      </c>
      <c r="D20" s="126">
        <v>2</v>
      </c>
      <c r="E20" s="141" t="s">
        <v>2258</v>
      </c>
      <c r="F20" s="162">
        <v>46233</v>
      </c>
      <c r="G20" s="141">
        <v>2</v>
      </c>
      <c r="H20" s="141">
        <v>10</v>
      </c>
      <c r="I20" s="141" t="s">
        <v>587</v>
      </c>
      <c r="J20" s="170" t="s">
        <v>588</v>
      </c>
      <c r="K20" s="126">
        <v>11</v>
      </c>
      <c r="L20" s="126">
        <v>0</v>
      </c>
      <c r="M20" s="142" t="s">
        <v>546</v>
      </c>
      <c r="O20" s="126">
        <v>1</v>
      </c>
      <c r="P20" s="141" t="s">
        <v>2256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37"/>
    </row>
    <row r="21" spans="3:32">
      <c r="C21" s="126">
        <v>14</v>
      </c>
      <c r="D21" s="126">
        <v>3</v>
      </c>
      <c r="E21" s="141" t="s">
        <v>2266</v>
      </c>
      <c r="F21" s="162">
        <v>46234</v>
      </c>
      <c r="G21" s="141">
        <v>5</v>
      </c>
      <c r="H21" s="141">
        <v>1</v>
      </c>
      <c r="I21" s="141" t="s">
        <v>678</v>
      </c>
      <c r="J21" s="170" t="s">
        <v>679</v>
      </c>
      <c r="K21" s="126">
        <v>5</v>
      </c>
      <c r="L21" s="126">
        <v>0</v>
      </c>
      <c r="M21" s="142" t="s">
        <v>546</v>
      </c>
      <c r="O21" s="126">
        <v>1</v>
      </c>
      <c r="P21" s="141" t="s">
        <v>2256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432"/>
    </row>
    <row r="22" spans="3:32">
      <c r="C22" s="126">
        <v>15</v>
      </c>
      <c r="D22" s="126">
        <v>3</v>
      </c>
      <c r="E22" s="141" t="s">
        <v>2266</v>
      </c>
      <c r="F22" s="162">
        <v>46234</v>
      </c>
      <c r="G22" s="141">
        <v>5</v>
      </c>
      <c r="H22" s="141">
        <v>2</v>
      </c>
      <c r="I22" s="141" t="s">
        <v>683</v>
      </c>
      <c r="J22" s="170" t="s">
        <v>684</v>
      </c>
      <c r="K22" s="126">
        <v>5</v>
      </c>
      <c r="L22" s="126">
        <v>0</v>
      </c>
      <c r="M22" s="142" t="s">
        <v>546</v>
      </c>
      <c r="O22" s="126">
        <v>1</v>
      </c>
      <c r="P22" s="141" t="s">
        <v>2256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37"/>
    </row>
    <row r="23" spans="3:32">
      <c r="C23" s="126">
        <v>16</v>
      </c>
      <c r="D23" s="126">
        <v>3</v>
      </c>
      <c r="E23" s="141" t="s">
        <v>2266</v>
      </c>
      <c r="F23" s="162">
        <v>46234</v>
      </c>
      <c r="G23" s="141">
        <v>5</v>
      </c>
      <c r="H23" s="141">
        <v>3</v>
      </c>
      <c r="I23" s="141" t="s">
        <v>2261</v>
      </c>
      <c r="J23" s="170" t="s">
        <v>2262</v>
      </c>
      <c r="K23" s="126">
        <v>5</v>
      </c>
      <c r="L23" s="126">
        <v>0</v>
      </c>
      <c r="M23" s="142" t="s">
        <v>546</v>
      </c>
      <c r="O23" s="126">
        <v>1</v>
      </c>
      <c r="P23" s="141" t="s">
        <v>2256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37"/>
    </row>
    <row r="24" spans="3:32">
      <c r="C24" s="126">
        <v>17</v>
      </c>
      <c r="D24" s="126">
        <v>3</v>
      </c>
      <c r="E24" s="141" t="s">
        <v>2266</v>
      </c>
      <c r="F24" s="162">
        <v>46234</v>
      </c>
      <c r="G24" s="141">
        <v>5</v>
      </c>
      <c r="H24" s="141">
        <v>4</v>
      </c>
      <c r="I24" s="141" t="s">
        <v>582</v>
      </c>
      <c r="J24" s="170" t="s">
        <v>583</v>
      </c>
      <c r="K24" s="126">
        <v>5</v>
      </c>
      <c r="L24" s="126">
        <v>0</v>
      </c>
      <c r="M24" s="142" t="s">
        <v>546</v>
      </c>
      <c r="O24" s="126">
        <v>1</v>
      </c>
      <c r="P24" s="141" t="s">
        <v>2256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37"/>
    </row>
    <row r="25" spans="3:32">
      <c r="C25" s="126">
        <v>18</v>
      </c>
      <c r="D25" s="126">
        <v>3</v>
      </c>
      <c r="E25" s="141" t="s">
        <v>2266</v>
      </c>
      <c r="F25" s="162">
        <v>46234</v>
      </c>
      <c r="G25" s="141">
        <v>5</v>
      </c>
      <c r="H25" s="141">
        <v>5</v>
      </c>
      <c r="I25" s="141" t="s">
        <v>687</v>
      </c>
      <c r="J25" s="170" t="s">
        <v>688</v>
      </c>
      <c r="K25" s="126">
        <v>5</v>
      </c>
      <c r="L25" s="126">
        <v>0</v>
      </c>
      <c r="M25" s="142" t="s">
        <v>546</v>
      </c>
      <c r="O25" s="126">
        <v>1</v>
      </c>
      <c r="P25" s="141" t="s">
        <v>2256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37"/>
    </row>
    <row r="26" spans="3:32">
      <c r="C26" s="126">
        <v>19</v>
      </c>
      <c r="D26" s="126">
        <v>4</v>
      </c>
      <c r="E26" s="141" t="s">
        <v>2272</v>
      </c>
      <c r="F26" s="162">
        <v>46234</v>
      </c>
      <c r="G26" s="141">
        <v>6</v>
      </c>
      <c r="H26" s="141">
        <v>1</v>
      </c>
      <c r="I26" s="141" t="s">
        <v>678</v>
      </c>
      <c r="J26" s="170" t="s">
        <v>679</v>
      </c>
      <c r="K26" s="126">
        <v>10</v>
      </c>
      <c r="L26" s="126">
        <v>0</v>
      </c>
      <c r="M26" s="142" t="s">
        <v>546</v>
      </c>
      <c r="O26" s="126">
        <v>1</v>
      </c>
      <c r="P26" s="141" t="s">
        <v>2256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37"/>
    </row>
    <row r="27" spans="3:32">
      <c r="C27" s="126">
        <v>20</v>
      </c>
      <c r="D27" s="126">
        <v>4</v>
      </c>
      <c r="E27" s="141" t="s">
        <v>2272</v>
      </c>
      <c r="F27" s="162">
        <v>46234</v>
      </c>
      <c r="G27" s="141">
        <v>6</v>
      </c>
      <c r="H27" s="141">
        <v>2</v>
      </c>
      <c r="I27" s="141" t="s">
        <v>683</v>
      </c>
      <c r="J27" s="170" t="s">
        <v>684</v>
      </c>
      <c r="K27" s="126">
        <v>10</v>
      </c>
      <c r="L27" s="126">
        <v>0</v>
      </c>
      <c r="M27" s="142" t="s">
        <v>546</v>
      </c>
      <c r="O27" s="126">
        <v>1</v>
      </c>
      <c r="P27" s="141" t="s">
        <v>2256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37"/>
    </row>
    <row r="28" spans="3:32">
      <c r="C28" s="126">
        <v>21</v>
      </c>
      <c r="D28" s="126">
        <v>4</v>
      </c>
      <c r="E28" s="141" t="s">
        <v>2272</v>
      </c>
      <c r="F28" s="162">
        <v>46234</v>
      </c>
      <c r="G28" s="141">
        <v>6</v>
      </c>
      <c r="H28" s="141">
        <v>3</v>
      </c>
      <c r="I28" s="141" t="s">
        <v>2261</v>
      </c>
      <c r="J28" s="170" t="s">
        <v>2262</v>
      </c>
      <c r="K28" s="126">
        <v>10</v>
      </c>
      <c r="L28" s="126">
        <v>0</v>
      </c>
      <c r="M28" s="142" t="s">
        <v>546</v>
      </c>
      <c r="O28" s="126">
        <v>1</v>
      </c>
      <c r="P28" s="141" t="s">
        <v>2256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37"/>
    </row>
    <row r="29" spans="3:32">
      <c r="C29" s="126">
        <v>22</v>
      </c>
      <c r="D29" s="126">
        <v>4</v>
      </c>
      <c r="E29" s="141" t="s">
        <v>2272</v>
      </c>
      <c r="F29" s="162">
        <v>46234</v>
      </c>
      <c r="G29" s="141">
        <v>6</v>
      </c>
      <c r="H29" s="141">
        <v>5</v>
      </c>
      <c r="I29" s="141" t="s">
        <v>687</v>
      </c>
      <c r="J29" s="170" t="s">
        <v>688</v>
      </c>
      <c r="K29" s="126">
        <v>10</v>
      </c>
      <c r="L29" s="126">
        <v>0</v>
      </c>
      <c r="M29" s="142" t="s">
        <v>546</v>
      </c>
      <c r="O29" s="126">
        <v>1</v>
      </c>
      <c r="P29" s="141" t="s">
        <v>2256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37"/>
    </row>
    <row r="30" spans="3:32">
      <c r="C30" s="126">
        <v>23</v>
      </c>
      <c r="D30" s="126">
        <v>4</v>
      </c>
      <c r="E30" s="141" t="s">
        <v>2272</v>
      </c>
      <c r="F30" s="162">
        <v>46234</v>
      </c>
      <c r="G30" s="141">
        <v>6</v>
      </c>
      <c r="H30" s="141">
        <v>6</v>
      </c>
      <c r="I30" s="141" t="s">
        <v>560</v>
      </c>
      <c r="J30" s="170" t="s">
        <v>561</v>
      </c>
      <c r="K30" s="126">
        <v>10</v>
      </c>
      <c r="L30" s="126">
        <v>0</v>
      </c>
      <c r="M30" s="142" t="s">
        <v>546</v>
      </c>
      <c r="O30" s="126">
        <v>1</v>
      </c>
      <c r="P30" s="141" t="s">
        <v>2256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37"/>
    </row>
    <row r="31" spans="3:32">
      <c r="C31" s="126">
        <v>24</v>
      </c>
      <c r="D31" s="126">
        <v>4</v>
      </c>
      <c r="E31" s="141" t="s">
        <v>2272</v>
      </c>
      <c r="F31" s="162">
        <v>46234</v>
      </c>
      <c r="G31" s="141">
        <v>6</v>
      </c>
      <c r="H31" s="141">
        <v>6</v>
      </c>
      <c r="I31" s="141" t="s">
        <v>560</v>
      </c>
      <c r="J31" s="170" t="s">
        <v>561</v>
      </c>
      <c r="K31" s="126">
        <v>10</v>
      </c>
      <c r="L31" s="126">
        <v>0</v>
      </c>
      <c r="M31" s="142" t="s">
        <v>546</v>
      </c>
      <c r="O31" s="126">
        <v>1</v>
      </c>
      <c r="P31" s="141" t="s">
        <v>2256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37"/>
    </row>
    <row r="32" spans="3:32">
      <c r="C32" s="126">
        <v>25</v>
      </c>
      <c r="D32" s="126">
        <v>4</v>
      </c>
      <c r="E32" s="141" t="s">
        <v>2272</v>
      </c>
      <c r="F32" s="162">
        <v>46234</v>
      </c>
      <c r="G32" s="141">
        <v>6</v>
      </c>
      <c r="H32" s="141">
        <v>7</v>
      </c>
      <c r="I32" s="141" t="s">
        <v>819</v>
      </c>
      <c r="J32" s="170" t="s">
        <v>820</v>
      </c>
      <c r="K32" s="126">
        <v>10</v>
      </c>
      <c r="L32" s="126">
        <v>0</v>
      </c>
      <c r="M32" s="142" t="s">
        <v>546</v>
      </c>
      <c r="O32" s="126">
        <v>1</v>
      </c>
      <c r="P32" s="141" t="s">
        <v>2256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37"/>
    </row>
    <row r="33" spans="3:26">
      <c r="C33" s="126">
        <v>26</v>
      </c>
      <c r="D33" s="126">
        <v>4</v>
      </c>
      <c r="E33" s="141" t="s">
        <v>2272</v>
      </c>
      <c r="F33" s="162">
        <v>46234</v>
      </c>
      <c r="G33" s="141">
        <v>6</v>
      </c>
      <c r="H33" s="141">
        <v>8</v>
      </c>
      <c r="I33" s="141" t="s">
        <v>1126</v>
      </c>
      <c r="J33" s="170" t="s">
        <v>1127</v>
      </c>
      <c r="K33" s="126">
        <v>10</v>
      </c>
      <c r="L33" s="126">
        <v>0</v>
      </c>
      <c r="M33" s="142" t="s">
        <v>546</v>
      </c>
      <c r="O33" s="126">
        <v>1</v>
      </c>
      <c r="P33" s="141" t="s">
        <v>2256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72" t="s">
        <v>10</v>
      </c>
      <c r="D6" s="272" t="s">
        <v>243</v>
      </c>
      <c r="E6" s="272" t="s">
        <v>270</v>
      </c>
      <c r="F6" s="272" t="s">
        <v>173</v>
      </c>
      <c r="G6" s="272" t="s">
        <v>260</v>
      </c>
      <c r="H6" s="272" t="s">
        <v>261</v>
      </c>
      <c r="I6" s="272" t="s">
        <v>16</v>
      </c>
      <c r="J6" s="272" t="s">
        <v>262</v>
      </c>
      <c r="K6" s="272" t="s">
        <v>263</v>
      </c>
      <c r="L6" s="272" t="s">
        <v>264</v>
      </c>
      <c r="M6" s="272" t="s">
        <v>265</v>
      </c>
      <c r="N6" s="272" t="s">
        <v>267</v>
      </c>
      <c r="O6" s="272" t="s">
        <v>266</v>
      </c>
      <c r="P6" s="272" t="s">
        <v>14</v>
      </c>
      <c r="Q6" s="272" t="s">
        <v>187</v>
      </c>
      <c r="R6" s="272" t="s">
        <v>268</v>
      </c>
      <c r="S6" s="272" t="s">
        <v>109</v>
      </c>
    </row>
    <row r="7" spans="3:19">
      <c r="C7" s="279" t="s">
        <v>139</v>
      </c>
      <c r="D7" s="279" t="s">
        <v>256</v>
      </c>
      <c r="E7" s="279" t="s">
        <v>269</v>
      </c>
      <c r="F7" s="279" t="s">
        <v>162</v>
      </c>
      <c r="G7" s="279" t="s">
        <v>207</v>
      </c>
      <c r="H7" s="279" t="s">
        <v>17</v>
      </c>
      <c r="I7" s="279" t="s">
        <v>18</v>
      </c>
      <c r="J7" s="279" t="s">
        <v>4</v>
      </c>
      <c r="K7" s="279" t="s">
        <v>257</v>
      </c>
      <c r="L7" s="279" t="s">
        <v>197</v>
      </c>
      <c r="M7" s="279" t="s">
        <v>258</v>
      </c>
      <c r="N7" s="279" t="s">
        <v>259</v>
      </c>
      <c r="O7" s="279" t="s">
        <v>235</v>
      </c>
      <c r="P7" s="279" t="s">
        <v>19</v>
      </c>
      <c r="Q7" s="279" t="s">
        <v>8</v>
      </c>
      <c r="R7" s="279" t="s">
        <v>201</v>
      </c>
      <c r="S7" s="279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G24" sqref="G24"/>
    </sheetView>
  </sheetViews>
  <sheetFormatPr defaultRowHeight="23.25"/>
  <cols>
    <col min="1" max="1" width="2" style="68" customWidth="1"/>
    <col min="2" max="2" width="3" style="68" customWidth="1"/>
    <col min="3" max="3" width="5.85546875" style="216" customWidth="1"/>
    <col min="4" max="4" width="18.140625" style="68" customWidth="1"/>
    <col min="5" max="5" width="20.85546875" style="214" customWidth="1"/>
    <col min="6" max="6" width="15.28515625" style="213" customWidth="1"/>
    <col min="7" max="8" width="15.28515625" style="68" customWidth="1"/>
    <col min="9" max="9" width="27.28515625" style="161" customWidth="1"/>
    <col min="10" max="10" width="26.28515625" style="68" customWidth="1"/>
    <col min="11" max="11" width="13.85546875" style="216" customWidth="1"/>
    <col min="12" max="12" width="11.85546875" style="216" customWidth="1"/>
    <col min="13" max="13" width="17.140625" style="216" customWidth="1"/>
    <col min="14" max="14" width="11.85546875" style="216" customWidth="1"/>
    <col min="15" max="15" width="19.85546875" style="216" customWidth="1"/>
    <col min="16" max="16" width="14.140625" style="216" customWidth="1"/>
    <col min="17" max="17" width="29.42578125" style="68" bestFit="1" customWidth="1"/>
    <col min="18" max="18" width="20.28515625" style="216" customWidth="1"/>
    <col min="19" max="19" width="16.140625" style="216" hidden="1" customWidth="1"/>
    <col min="20" max="20" width="14.42578125" style="216" bestFit="1" customWidth="1"/>
    <col min="21" max="21" width="20.140625" style="216" hidden="1" customWidth="1"/>
    <col min="22" max="22" width="16.5703125" style="216" hidden="1" customWidth="1"/>
    <col min="23" max="23" width="17.28515625" style="216" hidden="1" customWidth="1"/>
    <col min="24" max="24" width="12" style="216" hidden="1" customWidth="1"/>
    <col min="25" max="25" width="14.85546875" style="211" customWidth="1"/>
    <col min="26" max="26" width="15.140625" style="211" customWidth="1"/>
    <col min="27" max="27" width="13.5703125" style="211" customWidth="1"/>
    <col min="28" max="28" width="11.5703125" style="211" customWidth="1"/>
    <col min="29" max="29" width="17.42578125" style="211" customWidth="1"/>
    <col min="30" max="30" width="19.7109375" style="211" customWidth="1"/>
    <col min="31" max="31" width="19" style="211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13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13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13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13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72" t="s">
        <v>10</v>
      </c>
      <c r="D6" s="272" t="s">
        <v>94</v>
      </c>
      <c r="E6" s="272" t="s">
        <v>24</v>
      </c>
      <c r="F6" s="374" t="s">
        <v>395</v>
      </c>
      <c r="G6" s="272" t="s">
        <v>402</v>
      </c>
      <c r="H6" s="272" t="s">
        <v>403</v>
      </c>
      <c r="I6" s="272" t="s">
        <v>404</v>
      </c>
      <c r="J6" s="272" t="s">
        <v>423</v>
      </c>
      <c r="K6" s="272" t="s">
        <v>222</v>
      </c>
      <c r="L6" s="272" t="s">
        <v>107</v>
      </c>
      <c r="M6" s="272" t="s">
        <v>142</v>
      </c>
      <c r="N6" s="272" t="s">
        <v>186</v>
      </c>
      <c r="O6" s="272" t="s">
        <v>391</v>
      </c>
      <c r="P6" s="272" t="s">
        <v>396</v>
      </c>
      <c r="Q6" s="272" t="s">
        <v>99</v>
      </c>
      <c r="R6" s="272" t="s">
        <v>297</v>
      </c>
      <c r="S6" s="272" t="s">
        <v>0</v>
      </c>
      <c r="T6" s="272" t="s">
        <v>398</v>
      </c>
      <c r="U6" s="272" t="s">
        <v>409</v>
      </c>
      <c r="V6" s="272" t="s">
        <v>246</v>
      </c>
      <c r="W6" s="272" t="s">
        <v>247</v>
      </c>
      <c r="X6" s="272" t="s">
        <v>248</v>
      </c>
      <c r="Y6" s="272" t="s">
        <v>9</v>
      </c>
      <c r="Z6" s="272" t="s">
        <v>276</v>
      </c>
      <c r="AA6" s="272" t="s">
        <v>108</v>
      </c>
      <c r="AB6" s="272" t="s">
        <v>245</v>
      </c>
      <c r="AC6" s="272" t="s">
        <v>274</v>
      </c>
      <c r="AD6" s="272" t="s">
        <v>249</v>
      </c>
      <c r="AE6" s="272" t="s">
        <v>412</v>
      </c>
      <c r="AF6" s="272" t="s">
        <v>425</v>
      </c>
      <c r="AG6" s="272" t="s">
        <v>250</v>
      </c>
      <c r="AH6" s="272" t="s">
        <v>251</v>
      </c>
      <c r="AI6" s="272" t="s">
        <v>25</v>
      </c>
      <c r="AJ6" s="272" t="s">
        <v>209</v>
      </c>
      <c r="AK6" s="272" t="s">
        <v>464</v>
      </c>
      <c r="AL6" s="272" t="s">
        <v>465</v>
      </c>
      <c r="AM6" s="272" t="s">
        <v>109</v>
      </c>
      <c r="AN6" s="272" t="s">
        <v>23</v>
      </c>
      <c r="AO6" s="272" t="s">
        <v>95</v>
      </c>
      <c r="AP6" s="272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69" t="s">
        <v>1</v>
      </c>
      <c r="D7" s="269" t="s">
        <v>399</v>
      </c>
      <c r="E7" s="269" t="s">
        <v>400</v>
      </c>
      <c r="F7" s="375" t="s">
        <v>394</v>
      </c>
      <c r="G7" s="269" t="s">
        <v>405</v>
      </c>
      <c r="H7" s="269" t="s">
        <v>406</v>
      </c>
      <c r="I7" s="269" t="s">
        <v>407</v>
      </c>
      <c r="J7" s="269" t="s">
        <v>422</v>
      </c>
      <c r="K7" s="269" t="s">
        <v>221</v>
      </c>
      <c r="L7" s="269" t="s">
        <v>124</v>
      </c>
      <c r="M7" s="269" t="s">
        <v>140</v>
      </c>
      <c r="N7" s="269" t="s">
        <v>163</v>
      </c>
      <c r="O7" s="269" t="s">
        <v>390</v>
      </c>
      <c r="P7" s="269" t="s">
        <v>161</v>
      </c>
      <c r="Q7" s="269" t="s">
        <v>397</v>
      </c>
      <c r="R7" s="269" t="s">
        <v>401</v>
      </c>
      <c r="S7" s="269" t="s">
        <v>229</v>
      </c>
      <c r="T7" s="269" t="s">
        <v>3</v>
      </c>
      <c r="U7" s="269" t="s">
        <v>408</v>
      </c>
      <c r="V7" s="269" t="s">
        <v>232</v>
      </c>
      <c r="W7" s="269" t="s">
        <v>233</v>
      </c>
      <c r="X7" s="269" t="s">
        <v>234</v>
      </c>
      <c r="Y7" s="269" t="s">
        <v>278</v>
      </c>
      <c r="Z7" s="269" t="s">
        <v>277</v>
      </c>
      <c r="AA7" s="269" t="s">
        <v>205</v>
      </c>
      <c r="AB7" s="269" t="s">
        <v>231</v>
      </c>
      <c r="AC7" s="269" t="s">
        <v>271</v>
      </c>
      <c r="AD7" s="269" t="s">
        <v>206</v>
      </c>
      <c r="AE7" s="269" t="s">
        <v>282</v>
      </c>
      <c r="AF7" s="269" t="s">
        <v>424</v>
      </c>
      <c r="AG7" s="269" t="s">
        <v>236</v>
      </c>
      <c r="AH7" s="269" t="s">
        <v>240</v>
      </c>
      <c r="AI7" s="269" t="s">
        <v>28</v>
      </c>
      <c r="AJ7" s="269" t="s">
        <v>203</v>
      </c>
      <c r="AK7" s="269" t="s">
        <v>410</v>
      </c>
      <c r="AL7" s="269" t="s">
        <v>411</v>
      </c>
      <c r="AM7" s="269" t="s">
        <v>98</v>
      </c>
      <c r="AN7" s="269" t="s">
        <v>26</v>
      </c>
      <c r="AO7" s="269" t="s">
        <v>2</v>
      </c>
      <c r="AP7" s="269" t="s">
        <v>121</v>
      </c>
      <c r="AS7" s="128"/>
      <c r="AT7" s="128"/>
    </row>
    <row r="8" spans="3:47">
      <c r="C8" s="216">
        <v>1</v>
      </c>
      <c r="D8" s="68" t="s">
        <v>674</v>
      </c>
      <c r="E8" s="214">
        <v>46143</v>
      </c>
      <c r="F8" s="213">
        <v>46143</v>
      </c>
      <c r="H8" s="68">
        <v>251</v>
      </c>
      <c r="K8" s="216">
        <v>1</v>
      </c>
      <c r="L8" s="216">
        <v>1</v>
      </c>
      <c r="M8" s="216">
        <v>1</v>
      </c>
      <c r="N8" s="216">
        <v>1</v>
      </c>
      <c r="O8" s="216">
        <v>6</v>
      </c>
      <c r="P8" s="216">
        <v>2</v>
      </c>
      <c r="Q8" s="68" t="s">
        <v>675</v>
      </c>
      <c r="R8" s="216">
        <v>6</v>
      </c>
      <c r="S8" s="216">
        <v>1</v>
      </c>
      <c r="T8" s="216">
        <v>4007</v>
      </c>
      <c r="V8" s="216">
        <v>0</v>
      </c>
      <c r="AA8" s="211">
        <v>715.94</v>
      </c>
      <c r="AB8" s="211">
        <v>0</v>
      </c>
      <c r="AC8" s="211">
        <v>0</v>
      </c>
      <c r="AD8" s="211">
        <v>0</v>
      </c>
      <c r="AE8" s="211">
        <v>715.94</v>
      </c>
      <c r="AJ8" s="212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29"/>
    </row>
    <row r="9" spans="3:47">
      <c r="C9" s="216">
        <v>2</v>
      </c>
      <c r="D9" s="68" t="s">
        <v>714</v>
      </c>
      <c r="E9" s="214">
        <v>46146</v>
      </c>
      <c r="F9" s="213">
        <v>46146</v>
      </c>
      <c r="H9" s="68">
        <v>252</v>
      </c>
      <c r="K9" s="216">
        <v>1</v>
      </c>
      <c r="L9" s="216">
        <v>1</v>
      </c>
      <c r="M9" s="216">
        <v>1</v>
      </c>
      <c r="N9" s="216">
        <v>1</v>
      </c>
      <c r="O9" s="216">
        <v>6</v>
      </c>
      <c r="P9" s="216">
        <v>2</v>
      </c>
      <c r="Q9" s="68" t="s">
        <v>675</v>
      </c>
      <c r="R9" s="216">
        <v>6</v>
      </c>
      <c r="S9" s="216">
        <v>1</v>
      </c>
      <c r="T9" s="216">
        <v>4005</v>
      </c>
      <c r="V9" s="216">
        <v>0</v>
      </c>
      <c r="AA9" s="211">
        <v>2711.37</v>
      </c>
      <c r="AB9" s="211">
        <v>0</v>
      </c>
      <c r="AC9" s="211">
        <v>0</v>
      </c>
      <c r="AD9" s="211">
        <v>0</v>
      </c>
      <c r="AE9" s="211">
        <v>2711.37</v>
      </c>
      <c r="AJ9" s="212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29"/>
    </row>
    <row r="10" spans="3:47">
      <c r="C10" s="216">
        <v>3</v>
      </c>
      <c r="D10" s="68" t="s">
        <v>760</v>
      </c>
      <c r="E10" s="214">
        <v>46148</v>
      </c>
      <c r="F10" s="213">
        <v>46148</v>
      </c>
      <c r="H10" s="68">
        <v>253</v>
      </c>
      <c r="K10" s="216">
        <v>1</v>
      </c>
      <c r="L10" s="216">
        <v>1</v>
      </c>
      <c r="M10" s="216">
        <v>1</v>
      </c>
      <c r="N10" s="216">
        <v>1</v>
      </c>
      <c r="O10" s="216">
        <v>6</v>
      </c>
      <c r="P10" s="216">
        <v>2</v>
      </c>
      <c r="Q10" s="68" t="s">
        <v>675</v>
      </c>
      <c r="R10" s="216">
        <v>6</v>
      </c>
      <c r="S10" s="216">
        <v>1</v>
      </c>
      <c r="T10" s="216">
        <v>4008</v>
      </c>
      <c r="V10" s="216">
        <v>0</v>
      </c>
      <c r="AA10" s="211">
        <v>880.41000000000008</v>
      </c>
      <c r="AB10" s="211">
        <v>0</v>
      </c>
      <c r="AC10" s="211">
        <v>0</v>
      </c>
      <c r="AD10" s="211">
        <v>0</v>
      </c>
      <c r="AE10" s="211">
        <v>880.41000000000008</v>
      </c>
      <c r="AJ10" s="212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28"/>
    </row>
    <row r="11" spans="3:47" s="423" customFormat="1">
      <c r="C11" s="422">
        <v>4</v>
      </c>
      <c r="D11" s="423" t="s">
        <v>2143</v>
      </c>
      <c r="E11" s="424">
        <v>46174</v>
      </c>
      <c r="F11" s="425">
        <v>46174</v>
      </c>
      <c r="I11" s="426"/>
      <c r="K11" s="422">
        <v>1</v>
      </c>
      <c r="L11" s="422">
        <v>1</v>
      </c>
      <c r="M11" s="422">
        <v>1</v>
      </c>
      <c r="N11" s="422">
        <v>1</v>
      </c>
      <c r="O11" s="422">
        <v>6</v>
      </c>
      <c r="P11" s="422">
        <v>2</v>
      </c>
      <c r="Q11" s="423" t="s">
        <v>675</v>
      </c>
      <c r="R11" s="422">
        <v>6</v>
      </c>
      <c r="S11" s="422">
        <v>1</v>
      </c>
      <c r="T11" s="422">
        <v>4026</v>
      </c>
      <c r="U11" s="422"/>
      <c r="V11" s="422">
        <v>0</v>
      </c>
      <c r="W11" s="422"/>
      <c r="X11" s="422"/>
      <c r="Y11" s="427"/>
      <c r="Z11" s="427"/>
      <c r="AA11" s="427">
        <v>510.67999999999995</v>
      </c>
      <c r="AB11" s="427">
        <v>0</v>
      </c>
      <c r="AC11" s="427">
        <v>0</v>
      </c>
      <c r="AD11" s="427">
        <v>0</v>
      </c>
      <c r="AE11" s="427">
        <v>510.67999999999995</v>
      </c>
      <c r="AJ11" s="428">
        <v>46227.616331018522</v>
      </c>
      <c r="AK11" s="423">
        <v>0</v>
      </c>
      <c r="AL11" s="423">
        <v>0</v>
      </c>
      <c r="AM11" s="423">
        <v>1</v>
      </c>
      <c r="AN11" s="423">
        <v>1</v>
      </c>
      <c r="AO11" s="423">
        <v>6</v>
      </c>
      <c r="AP11" s="423">
        <v>2026</v>
      </c>
      <c r="AS11" s="429"/>
      <c r="AT11" s="430"/>
    </row>
    <row r="12" spans="3:47" s="423" customFormat="1">
      <c r="C12" s="422">
        <v>5</v>
      </c>
      <c r="D12" s="423" t="s">
        <v>2159</v>
      </c>
      <c r="E12" s="424">
        <v>46174</v>
      </c>
      <c r="F12" s="425">
        <v>46234</v>
      </c>
      <c r="I12" s="426"/>
      <c r="K12" s="422">
        <v>1</v>
      </c>
      <c r="L12" s="422">
        <v>1</v>
      </c>
      <c r="M12" s="422">
        <v>1</v>
      </c>
      <c r="N12" s="422">
        <v>1</v>
      </c>
      <c r="O12" s="422">
        <v>6</v>
      </c>
      <c r="P12" s="422">
        <v>2</v>
      </c>
      <c r="Q12" s="423" t="s">
        <v>675</v>
      </c>
      <c r="R12" s="422">
        <v>6</v>
      </c>
      <c r="S12" s="422">
        <v>1</v>
      </c>
      <c r="T12" s="422">
        <v>4026</v>
      </c>
      <c r="U12" s="422"/>
      <c r="V12" s="422">
        <v>0</v>
      </c>
      <c r="W12" s="422"/>
      <c r="X12" s="422"/>
      <c r="Y12" s="427"/>
      <c r="Z12" s="427"/>
      <c r="AA12" s="427">
        <v>230.48</v>
      </c>
      <c r="AB12" s="427">
        <v>0</v>
      </c>
      <c r="AC12" s="427">
        <v>0</v>
      </c>
      <c r="AD12" s="427">
        <v>0</v>
      </c>
      <c r="AE12" s="427">
        <v>230.48</v>
      </c>
      <c r="AJ12" s="428">
        <v>46227.645428240743</v>
      </c>
      <c r="AK12" s="423">
        <v>0</v>
      </c>
      <c r="AL12" s="423">
        <v>0</v>
      </c>
      <c r="AM12" s="423">
        <v>1</v>
      </c>
      <c r="AN12" s="423">
        <v>1</v>
      </c>
      <c r="AO12" s="423">
        <v>6</v>
      </c>
      <c r="AP12" s="423">
        <v>2026</v>
      </c>
      <c r="AS12" s="429"/>
      <c r="AT12" s="431"/>
    </row>
    <row r="13" spans="3:47">
      <c r="C13" s="216">
        <v>6</v>
      </c>
      <c r="D13" s="68" t="s">
        <v>2175</v>
      </c>
      <c r="E13" s="214">
        <v>46176</v>
      </c>
      <c r="F13" s="213">
        <v>46236</v>
      </c>
      <c r="K13" s="216">
        <v>1</v>
      </c>
      <c r="L13" s="216">
        <v>1</v>
      </c>
      <c r="M13" s="216">
        <v>1</v>
      </c>
      <c r="N13" s="216">
        <v>1</v>
      </c>
      <c r="O13" s="216">
        <v>6</v>
      </c>
      <c r="P13" s="216">
        <v>2</v>
      </c>
      <c r="Q13" s="68" t="s">
        <v>675</v>
      </c>
      <c r="R13" s="216">
        <v>6</v>
      </c>
      <c r="S13" s="216">
        <v>1</v>
      </c>
      <c r="T13" s="216">
        <v>4026</v>
      </c>
      <c r="V13" s="216">
        <v>0</v>
      </c>
      <c r="AA13" s="211">
        <v>175.40000000000003</v>
      </c>
      <c r="AB13" s="211">
        <v>0</v>
      </c>
      <c r="AC13" s="211">
        <v>0</v>
      </c>
      <c r="AD13" s="211">
        <v>0</v>
      </c>
      <c r="AE13" s="211">
        <v>175.40000000000003</v>
      </c>
      <c r="AJ13" s="212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29"/>
    </row>
    <row r="14" spans="3:47">
      <c r="C14" s="216">
        <v>7</v>
      </c>
      <c r="D14" s="68" t="s">
        <v>2191</v>
      </c>
      <c r="E14" s="214">
        <v>46176</v>
      </c>
      <c r="F14" s="213">
        <v>46236</v>
      </c>
      <c r="K14" s="216">
        <v>1</v>
      </c>
      <c r="L14" s="216">
        <v>1</v>
      </c>
      <c r="M14" s="216">
        <v>1</v>
      </c>
      <c r="N14" s="216">
        <v>1</v>
      </c>
      <c r="O14" s="216">
        <v>6</v>
      </c>
      <c r="P14" s="216">
        <v>2</v>
      </c>
      <c r="Q14" s="68" t="s">
        <v>675</v>
      </c>
      <c r="R14" s="216">
        <v>6</v>
      </c>
      <c r="S14" s="216">
        <v>1</v>
      </c>
      <c r="T14" s="216">
        <v>4026</v>
      </c>
      <c r="V14" s="216">
        <v>0</v>
      </c>
      <c r="AA14" s="211">
        <v>234</v>
      </c>
      <c r="AB14" s="211">
        <v>0</v>
      </c>
      <c r="AC14" s="211">
        <v>0</v>
      </c>
      <c r="AD14" s="211">
        <v>0</v>
      </c>
      <c r="AE14" s="211">
        <v>234</v>
      </c>
      <c r="AJ14" s="212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28"/>
    </row>
    <row r="15" spans="3:47">
      <c r="C15" s="216">
        <v>8</v>
      </c>
      <c r="D15" s="68" t="s">
        <v>2209</v>
      </c>
      <c r="E15" s="214">
        <v>46179</v>
      </c>
      <c r="F15" s="213">
        <v>46239</v>
      </c>
      <c r="K15" s="216">
        <v>1</v>
      </c>
      <c r="L15" s="216">
        <v>1</v>
      </c>
      <c r="M15" s="216">
        <v>1</v>
      </c>
      <c r="N15" s="216">
        <v>1</v>
      </c>
      <c r="O15" s="216">
        <v>6</v>
      </c>
      <c r="P15" s="216">
        <v>2</v>
      </c>
      <c r="Q15" s="68" t="s">
        <v>675</v>
      </c>
      <c r="R15" s="216">
        <v>6</v>
      </c>
      <c r="S15" s="216">
        <v>1</v>
      </c>
      <c r="T15" s="216">
        <v>4027</v>
      </c>
      <c r="V15" s="216">
        <v>0</v>
      </c>
      <c r="AA15" s="211">
        <v>404.96000000000004</v>
      </c>
      <c r="AB15" s="211">
        <v>0</v>
      </c>
      <c r="AC15" s="211">
        <v>0</v>
      </c>
      <c r="AD15" s="211">
        <v>0</v>
      </c>
      <c r="AE15" s="211">
        <v>404.96000000000004</v>
      </c>
      <c r="AJ15" s="212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28"/>
    </row>
    <row r="16" spans="3:47">
      <c r="C16" s="216">
        <v>9</v>
      </c>
      <c r="D16" s="68" t="s">
        <v>2233</v>
      </c>
      <c r="E16" s="214">
        <v>46179</v>
      </c>
      <c r="F16" s="213">
        <v>46239</v>
      </c>
      <c r="K16" s="216">
        <v>1</v>
      </c>
      <c r="L16" s="216">
        <v>1</v>
      </c>
      <c r="M16" s="216">
        <v>1</v>
      </c>
      <c r="N16" s="216">
        <v>1</v>
      </c>
      <c r="O16" s="216">
        <v>6</v>
      </c>
      <c r="P16" s="216">
        <v>2</v>
      </c>
      <c r="Q16" s="68" t="s">
        <v>675</v>
      </c>
      <c r="R16" s="216">
        <v>6</v>
      </c>
      <c r="S16" s="216">
        <v>1</v>
      </c>
      <c r="T16" s="216">
        <v>4027</v>
      </c>
      <c r="V16" s="216">
        <v>0</v>
      </c>
      <c r="AA16" s="211">
        <v>883.42</v>
      </c>
      <c r="AB16" s="211">
        <v>0</v>
      </c>
      <c r="AC16" s="211">
        <v>0</v>
      </c>
      <c r="AD16" s="211">
        <v>0</v>
      </c>
      <c r="AE16" s="211">
        <v>883.42</v>
      </c>
      <c r="AJ16" s="212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29"/>
    </row>
    <row r="17" spans="36:46">
      <c r="AJ17" s="212"/>
      <c r="AS17" s="121"/>
      <c r="AT17" s="329"/>
    </row>
    <row r="18" spans="36:46">
      <c r="AJ18" s="212"/>
      <c r="AS18" s="121"/>
      <c r="AT18" s="329"/>
    </row>
    <row r="19" spans="36:46">
      <c r="AJ19" s="212"/>
      <c r="AS19" s="121"/>
      <c r="AT19" s="329"/>
    </row>
    <row r="20" spans="36:46">
      <c r="AJ20" s="212"/>
      <c r="AS20" s="121"/>
      <c r="AT20" s="329"/>
    </row>
    <row r="21" spans="36:46">
      <c r="AJ21" s="212"/>
      <c r="AS21" s="121"/>
      <c r="AT21" s="329"/>
    </row>
    <row r="22" spans="36:46">
      <c r="AJ22" s="212"/>
      <c r="AS22" s="121"/>
      <c r="AT22" s="329"/>
    </row>
    <row r="23" spans="36:46">
      <c r="AJ23" s="212"/>
      <c r="AS23" s="121"/>
      <c r="AT23" s="329"/>
    </row>
    <row r="24" spans="36:46">
      <c r="AJ24" s="212"/>
      <c r="AS24" s="121"/>
      <c r="AT24" s="329"/>
    </row>
    <row r="25" spans="36:46">
      <c r="AJ25" s="212"/>
      <c r="AS25" s="121"/>
      <c r="AT25" s="329"/>
    </row>
    <row r="26" spans="36:46">
      <c r="AJ26" s="212"/>
      <c r="AS26" s="121"/>
      <c r="AT26" s="329"/>
    </row>
    <row r="27" spans="36:46">
      <c r="AJ27" s="212"/>
      <c r="AS27" s="121"/>
      <c r="AT27" s="329"/>
    </row>
    <row r="28" spans="36:46">
      <c r="AJ28" s="212"/>
      <c r="AS28" s="121"/>
      <c r="AT28" s="329"/>
    </row>
    <row r="29" spans="36:46">
      <c r="AJ29" s="212"/>
      <c r="AS29" s="121"/>
      <c r="AT29" s="329"/>
    </row>
    <row r="30" spans="36:46">
      <c r="AS30" s="121"/>
      <c r="AT30" s="330"/>
    </row>
    <row r="31" spans="36:46">
      <c r="AS31" s="121"/>
      <c r="AT31" s="330"/>
    </row>
    <row r="32" spans="36:46">
      <c r="AS32" s="121"/>
      <c r="AT32" s="330"/>
    </row>
    <row r="33" spans="45:46">
      <c r="AS33" s="121"/>
      <c r="AT33" s="330"/>
    </row>
    <row r="34" spans="45:46">
      <c r="AS34" s="121"/>
      <c r="AT34" s="330"/>
    </row>
    <row r="35" spans="45:46">
      <c r="AS35" s="121"/>
      <c r="AT35" s="330"/>
    </row>
    <row r="36" spans="45:46">
      <c r="AS36" s="121"/>
      <c r="AT36" s="330"/>
    </row>
    <row r="37" spans="45:46">
      <c r="AS37" s="121"/>
      <c r="AT37" s="329"/>
    </row>
    <row r="38" spans="45:46">
      <c r="AS38" s="121"/>
      <c r="AT38" s="329"/>
    </row>
    <row r="39" spans="45:46">
      <c r="AS39" s="121"/>
      <c r="AT39" s="329"/>
    </row>
    <row r="40" spans="45:46">
      <c r="AS40" s="121"/>
      <c r="AT40" s="329"/>
    </row>
    <row r="41" spans="45:46">
      <c r="AS41" s="121"/>
      <c r="AT41" s="331"/>
    </row>
    <row r="42" spans="45:46">
      <c r="AS42" s="121"/>
      <c r="AT42" s="329"/>
    </row>
    <row r="43" spans="45:46">
      <c r="AS43" s="121"/>
      <c r="AT43" s="329"/>
    </row>
    <row r="44" spans="45:46">
      <c r="AS44" s="121"/>
      <c r="AT44" s="329"/>
    </row>
    <row r="45" spans="45:46">
      <c r="AS45" s="121"/>
      <c r="AT45" s="329"/>
    </row>
    <row r="46" spans="45:46">
      <c r="AS46" s="121"/>
      <c r="AT46" s="329"/>
    </row>
    <row r="47" spans="45:46">
      <c r="AS47" s="121"/>
      <c r="AT47" s="329"/>
    </row>
  </sheetData>
  <autoFilter ref="C7:AP16" xr:uid="{69A709CE-CCE5-4F6F-A012-C6D796703B74}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132"/>
  <sheetViews>
    <sheetView showGridLines="0" topLeftCell="B3" zoomScale="80" zoomScaleNormal="80" workbookViewId="0">
      <pane ySplit="5" topLeftCell="A8" activePane="bottomLeft" state="frozen"/>
      <selection activeCell="D13" sqref="D13"/>
      <selection pane="bottomLeft" activeCell="K36" sqref="K36"/>
    </sheetView>
  </sheetViews>
  <sheetFormatPr defaultRowHeight="23.25"/>
  <cols>
    <col min="1" max="1" width="2.5703125" style="68" hidden="1" customWidth="1"/>
    <col min="2" max="2" width="1" style="68" customWidth="1"/>
    <col min="3" max="3" width="9.7109375" style="216" customWidth="1"/>
    <col min="4" max="4" width="15.5703125" style="216" customWidth="1"/>
    <col min="5" max="5" width="24.85546875" style="68" bestFit="1" customWidth="1"/>
    <col min="6" max="6" width="18.28515625" style="216" customWidth="1"/>
    <col min="7" max="7" width="21.28515625" style="217" customWidth="1"/>
    <col min="8" max="8" width="18.5703125" style="216" customWidth="1"/>
    <col min="9" max="9" width="19" style="216" customWidth="1"/>
    <col min="10" max="10" width="34.85546875" style="216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6" customWidth="1"/>
    <col min="16" max="16" width="12.140625" style="216" bestFit="1" customWidth="1"/>
    <col min="17" max="17" width="13.42578125" style="68" hidden="1" customWidth="1"/>
    <col min="18" max="18" width="18.42578125" style="211" hidden="1" customWidth="1"/>
    <col min="19" max="19" width="17.85546875" style="211" hidden="1" customWidth="1"/>
    <col min="20" max="20" width="13.140625" style="218" bestFit="1" customWidth="1"/>
    <col min="21" max="21" width="15.85546875" style="218" customWidth="1"/>
    <col min="22" max="22" width="10.5703125" style="218" bestFit="1" customWidth="1"/>
    <col min="23" max="23" width="17.7109375" style="218" customWidth="1"/>
    <col min="24" max="24" width="15.42578125" style="218" customWidth="1"/>
    <col min="25" max="26" width="15.42578125" style="68" hidden="1" customWidth="1"/>
    <col min="27" max="27" width="43.140625" style="68" hidden="1" customWidth="1"/>
    <col min="28" max="28" width="13.5703125" style="216" hidden="1" customWidth="1"/>
    <col min="29" max="29" width="12.5703125" style="216" hidden="1" customWidth="1"/>
    <col min="30" max="30" width="12.85546875" style="216" hidden="1" customWidth="1"/>
    <col min="31" max="31" width="10.7109375" style="216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10"/>
      <c r="S1" s="210"/>
      <c r="T1" s="210"/>
      <c r="U1" s="210"/>
      <c r="V1" s="210"/>
      <c r="W1" s="210"/>
      <c r="X1" s="210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10"/>
      <c r="S2" s="210"/>
      <c r="T2" s="210"/>
      <c r="U2" s="210"/>
      <c r="V2" s="210"/>
      <c r="W2" s="210"/>
      <c r="X2" s="210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10"/>
      <c r="S3" s="210"/>
      <c r="T3" s="210"/>
      <c r="U3" s="210"/>
      <c r="V3" s="210"/>
      <c r="W3" s="210"/>
      <c r="X3" s="210"/>
    </row>
    <row r="4" spans="3:34" s="13" customFormat="1" ht="42.75" customHeight="1">
      <c r="F4" s="140"/>
      <c r="G4" s="215"/>
      <c r="H4" s="140"/>
      <c r="I4" s="140"/>
      <c r="J4" s="140"/>
      <c r="K4" s="127"/>
      <c r="N4" s="142"/>
      <c r="O4" s="216"/>
      <c r="P4" s="216"/>
      <c r="Q4" s="216"/>
      <c r="R4" s="216"/>
      <c r="S4" s="216"/>
      <c r="T4" s="210"/>
      <c r="U4" s="210"/>
      <c r="V4" s="210"/>
      <c r="W4" s="210"/>
      <c r="X4" s="210"/>
      <c r="AG4" s="13" t="s">
        <v>1091</v>
      </c>
    </row>
    <row r="5" spans="3:34" s="13" customFormat="1" ht="22.5" customHeight="1"/>
    <row r="6" spans="3:34" s="13" customFormat="1">
      <c r="C6" s="272" t="s">
        <v>10</v>
      </c>
      <c r="D6" s="272" t="s">
        <v>426</v>
      </c>
      <c r="E6" s="282" t="s">
        <v>421</v>
      </c>
      <c r="F6" s="273" t="s">
        <v>270</v>
      </c>
      <c r="G6" s="274" t="s">
        <v>244</v>
      </c>
      <c r="H6" s="273" t="s">
        <v>396</v>
      </c>
      <c r="I6" s="273" t="s">
        <v>173</v>
      </c>
      <c r="J6" s="273" t="s">
        <v>260</v>
      </c>
      <c r="K6" s="273" t="s">
        <v>261</v>
      </c>
      <c r="L6" s="273" t="s">
        <v>16</v>
      </c>
      <c r="M6" s="273" t="s">
        <v>16</v>
      </c>
      <c r="N6" s="273" t="s">
        <v>262</v>
      </c>
      <c r="O6" s="273" t="s">
        <v>263</v>
      </c>
      <c r="P6" s="272" t="s">
        <v>264</v>
      </c>
      <c r="Q6" s="273" t="s">
        <v>265</v>
      </c>
      <c r="R6" s="281" t="s">
        <v>267</v>
      </c>
      <c r="S6" s="281" t="s">
        <v>266</v>
      </c>
      <c r="T6" s="281" t="s">
        <v>14</v>
      </c>
      <c r="U6" s="281" t="s">
        <v>14</v>
      </c>
      <c r="V6" s="281" t="s">
        <v>187</v>
      </c>
      <c r="W6" s="281" t="s">
        <v>280</v>
      </c>
      <c r="X6" s="281" t="s">
        <v>268</v>
      </c>
      <c r="Y6" s="272" t="s">
        <v>214</v>
      </c>
      <c r="Z6" s="272" t="s">
        <v>419</v>
      </c>
      <c r="AA6" s="272" t="s">
        <v>25</v>
      </c>
      <c r="AB6" s="272" t="s">
        <v>109</v>
      </c>
      <c r="AC6" s="272" t="s">
        <v>23</v>
      </c>
      <c r="AD6" s="272" t="s">
        <v>95</v>
      </c>
      <c r="AE6" s="272" t="s">
        <v>120</v>
      </c>
    </row>
    <row r="7" spans="3:34" s="13" customFormat="1" ht="15">
      <c r="C7" s="279" t="s">
        <v>139</v>
      </c>
      <c r="D7" s="279" t="s">
        <v>413</v>
      </c>
      <c r="E7" s="279" t="s">
        <v>420</v>
      </c>
      <c r="F7" s="280" t="s">
        <v>399</v>
      </c>
      <c r="G7" s="283" t="s">
        <v>414</v>
      </c>
      <c r="H7" s="280" t="s">
        <v>161</v>
      </c>
      <c r="I7" s="280" t="s">
        <v>162</v>
      </c>
      <c r="J7" s="280" t="s">
        <v>207</v>
      </c>
      <c r="K7" s="280" t="s">
        <v>17</v>
      </c>
      <c r="L7" s="280" t="s">
        <v>18</v>
      </c>
      <c r="M7" s="280" t="s">
        <v>196</v>
      </c>
      <c r="N7" s="280" t="s">
        <v>4</v>
      </c>
      <c r="O7" s="280" t="s">
        <v>199</v>
      </c>
      <c r="P7" s="279" t="s">
        <v>197</v>
      </c>
      <c r="Q7" s="280" t="s">
        <v>258</v>
      </c>
      <c r="R7" s="284" t="s">
        <v>259</v>
      </c>
      <c r="S7" s="284" t="s">
        <v>235</v>
      </c>
      <c r="T7" s="284" t="s">
        <v>389</v>
      </c>
      <c r="U7" s="284" t="s">
        <v>415</v>
      </c>
      <c r="V7" s="284" t="s">
        <v>19</v>
      </c>
      <c r="W7" s="284" t="s">
        <v>416</v>
      </c>
      <c r="X7" s="284" t="s">
        <v>393</v>
      </c>
      <c r="Y7" s="279" t="s">
        <v>417</v>
      </c>
      <c r="Z7" s="279" t="s">
        <v>418</v>
      </c>
      <c r="AA7" s="279" t="s">
        <v>466</v>
      </c>
      <c r="AB7" s="279" t="s">
        <v>98</v>
      </c>
      <c r="AC7" s="279" t="s">
        <v>26</v>
      </c>
      <c r="AD7" s="279" t="s">
        <v>2</v>
      </c>
      <c r="AE7" s="279" t="s">
        <v>121</v>
      </c>
      <c r="AF7" s="13" t="s">
        <v>8</v>
      </c>
      <c r="AG7" s="13" t="s">
        <v>1015</v>
      </c>
      <c r="AH7" s="13" t="s">
        <v>1016</v>
      </c>
    </row>
    <row r="8" spans="3:34">
      <c r="C8" s="216">
        <v>1</v>
      </c>
      <c r="D8" s="216">
        <v>1</v>
      </c>
      <c r="F8" s="216" t="s">
        <v>674</v>
      </c>
      <c r="G8" s="217">
        <v>46143</v>
      </c>
      <c r="H8" s="216">
        <v>2</v>
      </c>
      <c r="I8" s="216">
        <v>1</v>
      </c>
      <c r="J8" s="216" t="s">
        <v>678</v>
      </c>
      <c r="K8" s="68" t="s">
        <v>679</v>
      </c>
      <c r="L8" s="149">
        <v>4</v>
      </c>
      <c r="M8" s="149">
        <v>0</v>
      </c>
      <c r="N8" s="68" t="s">
        <v>680</v>
      </c>
      <c r="O8" s="216">
        <v>2</v>
      </c>
      <c r="P8" s="216">
        <v>1</v>
      </c>
      <c r="T8" s="218">
        <v>27.34</v>
      </c>
      <c r="U8" s="218">
        <v>27.34</v>
      </c>
      <c r="V8" s="218">
        <v>27.34</v>
      </c>
      <c r="W8" s="218">
        <v>0</v>
      </c>
      <c r="X8" s="218">
        <v>109.36</v>
      </c>
      <c r="AB8" s="216">
        <v>1</v>
      </c>
      <c r="AC8" s="216">
        <v>1</v>
      </c>
      <c r="AD8" s="216">
        <v>5</v>
      </c>
      <c r="AE8" s="216">
        <v>2026</v>
      </c>
      <c r="AF8" s="149">
        <v>28.5</v>
      </c>
      <c r="AG8" s="13">
        <f>IF(I8="","",SUMIFS('1_group_totals'!$J$8:$J$10000,'1_group_totals'!$C$8:$C$10000,I8))</f>
        <v>2</v>
      </c>
      <c r="AH8" s="337">
        <v>1</v>
      </c>
    </row>
    <row r="9" spans="3:34">
      <c r="C9" s="216">
        <v>2</v>
      </c>
      <c r="D9" s="216">
        <v>1</v>
      </c>
      <c r="F9" s="216" t="s">
        <v>674</v>
      </c>
      <c r="G9" s="217">
        <v>46143</v>
      </c>
      <c r="H9" s="216">
        <v>2</v>
      </c>
      <c r="I9" s="216">
        <v>2</v>
      </c>
      <c r="J9" s="216" t="s">
        <v>683</v>
      </c>
      <c r="K9" s="68" t="s">
        <v>684</v>
      </c>
      <c r="L9" s="149">
        <v>5</v>
      </c>
      <c r="M9" s="149">
        <v>0</v>
      </c>
      <c r="N9" s="68" t="s">
        <v>680</v>
      </c>
      <c r="O9" s="216">
        <v>2</v>
      </c>
      <c r="P9" s="216">
        <v>1</v>
      </c>
      <c r="T9" s="218">
        <v>11.32</v>
      </c>
      <c r="U9" s="218">
        <v>11.32</v>
      </c>
      <c r="V9" s="218">
        <v>11.32</v>
      </c>
      <c r="W9" s="218">
        <v>0</v>
      </c>
      <c r="X9" s="218">
        <v>56.6</v>
      </c>
      <c r="AB9" s="216">
        <v>1</v>
      </c>
      <c r="AC9" s="216">
        <v>1</v>
      </c>
      <c r="AD9" s="216">
        <v>5</v>
      </c>
      <c r="AE9" s="216">
        <v>2026</v>
      </c>
      <c r="AF9" s="149">
        <v>12</v>
      </c>
      <c r="AG9" s="13">
        <f>IF(I9="","",SUMIFS('1_group_totals'!$J$8:$J$10000,'1_group_totals'!$C$8:$C$10000,I9))</f>
        <v>3</v>
      </c>
      <c r="AH9" s="337">
        <v>1</v>
      </c>
    </row>
    <row r="10" spans="3:34">
      <c r="C10" s="216">
        <v>3</v>
      </c>
      <c r="D10" s="216">
        <v>1</v>
      </c>
      <c r="F10" s="216" t="s">
        <v>674</v>
      </c>
      <c r="G10" s="217">
        <v>46143</v>
      </c>
      <c r="H10" s="216">
        <v>2</v>
      </c>
      <c r="I10" s="216">
        <v>4</v>
      </c>
      <c r="J10" s="216" t="s">
        <v>582</v>
      </c>
      <c r="K10" s="68" t="s">
        <v>583</v>
      </c>
      <c r="L10" s="149">
        <v>7</v>
      </c>
      <c r="M10" s="149">
        <v>0</v>
      </c>
      <c r="N10" s="68" t="s">
        <v>680</v>
      </c>
      <c r="O10" s="216">
        <v>2</v>
      </c>
      <c r="P10" s="216">
        <v>1</v>
      </c>
      <c r="T10" s="218">
        <v>5.8</v>
      </c>
      <c r="U10" s="218">
        <v>5.8</v>
      </c>
      <c r="V10" s="218">
        <v>5.8</v>
      </c>
      <c r="W10" s="218">
        <v>0</v>
      </c>
      <c r="X10" s="218">
        <v>40.6</v>
      </c>
      <c r="AB10" s="216">
        <v>1</v>
      </c>
      <c r="AC10" s="216">
        <v>1</v>
      </c>
      <c r="AD10" s="216">
        <v>5</v>
      </c>
      <c r="AE10" s="216">
        <v>2026</v>
      </c>
      <c r="AF10" s="149">
        <v>6.5</v>
      </c>
      <c r="AG10" s="13">
        <f>IF(I10="","",SUMIFS('1_group_totals'!$J$8:$J$10000,'1_group_totals'!$C$8:$C$10000,I10))</f>
        <v>4</v>
      </c>
      <c r="AH10" s="337">
        <v>1</v>
      </c>
    </row>
    <row r="11" spans="3:34">
      <c r="C11" s="216">
        <v>4</v>
      </c>
      <c r="D11" s="216">
        <v>1</v>
      </c>
      <c r="F11" s="216" t="s">
        <v>674</v>
      </c>
      <c r="G11" s="217">
        <v>46143</v>
      </c>
      <c r="H11" s="216">
        <v>2</v>
      </c>
      <c r="I11" s="216">
        <v>5</v>
      </c>
      <c r="J11" s="216" t="s">
        <v>687</v>
      </c>
      <c r="K11" s="68" t="s">
        <v>688</v>
      </c>
      <c r="L11" s="149">
        <v>6</v>
      </c>
      <c r="M11" s="149">
        <v>0</v>
      </c>
      <c r="N11" s="68" t="s">
        <v>680</v>
      </c>
      <c r="O11" s="216">
        <v>2</v>
      </c>
      <c r="P11" s="216">
        <v>1</v>
      </c>
      <c r="T11" s="218">
        <v>3.74</v>
      </c>
      <c r="U11" s="218">
        <v>3.74</v>
      </c>
      <c r="V11" s="218">
        <v>3.74</v>
      </c>
      <c r="W11" s="218">
        <v>0</v>
      </c>
      <c r="X11" s="218">
        <v>22.44</v>
      </c>
      <c r="AB11" s="216">
        <v>1</v>
      </c>
      <c r="AC11" s="216">
        <v>1</v>
      </c>
      <c r="AD11" s="216">
        <v>5</v>
      </c>
      <c r="AE11" s="216">
        <v>2026</v>
      </c>
      <c r="AF11" s="149">
        <v>4.25</v>
      </c>
      <c r="AG11" s="13">
        <f>IF(I11="","",SUMIFS('1_group_totals'!$J$8:$J$10000,'1_group_totals'!$C$8:$C$10000,I11))</f>
        <v>5</v>
      </c>
      <c r="AH11" s="337">
        <v>1</v>
      </c>
    </row>
    <row r="12" spans="3:34">
      <c r="C12" s="216">
        <v>5</v>
      </c>
      <c r="D12" s="216">
        <v>1</v>
      </c>
      <c r="F12" s="216" t="s">
        <v>674</v>
      </c>
      <c r="G12" s="217">
        <v>46143</v>
      </c>
      <c r="H12" s="216">
        <v>2</v>
      </c>
      <c r="I12" s="216">
        <v>10</v>
      </c>
      <c r="J12" s="216" t="s">
        <v>587</v>
      </c>
      <c r="K12" s="68" t="s">
        <v>588</v>
      </c>
      <c r="L12" s="149">
        <v>10</v>
      </c>
      <c r="M12" s="149">
        <v>0</v>
      </c>
      <c r="N12" s="68" t="s">
        <v>680</v>
      </c>
      <c r="O12" s="216">
        <v>2</v>
      </c>
      <c r="P12" s="216">
        <v>1</v>
      </c>
      <c r="T12" s="218">
        <v>14.85</v>
      </c>
      <c r="U12" s="218">
        <v>14.85</v>
      </c>
      <c r="V12" s="218">
        <v>14.85</v>
      </c>
      <c r="W12" s="218">
        <v>0</v>
      </c>
      <c r="X12" s="218">
        <v>148.5</v>
      </c>
      <c r="AB12" s="216">
        <v>1</v>
      </c>
      <c r="AC12" s="216">
        <v>1</v>
      </c>
      <c r="AD12" s="216">
        <v>5</v>
      </c>
      <c r="AE12" s="216">
        <v>2026</v>
      </c>
      <c r="AF12" s="149">
        <v>15.5</v>
      </c>
      <c r="AG12" s="13">
        <f>IF(I12="","",SUMIFS('1_group_totals'!$J$8:$J$10000,'1_group_totals'!$C$8:$C$10000,I12))</f>
        <v>5</v>
      </c>
      <c r="AH12" s="337">
        <v>1</v>
      </c>
    </row>
    <row r="13" spans="3:34">
      <c r="C13" s="216">
        <v>6</v>
      </c>
      <c r="D13" s="216">
        <v>1</v>
      </c>
      <c r="F13" s="216" t="s">
        <v>674</v>
      </c>
      <c r="G13" s="217">
        <v>46143</v>
      </c>
      <c r="H13" s="216">
        <v>2</v>
      </c>
      <c r="I13" s="216">
        <v>11</v>
      </c>
      <c r="J13" s="216" t="s">
        <v>691</v>
      </c>
      <c r="K13" s="68" t="s">
        <v>692</v>
      </c>
      <c r="L13" s="149">
        <v>10</v>
      </c>
      <c r="M13" s="149">
        <v>0</v>
      </c>
      <c r="N13" s="68" t="s">
        <v>680</v>
      </c>
      <c r="O13" s="216">
        <v>2</v>
      </c>
      <c r="P13" s="216">
        <v>1</v>
      </c>
      <c r="T13" s="218">
        <v>9.52</v>
      </c>
      <c r="U13" s="218">
        <v>9.52</v>
      </c>
      <c r="V13" s="218">
        <v>9.52</v>
      </c>
      <c r="W13" s="218">
        <v>0</v>
      </c>
      <c r="X13" s="218">
        <v>95.2</v>
      </c>
      <c r="AB13" s="216">
        <v>1</v>
      </c>
      <c r="AC13" s="216">
        <v>1</v>
      </c>
      <c r="AD13" s="216">
        <v>5</v>
      </c>
      <c r="AE13" s="216">
        <v>2026</v>
      </c>
      <c r="AF13" s="149">
        <v>10.199999999999999</v>
      </c>
      <c r="AG13" s="13">
        <f>IF(I13="","",SUMIFS('1_group_totals'!$J$8:$J$10000,'1_group_totals'!$C$8:$C$10000,I13))</f>
        <v>3</v>
      </c>
      <c r="AH13" s="337">
        <v>1</v>
      </c>
    </row>
    <row r="14" spans="3:34">
      <c r="C14" s="216">
        <v>7</v>
      </c>
      <c r="D14" s="216">
        <v>1</v>
      </c>
      <c r="F14" s="216" t="s">
        <v>674</v>
      </c>
      <c r="G14" s="217">
        <v>46143</v>
      </c>
      <c r="H14" s="216">
        <v>2</v>
      </c>
      <c r="I14" s="216">
        <v>13</v>
      </c>
      <c r="J14" s="216" t="s">
        <v>694</v>
      </c>
      <c r="K14" s="68" t="s">
        <v>695</v>
      </c>
      <c r="L14" s="149">
        <v>8</v>
      </c>
      <c r="M14" s="149">
        <v>0</v>
      </c>
      <c r="N14" s="68" t="s">
        <v>680</v>
      </c>
      <c r="O14" s="216">
        <v>2</v>
      </c>
      <c r="P14" s="216">
        <v>1</v>
      </c>
      <c r="T14" s="218">
        <v>5.3</v>
      </c>
      <c r="U14" s="218">
        <v>5.3</v>
      </c>
      <c r="V14" s="218">
        <v>5.3</v>
      </c>
      <c r="W14" s="218">
        <v>0</v>
      </c>
      <c r="X14" s="218">
        <v>42.4</v>
      </c>
      <c r="AB14" s="216">
        <v>1</v>
      </c>
      <c r="AC14" s="216">
        <v>1</v>
      </c>
      <c r="AD14" s="216">
        <v>5</v>
      </c>
      <c r="AE14" s="216">
        <v>2026</v>
      </c>
      <c r="AF14" s="149">
        <v>5.75</v>
      </c>
      <c r="AG14" s="13">
        <f>IF(I14="","",SUMIFS('1_group_totals'!$J$8:$J$10000,'1_group_totals'!$C$8:$C$10000,I14))</f>
        <v>7</v>
      </c>
      <c r="AH14" s="337">
        <v>1</v>
      </c>
    </row>
    <row r="15" spans="3:34">
      <c r="C15" s="216">
        <v>8</v>
      </c>
      <c r="D15" s="216">
        <v>1</v>
      </c>
      <c r="F15" s="216" t="s">
        <v>674</v>
      </c>
      <c r="G15" s="217">
        <v>46143</v>
      </c>
      <c r="H15" s="216">
        <v>2</v>
      </c>
      <c r="I15" s="216">
        <v>14</v>
      </c>
      <c r="J15" s="216" t="s">
        <v>697</v>
      </c>
      <c r="K15" s="68" t="s">
        <v>698</v>
      </c>
      <c r="L15" s="149">
        <v>12</v>
      </c>
      <c r="M15" s="149">
        <v>0</v>
      </c>
      <c r="N15" s="68" t="s">
        <v>680</v>
      </c>
      <c r="O15" s="216">
        <v>2</v>
      </c>
      <c r="P15" s="216">
        <v>1</v>
      </c>
      <c r="T15" s="218">
        <v>3.3</v>
      </c>
      <c r="U15" s="218">
        <v>3.3</v>
      </c>
      <c r="V15" s="218">
        <v>3.3</v>
      </c>
      <c r="W15" s="218">
        <v>0</v>
      </c>
      <c r="X15" s="218">
        <v>39.6</v>
      </c>
      <c r="AB15" s="216">
        <v>1</v>
      </c>
      <c r="AC15" s="216">
        <v>1</v>
      </c>
      <c r="AD15" s="216">
        <v>5</v>
      </c>
      <c r="AE15" s="216">
        <v>2026</v>
      </c>
      <c r="AF15" s="149">
        <v>3.75</v>
      </c>
      <c r="AG15" s="13">
        <f>IF(I15="","",SUMIFS('1_group_totals'!$J$8:$J$10000,'1_group_totals'!$C$8:$C$10000,I15))</f>
        <v>1</v>
      </c>
      <c r="AH15" s="337">
        <v>1</v>
      </c>
    </row>
    <row r="16" spans="3:34">
      <c r="C16" s="216">
        <v>9</v>
      </c>
      <c r="D16" s="216">
        <v>1</v>
      </c>
      <c r="F16" s="216" t="s">
        <v>674</v>
      </c>
      <c r="G16" s="217">
        <v>46143</v>
      </c>
      <c r="H16" s="216">
        <v>2</v>
      </c>
      <c r="I16" s="216">
        <v>16</v>
      </c>
      <c r="J16" s="216" t="s">
        <v>700</v>
      </c>
      <c r="K16" s="68" t="s">
        <v>701</v>
      </c>
      <c r="L16" s="149">
        <v>15</v>
      </c>
      <c r="M16" s="149">
        <v>0</v>
      </c>
      <c r="N16" s="68" t="s">
        <v>680</v>
      </c>
      <c r="O16" s="216">
        <v>2</v>
      </c>
      <c r="P16" s="216">
        <v>1</v>
      </c>
      <c r="T16" s="218">
        <v>2.1</v>
      </c>
      <c r="U16" s="218">
        <v>2.1</v>
      </c>
      <c r="V16" s="218">
        <v>2.1</v>
      </c>
      <c r="W16" s="218">
        <v>0</v>
      </c>
      <c r="X16" s="218">
        <v>31.5</v>
      </c>
      <c r="AB16" s="216">
        <v>1</v>
      </c>
      <c r="AC16" s="216">
        <v>1</v>
      </c>
      <c r="AD16" s="216">
        <v>5</v>
      </c>
      <c r="AE16" s="216">
        <v>2026</v>
      </c>
      <c r="AF16" s="149">
        <v>2.75</v>
      </c>
      <c r="AG16" s="13">
        <f>IF(I16="","",SUMIFS('1_group_totals'!$J$8:$J$10000,'1_group_totals'!$C$8:$C$10000,I16))</f>
        <v>15</v>
      </c>
      <c r="AH16" s="337">
        <v>1</v>
      </c>
    </row>
    <row r="17" spans="3:34">
      <c r="C17" s="216">
        <v>10</v>
      </c>
      <c r="D17" s="216">
        <v>1</v>
      </c>
      <c r="F17" s="216" t="s">
        <v>674</v>
      </c>
      <c r="G17" s="217">
        <v>46143</v>
      </c>
      <c r="H17" s="216">
        <v>2</v>
      </c>
      <c r="I17" s="216">
        <v>17</v>
      </c>
      <c r="J17" s="216" t="s">
        <v>663</v>
      </c>
      <c r="K17" s="68" t="s">
        <v>664</v>
      </c>
      <c r="L17" s="149">
        <v>20</v>
      </c>
      <c r="M17" s="149">
        <v>0</v>
      </c>
      <c r="N17" s="68" t="s">
        <v>680</v>
      </c>
      <c r="O17" s="216">
        <v>2</v>
      </c>
      <c r="P17" s="216">
        <v>1</v>
      </c>
      <c r="T17" s="218">
        <v>1.63</v>
      </c>
      <c r="U17" s="218">
        <v>1.63</v>
      </c>
      <c r="V17" s="218">
        <v>1.63</v>
      </c>
      <c r="W17" s="218">
        <v>0</v>
      </c>
      <c r="X17" s="218">
        <v>32.6</v>
      </c>
      <c r="AB17" s="216">
        <v>1</v>
      </c>
      <c r="AC17" s="216">
        <v>1</v>
      </c>
      <c r="AD17" s="216">
        <v>5</v>
      </c>
      <c r="AE17" s="216">
        <v>2026</v>
      </c>
      <c r="AF17" s="149">
        <v>2.25</v>
      </c>
      <c r="AG17" s="13">
        <f>IF(I17="","",SUMIFS('1_group_totals'!$J$8:$J$10000,'1_group_totals'!$C$8:$C$10000,I17))</f>
        <v>15</v>
      </c>
      <c r="AH17" s="337">
        <v>1</v>
      </c>
    </row>
    <row r="18" spans="3:34">
      <c r="C18" s="216">
        <v>11</v>
      </c>
      <c r="D18" s="216">
        <v>1</v>
      </c>
      <c r="F18" s="216" t="s">
        <v>674</v>
      </c>
      <c r="G18" s="217">
        <v>46143</v>
      </c>
      <c r="H18" s="216">
        <v>2</v>
      </c>
      <c r="I18" s="216">
        <v>18</v>
      </c>
      <c r="J18" s="216" t="s">
        <v>704</v>
      </c>
      <c r="K18" s="68" t="s">
        <v>705</v>
      </c>
      <c r="L18" s="149">
        <v>18</v>
      </c>
      <c r="M18" s="149">
        <v>0</v>
      </c>
      <c r="N18" s="68" t="s">
        <v>680</v>
      </c>
      <c r="O18" s="216">
        <v>2</v>
      </c>
      <c r="P18" s="216">
        <v>1</v>
      </c>
      <c r="T18" s="218">
        <v>1.35</v>
      </c>
      <c r="U18" s="218">
        <v>1.35</v>
      </c>
      <c r="V18" s="218">
        <v>1.35</v>
      </c>
      <c r="W18" s="218">
        <v>0</v>
      </c>
      <c r="X18" s="218">
        <v>24.3</v>
      </c>
      <c r="AB18" s="216">
        <v>1</v>
      </c>
      <c r="AC18" s="216">
        <v>1</v>
      </c>
      <c r="AD18" s="216">
        <v>5</v>
      </c>
      <c r="AE18" s="216">
        <v>2026</v>
      </c>
      <c r="AF18" s="149">
        <v>2</v>
      </c>
      <c r="AG18" s="13">
        <f>IF(I18="","",SUMIFS('1_group_totals'!$J$8:$J$10000,'1_group_totals'!$C$8:$C$10000,I18))</f>
        <v>1</v>
      </c>
      <c r="AH18" s="337">
        <v>1</v>
      </c>
    </row>
    <row r="19" spans="3:34">
      <c r="C19" s="216">
        <v>12</v>
      </c>
      <c r="D19" s="216">
        <v>1</v>
      </c>
      <c r="F19" s="216" t="s">
        <v>674</v>
      </c>
      <c r="G19" s="217">
        <v>46143</v>
      </c>
      <c r="H19" s="216">
        <v>2</v>
      </c>
      <c r="I19" s="216">
        <v>19</v>
      </c>
      <c r="J19" s="216" t="s">
        <v>707</v>
      </c>
      <c r="K19" s="68" t="s">
        <v>708</v>
      </c>
      <c r="L19" s="149">
        <v>5</v>
      </c>
      <c r="M19" s="149">
        <v>0</v>
      </c>
      <c r="N19" s="68" t="s">
        <v>680</v>
      </c>
      <c r="O19" s="216">
        <v>2</v>
      </c>
      <c r="P19" s="216">
        <v>1</v>
      </c>
      <c r="T19" s="218">
        <v>7.49</v>
      </c>
      <c r="U19" s="218">
        <v>7.49</v>
      </c>
      <c r="V19" s="218">
        <v>7.49</v>
      </c>
      <c r="W19" s="218">
        <v>0</v>
      </c>
      <c r="X19" s="218">
        <v>37.450000000000003</v>
      </c>
      <c r="AB19" s="216">
        <v>1</v>
      </c>
      <c r="AC19" s="216">
        <v>1</v>
      </c>
      <c r="AD19" s="216">
        <v>5</v>
      </c>
      <c r="AE19" s="216">
        <v>2026</v>
      </c>
      <c r="AF19" s="149">
        <v>8</v>
      </c>
      <c r="AG19" s="13">
        <f>IF(I19="","",SUMIFS('1_group_totals'!$J$8:$J$10000,'1_group_totals'!$C$8:$C$10000,I19))</f>
        <v>1</v>
      </c>
      <c r="AH19" s="337">
        <v>1</v>
      </c>
    </row>
    <row r="20" spans="3:34">
      <c r="C20" s="216">
        <v>13</v>
      </c>
      <c r="D20" s="216">
        <v>1</v>
      </c>
      <c r="F20" s="216" t="s">
        <v>674</v>
      </c>
      <c r="G20" s="217">
        <v>46143</v>
      </c>
      <c r="H20" s="216">
        <v>2</v>
      </c>
      <c r="I20" s="216">
        <v>20</v>
      </c>
      <c r="J20" s="216" t="s">
        <v>710</v>
      </c>
      <c r="K20" s="68" t="s">
        <v>711</v>
      </c>
      <c r="L20" s="149">
        <v>3</v>
      </c>
      <c r="M20" s="149">
        <v>0</v>
      </c>
      <c r="N20" s="68" t="s">
        <v>680</v>
      </c>
      <c r="O20" s="216">
        <v>2</v>
      </c>
      <c r="P20" s="216">
        <v>1</v>
      </c>
      <c r="T20" s="218">
        <v>5.03</v>
      </c>
      <c r="U20" s="218">
        <v>5.03</v>
      </c>
      <c r="V20" s="218">
        <v>5.03</v>
      </c>
      <c r="W20" s="218">
        <v>0</v>
      </c>
      <c r="X20" s="218">
        <v>15.09</v>
      </c>
      <c r="AB20" s="216">
        <v>1</v>
      </c>
      <c r="AC20" s="216">
        <v>1</v>
      </c>
      <c r="AD20" s="216">
        <v>5</v>
      </c>
      <c r="AE20" s="216">
        <v>2026</v>
      </c>
      <c r="AF20" s="149">
        <v>5.25</v>
      </c>
      <c r="AG20" s="13">
        <f>IF(I20="","",SUMIFS('1_group_totals'!$J$8:$J$10000,'1_group_totals'!$C$8:$C$10000,I20))</f>
        <v>7</v>
      </c>
      <c r="AH20" s="337">
        <v>1</v>
      </c>
    </row>
    <row r="21" spans="3:34">
      <c r="C21" s="216">
        <v>14</v>
      </c>
      <c r="D21" s="216">
        <v>1</v>
      </c>
      <c r="F21" s="216" t="s">
        <v>674</v>
      </c>
      <c r="G21" s="217">
        <v>46143</v>
      </c>
      <c r="H21" s="216">
        <v>2</v>
      </c>
      <c r="I21" s="216">
        <v>22</v>
      </c>
      <c r="J21" s="216" t="s">
        <v>643</v>
      </c>
      <c r="K21" s="68" t="s">
        <v>644</v>
      </c>
      <c r="L21" s="149">
        <v>7</v>
      </c>
      <c r="M21" s="149">
        <v>0</v>
      </c>
      <c r="N21" s="68" t="s">
        <v>680</v>
      </c>
      <c r="O21" s="216">
        <v>2</v>
      </c>
      <c r="P21" s="216">
        <v>1</v>
      </c>
      <c r="T21" s="218">
        <v>2.9</v>
      </c>
      <c r="U21" s="218">
        <v>2.9</v>
      </c>
      <c r="V21" s="218">
        <v>2.9</v>
      </c>
      <c r="W21" s="218">
        <v>0</v>
      </c>
      <c r="X21" s="218">
        <v>20.3</v>
      </c>
      <c r="AB21" s="216">
        <v>1</v>
      </c>
      <c r="AC21" s="216">
        <v>1</v>
      </c>
      <c r="AD21" s="216">
        <v>5</v>
      </c>
      <c r="AE21" s="216">
        <v>2026</v>
      </c>
      <c r="AF21" s="149">
        <v>3.25</v>
      </c>
      <c r="AG21" s="13">
        <f>IF(I21="","",SUMIFS('1_group_totals'!$J$8:$J$10000,'1_group_totals'!$C$8:$C$10000,I21))</f>
        <v>2</v>
      </c>
      <c r="AH21" s="337">
        <v>1</v>
      </c>
    </row>
    <row r="22" spans="3:34">
      <c r="C22" s="216">
        <v>15</v>
      </c>
      <c r="D22" s="216">
        <v>2</v>
      </c>
      <c r="F22" s="216" t="s">
        <v>714</v>
      </c>
      <c r="G22" s="217">
        <v>46146</v>
      </c>
      <c r="H22" s="216">
        <v>2</v>
      </c>
      <c r="I22" s="216">
        <v>26</v>
      </c>
      <c r="J22" s="216" t="s">
        <v>716</v>
      </c>
      <c r="K22" s="68" t="s">
        <v>717</v>
      </c>
      <c r="L22" s="149">
        <v>5</v>
      </c>
      <c r="M22" s="149">
        <v>0</v>
      </c>
      <c r="N22" s="68" t="s">
        <v>680</v>
      </c>
      <c r="O22" s="216">
        <v>2</v>
      </c>
      <c r="P22" s="216">
        <v>1</v>
      </c>
      <c r="T22" s="218">
        <v>3.01</v>
      </c>
      <c r="U22" s="218">
        <v>3.01</v>
      </c>
      <c r="V22" s="218">
        <v>3.01</v>
      </c>
      <c r="W22" s="218">
        <v>0</v>
      </c>
      <c r="X22" s="218">
        <v>15.07</v>
      </c>
      <c r="AB22" s="216">
        <v>1</v>
      </c>
      <c r="AC22" s="216">
        <v>1</v>
      </c>
      <c r="AD22" s="216">
        <v>5</v>
      </c>
      <c r="AE22" s="216">
        <v>2026</v>
      </c>
      <c r="AF22" s="149">
        <v>3.5</v>
      </c>
      <c r="AG22" s="13">
        <f>IF(I22="","",SUMIFS('1_group_totals'!$J$8:$J$10000,'1_group_totals'!$C$8:$C$10000,I22))</f>
        <v>1</v>
      </c>
      <c r="AH22" s="337">
        <v>1</v>
      </c>
    </row>
    <row r="23" spans="3:34">
      <c r="C23" s="216">
        <v>16</v>
      </c>
      <c r="D23" s="216">
        <v>2</v>
      </c>
      <c r="F23" s="216" t="s">
        <v>714</v>
      </c>
      <c r="G23" s="217">
        <v>46146</v>
      </c>
      <c r="H23" s="216">
        <v>2</v>
      </c>
      <c r="I23" s="216">
        <v>101</v>
      </c>
      <c r="J23" s="216" t="s">
        <v>719</v>
      </c>
      <c r="K23" s="68" t="s">
        <v>720</v>
      </c>
      <c r="L23" s="149">
        <v>5</v>
      </c>
      <c r="M23" s="149">
        <v>0</v>
      </c>
      <c r="N23" s="68" t="s">
        <v>721</v>
      </c>
      <c r="O23" s="216">
        <v>46</v>
      </c>
      <c r="P23" s="216">
        <v>1</v>
      </c>
      <c r="T23" s="218">
        <v>5</v>
      </c>
      <c r="U23" s="218">
        <v>5</v>
      </c>
      <c r="V23" s="218">
        <v>5</v>
      </c>
      <c r="W23" s="218">
        <v>0</v>
      </c>
      <c r="X23" s="218">
        <v>25</v>
      </c>
      <c r="AB23" s="216">
        <v>1</v>
      </c>
      <c r="AC23" s="216">
        <v>1</v>
      </c>
      <c r="AD23" s="216">
        <v>5</v>
      </c>
      <c r="AE23" s="216">
        <v>2026</v>
      </c>
      <c r="AF23" s="149">
        <v>5.5</v>
      </c>
      <c r="AG23" s="13">
        <f>IF(I23="","",SUMIFS('1_group_totals'!$J$8:$J$10000,'1_group_totals'!$C$8:$C$10000,I23))</f>
        <v>21980</v>
      </c>
      <c r="AH23" s="337">
        <v>1</v>
      </c>
    </row>
    <row r="24" spans="3:34">
      <c r="C24" s="216">
        <v>17</v>
      </c>
      <c r="D24" s="216">
        <v>2</v>
      </c>
      <c r="F24" s="216" t="s">
        <v>714</v>
      </c>
      <c r="G24" s="217">
        <v>46146</v>
      </c>
      <c r="H24" s="216">
        <v>2</v>
      </c>
      <c r="I24" s="216">
        <v>102</v>
      </c>
      <c r="J24" s="216" t="s">
        <v>723</v>
      </c>
      <c r="K24" s="68" t="s">
        <v>724</v>
      </c>
      <c r="L24" s="149">
        <v>4</v>
      </c>
      <c r="M24" s="149">
        <v>0</v>
      </c>
      <c r="N24" s="68" t="s">
        <v>725</v>
      </c>
      <c r="O24" s="216">
        <v>3</v>
      </c>
      <c r="P24" s="216">
        <v>24</v>
      </c>
      <c r="T24" s="218">
        <v>4.5</v>
      </c>
      <c r="U24" s="218">
        <v>4.5</v>
      </c>
      <c r="V24" s="218">
        <v>4.5</v>
      </c>
      <c r="W24" s="218">
        <v>0</v>
      </c>
      <c r="X24" s="218">
        <v>18</v>
      </c>
      <c r="AB24" s="216">
        <v>1</v>
      </c>
      <c r="AC24" s="216">
        <v>1</v>
      </c>
      <c r="AD24" s="216">
        <v>5</v>
      </c>
      <c r="AE24" s="216">
        <v>2026</v>
      </c>
      <c r="AF24" s="149">
        <v>5</v>
      </c>
      <c r="AG24" s="13">
        <f>IF(I24="","",SUMIFS('1_group_totals'!$J$8:$J$10000,'1_group_totals'!$C$8:$C$10000,I24))</f>
        <v>0</v>
      </c>
      <c r="AH24" s="337">
        <v>1</v>
      </c>
    </row>
    <row r="25" spans="3:34">
      <c r="C25" s="216">
        <v>18</v>
      </c>
      <c r="D25" s="216">
        <v>2</v>
      </c>
      <c r="F25" s="216" t="s">
        <v>714</v>
      </c>
      <c r="G25" s="217">
        <v>46146</v>
      </c>
      <c r="H25" s="216">
        <v>2</v>
      </c>
      <c r="I25" s="216">
        <v>125</v>
      </c>
      <c r="J25" s="216" t="s">
        <v>727</v>
      </c>
      <c r="K25" s="68" t="s">
        <v>728</v>
      </c>
      <c r="L25" s="149">
        <v>7</v>
      </c>
      <c r="M25" s="149">
        <v>0</v>
      </c>
      <c r="N25" s="68" t="s">
        <v>729</v>
      </c>
      <c r="O25" s="216">
        <v>35</v>
      </c>
      <c r="P25" s="216">
        <v>1</v>
      </c>
      <c r="T25" s="218">
        <v>4</v>
      </c>
      <c r="U25" s="218">
        <v>4</v>
      </c>
      <c r="V25" s="218">
        <v>4</v>
      </c>
      <c r="W25" s="218">
        <v>0</v>
      </c>
      <c r="X25" s="218">
        <v>28</v>
      </c>
      <c r="AB25" s="216">
        <v>1</v>
      </c>
      <c r="AC25" s="216">
        <v>1</v>
      </c>
      <c r="AD25" s="216">
        <v>5</v>
      </c>
      <c r="AE25" s="216">
        <v>2026</v>
      </c>
      <c r="AF25" s="149">
        <v>0.04</v>
      </c>
      <c r="AG25" s="13">
        <f>IF(I25="","",SUMIFS('1_group_totals'!$J$8:$J$10000,'1_group_totals'!$C$8:$C$10000,I25))</f>
        <v>700</v>
      </c>
      <c r="AH25" s="337">
        <v>1</v>
      </c>
    </row>
    <row r="26" spans="3:34">
      <c r="C26" s="216">
        <v>19</v>
      </c>
      <c r="D26" s="216">
        <v>2</v>
      </c>
      <c r="F26" s="216" t="s">
        <v>714</v>
      </c>
      <c r="G26" s="217">
        <v>46146</v>
      </c>
      <c r="H26" s="216">
        <v>2</v>
      </c>
      <c r="I26" s="216">
        <v>152</v>
      </c>
      <c r="J26" s="216" t="s">
        <v>731</v>
      </c>
      <c r="K26" s="68" t="s">
        <v>732</v>
      </c>
      <c r="L26" s="149">
        <v>3</v>
      </c>
      <c r="M26" s="149">
        <v>0</v>
      </c>
      <c r="N26" s="68" t="s">
        <v>680</v>
      </c>
      <c r="O26" s="216">
        <v>2</v>
      </c>
      <c r="P26" s="216">
        <v>4</v>
      </c>
      <c r="T26" s="218">
        <v>11.25</v>
      </c>
      <c r="U26" s="218">
        <v>11.25</v>
      </c>
      <c r="V26" s="218">
        <v>11.25</v>
      </c>
      <c r="W26" s="218">
        <v>0</v>
      </c>
      <c r="X26" s="218">
        <v>33.75</v>
      </c>
      <c r="AB26" s="216">
        <v>1</v>
      </c>
      <c r="AC26" s="216">
        <v>1</v>
      </c>
      <c r="AD26" s="216">
        <v>5</v>
      </c>
      <c r="AE26" s="216">
        <v>2026</v>
      </c>
      <c r="AF26" s="149">
        <v>11.5</v>
      </c>
      <c r="AG26" s="13">
        <f>IF(I26="","",SUMIFS('1_group_totals'!$J$8:$J$10000,'1_group_totals'!$C$8:$C$10000,I26))</f>
        <v>3</v>
      </c>
      <c r="AH26" s="337">
        <v>1</v>
      </c>
    </row>
    <row r="27" spans="3:34">
      <c r="C27" s="216">
        <v>20</v>
      </c>
      <c r="D27" s="216">
        <v>2</v>
      </c>
      <c r="F27" s="216" t="s">
        <v>714</v>
      </c>
      <c r="G27" s="217">
        <v>46146</v>
      </c>
      <c r="H27" s="216">
        <v>2</v>
      </c>
      <c r="I27" s="216">
        <v>155</v>
      </c>
      <c r="J27" s="216" t="s">
        <v>668</v>
      </c>
      <c r="K27" s="68" t="s">
        <v>669</v>
      </c>
      <c r="L27" s="149">
        <v>3</v>
      </c>
      <c r="M27" s="149">
        <v>0</v>
      </c>
      <c r="N27" s="68" t="s">
        <v>734</v>
      </c>
      <c r="O27" s="216">
        <v>9</v>
      </c>
      <c r="P27" s="216">
        <v>4</v>
      </c>
      <c r="T27" s="218">
        <v>14.5</v>
      </c>
      <c r="U27" s="218">
        <v>14.5</v>
      </c>
      <c r="V27" s="218">
        <v>14.5</v>
      </c>
      <c r="W27" s="218">
        <v>0</v>
      </c>
      <c r="X27" s="218">
        <v>43.5</v>
      </c>
      <c r="AB27" s="216">
        <v>1</v>
      </c>
      <c r="AC27" s="216">
        <v>1</v>
      </c>
      <c r="AD27" s="216">
        <v>5</v>
      </c>
      <c r="AE27" s="216">
        <v>2026</v>
      </c>
      <c r="AF27" s="149">
        <v>15</v>
      </c>
      <c r="AG27" s="13">
        <f>IF(I27="","",SUMIFS('1_group_totals'!$J$8:$J$10000,'1_group_totals'!$C$8:$C$10000,I27))</f>
        <v>0</v>
      </c>
      <c r="AH27" s="337">
        <v>1</v>
      </c>
    </row>
    <row r="28" spans="3:34">
      <c r="C28" s="216">
        <v>21</v>
      </c>
      <c r="D28" s="216">
        <v>2</v>
      </c>
      <c r="F28" s="216" t="s">
        <v>714</v>
      </c>
      <c r="G28" s="217">
        <v>46146</v>
      </c>
      <c r="H28" s="216">
        <v>2</v>
      </c>
      <c r="I28" s="216">
        <v>156</v>
      </c>
      <c r="J28" s="216" t="s">
        <v>736</v>
      </c>
      <c r="K28" s="68" t="s">
        <v>737</v>
      </c>
      <c r="L28" s="149">
        <v>5</v>
      </c>
      <c r="M28" s="149">
        <v>0</v>
      </c>
      <c r="N28" s="68" t="s">
        <v>734</v>
      </c>
      <c r="O28" s="216">
        <v>9</v>
      </c>
      <c r="P28" s="216">
        <v>12</v>
      </c>
      <c r="T28" s="218">
        <v>4.41</v>
      </c>
      <c r="U28" s="218">
        <v>4.41</v>
      </c>
      <c r="V28" s="218">
        <v>4.41</v>
      </c>
      <c r="W28" s="218">
        <v>0</v>
      </c>
      <c r="X28" s="218">
        <v>22.05</v>
      </c>
      <c r="AB28" s="216">
        <v>1</v>
      </c>
      <c r="AC28" s="216">
        <v>1</v>
      </c>
      <c r="AD28" s="216">
        <v>5</v>
      </c>
      <c r="AE28" s="216">
        <v>2026</v>
      </c>
      <c r="AF28" s="149">
        <v>4.8</v>
      </c>
      <c r="AG28" s="13">
        <f>IF(I28="","",SUMIFS('1_group_totals'!$J$8:$J$10000,'1_group_totals'!$C$8:$C$10000,I28))</f>
        <v>2</v>
      </c>
      <c r="AH28" s="337">
        <v>1</v>
      </c>
    </row>
    <row r="29" spans="3:34">
      <c r="C29" s="216">
        <v>22</v>
      </c>
      <c r="D29" s="216">
        <v>2</v>
      </c>
      <c r="F29" s="216" t="s">
        <v>714</v>
      </c>
      <c r="G29" s="217">
        <v>46146</v>
      </c>
      <c r="H29" s="216">
        <v>2</v>
      </c>
      <c r="I29" s="216">
        <v>160</v>
      </c>
      <c r="J29" s="216" t="s">
        <v>739</v>
      </c>
      <c r="K29" s="68" t="s">
        <v>740</v>
      </c>
      <c r="L29" s="149">
        <v>2</v>
      </c>
      <c r="M29" s="149">
        <v>0</v>
      </c>
      <c r="N29" s="68" t="s">
        <v>734</v>
      </c>
      <c r="O29" s="216">
        <v>9</v>
      </c>
      <c r="P29" s="216">
        <v>4</v>
      </c>
      <c r="T29" s="218">
        <v>11.75</v>
      </c>
      <c r="U29" s="218">
        <v>11.75</v>
      </c>
      <c r="V29" s="218">
        <v>11.75</v>
      </c>
      <c r="W29" s="218">
        <v>0</v>
      </c>
      <c r="X29" s="218">
        <v>23.5</v>
      </c>
      <c r="AB29" s="216">
        <v>1</v>
      </c>
      <c r="AC29" s="216">
        <v>1</v>
      </c>
      <c r="AD29" s="216">
        <v>5</v>
      </c>
      <c r="AE29" s="216">
        <v>2026</v>
      </c>
      <c r="AF29" s="149">
        <v>12</v>
      </c>
      <c r="AG29" s="13">
        <f>IF(I29="","",SUMIFS('1_group_totals'!$J$8:$J$10000,'1_group_totals'!$C$8:$C$10000,I29))</f>
        <v>4</v>
      </c>
      <c r="AH29" s="337">
        <v>1</v>
      </c>
    </row>
    <row r="30" spans="3:34">
      <c r="C30" s="216">
        <v>23</v>
      </c>
      <c r="D30" s="216">
        <v>2</v>
      </c>
      <c r="F30" s="216" t="s">
        <v>714</v>
      </c>
      <c r="G30" s="217">
        <v>46146</v>
      </c>
      <c r="H30" s="216">
        <v>2</v>
      </c>
      <c r="I30" s="216">
        <v>162</v>
      </c>
      <c r="J30" s="216" t="s">
        <v>742</v>
      </c>
      <c r="K30" s="68" t="s">
        <v>743</v>
      </c>
      <c r="L30" s="149">
        <v>2</v>
      </c>
      <c r="M30" s="149">
        <v>0</v>
      </c>
      <c r="N30" s="68" t="s">
        <v>744</v>
      </c>
      <c r="O30" s="216">
        <v>27</v>
      </c>
      <c r="P30" s="216">
        <v>1</v>
      </c>
      <c r="T30" s="218">
        <v>53</v>
      </c>
      <c r="U30" s="218">
        <v>53</v>
      </c>
      <c r="V30" s="218">
        <v>53</v>
      </c>
      <c r="W30" s="218">
        <v>0</v>
      </c>
      <c r="X30" s="218">
        <v>106</v>
      </c>
      <c r="AB30" s="216">
        <v>1</v>
      </c>
      <c r="AC30" s="216">
        <v>1</v>
      </c>
      <c r="AD30" s="216">
        <v>5</v>
      </c>
      <c r="AE30" s="216">
        <v>2026</v>
      </c>
      <c r="AF30" s="149">
        <v>55</v>
      </c>
      <c r="AG30" s="13">
        <f>IF(I30="","",SUMIFS('1_group_totals'!$J$8:$J$10000,'1_group_totals'!$C$8:$C$10000,I30))</f>
        <v>0</v>
      </c>
      <c r="AH30" s="337">
        <v>1</v>
      </c>
    </row>
    <row r="31" spans="3:34">
      <c r="C31" s="216">
        <v>24</v>
      </c>
      <c r="D31" s="216">
        <v>2</v>
      </c>
      <c r="F31" s="216" t="s">
        <v>714</v>
      </c>
      <c r="G31" s="217">
        <v>46146</v>
      </c>
      <c r="H31" s="216">
        <v>2</v>
      </c>
      <c r="I31" s="216">
        <v>163</v>
      </c>
      <c r="J31" s="216" t="s">
        <v>746</v>
      </c>
      <c r="K31" s="68" t="s">
        <v>747</v>
      </c>
      <c r="L31" s="149">
        <v>2</v>
      </c>
      <c r="M31" s="149">
        <v>0</v>
      </c>
      <c r="N31" s="68" t="s">
        <v>734</v>
      </c>
      <c r="O31" s="216">
        <v>9</v>
      </c>
      <c r="P31" s="216">
        <v>4</v>
      </c>
      <c r="T31" s="218">
        <v>12.75</v>
      </c>
      <c r="U31" s="218">
        <v>12.75</v>
      </c>
      <c r="V31" s="218">
        <v>12.75</v>
      </c>
      <c r="W31" s="218">
        <v>0</v>
      </c>
      <c r="X31" s="218">
        <v>25.5</v>
      </c>
      <c r="AB31" s="216">
        <v>1</v>
      </c>
      <c r="AC31" s="216">
        <v>1</v>
      </c>
      <c r="AD31" s="216">
        <v>5</v>
      </c>
      <c r="AE31" s="216">
        <v>2026</v>
      </c>
      <c r="AF31" s="149">
        <v>13.25</v>
      </c>
      <c r="AG31" s="13">
        <f>IF(I31="","",SUMIFS('1_group_totals'!$J$8:$J$10000,'1_group_totals'!$C$8:$C$10000,I31))</f>
        <v>2</v>
      </c>
      <c r="AH31" s="337">
        <v>1</v>
      </c>
    </row>
    <row r="32" spans="3:34">
      <c r="C32" s="216">
        <v>25</v>
      </c>
      <c r="D32" s="216">
        <v>2</v>
      </c>
      <c r="F32" s="216" t="s">
        <v>714</v>
      </c>
      <c r="G32" s="217">
        <v>46146</v>
      </c>
      <c r="H32" s="216">
        <v>2</v>
      </c>
      <c r="I32" s="216">
        <v>176</v>
      </c>
      <c r="J32" s="216" t="s">
        <v>749</v>
      </c>
      <c r="K32" s="68" t="s">
        <v>750</v>
      </c>
      <c r="L32" s="149">
        <v>5</v>
      </c>
      <c r="M32" s="149">
        <v>0</v>
      </c>
      <c r="N32" s="68" t="s">
        <v>751</v>
      </c>
      <c r="O32" s="216">
        <v>51</v>
      </c>
      <c r="P32" s="216">
        <v>1</v>
      </c>
      <c r="T32" s="218">
        <v>85</v>
      </c>
      <c r="U32" s="218">
        <v>85</v>
      </c>
      <c r="V32" s="218">
        <v>85</v>
      </c>
      <c r="W32" s="218">
        <v>0</v>
      </c>
      <c r="X32" s="218">
        <v>425</v>
      </c>
      <c r="AB32" s="216">
        <v>1</v>
      </c>
      <c r="AC32" s="216">
        <v>1</v>
      </c>
      <c r="AD32" s="216">
        <v>5</v>
      </c>
      <c r="AE32" s="216">
        <v>2026</v>
      </c>
      <c r="AF32" s="149">
        <v>90</v>
      </c>
      <c r="AG32" s="13">
        <f>IF(I32="","",SUMIFS('1_group_totals'!$J$8:$J$10000,'1_group_totals'!$C$8:$C$10000,I32))</f>
        <v>1200</v>
      </c>
      <c r="AH32" s="337">
        <v>1</v>
      </c>
    </row>
    <row r="33" spans="3:34">
      <c r="C33" s="216">
        <v>26</v>
      </c>
      <c r="D33" s="216">
        <v>2</v>
      </c>
      <c r="F33" s="216" t="s">
        <v>714</v>
      </c>
      <c r="G33" s="217">
        <v>46146</v>
      </c>
      <c r="H33" s="216">
        <v>2</v>
      </c>
      <c r="I33" s="216">
        <v>177</v>
      </c>
      <c r="J33" s="216" t="s">
        <v>753</v>
      </c>
      <c r="K33" s="68" t="s">
        <v>754</v>
      </c>
      <c r="L33" s="149">
        <v>12</v>
      </c>
      <c r="M33" s="149">
        <v>0</v>
      </c>
      <c r="N33" s="68" t="s">
        <v>751</v>
      </c>
      <c r="O33" s="216">
        <v>51</v>
      </c>
      <c r="P33" s="216">
        <v>1</v>
      </c>
      <c r="T33" s="218">
        <v>83</v>
      </c>
      <c r="U33" s="218">
        <v>83</v>
      </c>
      <c r="V33" s="218">
        <v>83</v>
      </c>
      <c r="W33" s="218">
        <v>0</v>
      </c>
      <c r="X33" s="218">
        <v>996</v>
      </c>
      <c r="AB33" s="216">
        <v>1</v>
      </c>
      <c r="AC33" s="216">
        <v>1</v>
      </c>
      <c r="AD33" s="216">
        <v>5</v>
      </c>
      <c r="AE33" s="216">
        <v>2026</v>
      </c>
      <c r="AF33" s="149">
        <v>88</v>
      </c>
      <c r="AG33" s="13">
        <f>IF(I33="","",SUMIFS('1_group_totals'!$J$8:$J$10000,'1_group_totals'!$C$8:$C$10000,I33))</f>
        <v>0</v>
      </c>
      <c r="AH33" s="337">
        <v>1</v>
      </c>
    </row>
    <row r="34" spans="3:34">
      <c r="C34" s="216">
        <v>27</v>
      </c>
      <c r="D34" s="216">
        <v>2</v>
      </c>
      <c r="F34" s="216" t="s">
        <v>714</v>
      </c>
      <c r="G34" s="217">
        <v>46146</v>
      </c>
      <c r="H34" s="216">
        <v>2</v>
      </c>
      <c r="I34" s="216">
        <v>178</v>
      </c>
      <c r="J34" s="216" t="s">
        <v>756</v>
      </c>
      <c r="K34" s="68" t="s">
        <v>757</v>
      </c>
      <c r="L34" s="149">
        <v>6</v>
      </c>
      <c r="M34" s="149">
        <v>0</v>
      </c>
      <c r="N34" s="68" t="s">
        <v>751</v>
      </c>
      <c r="O34" s="216">
        <v>51</v>
      </c>
      <c r="P34" s="216">
        <v>1</v>
      </c>
      <c r="T34" s="218">
        <v>95</v>
      </c>
      <c r="U34" s="218">
        <v>95</v>
      </c>
      <c r="V34" s="218">
        <v>95</v>
      </c>
      <c r="W34" s="218">
        <v>0</v>
      </c>
      <c r="X34" s="218">
        <v>570</v>
      </c>
      <c r="AB34" s="216">
        <v>1</v>
      </c>
      <c r="AC34" s="216">
        <v>1</v>
      </c>
      <c r="AD34" s="216">
        <v>5</v>
      </c>
      <c r="AE34" s="216">
        <v>2026</v>
      </c>
      <c r="AF34" s="149">
        <v>100</v>
      </c>
      <c r="AG34" s="13">
        <f>IF(I34="","",SUMIFS('1_group_totals'!$J$8:$J$10000,'1_group_totals'!$C$8:$C$10000,I34))</f>
        <v>1500</v>
      </c>
      <c r="AH34" s="337">
        <v>1</v>
      </c>
    </row>
    <row r="35" spans="3:34">
      <c r="C35" s="216">
        <v>28</v>
      </c>
      <c r="D35" s="216">
        <v>2</v>
      </c>
      <c r="F35" s="216" t="s">
        <v>714</v>
      </c>
      <c r="G35" s="217">
        <v>46146</v>
      </c>
      <c r="H35" s="216">
        <v>2</v>
      </c>
      <c r="I35" s="216">
        <v>179</v>
      </c>
      <c r="J35" s="216" t="s">
        <v>565</v>
      </c>
      <c r="K35" s="68" t="s">
        <v>566</v>
      </c>
      <c r="L35" s="149">
        <v>4</v>
      </c>
      <c r="M35" s="149">
        <v>0</v>
      </c>
      <c r="N35" s="68" t="s">
        <v>751</v>
      </c>
      <c r="O35" s="216">
        <v>51</v>
      </c>
      <c r="P35" s="216">
        <v>1</v>
      </c>
      <c r="T35" s="218">
        <v>95</v>
      </c>
      <c r="U35" s="218">
        <v>95</v>
      </c>
      <c r="V35" s="218">
        <v>95</v>
      </c>
      <c r="W35" s="218">
        <v>0</v>
      </c>
      <c r="X35" s="218">
        <v>380</v>
      </c>
      <c r="AB35" s="216">
        <v>1</v>
      </c>
      <c r="AC35" s="216">
        <v>1</v>
      </c>
      <c r="AD35" s="216">
        <v>5</v>
      </c>
      <c r="AE35" s="216">
        <v>2026</v>
      </c>
      <c r="AF35" s="149">
        <v>100</v>
      </c>
      <c r="AG35" s="13">
        <f>IF(I35="","",SUMIFS('1_group_totals'!$J$8:$J$10000,'1_group_totals'!$C$8:$C$10000,I35))</f>
        <v>835</v>
      </c>
      <c r="AH35" s="337">
        <v>1</v>
      </c>
    </row>
    <row r="36" spans="3:34">
      <c r="C36" s="216">
        <v>29</v>
      </c>
      <c r="D36" s="216">
        <v>3</v>
      </c>
      <c r="F36" s="216" t="s">
        <v>760</v>
      </c>
      <c r="G36" s="217">
        <v>46148</v>
      </c>
      <c r="H36" s="216">
        <v>2</v>
      </c>
      <c r="I36" s="216">
        <v>181</v>
      </c>
      <c r="J36" s="216" t="s">
        <v>762</v>
      </c>
      <c r="K36" s="68" t="s">
        <v>763</v>
      </c>
      <c r="L36" s="149">
        <v>15</v>
      </c>
      <c r="M36" s="149">
        <v>0</v>
      </c>
      <c r="N36" s="68" t="s">
        <v>764</v>
      </c>
      <c r="O36" s="216">
        <v>54</v>
      </c>
      <c r="P36" s="216">
        <v>1</v>
      </c>
      <c r="T36" s="218">
        <v>1</v>
      </c>
      <c r="U36" s="218">
        <v>1</v>
      </c>
      <c r="V36" s="218">
        <v>1</v>
      </c>
      <c r="W36" s="218">
        <v>0</v>
      </c>
      <c r="X36" s="218">
        <v>15</v>
      </c>
      <c r="AB36" s="216">
        <v>1</v>
      </c>
      <c r="AC36" s="216">
        <v>1</v>
      </c>
      <c r="AD36" s="216">
        <v>5</v>
      </c>
      <c r="AE36" s="216">
        <v>2026</v>
      </c>
      <c r="AF36" s="149">
        <v>1.5</v>
      </c>
      <c r="AG36" s="13">
        <f>IF(I36="","",SUMIFS('1_group_totals'!$J$8:$J$10000,'1_group_totals'!$C$8:$C$10000,I36))</f>
        <v>168</v>
      </c>
      <c r="AH36" s="337">
        <v>1</v>
      </c>
    </row>
    <row r="37" spans="3:34">
      <c r="C37" s="216">
        <v>30</v>
      </c>
      <c r="D37" s="216">
        <v>3</v>
      </c>
      <c r="F37" s="216" t="s">
        <v>760</v>
      </c>
      <c r="G37" s="217">
        <v>46148</v>
      </c>
      <c r="H37" s="216">
        <v>2</v>
      </c>
      <c r="I37" s="216">
        <v>182</v>
      </c>
      <c r="J37" s="216" t="s">
        <v>628</v>
      </c>
      <c r="K37" s="68" t="s">
        <v>629</v>
      </c>
      <c r="L37" s="149">
        <v>10</v>
      </c>
      <c r="M37" s="149">
        <v>0</v>
      </c>
      <c r="N37" s="68" t="s">
        <v>764</v>
      </c>
      <c r="O37" s="216">
        <v>54</v>
      </c>
      <c r="P37" s="216">
        <v>1</v>
      </c>
      <c r="T37" s="218">
        <v>2</v>
      </c>
      <c r="U37" s="218">
        <v>2</v>
      </c>
      <c r="V37" s="218">
        <v>2</v>
      </c>
      <c r="W37" s="218">
        <v>0</v>
      </c>
      <c r="X37" s="218">
        <v>20</v>
      </c>
      <c r="AB37" s="216">
        <v>1</v>
      </c>
      <c r="AC37" s="216">
        <v>1</v>
      </c>
      <c r="AD37" s="216">
        <v>5</v>
      </c>
      <c r="AE37" s="216">
        <v>2026</v>
      </c>
      <c r="AF37" s="149">
        <v>2.5</v>
      </c>
      <c r="AG37" s="13">
        <f>IF(I37="","",SUMIFS('1_group_totals'!$J$8:$J$10000,'1_group_totals'!$C$8:$C$10000,I37))</f>
        <v>132</v>
      </c>
      <c r="AH37" s="337">
        <v>1</v>
      </c>
    </row>
    <row r="38" spans="3:34">
      <c r="C38" s="216">
        <v>31</v>
      </c>
      <c r="D38" s="216">
        <v>3</v>
      </c>
      <c r="F38" s="216" t="s">
        <v>760</v>
      </c>
      <c r="G38" s="217">
        <v>46148</v>
      </c>
      <c r="H38" s="216">
        <v>2</v>
      </c>
      <c r="I38" s="216">
        <v>183</v>
      </c>
      <c r="J38" s="216" t="s">
        <v>767</v>
      </c>
      <c r="K38" s="68" t="s">
        <v>768</v>
      </c>
      <c r="L38" s="149">
        <v>20</v>
      </c>
      <c r="M38" s="149">
        <v>0</v>
      </c>
      <c r="N38" s="68" t="s">
        <v>764</v>
      </c>
      <c r="O38" s="216">
        <v>54</v>
      </c>
      <c r="P38" s="216">
        <v>1</v>
      </c>
      <c r="T38" s="218">
        <v>4</v>
      </c>
      <c r="U38" s="218">
        <v>4</v>
      </c>
      <c r="V38" s="218">
        <v>4</v>
      </c>
      <c r="W38" s="218">
        <v>0</v>
      </c>
      <c r="X38" s="218">
        <v>80</v>
      </c>
      <c r="AB38" s="216">
        <v>1</v>
      </c>
      <c r="AC38" s="216">
        <v>1</v>
      </c>
      <c r="AD38" s="216">
        <v>5</v>
      </c>
      <c r="AE38" s="216">
        <v>2026</v>
      </c>
      <c r="AF38" s="149">
        <v>4.5</v>
      </c>
      <c r="AG38" s="13">
        <f>IF(I38="","",SUMIFS('1_group_totals'!$J$8:$J$10000,'1_group_totals'!$C$8:$C$10000,I38))</f>
        <v>420</v>
      </c>
      <c r="AH38" s="337">
        <v>1</v>
      </c>
    </row>
    <row r="39" spans="3:34">
      <c r="C39" s="216">
        <v>32</v>
      </c>
      <c r="D39" s="216">
        <v>3</v>
      </c>
      <c r="F39" s="216" t="s">
        <v>760</v>
      </c>
      <c r="G39" s="217">
        <v>46148</v>
      </c>
      <c r="H39" s="216">
        <v>2</v>
      </c>
      <c r="I39" s="216">
        <v>184</v>
      </c>
      <c r="J39" s="216" t="s">
        <v>770</v>
      </c>
      <c r="K39" s="68" t="s">
        <v>771</v>
      </c>
      <c r="L39" s="149">
        <v>14</v>
      </c>
      <c r="M39" s="149">
        <v>0</v>
      </c>
      <c r="N39" s="68" t="s">
        <v>764</v>
      </c>
      <c r="O39" s="216">
        <v>54</v>
      </c>
      <c r="P39" s="216">
        <v>1</v>
      </c>
      <c r="T39" s="218">
        <v>6</v>
      </c>
      <c r="U39" s="218">
        <v>6</v>
      </c>
      <c r="V39" s="218">
        <v>6</v>
      </c>
      <c r="W39" s="218">
        <v>0</v>
      </c>
      <c r="X39" s="218">
        <v>84</v>
      </c>
      <c r="AB39" s="216">
        <v>1</v>
      </c>
      <c r="AC39" s="216">
        <v>1</v>
      </c>
      <c r="AD39" s="216">
        <v>5</v>
      </c>
      <c r="AE39" s="216">
        <v>2026</v>
      </c>
      <c r="AF39" s="149">
        <v>6.5</v>
      </c>
      <c r="AG39" s="13">
        <f>IF(I39="","",SUMIFS('1_group_totals'!$J$8:$J$10000,'1_group_totals'!$C$8:$C$10000,I39))</f>
        <v>96</v>
      </c>
      <c r="AH39" s="337">
        <v>1</v>
      </c>
    </row>
    <row r="40" spans="3:34">
      <c r="C40" s="216">
        <v>33</v>
      </c>
      <c r="D40" s="216">
        <v>3</v>
      </c>
      <c r="F40" s="216" t="s">
        <v>760</v>
      </c>
      <c r="G40" s="217">
        <v>46148</v>
      </c>
      <c r="H40" s="216">
        <v>2</v>
      </c>
      <c r="I40" s="216">
        <v>185</v>
      </c>
      <c r="J40" s="216" t="s">
        <v>773</v>
      </c>
      <c r="K40" s="68" t="s">
        <v>774</v>
      </c>
      <c r="L40" s="149">
        <v>5</v>
      </c>
      <c r="M40" s="149">
        <v>0</v>
      </c>
      <c r="N40" s="68" t="s">
        <v>764</v>
      </c>
      <c r="O40" s="216">
        <v>54</v>
      </c>
      <c r="P40" s="216">
        <v>1</v>
      </c>
      <c r="T40" s="218">
        <v>8</v>
      </c>
      <c r="U40" s="218">
        <v>8</v>
      </c>
      <c r="V40" s="218">
        <v>8</v>
      </c>
      <c r="W40" s="218">
        <v>0</v>
      </c>
      <c r="X40" s="218">
        <v>40</v>
      </c>
      <c r="AB40" s="216">
        <v>1</v>
      </c>
      <c r="AC40" s="216">
        <v>1</v>
      </c>
      <c r="AD40" s="216">
        <v>5</v>
      </c>
      <c r="AE40" s="216">
        <v>2026</v>
      </c>
      <c r="AF40" s="149">
        <v>8.5</v>
      </c>
      <c r="AG40" s="13">
        <f>IF(I40="","",SUMIFS('1_group_totals'!$J$8:$J$10000,'1_group_totals'!$C$8:$C$10000,I40))</f>
        <v>12</v>
      </c>
      <c r="AH40" s="337">
        <v>1</v>
      </c>
    </row>
    <row r="41" spans="3:34">
      <c r="C41" s="216">
        <v>34</v>
      </c>
      <c r="D41" s="216">
        <v>3</v>
      </c>
      <c r="F41" s="216" t="s">
        <v>760</v>
      </c>
      <c r="G41" s="217">
        <v>46148</v>
      </c>
      <c r="H41" s="216">
        <v>2</v>
      </c>
      <c r="I41" s="216">
        <v>186</v>
      </c>
      <c r="J41" s="216" t="s">
        <v>617</v>
      </c>
      <c r="K41" s="68" t="s">
        <v>618</v>
      </c>
      <c r="L41" s="149">
        <v>3</v>
      </c>
      <c r="M41" s="149">
        <v>0</v>
      </c>
      <c r="N41" s="68" t="s">
        <v>764</v>
      </c>
      <c r="O41" s="216">
        <v>54</v>
      </c>
      <c r="P41" s="216">
        <v>1</v>
      </c>
      <c r="T41" s="218">
        <v>12</v>
      </c>
      <c r="U41" s="218">
        <v>12</v>
      </c>
      <c r="V41" s="218">
        <v>12</v>
      </c>
      <c r="W41" s="218">
        <v>0</v>
      </c>
      <c r="X41" s="218">
        <v>36</v>
      </c>
      <c r="AB41" s="216">
        <v>1</v>
      </c>
      <c r="AC41" s="216">
        <v>1</v>
      </c>
      <c r="AD41" s="216">
        <v>5</v>
      </c>
      <c r="AE41" s="216">
        <v>2026</v>
      </c>
      <c r="AF41" s="149">
        <v>12.5</v>
      </c>
      <c r="AG41" s="13">
        <f>IF(I41="","",SUMIFS('1_group_totals'!$J$8:$J$10000,'1_group_totals'!$C$8:$C$10000,I41))</f>
        <v>24</v>
      </c>
      <c r="AH41" s="337">
        <v>1</v>
      </c>
    </row>
    <row r="42" spans="3:34">
      <c r="C42" s="216">
        <v>35</v>
      </c>
      <c r="D42" s="216">
        <v>3</v>
      </c>
      <c r="F42" s="216" t="s">
        <v>760</v>
      </c>
      <c r="G42" s="217">
        <v>46148</v>
      </c>
      <c r="H42" s="216">
        <v>2</v>
      </c>
      <c r="I42" s="216">
        <v>187</v>
      </c>
      <c r="J42" s="216" t="s">
        <v>577</v>
      </c>
      <c r="K42" s="68" t="s">
        <v>578</v>
      </c>
      <c r="L42" s="149">
        <v>32</v>
      </c>
      <c r="M42" s="149">
        <v>0</v>
      </c>
      <c r="N42" s="68" t="s">
        <v>777</v>
      </c>
      <c r="O42" s="216">
        <v>53</v>
      </c>
      <c r="P42" s="216">
        <v>1</v>
      </c>
      <c r="T42" s="218">
        <v>3.37</v>
      </c>
      <c r="U42" s="218">
        <v>3.37</v>
      </c>
      <c r="V42" s="218">
        <v>3.37</v>
      </c>
      <c r="W42" s="218">
        <v>0</v>
      </c>
      <c r="X42" s="218">
        <v>107.84</v>
      </c>
      <c r="AB42" s="216">
        <v>1</v>
      </c>
      <c r="AC42" s="216">
        <v>1</v>
      </c>
      <c r="AD42" s="216">
        <v>5</v>
      </c>
      <c r="AE42" s="216">
        <v>2026</v>
      </c>
      <c r="AF42" s="149">
        <v>3.65</v>
      </c>
      <c r="AG42" s="13">
        <f>IF(I42="","",SUMIFS('1_group_totals'!$J$8:$J$10000,'1_group_totals'!$C$8:$C$10000,I42))</f>
        <v>64</v>
      </c>
      <c r="AH42" s="337">
        <v>1</v>
      </c>
    </row>
    <row r="43" spans="3:34">
      <c r="C43" s="216">
        <v>36</v>
      </c>
      <c r="D43" s="216">
        <v>3</v>
      </c>
      <c r="F43" s="216" t="s">
        <v>760</v>
      </c>
      <c r="G43" s="217">
        <v>46148</v>
      </c>
      <c r="H43" s="216">
        <v>2</v>
      </c>
      <c r="I43" s="216">
        <v>189</v>
      </c>
      <c r="J43" s="216" t="s">
        <v>779</v>
      </c>
      <c r="K43" s="68" t="s">
        <v>780</v>
      </c>
      <c r="L43" s="149">
        <v>13</v>
      </c>
      <c r="M43" s="149">
        <v>0</v>
      </c>
      <c r="N43" s="68" t="s">
        <v>777</v>
      </c>
      <c r="O43" s="216">
        <v>53</v>
      </c>
      <c r="P43" s="216">
        <v>1</v>
      </c>
      <c r="T43" s="218">
        <v>4.09</v>
      </c>
      <c r="U43" s="218">
        <v>4.09</v>
      </c>
      <c r="V43" s="218">
        <v>4.09</v>
      </c>
      <c r="W43" s="218">
        <v>0</v>
      </c>
      <c r="X43" s="218">
        <v>53.17</v>
      </c>
      <c r="AB43" s="216">
        <v>1</v>
      </c>
      <c r="AC43" s="216">
        <v>1</v>
      </c>
      <c r="AD43" s="216">
        <v>5</v>
      </c>
      <c r="AE43" s="216">
        <v>2026</v>
      </c>
      <c r="AF43" s="149">
        <v>4.59</v>
      </c>
      <c r="AG43" s="13">
        <f>IF(I43="","",SUMIFS('1_group_totals'!$J$8:$J$10000,'1_group_totals'!$C$8:$C$10000,I43))</f>
        <v>64</v>
      </c>
      <c r="AH43" s="337">
        <v>1</v>
      </c>
    </row>
    <row r="44" spans="3:34">
      <c r="C44" s="216">
        <v>37</v>
      </c>
      <c r="D44" s="216">
        <v>3</v>
      </c>
      <c r="F44" s="216" t="s">
        <v>760</v>
      </c>
      <c r="G44" s="217">
        <v>46148</v>
      </c>
      <c r="H44" s="216">
        <v>2</v>
      </c>
      <c r="I44" s="216">
        <v>191</v>
      </c>
      <c r="J44" s="216" t="s">
        <v>782</v>
      </c>
      <c r="K44" s="68" t="s">
        <v>783</v>
      </c>
      <c r="L44" s="149">
        <v>16</v>
      </c>
      <c r="M44" s="149">
        <v>0</v>
      </c>
      <c r="N44" s="68" t="s">
        <v>777</v>
      </c>
      <c r="O44" s="216">
        <v>53</v>
      </c>
      <c r="P44" s="216">
        <v>1</v>
      </c>
      <c r="T44" s="218">
        <v>4.92</v>
      </c>
      <c r="U44" s="218">
        <v>4.92</v>
      </c>
      <c r="V44" s="218">
        <v>4.92</v>
      </c>
      <c r="W44" s="218">
        <v>0</v>
      </c>
      <c r="X44" s="218">
        <v>78.72</v>
      </c>
      <c r="AB44" s="216">
        <v>1</v>
      </c>
      <c r="AC44" s="216">
        <v>1</v>
      </c>
      <c r="AD44" s="216">
        <v>5</v>
      </c>
      <c r="AE44" s="216">
        <v>2026</v>
      </c>
      <c r="AF44" s="149">
        <v>5.4</v>
      </c>
      <c r="AG44" s="13">
        <f>IF(I44="","",SUMIFS('1_group_totals'!$J$8:$J$10000,'1_group_totals'!$C$8:$C$10000,I44))</f>
        <v>8</v>
      </c>
      <c r="AH44" s="337">
        <v>1</v>
      </c>
    </row>
    <row r="45" spans="3:34">
      <c r="C45" s="216">
        <v>38</v>
      </c>
      <c r="D45" s="216">
        <v>3</v>
      </c>
      <c r="F45" s="216" t="s">
        <v>760</v>
      </c>
      <c r="G45" s="217">
        <v>46148</v>
      </c>
      <c r="H45" s="216">
        <v>2</v>
      </c>
      <c r="I45" s="216">
        <v>193</v>
      </c>
      <c r="J45" s="216" t="s">
        <v>785</v>
      </c>
      <c r="K45" s="68" t="s">
        <v>786</v>
      </c>
      <c r="L45" s="149">
        <v>15</v>
      </c>
      <c r="M45" s="149">
        <v>0</v>
      </c>
      <c r="N45" s="68" t="s">
        <v>777</v>
      </c>
      <c r="O45" s="216">
        <v>53</v>
      </c>
      <c r="P45" s="216">
        <v>1</v>
      </c>
      <c r="T45" s="218">
        <v>3.88</v>
      </c>
      <c r="U45" s="218">
        <v>3.88</v>
      </c>
      <c r="V45" s="218">
        <v>3.88</v>
      </c>
      <c r="W45" s="218">
        <v>0</v>
      </c>
      <c r="X45" s="218">
        <v>58.2</v>
      </c>
      <c r="AB45" s="216">
        <v>1</v>
      </c>
      <c r="AC45" s="216">
        <v>1</v>
      </c>
      <c r="AD45" s="216">
        <v>5</v>
      </c>
      <c r="AE45" s="216">
        <v>2026</v>
      </c>
      <c r="AF45" s="149">
        <v>4.3</v>
      </c>
      <c r="AG45" s="13">
        <f>IF(I45="","",SUMIFS('1_group_totals'!$J$8:$J$10000,'1_group_totals'!$C$8:$C$10000,I45))</f>
        <v>40</v>
      </c>
      <c r="AH45" s="337">
        <v>1</v>
      </c>
    </row>
    <row r="46" spans="3:34">
      <c r="C46" s="216">
        <v>39</v>
      </c>
      <c r="D46" s="216">
        <v>3</v>
      </c>
      <c r="F46" s="216" t="s">
        <v>760</v>
      </c>
      <c r="G46" s="217">
        <v>46148</v>
      </c>
      <c r="H46" s="216">
        <v>2</v>
      </c>
      <c r="I46" s="216">
        <v>195</v>
      </c>
      <c r="J46" s="216" t="s">
        <v>609</v>
      </c>
      <c r="K46" s="68" t="s">
        <v>610</v>
      </c>
      <c r="L46" s="149">
        <v>25</v>
      </c>
      <c r="M46" s="149">
        <v>0</v>
      </c>
      <c r="N46" s="68" t="s">
        <v>777</v>
      </c>
      <c r="O46" s="216">
        <v>53</v>
      </c>
      <c r="P46" s="216">
        <v>1</v>
      </c>
      <c r="T46" s="218">
        <v>6.28</v>
      </c>
      <c r="U46" s="218">
        <v>6.28</v>
      </c>
      <c r="V46" s="218">
        <v>6.28</v>
      </c>
      <c r="W46" s="218">
        <v>0</v>
      </c>
      <c r="X46" s="218">
        <v>157</v>
      </c>
      <c r="AB46" s="216">
        <v>1</v>
      </c>
      <c r="AC46" s="216">
        <v>1</v>
      </c>
      <c r="AD46" s="216">
        <v>5</v>
      </c>
      <c r="AE46" s="216">
        <v>2026</v>
      </c>
      <c r="AF46" s="149">
        <v>6.75</v>
      </c>
      <c r="AG46" s="13">
        <f>IF(I46="","",SUMIFS('1_group_totals'!$J$8:$J$10000,'1_group_totals'!$C$8:$C$10000,I46))</f>
        <v>20</v>
      </c>
      <c r="AH46" s="337">
        <v>1</v>
      </c>
    </row>
    <row r="47" spans="3:34">
      <c r="C47" s="216">
        <v>40</v>
      </c>
      <c r="D47" s="216">
        <v>3</v>
      </c>
      <c r="F47" s="216" t="s">
        <v>760</v>
      </c>
      <c r="G47" s="217">
        <v>46148</v>
      </c>
      <c r="H47" s="216">
        <v>2</v>
      </c>
      <c r="I47" s="216">
        <v>197</v>
      </c>
      <c r="J47" s="216" t="s">
        <v>653</v>
      </c>
      <c r="K47" s="68" t="s">
        <v>654</v>
      </c>
      <c r="L47" s="149">
        <v>18</v>
      </c>
      <c r="M47" s="149">
        <v>0</v>
      </c>
      <c r="N47" s="68" t="s">
        <v>777</v>
      </c>
      <c r="O47" s="216">
        <v>53</v>
      </c>
      <c r="P47" s="216">
        <v>1</v>
      </c>
      <c r="T47" s="218">
        <v>8.36</v>
      </c>
      <c r="U47" s="218">
        <v>8.36</v>
      </c>
      <c r="V47" s="218">
        <v>8.36</v>
      </c>
      <c r="W47" s="218">
        <v>0</v>
      </c>
      <c r="X47" s="218">
        <v>150.47999999999999</v>
      </c>
      <c r="AB47" s="216">
        <v>1</v>
      </c>
      <c r="AC47" s="216">
        <v>1</v>
      </c>
      <c r="AD47" s="216">
        <v>5</v>
      </c>
      <c r="AE47" s="216">
        <v>2026</v>
      </c>
      <c r="AF47" s="149">
        <v>8.7799999999999994</v>
      </c>
      <c r="AG47" s="13">
        <f>IF(I47="","",SUMIFS('1_group_totals'!$J$8:$J$10000,'1_group_totals'!$C$8:$C$10000,I47))</f>
        <v>12</v>
      </c>
      <c r="AH47" s="337">
        <v>1</v>
      </c>
    </row>
    <row r="48" spans="3:34">
      <c r="C48" s="216">
        <v>41</v>
      </c>
      <c r="D48" s="216">
        <v>4</v>
      </c>
      <c r="F48" s="216" t="s">
        <v>2143</v>
      </c>
      <c r="G48" s="217">
        <v>46174</v>
      </c>
      <c r="H48" s="216">
        <v>2</v>
      </c>
      <c r="I48" s="216">
        <v>4</v>
      </c>
      <c r="J48" s="216" t="s">
        <v>582</v>
      </c>
      <c r="K48" s="68" t="s">
        <v>583</v>
      </c>
      <c r="L48" s="149">
        <v>8</v>
      </c>
      <c r="M48" s="149">
        <v>0</v>
      </c>
      <c r="N48" s="68" t="s">
        <v>680</v>
      </c>
      <c r="O48" s="216">
        <v>2</v>
      </c>
      <c r="P48" s="216">
        <v>1</v>
      </c>
      <c r="T48" s="218">
        <v>5.8</v>
      </c>
      <c r="U48" s="218">
        <v>5.8</v>
      </c>
      <c r="V48" s="218">
        <v>5.8</v>
      </c>
      <c r="W48" s="218">
        <v>0</v>
      </c>
      <c r="X48" s="218">
        <v>46.4</v>
      </c>
      <c r="AB48" s="216">
        <v>1</v>
      </c>
      <c r="AC48" s="216">
        <v>1</v>
      </c>
      <c r="AD48" s="216">
        <v>6</v>
      </c>
      <c r="AE48" s="216">
        <v>2026</v>
      </c>
    </row>
    <row r="49" spans="3:31">
      <c r="C49" s="216">
        <v>42</v>
      </c>
      <c r="D49" s="216">
        <v>4</v>
      </c>
      <c r="F49" s="216" t="s">
        <v>2143</v>
      </c>
      <c r="G49" s="217">
        <v>46174</v>
      </c>
      <c r="H49" s="216">
        <v>2</v>
      </c>
      <c r="I49" s="216">
        <v>6</v>
      </c>
      <c r="J49" s="216" t="s">
        <v>560</v>
      </c>
      <c r="K49" s="68" t="s">
        <v>561</v>
      </c>
      <c r="L49" s="149">
        <v>20</v>
      </c>
      <c r="M49" s="149">
        <v>0</v>
      </c>
      <c r="N49" s="68" t="s">
        <v>680</v>
      </c>
      <c r="O49" s="216">
        <v>2</v>
      </c>
      <c r="P49" s="216">
        <v>1</v>
      </c>
      <c r="T49" s="218">
        <v>2.89</v>
      </c>
      <c r="U49" s="218">
        <v>2.89</v>
      </c>
      <c r="V49" s="218">
        <v>2.89</v>
      </c>
      <c r="W49" s="218">
        <v>0</v>
      </c>
      <c r="X49" s="218">
        <v>57.8</v>
      </c>
      <c r="AB49" s="216">
        <v>1</v>
      </c>
      <c r="AC49" s="216">
        <v>1</v>
      </c>
      <c r="AD49" s="216">
        <v>6</v>
      </c>
      <c r="AE49" s="216">
        <v>2026</v>
      </c>
    </row>
    <row r="50" spans="3:31">
      <c r="C50" s="216">
        <v>43</v>
      </c>
      <c r="D50" s="216">
        <v>4</v>
      </c>
      <c r="F50" s="216" t="s">
        <v>2143</v>
      </c>
      <c r="G50" s="217">
        <v>46174</v>
      </c>
      <c r="H50" s="216">
        <v>2</v>
      </c>
      <c r="I50" s="216">
        <v>7</v>
      </c>
      <c r="J50" s="216" t="s">
        <v>819</v>
      </c>
      <c r="K50" s="68" t="s">
        <v>820</v>
      </c>
      <c r="L50" s="149">
        <v>18</v>
      </c>
      <c r="M50" s="149">
        <v>0</v>
      </c>
      <c r="N50" s="68" t="s">
        <v>680</v>
      </c>
      <c r="O50" s="216">
        <v>2</v>
      </c>
      <c r="P50" s="216">
        <v>1</v>
      </c>
      <c r="T50" s="218">
        <v>1.79</v>
      </c>
      <c r="U50" s="218">
        <v>1.79</v>
      </c>
      <c r="V50" s="218">
        <v>1.79</v>
      </c>
      <c r="W50" s="218">
        <v>0</v>
      </c>
      <c r="X50" s="218">
        <v>32.22</v>
      </c>
      <c r="AB50" s="216">
        <v>1</v>
      </c>
      <c r="AC50" s="216">
        <v>1</v>
      </c>
      <c r="AD50" s="216">
        <v>6</v>
      </c>
      <c r="AE50" s="216">
        <v>2026</v>
      </c>
    </row>
    <row r="51" spans="3:31">
      <c r="C51" s="216">
        <v>44</v>
      </c>
      <c r="D51" s="216">
        <v>4</v>
      </c>
      <c r="F51" s="216" t="s">
        <v>2143</v>
      </c>
      <c r="G51" s="217">
        <v>46174</v>
      </c>
      <c r="H51" s="216">
        <v>2</v>
      </c>
      <c r="I51" s="216">
        <v>8</v>
      </c>
      <c r="J51" s="216" t="s">
        <v>1126</v>
      </c>
      <c r="K51" s="68" t="s">
        <v>1127</v>
      </c>
      <c r="L51" s="149">
        <v>14</v>
      </c>
      <c r="M51" s="149">
        <v>0</v>
      </c>
      <c r="N51" s="68" t="s">
        <v>680</v>
      </c>
      <c r="O51" s="216">
        <v>2</v>
      </c>
      <c r="P51" s="216">
        <v>1</v>
      </c>
      <c r="T51" s="218">
        <v>1.32</v>
      </c>
      <c r="U51" s="218">
        <v>1.32</v>
      </c>
      <c r="V51" s="218">
        <v>1.32</v>
      </c>
      <c r="W51" s="218">
        <v>0</v>
      </c>
      <c r="X51" s="218">
        <v>18.48</v>
      </c>
      <c r="AB51" s="216">
        <v>1</v>
      </c>
      <c r="AC51" s="216">
        <v>1</v>
      </c>
      <c r="AD51" s="216">
        <v>6</v>
      </c>
      <c r="AE51" s="216">
        <v>2026</v>
      </c>
    </row>
    <row r="52" spans="3:31">
      <c r="C52" s="216">
        <v>45</v>
      </c>
      <c r="D52" s="216">
        <v>4</v>
      </c>
      <c r="F52" s="216" t="s">
        <v>2143</v>
      </c>
      <c r="G52" s="217">
        <v>46174</v>
      </c>
      <c r="H52" s="216">
        <v>2</v>
      </c>
      <c r="I52" s="216">
        <v>9</v>
      </c>
      <c r="J52" s="216" t="s">
        <v>1814</v>
      </c>
      <c r="K52" s="68" t="s">
        <v>1815</v>
      </c>
      <c r="L52" s="149">
        <v>36</v>
      </c>
      <c r="M52" s="149">
        <v>0</v>
      </c>
      <c r="N52" s="68" t="s">
        <v>680</v>
      </c>
      <c r="O52" s="216">
        <v>2</v>
      </c>
      <c r="P52" s="216">
        <v>1</v>
      </c>
      <c r="T52" s="218">
        <v>1.1499999999999999</v>
      </c>
      <c r="U52" s="218">
        <v>1.1499999999999999</v>
      </c>
      <c r="V52" s="218">
        <v>1.1499999999999999</v>
      </c>
      <c r="W52" s="218">
        <v>0</v>
      </c>
      <c r="X52" s="218">
        <v>41.4</v>
      </c>
      <c r="AB52" s="216">
        <v>1</v>
      </c>
      <c r="AC52" s="216">
        <v>1</v>
      </c>
      <c r="AD52" s="216">
        <v>6</v>
      </c>
      <c r="AE52" s="216">
        <v>2026</v>
      </c>
    </row>
    <row r="53" spans="3:31">
      <c r="C53" s="216">
        <v>46</v>
      </c>
      <c r="D53" s="216">
        <v>4</v>
      </c>
      <c r="F53" s="216" t="s">
        <v>2143</v>
      </c>
      <c r="G53" s="217">
        <v>46174</v>
      </c>
      <c r="H53" s="216">
        <v>2</v>
      </c>
      <c r="I53" s="216">
        <v>11</v>
      </c>
      <c r="J53" s="216" t="s">
        <v>691</v>
      </c>
      <c r="K53" s="68" t="s">
        <v>692</v>
      </c>
      <c r="L53" s="149">
        <v>6</v>
      </c>
      <c r="M53" s="149">
        <v>0</v>
      </c>
      <c r="N53" s="68" t="s">
        <v>680</v>
      </c>
      <c r="O53" s="216">
        <v>2</v>
      </c>
      <c r="P53" s="216">
        <v>1</v>
      </c>
      <c r="T53" s="218">
        <v>9.52</v>
      </c>
      <c r="U53" s="218">
        <v>9.52</v>
      </c>
      <c r="V53" s="218">
        <v>9.52</v>
      </c>
      <c r="W53" s="218">
        <v>0</v>
      </c>
      <c r="X53" s="218">
        <v>57.12</v>
      </c>
      <c r="AB53" s="216">
        <v>1</v>
      </c>
      <c r="AC53" s="216">
        <v>1</v>
      </c>
      <c r="AD53" s="216">
        <v>6</v>
      </c>
      <c r="AE53" s="216">
        <v>2026</v>
      </c>
    </row>
    <row r="54" spans="3:31">
      <c r="C54" s="216">
        <v>47</v>
      </c>
      <c r="D54" s="216">
        <v>4</v>
      </c>
      <c r="F54" s="216" t="s">
        <v>2143</v>
      </c>
      <c r="G54" s="217">
        <v>46174</v>
      </c>
      <c r="H54" s="216">
        <v>2</v>
      </c>
      <c r="I54" s="216">
        <v>16</v>
      </c>
      <c r="J54" s="216" t="s">
        <v>700</v>
      </c>
      <c r="K54" s="68" t="s">
        <v>701</v>
      </c>
      <c r="L54" s="149">
        <v>30</v>
      </c>
      <c r="M54" s="149">
        <v>0</v>
      </c>
      <c r="N54" s="68" t="s">
        <v>680</v>
      </c>
      <c r="O54" s="216">
        <v>2</v>
      </c>
      <c r="P54" s="216">
        <v>1</v>
      </c>
      <c r="T54" s="218">
        <v>2.1</v>
      </c>
      <c r="U54" s="218">
        <v>2.1</v>
      </c>
      <c r="V54" s="218">
        <v>2.1</v>
      </c>
      <c r="W54" s="218">
        <v>0</v>
      </c>
      <c r="X54" s="218">
        <v>63</v>
      </c>
      <c r="AB54" s="216">
        <v>1</v>
      </c>
      <c r="AC54" s="216">
        <v>1</v>
      </c>
      <c r="AD54" s="216">
        <v>6</v>
      </c>
      <c r="AE54" s="216">
        <v>2026</v>
      </c>
    </row>
    <row r="55" spans="3:31">
      <c r="C55" s="216">
        <v>48</v>
      </c>
      <c r="D55" s="216">
        <v>4</v>
      </c>
      <c r="F55" s="216" t="s">
        <v>2143</v>
      </c>
      <c r="G55" s="217">
        <v>46174</v>
      </c>
      <c r="H55" s="216">
        <v>2</v>
      </c>
      <c r="I55" s="216">
        <v>18</v>
      </c>
      <c r="J55" s="216" t="s">
        <v>704</v>
      </c>
      <c r="K55" s="68" t="s">
        <v>705</v>
      </c>
      <c r="L55" s="149">
        <v>2</v>
      </c>
      <c r="M55" s="149">
        <v>0</v>
      </c>
      <c r="N55" s="68" t="s">
        <v>680</v>
      </c>
      <c r="O55" s="216">
        <v>2</v>
      </c>
      <c r="P55" s="216">
        <v>1</v>
      </c>
      <c r="T55" s="218">
        <v>1.35</v>
      </c>
      <c r="U55" s="218">
        <v>1.35</v>
      </c>
      <c r="V55" s="218">
        <v>1.35</v>
      </c>
      <c r="W55" s="218">
        <v>0</v>
      </c>
      <c r="X55" s="218">
        <v>2.7</v>
      </c>
      <c r="AB55" s="216">
        <v>1</v>
      </c>
      <c r="AC55" s="216">
        <v>1</v>
      </c>
      <c r="AD55" s="216">
        <v>6</v>
      </c>
      <c r="AE55" s="216">
        <v>2026</v>
      </c>
    </row>
    <row r="56" spans="3:31">
      <c r="C56" s="216">
        <v>49</v>
      </c>
      <c r="D56" s="216">
        <v>4</v>
      </c>
      <c r="F56" s="216" t="s">
        <v>2143</v>
      </c>
      <c r="G56" s="217">
        <v>46174</v>
      </c>
      <c r="H56" s="216">
        <v>2</v>
      </c>
      <c r="I56" s="216">
        <v>20</v>
      </c>
      <c r="J56" s="216" t="s">
        <v>710</v>
      </c>
      <c r="K56" s="68" t="s">
        <v>711</v>
      </c>
      <c r="L56" s="149">
        <v>14</v>
      </c>
      <c r="M56" s="149">
        <v>0</v>
      </c>
      <c r="N56" s="68" t="s">
        <v>680</v>
      </c>
      <c r="O56" s="216">
        <v>2</v>
      </c>
      <c r="P56" s="216">
        <v>1</v>
      </c>
      <c r="T56" s="218">
        <v>5.03</v>
      </c>
      <c r="U56" s="218">
        <v>5.03</v>
      </c>
      <c r="V56" s="218">
        <v>5.03</v>
      </c>
      <c r="W56" s="218">
        <v>0</v>
      </c>
      <c r="X56" s="218">
        <v>70.42</v>
      </c>
      <c r="AB56" s="216">
        <v>1</v>
      </c>
      <c r="AC56" s="216">
        <v>1</v>
      </c>
      <c r="AD56" s="216">
        <v>6</v>
      </c>
      <c r="AE56" s="216">
        <v>2026</v>
      </c>
    </row>
    <row r="57" spans="3:31">
      <c r="C57" s="216">
        <v>50</v>
      </c>
      <c r="D57" s="216">
        <v>4</v>
      </c>
      <c r="F57" s="216" t="s">
        <v>2143</v>
      </c>
      <c r="G57" s="217">
        <v>46174</v>
      </c>
      <c r="H57" s="216">
        <v>2</v>
      </c>
      <c r="I57" s="216">
        <v>25</v>
      </c>
      <c r="J57" s="216" t="s">
        <v>1296</v>
      </c>
      <c r="K57" s="68" t="s">
        <v>1297</v>
      </c>
      <c r="L57" s="149">
        <v>2</v>
      </c>
      <c r="M57" s="149">
        <v>0</v>
      </c>
      <c r="N57" s="68" t="s">
        <v>680</v>
      </c>
      <c r="O57" s="216">
        <v>2</v>
      </c>
      <c r="P57" s="216">
        <v>1</v>
      </c>
      <c r="T57" s="218">
        <v>1.51</v>
      </c>
      <c r="U57" s="218">
        <v>1.51</v>
      </c>
      <c r="V57" s="218">
        <v>1.51</v>
      </c>
      <c r="W57" s="218">
        <v>0</v>
      </c>
      <c r="X57" s="218">
        <v>3.02</v>
      </c>
      <c r="AB57" s="216">
        <v>1</v>
      </c>
      <c r="AC57" s="216">
        <v>1</v>
      </c>
      <c r="AD57" s="216">
        <v>6</v>
      </c>
      <c r="AE57" s="216">
        <v>2026</v>
      </c>
    </row>
    <row r="58" spans="3:31">
      <c r="C58" s="216">
        <v>51</v>
      </c>
      <c r="D58" s="216">
        <v>4</v>
      </c>
      <c r="F58" s="216" t="s">
        <v>2143</v>
      </c>
      <c r="G58" s="217">
        <v>46174</v>
      </c>
      <c r="H58" s="216">
        <v>2</v>
      </c>
      <c r="I58" s="216">
        <v>29</v>
      </c>
      <c r="J58" s="216" t="s">
        <v>1524</v>
      </c>
      <c r="K58" s="68" t="s">
        <v>1525</v>
      </c>
      <c r="L58" s="149">
        <v>24</v>
      </c>
      <c r="M58" s="149">
        <v>0</v>
      </c>
      <c r="N58" s="68" t="s">
        <v>680</v>
      </c>
      <c r="O58" s="216">
        <v>2</v>
      </c>
      <c r="P58" s="216">
        <v>1</v>
      </c>
      <c r="T58" s="218">
        <v>4.2300000000000004</v>
      </c>
      <c r="U58" s="218">
        <v>4.2300000000000004</v>
      </c>
      <c r="V58" s="218">
        <v>4.2300000000000004</v>
      </c>
      <c r="W58" s="218">
        <v>0</v>
      </c>
      <c r="X58" s="218">
        <v>101.52</v>
      </c>
      <c r="AB58" s="216">
        <v>1</v>
      </c>
      <c r="AC58" s="216">
        <v>1</v>
      </c>
      <c r="AD58" s="216">
        <v>6</v>
      </c>
      <c r="AE58" s="216">
        <v>2026</v>
      </c>
    </row>
    <row r="59" spans="3:31">
      <c r="C59" s="216">
        <v>52</v>
      </c>
      <c r="D59" s="216">
        <v>4</v>
      </c>
      <c r="F59" s="216" t="s">
        <v>2143</v>
      </c>
      <c r="G59" s="217">
        <v>46174</v>
      </c>
      <c r="H59" s="216">
        <v>2</v>
      </c>
      <c r="I59" s="216">
        <v>30</v>
      </c>
      <c r="J59" s="216" t="s">
        <v>1188</v>
      </c>
      <c r="K59" s="68" t="s">
        <v>1189</v>
      </c>
      <c r="L59" s="149">
        <v>6</v>
      </c>
      <c r="M59" s="149">
        <v>0</v>
      </c>
      <c r="N59" s="68" t="s">
        <v>680</v>
      </c>
      <c r="O59" s="216">
        <v>2</v>
      </c>
      <c r="P59" s="216">
        <v>1</v>
      </c>
      <c r="T59" s="218">
        <v>1.49</v>
      </c>
      <c r="U59" s="218">
        <v>1.49</v>
      </c>
      <c r="V59" s="218">
        <v>1.49</v>
      </c>
      <c r="W59" s="218">
        <v>0</v>
      </c>
      <c r="X59" s="218">
        <v>8.94</v>
      </c>
      <c r="AB59" s="216">
        <v>1</v>
      </c>
      <c r="AC59" s="216">
        <v>1</v>
      </c>
      <c r="AD59" s="216">
        <v>6</v>
      </c>
      <c r="AE59" s="216">
        <v>2026</v>
      </c>
    </row>
    <row r="60" spans="3:31">
      <c r="C60" s="216">
        <v>53</v>
      </c>
      <c r="D60" s="216">
        <v>4</v>
      </c>
      <c r="F60" s="216" t="s">
        <v>2143</v>
      </c>
      <c r="G60" s="217">
        <v>46174</v>
      </c>
      <c r="H60" s="216">
        <v>2</v>
      </c>
      <c r="I60" s="216">
        <v>32</v>
      </c>
      <c r="J60" s="216" t="s">
        <v>1749</v>
      </c>
      <c r="K60" s="68" t="s">
        <v>1750</v>
      </c>
      <c r="L60" s="149">
        <v>4</v>
      </c>
      <c r="M60" s="149">
        <v>0</v>
      </c>
      <c r="N60" s="68" t="s">
        <v>680</v>
      </c>
      <c r="O60" s="216">
        <v>2</v>
      </c>
      <c r="P60" s="216">
        <v>1</v>
      </c>
      <c r="T60" s="218">
        <v>1.04</v>
      </c>
      <c r="U60" s="218">
        <v>1.04</v>
      </c>
      <c r="V60" s="218">
        <v>1.04</v>
      </c>
      <c r="W60" s="218">
        <v>0</v>
      </c>
      <c r="X60" s="218">
        <v>4.16</v>
      </c>
      <c r="AB60" s="216">
        <v>1</v>
      </c>
      <c r="AC60" s="216">
        <v>1</v>
      </c>
      <c r="AD60" s="216">
        <v>6</v>
      </c>
      <c r="AE60" s="216">
        <v>2026</v>
      </c>
    </row>
    <row r="61" spans="3:31">
      <c r="C61" s="216">
        <v>54</v>
      </c>
      <c r="D61" s="216">
        <v>4</v>
      </c>
      <c r="F61" s="216" t="s">
        <v>2143</v>
      </c>
      <c r="G61" s="217">
        <v>46174</v>
      </c>
      <c r="H61" s="216">
        <v>2</v>
      </c>
      <c r="I61" s="216">
        <v>33</v>
      </c>
      <c r="J61" s="216" t="s">
        <v>1199</v>
      </c>
      <c r="K61" s="68" t="s">
        <v>1200</v>
      </c>
      <c r="L61" s="149">
        <v>2</v>
      </c>
      <c r="M61" s="149">
        <v>0</v>
      </c>
      <c r="N61" s="68" t="s">
        <v>680</v>
      </c>
      <c r="O61" s="216">
        <v>2</v>
      </c>
      <c r="P61" s="216">
        <v>1</v>
      </c>
      <c r="T61" s="218">
        <v>1.75</v>
      </c>
      <c r="U61" s="218">
        <v>1.75</v>
      </c>
      <c r="V61" s="218">
        <v>1.75</v>
      </c>
      <c r="W61" s="218">
        <v>0</v>
      </c>
      <c r="X61" s="218">
        <v>3.5</v>
      </c>
      <c r="AB61" s="216">
        <v>1</v>
      </c>
      <c r="AC61" s="216">
        <v>1</v>
      </c>
      <c r="AD61" s="216">
        <v>6</v>
      </c>
      <c r="AE61" s="216">
        <v>2026</v>
      </c>
    </row>
    <row r="62" spans="3:31">
      <c r="C62" s="216">
        <v>55</v>
      </c>
      <c r="D62" s="216">
        <v>5</v>
      </c>
      <c r="F62" s="216" t="s">
        <v>2159</v>
      </c>
      <c r="G62" s="217">
        <v>46174</v>
      </c>
      <c r="H62" s="216">
        <v>2</v>
      </c>
      <c r="I62" s="216">
        <v>34</v>
      </c>
      <c r="J62" s="216" t="s">
        <v>1194</v>
      </c>
      <c r="K62" s="68" t="s">
        <v>1195</v>
      </c>
      <c r="L62" s="149">
        <v>20</v>
      </c>
      <c r="M62" s="149">
        <v>0</v>
      </c>
      <c r="N62" s="68" t="s">
        <v>680</v>
      </c>
      <c r="O62" s="216">
        <v>2</v>
      </c>
      <c r="P62" s="216">
        <v>1</v>
      </c>
      <c r="T62" s="218">
        <v>0.5</v>
      </c>
      <c r="U62" s="218">
        <v>0.5</v>
      </c>
      <c r="V62" s="218">
        <v>0.5</v>
      </c>
      <c r="W62" s="218">
        <v>0</v>
      </c>
      <c r="X62" s="218">
        <v>10</v>
      </c>
      <c r="AB62" s="216">
        <v>1</v>
      </c>
      <c r="AC62" s="216">
        <v>1</v>
      </c>
      <c r="AD62" s="216">
        <v>6</v>
      </c>
      <c r="AE62" s="216">
        <v>2026</v>
      </c>
    </row>
    <row r="63" spans="3:31">
      <c r="C63" s="216">
        <v>56</v>
      </c>
      <c r="D63" s="216">
        <v>5</v>
      </c>
      <c r="F63" s="216" t="s">
        <v>2159</v>
      </c>
      <c r="G63" s="217">
        <v>46174</v>
      </c>
      <c r="H63" s="216">
        <v>2</v>
      </c>
      <c r="I63" s="216">
        <v>37</v>
      </c>
      <c r="J63" s="216" t="s">
        <v>1516</v>
      </c>
      <c r="K63" s="68" t="s">
        <v>1517</v>
      </c>
      <c r="L63" s="149">
        <v>4</v>
      </c>
      <c r="M63" s="149">
        <v>0</v>
      </c>
      <c r="N63" s="68" t="s">
        <v>680</v>
      </c>
      <c r="O63" s="216">
        <v>2</v>
      </c>
      <c r="P63" s="216">
        <v>1</v>
      </c>
      <c r="T63" s="218">
        <v>0.66</v>
      </c>
      <c r="U63" s="218">
        <v>0.66</v>
      </c>
      <c r="V63" s="218">
        <v>0.66</v>
      </c>
      <c r="W63" s="218">
        <v>0</v>
      </c>
      <c r="X63" s="218">
        <v>2.64</v>
      </c>
      <c r="AB63" s="216">
        <v>1</v>
      </c>
      <c r="AC63" s="216">
        <v>1</v>
      </c>
      <c r="AD63" s="216">
        <v>6</v>
      </c>
      <c r="AE63" s="216">
        <v>2026</v>
      </c>
    </row>
    <row r="64" spans="3:31">
      <c r="C64" s="216">
        <v>57</v>
      </c>
      <c r="D64" s="216">
        <v>5</v>
      </c>
      <c r="F64" s="216" t="s">
        <v>2159</v>
      </c>
      <c r="G64" s="217">
        <v>46174</v>
      </c>
      <c r="H64" s="216">
        <v>2</v>
      </c>
      <c r="I64" s="216">
        <v>38</v>
      </c>
      <c r="J64" s="216" t="s">
        <v>1114</v>
      </c>
      <c r="K64" s="68" t="s">
        <v>1115</v>
      </c>
      <c r="L64" s="149">
        <v>4</v>
      </c>
      <c r="M64" s="149">
        <v>0</v>
      </c>
      <c r="N64" s="68" t="s">
        <v>680</v>
      </c>
      <c r="O64" s="216">
        <v>2</v>
      </c>
      <c r="P64" s="216">
        <v>1</v>
      </c>
      <c r="T64" s="218">
        <v>0.28999999999999998</v>
      </c>
      <c r="U64" s="218">
        <v>0.28999999999999998</v>
      </c>
      <c r="V64" s="218">
        <v>0.28999999999999998</v>
      </c>
      <c r="W64" s="218">
        <v>0</v>
      </c>
      <c r="X64" s="218">
        <v>1.1599999999999999</v>
      </c>
      <c r="AB64" s="216">
        <v>1</v>
      </c>
      <c r="AC64" s="216">
        <v>1</v>
      </c>
      <c r="AD64" s="216">
        <v>6</v>
      </c>
      <c r="AE64" s="216">
        <v>2026</v>
      </c>
    </row>
    <row r="65" spans="3:31">
      <c r="C65" s="216">
        <v>58</v>
      </c>
      <c r="D65" s="216">
        <v>5</v>
      </c>
      <c r="F65" s="216" t="s">
        <v>2159</v>
      </c>
      <c r="G65" s="217">
        <v>46174</v>
      </c>
      <c r="H65" s="216">
        <v>2</v>
      </c>
      <c r="I65" s="216">
        <v>39</v>
      </c>
      <c r="J65" s="216" t="s">
        <v>1145</v>
      </c>
      <c r="K65" s="68" t="s">
        <v>1146</v>
      </c>
      <c r="L65" s="149">
        <v>6</v>
      </c>
      <c r="M65" s="149">
        <v>0</v>
      </c>
      <c r="N65" s="68" t="s">
        <v>680</v>
      </c>
      <c r="O65" s="216">
        <v>2</v>
      </c>
      <c r="P65" s="216">
        <v>1</v>
      </c>
      <c r="T65" s="218">
        <v>0.28999999999999998</v>
      </c>
      <c r="U65" s="218">
        <v>0.28999999999999998</v>
      </c>
      <c r="V65" s="218">
        <v>0.28999999999999998</v>
      </c>
      <c r="W65" s="218">
        <v>0</v>
      </c>
      <c r="X65" s="218">
        <v>1.74</v>
      </c>
      <c r="AB65" s="216">
        <v>1</v>
      </c>
      <c r="AC65" s="216">
        <v>1</v>
      </c>
      <c r="AD65" s="216">
        <v>6</v>
      </c>
      <c r="AE65" s="216">
        <v>2026</v>
      </c>
    </row>
    <row r="66" spans="3:31">
      <c r="C66" s="216">
        <v>59</v>
      </c>
      <c r="D66" s="216">
        <v>5</v>
      </c>
      <c r="F66" s="216" t="s">
        <v>2159</v>
      </c>
      <c r="G66" s="217">
        <v>46174</v>
      </c>
      <c r="H66" s="216">
        <v>2</v>
      </c>
      <c r="I66" s="216">
        <v>40</v>
      </c>
      <c r="J66" s="216" t="s">
        <v>1109</v>
      </c>
      <c r="K66" s="68" t="s">
        <v>1110</v>
      </c>
      <c r="L66" s="149">
        <v>4</v>
      </c>
      <c r="M66" s="149">
        <v>0</v>
      </c>
      <c r="N66" s="68" t="s">
        <v>680</v>
      </c>
      <c r="O66" s="216">
        <v>2</v>
      </c>
      <c r="P66" s="216">
        <v>1</v>
      </c>
      <c r="T66" s="218">
        <v>0.23</v>
      </c>
      <c r="U66" s="218">
        <v>0.23</v>
      </c>
      <c r="V66" s="218">
        <v>0.23</v>
      </c>
      <c r="W66" s="218">
        <v>0</v>
      </c>
      <c r="X66" s="218">
        <v>0.92</v>
      </c>
      <c r="AB66" s="216">
        <v>1</v>
      </c>
      <c r="AC66" s="216">
        <v>1</v>
      </c>
      <c r="AD66" s="216">
        <v>6</v>
      </c>
      <c r="AE66" s="216">
        <v>2026</v>
      </c>
    </row>
    <row r="67" spans="3:31">
      <c r="C67" s="216">
        <v>60</v>
      </c>
      <c r="D67" s="216">
        <v>5</v>
      </c>
      <c r="F67" s="216" t="s">
        <v>2159</v>
      </c>
      <c r="G67" s="217">
        <v>46174</v>
      </c>
      <c r="H67" s="216">
        <v>2</v>
      </c>
      <c r="I67" s="216">
        <v>41</v>
      </c>
      <c r="J67" s="216" t="s">
        <v>809</v>
      </c>
      <c r="K67" s="68" t="s">
        <v>810</v>
      </c>
      <c r="L67" s="149">
        <v>16</v>
      </c>
      <c r="M67" s="149">
        <v>0</v>
      </c>
      <c r="N67" s="68" t="s">
        <v>680</v>
      </c>
      <c r="O67" s="216">
        <v>2</v>
      </c>
      <c r="P67" s="216">
        <v>1</v>
      </c>
      <c r="T67" s="218">
        <v>0.53</v>
      </c>
      <c r="U67" s="218">
        <v>0.53</v>
      </c>
      <c r="V67" s="218">
        <v>0.53</v>
      </c>
      <c r="W67" s="218">
        <v>0</v>
      </c>
      <c r="X67" s="218">
        <v>8.48</v>
      </c>
      <c r="AB67" s="216">
        <v>1</v>
      </c>
      <c r="AC67" s="216">
        <v>1</v>
      </c>
      <c r="AD67" s="216">
        <v>6</v>
      </c>
      <c r="AE67" s="216">
        <v>2026</v>
      </c>
    </row>
    <row r="68" spans="3:31">
      <c r="C68" s="216">
        <v>61</v>
      </c>
      <c r="D68" s="216">
        <v>5</v>
      </c>
      <c r="F68" s="216" t="s">
        <v>2159</v>
      </c>
      <c r="G68" s="217">
        <v>46174</v>
      </c>
      <c r="H68" s="216">
        <v>2</v>
      </c>
      <c r="I68" s="216">
        <v>42</v>
      </c>
      <c r="J68" s="216" t="s">
        <v>976</v>
      </c>
      <c r="K68" s="68" t="s">
        <v>977</v>
      </c>
      <c r="L68" s="149">
        <v>32</v>
      </c>
      <c r="M68" s="149">
        <v>0</v>
      </c>
      <c r="N68" s="68" t="s">
        <v>680</v>
      </c>
      <c r="O68" s="216">
        <v>2</v>
      </c>
      <c r="P68" s="216">
        <v>1</v>
      </c>
      <c r="T68" s="218">
        <v>0.24</v>
      </c>
      <c r="U68" s="218">
        <v>0.24</v>
      </c>
      <c r="V68" s="218">
        <v>0.24</v>
      </c>
      <c r="W68" s="218">
        <v>0</v>
      </c>
      <c r="X68" s="218">
        <v>7.68</v>
      </c>
      <c r="AB68" s="216">
        <v>1</v>
      </c>
      <c r="AC68" s="216">
        <v>1</v>
      </c>
      <c r="AD68" s="216">
        <v>6</v>
      </c>
      <c r="AE68" s="216">
        <v>2026</v>
      </c>
    </row>
    <row r="69" spans="3:31">
      <c r="C69" s="216">
        <v>62</v>
      </c>
      <c r="D69" s="216">
        <v>5</v>
      </c>
      <c r="F69" s="216" t="s">
        <v>2159</v>
      </c>
      <c r="G69" s="217">
        <v>46174</v>
      </c>
      <c r="H69" s="216">
        <v>2</v>
      </c>
      <c r="I69" s="216">
        <v>44</v>
      </c>
      <c r="J69" s="216" t="s">
        <v>1230</v>
      </c>
      <c r="K69" s="68" t="s">
        <v>1231</v>
      </c>
      <c r="L69" s="149">
        <v>8</v>
      </c>
      <c r="M69" s="149">
        <v>0</v>
      </c>
      <c r="N69" s="68" t="s">
        <v>680</v>
      </c>
      <c r="O69" s="216">
        <v>2</v>
      </c>
      <c r="P69" s="216">
        <v>1</v>
      </c>
      <c r="T69" s="218">
        <v>0.22</v>
      </c>
      <c r="U69" s="218">
        <v>0.22</v>
      </c>
      <c r="V69" s="218">
        <v>0.22</v>
      </c>
      <c r="W69" s="218">
        <v>0</v>
      </c>
      <c r="X69" s="218">
        <v>1.76</v>
      </c>
      <c r="AB69" s="216">
        <v>1</v>
      </c>
      <c r="AC69" s="216">
        <v>1</v>
      </c>
      <c r="AD69" s="216">
        <v>6</v>
      </c>
      <c r="AE69" s="216">
        <v>2026</v>
      </c>
    </row>
    <row r="70" spans="3:31">
      <c r="C70" s="216">
        <v>63</v>
      </c>
      <c r="D70" s="216">
        <v>5</v>
      </c>
      <c r="F70" s="216" t="s">
        <v>2159</v>
      </c>
      <c r="G70" s="217">
        <v>46174</v>
      </c>
      <c r="H70" s="216">
        <v>2</v>
      </c>
      <c r="I70" s="216">
        <v>45</v>
      </c>
      <c r="J70" s="216" t="s">
        <v>981</v>
      </c>
      <c r="K70" s="68" t="s">
        <v>982</v>
      </c>
      <c r="L70" s="149">
        <v>30</v>
      </c>
      <c r="M70" s="149">
        <v>0</v>
      </c>
      <c r="N70" s="68" t="s">
        <v>680</v>
      </c>
      <c r="O70" s="216">
        <v>2</v>
      </c>
      <c r="P70" s="216">
        <v>1</v>
      </c>
      <c r="T70" s="218">
        <v>0.34</v>
      </c>
      <c r="U70" s="218">
        <v>0.34</v>
      </c>
      <c r="V70" s="218">
        <v>0.34</v>
      </c>
      <c r="W70" s="218">
        <v>0</v>
      </c>
      <c r="X70" s="218">
        <v>10.199999999999999</v>
      </c>
      <c r="AB70" s="216">
        <v>1</v>
      </c>
      <c r="AC70" s="216">
        <v>1</v>
      </c>
      <c r="AD70" s="216">
        <v>6</v>
      </c>
      <c r="AE70" s="216">
        <v>2026</v>
      </c>
    </row>
    <row r="71" spans="3:31">
      <c r="C71" s="216">
        <v>64</v>
      </c>
      <c r="D71" s="216">
        <v>5</v>
      </c>
      <c r="F71" s="216" t="s">
        <v>2159</v>
      </c>
      <c r="G71" s="217">
        <v>46174</v>
      </c>
      <c r="H71" s="216">
        <v>2</v>
      </c>
      <c r="I71" s="216">
        <v>46</v>
      </c>
      <c r="J71" s="216" t="s">
        <v>648</v>
      </c>
      <c r="K71" s="68" t="s">
        <v>649</v>
      </c>
      <c r="L71" s="149">
        <v>60</v>
      </c>
      <c r="M71" s="149">
        <v>0</v>
      </c>
      <c r="N71" s="68" t="s">
        <v>680</v>
      </c>
      <c r="O71" s="216">
        <v>2</v>
      </c>
      <c r="P71" s="216">
        <v>1</v>
      </c>
      <c r="T71" s="218">
        <v>0.15</v>
      </c>
      <c r="U71" s="218">
        <v>0.15</v>
      </c>
      <c r="V71" s="218">
        <v>0.15</v>
      </c>
      <c r="W71" s="218">
        <v>0</v>
      </c>
      <c r="X71" s="218">
        <v>9</v>
      </c>
      <c r="AB71" s="216">
        <v>1</v>
      </c>
      <c r="AC71" s="216">
        <v>1</v>
      </c>
      <c r="AD71" s="216">
        <v>6</v>
      </c>
      <c r="AE71" s="216">
        <v>2026</v>
      </c>
    </row>
    <row r="72" spans="3:31">
      <c r="C72" s="216">
        <v>65</v>
      </c>
      <c r="D72" s="216">
        <v>5</v>
      </c>
      <c r="F72" s="216" t="s">
        <v>2159</v>
      </c>
      <c r="G72" s="217">
        <v>46174</v>
      </c>
      <c r="H72" s="216">
        <v>2</v>
      </c>
      <c r="I72" s="216">
        <v>48</v>
      </c>
      <c r="J72" s="216" t="s">
        <v>597</v>
      </c>
      <c r="K72" s="68" t="s">
        <v>598</v>
      </c>
      <c r="L72" s="149">
        <v>14</v>
      </c>
      <c r="M72" s="149">
        <v>0</v>
      </c>
      <c r="N72" s="68" t="s">
        <v>680</v>
      </c>
      <c r="O72" s="216">
        <v>2</v>
      </c>
      <c r="P72" s="216">
        <v>1</v>
      </c>
      <c r="T72" s="218">
        <v>0.12</v>
      </c>
      <c r="U72" s="218">
        <v>0.12</v>
      </c>
      <c r="V72" s="218">
        <v>0.12</v>
      </c>
      <c r="W72" s="218">
        <v>0</v>
      </c>
      <c r="X72" s="218">
        <v>1.68</v>
      </c>
      <c r="AB72" s="216">
        <v>1</v>
      </c>
      <c r="AC72" s="216">
        <v>1</v>
      </c>
      <c r="AD72" s="216">
        <v>6</v>
      </c>
      <c r="AE72" s="216">
        <v>2026</v>
      </c>
    </row>
    <row r="73" spans="3:31">
      <c r="C73" s="216">
        <v>66</v>
      </c>
      <c r="D73" s="216">
        <v>5</v>
      </c>
      <c r="F73" s="216" t="s">
        <v>2159</v>
      </c>
      <c r="G73" s="217">
        <v>46174</v>
      </c>
      <c r="H73" s="216">
        <v>2</v>
      </c>
      <c r="I73" s="216">
        <v>49</v>
      </c>
      <c r="J73" s="216" t="s">
        <v>814</v>
      </c>
      <c r="K73" s="68" t="s">
        <v>815</v>
      </c>
      <c r="L73" s="149">
        <v>30</v>
      </c>
      <c r="M73" s="149">
        <v>0</v>
      </c>
      <c r="N73" s="68" t="s">
        <v>680</v>
      </c>
      <c r="O73" s="216">
        <v>2</v>
      </c>
      <c r="P73" s="216">
        <v>1</v>
      </c>
      <c r="T73" s="218">
        <v>0.28000000000000003</v>
      </c>
      <c r="U73" s="218">
        <v>0.28000000000000003</v>
      </c>
      <c r="V73" s="218">
        <v>0.28000000000000003</v>
      </c>
      <c r="W73" s="218">
        <v>0</v>
      </c>
      <c r="X73" s="218">
        <v>8.4</v>
      </c>
      <c r="AB73" s="216">
        <v>1</v>
      </c>
      <c r="AC73" s="216">
        <v>1</v>
      </c>
      <c r="AD73" s="216">
        <v>6</v>
      </c>
      <c r="AE73" s="216">
        <v>2026</v>
      </c>
    </row>
    <row r="74" spans="3:31">
      <c r="C74" s="216">
        <v>67</v>
      </c>
      <c r="D74" s="216">
        <v>5</v>
      </c>
      <c r="F74" s="216" t="s">
        <v>2159</v>
      </c>
      <c r="G74" s="217">
        <v>46174</v>
      </c>
      <c r="H74" s="216">
        <v>2</v>
      </c>
      <c r="I74" s="216">
        <v>50</v>
      </c>
      <c r="J74" s="216" t="s">
        <v>804</v>
      </c>
      <c r="K74" s="68" t="s">
        <v>805</v>
      </c>
      <c r="L74" s="149">
        <v>118</v>
      </c>
      <c r="M74" s="149">
        <v>0</v>
      </c>
      <c r="N74" s="68" t="s">
        <v>680</v>
      </c>
      <c r="O74" s="216">
        <v>2</v>
      </c>
      <c r="P74" s="216">
        <v>1</v>
      </c>
      <c r="T74" s="218">
        <v>0.12</v>
      </c>
      <c r="U74" s="218">
        <v>0.12</v>
      </c>
      <c r="V74" s="218">
        <v>0.12</v>
      </c>
      <c r="W74" s="218">
        <v>0</v>
      </c>
      <c r="X74" s="218">
        <v>14.16</v>
      </c>
      <c r="AB74" s="216">
        <v>1</v>
      </c>
      <c r="AC74" s="216">
        <v>1</v>
      </c>
      <c r="AD74" s="216">
        <v>6</v>
      </c>
      <c r="AE74" s="216">
        <v>2026</v>
      </c>
    </row>
    <row r="75" spans="3:31">
      <c r="C75" s="216">
        <v>68</v>
      </c>
      <c r="D75" s="216">
        <v>5</v>
      </c>
      <c r="F75" s="216" t="s">
        <v>2159</v>
      </c>
      <c r="G75" s="217">
        <v>46174</v>
      </c>
      <c r="H75" s="216">
        <v>2</v>
      </c>
      <c r="I75" s="216">
        <v>51</v>
      </c>
      <c r="J75" s="216" t="s">
        <v>1340</v>
      </c>
      <c r="K75" s="68" t="s">
        <v>1341</v>
      </c>
      <c r="L75" s="149">
        <v>34</v>
      </c>
      <c r="M75" s="149">
        <v>0</v>
      </c>
      <c r="N75" s="68" t="s">
        <v>680</v>
      </c>
      <c r="O75" s="216">
        <v>2</v>
      </c>
      <c r="P75" s="216">
        <v>1</v>
      </c>
      <c r="T75" s="218">
        <v>4.49</v>
      </c>
      <c r="U75" s="218">
        <v>4.49</v>
      </c>
      <c r="V75" s="218">
        <v>4.49</v>
      </c>
      <c r="W75" s="218">
        <v>0</v>
      </c>
      <c r="X75" s="218">
        <v>152.66</v>
      </c>
      <c r="AB75" s="216">
        <v>1</v>
      </c>
      <c r="AC75" s="216">
        <v>1</v>
      </c>
      <c r="AD75" s="216">
        <v>6</v>
      </c>
      <c r="AE75" s="216">
        <v>2026</v>
      </c>
    </row>
    <row r="76" spans="3:31">
      <c r="C76" s="216">
        <v>69</v>
      </c>
      <c r="D76" s="216">
        <v>6</v>
      </c>
      <c r="F76" s="216" t="s">
        <v>2175</v>
      </c>
      <c r="G76" s="217">
        <v>46176</v>
      </c>
      <c r="H76" s="216">
        <v>2</v>
      </c>
      <c r="I76" s="216">
        <v>52</v>
      </c>
      <c r="J76" s="216" t="s">
        <v>934</v>
      </c>
      <c r="K76" s="68" t="s">
        <v>935</v>
      </c>
      <c r="L76" s="149">
        <v>22</v>
      </c>
      <c r="M76" s="149">
        <v>0</v>
      </c>
      <c r="N76" s="68" t="s">
        <v>680</v>
      </c>
      <c r="O76" s="216">
        <v>2</v>
      </c>
      <c r="P76" s="216">
        <v>1</v>
      </c>
      <c r="T76" s="218">
        <v>1.91</v>
      </c>
      <c r="U76" s="218">
        <v>1.91</v>
      </c>
      <c r="V76" s="218">
        <v>1.91</v>
      </c>
      <c r="W76" s="218">
        <v>0</v>
      </c>
      <c r="X76" s="218">
        <v>42.02</v>
      </c>
      <c r="AB76" s="216">
        <v>1</v>
      </c>
      <c r="AC76" s="216">
        <v>1</v>
      </c>
      <c r="AD76" s="216">
        <v>6</v>
      </c>
      <c r="AE76" s="216">
        <v>2026</v>
      </c>
    </row>
    <row r="77" spans="3:31">
      <c r="C77" s="216">
        <v>70</v>
      </c>
      <c r="D77" s="216">
        <v>6</v>
      </c>
      <c r="F77" s="216" t="s">
        <v>2175</v>
      </c>
      <c r="G77" s="217">
        <v>46176</v>
      </c>
      <c r="H77" s="216">
        <v>2</v>
      </c>
      <c r="I77" s="216">
        <v>53</v>
      </c>
      <c r="J77" s="216" t="s">
        <v>1212</v>
      </c>
      <c r="K77" s="68" t="s">
        <v>1213</v>
      </c>
      <c r="L77" s="149">
        <v>4</v>
      </c>
      <c r="M77" s="149">
        <v>0</v>
      </c>
      <c r="N77" s="68" t="s">
        <v>680</v>
      </c>
      <c r="O77" s="216">
        <v>2</v>
      </c>
      <c r="P77" s="216">
        <v>1</v>
      </c>
      <c r="T77" s="218">
        <v>0.95</v>
      </c>
      <c r="U77" s="218">
        <v>0.95</v>
      </c>
      <c r="V77" s="218">
        <v>0.95</v>
      </c>
      <c r="W77" s="218">
        <v>0</v>
      </c>
      <c r="X77" s="218">
        <v>3.8</v>
      </c>
      <c r="AB77" s="216">
        <v>1</v>
      </c>
      <c r="AC77" s="216">
        <v>1</v>
      </c>
      <c r="AD77" s="216">
        <v>6</v>
      </c>
      <c r="AE77" s="216">
        <v>2026</v>
      </c>
    </row>
    <row r="78" spans="3:31">
      <c r="C78" s="216">
        <v>71</v>
      </c>
      <c r="D78" s="216">
        <v>6</v>
      </c>
      <c r="F78" s="216" t="s">
        <v>2175</v>
      </c>
      <c r="G78" s="217">
        <v>46176</v>
      </c>
      <c r="H78" s="216">
        <v>2</v>
      </c>
      <c r="I78" s="216">
        <v>54</v>
      </c>
      <c r="J78" s="216" t="s">
        <v>1744</v>
      </c>
      <c r="K78" s="68" t="s">
        <v>1745</v>
      </c>
      <c r="L78" s="149">
        <v>16</v>
      </c>
      <c r="M78" s="149">
        <v>0</v>
      </c>
      <c r="N78" s="68" t="s">
        <v>680</v>
      </c>
      <c r="O78" s="216">
        <v>2</v>
      </c>
      <c r="P78" s="216">
        <v>1</v>
      </c>
      <c r="T78" s="218">
        <v>2.12</v>
      </c>
      <c r="U78" s="218">
        <v>2.12</v>
      </c>
      <c r="V78" s="218">
        <v>2.12</v>
      </c>
      <c r="W78" s="218">
        <v>0</v>
      </c>
      <c r="X78" s="218">
        <v>33.92</v>
      </c>
      <c r="AB78" s="216">
        <v>1</v>
      </c>
      <c r="AC78" s="216">
        <v>1</v>
      </c>
      <c r="AD78" s="216">
        <v>6</v>
      </c>
      <c r="AE78" s="216">
        <v>2026</v>
      </c>
    </row>
    <row r="79" spans="3:31">
      <c r="C79" s="216">
        <v>72</v>
      </c>
      <c r="D79" s="216">
        <v>6</v>
      </c>
      <c r="F79" s="216" t="s">
        <v>2175</v>
      </c>
      <c r="G79" s="217">
        <v>46176</v>
      </c>
      <c r="H79" s="216">
        <v>2</v>
      </c>
      <c r="I79" s="216">
        <v>56</v>
      </c>
      <c r="J79" s="216" t="s">
        <v>1204</v>
      </c>
      <c r="K79" s="68" t="s">
        <v>1205</v>
      </c>
      <c r="L79" s="149">
        <v>14</v>
      </c>
      <c r="M79" s="149">
        <v>0</v>
      </c>
      <c r="N79" s="68" t="s">
        <v>680</v>
      </c>
      <c r="O79" s="216">
        <v>2</v>
      </c>
      <c r="P79" s="216">
        <v>1</v>
      </c>
      <c r="T79" s="218">
        <v>0.55000000000000004</v>
      </c>
      <c r="U79" s="218">
        <v>0.55000000000000004</v>
      </c>
      <c r="V79" s="218">
        <v>0.55000000000000004</v>
      </c>
      <c r="W79" s="218">
        <v>0</v>
      </c>
      <c r="X79" s="218">
        <v>7.7</v>
      </c>
      <c r="AB79" s="216">
        <v>1</v>
      </c>
      <c r="AC79" s="216">
        <v>1</v>
      </c>
      <c r="AD79" s="216">
        <v>6</v>
      </c>
      <c r="AE79" s="216">
        <v>2026</v>
      </c>
    </row>
    <row r="80" spans="3:31">
      <c r="C80" s="216">
        <v>73</v>
      </c>
      <c r="D80" s="216">
        <v>6</v>
      </c>
      <c r="F80" s="216" t="s">
        <v>2175</v>
      </c>
      <c r="G80" s="217">
        <v>46176</v>
      </c>
      <c r="H80" s="216">
        <v>2</v>
      </c>
      <c r="I80" s="216">
        <v>61</v>
      </c>
      <c r="J80" s="216" t="s">
        <v>1925</v>
      </c>
      <c r="K80" s="68" t="s">
        <v>1926</v>
      </c>
      <c r="L80" s="149">
        <v>2</v>
      </c>
      <c r="M80" s="149">
        <v>0</v>
      </c>
      <c r="N80" s="68" t="s">
        <v>680</v>
      </c>
      <c r="O80" s="216">
        <v>2</v>
      </c>
      <c r="P80" s="216">
        <v>1</v>
      </c>
      <c r="T80" s="218">
        <v>6.41</v>
      </c>
      <c r="U80" s="218">
        <v>6.41</v>
      </c>
      <c r="V80" s="218">
        <v>6.41</v>
      </c>
      <c r="W80" s="218">
        <v>0</v>
      </c>
      <c r="X80" s="218">
        <v>12.82</v>
      </c>
      <c r="AB80" s="216">
        <v>1</v>
      </c>
      <c r="AC80" s="216">
        <v>1</v>
      </c>
      <c r="AD80" s="216">
        <v>6</v>
      </c>
      <c r="AE80" s="216">
        <v>2026</v>
      </c>
    </row>
    <row r="81" spans="3:31">
      <c r="C81" s="216">
        <v>74</v>
      </c>
      <c r="D81" s="216">
        <v>6</v>
      </c>
      <c r="F81" s="216" t="s">
        <v>2175</v>
      </c>
      <c r="G81" s="217">
        <v>46176</v>
      </c>
      <c r="H81" s="216">
        <v>2</v>
      </c>
      <c r="I81" s="216">
        <v>63</v>
      </c>
      <c r="J81" s="216" t="s">
        <v>1038</v>
      </c>
      <c r="K81" s="68" t="s">
        <v>1039</v>
      </c>
      <c r="L81" s="149">
        <v>12</v>
      </c>
      <c r="M81" s="149">
        <v>0</v>
      </c>
      <c r="N81" s="68" t="s">
        <v>680</v>
      </c>
      <c r="O81" s="216">
        <v>2</v>
      </c>
      <c r="P81" s="216">
        <v>1</v>
      </c>
      <c r="T81" s="218">
        <v>4.33</v>
      </c>
      <c r="U81" s="218">
        <v>4.33</v>
      </c>
      <c r="V81" s="218">
        <v>4.33</v>
      </c>
      <c r="W81" s="218">
        <v>0</v>
      </c>
      <c r="X81" s="218">
        <v>51.96</v>
      </c>
      <c r="AB81" s="216">
        <v>1</v>
      </c>
      <c r="AC81" s="216">
        <v>1</v>
      </c>
      <c r="AD81" s="216">
        <v>6</v>
      </c>
      <c r="AE81" s="216">
        <v>2026</v>
      </c>
    </row>
    <row r="82" spans="3:31">
      <c r="C82" s="216">
        <v>75</v>
      </c>
      <c r="D82" s="216">
        <v>6</v>
      </c>
      <c r="F82" s="216" t="s">
        <v>2175</v>
      </c>
      <c r="G82" s="217">
        <v>46176</v>
      </c>
      <c r="H82" s="216">
        <v>2</v>
      </c>
      <c r="I82" s="216">
        <v>64</v>
      </c>
      <c r="J82" s="216" t="s">
        <v>1222</v>
      </c>
      <c r="K82" s="68" t="s">
        <v>1223</v>
      </c>
      <c r="L82" s="149">
        <v>2</v>
      </c>
      <c r="M82" s="149">
        <v>0</v>
      </c>
      <c r="N82" s="68" t="s">
        <v>680</v>
      </c>
      <c r="O82" s="216">
        <v>2</v>
      </c>
      <c r="P82" s="216">
        <v>1</v>
      </c>
      <c r="T82" s="218">
        <v>1.9</v>
      </c>
      <c r="U82" s="218">
        <v>1.9</v>
      </c>
      <c r="V82" s="218">
        <v>1.9</v>
      </c>
      <c r="W82" s="218">
        <v>0</v>
      </c>
      <c r="X82" s="218">
        <v>3.8</v>
      </c>
      <c r="AB82" s="216">
        <v>1</v>
      </c>
      <c r="AC82" s="216">
        <v>1</v>
      </c>
      <c r="AD82" s="216">
        <v>6</v>
      </c>
      <c r="AE82" s="216">
        <v>2026</v>
      </c>
    </row>
    <row r="83" spans="3:31">
      <c r="C83" s="216">
        <v>76</v>
      </c>
      <c r="D83" s="216">
        <v>6</v>
      </c>
      <c r="F83" s="216" t="s">
        <v>2175</v>
      </c>
      <c r="G83" s="217">
        <v>46176</v>
      </c>
      <c r="H83" s="216">
        <v>2</v>
      </c>
      <c r="I83" s="216">
        <v>66</v>
      </c>
      <c r="J83" s="216" t="s">
        <v>1217</v>
      </c>
      <c r="K83" s="68" t="s">
        <v>1218</v>
      </c>
      <c r="L83" s="149">
        <v>12</v>
      </c>
      <c r="M83" s="149">
        <v>0</v>
      </c>
      <c r="N83" s="68" t="s">
        <v>680</v>
      </c>
      <c r="O83" s="216">
        <v>2</v>
      </c>
      <c r="P83" s="216">
        <v>1</v>
      </c>
      <c r="T83" s="218">
        <v>0.41</v>
      </c>
      <c r="U83" s="218">
        <v>0.41</v>
      </c>
      <c r="V83" s="218">
        <v>0.41</v>
      </c>
      <c r="W83" s="218">
        <v>0</v>
      </c>
      <c r="X83" s="218">
        <v>4.92</v>
      </c>
      <c r="AB83" s="216">
        <v>1</v>
      </c>
      <c r="AC83" s="216">
        <v>1</v>
      </c>
      <c r="AD83" s="216">
        <v>6</v>
      </c>
      <c r="AE83" s="216">
        <v>2026</v>
      </c>
    </row>
    <row r="84" spans="3:31">
      <c r="C84" s="216">
        <v>77</v>
      </c>
      <c r="D84" s="216">
        <v>6</v>
      </c>
      <c r="F84" s="216" t="s">
        <v>2175</v>
      </c>
      <c r="G84" s="217">
        <v>46176</v>
      </c>
      <c r="H84" s="216">
        <v>2</v>
      </c>
      <c r="I84" s="216">
        <v>68</v>
      </c>
      <c r="J84" s="216" t="s">
        <v>1243</v>
      </c>
      <c r="K84" s="68" t="s">
        <v>1244</v>
      </c>
      <c r="L84" s="149">
        <v>12</v>
      </c>
      <c r="M84" s="149">
        <v>0</v>
      </c>
      <c r="N84" s="68" t="s">
        <v>680</v>
      </c>
      <c r="O84" s="216">
        <v>2</v>
      </c>
      <c r="P84" s="216">
        <v>1</v>
      </c>
      <c r="T84" s="218">
        <v>0.53</v>
      </c>
      <c r="U84" s="218">
        <v>0.53</v>
      </c>
      <c r="V84" s="218">
        <v>0.53</v>
      </c>
      <c r="W84" s="218">
        <v>0</v>
      </c>
      <c r="X84" s="218">
        <v>6.36</v>
      </c>
      <c r="AB84" s="216">
        <v>1</v>
      </c>
      <c r="AC84" s="216">
        <v>1</v>
      </c>
      <c r="AD84" s="216">
        <v>6</v>
      </c>
      <c r="AE84" s="216">
        <v>2026</v>
      </c>
    </row>
    <row r="85" spans="3:31">
      <c r="C85" s="216">
        <v>78</v>
      </c>
      <c r="D85" s="216">
        <v>6</v>
      </c>
      <c r="F85" s="216" t="s">
        <v>2175</v>
      </c>
      <c r="G85" s="217">
        <v>46176</v>
      </c>
      <c r="H85" s="216">
        <v>2</v>
      </c>
      <c r="I85" s="216">
        <v>69</v>
      </c>
      <c r="J85" s="216" t="s">
        <v>1235</v>
      </c>
      <c r="K85" s="68" t="s">
        <v>1236</v>
      </c>
      <c r="L85" s="149">
        <v>14</v>
      </c>
      <c r="M85" s="149">
        <v>0</v>
      </c>
      <c r="N85" s="68" t="s">
        <v>680</v>
      </c>
      <c r="O85" s="216">
        <v>2</v>
      </c>
      <c r="P85" s="216">
        <v>1</v>
      </c>
      <c r="T85" s="218">
        <v>0.25</v>
      </c>
      <c r="U85" s="218">
        <v>0.25</v>
      </c>
      <c r="V85" s="218">
        <v>0.25</v>
      </c>
      <c r="W85" s="218">
        <v>0</v>
      </c>
      <c r="X85" s="218">
        <v>3.5</v>
      </c>
      <c r="AB85" s="216">
        <v>1</v>
      </c>
      <c r="AC85" s="216">
        <v>1</v>
      </c>
      <c r="AD85" s="216">
        <v>6</v>
      </c>
      <c r="AE85" s="216">
        <v>2026</v>
      </c>
    </row>
    <row r="86" spans="3:31">
      <c r="C86" s="216">
        <v>79</v>
      </c>
      <c r="D86" s="216">
        <v>6</v>
      </c>
      <c r="F86" s="216" t="s">
        <v>2175</v>
      </c>
      <c r="G86" s="217">
        <v>46176</v>
      </c>
      <c r="H86" s="216">
        <v>2</v>
      </c>
      <c r="I86" s="216">
        <v>70</v>
      </c>
      <c r="J86" s="216" t="s">
        <v>907</v>
      </c>
      <c r="K86" s="68" t="s">
        <v>908</v>
      </c>
      <c r="L86" s="149">
        <v>8</v>
      </c>
      <c r="M86" s="149">
        <v>0</v>
      </c>
      <c r="N86" s="68" t="s">
        <v>680</v>
      </c>
      <c r="O86" s="216">
        <v>2</v>
      </c>
      <c r="P86" s="216">
        <v>1</v>
      </c>
      <c r="T86" s="218">
        <v>0.15</v>
      </c>
      <c r="U86" s="218">
        <v>0.15</v>
      </c>
      <c r="V86" s="218">
        <v>0.15</v>
      </c>
      <c r="W86" s="218">
        <v>0</v>
      </c>
      <c r="X86" s="218">
        <v>1.2</v>
      </c>
      <c r="AB86" s="216">
        <v>1</v>
      </c>
      <c r="AC86" s="216">
        <v>1</v>
      </c>
      <c r="AD86" s="216">
        <v>6</v>
      </c>
      <c r="AE86" s="216">
        <v>2026</v>
      </c>
    </row>
    <row r="87" spans="3:31">
      <c r="C87" s="216">
        <v>80</v>
      </c>
      <c r="D87" s="216">
        <v>6</v>
      </c>
      <c r="F87" s="216" t="s">
        <v>2175</v>
      </c>
      <c r="G87" s="217">
        <v>46176</v>
      </c>
      <c r="H87" s="216">
        <v>2</v>
      </c>
      <c r="I87" s="216">
        <v>71</v>
      </c>
      <c r="J87" s="216" t="s">
        <v>2011</v>
      </c>
      <c r="K87" s="68" t="s">
        <v>2012</v>
      </c>
      <c r="L87" s="149">
        <v>4</v>
      </c>
      <c r="M87" s="149">
        <v>0</v>
      </c>
      <c r="N87" s="68" t="s">
        <v>680</v>
      </c>
      <c r="O87" s="216">
        <v>2</v>
      </c>
      <c r="P87" s="216">
        <v>1</v>
      </c>
      <c r="T87" s="218">
        <v>0.11</v>
      </c>
      <c r="U87" s="218">
        <v>0.11</v>
      </c>
      <c r="V87" s="218">
        <v>0.11</v>
      </c>
      <c r="W87" s="218">
        <v>0</v>
      </c>
      <c r="X87" s="218">
        <v>0.44</v>
      </c>
      <c r="AB87" s="216">
        <v>1</v>
      </c>
      <c r="AC87" s="216">
        <v>1</v>
      </c>
      <c r="AD87" s="216">
        <v>6</v>
      </c>
      <c r="AE87" s="216">
        <v>2026</v>
      </c>
    </row>
    <row r="88" spans="3:31">
      <c r="C88" s="216">
        <v>81</v>
      </c>
      <c r="D88" s="216">
        <v>6</v>
      </c>
      <c r="F88" s="216" t="s">
        <v>2175</v>
      </c>
      <c r="G88" s="217">
        <v>46176</v>
      </c>
      <c r="H88" s="216">
        <v>2</v>
      </c>
      <c r="I88" s="216">
        <v>73</v>
      </c>
      <c r="J88" s="216" t="s">
        <v>1304</v>
      </c>
      <c r="K88" s="68" t="s">
        <v>1305</v>
      </c>
      <c r="L88" s="149">
        <v>2</v>
      </c>
      <c r="M88" s="149">
        <v>0</v>
      </c>
      <c r="N88" s="68" t="s">
        <v>680</v>
      </c>
      <c r="O88" s="216">
        <v>2</v>
      </c>
      <c r="P88" s="216">
        <v>1</v>
      </c>
      <c r="T88" s="218">
        <v>0.34</v>
      </c>
      <c r="U88" s="218">
        <v>0.34</v>
      </c>
      <c r="V88" s="218">
        <v>0.34</v>
      </c>
      <c r="W88" s="218">
        <v>0</v>
      </c>
      <c r="X88" s="218">
        <v>0.68</v>
      </c>
      <c r="AB88" s="216">
        <v>1</v>
      </c>
      <c r="AC88" s="216">
        <v>1</v>
      </c>
      <c r="AD88" s="216">
        <v>6</v>
      </c>
      <c r="AE88" s="216">
        <v>2026</v>
      </c>
    </row>
    <row r="89" spans="3:31">
      <c r="C89" s="216">
        <v>82</v>
      </c>
      <c r="D89" s="216">
        <v>6</v>
      </c>
      <c r="F89" s="216" t="s">
        <v>2175</v>
      </c>
      <c r="G89" s="217">
        <v>46176</v>
      </c>
      <c r="H89" s="216">
        <v>2</v>
      </c>
      <c r="I89" s="216">
        <v>74</v>
      </c>
      <c r="J89" s="216" t="s">
        <v>1368</v>
      </c>
      <c r="K89" s="68" t="s">
        <v>1369</v>
      </c>
      <c r="L89" s="149">
        <v>12</v>
      </c>
      <c r="M89" s="149">
        <v>0</v>
      </c>
      <c r="N89" s="68" t="s">
        <v>680</v>
      </c>
      <c r="O89" s="216">
        <v>2</v>
      </c>
      <c r="P89" s="216">
        <v>1</v>
      </c>
      <c r="T89" s="218">
        <v>0.19</v>
      </c>
      <c r="U89" s="218">
        <v>0.19</v>
      </c>
      <c r="V89" s="218">
        <v>0.19</v>
      </c>
      <c r="W89" s="218">
        <v>0</v>
      </c>
      <c r="X89" s="218">
        <v>2.2799999999999998</v>
      </c>
      <c r="AB89" s="216">
        <v>1</v>
      </c>
      <c r="AC89" s="216">
        <v>1</v>
      </c>
      <c r="AD89" s="216">
        <v>6</v>
      </c>
      <c r="AE89" s="216">
        <v>2026</v>
      </c>
    </row>
    <row r="90" spans="3:31">
      <c r="C90" s="216">
        <v>83</v>
      </c>
      <c r="D90" s="216">
        <v>7</v>
      </c>
      <c r="F90" s="216" t="s">
        <v>2191</v>
      </c>
      <c r="G90" s="217">
        <v>46176</v>
      </c>
      <c r="H90" s="216">
        <v>2</v>
      </c>
      <c r="I90" s="216">
        <v>75</v>
      </c>
      <c r="J90" s="216" t="s">
        <v>1382</v>
      </c>
      <c r="K90" s="68" t="s">
        <v>1383</v>
      </c>
      <c r="L90" s="149">
        <v>8</v>
      </c>
      <c r="M90" s="149">
        <v>0</v>
      </c>
      <c r="N90" s="68" t="s">
        <v>680</v>
      </c>
      <c r="O90" s="216">
        <v>2</v>
      </c>
      <c r="P90" s="216">
        <v>1</v>
      </c>
      <c r="T90" s="218">
        <v>0.13</v>
      </c>
      <c r="U90" s="218">
        <v>0.13</v>
      </c>
      <c r="V90" s="218">
        <v>0.13</v>
      </c>
      <c r="W90" s="218">
        <v>0</v>
      </c>
      <c r="X90" s="218">
        <v>1.04</v>
      </c>
      <c r="AB90" s="216">
        <v>1</v>
      </c>
      <c r="AC90" s="216">
        <v>1</v>
      </c>
      <c r="AD90" s="216">
        <v>6</v>
      </c>
      <c r="AE90" s="216">
        <v>2026</v>
      </c>
    </row>
    <row r="91" spans="3:31">
      <c r="C91" s="216">
        <v>84</v>
      </c>
      <c r="D91" s="216">
        <v>7</v>
      </c>
      <c r="F91" s="216" t="s">
        <v>2191</v>
      </c>
      <c r="G91" s="217">
        <v>46176</v>
      </c>
      <c r="H91" s="216">
        <v>2</v>
      </c>
      <c r="I91" s="216">
        <v>76</v>
      </c>
      <c r="J91" s="216" t="s">
        <v>1134</v>
      </c>
      <c r="K91" s="68" t="s">
        <v>1135</v>
      </c>
      <c r="L91" s="149">
        <v>12</v>
      </c>
      <c r="M91" s="149">
        <v>0</v>
      </c>
      <c r="N91" s="68" t="s">
        <v>2194</v>
      </c>
      <c r="O91" s="216">
        <v>52</v>
      </c>
      <c r="P91" s="216">
        <v>1</v>
      </c>
      <c r="T91" s="218">
        <v>1.35</v>
      </c>
      <c r="U91" s="218">
        <v>1.35</v>
      </c>
      <c r="V91" s="218">
        <v>1.35</v>
      </c>
      <c r="W91" s="218">
        <v>0</v>
      </c>
      <c r="X91" s="218">
        <v>16.2</v>
      </c>
      <c r="AB91" s="216">
        <v>1</v>
      </c>
      <c r="AC91" s="216">
        <v>1</v>
      </c>
      <c r="AD91" s="216">
        <v>6</v>
      </c>
      <c r="AE91" s="216">
        <v>2026</v>
      </c>
    </row>
    <row r="92" spans="3:31">
      <c r="C92" s="216">
        <v>85</v>
      </c>
      <c r="D92" s="216">
        <v>7</v>
      </c>
      <c r="F92" s="216" t="s">
        <v>2191</v>
      </c>
      <c r="G92" s="217">
        <v>46176</v>
      </c>
      <c r="H92" s="216">
        <v>2</v>
      </c>
      <c r="I92" s="216">
        <v>77</v>
      </c>
      <c r="J92" s="216" t="s">
        <v>2034</v>
      </c>
      <c r="K92" s="68" t="s">
        <v>2035</v>
      </c>
      <c r="L92" s="149">
        <v>2</v>
      </c>
      <c r="M92" s="149">
        <v>0</v>
      </c>
      <c r="N92" s="68" t="s">
        <v>2196</v>
      </c>
      <c r="O92" s="216">
        <v>45</v>
      </c>
      <c r="P92" s="216">
        <v>1</v>
      </c>
      <c r="T92" s="218">
        <v>8.8000000000000007</v>
      </c>
      <c r="U92" s="218">
        <v>8.8000000000000007</v>
      </c>
      <c r="V92" s="218">
        <v>8.8000000000000007</v>
      </c>
      <c r="W92" s="218">
        <v>0</v>
      </c>
      <c r="X92" s="218">
        <v>17.600000000000001</v>
      </c>
      <c r="AB92" s="216">
        <v>1</v>
      </c>
      <c r="AC92" s="216">
        <v>1</v>
      </c>
      <c r="AD92" s="216">
        <v>6</v>
      </c>
      <c r="AE92" s="216">
        <v>2026</v>
      </c>
    </row>
    <row r="93" spans="3:31">
      <c r="C93" s="216">
        <v>86</v>
      </c>
      <c r="D93" s="216">
        <v>7</v>
      </c>
      <c r="F93" s="216" t="s">
        <v>2191</v>
      </c>
      <c r="G93" s="217">
        <v>46176</v>
      </c>
      <c r="H93" s="216">
        <v>2</v>
      </c>
      <c r="I93" s="216">
        <v>79</v>
      </c>
      <c r="J93" s="216" t="s">
        <v>2028</v>
      </c>
      <c r="K93" s="68" t="s">
        <v>2029</v>
      </c>
      <c r="L93" s="149">
        <v>2</v>
      </c>
      <c r="M93" s="149">
        <v>0</v>
      </c>
      <c r="N93" s="68" t="s">
        <v>2196</v>
      </c>
      <c r="O93" s="216">
        <v>45</v>
      </c>
      <c r="P93" s="216">
        <v>1</v>
      </c>
      <c r="T93" s="218">
        <v>5</v>
      </c>
      <c r="U93" s="218">
        <v>5</v>
      </c>
      <c r="V93" s="218">
        <v>5</v>
      </c>
      <c r="W93" s="218">
        <v>0</v>
      </c>
      <c r="X93" s="218">
        <v>10</v>
      </c>
      <c r="AB93" s="216">
        <v>1</v>
      </c>
      <c r="AC93" s="216">
        <v>1</v>
      </c>
      <c r="AD93" s="216">
        <v>6</v>
      </c>
      <c r="AE93" s="216">
        <v>2026</v>
      </c>
    </row>
    <row r="94" spans="3:31">
      <c r="C94" s="216">
        <v>87</v>
      </c>
      <c r="D94" s="216">
        <v>7</v>
      </c>
      <c r="F94" s="216" t="s">
        <v>2191</v>
      </c>
      <c r="G94" s="217">
        <v>46176</v>
      </c>
      <c r="H94" s="216">
        <v>2</v>
      </c>
      <c r="I94" s="216">
        <v>90</v>
      </c>
      <c r="J94" s="216" t="s">
        <v>1140</v>
      </c>
      <c r="K94" s="68" t="s">
        <v>1141</v>
      </c>
      <c r="L94" s="149">
        <v>16</v>
      </c>
      <c r="M94" s="149">
        <v>0</v>
      </c>
      <c r="N94" s="68" t="s">
        <v>680</v>
      </c>
      <c r="O94" s="216">
        <v>2</v>
      </c>
      <c r="P94" s="216">
        <v>100</v>
      </c>
      <c r="T94" s="218">
        <v>0.18</v>
      </c>
      <c r="U94" s="218">
        <v>0.18</v>
      </c>
      <c r="V94" s="218">
        <v>0.18</v>
      </c>
      <c r="W94" s="218">
        <v>0</v>
      </c>
      <c r="X94" s="218">
        <v>2.88</v>
      </c>
      <c r="AB94" s="216">
        <v>1</v>
      </c>
      <c r="AC94" s="216">
        <v>1</v>
      </c>
      <c r="AD94" s="216">
        <v>6</v>
      </c>
      <c r="AE94" s="216">
        <v>2026</v>
      </c>
    </row>
    <row r="95" spans="3:31">
      <c r="C95" s="216">
        <v>88</v>
      </c>
      <c r="D95" s="216">
        <v>7</v>
      </c>
      <c r="F95" s="216" t="s">
        <v>2191</v>
      </c>
      <c r="G95" s="217">
        <v>46176</v>
      </c>
      <c r="H95" s="216">
        <v>2</v>
      </c>
      <c r="I95" s="216">
        <v>92</v>
      </c>
      <c r="J95" s="216" t="s">
        <v>1314</v>
      </c>
      <c r="K95" s="68" t="s">
        <v>1315</v>
      </c>
      <c r="L95" s="149">
        <v>40</v>
      </c>
      <c r="M95" s="149">
        <v>0</v>
      </c>
      <c r="N95" s="68" t="s">
        <v>2194</v>
      </c>
      <c r="O95" s="216">
        <v>52</v>
      </c>
      <c r="P95" s="216">
        <v>1</v>
      </c>
      <c r="T95" s="218">
        <v>0.78</v>
      </c>
      <c r="U95" s="218">
        <v>0.78</v>
      </c>
      <c r="V95" s="218">
        <v>0.78</v>
      </c>
      <c r="W95" s="218">
        <v>0</v>
      </c>
      <c r="X95" s="218">
        <v>31.2</v>
      </c>
      <c r="AB95" s="216">
        <v>1</v>
      </c>
      <c r="AC95" s="216">
        <v>1</v>
      </c>
      <c r="AD95" s="216">
        <v>6</v>
      </c>
      <c r="AE95" s="216">
        <v>2026</v>
      </c>
    </row>
    <row r="96" spans="3:31">
      <c r="C96" s="216">
        <v>89</v>
      </c>
      <c r="D96" s="216">
        <v>7</v>
      </c>
      <c r="F96" s="216" t="s">
        <v>2191</v>
      </c>
      <c r="G96" s="217">
        <v>46176</v>
      </c>
      <c r="H96" s="216">
        <v>2</v>
      </c>
      <c r="I96" s="216">
        <v>94</v>
      </c>
      <c r="J96" s="216" t="s">
        <v>1324</v>
      </c>
      <c r="K96" s="68" t="s">
        <v>1325</v>
      </c>
      <c r="L96" s="149">
        <v>82</v>
      </c>
      <c r="M96" s="149">
        <v>0</v>
      </c>
      <c r="N96" s="68" t="s">
        <v>680</v>
      </c>
      <c r="O96" s="216">
        <v>2</v>
      </c>
      <c r="P96" s="216">
        <v>180</v>
      </c>
      <c r="T96" s="218">
        <v>0.1</v>
      </c>
      <c r="U96" s="218">
        <v>0.1</v>
      </c>
      <c r="V96" s="218">
        <v>0.1</v>
      </c>
      <c r="W96" s="218">
        <v>0</v>
      </c>
      <c r="X96" s="218">
        <v>8.1999999999999993</v>
      </c>
      <c r="AB96" s="216">
        <v>1</v>
      </c>
      <c r="AC96" s="216">
        <v>1</v>
      </c>
      <c r="AD96" s="216">
        <v>6</v>
      </c>
      <c r="AE96" s="216">
        <v>2026</v>
      </c>
    </row>
    <row r="97" spans="3:31">
      <c r="C97" s="216">
        <v>90</v>
      </c>
      <c r="D97" s="216">
        <v>7</v>
      </c>
      <c r="F97" s="216" t="s">
        <v>2191</v>
      </c>
      <c r="G97" s="217">
        <v>46176</v>
      </c>
      <c r="H97" s="216">
        <v>2</v>
      </c>
      <c r="I97" s="216">
        <v>96</v>
      </c>
      <c r="J97" s="216" t="s">
        <v>633</v>
      </c>
      <c r="K97" s="68" t="s">
        <v>634</v>
      </c>
      <c r="L97" s="149">
        <v>34</v>
      </c>
      <c r="M97" s="149">
        <v>0</v>
      </c>
      <c r="N97" s="68" t="s">
        <v>680</v>
      </c>
      <c r="O97" s="216">
        <v>2</v>
      </c>
      <c r="P97" s="216">
        <v>12</v>
      </c>
      <c r="T97" s="218">
        <v>0.27</v>
      </c>
      <c r="U97" s="218">
        <v>0.27</v>
      </c>
      <c r="V97" s="218">
        <v>0.27</v>
      </c>
      <c r="W97" s="218">
        <v>0</v>
      </c>
      <c r="X97" s="218">
        <v>9.18</v>
      </c>
      <c r="AB97" s="216">
        <v>1</v>
      </c>
      <c r="AC97" s="216">
        <v>1</v>
      </c>
      <c r="AD97" s="216">
        <v>6</v>
      </c>
      <c r="AE97" s="216">
        <v>2026</v>
      </c>
    </row>
    <row r="98" spans="3:31">
      <c r="C98" s="216">
        <v>91</v>
      </c>
      <c r="D98" s="216">
        <v>7</v>
      </c>
      <c r="F98" s="216" t="s">
        <v>2191</v>
      </c>
      <c r="G98" s="217">
        <v>46176</v>
      </c>
      <c r="H98" s="216">
        <v>2</v>
      </c>
      <c r="I98" s="216">
        <v>97</v>
      </c>
      <c r="J98" s="216" t="s">
        <v>638</v>
      </c>
      <c r="K98" s="68" t="s">
        <v>639</v>
      </c>
      <c r="L98" s="149">
        <v>8</v>
      </c>
      <c r="M98" s="149">
        <v>0</v>
      </c>
      <c r="N98" s="68" t="s">
        <v>680</v>
      </c>
      <c r="O98" s="216">
        <v>2</v>
      </c>
      <c r="P98" s="216">
        <v>12</v>
      </c>
      <c r="T98" s="218">
        <v>0.3</v>
      </c>
      <c r="U98" s="218">
        <v>0.3</v>
      </c>
      <c r="V98" s="218">
        <v>0.3</v>
      </c>
      <c r="W98" s="218">
        <v>0</v>
      </c>
      <c r="X98" s="218">
        <v>2.4</v>
      </c>
      <c r="AB98" s="216">
        <v>1</v>
      </c>
      <c r="AC98" s="216">
        <v>1</v>
      </c>
      <c r="AD98" s="216">
        <v>6</v>
      </c>
      <c r="AE98" s="216">
        <v>2026</v>
      </c>
    </row>
    <row r="99" spans="3:31">
      <c r="C99" s="216">
        <v>92</v>
      </c>
      <c r="D99" s="216">
        <v>7</v>
      </c>
      <c r="F99" s="216" t="s">
        <v>2191</v>
      </c>
      <c r="G99" s="217">
        <v>46176</v>
      </c>
      <c r="H99" s="216">
        <v>2</v>
      </c>
      <c r="I99" s="216">
        <v>99</v>
      </c>
      <c r="J99" s="216" t="s">
        <v>884</v>
      </c>
      <c r="K99" s="68" t="s">
        <v>885</v>
      </c>
      <c r="L99" s="149">
        <v>10</v>
      </c>
      <c r="M99" s="149">
        <v>0</v>
      </c>
      <c r="N99" s="68" t="s">
        <v>680</v>
      </c>
      <c r="O99" s="216">
        <v>2</v>
      </c>
      <c r="P99" s="216">
        <v>20</v>
      </c>
      <c r="T99" s="218">
        <v>0.24</v>
      </c>
      <c r="U99" s="218">
        <v>0.24</v>
      </c>
      <c r="V99" s="218">
        <v>0.24</v>
      </c>
      <c r="W99" s="218">
        <v>0</v>
      </c>
      <c r="X99" s="218">
        <v>2.4</v>
      </c>
      <c r="AB99" s="216">
        <v>1</v>
      </c>
      <c r="AC99" s="216">
        <v>1</v>
      </c>
      <c r="AD99" s="216">
        <v>6</v>
      </c>
      <c r="AE99" s="216">
        <v>2026</v>
      </c>
    </row>
    <row r="100" spans="3:31">
      <c r="C100" s="216">
        <v>93</v>
      </c>
      <c r="D100" s="216">
        <v>7</v>
      </c>
      <c r="F100" s="216" t="s">
        <v>2191</v>
      </c>
      <c r="G100" s="217">
        <v>46176</v>
      </c>
      <c r="H100" s="216">
        <v>2</v>
      </c>
      <c r="I100" s="216">
        <v>103</v>
      </c>
      <c r="J100" s="216" t="s">
        <v>1025</v>
      </c>
      <c r="K100" s="68" t="s">
        <v>1026</v>
      </c>
      <c r="L100" s="149">
        <v>6</v>
      </c>
      <c r="M100" s="149">
        <v>0</v>
      </c>
      <c r="N100" s="68" t="s">
        <v>680</v>
      </c>
      <c r="O100" s="216">
        <v>2</v>
      </c>
      <c r="P100" s="216">
        <v>12</v>
      </c>
      <c r="T100" s="218">
        <v>0.75</v>
      </c>
      <c r="U100" s="218">
        <v>0.75</v>
      </c>
      <c r="V100" s="218">
        <v>0.75</v>
      </c>
      <c r="W100" s="218">
        <v>0</v>
      </c>
      <c r="X100" s="218">
        <v>4.5</v>
      </c>
      <c r="AB100" s="216">
        <v>1</v>
      </c>
      <c r="AC100" s="216">
        <v>1</v>
      </c>
      <c r="AD100" s="216">
        <v>6</v>
      </c>
      <c r="AE100" s="216">
        <v>2026</v>
      </c>
    </row>
    <row r="101" spans="3:31">
      <c r="C101" s="216">
        <v>94</v>
      </c>
      <c r="D101" s="216">
        <v>7</v>
      </c>
      <c r="F101" s="216" t="s">
        <v>2191</v>
      </c>
      <c r="G101" s="217">
        <v>46176</v>
      </c>
      <c r="H101" s="216">
        <v>2</v>
      </c>
      <c r="I101" s="216">
        <v>105</v>
      </c>
      <c r="J101" s="216" t="s">
        <v>592</v>
      </c>
      <c r="K101" s="68" t="s">
        <v>593</v>
      </c>
      <c r="L101" s="149">
        <v>4</v>
      </c>
      <c r="M101" s="149">
        <v>0</v>
      </c>
      <c r="N101" s="68" t="s">
        <v>680</v>
      </c>
      <c r="O101" s="216">
        <v>2</v>
      </c>
      <c r="P101" s="216">
        <v>12</v>
      </c>
      <c r="T101" s="218">
        <v>1.1000000000000001</v>
      </c>
      <c r="U101" s="218">
        <v>1.1000000000000001</v>
      </c>
      <c r="V101" s="218">
        <v>1.1000000000000001</v>
      </c>
      <c r="W101" s="218">
        <v>0</v>
      </c>
      <c r="X101" s="218">
        <v>4.4000000000000004</v>
      </c>
      <c r="AB101" s="216">
        <v>1</v>
      </c>
      <c r="AC101" s="216">
        <v>1</v>
      </c>
      <c r="AD101" s="216">
        <v>6</v>
      </c>
      <c r="AE101" s="216">
        <v>2026</v>
      </c>
    </row>
    <row r="102" spans="3:31">
      <c r="C102" s="216">
        <v>95</v>
      </c>
      <c r="D102" s="216">
        <v>7</v>
      </c>
      <c r="F102" s="216" t="s">
        <v>2191</v>
      </c>
      <c r="G102" s="217">
        <v>46176</v>
      </c>
      <c r="H102" s="216">
        <v>2</v>
      </c>
      <c r="I102" s="216">
        <v>108</v>
      </c>
      <c r="J102" s="216" t="s">
        <v>1010</v>
      </c>
      <c r="K102" s="68" t="s">
        <v>1011</v>
      </c>
      <c r="L102" s="149">
        <v>44</v>
      </c>
      <c r="M102" s="149">
        <v>0</v>
      </c>
      <c r="N102" s="68" t="s">
        <v>680</v>
      </c>
      <c r="O102" s="216">
        <v>2</v>
      </c>
      <c r="P102" s="216">
        <v>1</v>
      </c>
      <c r="T102" s="218">
        <v>2.7</v>
      </c>
      <c r="U102" s="218">
        <v>2.7</v>
      </c>
      <c r="V102" s="218">
        <v>2.7</v>
      </c>
      <c r="W102" s="218">
        <v>0</v>
      </c>
      <c r="X102" s="218">
        <v>118.8</v>
      </c>
      <c r="AB102" s="216">
        <v>1</v>
      </c>
      <c r="AC102" s="216">
        <v>1</v>
      </c>
      <c r="AD102" s="216">
        <v>6</v>
      </c>
      <c r="AE102" s="216">
        <v>2026</v>
      </c>
    </row>
    <row r="103" spans="3:31">
      <c r="C103" s="216">
        <v>96</v>
      </c>
      <c r="D103" s="216">
        <v>7</v>
      </c>
      <c r="F103" s="216" t="s">
        <v>2191</v>
      </c>
      <c r="G103" s="217">
        <v>46176</v>
      </c>
      <c r="H103" s="216">
        <v>2</v>
      </c>
      <c r="I103" s="216">
        <v>112</v>
      </c>
      <c r="J103" s="216" t="s">
        <v>2068</v>
      </c>
      <c r="K103" s="68" t="s">
        <v>2069</v>
      </c>
      <c r="L103" s="149">
        <v>2</v>
      </c>
      <c r="M103" s="149">
        <v>0</v>
      </c>
      <c r="N103" s="68" t="s">
        <v>680</v>
      </c>
      <c r="O103" s="216">
        <v>2</v>
      </c>
      <c r="P103" s="216">
        <v>1</v>
      </c>
      <c r="T103" s="218">
        <v>2.6</v>
      </c>
      <c r="U103" s="218">
        <v>2.6</v>
      </c>
      <c r="V103" s="218">
        <v>2.6</v>
      </c>
      <c r="W103" s="218">
        <v>0</v>
      </c>
      <c r="X103" s="218">
        <v>5.2</v>
      </c>
      <c r="AB103" s="216">
        <v>1</v>
      </c>
      <c r="AC103" s="216">
        <v>1</v>
      </c>
      <c r="AD103" s="216">
        <v>6</v>
      </c>
      <c r="AE103" s="216">
        <v>2026</v>
      </c>
    </row>
    <row r="104" spans="3:31">
      <c r="C104" s="216">
        <v>97</v>
      </c>
      <c r="D104" s="216">
        <v>8</v>
      </c>
      <c r="F104" s="216" t="s">
        <v>2209</v>
      </c>
      <c r="G104" s="217">
        <v>46179</v>
      </c>
      <c r="H104" s="216">
        <v>2</v>
      </c>
      <c r="I104" s="216">
        <v>131</v>
      </c>
      <c r="J104" s="216" t="s">
        <v>1156</v>
      </c>
      <c r="K104" s="68" t="s">
        <v>1157</v>
      </c>
      <c r="L104" s="149">
        <v>2</v>
      </c>
      <c r="M104" s="149">
        <v>0</v>
      </c>
      <c r="N104" s="68" t="s">
        <v>680</v>
      </c>
      <c r="O104" s="216">
        <v>2</v>
      </c>
      <c r="P104" s="216">
        <v>1</v>
      </c>
      <c r="T104" s="218">
        <v>0.7</v>
      </c>
      <c r="U104" s="218">
        <v>0.7</v>
      </c>
      <c r="V104" s="218">
        <v>0.7</v>
      </c>
      <c r="W104" s="218">
        <v>0</v>
      </c>
      <c r="X104" s="218">
        <v>1.4</v>
      </c>
      <c r="AB104" s="216">
        <v>1</v>
      </c>
      <c r="AC104" s="216">
        <v>1</v>
      </c>
      <c r="AD104" s="216">
        <v>6</v>
      </c>
      <c r="AE104" s="216">
        <v>2026</v>
      </c>
    </row>
    <row r="105" spans="3:31">
      <c r="C105" s="216">
        <v>98</v>
      </c>
      <c r="D105" s="216">
        <v>8</v>
      </c>
      <c r="F105" s="216" t="s">
        <v>2209</v>
      </c>
      <c r="G105" s="217">
        <v>46179</v>
      </c>
      <c r="H105" s="216">
        <v>2</v>
      </c>
      <c r="I105" s="216">
        <v>136</v>
      </c>
      <c r="J105" s="216" t="s">
        <v>2123</v>
      </c>
      <c r="K105" s="68" t="s">
        <v>2124</v>
      </c>
      <c r="L105" s="149">
        <v>4</v>
      </c>
      <c r="M105" s="149">
        <v>0</v>
      </c>
      <c r="N105" s="68" t="s">
        <v>680</v>
      </c>
      <c r="O105" s="216">
        <v>2</v>
      </c>
      <c r="P105" s="216">
        <v>1</v>
      </c>
      <c r="T105" s="218">
        <v>0.38</v>
      </c>
      <c r="U105" s="218">
        <v>0.38</v>
      </c>
      <c r="V105" s="218">
        <v>0.38</v>
      </c>
      <c r="W105" s="218">
        <v>0</v>
      </c>
      <c r="X105" s="218">
        <v>1.52</v>
      </c>
      <c r="AB105" s="216">
        <v>1</v>
      </c>
      <c r="AC105" s="216">
        <v>1</v>
      </c>
      <c r="AD105" s="216">
        <v>6</v>
      </c>
      <c r="AE105" s="216">
        <v>2026</v>
      </c>
    </row>
    <row r="106" spans="3:31">
      <c r="C106" s="216">
        <v>99</v>
      </c>
      <c r="D106" s="216">
        <v>8</v>
      </c>
      <c r="F106" s="216" t="s">
        <v>2209</v>
      </c>
      <c r="G106" s="217">
        <v>46179</v>
      </c>
      <c r="H106" s="216">
        <v>2</v>
      </c>
      <c r="I106" s="216">
        <v>142</v>
      </c>
      <c r="J106" s="216" t="s">
        <v>799</v>
      </c>
      <c r="K106" s="68" t="s">
        <v>800</v>
      </c>
      <c r="L106" s="149">
        <v>14</v>
      </c>
      <c r="M106" s="149">
        <v>0</v>
      </c>
      <c r="N106" s="68" t="s">
        <v>680</v>
      </c>
      <c r="O106" s="216">
        <v>2</v>
      </c>
      <c r="P106" s="216">
        <v>12</v>
      </c>
      <c r="T106" s="218">
        <v>0.34</v>
      </c>
      <c r="U106" s="218">
        <v>0.34</v>
      </c>
      <c r="V106" s="218">
        <v>0.34</v>
      </c>
      <c r="W106" s="218">
        <v>0</v>
      </c>
      <c r="X106" s="218">
        <v>4.76</v>
      </c>
      <c r="AB106" s="216">
        <v>1</v>
      </c>
      <c r="AC106" s="216">
        <v>1</v>
      </c>
      <c r="AD106" s="216">
        <v>6</v>
      </c>
      <c r="AE106" s="216">
        <v>2026</v>
      </c>
    </row>
    <row r="107" spans="3:31">
      <c r="C107" s="216">
        <v>100</v>
      </c>
      <c r="D107" s="216">
        <v>8</v>
      </c>
      <c r="F107" s="216" t="s">
        <v>2209</v>
      </c>
      <c r="G107" s="217">
        <v>46179</v>
      </c>
      <c r="H107" s="216">
        <v>2</v>
      </c>
      <c r="I107" s="216">
        <v>144</v>
      </c>
      <c r="J107" s="216" t="s">
        <v>997</v>
      </c>
      <c r="K107" s="68" t="s">
        <v>998</v>
      </c>
      <c r="L107" s="149">
        <v>30</v>
      </c>
      <c r="M107" s="149">
        <v>0</v>
      </c>
      <c r="N107" s="68" t="s">
        <v>680</v>
      </c>
      <c r="O107" s="216">
        <v>2</v>
      </c>
      <c r="P107" s="216">
        <v>50</v>
      </c>
      <c r="T107" s="218">
        <v>0.3</v>
      </c>
      <c r="U107" s="218">
        <v>0.3</v>
      </c>
      <c r="V107" s="218">
        <v>0.3</v>
      </c>
      <c r="W107" s="218">
        <v>0</v>
      </c>
      <c r="X107" s="218">
        <v>9</v>
      </c>
      <c r="AB107" s="216">
        <v>1</v>
      </c>
      <c r="AC107" s="216">
        <v>1</v>
      </c>
      <c r="AD107" s="216">
        <v>6</v>
      </c>
      <c r="AE107" s="216">
        <v>2026</v>
      </c>
    </row>
    <row r="108" spans="3:31">
      <c r="C108" s="216">
        <v>101</v>
      </c>
      <c r="D108" s="216">
        <v>8</v>
      </c>
      <c r="F108" s="216" t="s">
        <v>2209</v>
      </c>
      <c r="G108" s="217">
        <v>46179</v>
      </c>
      <c r="H108" s="216">
        <v>2</v>
      </c>
      <c r="I108" s="216">
        <v>145</v>
      </c>
      <c r="J108" s="216" t="s">
        <v>824</v>
      </c>
      <c r="K108" s="68" t="s">
        <v>825</v>
      </c>
      <c r="L108" s="149">
        <v>20</v>
      </c>
      <c r="M108" s="149">
        <v>0</v>
      </c>
      <c r="N108" s="68" t="s">
        <v>680</v>
      </c>
      <c r="O108" s="216">
        <v>2</v>
      </c>
      <c r="P108" s="216">
        <v>12</v>
      </c>
      <c r="T108" s="218">
        <v>0.28999999999999998</v>
      </c>
      <c r="U108" s="218">
        <v>0.28999999999999998</v>
      </c>
      <c r="V108" s="218">
        <v>0.28999999999999998</v>
      </c>
      <c r="W108" s="218">
        <v>0</v>
      </c>
      <c r="X108" s="218">
        <v>5.8</v>
      </c>
      <c r="AB108" s="216">
        <v>1</v>
      </c>
      <c r="AC108" s="216">
        <v>1</v>
      </c>
      <c r="AD108" s="216">
        <v>6</v>
      </c>
      <c r="AE108" s="216">
        <v>2026</v>
      </c>
    </row>
    <row r="109" spans="3:31">
      <c r="C109" s="216">
        <v>102</v>
      </c>
      <c r="D109" s="216">
        <v>8</v>
      </c>
      <c r="F109" s="216" t="s">
        <v>2209</v>
      </c>
      <c r="G109" s="217">
        <v>46179</v>
      </c>
      <c r="H109" s="216">
        <v>2</v>
      </c>
      <c r="I109" s="216">
        <v>146</v>
      </c>
      <c r="J109" s="216" t="s">
        <v>1930</v>
      </c>
      <c r="K109" s="68" t="s">
        <v>1931</v>
      </c>
      <c r="L109" s="149">
        <v>10</v>
      </c>
      <c r="M109" s="149">
        <v>0</v>
      </c>
      <c r="N109" s="68" t="s">
        <v>680</v>
      </c>
      <c r="O109" s="216">
        <v>2</v>
      </c>
      <c r="P109" s="216">
        <v>1</v>
      </c>
      <c r="T109" s="218">
        <v>0.04</v>
      </c>
      <c r="U109" s="218">
        <v>0.04</v>
      </c>
      <c r="V109" s="218">
        <v>0.04</v>
      </c>
      <c r="W109" s="218">
        <v>0</v>
      </c>
      <c r="X109" s="218">
        <v>0.4</v>
      </c>
      <c r="AB109" s="216">
        <v>1</v>
      </c>
      <c r="AC109" s="216">
        <v>1</v>
      </c>
      <c r="AD109" s="216">
        <v>6</v>
      </c>
      <c r="AE109" s="216">
        <v>2026</v>
      </c>
    </row>
    <row r="110" spans="3:31">
      <c r="C110" s="216">
        <v>103</v>
      </c>
      <c r="D110" s="216">
        <v>8</v>
      </c>
      <c r="F110" s="216" t="s">
        <v>2209</v>
      </c>
      <c r="G110" s="217">
        <v>46179</v>
      </c>
      <c r="H110" s="216">
        <v>2</v>
      </c>
      <c r="I110" s="216">
        <v>150</v>
      </c>
      <c r="J110" s="216" t="s">
        <v>1406</v>
      </c>
      <c r="K110" s="68" t="s">
        <v>1407</v>
      </c>
      <c r="L110" s="149">
        <v>88</v>
      </c>
      <c r="M110" s="149">
        <v>0</v>
      </c>
      <c r="N110" s="68" t="s">
        <v>2217</v>
      </c>
      <c r="O110" s="216">
        <v>8</v>
      </c>
      <c r="P110" s="216">
        <v>12</v>
      </c>
      <c r="T110" s="218">
        <v>0.13</v>
      </c>
      <c r="U110" s="218">
        <v>0.13</v>
      </c>
      <c r="V110" s="218">
        <v>0.13</v>
      </c>
      <c r="W110" s="218">
        <v>0</v>
      </c>
      <c r="X110" s="218">
        <v>11.44</v>
      </c>
      <c r="AB110" s="216">
        <v>1</v>
      </c>
      <c r="AC110" s="216">
        <v>1</v>
      </c>
      <c r="AD110" s="216">
        <v>6</v>
      </c>
      <c r="AE110" s="216">
        <v>2026</v>
      </c>
    </row>
    <row r="111" spans="3:31">
      <c r="C111" s="216">
        <v>104</v>
      </c>
      <c r="D111" s="216">
        <v>8</v>
      </c>
      <c r="F111" s="216" t="s">
        <v>2209</v>
      </c>
      <c r="G111" s="217">
        <v>46179</v>
      </c>
      <c r="H111" s="216">
        <v>2</v>
      </c>
      <c r="I111" s="216">
        <v>153</v>
      </c>
      <c r="J111" s="216" t="s">
        <v>555</v>
      </c>
      <c r="K111" s="68" t="s">
        <v>2219</v>
      </c>
      <c r="L111" s="149">
        <v>14</v>
      </c>
      <c r="M111" s="149">
        <v>0</v>
      </c>
      <c r="N111" s="68" t="s">
        <v>680</v>
      </c>
      <c r="O111" s="216">
        <v>2</v>
      </c>
      <c r="P111" s="216">
        <v>12</v>
      </c>
      <c r="T111" s="218">
        <v>3.3</v>
      </c>
      <c r="U111" s="218">
        <v>3.3</v>
      </c>
      <c r="V111" s="218">
        <v>3.3</v>
      </c>
      <c r="W111" s="218">
        <v>0</v>
      </c>
      <c r="X111" s="218">
        <v>46.2</v>
      </c>
      <c r="AB111" s="216">
        <v>1</v>
      </c>
      <c r="AC111" s="216">
        <v>1</v>
      </c>
      <c r="AD111" s="216">
        <v>6</v>
      </c>
      <c r="AE111" s="216">
        <v>2026</v>
      </c>
    </row>
    <row r="112" spans="3:31">
      <c r="C112" s="216">
        <v>105</v>
      </c>
      <c r="D112" s="216">
        <v>8</v>
      </c>
      <c r="F112" s="216" t="s">
        <v>2209</v>
      </c>
      <c r="G112" s="217">
        <v>46179</v>
      </c>
      <c r="H112" s="216">
        <v>2</v>
      </c>
      <c r="I112" s="216">
        <v>156</v>
      </c>
      <c r="J112" s="216" t="s">
        <v>736</v>
      </c>
      <c r="K112" s="68" t="s">
        <v>2221</v>
      </c>
      <c r="L112" s="149">
        <v>4</v>
      </c>
      <c r="M112" s="149">
        <v>0</v>
      </c>
      <c r="N112" s="68" t="s">
        <v>734</v>
      </c>
      <c r="O112" s="216">
        <v>9</v>
      </c>
      <c r="P112" s="216">
        <v>12</v>
      </c>
      <c r="T112" s="218">
        <v>4.41</v>
      </c>
      <c r="U112" s="218">
        <v>4.41</v>
      </c>
      <c r="V112" s="218">
        <v>4.41</v>
      </c>
      <c r="W112" s="218">
        <v>0</v>
      </c>
      <c r="X112" s="218">
        <v>17.64</v>
      </c>
      <c r="AB112" s="216">
        <v>1</v>
      </c>
      <c r="AC112" s="216">
        <v>1</v>
      </c>
      <c r="AD112" s="216">
        <v>6</v>
      </c>
      <c r="AE112" s="216">
        <v>2026</v>
      </c>
    </row>
    <row r="113" spans="3:31">
      <c r="C113" s="216">
        <v>106</v>
      </c>
      <c r="D113" s="216">
        <v>8</v>
      </c>
      <c r="F113" s="216" t="s">
        <v>2209</v>
      </c>
      <c r="G113" s="217">
        <v>46179</v>
      </c>
      <c r="H113" s="216">
        <v>2</v>
      </c>
      <c r="I113" s="216">
        <v>158</v>
      </c>
      <c r="J113" s="216" t="s">
        <v>1703</v>
      </c>
      <c r="K113" s="68" t="s">
        <v>2223</v>
      </c>
      <c r="L113" s="149">
        <v>2</v>
      </c>
      <c r="M113" s="149">
        <v>0</v>
      </c>
      <c r="N113" s="68" t="s">
        <v>744</v>
      </c>
      <c r="O113" s="216">
        <v>27</v>
      </c>
      <c r="P113" s="216">
        <v>1</v>
      </c>
      <c r="T113" s="218">
        <v>53</v>
      </c>
      <c r="U113" s="218">
        <v>53</v>
      </c>
      <c r="V113" s="218">
        <v>53</v>
      </c>
      <c r="W113" s="218">
        <v>0</v>
      </c>
      <c r="X113" s="218">
        <v>106</v>
      </c>
      <c r="AB113" s="216">
        <v>1</v>
      </c>
      <c r="AC113" s="216">
        <v>1</v>
      </c>
      <c r="AD113" s="216">
        <v>6</v>
      </c>
      <c r="AE113" s="216">
        <v>2026</v>
      </c>
    </row>
    <row r="114" spans="3:31">
      <c r="C114" s="216">
        <v>107</v>
      </c>
      <c r="D114" s="216">
        <v>8</v>
      </c>
      <c r="F114" s="216" t="s">
        <v>2209</v>
      </c>
      <c r="G114" s="217">
        <v>46179</v>
      </c>
      <c r="H114" s="216">
        <v>2</v>
      </c>
      <c r="I114" s="216">
        <v>160</v>
      </c>
      <c r="J114" s="216" t="s">
        <v>739</v>
      </c>
      <c r="K114" s="68" t="s">
        <v>2225</v>
      </c>
      <c r="L114" s="149">
        <v>2</v>
      </c>
      <c r="M114" s="149">
        <v>0</v>
      </c>
      <c r="N114" s="68" t="s">
        <v>2226</v>
      </c>
      <c r="O114" s="216">
        <v>42</v>
      </c>
      <c r="P114" s="216">
        <v>1</v>
      </c>
      <c r="T114" s="218">
        <v>47</v>
      </c>
      <c r="U114" s="218">
        <v>47</v>
      </c>
      <c r="V114" s="218">
        <v>47</v>
      </c>
      <c r="W114" s="218">
        <v>0</v>
      </c>
      <c r="X114" s="218">
        <v>94</v>
      </c>
      <c r="AB114" s="216">
        <v>1</v>
      </c>
      <c r="AC114" s="216">
        <v>1</v>
      </c>
      <c r="AD114" s="216">
        <v>6</v>
      </c>
      <c r="AE114" s="216">
        <v>2026</v>
      </c>
    </row>
    <row r="115" spans="3:31">
      <c r="C115" s="216">
        <v>108</v>
      </c>
      <c r="D115" s="216">
        <v>8</v>
      </c>
      <c r="F115" s="216" t="s">
        <v>2209</v>
      </c>
      <c r="G115" s="217">
        <v>46179</v>
      </c>
      <c r="H115" s="216">
        <v>2</v>
      </c>
      <c r="I115" s="216">
        <v>163</v>
      </c>
      <c r="J115" s="216" t="s">
        <v>746</v>
      </c>
      <c r="K115" s="68" t="s">
        <v>2228</v>
      </c>
      <c r="L115" s="149">
        <v>1</v>
      </c>
      <c r="M115" s="149">
        <v>0</v>
      </c>
      <c r="N115" s="68" t="s">
        <v>2226</v>
      </c>
      <c r="O115" s="216">
        <v>42</v>
      </c>
      <c r="P115" s="216">
        <v>1</v>
      </c>
      <c r="T115" s="218">
        <v>51</v>
      </c>
      <c r="U115" s="218">
        <v>51</v>
      </c>
      <c r="V115" s="218">
        <v>51</v>
      </c>
      <c r="W115" s="218">
        <v>0</v>
      </c>
      <c r="X115" s="218">
        <v>51</v>
      </c>
      <c r="AB115" s="216">
        <v>1</v>
      </c>
      <c r="AC115" s="216">
        <v>1</v>
      </c>
      <c r="AD115" s="216">
        <v>6</v>
      </c>
      <c r="AE115" s="216">
        <v>2026</v>
      </c>
    </row>
    <row r="116" spans="3:31">
      <c r="C116" s="216">
        <v>109</v>
      </c>
      <c r="D116" s="216">
        <v>8</v>
      </c>
      <c r="F116" s="216" t="s">
        <v>2209</v>
      </c>
      <c r="G116" s="217">
        <v>46179</v>
      </c>
      <c r="H116" s="216">
        <v>2</v>
      </c>
      <c r="I116" s="216">
        <v>165</v>
      </c>
      <c r="J116" s="216" t="s">
        <v>1709</v>
      </c>
      <c r="K116" s="68" t="s">
        <v>2230</v>
      </c>
      <c r="L116" s="149">
        <v>2</v>
      </c>
      <c r="M116" s="149">
        <v>0</v>
      </c>
      <c r="N116" s="68" t="s">
        <v>734</v>
      </c>
      <c r="O116" s="216">
        <v>9</v>
      </c>
      <c r="P116" s="216">
        <v>4</v>
      </c>
      <c r="T116" s="218">
        <v>20.25</v>
      </c>
      <c r="U116" s="218">
        <v>20.25</v>
      </c>
      <c r="V116" s="218">
        <v>20.25</v>
      </c>
      <c r="W116" s="218">
        <v>0</v>
      </c>
      <c r="X116" s="218">
        <v>40.5</v>
      </c>
      <c r="AB116" s="216">
        <v>1</v>
      </c>
      <c r="AC116" s="216">
        <v>1</v>
      </c>
      <c r="AD116" s="216">
        <v>6</v>
      </c>
      <c r="AE116" s="216">
        <v>2026</v>
      </c>
    </row>
    <row r="117" spans="3:31">
      <c r="C117" s="216">
        <v>110</v>
      </c>
      <c r="D117" s="216">
        <v>8</v>
      </c>
      <c r="F117" s="216" t="s">
        <v>2209</v>
      </c>
      <c r="G117" s="217">
        <v>46179</v>
      </c>
      <c r="H117" s="216">
        <v>2</v>
      </c>
      <c r="I117" s="216">
        <v>167</v>
      </c>
      <c r="J117" s="216" t="s">
        <v>1030</v>
      </c>
      <c r="K117" s="68" t="s">
        <v>1031</v>
      </c>
      <c r="L117" s="149">
        <v>18</v>
      </c>
      <c r="M117" s="149">
        <v>0</v>
      </c>
      <c r="N117" s="68" t="s">
        <v>680</v>
      </c>
      <c r="O117" s="216">
        <v>2</v>
      </c>
      <c r="P117" s="216">
        <v>1</v>
      </c>
      <c r="T117" s="218">
        <v>0.85</v>
      </c>
      <c r="U117" s="218">
        <v>0.85</v>
      </c>
      <c r="V117" s="218">
        <v>0.85</v>
      </c>
      <c r="W117" s="218">
        <v>0</v>
      </c>
      <c r="X117" s="218">
        <v>15.3</v>
      </c>
      <c r="AB117" s="216">
        <v>1</v>
      </c>
      <c r="AC117" s="216">
        <v>1</v>
      </c>
      <c r="AD117" s="216">
        <v>6</v>
      </c>
      <c r="AE117" s="216">
        <v>2026</v>
      </c>
    </row>
    <row r="118" spans="3:31">
      <c r="C118" s="216">
        <v>111</v>
      </c>
      <c r="D118" s="216">
        <v>9</v>
      </c>
      <c r="F118" s="216" t="s">
        <v>2233</v>
      </c>
      <c r="G118" s="217">
        <v>46179</v>
      </c>
      <c r="H118" s="216">
        <v>2</v>
      </c>
      <c r="I118" s="216">
        <v>168</v>
      </c>
      <c r="J118" s="216" t="s">
        <v>2102</v>
      </c>
      <c r="K118" s="68" t="s">
        <v>2103</v>
      </c>
      <c r="L118" s="149">
        <v>4</v>
      </c>
      <c r="M118" s="149">
        <v>0</v>
      </c>
      <c r="N118" s="68" t="s">
        <v>680</v>
      </c>
      <c r="O118" s="216">
        <v>2</v>
      </c>
      <c r="P118" s="216">
        <v>1</v>
      </c>
      <c r="T118" s="218">
        <v>1.2</v>
      </c>
      <c r="U118" s="218">
        <v>1.2</v>
      </c>
      <c r="V118" s="218">
        <v>1.2</v>
      </c>
      <c r="W118" s="218">
        <v>0</v>
      </c>
      <c r="X118" s="218">
        <v>4.8</v>
      </c>
      <c r="AB118" s="216">
        <v>1</v>
      </c>
      <c r="AC118" s="216">
        <v>1</v>
      </c>
      <c r="AD118" s="216">
        <v>6</v>
      </c>
      <c r="AE118" s="216">
        <v>2026</v>
      </c>
    </row>
    <row r="119" spans="3:31">
      <c r="C119" s="216">
        <v>112</v>
      </c>
      <c r="D119" s="216">
        <v>9</v>
      </c>
      <c r="F119" s="216" t="s">
        <v>2233</v>
      </c>
      <c r="G119" s="217">
        <v>46179</v>
      </c>
      <c r="H119" s="216">
        <v>2</v>
      </c>
      <c r="I119" s="216">
        <v>169</v>
      </c>
      <c r="J119" s="216" t="s">
        <v>602</v>
      </c>
      <c r="K119" s="68" t="s">
        <v>603</v>
      </c>
      <c r="L119" s="149">
        <v>32</v>
      </c>
      <c r="M119" s="149">
        <v>0</v>
      </c>
      <c r="N119" s="68" t="s">
        <v>680</v>
      </c>
      <c r="O119" s="216">
        <v>2</v>
      </c>
      <c r="P119" s="216">
        <v>1</v>
      </c>
      <c r="T119" s="218">
        <v>0.5</v>
      </c>
      <c r="U119" s="218">
        <v>0.5</v>
      </c>
      <c r="V119" s="218">
        <v>0.5</v>
      </c>
      <c r="W119" s="218">
        <v>0</v>
      </c>
      <c r="X119" s="218">
        <v>16</v>
      </c>
      <c r="AB119" s="216">
        <v>1</v>
      </c>
      <c r="AC119" s="216">
        <v>1</v>
      </c>
      <c r="AD119" s="216">
        <v>6</v>
      </c>
      <c r="AE119" s="216">
        <v>2026</v>
      </c>
    </row>
    <row r="120" spans="3:31">
      <c r="C120" s="216">
        <v>113</v>
      </c>
      <c r="D120" s="216">
        <v>9</v>
      </c>
      <c r="F120" s="216" t="s">
        <v>2233</v>
      </c>
      <c r="G120" s="217">
        <v>46179</v>
      </c>
      <c r="H120" s="216">
        <v>2</v>
      </c>
      <c r="I120" s="216">
        <v>170</v>
      </c>
      <c r="J120" s="216" t="s">
        <v>1648</v>
      </c>
      <c r="K120" s="68" t="s">
        <v>1649</v>
      </c>
      <c r="L120" s="149">
        <v>20</v>
      </c>
      <c r="M120" s="149">
        <v>0</v>
      </c>
      <c r="N120" s="68" t="s">
        <v>680</v>
      </c>
      <c r="O120" s="216">
        <v>2</v>
      </c>
      <c r="P120" s="216">
        <v>1</v>
      </c>
      <c r="T120" s="218">
        <v>0.4</v>
      </c>
      <c r="U120" s="218">
        <v>0.4</v>
      </c>
      <c r="V120" s="218">
        <v>0.4</v>
      </c>
      <c r="W120" s="218">
        <v>0</v>
      </c>
      <c r="X120" s="218">
        <v>8</v>
      </c>
      <c r="AB120" s="216">
        <v>1</v>
      </c>
      <c r="AC120" s="216">
        <v>1</v>
      </c>
      <c r="AD120" s="216">
        <v>6</v>
      </c>
      <c r="AE120" s="216">
        <v>2026</v>
      </c>
    </row>
    <row r="121" spans="3:31">
      <c r="C121" s="216">
        <v>114</v>
      </c>
      <c r="D121" s="216">
        <v>9</v>
      </c>
      <c r="F121" s="216" t="s">
        <v>2233</v>
      </c>
      <c r="G121" s="217">
        <v>46179</v>
      </c>
      <c r="H121" s="216">
        <v>2</v>
      </c>
      <c r="I121" s="216">
        <v>172</v>
      </c>
      <c r="J121" s="216" t="s">
        <v>2107</v>
      </c>
      <c r="K121" s="68" t="s">
        <v>2108</v>
      </c>
      <c r="L121" s="149">
        <v>4</v>
      </c>
      <c r="M121" s="149">
        <v>0</v>
      </c>
      <c r="N121" s="68" t="s">
        <v>680</v>
      </c>
      <c r="O121" s="216">
        <v>2</v>
      </c>
      <c r="P121" s="216">
        <v>12</v>
      </c>
      <c r="T121" s="218">
        <v>0.1</v>
      </c>
      <c r="U121" s="218">
        <v>0.1</v>
      </c>
      <c r="V121" s="218">
        <v>0.1</v>
      </c>
      <c r="W121" s="218">
        <v>0</v>
      </c>
      <c r="X121" s="218">
        <v>0.4</v>
      </c>
      <c r="AB121" s="216">
        <v>1</v>
      </c>
      <c r="AC121" s="216">
        <v>1</v>
      </c>
      <c r="AD121" s="216">
        <v>6</v>
      </c>
      <c r="AE121" s="216">
        <v>2026</v>
      </c>
    </row>
    <row r="122" spans="3:31">
      <c r="C122" s="216">
        <v>115</v>
      </c>
      <c r="D122" s="216">
        <v>9</v>
      </c>
      <c r="F122" s="216" t="s">
        <v>2233</v>
      </c>
      <c r="G122" s="217">
        <v>46179</v>
      </c>
      <c r="H122" s="216">
        <v>2</v>
      </c>
      <c r="I122" s="216">
        <v>174</v>
      </c>
      <c r="J122" s="216" t="s">
        <v>2097</v>
      </c>
      <c r="K122" s="68" t="s">
        <v>2098</v>
      </c>
      <c r="L122" s="149">
        <v>4</v>
      </c>
      <c r="M122" s="149">
        <v>0</v>
      </c>
      <c r="N122" s="68" t="s">
        <v>680</v>
      </c>
      <c r="O122" s="216">
        <v>2</v>
      </c>
      <c r="P122" s="216">
        <v>12</v>
      </c>
      <c r="T122" s="218">
        <v>0.2</v>
      </c>
      <c r="U122" s="218">
        <v>0.2</v>
      </c>
      <c r="V122" s="218">
        <v>0.2</v>
      </c>
      <c r="W122" s="218">
        <v>0</v>
      </c>
      <c r="X122" s="218">
        <v>0.8</v>
      </c>
      <c r="AB122" s="216">
        <v>1</v>
      </c>
      <c r="AC122" s="216">
        <v>1</v>
      </c>
      <c r="AD122" s="216">
        <v>6</v>
      </c>
      <c r="AE122" s="216">
        <v>2026</v>
      </c>
    </row>
    <row r="123" spans="3:31">
      <c r="C123" s="216">
        <v>116</v>
      </c>
      <c r="D123" s="216">
        <v>9</v>
      </c>
      <c r="F123" s="216" t="s">
        <v>2233</v>
      </c>
      <c r="G123" s="217">
        <v>46179</v>
      </c>
      <c r="H123" s="216">
        <v>2</v>
      </c>
      <c r="I123" s="216">
        <v>181</v>
      </c>
      <c r="J123" s="216" t="s">
        <v>762</v>
      </c>
      <c r="K123" s="68" t="s">
        <v>763</v>
      </c>
      <c r="L123" s="149">
        <v>28</v>
      </c>
      <c r="M123" s="149">
        <v>0</v>
      </c>
      <c r="N123" s="68" t="s">
        <v>764</v>
      </c>
      <c r="O123" s="216">
        <v>54</v>
      </c>
      <c r="P123" s="216">
        <v>1</v>
      </c>
      <c r="T123" s="218">
        <v>1</v>
      </c>
      <c r="U123" s="218">
        <v>1</v>
      </c>
      <c r="V123" s="218">
        <v>1</v>
      </c>
      <c r="W123" s="218">
        <v>0</v>
      </c>
      <c r="X123" s="218">
        <v>28</v>
      </c>
      <c r="AB123" s="216">
        <v>1</v>
      </c>
      <c r="AC123" s="216">
        <v>1</v>
      </c>
      <c r="AD123" s="216">
        <v>6</v>
      </c>
      <c r="AE123" s="216">
        <v>2026</v>
      </c>
    </row>
    <row r="124" spans="3:31">
      <c r="C124" s="216">
        <v>117</v>
      </c>
      <c r="D124" s="216">
        <v>9</v>
      </c>
      <c r="F124" s="216" t="s">
        <v>2233</v>
      </c>
      <c r="G124" s="217">
        <v>46179</v>
      </c>
      <c r="H124" s="216">
        <v>2</v>
      </c>
      <c r="I124" s="216">
        <v>182</v>
      </c>
      <c r="J124" s="216" t="s">
        <v>628</v>
      </c>
      <c r="K124" s="68" t="s">
        <v>629</v>
      </c>
      <c r="L124" s="149">
        <v>22</v>
      </c>
      <c r="M124" s="149">
        <v>0</v>
      </c>
      <c r="N124" s="68" t="s">
        <v>764</v>
      </c>
      <c r="O124" s="216">
        <v>54</v>
      </c>
      <c r="P124" s="216">
        <v>1</v>
      </c>
      <c r="T124" s="218">
        <v>2</v>
      </c>
      <c r="U124" s="218">
        <v>2</v>
      </c>
      <c r="V124" s="218">
        <v>2</v>
      </c>
      <c r="W124" s="218">
        <v>0</v>
      </c>
      <c r="X124" s="218">
        <v>44</v>
      </c>
      <c r="AB124" s="216">
        <v>1</v>
      </c>
      <c r="AC124" s="216">
        <v>1</v>
      </c>
      <c r="AD124" s="216">
        <v>6</v>
      </c>
      <c r="AE124" s="216">
        <v>2026</v>
      </c>
    </row>
    <row r="125" spans="3:31">
      <c r="C125" s="216">
        <v>118</v>
      </c>
      <c r="D125" s="216">
        <v>9</v>
      </c>
      <c r="F125" s="216" t="s">
        <v>2233</v>
      </c>
      <c r="G125" s="217">
        <v>46179</v>
      </c>
      <c r="H125" s="216">
        <v>2</v>
      </c>
      <c r="I125" s="216">
        <v>183</v>
      </c>
      <c r="J125" s="216" t="s">
        <v>767</v>
      </c>
      <c r="K125" s="68" t="s">
        <v>768</v>
      </c>
      <c r="L125" s="149">
        <v>70</v>
      </c>
      <c r="M125" s="149">
        <v>0</v>
      </c>
      <c r="N125" s="68" t="s">
        <v>764</v>
      </c>
      <c r="O125" s="216">
        <v>54</v>
      </c>
      <c r="P125" s="216">
        <v>1</v>
      </c>
      <c r="T125" s="218">
        <v>4</v>
      </c>
      <c r="U125" s="218">
        <v>4</v>
      </c>
      <c r="V125" s="218">
        <v>4</v>
      </c>
      <c r="W125" s="218">
        <v>0</v>
      </c>
      <c r="X125" s="218">
        <v>280</v>
      </c>
      <c r="AB125" s="216">
        <v>1</v>
      </c>
      <c r="AC125" s="216">
        <v>1</v>
      </c>
      <c r="AD125" s="216">
        <v>6</v>
      </c>
      <c r="AE125" s="216">
        <v>2026</v>
      </c>
    </row>
    <row r="126" spans="3:31">
      <c r="C126" s="216">
        <v>119</v>
      </c>
      <c r="D126" s="216">
        <v>9</v>
      </c>
      <c r="F126" s="216" t="s">
        <v>2233</v>
      </c>
      <c r="G126" s="217">
        <v>46179</v>
      </c>
      <c r="H126" s="216">
        <v>2</v>
      </c>
      <c r="I126" s="216">
        <v>184</v>
      </c>
      <c r="J126" s="216" t="s">
        <v>770</v>
      </c>
      <c r="K126" s="68" t="s">
        <v>771</v>
      </c>
      <c r="L126" s="149">
        <v>16</v>
      </c>
      <c r="M126" s="149">
        <v>0</v>
      </c>
      <c r="N126" s="68" t="s">
        <v>764</v>
      </c>
      <c r="O126" s="216">
        <v>54</v>
      </c>
      <c r="P126" s="216">
        <v>1</v>
      </c>
      <c r="T126" s="218">
        <v>6</v>
      </c>
      <c r="U126" s="218">
        <v>6</v>
      </c>
      <c r="V126" s="218">
        <v>6</v>
      </c>
      <c r="W126" s="218">
        <v>0</v>
      </c>
      <c r="X126" s="218">
        <v>96</v>
      </c>
      <c r="AB126" s="216">
        <v>1</v>
      </c>
      <c r="AC126" s="216">
        <v>1</v>
      </c>
      <c r="AD126" s="216">
        <v>6</v>
      </c>
      <c r="AE126" s="216">
        <v>2026</v>
      </c>
    </row>
    <row r="127" spans="3:31">
      <c r="C127" s="216">
        <v>120</v>
      </c>
      <c r="D127" s="216">
        <v>9</v>
      </c>
      <c r="F127" s="216" t="s">
        <v>2233</v>
      </c>
      <c r="G127" s="217">
        <v>46179</v>
      </c>
      <c r="H127" s="216">
        <v>2</v>
      </c>
      <c r="I127" s="216">
        <v>185</v>
      </c>
      <c r="J127" s="216" t="s">
        <v>773</v>
      </c>
      <c r="K127" s="68" t="s">
        <v>774</v>
      </c>
      <c r="L127" s="149">
        <v>2</v>
      </c>
      <c r="M127" s="149">
        <v>0</v>
      </c>
      <c r="N127" s="68" t="s">
        <v>764</v>
      </c>
      <c r="O127" s="216">
        <v>54</v>
      </c>
      <c r="P127" s="216">
        <v>1</v>
      </c>
      <c r="T127" s="218">
        <v>8</v>
      </c>
      <c r="U127" s="218">
        <v>8</v>
      </c>
      <c r="V127" s="218">
        <v>8</v>
      </c>
      <c r="W127" s="218">
        <v>0</v>
      </c>
      <c r="X127" s="218">
        <v>16</v>
      </c>
      <c r="AB127" s="216">
        <v>1</v>
      </c>
      <c r="AC127" s="216">
        <v>1</v>
      </c>
      <c r="AD127" s="216">
        <v>6</v>
      </c>
      <c r="AE127" s="216">
        <v>2026</v>
      </c>
    </row>
    <row r="128" spans="3:31">
      <c r="C128" s="216">
        <v>121</v>
      </c>
      <c r="D128" s="216">
        <v>9</v>
      </c>
      <c r="F128" s="216" t="s">
        <v>2233</v>
      </c>
      <c r="G128" s="217">
        <v>46179</v>
      </c>
      <c r="H128" s="216">
        <v>2</v>
      </c>
      <c r="I128" s="216">
        <v>187</v>
      </c>
      <c r="J128" s="216" t="s">
        <v>577</v>
      </c>
      <c r="K128" s="68" t="s">
        <v>578</v>
      </c>
      <c r="L128" s="149">
        <v>32</v>
      </c>
      <c r="M128" s="149">
        <v>0</v>
      </c>
      <c r="N128" s="68" t="s">
        <v>777</v>
      </c>
      <c r="O128" s="216">
        <v>53</v>
      </c>
      <c r="P128" s="216">
        <v>1</v>
      </c>
      <c r="T128" s="218">
        <v>3.37</v>
      </c>
      <c r="U128" s="218">
        <v>3.37</v>
      </c>
      <c r="V128" s="218">
        <v>3.37</v>
      </c>
      <c r="W128" s="218">
        <v>0</v>
      </c>
      <c r="X128" s="218">
        <v>107.84</v>
      </c>
      <c r="AB128" s="216">
        <v>1</v>
      </c>
      <c r="AC128" s="216">
        <v>1</v>
      </c>
      <c r="AD128" s="216">
        <v>6</v>
      </c>
      <c r="AE128" s="216">
        <v>2026</v>
      </c>
    </row>
    <row r="129" spans="3:31">
      <c r="C129" s="216">
        <v>122</v>
      </c>
      <c r="D129" s="216">
        <v>9</v>
      </c>
      <c r="F129" s="216" t="s">
        <v>2233</v>
      </c>
      <c r="G129" s="217">
        <v>46179</v>
      </c>
      <c r="H129" s="216">
        <v>2</v>
      </c>
      <c r="I129" s="216">
        <v>189</v>
      </c>
      <c r="J129" s="216" t="s">
        <v>779</v>
      </c>
      <c r="K129" s="68" t="s">
        <v>780</v>
      </c>
      <c r="L129" s="149">
        <v>32</v>
      </c>
      <c r="M129" s="149">
        <v>0</v>
      </c>
      <c r="N129" s="68" t="s">
        <v>777</v>
      </c>
      <c r="O129" s="216">
        <v>53</v>
      </c>
      <c r="P129" s="216">
        <v>1</v>
      </c>
      <c r="T129" s="218">
        <v>4.09</v>
      </c>
      <c r="U129" s="218">
        <v>4.09</v>
      </c>
      <c r="V129" s="218">
        <v>4.09</v>
      </c>
      <c r="W129" s="218">
        <v>0</v>
      </c>
      <c r="X129" s="218">
        <v>130.88</v>
      </c>
      <c r="AB129" s="216">
        <v>1</v>
      </c>
      <c r="AC129" s="216">
        <v>1</v>
      </c>
      <c r="AD129" s="216">
        <v>6</v>
      </c>
      <c r="AE129" s="216">
        <v>2026</v>
      </c>
    </row>
    <row r="130" spans="3:31">
      <c r="C130" s="216">
        <v>123</v>
      </c>
      <c r="D130" s="216">
        <v>9</v>
      </c>
      <c r="F130" s="216" t="s">
        <v>2233</v>
      </c>
      <c r="G130" s="217">
        <v>46179</v>
      </c>
      <c r="H130" s="216">
        <v>2</v>
      </c>
      <c r="I130" s="216">
        <v>192</v>
      </c>
      <c r="J130" s="216" t="s">
        <v>571</v>
      </c>
      <c r="K130" s="68" t="s">
        <v>572</v>
      </c>
      <c r="L130" s="149">
        <v>2</v>
      </c>
      <c r="M130" s="149">
        <v>0</v>
      </c>
      <c r="N130" s="68" t="s">
        <v>777</v>
      </c>
      <c r="O130" s="216">
        <v>53</v>
      </c>
      <c r="P130" s="216">
        <v>1</v>
      </c>
      <c r="T130" s="218">
        <v>6.03</v>
      </c>
      <c r="U130" s="218">
        <v>6.03</v>
      </c>
      <c r="V130" s="218">
        <v>6.03</v>
      </c>
      <c r="W130" s="218">
        <v>0</v>
      </c>
      <c r="X130" s="218">
        <v>12.06</v>
      </c>
      <c r="AB130" s="216">
        <v>1</v>
      </c>
      <c r="AC130" s="216">
        <v>1</v>
      </c>
      <c r="AD130" s="216">
        <v>6</v>
      </c>
      <c r="AE130" s="216">
        <v>2026</v>
      </c>
    </row>
    <row r="131" spans="3:31">
      <c r="C131" s="216">
        <v>124</v>
      </c>
      <c r="D131" s="216">
        <v>9</v>
      </c>
      <c r="F131" s="216" t="s">
        <v>2233</v>
      </c>
      <c r="G131" s="217">
        <v>46179</v>
      </c>
      <c r="H131" s="216">
        <v>2</v>
      </c>
      <c r="I131" s="216">
        <v>195</v>
      </c>
      <c r="J131" s="216" t="s">
        <v>609</v>
      </c>
      <c r="K131" s="68" t="s">
        <v>610</v>
      </c>
      <c r="L131" s="149">
        <v>10</v>
      </c>
      <c r="M131" s="149">
        <v>0</v>
      </c>
      <c r="N131" s="68" t="s">
        <v>777</v>
      </c>
      <c r="O131" s="216">
        <v>53</v>
      </c>
      <c r="P131" s="216">
        <v>1</v>
      </c>
      <c r="T131" s="218">
        <v>6.28</v>
      </c>
      <c r="U131" s="218">
        <v>6.28</v>
      </c>
      <c r="V131" s="218">
        <v>6.28</v>
      </c>
      <c r="W131" s="218">
        <v>0</v>
      </c>
      <c r="X131" s="218">
        <v>62.8</v>
      </c>
      <c r="AB131" s="216">
        <v>1</v>
      </c>
      <c r="AC131" s="216">
        <v>1</v>
      </c>
      <c r="AD131" s="216">
        <v>6</v>
      </c>
      <c r="AE131" s="216">
        <v>2026</v>
      </c>
    </row>
    <row r="132" spans="3:31">
      <c r="C132" s="216">
        <v>125</v>
      </c>
      <c r="D132" s="216">
        <v>9</v>
      </c>
      <c r="F132" s="216" t="s">
        <v>2233</v>
      </c>
      <c r="G132" s="217">
        <v>46179</v>
      </c>
      <c r="H132" s="216">
        <v>2</v>
      </c>
      <c r="I132" s="216">
        <v>198</v>
      </c>
      <c r="J132" s="216" t="s">
        <v>1171</v>
      </c>
      <c r="K132" s="68" t="s">
        <v>1172</v>
      </c>
      <c r="L132" s="149">
        <v>8</v>
      </c>
      <c r="M132" s="149">
        <v>0</v>
      </c>
      <c r="N132" s="68" t="s">
        <v>777</v>
      </c>
      <c r="O132" s="216">
        <v>53</v>
      </c>
      <c r="P132" s="216">
        <v>1</v>
      </c>
      <c r="T132" s="218">
        <v>9.48</v>
      </c>
      <c r="U132" s="218">
        <v>9.48</v>
      </c>
      <c r="V132" s="218">
        <v>9.48</v>
      </c>
      <c r="W132" s="218">
        <v>0</v>
      </c>
      <c r="X132" s="218">
        <v>75.84</v>
      </c>
      <c r="AB132" s="216">
        <v>1</v>
      </c>
      <c r="AC132" s="216">
        <v>1</v>
      </c>
      <c r="AD132" s="216">
        <v>6</v>
      </c>
      <c r="AE132" s="216">
        <v>2026</v>
      </c>
    </row>
  </sheetData>
  <autoFilter ref="C7:AH47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78"/>
      <c r="Q4" s="478"/>
      <c r="R4" s="478"/>
      <c r="S4" s="478"/>
      <c r="T4" s="478"/>
      <c r="U4" s="478"/>
      <c r="V4" s="478"/>
      <c r="W4" s="478"/>
      <c r="X4" s="478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482" t="str">
        <f ca="1">""&amp;I9&amp;""</f>
        <v>STCI21-0001</v>
      </c>
      <c r="I6" s="482"/>
      <c r="AB6" s="37" t="str">
        <f>MID(K13,8,8)</f>
        <v/>
      </c>
      <c r="AD6" s="47"/>
    </row>
    <row r="7" spans="1:30" ht="13.5" customHeight="1">
      <c r="A7" s="12"/>
      <c r="E7" s="45"/>
      <c r="H7" s="482"/>
      <c r="I7" s="482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467"/>
      <c r="C9" s="467"/>
      <c r="E9" s="53"/>
      <c r="F9" s="54"/>
      <c r="H9" s="104" t="s">
        <v>46</v>
      </c>
      <c r="I9" s="468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469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470" t="s">
        <v>48</v>
      </c>
      <c r="C11" s="470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483">
        <v>44308</v>
      </c>
      <c r="O11" s="483"/>
      <c r="P11" s="483"/>
      <c r="Q11" s="483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79"/>
      <c r="C12" s="480"/>
      <c r="D12" s="481"/>
      <c r="E12" s="53"/>
      <c r="F12" s="54"/>
      <c r="H12" s="125" t="s">
        <v>50</v>
      </c>
      <c r="I12" s="57"/>
      <c r="K12" t="s">
        <v>51</v>
      </c>
      <c r="N12" s="484">
        <v>4048</v>
      </c>
      <c r="O12" s="484"/>
      <c r="P12" s="484"/>
      <c r="Q12" s="484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471"/>
      <c r="E15" s="471"/>
      <c r="F15" s="471"/>
      <c r="G15" s="471"/>
      <c r="H15" s="471"/>
      <c r="I15" s="21"/>
      <c r="J15" s="58"/>
      <c r="K15" s="13"/>
      <c r="L15" s="446" t="e">
        <f>IF(Customer_TIN_Area="","",Customer_TIN_Area)</f>
        <v>#NAME?</v>
      </c>
      <c r="M15" s="447"/>
      <c r="N15" s="447"/>
      <c r="O15" s="447"/>
      <c r="P15" s="447"/>
      <c r="Q15" s="447"/>
      <c r="R15" s="447"/>
      <c r="S15" s="447"/>
      <c r="T15" s="447"/>
      <c r="U15" s="447"/>
      <c r="V15" s="447"/>
      <c r="W15" s="447"/>
      <c r="X15" s="448"/>
    </row>
    <row r="16" spans="1:30">
      <c r="A16" s="58"/>
      <c r="B16" s="18" t="s">
        <v>56</v>
      </c>
      <c r="C16" s="61"/>
      <c r="D16" s="472"/>
      <c r="E16" s="472"/>
      <c r="F16" s="472"/>
      <c r="G16" s="472"/>
      <c r="H16" s="472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473"/>
      <c r="E17" s="474"/>
      <c r="F17" s="474"/>
      <c r="G17" s="474"/>
      <c r="H17" s="474"/>
      <c r="I17" s="21"/>
      <c r="J17" s="58"/>
      <c r="L17" s="37"/>
      <c r="M17" s="37"/>
      <c r="O17" s="38" t="s">
        <v>61</v>
      </c>
      <c r="P17" s="449"/>
      <c r="Q17" s="449"/>
      <c r="R17" s="449"/>
      <c r="S17" s="449"/>
      <c r="T17" s="449"/>
      <c r="U17" s="449"/>
      <c r="V17" s="449"/>
      <c r="W17" s="449"/>
      <c r="X17" s="449"/>
    </row>
    <row r="18" spans="1:29">
      <c r="A18" s="58"/>
      <c r="B18" s="18" t="s">
        <v>62</v>
      </c>
      <c r="C18" s="61"/>
      <c r="D18" s="475"/>
      <c r="E18" s="475"/>
      <c r="F18" s="475"/>
      <c r="G18" s="475"/>
      <c r="H18" s="475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476"/>
      <c r="G19" s="474"/>
      <c r="H19" s="474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476"/>
      <c r="G20" s="474"/>
      <c r="H20" s="474"/>
      <c r="I20" s="16"/>
      <c r="J20" s="5"/>
      <c r="K20" s="5"/>
    </row>
    <row r="21" spans="1:29" ht="32.85" customHeight="1" thickBot="1">
      <c r="A21" s="5"/>
      <c r="B21" s="464" t="s">
        <v>67</v>
      </c>
      <c r="C21" s="465"/>
      <c r="D21" s="477" t="e">
        <f>L15</f>
        <v>#NAME?</v>
      </c>
      <c r="E21" s="477"/>
      <c r="F21" s="477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466" t="s">
        <v>75</v>
      </c>
      <c r="D25" s="466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43" t="s">
        <v>76</v>
      </c>
      <c r="D26" s="443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44"/>
      <c r="D27" s="444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44"/>
      <c r="D28" s="444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44"/>
      <c r="D29" s="444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45"/>
      <c r="D30" s="445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45"/>
      <c r="D31" s="445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45"/>
      <c r="D32" s="445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5"/>
      <c r="D33" s="445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5"/>
      <c r="D34" s="445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5"/>
      <c r="D35" s="445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461"/>
      <c r="D36" s="461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462" t="s">
        <v>78</v>
      </c>
      <c r="C37" s="463"/>
      <c r="D37" s="71" t="str">
        <f>SpellNumber(H37)</f>
        <v>Fifty Two US Dollars and Eighty  Cents</v>
      </c>
      <c r="E37" s="22"/>
      <c r="F37" s="19"/>
      <c r="G37" s="114" t="s">
        <v>79</v>
      </c>
      <c r="H37" s="457">
        <f>SUM(H25:H36)</f>
        <v>52.8</v>
      </c>
      <c r="I37" s="459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458"/>
      <c r="I38" s="460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450" t="s">
        <v>83</v>
      </c>
      <c r="C44" s="451"/>
      <c r="D44" s="451"/>
      <c r="E44" s="451"/>
      <c r="F44" s="451"/>
      <c r="G44" s="451"/>
      <c r="H44" s="451"/>
      <c r="I44" s="452"/>
    </row>
    <row r="45" spans="2:29" ht="24" thickBot="1">
      <c r="B45" s="453" t="s">
        <v>84</v>
      </c>
      <c r="C45" s="454"/>
      <c r="D45" s="454"/>
      <c r="E45" s="454"/>
      <c r="F45" s="454"/>
      <c r="G45" s="454"/>
      <c r="H45" s="454"/>
      <c r="I45" s="455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456"/>
      <c r="C48" s="456"/>
      <c r="D48" s="456"/>
      <c r="E48" s="456"/>
      <c r="F48" s="6"/>
      <c r="G48" s="456"/>
      <c r="H48" s="456"/>
      <c r="I48" s="456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493" t="s">
        <v>454</v>
      </c>
      <c r="C2" s="493"/>
      <c r="D2" s="493"/>
      <c r="E2" s="493"/>
      <c r="F2" s="493"/>
      <c r="G2" s="493"/>
      <c r="H2" s="493"/>
      <c r="I2" s="493"/>
      <c r="AB2" s="37" t="str">
        <f ca="1">MID(K12,8,8)</f>
        <v/>
      </c>
      <c r="AD2" s="47"/>
    </row>
    <row r="3" spans="1:30" ht="29.25" thickBot="1">
      <c r="A3" s="36"/>
      <c r="B3" s="494" t="e">
        <f>company_name_en</f>
        <v>#NAME?</v>
      </c>
      <c r="C3" s="494"/>
      <c r="D3" s="494"/>
      <c r="E3" s="494"/>
      <c r="F3" s="494"/>
      <c r="G3" s="494"/>
      <c r="H3" s="494"/>
      <c r="I3" s="494"/>
      <c r="AD3" s="47"/>
    </row>
    <row r="4" spans="1:30" ht="15.75" thickBot="1">
      <c r="A4" s="36"/>
      <c r="B4" s="495" t="s">
        <v>453</v>
      </c>
      <c r="C4" s="495"/>
      <c r="D4" s="495"/>
      <c r="E4" s="495"/>
      <c r="F4" s="495"/>
      <c r="G4" s="495"/>
      <c r="H4" s="495"/>
      <c r="I4" s="495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495" t="e">
        <f>Address_ENG</f>
        <v>#NAME?</v>
      </c>
      <c r="C5" s="495"/>
      <c r="D5" s="495"/>
      <c r="E5" s="495"/>
      <c r="F5" s="495"/>
      <c r="G5" s="495"/>
      <c r="H5" s="495"/>
      <c r="I5" s="495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495" t="e">
        <f>c_phone_email</f>
        <v>#NAME?</v>
      </c>
      <c r="C6" s="495"/>
      <c r="D6" s="495"/>
      <c r="E6" s="495"/>
      <c r="F6" s="495"/>
      <c r="G6" s="495"/>
      <c r="H6" s="495"/>
      <c r="I6" s="495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485" t="s">
        <v>86</v>
      </c>
      <c r="C7" s="485"/>
      <c r="D7" s="485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482" t="str">
        <f ca="1">""&amp;I12&amp;""</f>
        <v>STCI00-0003</v>
      </c>
      <c r="I9" s="482"/>
      <c r="AB9" s="37" t="str">
        <f>MID(K16,8,8)</f>
        <v/>
      </c>
      <c r="AD9" s="47"/>
    </row>
    <row r="10" spans="1:30" ht="21.6" customHeight="1">
      <c r="A10" s="12"/>
      <c r="E10" s="45"/>
      <c r="H10" s="482"/>
      <c r="I10" s="482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467"/>
      <c r="C12" s="467"/>
      <c r="E12" s="53"/>
      <c r="F12" s="54"/>
      <c r="H12" s="104" t="s">
        <v>46</v>
      </c>
      <c r="I12" s="468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469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470" t="s">
        <v>48</v>
      </c>
      <c r="C14" s="470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483"/>
      <c r="O14" s="483"/>
      <c r="P14" s="483"/>
      <c r="Q14" s="483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79"/>
      <c r="C15" s="480"/>
      <c r="D15" s="481"/>
      <c r="E15" s="53"/>
      <c r="F15" s="54"/>
      <c r="H15" s="56" t="s">
        <v>21</v>
      </c>
      <c r="I15" s="57"/>
      <c r="K15" t="s">
        <v>51</v>
      </c>
      <c r="N15" s="484"/>
      <c r="O15" s="484"/>
      <c r="P15" s="484"/>
      <c r="Q15" s="484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471"/>
      <c r="E18" s="471"/>
      <c r="F18" s="471"/>
      <c r="G18" s="471"/>
      <c r="H18" s="471"/>
      <c r="I18" s="21"/>
      <c r="J18" s="58"/>
      <c r="K18" s="13"/>
      <c r="L18" s="446" t="str">
        <f>IF(Customer_TIN_Area="","",Customer_TIN_Area)</f>
        <v/>
      </c>
      <c r="M18" s="447"/>
      <c r="N18" s="447"/>
      <c r="O18" s="447"/>
      <c r="P18" s="447"/>
      <c r="Q18" s="447"/>
      <c r="R18" s="447"/>
      <c r="S18" s="447"/>
      <c r="T18" s="447"/>
      <c r="U18" s="447"/>
      <c r="V18" s="447"/>
      <c r="W18" s="447"/>
      <c r="X18" s="448"/>
    </row>
    <row r="19" spans="1:29">
      <c r="A19" s="58"/>
      <c r="B19" s="18" t="s">
        <v>88</v>
      </c>
      <c r="C19" s="61"/>
      <c r="D19" s="472"/>
      <c r="E19" s="472"/>
      <c r="F19" s="472"/>
      <c r="G19" s="472"/>
      <c r="H19" s="472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473"/>
      <c r="E20" s="474"/>
      <c r="F20" s="474"/>
      <c r="G20" s="474"/>
      <c r="H20" s="474"/>
      <c r="I20" s="21"/>
      <c r="J20" s="58"/>
      <c r="L20" s="37"/>
      <c r="M20" s="37"/>
      <c r="O20" s="38" t="s">
        <v>61</v>
      </c>
      <c r="P20" s="449"/>
      <c r="Q20" s="449"/>
      <c r="R20" s="449"/>
      <c r="S20" s="449"/>
      <c r="T20" s="449"/>
      <c r="U20" s="449"/>
      <c r="V20" s="449"/>
      <c r="W20" s="449"/>
      <c r="X20" s="449"/>
    </row>
    <row r="21" spans="1:29">
      <c r="A21" s="58"/>
      <c r="B21" s="18" t="s">
        <v>7</v>
      </c>
      <c r="C21" s="61"/>
      <c r="D21" s="475"/>
      <c r="E21" s="475"/>
      <c r="F21" s="475"/>
      <c r="G21" s="475"/>
      <c r="H21" s="475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476"/>
      <c r="G22" s="474"/>
      <c r="H22" s="474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476"/>
      <c r="G23" s="474"/>
      <c r="H23" s="474"/>
      <c r="I23" s="16"/>
      <c r="J23" s="5"/>
      <c r="K23" s="5"/>
    </row>
    <row r="24" spans="1:29" ht="32.85" customHeight="1" thickBot="1">
      <c r="A24" s="5"/>
      <c r="B24" s="464" t="s">
        <v>90</v>
      </c>
      <c r="C24" s="465"/>
      <c r="D24" s="477" t="str">
        <f>L18</f>
        <v/>
      </c>
      <c r="E24" s="477"/>
      <c r="F24" s="477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466"/>
      <c r="D28" s="466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43"/>
      <c r="D29" s="443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492"/>
      <c r="D30" s="492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43"/>
      <c r="D31" s="443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44"/>
      <c r="D32" s="444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5"/>
      <c r="D33" s="445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5"/>
      <c r="D34" s="445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5"/>
      <c r="D35" s="445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45"/>
      <c r="D36" s="445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45"/>
      <c r="D37" s="445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45"/>
      <c r="D38" s="445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461"/>
      <c r="D39" s="461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462" t="s">
        <v>78</v>
      </c>
      <c r="C40" s="463"/>
      <c r="D40" s="71" t="str">
        <f>SpellNumber(H40)</f>
        <v>Zero US Dollars and Zero Cents</v>
      </c>
      <c r="E40" s="22"/>
      <c r="F40" s="19"/>
      <c r="G40" s="114" t="s">
        <v>79</v>
      </c>
      <c r="H40" s="457">
        <f>SUM(H28:H39)</f>
        <v>0</v>
      </c>
      <c r="I40" s="459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458"/>
      <c r="I41" s="460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486" t="s">
        <v>92</v>
      </c>
      <c r="C47" s="487"/>
      <c r="D47" s="487"/>
      <c r="E47" s="487"/>
      <c r="F47" s="487"/>
      <c r="G47" s="487"/>
      <c r="H47" s="487"/>
      <c r="I47" s="488"/>
    </row>
    <row r="48" spans="2:29" ht="24" thickBot="1">
      <c r="B48" s="489" t="s">
        <v>93</v>
      </c>
      <c r="C48" s="490"/>
      <c r="D48" s="490"/>
      <c r="E48" s="490"/>
      <c r="F48" s="490"/>
      <c r="G48" s="490"/>
      <c r="H48" s="490"/>
      <c r="I48" s="491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456"/>
      <c r="C51" s="456"/>
      <c r="D51" s="456"/>
      <c r="E51" s="456"/>
      <c r="F51" s="6"/>
      <c r="G51" s="456"/>
      <c r="H51" s="456"/>
      <c r="I51" s="456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9A478B7-3E01-47D0-B259-A00B708B2C5A}">
  <ds:schemaRefs/>
</ds:datastoreItem>
</file>

<file path=customXml/itemProps2.xml><?xml version="1.0" encoding="utf-8"?>
<ds:datastoreItem xmlns:ds="http://schemas.openxmlformats.org/officeDocument/2006/customXml" ds:itemID="{17649CE1-4875-4997-835F-0FAC38650A09}">
  <ds:schemaRefs/>
</ds:datastoreItem>
</file>

<file path=customXml/itemProps3.xml><?xml version="1.0" encoding="utf-8"?>
<ds:datastoreItem xmlns:ds="http://schemas.openxmlformats.org/officeDocument/2006/customXml" ds:itemID="{68794EC4-9672-462A-A0E1-370C073B0A2D}">
  <ds:schemaRefs/>
</ds:datastoreItem>
</file>

<file path=customXml/itemProps4.xml><?xml version="1.0" encoding="utf-8"?>
<ds:datastoreItem xmlns:ds="http://schemas.openxmlformats.org/officeDocument/2006/customXml" ds:itemID="{947775C8-8CE1-4CBD-8AA9-A1130A8DEA62}">
  <ds:schemaRefs/>
</ds:datastoreItem>
</file>

<file path=customXml/itemProps5.xml><?xml version="1.0" encoding="utf-8"?>
<ds:datastoreItem xmlns:ds="http://schemas.openxmlformats.org/officeDocument/2006/customXml" ds:itemID="{9F1C1C28-804A-470D-AF23-AD4F525D009C}">
  <ds:schemaRefs/>
</ds:datastoreItem>
</file>

<file path=customXml/itemProps6.xml><?xml version="1.0" encoding="utf-8"?>
<ds:datastoreItem xmlns:ds="http://schemas.openxmlformats.org/officeDocument/2006/customXml" ds:itemID="{B83D4DC2-D1A8-498E-AA5D-F730A26DD6B3}">
  <ds:schemaRefs/>
</ds:datastoreItem>
</file>

<file path=customXml/itemProps7.xml><?xml version="1.0" encoding="utf-8"?>
<ds:datastoreItem xmlns:ds="http://schemas.openxmlformats.org/officeDocument/2006/customXml" ds:itemID="{63AAF10D-7B32-4C1D-A7E1-FA34FE2DB930}">
  <ds:schemaRefs/>
</ds:datastoreItem>
</file>

<file path=customXml/itemProps8.xml><?xml version="1.0" encoding="utf-8"?>
<ds:datastoreItem xmlns:ds="http://schemas.openxmlformats.org/officeDocument/2006/customXml" ds:itemID="{267CAF88-E639-45A1-8BA9-EC131FA570FE}">
  <ds:schemaRefs/>
</ds:datastoreItem>
</file>

<file path=customXml/itemProps9.xml><?xml version="1.0" encoding="utf-8"?>
<ds:datastoreItem xmlns:ds="http://schemas.openxmlformats.org/officeDocument/2006/customXml" ds:itemID="{E27BC1BA-2931-412A-BFCF-F6C2AD0824D0}">
  <ds:schemaRefs/>
</ds:datastoreItem>
</file>

<file path=customXml/itemProps10.xml><?xml version="1.0" encoding="utf-8"?>
<ds:datastoreItem xmlns:ds="http://schemas.openxmlformats.org/officeDocument/2006/customXml" ds:itemID="{FDB041EB-1959-4AD0-95DE-CB9C39E33A8B}">
  <ds:schemaRefs/>
</ds:datastoreItem>
</file>

<file path=customXml/itemProps11.xml><?xml version="1.0" encoding="utf-8"?>
<ds:datastoreItem xmlns:ds="http://schemas.openxmlformats.org/officeDocument/2006/customXml" ds:itemID="{83BF0940-419E-4063-A803-9DD17FFE76FF}">
  <ds:schemaRefs/>
</ds:datastoreItem>
</file>

<file path=customXml/itemProps12.xml><?xml version="1.0" encoding="utf-8"?>
<ds:datastoreItem xmlns:ds="http://schemas.openxmlformats.org/officeDocument/2006/customXml" ds:itemID="{E9512B52-1531-46F8-86D4-273E91CDD994}">
  <ds:schemaRefs/>
</ds:datastoreItem>
</file>

<file path=customXml/itemProps13.xml><?xml version="1.0" encoding="utf-8"?>
<ds:datastoreItem xmlns:ds="http://schemas.openxmlformats.org/officeDocument/2006/customXml" ds:itemID="{B356839B-70F8-494A-9CF4-FDC049176615}">
  <ds:schemaRefs/>
</ds:datastoreItem>
</file>

<file path=customXml/itemProps14.xml><?xml version="1.0" encoding="utf-8"?>
<ds:datastoreItem xmlns:ds="http://schemas.openxmlformats.org/officeDocument/2006/customXml" ds:itemID="{ADC146D0-807C-44AA-9A06-51FA38B5E60F}">
  <ds:schemaRefs/>
</ds:datastoreItem>
</file>

<file path=customXml/itemProps15.xml><?xml version="1.0" encoding="utf-8"?>
<ds:datastoreItem xmlns:ds="http://schemas.openxmlformats.org/officeDocument/2006/customXml" ds:itemID="{D935AE82-1B4A-455F-9B26-99DAC6F8924F}">
  <ds:schemaRefs/>
</ds:datastoreItem>
</file>

<file path=customXml/itemProps16.xml><?xml version="1.0" encoding="utf-8"?>
<ds:datastoreItem xmlns:ds="http://schemas.openxmlformats.org/officeDocument/2006/customXml" ds:itemID="{0720D362-99FC-4441-9DB2-A831ADAF562C}">
  <ds:schemaRefs/>
</ds:datastoreItem>
</file>

<file path=customXml/itemProps17.xml><?xml version="1.0" encoding="utf-8"?>
<ds:datastoreItem xmlns:ds="http://schemas.openxmlformats.org/officeDocument/2006/customXml" ds:itemID="{ABDB64DC-B77C-4A37-A752-35B6708AB56D}">
  <ds:schemaRefs/>
</ds:datastoreItem>
</file>

<file path=customXml/itemProps18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29</vt:i4>
      </vt:variant>
    </vt:vector>
  </HeadingPairs>
  <TitlesOfParts>
    <vt:vector size="57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2026-07-24T12:52:14Z</cp:lastPrinted>
  <dcterms:created xsi:type="dcterms:W3CDTF">2019-10-05T07:51:15Z</dcterms:created>
  <dcterms:modified xsi:type="dcterms:W3CDTF">2026-08-09T09:46:42Z</dcterms:modified>
  <cp:category/>
  <cp:contentStatus/>
</cp:coreProperties>
</file>