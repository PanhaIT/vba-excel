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ks_system\database\"/>
    </mc:Choice>
  </mc:AlternateContent>
  <xr:revisionPtr revIDLastSave="0" documentId="13_ncr:1_{6D4D085E-D627-4944-837A-ECC2F2D98C68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externalReferences>
    <externalReference r:id="rId29"/>
  </externalReferences>
  <definedNames>
    <definedName name="_xlnm._FilterDatabase" localSheetId="15" hidden="1">'1_group_total_details'!$C$7:$L$16</definedName>
    <definedName name="_xlnm._FilterDatabase" localSheetId="18" hidden="1">'1_inventory_total_details'!$C$7:$K$7</definedName>
    <definedName name="_xlnm._FilterDatabase" localSheetId="20" hidden="1">'2_inventory_total_details'!$C$7:$K$7</definedName>
    <definedName name="_xlnm._FilterDatabase" localSheetId="9" hidden="1">GeneralLedgerDetail!$C$7:$AD$34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inventories!$C$7:$AD$19</definedName>
    <definedName name="_xlnm._FilterDatabase" localSheetId="3" hidden="1">InventoryValuation!$C$7:$AI$34</definedName>
    <definedName name="_xlnm._FilterDatabase" localSheetId="25" hidden="1">PurchaseBillDetail!$C$7:$AE$36</definedName>
    <definedName name="_xlnm._FilterDatabase" localSheetId="22" hidden="1">QuoteDetailData!$C$7:$Z$10</definedName>
    <definedName name="_xlnm._FilterDatabase" localSheetId="10" hidden="1">SaleInvoiceData!$C$7:$AI$894</definedName>
    <definedName name="_xlnm._FilterDatabase" localSheetId="11" hidden="1">SalesByItemData!$C$7:$AB$1509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_xlnm.Print_Area" localSheetId="27">'( 3)'!$B$2:$I$48</definedName>
    <definedName name="_xlnm.Print_Area" localSheetId="26">'(1 )'!$B$2:$I$45</definedName>
    <definedName name="_xlnm.Print_Area" localSheetId="1">Home!$C$1:$F$5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SaleInvoiceData!$E$3:$AE$894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QuoteData!$C$8:$AH$10000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836" l="1"/>
  <c r="M9" i="836"/>
  <c r="M10" i="836"/>
  <c r="M11" i="836"/>
  <c r="M12" i="836"/>
  <c r="M13" i="836"/>
  <c r="M14" i="836"/>
  <c r="M15" i="836"/>
  <c r="M16" i="836"/>
  <c r="M17" i="836"/>
  <c r="M18" i="836"/>
  <c r="M19" i="836"/>
  <c r="M20" i="836"/>
  <c r="M21" i="836"/>
  <c r="M22" i="836"/>
  <c r="M23" i="836"/>
  <c r="M24" i="836"/>
  <c r="M25" i="836"/>
  <c r="M26" i="836"/>
  <c r="M27" i="836"/>
  <c r="M28" i="836"/>
  <c r="M29" i="836"/>
  <c r="M30" i="836"/>
  <c r="M31" i="836"/>
  <c r="M32" i="836"/>
  <c r="M33" i="836"/>
  <c r="M34" i="836"/>
  <c r="M35" i="836"/>
  <c r="M36" i="836"/>
  <c r="M37" i="836"/>
  <c r="M38" i="836"/>
  <c r="M39" i="836"/>
  <c r="M40" i="836"/>
  <c r="M41" i="836"/>
  <c r="M42" i="836"/>
  <c r="M43" i="836"/>
  <c r="M44" i="836"/>
  <c r="M45" i="836"/>
  <c r="M46" i="836"/>
  <c r="U8" i="807"/>
  <c r="U3" i="216"/>
  <c r="L9" i="836"/>
  <c r="L10" i="836"/>
  <c r="L11" i="836"/>
  <c r="L12" i="836"/>
  <c r="L13" i="836"/>
  <c r="L14" i="836"/>
  <c r="L15" i="836"/>
  <c r="L16" i="836"/>
  <c r="L17" i="836"/>
  <c r="L18" i="836"/>
  <c r="L19" i="836"/>
  <c r="L20" i="836"/>
  <c r="L21" i="836"/>
  <c r="L22" i="836"/>
  <c r="L23" i="836"/>
  <c r="L24" i="836"/>
  <c r="L25" i="836"/>
  <c r="L26" i="836"/>
  <c r="L27" i="836"/>
  <c r="L28" i="836"/>
  <c r="L29" i="836"/>
  <c r="L30" i="836"/>
  <c r="L31" i="836"/>
  <c r="L32" i="836"/>
  <c r="L33" i="836"/>
  <c r="L34" i="836"/>
  <c r="L35" i="836"/>
  <c r="L36" i="836"/>
  <c r="L37" i="836"/>
  <c r="L38" i="836"/>
  <c r="L39" i="836"/>
  <c r="L40" i="836"/>
  <c r="L41" i="836"/>
  <c r="L42" i="836"/>
  <c r="L43" i="836"/>
  <c r="L44" i="836"/>
  <c r="L45" i="836"/>
  <c r="L46" i="836"/>
  <c r="L8" i="836"/>
  <c r="D41" i="26" l="1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C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T42" authorId="0" shapeId="0" xr:uid="{DADFFDA6-2B73-4A1A-8E18-F480C9E4F8D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3" authorId="0" shapeId="0" xr:uid="{CD1667DF-0A38-406E-AD4B-AA0A6D833F1D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4" authorId="0" shapeId="0" xr:uid="{6EC67037-ED8F-4027-9E62-68A4BF9DA428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<sst xmlns="http://schemas.openxmlformats.org/spreadsheetml/2006/main" count="1998" uniqueCount="682">
  <si>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</si>
  <si>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</si>
  <si>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</si>
  <si>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</si>
  <si>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</si>
  <si>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</si>
  <si>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</si>
  <si>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</si>
  <si>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</si>
  <si>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</si>
  <si>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</si>
  <si>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</si>
  <si>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</si>
  <si>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</si>
  <si>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</si>
  <si>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</si>
  <si>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</si>
  <si>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</si>
  <si>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</si>
  <si>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</si>
  <si>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</si>
  <si>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</si>
  <si>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</si>
  <si>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</si>
  <si>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</si>
  <si>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</si>
  <si>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</si>
  <si>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</si>
  <si>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</si>
  <si>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</si>
  <si>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</si>
  <si>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</si>
  <si>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</si>
  <si>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</si>
  <si>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</si>
  <si>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</si>
  <si>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</si>
  <si>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</si>
  <si>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</si>
  <si>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</si>
  <si>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</si>
  <si>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</si>
  <si>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</si>
  <si>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</si>
  <si>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</si>
  <si>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</si>
  <si>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</si>
  <si>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</si>
  <si>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</si>
  <si>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</si>
  <si>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</si>
  <si>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</si>
  <si>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</si>
  <si>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</si>
  <si>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</si>
  <si>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</si>
  <si>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</si>
  <si>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</si>
  <si>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</si>
  <si>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</si>
  <si>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</si>
  <si>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</si>
  <si>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</si>
  <si>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</si>
  <si>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</si>
  <si>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</si>
  <si>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</si>
  <si>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</si>
  <si>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</si>
  <si>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</si>
  <si>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</si>
  <si>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</si>
  <si>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</si>
  <si>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</si>
  <si>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</si>
  <si>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</si>
  <si>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</si>
  <si>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</si>
  <si>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</si>
  <si>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</si>
  <si>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</si>
  <si>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</si>
  <si>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</si>
  <si>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</si>
  <si>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</si>
  <si>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</si>
  <si>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</si>
  <si>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</si>
  <si>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</si>
  <si>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</si>
  <si>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</si>
  <si>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</si>
  <si>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</si>
  <si>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</si>
  <si>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</si>
  <si>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</si>
  <si>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</si>
  <si>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</si>
  <si>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</si>
  <si>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</si>
  <si>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</si>
  <si>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</si>
  <si>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</si>
  <si>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</si>
  <si>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</si>
  <si>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</si>
  <si>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</si>
  <si>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</si>
  <si>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</si>
  <si>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</si>
  <si>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</si>
  <si>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</si>
  <si>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</si>
  <si>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</si>
  <si>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</si>
  <si>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</si>
  <si>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</si>
  <si>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</si>
  <si>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</si>
  <si>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</si>
  <si>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</si>
  <si>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</si>
  <si>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</si>
  <si>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</si>
  <si>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</si>
  <si>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</si>
  <si>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</si>
  <si>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</si>
  <si>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</si>
  <si>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</si>
  <si>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</si>
  <si>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</si>
  <si>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</si>
  <si>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</si>
  <si>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</si>
  <si>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</si>
  <si>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</si>
  <si>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</si>
  <si>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</si>
  <si>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</si>
  <si>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</si>
  <si>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</si>
  <si>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</si>
  <si>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</si>
  <si>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</si>
  <si>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</si>
  <si>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</si>
  <si>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</si>
  <si>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</si>
  <si>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</si>
  <si>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</si>
  <si>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</si>
  <si>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</si>
  <si>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</si>
  <si>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</si>
  <si>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</si>
  <si>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</si>
  <si>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</si>
  <si>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</si>
  <si>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</si>
  <si>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</si>
  <si>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</si>
  <si>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</si>
  <si>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</si>
  <si>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</si>
  <si>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</si>
  <si>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</si>
  <si>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</si>
  <si>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</si>
  <si>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</si>
  <si>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</si>
  <si>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</si>
  <si>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</si>
  <si>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</si>
  <si>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</si>
  <si>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</si>
  <si>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</si>
  <si>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</si>
  <si>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</si>
  <si>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</si>
  <si>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</si>
  <si>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</si>
  <si>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</si>
  <si>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</si>
  <si>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</si>
  <si>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</si>
  <si>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</si>
  <si>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</si>
  <si>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</si>
  <si>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</si>
  <si>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</si>
  <si>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</si>
  <si>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</si>
  <si>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</si>
  <si>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</si>
  <si>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</si>
  <si>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</si>
  <si>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</si>
  <si>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</si>
  <si>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</si>
  <si>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</si>
  <si>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</si>
  <si>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</si>
  <si>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</si>
  <si>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</si>
  <si>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</si>
  <si>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</si>
  <si>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</si>
  <si>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</si>
  <si>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</si>
  <si>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</si>
  <si>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</si>
  <si>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</si>
  <si>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</si>
  <si>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</si>
  <si>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</si>
  <si>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</si>
  <si>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</si>
  <si>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</si>
  <si>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</si>
  <si>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</si>
  <si>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</si>
  <si>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</si>
  <si>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</si>
  <si>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</si>
  <si>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</si>
  <si>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</si>
  <si>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</si>
  <si>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</si>
  <si>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</si>
  <si>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</si>
  <si>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</si>
  <si>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</si>
  <si>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</si>
  <si>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</si>
  <si>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</si>
  <si>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</si>
  <si>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</si>
  <si>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</si>
  <si>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</si>
  <si>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</si>
  <si>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</si>
  <si>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</si>
  <si>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</si>
  <si>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</si>
  <si>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</si>
  <si>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</si>
  <si>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</si>
  <si>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</si>
  <si>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</si>
  <si>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</si>
  <si>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</si>
  <si>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</si>
  <si>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</si>
  <si>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</si>
  <si>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</si>
  <si>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</si>
  <si>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</si>
  <si>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</si>
  <si>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</si>
  <si>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</si>
  <si>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</si>
  <si>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</si>
  <si>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</si>
  <si>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</si>
  <si>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</si>
  <si>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</si>
  <si>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</si>
  <si>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</si>
  <si>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</si>
  <si>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</si>
  <si>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</si>
  <si>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</si>
  <si>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</si>
  <si>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</si>
  <si>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</si>
  <si>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</si>
  <si>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</si>
  <si>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</si>
  <si>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</si>
  <si>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</si>
  <si>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សាប៊ូបញ្ចុះតម្លៃ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</si>
  <si>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</si>
  <si>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</si>
  <si>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</si>
  <si>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</si>
  <si>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</si>
  <si>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</si>
  <si>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</si>
  <si>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</si>
  <si>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</si>
  <si>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</si>
  <si>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</si>
  <si>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</si>
  <si>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</si>
  <si>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</si>
  <si>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</si>
  <si>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</si>
  <si>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</si>
  <si>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</si>
  <si>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</si>
  <si>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</si>
  <si>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</si>
  <si>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</si>
  <si>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</si>
  <si>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</si>
  <si>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</si>
  <si>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</si>
  <si>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</si>
  <si>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</si>
  <si>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</si>
  <si>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</si>
  <si>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</si>
  <si>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</si>
  <si>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</si>
  <si>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</si>
  <si>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</si>
  <si>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</si>
  <si>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</si>
  <si>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</si>
  <si>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</si>
  <si>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</si>
  <si>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</si>
  <si>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</si>
  <si>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</si>
  <si>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</si>
  <si>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</si>
  <si>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</si>
  <si>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</si>
  <si>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</si>
  <si>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</si>
  <si>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</si>
  <si>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</si>
  <si>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</si>
  <si>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</si>
  <si>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</si>
  <si>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</si>
  <si>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</si>
  <si>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</si>
  <si>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</si>
  <si>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</si>
  <si>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</si>
  <si>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</si>
  <si>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</si>
  <si>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</si>
  <si>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</si>
  <si>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</si>
  <si>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</si>
  <si>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</si>
  <si>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amount_us</t>
  </si>
  <si>
    <t>amount_other</t>
  </si>
  <si>
    <t>discount_us</t>
  </si>
  <si>
    <t>discount_percent</t>
  </si>
  <si>
    <t>discount_other</t>
  </si>
  <si>
    <t>total_amount</t>
  </si>
  <si>
    <t>total_amount_other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</si>
  <si>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</si>
  <si>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</si>
  <si>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</si>
  <si>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</si>
  <si>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</si>
  <si>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</si>
  <si>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</si>
  <si>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</si>
  <si>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deposit_to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</si>
  <si>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</si>
  <si>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</si>
  <si>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</si>
  <si>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</si>
  <si>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</si>
  <si>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</si>
  <si>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</si>
  <si>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</si>
  <si>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</si>
  <si>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</si>
  <si>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</si>
  <si>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</si>
  <si>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</si>
  <si>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</si>
  <si>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</si>
  <si>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</si>
  <si>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</si>
  <si>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</si>
  <si>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</si>
  <si>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</si>
  <si>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</si>
  <si>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</si>
  <si>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</si>
  <si>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</si>
  <si>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</si>
  <si>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</si>
  <si>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</si>
  <si>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</si>
  <si>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</si>
  <si>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</si>
  <si>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</si>
  <si>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</si>
  <si>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</si>
  <si>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</si>
  <si>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</si>
  <si>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</si>
  <si>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</si>
  <si>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</si>
  <si>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</si>
  <si>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</si>
  <si>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</si>
  <si>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</si>
  <si>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</si>
  <si>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</si>
  <si>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</si>
  <si>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</si>
  <si>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</si>
  <si>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</si>
  <si>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</si>
  <si>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</si>
  <si>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</si>
  <si>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</si>
  <si>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</si>
  <si>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</si>
  <si>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</si>
  <si>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</si>
  <si>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</si>
  <si>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</si>
  <si>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</si>
  <si>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</si>
  <si>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</si>
  <si>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</si>
  <si>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</si>
  <si>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</si>
  <si>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</si>
  <si>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</si>
  <si>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</si>
  <si>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</si>
  <si>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</si>
  <si>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</si>
  <si>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</si>
  <si>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</si>
  <si>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</si>
  <si>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</si>
  <si>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</si>
  <si>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</si>
  <si>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</si>
  <si>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</si>
  <si>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</si>
  <si>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</si>
  <si>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</si>
  <si>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</si>
  <si>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</si>
  <si>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</si>
  <si>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</si>
  <si>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</si>
  <si>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</si>
  <si>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</si>
  <si>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</si>
  <si>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</si>
  <si>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</si>
  <si>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</si>
  <si>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</si>
  <si>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</si>
  <si>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</si>
  <si>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</si>
  <si>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</si>
  <si>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</si>
  <si>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</si>
  <si>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</si>
  <si>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</si>
  <si>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</si>
  <si>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</si>
  <si>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</si>
  <si>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</si>
  <si>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</si>
  <si>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</si>
  <si>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</si>
  <si>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</si>
  <si>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</si>
  <si>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</si>
  <si>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</si>
  <si>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</si>
  <si>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</si>
  <si>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</si>
  <si>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</si>
  <si>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</si>
  <si>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D:\1_Documents\1_Companies\</t>
  </si>
  <si>
    <t>ចុចប៊ូតុងខាងក្រោម ដើម្បីចូលទៅតារាងទិន្នន័យនីមួយៗ</t>
  </si>
  <si>
    <t>Tax Inv Code</t>
  </si>
  <si>
    <t>Tax Inv No</t>
  </si>
  <si>
    <t>DKS0001</t>
  </si>
  <si>
    <t xml:space="preserve">ទីប​100(8.5) CHIP MONG </t>
  </si>
  <si>
    <t>DKS0176</t>
  </si>
  <si>
    <t xml:space="preserve">ស៊ីម៉ង​ V CHIP MONG </t>
  </si>
  <si>
    <t>Main Module</t>
  </si>
  <si>
    <t>Sub Module</t>
  </si>
  <si>
    <t>Main Folder Path</t>
  </si>
  <si>
    <t>Folder</t>
  </si>
  <si>
    <t>Sub Folder 1</t>
  </si>
  <si>
    <t>Sub Folder 2</t>
  </si>
  <si>
    <t>Sub Folder 3</t>
  </si>
  <si>
    <t>Folder Path</t>
  </si>
  <si>
    <t>Open Folder</t>
  </si>
  <si>
    <t>database</t>
  </si>
  <si>
    <t>ks_system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</si>
  <si>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</si>
  <si>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</si>
  <si>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</si>
  <si>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</si>
  <si>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</si>
  <si>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</si>
  <si>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</si>
  <si>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</si>
  <si>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</si>
  <si>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</si>
  <si>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</si>
  <si>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</si>
  <si>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</si>
  <si>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</si>
  <si>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</si>
  <si>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</si>
  <si>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</si>
  <si>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</si>
  <si>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</si>
  <si>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</si>
  <si>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</si>
  <si>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</si>
  <si>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</si>
  <si>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</si>
  <si>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</si>
  <si>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</si>
  <si>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</si>
  <si>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</si>
  <si>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</si>
  <si>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</si>
  <si>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</si>
  <si>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</si>
  <si>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</si>
  <si>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</si>
  <si>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</si>
  <si>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</si>
  <si>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</si>
  <si>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</si>
  <si>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</si>
  <si>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</si>
  <si>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</si>
  <si>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</si>
  <si>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</si>
  <si>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</si>
  <si>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</si>
  <si>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</si>
  <si>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</si>
  <si>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</si>
  <si>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</si>
  <si>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</si>
  <si>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</si>
  <si>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</si>
  <si>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</si>
  <si>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</si>
  <si>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</si>
  <si>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DKS0081</t>
  </si>
  <si>
    <t xml:space="preserve">ព្រីភ្លើង​ 5m រុន6 China </t>
  </si>
  <si>
    <t>KSADJ26-0001</t>
  </si>
  <si>
    <t/>
  </si>
  <si>
    <t>001.ហឿត ចន្ត្រា (HOEURT CHANTRA)</t>
  </si>
  <si>
    <t>Inventory Adjust</t>
  </si>
  <si>
    <t>Inv Adj</t>
  </si>
  <si>
    <t>026.Box/12pcs</t>
  </si>
  <si>
    <t xml:space="preserve">ICS: Inventory adjustment for product # DKS0081 ព្រីភ្លើង​ 5m រុន6 China </t>
  </si>
  <si>
    <t>KSPB26-0001</t>
  </si>
  <si>
    <t>ក្រុមហ៊ុនជីប ម៉ុង (CHIP MONG)</t>
  </si>
  <si>
    <t>Bill</t>
  </si>
  <si>
    <t>pcs</t>
  </si>
  <si>
    <t>Purchase</t>
  </si>
  <si>
    <t>Box/12pcs</t>
  </si>
  <si>
    <t>Ton/20Be</t>
  </si>
  <si>
    <t>KSINV26-0001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</si>
  <si>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</si>
  <si>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</si>
  <si>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</si>
  <si>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</si>
  <si>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</si>
  <si>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</si>
  <si>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 xml:space="preserve">ICS: Inventory for INV # CI2026-0001 Product # DKS0081 ព្រីភ្លើង​ 5m រុន6 China </t>
  </si>
  <si>
    <t xml:space="preserve">ICS: COGS for INV # CI2026-0001 Product # DKS0081 ព្រីភ្លើង​ 5m រុន6 China </t>
  </si>
  <si>
    <t xml:space="preserve">ICS: INV # CI2026-0001 Product # DKS0081 ព្រីភ្លើង​ 5m រុន6 China </t>
  </si>
  <si>
    <t>KSPB26-0002</t>
  </si>
  <si>
    <t>CI2026-0002</t>
  </si>
  <si>
    <t>ICS: INV # CI2026-0002</t>
  </si>
  <si>
    <t xml:space="preserve">ICS: Inventory for INV # CI2026-0002 Product # DKS0081 ព្រីភ្លើង​ 5m រុន6 China </t>
  </si>
  <si>
    <t xml:space="preserve">ICS: COGS for INV # CI2026-0002 Product # DKS0081 ព្រីភ្លើង​ 5m រុន6 China </t>
  </si>
  <si>
    <t xml:space="preserve">ICS: INV # CI2026-0002 Product # DKS0081 ព្រីភ្លើង​ 5m រុន6 China </t>
  </si>
  <si>
    <t>KSADJ26-0002</t>
  </si>
  <si>
    <t>KSPB26-0003</t>
  </si>
  <si>
    <t>CI2026-0003</t>
  </si>
  <si>
    <t>ICS: INV # CI2026-0003</t>
  </si>
  <si>
    <t xml:space="preserve">ICS: Inventory for INV # CI2026-0003 Product # DKS0081 ព្រីភ្លើង​ 5m រុន6 China </t>
  </si>
  <si>
    <t xml:space="preserve">ICS: COGS for INV # CI2026-0003 Product # DKS0081 ព្រីភ្លើង​ 5m រុន6 China </t>
  </si>
  <si>
    <t xml:space="preserve">ICS: INV # CI2026-0003 Product # DKS0081 ព្រីភ្លើង​ 5m រុន6 China </t>
  </si>
  <si>
    <t>KSINV26-0002</t>
  </si>
  <si>
    <t>CI2026-0004</t>
  </si>
  <si>
    <t>ICS: INV # CI2026-0004</t>
  </si>
  <si>
    <t xml:space="preserve">ICS: Inventory for INV # CI2026-0004 Product # DKS0081 ព្រីភ្លើង​ 5m រុន6 China </t>
  </si>
  <si>
    <t xml:space="preserve">ICS: COGS for INV # CI2026-0004 Product # DKS0081 ព្រីភ្លើង​ 5m រុន6 China </t>
  </si>
  <si>
    <t xml:space="preserve">ICS: INV # CI2026-0004 Product # DKS0081 ព្រីភ្លើង​ 5m រុន6 China </t>
  </si>
  <si>
    <t>KSPB26-0004</t>
  </si>
  <si>
    <t>KSPB26-0005</t>
  </si>
  <si>
    <t>ICS: PB # KSPB26-0005</t>
  </si>
  <si>
    <t xml:space="preserve">ICS: PB # KSPB26-0005 Product # DKS0081 ព្រីភ្លើង​ 5m រុន6 China </t>
  </si>
  <si>
    <t>KSPB26-0006</t>
  </si>
  <si>
    <t>ICS: PB # KSPB26-0006</t>
  </si>
  <si>
    <t xml:space="preserve">ICS: PB # KSPB26-0006 Product # DKS0081 ព្រីភ្លើង​ 5m រុន6 China </t>
  </si>
  <si>
    <t>KSPB26-0007</t>
  </si>
  <si>
    <t>ICS: PB # KSPB26-0007</t>
  </si>
  <si>
    <t xml:space="preserve">ICS: PB # KSPB26-0007 Product # DKS0081 ព្រីភ្លើង​ 5m រុន6 China </t>
  </si>
  <si>
    <t>ព្រុំ សុភា (Prom Sophea)</t>
  </si>
  <si>
    <t>KSADJ26-0003</t>
  </si>
  <si>
    <t>002.pcs</t>
  </si>
  <si>
    <t xml:space="preserve">ICS: Inventory adjustment for product # DKS0001 ទីប​100(8.5) CHIP MONG </t>
  </si>
  <si>
    <t>DKS0002</t>
  </si>
  <si>
    <t xml:space="preserve">ទប80(8.5) CHIP MONG </t>
  </si>
  <si>
    <t xml:space="preserve">ICS: Inventory adjustment for product # DKS0002 ទប80(8.5) CHIP MONG </t>
  </si>
  <si>
    <t>DKS0003</t>
  </si>
  <si>
    <t xml:space="preserve">ទីប75(8.5) CHIP MONG </t>
  </si>
  <si>
    <t xml:space="preserve">ICS: Inventory adjustment for product # DKS0003 ទីប75(8.5) CHIP MONG </t>
  </si>
  <si>
    <t>DKS0004</t>
  </si>
  <si>
    <t xml:space="preserve">ទីប60(8.5) CHIP MONG </t>
  </si>
  <si>
    <t xml:space="preserve">ICS: Inventory adjustment for product # DKS0004 ទីប60(8.5) CHIP MONG </t>
  </si>
  <si>
    <t>DKS0005</t>
  </si>
  <si>
    <t xml:space="preserve">ទីប49(8.5) CHIP MONG </t>
  </si>
  <si>
    <t xml:space="preserve">ICS: Inventory adjustment for product # DKS0005 ទីប49(8.5) CHIP MONG </t>
  </si>
  <si>
    <t>KSPB26-0008</t>
  </si>
  <si>
    <t>ICS: PB # KSPB26-0008</t>
  </si>
  <si>
    <t xml:space="preserve">ICS: PB # KSPB26-0008 Product # DKS0001 ទីប​100(8.5) CHIP MONG </t>
  </si>
  <si>
    <t xml:space="preserve">ICS: PB # KSPB26-0008 Product # DKS0002 ទប80(8.5) CHIP MONG </t>
  </si>
  <si>
    <t xml:space="preserve">ICS: PB # KSPB26-0008 Product # DKS0003 ទីប75(8.5) CHIP MONG </t>
  </si>
  <si>
    <t xml:space="preserve">ICS: PB # KSPB26-0008 Product # DKS0004 ទីប60(8.5) CHIP MONG </t>
  </si>
  <si>
    <t xml:space="preserve">ICS: PB # KSPB26-0008 Product # DKS0005 ទីប49(8.5) CHIP MONG </t>
  </si>
  <si>
    <t>DKS0006</t>
  </si>
  <si>
    <t xml:space="preserve">ទីប42(8.5) CHIP MONG </t>
  </si>
  <si>
    <t xml:space="preserve">ICS: PB # KSPB26-0008 Product # DKS0006 ទីប42(8.5) CHIP MONG </t>
  </si>
  <si>
    <t>DKS0007</t>
  </si>
  <si>
    <t xml:space="preserve">ទីប34(8.5) CHIP MONG </t>
  </si>
  <si>
    <t xml:space="preserve">ICS: PB # KSPB26-0008 Product # DKS0007 ទីប34(8.5) CHIP MONG </t>
  </si>
  <si>
    <t>DKS0008</t>
  </si>
  <si>
    <t xml:space="preserve">ទីប27(8.5) CHIP MONG </t>
  </si>
  <si>
    <t xml:space="preserve">ICS: PB # KSPB26-0008 Product # DKS0008 ទីប27(8.5) CHIP MONG </t>
  </si>
  <si>
    <t>DKS0009</t>
  </si>
  <si>
    <t xml:space="preserve">ទីប21(8.5) CHIP MONG </t>
  </si>
  <si>
    <t xml:space="preserve">ICS: PB # KSPB26-0008 Product # DKS0009 ទីប21(8.5) CHIP MONG </t>
  </si>
  <si>
    <t>DKS0010</t>
  </si>
  <si>
    <t xml:space="preserve">ទីប​100(8.5) ECO PIPE </t>
  </si>
  <si>
    <t xml:space="preserve">ICS: PB # KSPB26-0008 Product # DKS0010 ទីប​100(8.5) ECO PIPE </t>
  </si>
  <si>
    <t>KSINV26-0003</t>
  </si>
  <si>
    <t>CI2026-0005</t>
  </si>
  <si>
    <t>ICS: INV # CI2026-0005</t>
  </si>
  <si>
    <t xml:space="preserve">ICS: Inventory for INV # CI2026-0005 Product # DKS0001 ទីប​100(8.5) CHIP MONG </t>
  </si>
  <si>
    <t xml:space="preserve">ICS: COGS for INV # CI2026-0005 Product # DKS0001 ទីប​100(8.5) CHIP MONG </t>
  </si>
  <si>
    <t xml:space="preserve">ICS: INV # CI2026-0005 Product # DKS0001 ទីប​100(8.5) CHIP MONG </t>
  </si>
  <si>
    <t xml:space="preserve">ICS: Inventory for INV # CI2026-0005 Product # DKS0002 ទប80(8.5) CHIP MONG </t>
  </si>
  <si>
    <t xml:space="preserve">ICS: COGS for INV # CI2026-0005 Product # DKS0002 ទប80(8.5) CHIP MONG </t>
  </si>
  <si>
    <t xml:space="preserve">ICS: INV # CI2026-0005 Product # DKS0002 ទប80(8.5) CHIP MONG </t>
  </si>
  <si>
    <t xml:space="preserve">ICS: Inventory for INV # CI2026-0005 Product # DKS0003 ទីប75(8.5) CHIP MONG </t>
  </si>
  <si>
    <t xml:space="preserve">ICS: COGS for INV # CI2026-0005 Product # DKS0003 ទីប75(8.5) CHIP MONG </t>
  </si>
  <si>
    <t xml:space="preserve">ICS: INV # CI2026-0005 Product # DKS0003 ទីប75(8.5) CHIP MONG </t>
  </si>
  <si>
    <t xml:space="preserve">ICS: Inventory for INV # CI2026-0005 Product # DKS0004 ទីប60(8.5) CHIP MONG </t>
  </si>
  <si>
    <t xml:space="preserve">ICS: COGS for INV # CI2026-0005 Product # DKS0004 ទីប60(8.5) CHIP MONG </t>
  </si>
  <si>
    <t xml:space="preserve">ICS: INV # CI2026-0005 Product # DKS0004 ទីប60(8.5) CHIP MONG </t>
  </si>
  <si>
    <t xml:space="preserve">ICS: Inventory for INV # CI2026-0005 Product # DKS0005 ទីប49(8.5) CHIP MONG </t>
  </si>
  <si>
    <t xml:space="preserve">ICS: COGS for INV # CI2026-0005 Product # DKS0005 ទីប49(8.5) CHIP MONG </t>
  </si>
  <si>
    <t xml:space="preserve">ICS: INV # CI2026-0005 Product # DKS0005 ទីប49(8.5) CHIP MONG </t>
  </si>
  <si>
    <t xml:space="preserve">ICS: Inventory for INV # CI2026-0005 Product # DKS0006 ទីប42(8.5) CHIP MONG </t>
  </si>
  <si>
    <t xml:space="preserve">ICS: COGS for INV # CI2026-0005 Product # DKS0006 ទីប42(8.5) CHIP MONG </t>
  </si>
  <si>
    <t xml:space="preserve">ICS: INV # CI2026-0005 Product # DKS0006 ទីប42(8.5) CHIP MONG </t>
  </si>
  <si>
    <t xml:space="preserve">ICS: Inventory for INV # CI2026-0005 Product # DKS0007 ទីប34(8.5) CHIP MONG </t>
  </si>
  <si>
    <t xml:space="preserve">ICS: COGS for INV # CI2026-0005 Product # DKS0007 ទីប34(8.5) CHIP MONG </t>
  </si>
  <si>
    <t xml:space="preserve">ICS: INV # CI2026-0005 Product # DKS0007 ទីប34(8.5) CHIP MONG </t>
  </si>
  <si>
    <t xml:space="preserve">ICS: Inventory for INV # CI2026-0005 Product # DKS0008 ទីប27(8.5) CHIP MONG </t>
  </si>
  <si>
    <t xml:space="preserve">ICS: COGS for INV # CI2026-0005 Product # DKS0008 ទីប27(8.5) CHIP MONG </t>
  </si>
  <si>
    <t xml:space="preserve">ICS: INV # CI2026-0005 Product # DKS0008 ទីប27(8.5) CHIP MONG </t>
  </si>
  <si>
    <t xml:space="preserve">ICS: Inventory for INV # CI2026-0005 Product # DKS0009 ទីប21(8.5) CHIP MONG </t>
  </si>
  <si>
    <t xml:space="preserve">ICS: COGS for INV # CI2026-0005 Product # DKS0009 ទីប21(8.5) CHIP MONG </t>
  </si>
  <si>
    <t xml:space="preserve">ICS: INV # CI2026-0005 Product # DKS0009 ទីប21(8.5) CHIP MONG </t>
  </si>
  <si>
    <t xml:space="preserve">ICS: Inventory for INV # CI2026-0005 Product # DKS0010 ទីប​100(8.5) ECO PIPE </t>
  </si>
  <si>
    <t xml:space="preserve">ICS: COGS for INV # CI2026-0005 Product # DKS0010 ទីប​100(8.5) ECO PIPE </t>
  </si>
  <si>
    <t xml:space="preserve">ICS: INV # CI2026-0005 Product # DKS0010 ទីប​100(8.5) ECO PIPE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</si>
</sst>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</numFmts>
  <fonts count="9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0"/>
      <name val="Content"/>
    </font>
    <font>
      <sz val="11"/>
      <color theme="1"/>
      <name val="Roboto Medium"/>
    </font>
    <font>
      <sz val="10"/>
      <color theme="0"/>
      <name val="Content"/>
    </font>
    <font>
      <sz val="10"/>
      <color theme="0"/>
      <name val="Calibri"/>
      <family val="2"/>
      <scheme val="minor"/>
    </font>
    <font>
      <sz val="11"/>
      <color rgb="FF003399"/>
      <name val="Roboto"/>
    </font>
    <font>
      <sz val="12"/>
      <color rgb="FF000099"/>
      <name val="Content"/>
    </font>
    <font>
      <sz val="12"/>
      <color theme="1"/>
      <name val="Khmer OS Battambang"/>
    </font>
    <font>
      <sz val="12"/>
      <color rgb="FF000099"/>
      <name val="Roboto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1"/>
      <color rgb="FF0070C0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4"/>
      <color rgb="FF0066CC"/>
      <name val="Kh Muol"/>
    </font>
    <font>
      <sz val="14"/>
      <color rgb="FF0066CC"/>
      <name val="Roboto Medium"/>
    </font>
    <font>
      <sz val="20"/>
      <color rgb="FF0066CC"/>
      <name val="Kh Muol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0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26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</cellStyleXfs>
  <cellXfs count="462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40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1" fontId="52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54" fillId="0" borderId="0" xfId="0" applyFont="1" applyAlignment="1">
      <alignment vertical="center"/>
    </xf>
    <xf numFmtId="0" fontId="55" fillId="0" borderId="0" xfId="0" applyFont="1"/>
    <xf numFmtId="0" fontId="46" fillId="0" borderId="0" xfId="0" applyFont="1" applyAlignment="1">
      <alignment horizontal="center" vertical="center"/>
    </xf>
    <xf numFmtId="14" fontId="0" fillId="0" borderId="0" xfId="0" applyNumberFormat="1"/>
    <xf numFmtId="168" fontId="0" fillId="0" borderId="0" xfId="0" applyNumberFormat="1"/>
    <xf numFmtId="0" fontId="58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60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51" fillId="0" borderId="28" xfId="0" applyNumberFormat="1" applyFont="1" applyBorder="1" applyAlignment="1">
      <alignment horizontal="left" vertical="center" wrapText="1"/>
    </xf>
    <xf numFmtId="49" fontId="51" fillId="0" borderId="28" xfId="0" applyNumberFormat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1" fillId="0" borderId="0" xfId="0" applyFont="1" applyAlignment="1">
      <alignment horizontal="right" vertical="center"/>
    </xf>
    <xf numFmtId="49" fontId="5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62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0" borderId="0" xfId="0" applyFont="1"/>
    <xf numFmtId="0" fontId="45" fillId="0" borderId="0" xfId="0" applyFont="1" applyAlignment="1">
      <alignment horizontal="left" vertical="center"/>
    </xf>
    <xf numFmtId="14" fontId="40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48" fillId="0" borderId="0" xfId="0" applyFont="1"/>
    <xf numFmtId="0" fontId="39" fillId="0" borderId="0" xfId="0" applyFont="1" applyAlignment="1">
      <alignment horizontal="left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49" fontId="36" fillId="0" borderId="0" xfId="0" applyNumberFormat="1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6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39" fillId="0" borderId="0" xfId="0" applyFont="1" applyAlignment="1">
      <alignment vertical="top"/>
    </xf>
    <xf numFmtId="0" fontId="64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65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51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51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7" fontId="50" fillId="0" borderId="32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6" fillId="0" borderId="0" xfId="0" applyFont="1" applyAlignment="1">
      <alignment horizontal="center" vertical="center"/>
    </xf>
    <xf numFmtId="0" fontId="62" fillId="0" borderId="0" xfId="0" applyFont="1" applyAlignment="1">
      <alignment vertical="center"/>
    </xf>
    <xf numFmtId="0" fontId="62" fillId="0" borderId="0" xfId="0" applyFont="1" applyAlignment="1">
      <alignment horizontal="center" vertical="center"/>
    </xf>
    <xf numFmtId="0" fontId="36" fillId="4" borderId="33" xfId="0" applyFont="1" applyFill="1" applyBorder="1" applyAlignment="1">
      <alignment horizontal="center" vertical="center"/>
    </xf>
    <xf numFmtId="0" fontId="53" fillId="0" borderId="0" xfId="0" applyFont="1"/>
    <xf numFmtId="0" fontId="7" fillId="0" borderId="33" xfId="0" applyFont="1" applyBorder="1" applyAlignment="1">
      <alignment horizontal="center" vertical="center" wrapText="1"/>
    </xf>
    <xf numFmtId="168" fontId="36" fillId="0" borderId="33" xfId="0" applyNumberFormat="1" applyFont="1" applyBorder="1" applyAlignment="1">
      <alignment horizontal="right" vertical="center"/>
    </xf>
    <xf numFmtId="22" fontId="0" fillId="0" borderId="0" xfId="0" applyNumberFormat="1" applyAlignment="1">
      <alignment horizontal="center" vertical="center"/>
    </xf>
    <xf numFmtId="0" fontId="40" fillId="0" borderId="25" xfId="0" applyFont="1" applyBorder="1" applyAlignment="1">
      <alignment horizontal="center" vertical="center"/>
    </xf>
    <xf numFmtId="0" fontId="40" fillId="0" borderId="26" xfId="0" applyFont="1" applyBorder="1" applyAlignment="1">
      <alignment horizontal="center" vertical="center"/>
    </xf>
    <xf numFmtId="0" fontId="40" fillId="0" borderId="27" xfId="0" applyFont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22" fontId="36" fillId="0" borderId="0" xfId="0" applyNumberFormat="1" applyFont="1"/>
    <xf numFmtId="170" fontId="72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51" fillId="0" borderId="0" xfId="0" applyNumberFormat="1" applyFont="1" applyAlignment="1">
      <alignment horizontal="right" vertical="center" wrapText="1"/>
    </xf>
    <xf numFmtId="2" fontId="36" fillId="0" borderId="33" xfId="0" applyNumberFormat="1" applyFont="1" applyBorder="1" applyAlignment="1">
      <alignment horizontal="right" vertical="center"/>
    </xf>
    <xf numFmtId="2" fontId="64" fillId="0" borderId="0" xfId="0" applyNumberFormat="1" applyFont="1" applyAlignment="1">
      <alignment horizontal="right" vertical="center"/>
    </xf>
    <xf numFmtId="2" fontId="38" fillId="0" borderId="33" xfId="0" applyNumberFormat="1" applyFont="1" applyBorder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2" fontId="36" fillId="0" borderId="0" xfId="0" applyNumberFormat="1" applyFont="1" applyAlignment="1">
      <alignment horizontal="center" vertical="center"/>
    </xf>
    <xf numFmtId="0" fontId="56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73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71" fillId="0" borderId="0" xfId="0" applyFont="1" applyAlignment="1">
      <alignment horizontal="centerContinuous" vertical="center"/>
    </xf>
    <xf numFmtId="0" fontId="64" fillId="0" borderId="0" xfId="0" applyFont="1" applyAlignment="1">
      <alignment horizontal="centerContinuous" vertical="center"/>
    </xf>
    <xf numFmtId="2" fontId="64" fillId="0" borderId="0" xfId="0" applyNumberFormat="1" applyFont="1" applyAlignment="1">
      <alignment horizontal="centerContinuous" vertical="center"/>
    </xf>
    <xf numFmtId="0" fontId="65" fillId="0" borderId="0" xfId="0" applyFont="1" applyAlignment="1">
      <alignment horizontal="centerContinuous" vertical="center"/>
    </xf>
    <xf numFmtId="2" fontId="65" fillId="0" borderId="0" xfId="0" applyNumberFormat="1" applyFont="1" applyAlignment="1">
      <alignment horizontal="centerContinuous" vertical="center"/>
    </xf>
    <xf numFmtId="0" fontId="65" fillId="0" borderId="0" xfId="0" applyFont="1" applyAlignment="1">
      <alignment horizontal="centerContinuous" vertical="center" wrapText="1"/>
    </xf>
    <xf numFmtId="2" fontId="56" fillId="0" borderId="29" xfId="0" applyNumberFormat="1" applyFont="1" applyBorder="1" applyAlignment="1">
      <alignment horizontal="center" vertical="center"/>
    </xf>
    <xf numFmtId="168" fontId="65" fillId="0" borderId="0" xfId="0" applyNumberFormat="1" applyFont="1" applyAlignment="1">
      <alignment horizontal="centerContinuous" vertical="center"/>
    </xf>
    <xf numFmtId="14" fontId="7" fillId="0" borderId="0" xfId="0" applyNumberFormat="1" applyFont="1" applyAlignment="1">
      <alignment horizontal="left" vertical="center"/>
    </xf>
    <xf numFmtId="14" fontId="62" fillId="0" borderId="0" xfId="0" applyNumberFormat="1" applyFont="1" applyAlignment="1">
      <alignment vertical="center"/>
    </xf>
    <xf numFmtId="14" fontId="65" fillId="0" borderId="0" xfId="0" applyNumberFormat="1" applyFont="1" applyAlignment="1">
      <alignment horizontal="centerContinuous" vertical="center"/>
    </xf>
    <xf numFmtId="14" fontId="64" fillId="0" borderId="0" xfId="0" applyNumberFormat="1" applyFont="1" applyAlignment="1">
      <alignment horizontal="centerContinuous" vertical="center"/>
    </xf>
    <xf numFmtId="14" fontId="64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Continuous"/>
    </xf>
    <xf numFmtId="0" fontId="75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76" fillId="0" borderId="0" xfId="0" applyFont="1" applyAlignment="1">
      <alignment horizontal="centerContinuous"/>
    </xf>
    <xf numFmtId="0" fontId="77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Continuous" vertical="center"/>
    </xf>
    <xf numFmtId="14" fontId="36" fillId="0" borderId="0" xfId="0" applyNumberFormat="1" applyFont="1" applyAlignment="1">
      <alignment horizontal="centerContinuous" vertical="center"/>
    </xf>
    <xf numFmtId="49" fontId="36" fillId="0" borderId="0" xfId="0" applyNumberFormat="1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2" fontId="36" fillId="0" borderId="0" xfId="0" applyNumberFormat="1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80" fillId="0" borderId="0" xfId="0" applyFont="1" applyAlignment="1">
      <alignment horizontal="centerContinuous" vertical="top"/>
    </xf>
    <xf numFmtId="0" fontId="81" fillId="4" borderId="30" xfId="0" applyFont="1" applyFill="1" applyBorder="1" applyAlignment="1">
      <alignment horizontal="center" vertical="center"/>
    </xf>
    <xf numFmtId="49" fontId="81" fillId="4" borderId="30" xfId="0" applyNumberFormat="1" applyFont="1" applyFill="1" applyBorder="1" applyAlignment="1">
      <alignment horizontal="center" vertical="center"/>
    </xf>
    <xf numFmtId="14" fontId="81" fillId="4" borderId="30" xfId="0" applyNumberFormat="1" applyFont="1" applyFill="1" applyBorder="1" applyAlignment="1">
      <alignment horizontal="center" vertical="center"/>
    </xf>
    <xf numFmtId="0" fontId="82" fillId="4" borderId="31" xfId="0" applyFont="1" applyFill="1" applyBorder="1" applyAlignment="1">
      <alignment horizontal="center" vertical="center"/>
    </xf>
    <xf numFmtId="49" fontId="82" fillId="4" borderId="31" xfId="0" applyNumberFormat="1" applyFont="1" applyFill="1" applyBorder="1" applyAlignment="1">
      <alignment horizontal="center" vertical="center"/>
    </xf>
    <xf numFmtId="14" fontId="82" fillId="4" borderId="31" xfId="0" applyNumberFormat="1" applyFont="1" applyFill="1" applyBorder="1" applyAlignment="1">
      <alignment horizontal="center" vertical="center"/>
    </xf>
    <xf numFmtId="0" fontId="83" fillId="4" borderId="30" xfId="0" applyFont="1" applyFill="1" applyBorder="1" applyAlignment="1">
      <alignment horizontal="center" vertical="center"/>
    </xf>
    <xf numFmtId="49" fontId="83" fillId="4" borderId="30" xfId="0" applyNumberFormat="1" applyFont="1" applyFill="1" applyBorder="1" applyAlignment="1">
      <alignment horizontal="center" vertical="center"/>
    </xf>
    <xf numFmtId="14" fontId="83" fillId="4" borderId="30" xfId="0" applyNumberFormat="1" applyFont="1" applyFill="1" applyBorder="1" applyAlignment="1">
      <alignment horizontal="center" vertical="center"/>
    </xf>
    <xf numFmtId="49" fontId="83" fillId="4" borderId="30" xfId="0" applyNumberFormat="1" applyFont="1" applyFill="1" applyBorder="1" applyAlignment="1">
      <alignment horizontal="left" vertical="center"/>
    </xf>
    <xf numFmtId="169" fontId="83" fillId="4" borderId="30" xfId="0" applyNumberFormat="1" applyFont="1" applyFill="1" applyBorder="1" applyAlignment="1">
      <alignment horizontal="center" vertical="center"/>
    </xf>
    <xf numFmtId="49" fontId="82" fillId="4" borderId="31" xfId="0" applyNumberFormat="1" applyFont="1" applyFill="1" applyBorder="1" applyAlignment="1">
      <alignment horizontal="left" vertical="center"/>
    </xf>
    <xf numFmtId="169" fontId="82" fillId="4" borderId="31" xfId="0" applyNumberFormat="1" applyFont="1" applyFill="1" applyBorder="1" applyAlignment="1">
      <alignment horizontal="center" vertical="center"/>
    </xf>
    <xf numFmtId="49" fontId="84" fillId="4" borderId="31" xfId="0" applyNumberFormat="1" applyFont="1" applyFill="1" applyBorder="1" applyAlignment="1">
      <alignment horizontal="center" vertical="center"/>
    </xf>
    <xf numFmtId="0" fontId="85" fillId="4" borderId="31" xfId="0" applyFont="1" applyFill="1" applyBorder="1" applyAlignment="1">
      <alignment horizontal="center" vertical="center"/>
    </xf>
    <xf numFmtId="49" fontId="85" fillId="4" borderId="31" xfId="0" applyNumberFormat="1" applyFont="1" applyFill="1" applyBorder="1" applyAlignment="1">
      <alignment horizontal="center" vertical="center"/>
    </xf>
    <xf numFmtId="14" fontId="83" fillId="4" borderId="30" xfId="0" applyNumberFormat="1" applyFont="1" applyFill="1" applyBorder="1" applyAlignment="1">
      <alignment horizontal="left" vertical="center"/>
    </xf>
    <xf numFmtId="4" fontId="83" fillId="4" borderId="30" xfId="0" applyNumberFormat="1" applyFont="1" applyFill="1" applyBorder="1" applyAlignment="1">
      <alignment horizontal="center" vertical="center"/>
    </xf>
    <xf numFmtId="171" fontId="83" fillId="4" borderId="30" xfId="0" applyNumberFormat="1" applyFont="1" applyFill="1" applyBorder="1" applyAlignment="1">
      <alignment horizontal="center" vertical="center"/>
    </xf>
    <xf numFmtId="14" fontId="82" fillId="4" borderId="31" xfId="0" applyNumberFormat="1" applyFont="1" applyFill="1" applyBorder="1" applyAlignment="1">
      <alignment horizontal="left" vertical="center"/>
    </xf>
    <xf numFmtId="4" fontId="82" fillId="4" borderId="31" xfId="0" applyNumberFormat="1" applyFont="1" applyFill="1" applyBorder="1" applyAlignment="1">
      <alignment horizontal="center" vertical="center"/>
    </xf>
    <xf numFmtId="171" fontId="82" fillId="4" borderId="31" xfId="0" applyNumberFormat="1" applyFont="1" applyFill="1" applyBorder="1" applyAlignment="1">
      <alignment horizontal="center" vertical="center"/>
    </xf>
    <xf numFmtId="0" fontId="82" fillId="4" borderId="30" xfId="0" applyFont="1" applyFill="1" applyBorder="1" applyAlignment="1">
      <alignment horizontal="center" vertical="center"/>
    </xf>
    <xf numFmtId="14" fontId="85" fillId="4" borderId="31" xfId="0" applyNumberFormat="1" applyFont="1" applyFill="1" applyBorder="1" applyAlignment="1">
      <alignment horizontal="center" vertical="center"/>
    </xf>
    <xf numFmtId="4" fontId="85" fillId="4" borderId="31" xfId="0" applyNumberFormat="1" applyFont="1" applyFill="1" applyBorder="1" applyAlignment="1">
      <alignment horizontal="center" vertical="center"/>
    </xf>
    <xf numFmtId="0" fontId="86" fillId="0" borderId="0" xfId="0" applyFont="1" applyAlignment="1">
      <alignment horizontal="centerContinuous" vertical="center"/>
    </xf>
    <xf numFmtId="0" fontId="72" fillId="4" borderId="34" xfId="0" applyFont="1" applyFill="1" applyBorder="1" applyAlignment="1">
      <alignment horizontal="center"/>
    </xf>
    <xf numFmtId="0" fontId="72" fillId="4" borderId="34" xfId="0" applyFont="1" applyFill="1" applyBorder="1" applyAlignment="1">
      <alignment horizontal="center" textRotation="45"/>
    </xf>
    <xf numFmtId="170" fontId="72" fillId="4" borderId="34" xfId="0" applyNumberFormat="1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 vertical="center"/>
    </xf>
    <xf numFmtId="0" fontId="85" fillId="4" borderId="41" xfId="0" applyFont="1" applyFill="1" applyBorder="1" applyAlignment="1">
      <alignment horizontal="center" vertical="top"/>
    </xf>
    <xf numFmtId="0" fontId="85" fillId="4" borderId="42" xfId="0" applyFont="1" applyFill="1" applyBorder="1" applyAlignment="1">
      <alignment horizontal="center"/>
    </xf>
    <xf numFmtId="0" fontId="85" fillId="4" borderId="39" xfId="0" applyFont="1" applyFill="1" applyBorder="1" applyAlignment="1">
      <alignment horizontal="center"/>
    </xf>
    <xf numFmtId="0" fontId="85" fillId="4" borderId="43" xfId="0" applyFont="1" applyFill="1" applyBorder="1" applyAlignment="1">
      <alignment horizontal="center"/>
    </xf>
    <xf numFmtId="0" fontId="85" fillId="4" borderId="39" xfId="0" applyFont="1" applyFill="1" applyBorder="1" applyAlignment="1">
      <alignment horizontal="center" textRotation="45"/>
    </xf>
    <xf numFmtId="0" fontId="85" fillId="4" borderId="44" xfId="0" applyFont="1" applyFill="1" applyBorder="1" applyAlignment="1">
      <alignment horizontal="center" textRotation="45"/>
    </xf>
    <xf numFmtId="0" fontId="72" fillId="4" borderId="39" xfId="0" applyFont="1" applyFill="1" applyBorder="1" applyAlignment="1">
      <alignment horizontal="center" vertical="center"/>
    </xf>
    <xf numFmtId="0" fontId="87" fillId="0" borderId="0" xfId="0" applyFont="1" applyAlignment="1">
      <alignment horizontal="centerContinuous"/>
    </xf>
    <xf numFmtId="0" fontId="75" fillId="0" borderId="0" xfId="0" applyFont="1" applyAlignment="1">
      <alignment horizontal="centerContinuous"/>
    </xf>
    <xf numFmtId="0" fontId="85" fillId="4" borderId="43" xfId="0" applyFont="1" applyFill="1" applyBorder="1" applyAlignment="1">
      <alignment horizontal="center" textRotation="45"/>
    </xf>
    <xf numFmtId="14" fontId="85" fillId="4" borderId="39" xfId="0" applyNumberFormat="1" applyFont="1" applyFill="1" applyBorder="1" applyAlignment="1">
      <alignment horizontal="center"/>
    </xf>
    <xf numFmtId="14" fontId="85" fillId="4" borderId="43" xfId="0" applyNumberFormat="1" applyFont="1" applyFill="1" applyBorder="1" applyAlignment="1">
      <alignment horizontal="center"/>
    </xf>
    <xf numFmtId="0" fontId="88" fillId="4" borderId="39" xfId="0" applyFont="1" applyFill="1" applyBorder="1" applyAlignment="1">
      <alignment horizontal="center" textRotation="45"/>
    </xf>
    <xf numFmtId="0" fontId="89" fillId="4" borderId="39" xfId="0" applyFont="1" applyFill="1" applyBorder="1" applyAlignment="1">
      <alignment horizontal="center"/>
    </xf>
    <xf numFmtId="172" fontId="89" fillId="4" borderId="39" xfId="0" applyNumberFormat="1" applyFont="1" applyFill="1" applyBorder="1" applyAlignment="1">
      <alignment horizontal="center"/>
    </xf>
    <xf numFmtId="0" fontId="36" fillId="0" borderId="25" xfId="0" applyFont="1" applyBorder="1" applyAlignment="1">
      <alignment horizontal="center" vertical="center"/>
    </xf>
    <xf numFmtId="0" fontId="90" fillId="4" borderId="40" xfId="0" applyFont="1" applyFill="1" applyBorder="1" applyAlignment="1">
      <alignment horizontal="center"/>
    </xf>
    <xf numFmtId="0" fontId="91" fillId="4" borderId="41" xfId="0" applyFont="1" applyFill="1" applyBorder="1" applyAlignment="1">
      <alignment horizontal="center"/>
    </xf>
    <xf numFmtId="0" fontId="90" fillId="4" borderId="40" xfId="0" applyFont="1" applyFill="1" applyBorder="1" applyAlignment="1">
      <alignment horizontal="center" textRotation="45"/>
    </xf>
    <xf numFmtId="0" fontId="92" fillId="4" borderId="41" xfId="0" applyFont="1" applyFill="1" applyBorder="1" applyAlignment="1">
      <alignment horizontal="center" textRotation="45"/>
    </xf>
    <xf numFmtId="0" fontId="88" fillId="4" borderId="41" xfId="0" applyFont="1" applyFill="1" applyBorder="1" applyAlignment="1">
      <alignment horizontal="center" textRotation="45"/>
    </xf>
    <xf numFmtId="2" fontId="90" fillId="4" borderId="40" xfId="0" applyNumberFormat="1" applyFont="1" applyFill="1" applyBorder="1" applyAlignment="1">
      <alignment horizontal="center"/>
    </xf>
    <xf numFmtId="2" fontId="91" fillId="4" borderId="41" xfId="0" applyNumberFormat="1" applyFont="1" applyFill="1" applyBorder="1" applyAlignment="1">
      <alignment horizontal="center"/>
    </xf>
    <xf numFmtId="0" fontId="81" fillId="4" borderId="40" xfId="0" applyFont="1" applyFill="1" applyBorder="1" applyAlignment="1">
      <alignment horizontal="center"/>
    </xf>
    <xf numFmtId="0" fontId="82" fillId="4" borderId="41" xfId="0" applyFont="1" applyFill="1" applyBorder="1" applyAlignment="1">
      <alignment horizontal="center" vertical="top"/>
    </xf>
    <xf numFmtId="0" fontId="85" fillId="4" borderId="31" xfId="0" applyFont="1" applyFill="1" applyBorder="1" applyAlignment="1">
      <alignment horizontal="center" vertical="top"/>
    </xf>
    <xf numFmtId="0" fontId="83" fillId="4" borderId="30" xfId="0" applyFont="1" applyFill="1" applyBorder="1" applyAlignment="1">
      <alignment horizontal="center"/>
    </xf>
    <xf numFmtId="14" fontId="83" fillId="4" borderId="30" xfId="0" applyNumberFormat="1" applyFont="1" applyFill="1" applyBorder="1" applyAlignment="1">
      <alignment horizontal="center"/>
    </xf>
    <xf numFmtId="170" fontId="83" fillId="4" borderId="30" xfId="0" applyNumberFormat="1" applyFont="1" applyFill="1" applyBorder="1" applyAlignment="1">
      <alignment horizontal="center"/>
    </xf>
    <xf numFmtId="169" fontId="83" fillId="4" borderId="30" xfId="0" applyNumberFormat="1" applyFont="1" applyFill="1" applyBorder="1" applyAlignment="1">
      <alignment horizontal="center"/>
    </xf>
    <xf numFmtId="14" fontId="85" fillId="4" borderId="31" xfId="0" applyNumberFormat="1" applyFont="1" applyFill="1" applyBorder="1" applyAlignment="1">
      <alignment horizontal="center" vertical="top"/>
    </xf>
    <xf numFmtId="170" fontId="85" fillId="4" borderId="31" xfId="0" applyNumberFormat="1" applyFont="1" applyFill="1" applyBorder="1" applyAlignment="1">
      <alignment horizontal="center" vertical="top"/>
    </xf>
    <xf numFmtId="169" fontId="85" fillId="4" borderId="31" xfId="0" applyNumberFormat="1" applyFont="1" applyFill="1" applyBorder="1" applyAlignment="1">
      <alignment horizontal="center" vertical="top"/>
    </xf>
    <xf numFmtId="4" fontId="81" fillId="4" borderId="30" xfId="0" applyNumberFormat="1" applyFont="1" applyFill="1" applyBorder="1" applyAlignment="1">
      <alignment horizontal="center" vertical="center"/>
    </xf>
    <xf numFmtId="49" fontId="85" fillId="4" borderId="31" xfId="0" applyNumberFormat="1" applyFont="1" applyFill="1" applyBorder="1" applyAlignment="1">
      <alignment horizontal="center" vertical="top"/>
    </xf>
    <xf numFmtId="49" fontId="85" fillId="4" borderId="31" xfId="0" applyNumberFormat="1" applyFont="1" applyFill="1" applyBorder="1" applyAlignment="1">
      <alignment horizontal="center" textRotation="45"/>
    </xf>
    <xf numFmtId="0" fontId="85" fillId="4" borderId="31" xfId="0" applyFont="1" applyFill="1" applyBorder="1" applyAlignment="1">
      <alignment horizontal="center"/>
    </xf>
    <xf numFmtId="4" fontId="85" fillId="4" borderId="31" xfId="0" applyNumberFormat="1" applyFont="1" applyFill="1" applyBorder="1" applyAlignment="1">
      <alignment horizontal="center" vertical="top"/>
    </xf>
    <xf numFmtId="0" fontId="41" fillId="0" borderId="32" xfId="0" applyFont="1" applyBorder="1" applyAlignment="1">
      <alignment vertical="center"/>
    </xf>
    <xf numFmtId="0" fontId="78" fillId="6" borderId="35" xfId="0" applyFont="1" applyFill="1" applyBorder="1" applyAlignment="1">
      <alignment horizontal="center"/>
    </xf>
    <xf numFmtId="0" fontId="78" fillId="6" borderId="36" xfId="0" applyFont="1" applyFill="1" applyBorder="1" applyAlignment="1">
      <alignment horizontal="center"/>
    </xf>
    <xf numFmtId="0" fontId="79" fillId="6" borderId="37" xfId="0" applyFont="1" applyFill="1" applyBorder="1" applyAlignment="1">
      <alignment horizontal="center" vertical="top"/>
    </xf>
    <xf numFmtId="0" fontId="79" fillId="6" borderId="38" xfId="0" applyFont="1" applyFill="1" applyBorder="1" applyAlignment="1">
      <alignment horizontal="center" vertical="top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 wrapText="1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64" fillId="0" borderId="0" xfId="0" applyNumberFormat="1" applyFont="1" applyAlignment="1">
      <alignment vertical="center"/>
    </xf>
    <xf numFmtId="14" fontId="36" fillId="0" borderId="33" xfId="0" applyNumberFormat="1" applyFont="1" applyBorder="1" applyAlignment="1">
      <alignment horizontal="right"/>
    </xf>
    <xf numFmtId="49" fontId="38" fillId="0" borderId="25" xfId="0" applyNumberFormat="1" applyFont="1" applyBorder="1" applyAlignment="1">
      <alignment horizontal="center" vertical="center"/>
    </xf>
    <xf numFmtId="2" fontId="38" fillId="0" borderId="25" xfId="0" applyNumberFormat="1" applyFont="1" applyBorder="1" applyAlignment="1">
      <alignment horizontal="right" vertical="center"/>
    </xf>
    <xf numFmtId="168" fontId="36" fillId="0" borderId="25" xfId="0" applyNumberFormat="1" applyFont="1" applyBorder="1" applyAlignment="1">
      <alignment horizontal="right" vertical="center"/>
    </xf>
    <xf numFmtId="2" fontId="36" fillId="0" borderId="25" xfId="0" applyNumberFormat="1" applyFont="1" applyBorder="1" applyAlignment="1">
      <alignment horizontal="right" vertical="center"/>
    </xf>
    <xf numFmtId="14" fontId="36" fillId="0" borderId="25" xfId="0" applyNumberFormat="1" applyFont="1" applyBorder="1" applyAlignment="1">
      <alignment horizontal="right"/>
    </xf>
    <xf numFmtId="14" fontId="36" fillId="0" borderId="25" xfId="0" applyNumberFormat="1" applyFont="1" applyBorder="1" applyAlignment="1">
      <alignment horizontal="right" vertical="center"/>
    </xf>
    <xf numFmtId="14" fontId="36" fillId="0" borderId="33" xfId="0" applyNumberFormat="1" applyFont="1" applyBorder="1" applyAlignment="1">
      <alignment horizontal="right" vertical="center"/>
    </xf>
    <xf numFmtId="0" fontId="85" fillId="0" borderId="0" xfId="0" applyFont="1" applyAlignment="1">
      <alignment horizontal="center" vertical="center"/>
    </xf>
    <xf numFmtId="49" fontId="85" fillId="0" borderId="0" xfId="0" applyNumberFormat="1" applyFont="1" applyAlignment="1">
      <alignment horizontal="center" vertical="center"/>
    </xf>
    <xf numFmtId="14" fontId="85" fillId="0" borderId="0" xfId="0" applyNumberFormat="1" applyFont="1" applyAlignment="1">
      <alignment horizontal="center" vertical="center"/>
    </xf>
    <xf numFmtId="4" fontId="85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Continuous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91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53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8" fillId="0" borderId="0" xfId="0" applyFont="1" applyAlignment="1">
      <alignment horizontal="center" vertical="top"/>
    </xf>
    <xf numFmtId="0" fontId="63" fillId="0" borderId="0" xfId="0" applyFont="1" applyAlignment="1">
      <alignment horizontal="center" vertical="center"/>
    </xf>
    <xf numFmtId="49" fontId="58" fillId="0" borderId="0" xfId="0" applyNumberFormat="1" applyFont="1" applyAlignment="1">
      <alignment horizontal="center" vertical="top"/>
    </xf>
    <xf numFmtId="0" fontId="83" fillId="0" borderId="0" xfId="0" applyFont="1" applyAlignment="1">
      <alignment horizontal="center"/>
    </xf>
    <xf numFmtId="0" fontId="85" fillId="0" borderId="0" xfId="0" applyFont="1" applyAlignment="1">
      <alignment horizontal="center" vertical="top"/>
    </xf>
    <xf numFmtId="14" fontId="83" fillId="0" borderId="0" xfId="0" applyNumberFormat="1" applyFont="1" applyAlignment="1">
      <alignment horizontal="center"/>
    </xf>
    <xf numFmtId="14" fontId="85" fillId="0" borderId="0" xfId="0" applyNumberFormat="1" applyFont="1" applyAlignment="1">
      <alignment horizontal="center" vertical="top"/>
    </xf>
    <xf numFmtId="170" fontId="83" fillId="0" borderId="0" xfId="0" applyNumberFormat="1" applyFont="1" applyAlignment="1">
      <alignment horizontal="center"/>
    </xf>
    <xf numFmtId="170" fontId="85" fillId="0" borderId="0" xfId="0" applyNumberFormat="1" applyFont="1" applyAlignment="1">
      <alignment horizontal="center" vertical="top"/>
    </xf>
    <xf numFmtId="169" fontId="83" fillId="0" borderId="0" xfId="0" applyNumberFormat="1" applyFont="1" applyAlignment="1">
      <alignment horizontal="center"/>
    </xf>
    <xf numFmtId="169" fontId="85" fillId="0" borderId="0" xfId="0" applyNumberFormat="1" applyFont="1" applyAlignment="1">
      <alignment horizontal="center" vertical="top"/>
    </xf>
    <xf numFmtId="0" fontId="81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8" fillId="0" borderId="17" xfId="0" applyFont="1" applyBorder="1" applyAlignment="1" applyProtection="1">
      <alignment horizontal="center" wrapText="1"/>
      <protection locked="0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6.xml"/><Relationship Id="rId54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484188" y="1381126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484188" y="1957388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484188" y="2547938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484188" y="3148013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484188" y="3748088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484188" y="4348163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484188" y="4942183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484188" y="5551783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908427" y="1381126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908427" y="1951333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973096" y="1381126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672638" y="1381126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8</xdr:row>
      <xdr:rowOff>133351</xdr:rowOff>
    </xdr:from>
    <xdr:to>
      <xdr:col>5</xdr:col>
      <xdr:colOff>2933700</xdr:colOff>
      <xdr:row>14</xdr:row>
      <xdr:rowOff>247649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672638" y="2586039"/>
          <a:ext cx="2762250" cy="2400298"/>
          <a:chOff x="19188906" y="643593"/>
          <a:chExt cx="1163973" cy="501360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ទម្រង់បញ្ចូលសន្និធិ ទិញ </a:t>
            </a:r>
          </a:p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លក់ និងរបាយការណ៍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81103" y="760974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36558" y="643593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0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2</xdr:row>
      <xdr:rowOff>63205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404813" y="130969"/>
          <a:ext cx="1924051" cy="503736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142875</xdr:colOff>
      <xdr:row>3</xdr:row>
      <xdr:rowOff>11906</xdr:rowOff>
    </xdr:from>
    <xdr:to>
      <xdr:col>10</xdr:col>
      <xdr:colOff>342900</xdr:colOff>
      <xdr:row>4</xdr:row>
      <xdr:rowOff>141522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12668250" y="702469"/>
          <a:ext cx="2628900" cy="498709"/>
          <a:chOff x="19188906" y="645582"/>
          <a:chExt cx="1163973" cy="499371"/>
        </a:xfrm>
      </xdr:grpSpPr>
      <xdr:sp macro="[1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1]!goLang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402167" y="11641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38100</xdr:rowOff>
    </xdr:from>
    <xdr:to>
      <xdr:col>3</xdr:col>
      <xdr:colOff>550404</xdr:colOff>
      <xdr:row>5</xdr:row>
      <xdr:rowOff>110830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381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3</xdr:row>
      <xdr:rowOff>114300</xdr:rowOff>
    </xdr:from>
    <xdr:to>
      <xdr:col>3</xdr:col>
      <xdr:colOff>550404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85775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1952625" y="226219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464344</xdr:rowOff>
    </xdr:from>
    <xdr:to>
      <xdr:col>3</xdr:col>
      <xdr:colOff>797719</xdr:colOff>
      <xdr:row>4</xdr:row>
      <xdr:rowOff>84636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46434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881063</xdr:colOff>
      <xdr:row>2</xdr:row>
      <xdr:rowOff>476250</xdr:rowOff>
    </xdr:from>
    <xdr:to>
      <xdr:col>16</xdr:col>
      <xdr:colOff>261937</xdr:colOff>
      <xdr:row>4</xdr:row>
      <xdr:rowOff>107360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FB0E4BC-9C78-8E98-3F39-A6E0451FB047}"/>
            </a:ext>
          </a:extLst>
        </xdr:cNvPr>
        <xdr:cNvGrpSpPr/>
      </xdr:nvGrpSpPr>
      <xdr:grpSpPr>
        <a:xfrm>
          <a:off x="1869282" y="476250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99092DFB-C157-EC77-4936-A361B851ED2E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4F92E93F-5DE7-6EBB-E094-40C016F28FF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6F4E7AD0-EE6D-2F34-5EAC-F86FA04C4314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957D1487-7277-AB31-4DBC-7006F9BB275D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6C28E845-E419-11FF-1F04-F4E90884629D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7D235C72-465A-696E-A6B7-9D4671F9DD7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2B9EAA6-2081-7F1F-7477-4577FBCB01B9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8E8AD2B-60D1-B471-28A3-A4BA88CA60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30D43DD4-EBA1-4358-E899-E63573C12BD7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64345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15001875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14</xdr:col>
      <xdr:colOff>59531</xdr:colOff>
      <xdr:row>3</xdr:row>
      <xdr:rowOff>95250</xdr:rowOff>
    </xdr:from>
    <xdr:to>
      <xdr:col>20</xdr:col>
      <xdr:colOff>1023936</xdr:colOff>
      <xdr:row>4</xdr:row>
      <xdr:rowOff>59735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14978062" y="392906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24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424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416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kscm_report.xlsm" TargetMode="External"/><Relationship Id="rId2" Type="http://schemas.openxmlformats.org/officeDocument/2006/relationships/externalLinkPath" Target="file:///D:\1_Documents\1_Companies\ks_system\kscm_report.xlsm" TargetMode="External"/><Relationship Id="rId1" Type="http://schemas.openxmlformats.org/officeDocument/2006/relationships/externalLinkPath" Target="/1_Documents/1_Companies/ks_system/kscm_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ist of Invoice"/>
      <sheetName val="Home"/>
      <sheetName val="FilesSetting"/>
      <sheetName val="ChartAccountType"/>
      <sheetName val="ChartAccountGroup"/>
      <sheetName val="ChartAccount"/>
      <sheetName val="ChartAccountDefault"/>
      <sheetName val="ModuleGroup"/>
      <sheetName val="ModuleType"/>
      <sheetName val="Lang"/>
      <sheetName val="ReportInventoryActivitySummary"/>
      <sheetName val="InventoryAdj"/>
      <sheetName val="PrintInvAdjustment"/>
      <sheetName val="PrintInvoiceA5"/>
      <sheetName val="PrintInvoice"/>
      <sheetName val="PrintPurchaseBill"/>
      <sheetName val="AddPurchaseBill"/>
      <sheetName val="AddQuotation"/>
      <sheetName val="AddInvoice"/>
      <sheetName val="AddReceivePayment"/>
      <sheetName val="OtherExpense"/>
      <sheetName val="OtherIncome"/>
      <sheetName val="ShipTo"/>
      <sheetName val="Cgroup"/>
      <sheetName val="CustomerList"/>
      <sheetName val="VendorList"/>
      <sheetName val="VendorContact"/>
      <sheetName val="Seller"/>
      <sheetName val="ReportFinancialDetail"/>
      <sheetName val="CountStock"/>
      <sheetName val="Setting"/>
      <sheetName val="LocationGroup"/>
      <sheetName val="Location"/>
      <sheetName val="Currency"/>
      <sheetName val="UoM"/>
      <sheetName val="UomConversion"/>
      <sheetName val="Branch"/>
      <sheetName val="BankInfo"/>
      <sheetName val="(1 )"/>
      <sheetName val="( 3)"/>
      <sheetName val="NBC_Exchange_Rate"/>
      <sheetName val="ProductCostHistory"/>
      <sheetName val="ProductPriceHistory"/>
      <sheetName val="ProductPrice"/>
      <sheetName val="Brand"/>
      <sheetName val="ProductGroup"/>
      <sheetName val="ProductList"/>
      <sheetName val="ProductListFinal"/>
      <sheetName val="InvoicePrinting"/>
      <sheetName val="ImportProductPrice"/>
      <sheetName val="ImportProductPrice (2)"/>
    </sheetNames>
    <definedNames>
      <definedName name="goFilesSetting"/>
      <definedName name="goLang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F5"/>
  <sheetViews>
    <sheetView showGridLines="0" tabSelected="1" zoomScale="80" zoomScaleNormal="80" zoomScaleSheetLayoutView="120" workbookViewId="0">
      <pane ySplit="5" topLeftCell="A6" activePane="bottomLeft" state="frozen"/>
      <selection activeCell="L28" sqref="L28"/>
      <selection pane="bottomLeft" activeCell="L14" sqref="L14"/>
    </sheetView>
  </sheetViews>
  <sheetFormatPr defaultRowHeight="30" customHeight="1"/>
  <cols>
    <col min="1" max="1" width="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</cols>
  <sheetData>
    <row r="1" spans="3:6" ht="10.5" customHeight="1">
      <c r="C1" s="148"/>
      <c r="D1" s="148"/>
      <c r="E1" s="148"/>
      <c r="F1" s="148"/>
    </row>
    <row r="2" spans="3:6" ht="34.5" customHeight="1">
      <c r="C2" s="290" t="s">
        <v>483</v>
      </c>
      <c r="D2" s="256"/>
      <c r="E2" s="256"/>
      <c r="F2" s="256"/>
    </row>
    <row r="3" spans="3:6" ht="9.75" customHeight="1" thickBot="1">
      <c r="C3" s="147"/>
      <c r="D3" s="147"/>
      <c r="E3" s="147"/>
      <c r="F3" s="147"/>
    </row>
    <row r="4" spans="3:6" s="149" customFormat="1" ht="29.25">
      <c r="C4" s="360" t="s">
        <v>126</v>
      </c>
      <c r="D4" s="361" t="s">
        <v>115</v>
      </c>
      <c r="E4" s="361" t="s">
        <v>116</v>
      </c>
      <c r="F4" s="361" t="s">
        <v>114</v>
      </c>
    </row>
    <row r="5" spans="3:6" ht="19.5" thickBot="1">
      <c r="C5" s="362" t="s">
        <v>111</v>
      </c>
      <c r="D5" s="363" t="s">
        <v>117</v>
      </c>
      <c r="E5" s="363" t="s">
        <v>112</v>
      </c>
      <c r="F5" s="363" t="s">
        <v>113</v>
      </c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O46"/>
  <sheetViews>
    <sheetView showGridLines="0" zoomScale="80" zoomScaleNormal="80" workbookViewId="0">
      <pane ySplit="11" topLeftCell="A12" activePane="bottomLeft" state="frozen"/>
      <selection pane="bottomLeft" activeCell="O16" sqref="O16"/>
    </sheetView>
  </sheetViews>
  <sheetFormatPr defaultRowHeight="24.95" customHeight="1"/>
  <cols>
    <col min="1" max="1" width="3.140625" style="141" customWidth="1"/>
    <col min="2" max="2" width="4.140625" style="141" customWidth="1"/>
    <col min="3" max="3" width="7.28515625" style="141" customWidth="1"/>
    <col min="4" max="4" width="27.140625" style="388" bestFit="1" customWidth="1"/>
    <col min="5" max="5" width="26.42578125" style="388" bestFit="1" customWidth="1"/>
    <col min="6" max="6" width="34.85546875" style="141" bestFit="1" customWidth="1"/>
    <col min="7" max="7" width="17.28515625" style="141" customWidth="1"/>
    <col min="8" max="8" width="17.5703125" style="141" customWidth="1"/>
    <col min="9" max="9" width="24.140625" style="388" bestFit="1" customWidth="1"/>
    <col min="10" max="10" width="16.85546875" style="141" customWidth="1"/>
    <col min="11" max="11" width="18.28515625" style="141" customWidth="1"/>
    <col min="12" max="12" width="32.42578125" style="388" customWidth="1"/>
    <col min="13" max="13" width="27" style="141" bestFit="1" customWidth="1"/>
    <col min="14" max="14" width="9.140625" style="141"/>
    <col min="15" max="15" width="76" style="141" bestFit="1" customWidth="1"/>
    <col min="16" max="16384" width="9.140625" style="141"/>
  </cols>
  <sheetData>
    <row r="1" spans="3:15" customFormat="1" ht="15" hidden="1">
      <c r="D1" s="132"/>
      <c r="E1" s="132"/>
      <c r="I1" s="132"/>
      <c r="L1" s="132"/>
    </row>
    <row r="2" spans="3:15" customFormat="1" ht="15" hidden="1">
      <c r="D2" s="132"/>
      <c r="E2" s="132"/>
      <c r="I2" s="132"/>
      <c r="L2" s="132"/>
    </row>
    <row r="3" spans="3:15" customFormat="1" ht="15" hidden="1">
      <c r="D3" s="132"/>
      <c r="E3" s="132"/>
      <c r="I3" s="132"/>
      <c r="L3" s="132"/>
    </row>
    <row r="4" spans="3:15" customFormat="1" ht="15">
      <c r="D4" s="132"/>
      <c r="E4" s="132"/>
      <c r="I4" s="132"/>
      <c r="L4" s="132"/>
    </row>
    <row r="5" spans="3:15" s="3" customFormat="1" ht="49.5">
      <c r="C5" s="394" t="s">
        <v>555</v>
      </c>
      <c r="D5" s="258"/>
      <c r="E5" s="258"/>
      <c r="F5" s="258"/>
      <c r="G5" s="258"/>
      <c r="H5" s="258"/>
      <c r="I5" s="258"/>
      <c r="J5" s="258"/>
      <c r="K5" s="258"/>
      <c r="L5" s="258"/>
      <c r="M5" s="258"/>
    </row>
    <row r="6" spans="3:15" customFormat="1" ht="6" customHeight="1">
      <c r="D6" s="132"/>
      <c r="E6" s="132"/>
      <c r="I6" s="132"/>
      <c r="L6" s="132"/>
    </row>
    <row r="7" spans="3:15" customFormat="1" ht="35.1" customHeight="1">
      <c r="C7" s="391" t="s">
        <v>1</v>
      </c>
      <c r="D7" s="391" t="s">
        <v>490</v>
      </c>
      <c r="E7" s="391" t="s">
        <v>491</v>
      </c>
      <c r="F7" s="391" t="s">
        <v>492</v>
      </c>
      <c r="G7" s="391" t="s">
        <v>493</v>
      </c>
      <c r="H7" s="391" t="s">
        <v>494</v>
      </c>
      <c r="I7" s="391" t="s">
        <v>495</v>
      </c>
      <c r="J7" s="391" t="s">
        <v>495</v>
      </c>
      <c r="K7" s="391" t="s">
        <v>496</v>
      </c>
      <c r="L7" s="391" t="s">
        <v>497</v>
      </c>
      <c r="M7" s="391" t="s">
        <v>498</v>
      </c>
      <c r="O7" s="388" t="s">
        <v>554</v>
      </c>
    </row>
    <row r="8" spans="3:15" ht="24.95" customHeight="1">
      <c r="C8" s="390">
        <v>1</v>
      </c>
      <c r="D8" s="389" t="s">
        <v>499</v>
      </c>
      <c r="E8" s="389" t="s">
        <v>549</v>
      </c>
      <c r="F8" s="389" t="s">
        <v>554</v>
      </c>
      <c r="G8" s="188" t="s">
        <v>500</v>
      </c>
      <c r="H8" s="389" t="s">
        <v>499</v>
      </c>
      <c r="I8" s="389"/>
      <c r="J8" s="389"/>
      <c r="K8" s="389"/>
      <c r="L8" s="389" t="str">
        <f>IF(F8="","",F8)&amp;IF(G8="","",G8&amp;"\")&amp;IF(H8="","",H8&amp;"\")&amp;IF(I8="","",I8&amp;"\")&amp;IF(J8="","",J8&amp;"\")&amp;IF(K8="","",K8&amp;"\")</f>
        <v>D:\OneDrive\YBA ADVISORY\B-Clients and Services\C024-KOK SNUOL\ks_system\database\</v>
      </c>
      <c r="M8" s="389" t="str">
        <f>IF(AND(E8="",J8=""),"",HYPERLINK(database_path,IF(J8="",E8,J8)))</f>
        <v>database file</v>
      </c>
      <c r="O8" s="388" t="s">
        <v>482</v>
      </c>
    </row>
    <row r="9" spans="3:15" ht="24.95" customHeight="1">
      <c r="C9" s="188">
        <v>2</v>
      </c>
      <c r="D9" s="389" t="s">
        <v>499</v>
      </c>
      <c r="E9" s="389" t="s">
        <v>550</v>
      </c>
      <c r="F9" s="389" t="s">
        <v>554</v>
      </c>
      <c r="G9" s="188" t="s">
        <v>500</v>
      </c>
      <c r="H9" s="389" t="s">
        <v>499</v>
      </c>
      <c r="I9" s="389" t="s">
        <v>548</v>
      </c>
      <c r="J9" s="389"/>
      <c r="K9" s="389"/>
      <c r="L9" s="389" t="str">
        <f t="shared" ref="L9:L46" si="0">IF(F9="","",F9)&amp;IF(G9="","",G9&amp;"\")&amp;IF(H9="","",H9&amp;"\")&amp;IF(I9="","",I9&amp;"\")&amp;IF(J9="","",J9&amp;"\")&amp;IF(K9="","",K9&amp;"\")</f>
        <v>D:\OneDrive\YBA ADVISORY\B-Clients and Services\C024-KOK SNUOL\ks_system\database\database_backup\</v>
      </c>
      <c r="M9" s="389" t="str">
        <f>IF(AND(E9="",J9=""),"",HYPERLINK(database_path,IF(J9="",E9,J9)))</f>
        <v>database backup</v>
      </c>
    </row>
    <row r="10" spans="3:15" ht="24.95" customHeight="1">
      <c r="C10" s="188">
        <v>3</v>
      </c>
      <c r="D10" s="389" t="s">
        <v>501</v>
      </c>
      <c r="E10" s="389" t="s">
        <v>551</v>
      </c>
      <c r="F10" s="389" t="s">
        <v>554</v>
      </c>
      <c r="G10" s="188" t="s">
        <v>500</v>
      </c>
      <c r="H10" s="389"/>
      <c r="I10" s="389"/>
      <c r="J10" s="389"/>
      <c r="K10" s="389"/>
      <c r="L10" s="389" t="str">
        <f t="shared" si="0"/>
        <v>D:\OneDrive\YBA ADVISORY\B-Clients and Services\C024-KOK SNUOL\ks_system\</v>
      </c>
      <c r="M10" s="389" t="str">
        <f>IF(AND(E10="",J10=""),"",HYPERLINK(database_path,IF(J10="",E10,J10)))</f>
        <v>system file</v>
      </c>
    </row>
    <row r="11" spans="3:15" ht="24.95" customHeight="1">
      <c r="C11" s="188">
        <v>4</v>
      </c>
      <c r="D11" s="389" t="s">
        <v>501</v>
      </c>
      <c r="E11" s="389" t="s">
        <v>552</v>
      </c>
      <c r="F11" s="389" t="s">
        <v>554</v>
      </c>
      <c r="G11" s="188" t="s">
        <v>500</v>
      </c>
      <c r="H11" s="389" t="s">
        <v>553</v>
      </c>
      <c r="I11" s="389"/>
      <c r="J11" s="389"/>
      <c r="K11" s="389"/>
      <c r="L11" s="389" t="str">
        <f t="shared" si="0"/>
        <v>D:\OneDrive\YBA ADVISORY\B-Clients and Services\C024-KOK SNUOL\ks_system\system_backup\</v>
      </c>
      <c r="M11" s="389" t="str">
        <f>IF(AND(E11="",J11=""),"",HYPERLINK(database_path,IF(J11="",E11,J11)))</f>
        <v>system backup</v>
      </c>
    </row>
    <row r="12" spans="3:15" ht="24.95" customHeight="1">
      <c r="C12" s="188">
        <v>5</v>
      </c>
      <c r="D12" s="389" t="s">
        <v>502</v>
      </c>
      <c r="E12" s="389" t="s">
        <v>503</v>
      </c>
      <c r="F12" s="389" t="s">
        <v>554</v>
      </c>
      <c r="G12" s="188" t="s">
        <v>500</v>
      </c>
      <c r="H12" s="389" t="s">
        <v>504</v>
      </c>
      <c r="I12" s="389" t="s">
        <v>502</v>
      </c>
      <c r="J12" s="392" t="s">
        <v>503</v>
      </c>
      <c r="K12" s="392"/>
      <c r="L12" s="389" t="str">
        <f t="shared" si="0"/>
        <v>D:\OneDrive\YBA ADVISORY\B-Clients and Services\C024-KOK SNUOL\ks_system\report\inventory\inventory_adjustment\</v>
      </c>
      <c r="M12" s="389" t="str">
        <f>IF(AND(E12="",J12=""),"",HYPERLINK(database_path,IF(J12="",E12,J12)))</f>
        <v>inventory_adjustment</v>
      </c>
    </row>
    <row r="13" spans="3:15" ht="24.95" customHeight="1">
      <c r="C13" s="188">
        <v>6</v>
      </c>
      <c r="D13" s="389" t="s">
        <v>111</v>
      </c>
      <c r="E13" s="389" t="s">
        <v>505</v>
      </c>
      <c r="F13" s="389" t="s">
        <v>554</v>
      </c>
      <c r="G13" s="188" t="s">
        <v>500</v>
      </c>
      <c r="H13" s="389" t="s">
        <v>504</v>
      </c>
      <c r="I13" s="389" t="s">
        <v>111</v>
      </c>
      <c r="J13" s="392" t="s">
        <v>505</v>
      </c>
      <c r="K13" s="392"/>
      <c r="L13" s="389" t="str">
        <f t="shared" si="0"/>
        <v>D:\OneDrive\YBA ADVISORY\B-Clients and Services\C024-KOK SNUOL\ks_system\report\Inventory\product\</v>
      </c>
      <c r="M13" s="389" t="str">
        <f>IF(AND(E13="",J13=""),"",HYPERLINK(database_path,IF(J13="",E13,J13)))</f>
        <v>product</v>
      </c>
    </row>
    <row r="14" spans="3:15" ht="24.95" customHeight="1">
      <c r="C14" s="188">
        <v>7</v>
      </c>
      <c r="D14" s="389" t="s">
        <v>111</v>
      </c>
      <c r="E14" s="389" t="s">
        <v>506</v>
      </c>
      <c r="F14" s="389" t="s">
        <v>554</v>
      </c>
      <c r="G14" s="188" t="s">
        <v>500</v>
      </c>
      <c r="H14" s="389" t="s">
        <v>504</v>
      </c>
      <c r="I14" s="389" t="s">
        <v>111</v>
      </c>
      <c r="J14" s="392" t="s">
        <v>506</v>
      </c>
      <c r="K14" s="392"/>
      <c r="L14" s="389" t="str">
        <f t="shared" si="0"/>
        <v>D:\OneDrive\YBA ADVISORY\B-Clients and Services\C024-KOK SNUOL\ks_system\report\Inventory\transfer_order\</v>
      </c>
      <c r="M14" s="389" t="str">
        <f>IF(AND(E14="",J14=""),"",HYPERLINK(database_path,IF(J14="",E14,J14)))</f>
        <v>transfer_order</v>
      </c>
    </row>
    <row r="15" spans="3:15" ht="24.95" customHeight="1">
      <c r="C15" s="188">
        <v>8</v>
      </c>
      <c r="D15" s="389" t="s">
        <v>507</v>
      </c>
      <c r="E15" s="389" t="s">
        <v>508</v>
      </c>
      <c r="F15" s="389" t="s">
        <v>554</v>
      </c>
      <c r="G15" s="188" t="s">
        <v>500</v>
      </c>
      <c r="H15" s="389" t="s">
        <v>504</v>
      </c>
      <c r="I15" s="389" t="s">
        <v>507</v>
      </c>
      <c r="J15" s="392" t="s">
        <v>508</v>
      </c>
      <c r="K15" s="392"/>
      <c r="L15" s="389" t="str">
        <f t="shared" si="0"/>
        <v>D:\OneDrive\YBA ADVISORY\B-Clients and Services\C024-KOK SNUOL\ks_system\report\purchase\purchase_bill\</v>
      </c>
      <c r="M15" s="389" t="str">
        <f>IF(AND(E15="",J15=""),"",HYPERLINK(database_path,IF(J15="",E15,J15)))</f>
        <v>purchase_bill</v>
      </c>
    </row>
    <row r="16" spans="3:15" ht="24.95" customHeight="1">
      <c r="C16" s="188">
        <v>9</v>
      </c>
      <c r="D16" s="389" t="s">
        <v>507</v>
      </c>
      <c r="E16" s="389" t="s">
        <v>509</v>
      </c>
      <c r="F16" s="389" t="s">
        <v>554</v>
      </c>
      <c r="G16" s="188" t="s">
        <v>500</v>
      </c>
      <c r="H16" s="389" t="s">
        <v>504</v>
      </c>
      <c r="I16" s="389" t="s">
        <v>507</v>
      </c>
      <c r="J16" s="392" t="s">
        <v>509</v>
      </c>
      <c r="K16" s="392"/>
      <c r="L16" s="389" t="str">
        <f t="shared" si="0"/>
        <v>D:\OneDrive\YBA ADVISORY\B-Clients and Services\C024-KOK SNUOL\ks_system\report\purchase\purchase_request\</v>
      </c>
      <c r="M16" s="389" t="str">
        <f>IF(AND(E16="",J16=""),"",HYPERLINK(database_path,IF(J16="",E16,J16)))</f>
        <v>purchase_request</v>
      </c>
    </row>
    <row r="17" spans="3:13" ht="24.95" customHeight="1">
      <c r="C17" s="188">
        <v>10</v>
      </c>
      <c r="D17" s="389" t="s">
        <v>507</v>
      </c>
      <c r="E17" s="389" t="s">
        <v>510</v>
      </c>
      <c r="F17" s="389" t="s">
        <v>554</v>
      </c>
      <c r="G17" s="188" t="s">
        <v>500</v>
      </c>
      <c r="H17" s="389" t="s">
        <v>504</v>
      </c>
      <c r="I17" s="389" t="s">
        <v>507</v>
      </c>
      <c r="J17" s="392" t="s">
        <v>510</v>
      </c>
      <c r="K17" s="392"/>
      <c r="L17" s="389" t="str">
        <f t="shared" si="0"/>
        <v>D:\OneDrive\YBA ADVISORY\B-Clients and Services\C024-KOK SNUOL\ks_system\report\purchase\other_expense\</v>
      </c>
      <c r="M17" s="389" t="str">
        <f>IF(AND(E17="",J17=""),"",HYPERLINK(database_path,IF(J17="",E17,J17)))</f>
        <v>other_expense</v>
      </c>
    </row>
    <row r="18" spans="3:13" ht="24.95" customHeight="1">
      <c r="C18" s="188">
        <v>11</v>
      </c>
      <c r="D18" s="389" t="s">
        <v>507</v>
      </c>
      <c r="E18" s="389" t="s">
        <v>511</v>
      </c>
      <c r="F18" s="389" t="s">
        <v>554</v>
      </c>
      <c r="G18" s="188" t="s">
        <v>500</v>
      </c>
      <c r="H18" s="389" t="s">
        <v>504</v>
      </c>
      <c r="I18" s="389" t="s">
        <v>507</v>
      </c>
      <c r="J18" s="392" t="s">
        <v>511</v>
      </c>
      <c r="K18" s="392"/>
      <c r="L18" s="389" t="str">
        <f t="shared" si="0"/>
        <v>D:\OneDrive\YBA ADVISORY\B-Clients and Services\C024-KOK SNUOL\ks_system\report\purchase\vendor\</v>
      </c>
      <c r="M18" s="389" t="str">
        <f>IF(AND(E18="",J18=""),"",HYPERLINK(database_path,IF(J18="",E18,J18)))</f>
        <v>vendor</v>
      </c>
    </row>
    <row r="19" spans="3:13" ht="24.95" customHeight="1">
      <c r="C19" s="188">
        <v>12</v>
      </c>
      <c r="D19" s="389" t="s">
        <v>512</v>
      </c>
      <c r="E19" s="389" t="s">
        <v>513</v>
      </c>
      <c r="F19" s="389" t="s">
        <v>554</v>
      </c>
      <c r="G19" s="188" t="s">
        <v>500</v>
      </c>
      <c r="H19" s="389" t="s">
        <v>504</v>
      </c>
      <c r="I19" s="389" t="s">
        <v>512</v>
      </c>
      <c r="J19" s="392" t="s">
        <v>513</v>
      </c>
      <c r="K19" s="392"/>
      <c r="L19" s="389" t="str">
        <f t="shared" si="0"/>
        <v>D:\OneDrive\YBA ADVISORY\B-Clients and Services\C024-KOK SNUOL\ks_system\report\sales\customer\</v>
      </c>
      <c r="M19" s="389" t="str">
        <f>IF(AND(E19="",J19=""),"",HYPERLINK(database_path,IF(J19="",E19,J19)))</f>
        <v>customer</v>
      </c>
    </row>
    <row r="20" spans="3:13" ht="24.95" customHeight="1">
      <c r="C20" s="188">
        <v>13</v>
      </c>
      <c r="D20" s="389" t="s">
        <v>512</v>
      </c>
      <c r="E20" s="389" t="s">
        <v>514</v>
      </c>
      <c r="F20" s="389" t="s">
        <v>554</v>
      </c>
      <c r="G20" s="188" t="s">
        <v>500</v>
      </c>
      <c r="H20" s="389" t="s">
        <v>504</v>
      </c>
      <c r="I20" s="389" t="s">
        <v>512</v>
      </c>
      <c r="J20" s="392" t="s">
        <v>514</v>
      </c>
      <c r="K20" s="392"/>
      <c r="L20" s="389" t="str">
        <f t="shared" si="0"/>
        <v>D:\OneDrive\YBA ADVISORY\B-Clients and Services\C024-KOK SNUOL\ks_system\report\sales\quotation\</v>
      </c>
      <c r="M20" s="389" t="str">
        <f>IF(AND(E20="",J20=""),"",HYPERLINK(database_path,IF(J20="",E20,J20)))</f>
        <v>quotation</v>
      </c>
    </row>
    <row r="21" spans="3:13" ht="24.95" customHeight="1">
      <c r="C21" s="188">
        <v>14</v>
      </c>
      <c r="D21" s="389" t="s">
        <v>512</v>
      </c>
      <c r="E21" s="389" t="s">
        <v>515</v>
      </c>
      <c r="F21" s="389" t="s">
        <v>554</v>
      </c>
      <c r="G21" s="188" t="s">
        <v>500</v>
      </c>
      <c r="H21" s="389" t="s">
        <v>504</v>
      </c>
      <c r="I21" s="389" t="s">
        <v>512</v>
      </c>
      <c r="J21" s="392" t="s">
        <v>515</v>
      </c>
      <c r="K21" s="392"/>
      <c r="L21" s="389" t="str">
        <f t="shared" si="0"/>
        <v>D:\OneDrive\YBA ADVISORY\B-Clients and Services\C024-KOK SNUOL\ks_system\report\sales\sales_order\</v>
      </c>
      <c r="M21" s="389" t="str">
        <f>IF(AND(E21="",J21=""),"",HYPERLINK(database_path,IF(J21="",E21,J21)))</f>
        <v>sales_order</v>
      </c>
    </row>
    <row r="22" spans="3:13" ht="24.95" customHeight="1">
      <c r="C22" s="188">
        <v>15</v>
      </c>
      <c r="D22" s="389" t="s">
        <v>512</v>
      </c>
      <c r="E22" s="389" t="s">
        <v>516</v>
      </c>
      <c r="F22" s="389" t="s">
        <v>554</v>
      </c>
      <c r="G22" s="188" t="s">
        <v>500</v>
      </c>
      <c r="H22" s="389" t="s">
        <v>504</v>
      </c>
      <c r="I22" s="389" t="s">
        <v>512</v>
      </c>
      <c r="J22" s="392" t="s">
        <v>516</v>
      </c>
      <c r="K22" s="392"/>
      <c r="L22" s="389" t="str">
        <f t="shared" si="0"/>
        <v>D:\OneDrive\YBA ADVISORY\B-Clients and Services\C024-KOK SNUOL\ks_system\report\sales\sales_invoice\</v>
      </c>
      <c r="M22" s="389" t="str">
        <f>IF(AND(E22="",J22=""),"",HYPERLINK(database_path,IF(J22="",E22,J22)))</f>
        <v>sales_invoice</v>
      </c>
    </row>
    <row r="23" spans="3:13" ht="24.95" customHeight="1">
      <c r="C23" s="188">
        <v>16</v>
      </c>
      <c r="D23" s="389" t="s">
        <v>512</v>
      </c>
      <c r="E23" s="389" t="s">
        <v>517</v>
      </c>
      <c r="F23" s="389" t="s">
        <v>554</v>
      </c>
      <c r="G23" s="188" t="s">
        <v>500</v>
      </c>
      <c r="H23" s="389" t="s">
        <v>504</v>
      </c>
      <c r="I23" s="389" t="s">
        <v>512</v>
      </c>
      <c r="J23" s="392" t="s">
        <v>517</v>
      </c>
      <c r="K23" s="392"/>
      <c r="L23" s="389" t="str">
        <f t="shared" si="0"/>
        <v>D:\OneDrive\YBA ADVISORY\B-Clients and Services\C024-KOK SNUOL\ks_system\report\sales\pos\</v>
      </c>
      <c r="M23" s="389" t="str">
        <f>IF(AND(E23="",J23=""),"",HYPERLINK(database_path,IF(J23="",E23,J23)))</f>
        <v>pos</v>
      </c>
    </row>
    <row r="24" spans="3:13" ht="24.95" customHeight="1">
      <c r="C24" s="188">
        <v>17</v>
      </c>
      <c r="D24" s="389" t="s">
        <v>512</v>
      </c>
      <c r="E24" s="393" t="s">
        <v>518</v>
      </c>
      <c r="F24" s="389" t="s">
        <v>554</v>
      </c>
      <c r="G24" s="188" t="s">
        <v>500</v>
      </c>
      <c r="H24" s="389" t="s">
        <v>504</v>
      </c>
      <c r="I24" s="389" t="s">
        <v>512</v>
      </c>
      <c r="J24" s="392" t="s">
        <v>518</v>
      </c>
      <c r="K24" s="392"/>
      <c r="L24" s="389" t="str">
        <f t="shared" si="0"/>
        <v>D:\OneDrive\YBA ADVISORY\B-Clients and Services\C024-KOK SNUOL\ks_system\report\sales\other_income\</v>
      </c>
      <c r="M24" s="389" t="str">
        <f>IF(AND(E24="",J24=""),"",HYPERLINK(database_path,IF(J24="",E24,J24)))</f>
        <v>other_income</v>
      </c>
    </row>
    <row r="25" spans="3:13" ht="24.95" customHeight="1">
      <c r="C25" s="188">
        <v>18</v>
      </c>
      <c r="D25" s="389" t="s">
        <v>519</v>
      </c>
      <c r="E25" s="389" t="s">
        <v>520</v>
      </c>
      <c r="F25" s="389" t="s">
        <v>554</v>
      </c>
      <c r="G25" s="188" t="s">
        <v>500</v>
      </c>
      <c r="H25" s="389" t="s">
        <v>504</v>
      </c>
      <c r="I25" s="389" t="s">
        <v>519</v>
      </c>
      <c r="J25" s="392" t="s">
        <v>520</v>
      </c>
      <c r="K25" s="392"/>
      <c r="L25" s="389" t="str">
        <f t="shared" si="0"/>
        <v>D:\OneDrive\YBA ADVISORY\B-Clients and Services\C024-KOK SNUOL\ks_system\report\setting\employee_and_salary\</v>
      </c>
      <c r="M25" s="389" t="str">
        <f>IF(AND(E25="",J25=""),"",HYPERLINK(database_path,IF(J25="",E25,J25)))</f>
        <v>employee_and_salary</v>
      </c>
    </row>
    <row r="26" spans="3:13" ht="24.95" customHeight="1">
      <c r="C26" s="188">
        <v>19</v>
      </c>
      <c r="D26" s="389" t="s">
        <v>519</v>
      </c>
      <c r="E26" s="389" t="s">
        <v>521</v>
      </c>
      <c r="F26" s="389" t="s">
        <v>554</v>
      </c>
      <c r="G26" s="188" t="s">
        <v>500</v>
      </c>
      <c r="H26" s="389" t="s">
        <v>504</v>
      </c>
      <c r="I26" s="389" t="s">
        <v>519</v>
      </c>
      <c r="J26" s="392" t="s">
        <v>521</v>
      </c>
      <c r="K26" s="392"/>
      <c r="L26" s="389" t="str">
        <f t="shared" si="0"/>
        <v>D:\OneDrive\YBA ADVISORY\B-Clients and Services\C024-KOK SNUOL\ks_system\report\setting\chart_account\</v>
      </c>
      <c r="M26" s="389" t="str">
        <f>IF(AND(E26="",J26=""),"",HYPERLINK(database_path,IF(J26="",E26,J26)))</f>
        <v>chart_account</v>
      </c>
    </row>
    <row r="27" spans="3:13" ht="24.95" customHeight="1">
      <c r="C27" s="188">
        <v>20</v>
      </c>
      <c r="D27" s="389" t="s">
        <v>522</v>
      </c>
      <c r="E27" s="389" t="s">
        <v>523</v>
      </c>
      <c r="F27" s="389" t="s">
        <v>554</v>
      </c>
      <c r="G27" s="188" t="s">
        <v>500</v>
      </c>
      <c r="H27" s="389" t="s">
        <v>504</v>
      </c>
      <c r="I27" s="389" t="s">
        <v>522</v>
      </c>
      <c r="J27" s="392" t="s">
        <v>523</v>
      </c>
      <c r="K27" s="392"/>
      <c r="L27" s="389" t="str">
        <f t="shared" si="0"/>
        <v>D:\OneDrive\YBA ADVISORY\B-Clients and Services\C024-KOK SNUOL\ks_system\report\report_customer_balance\customer_balance\</v>
      </c>
      <c r="M27" s="389" t="str">
        <f>IF(AND(E27="",J27=""),"",HYPERLINK(database_path,IF(J27="",E27,J27)))</f>
        <v>customer_balance</v>
      </c>
    </row>
    <row r="28" spans="3:13" ht="24.95" customHeight="1">
      <c r="C28" s="188">
        <v>21</v>
      </c>
      <c r="D28" s="389" t="s">
        <v>522</v>
      </c>
      <c r="E28" s="389" t="s">
        <v>524</v>
      </c>
      <c r="F28" s="389" t="s">
        <v>554</v>
      </c>
      <c r="G28" s="188" t="s">
        <v>500</v>
      </c>
      <c r="H28" s="389" t="s">
        <v>504</v>
      </c>
      <c r="I28" s="389" t="s">
        <v>522</v>
      </c>
      <c r="J28" s="392" t="s">
        <v>524</v>
      </c>
      <c r="K28" s="392"/>
      <c r="L28" s="389" t="str">
        <f t="shared" si="0"/>
        <v>D:\OneDrive\YBA ADVISORY\B-Clients and Services\C024-KOK SNUOL\ks_system\report\report_customer_balance\open_invoice\</v>
      </c>
      <c r="M28" s="389" t="str">
        <f>IF(AND(E28="",J28=""),"",HYPERLINK(database_path,IF(J28="",E28,J28)))</f>
        <v>open_invoice</v>
      </c>
    </row>
    <row r="29" spans="3:13" ht="24.95" customHeight="1">
      <c r="C29" s="188">
        <v>22</v>
      </c>
      <c r="D29" s="389" t="s">
        <v>522</v>
      </c>
      <c r="E29" s="389" t="s">
        <v>525</v>
      </c>
      <c r="F29" s="389" t="s">
        <v>554</v>
      </c>
      <c r="G29" s="188" t="s">
        <v>500</v>
      </c>
      <c r="H29" s="389" t="s">
        <v>504</v>
      </c>
      <c r="I29" s="389" t="s">
        <v>522</v>
      </c>
      <c r="J29" s="392" t="s">
        <v>525</v>
      </c>
      <c r="K29" s="392"/>
      <c r="L29" s="389" t="str">
        <f t="shared" si="0"/>
        <v>D:\OneDrive\YBA ADVISORY\B-Clients and Services\C024-KOK SNUOL\ks_system\report\report_customer_balance\customer_statement\</v>
      </c>
      <c r="M29" s="389" t="str">
        <f>IF(AND(E29="",J29=""),"",HYPERLINK(database_path,IF(J29="",E29,J29)))</f>
        <v>customer_statement</v>
      </c>
    </row>
    <row r="30" spans="3:13" ht="24.95" customHeight="1">
      <c r="C30" s="188">
        <v>23</v>
      </c>
      <c r="D30" s="389" t="s">
        <v>526</v>
      </c>
      <c r="E30" s="389" t="s">
        <v>527</v>
      </c>
      <c r="F30" s="389" t="s">
        <v>554</v>
      </c>
      <c r="G30" s="188" t="s">
        <v>500</v>
      </c>
      <c r="H30" s="389" t="s">
        <v>504</v>
      </c>
      <c r="I30" s="389" t="s">
        <v>526</v>
      </c>
      <c r="J30" s="392" t="s">
        <v>527</v>
      </c>
      <c r="K30" s="392"/>
      <c r="L30" s="389" t="str">
        <f t="shared" si="0"/>
        <v>D:\OneDrive\YBA ADVISORY\B-Clients and Services\C024-KOK SNUOL\ks_system\report\report_vendor_balance\vendor_balance\</v>
      </c>
      <c r="M30" s="389" t="str">
        <f>IF(AND(E30="",J30=""),"",HYPERLINK(database_path,IF(J30="",E30,J30)))</f>
        <v>vendor_balance</v>
      </c>
    </row>
    <row r="31" spans="3:13" ht="24.95" customHeight="1">
      <c r="C31" s="188">
        <v>24</v>
      </c>
      <c r="D31" s="389" t="s">
        <v>526</v>
      </c>
      <c r="E31" s="389" t="s">
        <v>528</v>
      </c>
      <c r="F31" s="389" t="s">
        <v>554</v>
      </c>
      <c r="G31" s="188" t="s">
        <v>500</v>
      </c>
      <c r="H31" s="389" t="s">
        <v>504</v>
      </c>
      <c r="I31" s="389" t="s">
        <v>526</v>
      </c>
      <c r="J31" s="392" t="s">
        <v>528</v>
      </c>
      <c r="K31" s="392"/>
      <c r="L31" s="389" t="str">
        <f t="shared" si="0"/>
        <v>D:\OneDrive\YBA ADVISORY\B-Clients and Services\C024-KOK SNUOL\ks_system\report\report_vendor_balance\open_bill\</v>
      </c>
      <c r="M31" s="389" t="str">
        <f>IF(AND(E31="",J31=""),"",HYPERLINK(database_path,IF(J31="",E31,J31)))</f>
        <v>open_bill</v>
      </c>
    </row>
    <row r="32" spans="3:13" ht="24.95" customHeight="1">
      <c r="C32" s="188">
        <v>25</v>
      </c>
      <c r="D32" s="389" t="s">
        <v>526</v>
      </c>
      <c r="E32" s="389" t="s">
        <v>529</v>
      </c>
      <c r="F32" s="389" t="s">
        <v>554</v>
      </c>
      <c r="G32" s="188" t="s">
        <v>500</v>
      </c>
      <c r="H32" s="389" t="s">
        <v>504</v>
      </c>
      <c r="I32" s="389" t="s">
        <v>526</v>
      </c>
      <c r="J32" s="392" t="s">
        <v>529</v>
      </c>
      <c r="K32" s="392"/>
      <c r="L32" s="389" t="str">
        <f t="shared" si="0"/>
        <v>D:\OneDrive\YBA ADVISORY\B-Clients and Services\C024-KOK SNUOL\ks_system\report\report_vendor_balance\vendor_statement\</v>
      </c>
      <c r="M32" s="389" t="str">
        <f>IF(AND(E32="",J32=""),"",HYPERLINK(database_path,IF(J32="",E32,J32)))</f>
        <v>vendor_statement</v>
      </c>
    </row>
    <row r="33" spans="3:13" ht="24.95" customHeight="1">
      <c r="C33" s="188">
        <v>26</v>
      </c>
      <c r="D33" s="389" t="s">
        <v>530</v>
      </c>
      <c r="E33" s="389" t="s">
        <v>531</v>
      </c>
      <c r="F33" s="389" t="s">
        <v>554</v>
      </c>
      <c r="G33" s="188" t="s">
        <v>500</v>
      </c>
      <c r="H33" s="389" t="s">
        <v>504</v>
      </c>
      <c r="I33" s="389" t="s">
        <v>530</v>
      </c>
      <c r="J33" s="392" t="s">
        <v>531</v>
      </c>
      <c r="K33" s="392"/>
      <c r="L33" s="389" t="str">
        <f t="shared" si="0"/>
        <v>D:\OneDrive\YBA ADVISORY\B-Clients and Services\C024-KOK SNUOL\ks_system\report\report_purchase\purchase_by_invoice\</v>
      </c>
      <c r="M33" s="389" t="str">
        <f>IF(AND(E33="",J33=""),"",HYPERLINK(database_path,IF(J33="",E33,J33)))</f>
        <v>purchase_by_invoice</v>
      </c>
    </row>
    <row r="34" spans="3:13" ht="24.95" customHeight="1">
      <c r="C34" s="188">
        <v>27</v>
      </c>
      <c r="D34" s="389" t="s">
        <v>530</v>
      </c>
      <c r="E34" s="389" t="s">
        <v>532</v>
      </c>
      <c r="F34" s="389" t="s">
        <v>554</v>
      </c>
      <c r="G34" s="188" t="s">
        <v>500</v>
      </c>
      <c r="H34" s="389" t="s">
        <v>504</v>
      </c>
      <c r="I34" s="389" t="s">
        <v>530</v>
      </c>
      <c r="J34" s="392" t="s">
        <v>532</v>
      </c>
      <c r="K34" s="392"/>
      <c r="L34" s="389" t="str">
        <f t="shared" si="0"/>
        <v>D:\OneDrive\YBA ADVISORY\B-Clients and Services\C024-KOK SNUOL\ks_system\report\report_purchase\purchase_by_item\</v>
      </c>
      <c r="M34" s="389" t="str">
        <f>IF(AND(E34="",J34=""),"",HYPERLINK(database_path,IF(J34="",E34,J34)))</f>
        <v>purchase_by_item</v>
      </c>
    </row>
    <row r="35" spans="3:13" ht="24.95" customHeight="1">
      <c r="C35" s="188">
        <v>28</v>
      </c>
      <c r="D35" s="389" t="s">
        <v>530</v>
      </c>
      <c r="E35" s="389" t="s">
        <v>533</v>
      </c>
      <c r="F35" s="389" t="s">
        <v>554</v>
      </c>
      <c r="G35" s="188" t="s">
        <v>500</v>
      </c>
      <c r="H35" s="389" t="s">
        <v>504</v>
      </c>
      <c r="I35" s="389" t="s">
        <v>530</v>
      </c>
      <c r="J35" s="392" t="s">
        <v>533</v>
      </c>
      <c r="K35" s="392"/>
      <c r="L35" s="389" t="str">
        <f t="shared" si="0"/>
        <v>D:\OneDrive\YBA ADVISORY\B-Clients and Services\C024-KOK SNUOL\ks_system\report\report_purchase\pay_bills \</v>
      </c>
      <c r="M35" s="389" t="str">
        <f>IF(AND(E35="",J35=""),"",HYPERLINK(database_path,IF(J35="",E35,J35)))</f>
        <v xml:space="preserve">pay_bills </v>
      </c>
    </row>
    <row r="36" spans="3:13" ht="24.95" customHeight="1">
      <c r="C36" s="188">
        <v>29</v>
      </c>
      <c r="D36" s="389" t="s">
        <v>530</v>
      </c>
      <c r="E36" s="389" t="s">
        <v>534</v>
      </c>
      <c r="F36" s="389" t="s">
        <v>554</v>
      </c>
      <c r="G36" s="188" t="s">
        <v>500</v>
      </c>
      <c r="H36" s="389" t="s">
        <v>504</v>
      </c>
      <c r="I36" s="389" t="s">
        <v>530</v>
      </c>
      <c r="J36" s="392" t="s">
        <v>534</v>
      </c>
      <c r="K36" s="392"/>
      <c r="L36" s="389" t="str">
        <f t="shared" si="0"/>
        <v>D:\OneDrive\YBA ADVISORY\B-Clients and Services\C024-KOK SNUOL\ks_system\report\report_purchase\cash_expenses\</v>
      </c>
      <c r="M36" s="389" t="str">
        <f>IF(AND(E36="",J36=""),"",HYPERLINK(database_path,IF(J36="",E36,J36)))</f>
        <v>cash_expenses</v>
      </c>
    </row>
    <row r="37" spans="3:13" ht="24.95" customHeight="1">
      <c r="C37" s="188">
        <v>30</v>
      </c>
      <c r="D37" s="389" t="s">
        <v>535</v>
      </c>
      <c r="E37" s="389" t="s">
        <v>536</v>
      </c>
      <c r="F37" s="389" t="s">
        <v>554</v>
      </c>
      <c r="G37" s="188" t="s">
        <v>500</v>
      </c>
      <c r="H37" s="389" t="s">
        <v>504</v>
      </c>
      <c r="I37" s="389" t="s">
        <v>535</v>
      </c>
      <c r="J37" s="392" t="s">
        <v>536</v>
      </c>
      <c r="K37" s="392"/>
      <c r="L37" s="389" t="str">
        <f t="shared" si="0"/>
        <v>D:\OneDrive\YBA ADVISORY\B-Clients and Services\C024-KOK SNUOL\ks_system\report\report_sales\sales_by_item\</v>
      </c>
      <c r="M37" s="389" t="str">
        <f>IF(AND(E37="",J37=""),"",HYPERLINK(database_path,IF(J37="",E37,J37)))</f>
        <v>sales_by_item</v>
      </c>
    </row>
    <row r="38" spans="3:13" ht="24.95" customHeight="1">
      <c r="C38" s="188">
        <v>31</v>
      </c>
      <c r="D38" s="389" t="s">
        <v>535</v>
      </c>
      <c r="E38" s="389" t="s">
        <v>537</v>
      </c>
      <c r="F38" s="389" t="s">
        <v>554</v>
      </c>
      <c r="G38" s="188" t="s">
        <v>500</v>
      </c>
      <c r="H38" s="389" t="s">
        <v>504</v>
      </c>
      <c r="I38" s="389" t="s">
        <v>535</v>
      </c>
      <c r="J38" s="392" t="s">
        <v>537</v>
      </c>
      <c r="K38" s="392"/>
      <c r="L38" s="389" t="str">
        <f t="shared" si="0"/>
        <v>D:\OneDrive\YBA ADVISORY\B-Clients and Services\C024-KOK SNUOL\ks_system\report\report_sales\sales_by_item_customer\</v>
      </c>
      <c r="M38" s="389" t="str">
        <f>IF(AND(E38="",J38=""),"",HYPERLINK(database_path,IF(J38="",E38,J38)))</f>
        <v>sales_by_item_customer</v>
      </c>
    </row>
    <row r="39" spans="3:13" ht="24.95" customHeight="1">
      <c r="C39" s="188">
        <v>32</v>
      </c>
      <c r="D39" s="389" t="s">
        <v>535</v>
      </c>
      <c r="E39" s="389" t="s">
        <v>538</v>
      </c>
      <c r="F39" s="389" t="s">
        <v>554</v>
      </c>
      <c r="G39" s="188" t="s">
        <v>500</v>
      </c>
      <c r="H39" s="389" t="s">
        <v>504</v>
      </c>
      <c r="I39" s="389" t="s">
        <v>535</v>
      </c>
      <c r="J39" s="392" t="s">
        <v>538</v>
      </c>
      <c r="K39" s="392"/>
      <c r="L39" s="389" t="str">
        <f t="shared" si="0"/>
        <v>D:\OneDrive\YBA ADVISORY\B-Clients and Services\C024-KOK SNUOL\ks_system\report\report_sales\total_sale\</v>
      </c>
      <c r="M39" s="389" t="str">
        <f>IF(AND(E39="",J39=""),"",HYPERLINK(database_path,IF(J39="",E39,J39)))</f>
        <v>total_sale</v>
      </c>
    </row>
    <row r="40" spans="3:13" ht="24.95" customHeight="1">
      <c r="C40" s="188">
        <v>33</v>
      </c>
      <c r="D40" s="389" t="s">
        <v>539</v>
      </c>
      <c r="E40" s="389" t="s">
        <v>540</v>
      </c>
      <c r="F40" s="389" t="s">
        <v>554</v>
      </c>
      <c r="G40" s="188" t="s">
        <v>500</v>
      </c>
      <c r="H40" s="389" t="s">
        <v>504</v>
      </c>
      <c r="I40" s="389" t="s">
        <v>539</v>
      </c>
      <c r="J40" s="392" t="s">
        <v>540</v>
      </c>
      <c r="K40" s="392"/>
      <c r="L40" s="389" t="str">
        <f t="shared" si="0"/>
        <v>D:\OneDrive\YBA ADVISORY\B-Clients and Services\C024-KOK SNUOL\ks_system\report\report_inventory\gloable_inventory\</v>
      </c>
      <c r="M40" s="389" t="str">
        <f>IF(AND(E40="",J40=""),"",HYPERLINK(database_path,IF(J40="",E40,J40)))</f>
        <v>gloable_inventory</v>
      </c>
    </row>
    <row r="41" spans="3:13" ht="24.95" customHeight="1">
      <c r="C41" s="188">
        <v>34</v>
      </c>
      <c r="D41" s="389" t="s">
        <v>539</v>
      </c>
      <c r="E41" s="389" t="s">
        <v>541</v>
      </c>
      <c r="F41" s="389" t="s">
        <v>554</v>
      </c>
      <c r="G41" s="188" t="s">
        <v>500</v>
      </c>
      <c r="H41" s="389" t="s">
        <v>504</v>
      </c>
      <c r="I41" s="389" t="s">
        <v>539</v>
      </c>
      <c r="J41" s="392" t="s">
        <v>541</v>
      </c>
      <c r="K41" s="392"/>
      <c r="L41" s="389" t="str">
        <f t="shared" si="0"/>
        <v>D:\OneDrive\YBA ADVISORY\B-Clients and Services\C024-KOK SNUOL\ks_system\report\report_inventory\inventory_activity\</v>
      </c>
      <c r="M41" s="389" t="str">
        <f>IF(AND(E41="",J41=""),"",HYPERLINK(database_path,IF(J41="",E41,J41)))</f>
        <v>inventory_activity</v>
      </c>
    </row>
    <row r="42" spans="3:13" ht="24.95" customHeight="1">
      <c r="C42" s="188">
        <v>35</v>
      </c>
      <c r="D42" s="389" t="s">
        <v>539</v>
      </c>
      <c r="E42" s="389" t="s">
        <v>542</v>
      </c>
      <c r="F42" s="389" t="s">
        <v>554</v>
      </c>
      <c r="G42" s="188" t="s">
        <v>500</v>
      </c>
      <c r="H42" s="389" t="s">
        <v>504</v>
      </c>
      <c r="I42" s="389" t="s">
        <v>539</v>
      </c>
      <c r="J42" s="392" t="s">
        <v>542</v>
      </c>
      <c r="K42" s="392"/>
      <c r="L42" s="389" t="str">
        <f t="shared" si="0"/>
        <v>D:\OneDrive\YBA ADVISORY\B-Clients and Services\C024-KOK SNUOL\ks_system\report\report_inventory\inventory_valuation\</v>
      </c>
      <c r="M42" s="389" t="str">
        <f>IF(AND(E42="",J42=""),"",HYPERLINK(database_path,IF(J42="",E42,J42)))</f>
        <v>inventory_valuation</v>
      </c>
    </row>
    <row r="43" spans="3:13" ht="24.95" customHeight="1">
      <c r="C43" s="188">
        <v>36</v>
      </c>
      <c r="D43" s="389" t="s">
        <v>543</v>
      </c>
      <c r="E43" s="389" t="s">
        <v>544</v>
      </c>
      <c r="F43" s="389" t="s">
        <v>554</v>
      </c>
      <c r="G43" s="188" t="s">
        <v>500</v>
      </c>
      <c r="H43" s="389" t="s">
        <v>504</v>
      </c>
      <c r="I43" s="389" t="s">
        <v>543</v>
      </c>
      <c r="J43" s="392" t="s">
        <v>544</v>
      </c>
      <c r="K43" s="392"/>
      <c r="L43" s="389" t="str">
        <f t="shared" si="0"/>
        <v>D:\OneDrive\YBA ADVISORY\B-Clients and Services\C024-KOK SNUOL\ks_system\report\report_accounting\journal_entry\</v>
      </c>
      <c r="M43" s="389" t="str">
        <f>IF(AND(E43="",J43=""),"",HYPERLINK(database_path,IF(J43="",E43,J43)))</f>
        <v>journal_entry</v>
      </c>
    </row>
    <row r="44" spans="3:13" ht="24.95" customHeight="1">
      <c r="C44" s="188">
        <v>37</v>
      </c>
      <c r="D44" s="389" t="s">
        <v>543</v>
      </c>
      <c r="E44" s="389" t="s">
        <v>545</v>
      </c>
      <c r="F44" s="389" t="s">
        <v>554</v>
      </c>
      <c r="G44" s="188" t="s">
        <v>500</v>
      </c>
      <c r="H44" s="389" t="s">
        <v>504</v>
      </c>
      <c r="I44" s="389" t="s">
        <v>543</v>
      </c>
      <c r="J44" s="392" t="s">
        <v>545</v>
      </c>
      <c r="K44" s="392"/>
      <c r="L44" s="389" t="str">
        <f t="shared" si="0"/>
        <v>D:\OneDrive\YBA ADVISORY\B-Clients and Services\C024-KOK SNUOL\ks_system\report\report_accounting\general_ledger\</v>
      </c>
      <c r="M44" s="389" t="str">
        <f>IF(AND(E44="",J44=""),"",HYPERLINK(database_path,IF(J44="",E44,J44)))</f>
        <v>general_ledger</v>
      </c>
    </row>
    <row r="45" spans="3:13" ht="24.95" customHeight="1">
      <c r="C45" s="188">
        <v>38</v>
      </c>
      <c r="D45" s="389" t="s">
        <v>543</v>
      </c>
      <c r="E45" s="389" t="s">
        <v>546</v>
      </c>
      <c r="F45" s="389" t="s">
        <v>554</v>
      </c>
      <c r="G45" s="188" t="s">
        <v>500</v>
      </c>
      <c r="H45" s="389" t="s">
        <v>504</v>
      </c>
      <c r="I45" s="389" t="s">
        <v>543</v>
      </c>
      <c r="J45" s="392" t="s">
        <v>546</v>
      </c>
      <c r="K45" s="392"/>
      <c r="L45" s="389" t="str">
        <f t="shared" si="0"/>
        <v>D:\OneDrive\YBA ADVISORY\B-Clients and Services\C024-KOK SNUOL\ks_system\report\report_accounting\balance_sheet\</v>
      </c>
      <c r="M45" s="389" t="str">
        <f>IF(AND(E45="",J45=""),"",HYPERLINK(database_path,IF(J45="",E45,J45)))</f>
        <v>balance_sheet</v>
      </c>
    </row>
    <row r="46" spans="3:13" ht="24.95" customHeight="1">
      <c r="C46" s="188">
        <v>39</v>
      </c>
      <c r="D46" s="389" t="s">
        <v>543</v>
      </c>
      <c r="E46" s="389" t="s">
        <v>547</v>
      </c>
      <c r="F46" s="389" t="s">
        <v>554</v>
      </c>
      <c r="G46" s="188" t="s">
        <v>500</v>
      </c>
      <c r="H46" s="389" t="s">
        <v>504</v>
      </c>
      <c r="I46" s="389" t="s">
        <v>543</v>
      </c>
      <c r="J46" s="392" t="s">
        <v>547</v>
      </c>
      <c r="K46" s="392"/>
      <c r="L46" s="389" t="str">
        <f t="shared" si="0"/>
        <v>D:\OneDrive\YBA ADVISORY\B-Clients and Services\C024-KOK SNUOL\ks_system\report\report_accounting\profit_loss\</v>
      </c>
      <c r="M46" s="389" t="str">
        <f>IF(AND(E46="",J46=""),"",HYPERLINK(database_path,IF(J46="",E46,J46)))</f>
        <v>profit_loss</v>
      </c>
    </row>
  </sheetData>
  <dataValidations count="1">
    <dataValidation type="list" allowBlank="1" showInputMessage="1" showErrorMessage="1" sqref="F8:F46" xr:uid="{EF8C63D3-1217-47B4-BCCC-67F2408BD734}">
      <formula1>$O$7:$O$8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151"/>
  <sheetViews>
    <sheetView showGridLines="0" topLeftCell="A2" zoomScale="90" zoomScaleNormal="90" workbookViewId="0">
      <pane ySplit="6" topLeftCell="A8" activePane="bottomLeft" state="frozen"/>
      <selection activeCell="L28" sqref="L28"/>
      <selection pane="bottomLeft" activeCell="V24" sqref="V24"/>
    </sheetView>
  </sheetViews>
  <sheetFormatPr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28" customWidth="1"/>
    <col min="22" max="22" width="14.85546875" style="228" bestFit="1" customWidth="1"/>
    <col min="23" max="23" width="20.5703125" style="228" customWidth="1"/>
    <col min="24" max="24" width="15.140625" style="228" customWidth="1"/>
    <col min="25" max="25" width="14.42578125" style="228" customWidth="1"/>
    <col min="26" max="26" width="18.85546875" style="228" customWidth="1"/>
    <col min="27" max="27" width="23.5703125" style="228" customWidth="1"/>
    <col min="28" max="28" width="15" style="228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8"/>
      <c r="V1" s="218"/>
      <c r="W1" s="218"/>
      <c r="X1" s="218"/>
      <c r="Y1" s="218"/>
      <c r="Z1" s="218"/>
      <c r="AA1" s="218"/>
      <c r="AB1" s="218"/>
      <c r="AC1" s="216"/>
      <c r="AD1" s="216"/>
      <c r="AE1" s="216"/>
      <c r="AF1" s="216"/>
      <c r="AG1" s="216"/>
      <c r="AH1" s="216"/>
      <c r="AI1" s="216"/>
    </row>
    <row r="2" spans="3:36" s="13" customFormat="1">
      <c r="U2" s="219"/>
      <c r="V2" s="219"/>
      <c r="W2" s="219"/>
      <c r="X2" s="219"/>
      <c r="Y2" s="219"/>
      <c r="Z2" s="219"/>
      <c r="AA2" s="219"/>
      <c r="AB2" s="219"/>
    </row>
    <row r="3" spans="3:36" s="13" customFormat="1" ht="35.25">
      <c r="C3" s="316" t="s">
        <v>463</v>
      </c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63"/>
      <c r="V3" s="263"/>
      <c r="W3" s="263"/>
      <c r="X3" s="263"/>
      <c r="Y3" s="263"/>
      <c r="Z3" s="263"/>
      <c r="AA3" s="263"/>
      <c r="AB3" s="263"/>
      <c r="AC3" s="258"/>
      <c r="AD3" s="258"/>
      <c r="AE3" s="258"/>
      <c r="AF3" s="258"/>
      <c r="AG3" s="258"/>
      <c r="AH3" s="258"/>
      <c r="AI3" s="258"/>
    </row>
    <row r="4" spans="3:36" s="13" customFormat="1">
      <c r="U4" s="219"/>
      <c r="V4" s="219"/>
      <c r="W4" s="219"/>
      <c r="X4" s="219"/>
      <c r="Y4" s="219"/>
      <c r="Z4" s="219"/>
      <c r="AA4" s="219"/>
      <c r="AB4" s="219"/>
    </row>
    <row r="5" spans="3:36" s="13" customFormat="1" hidden="1">
      <c r="U5" s="219"/>
      <c r="V5" s="219"/>
      <c r="W5" s="219"/>
      <c r="X5" s="219"/>
      <c r="Y5" s="219"/>
      <c r="Z5" s="219"/>
      <c r="AA5" s="219"/>
      <c r="AB5" s="219"/>
    </row>
    <row r="6" spans="3:36" s="13" customFormat="1" hidden="1">
      <c r="U6" s="219"/>
      <c r="V6" s="219"/>
      <c r="W6" s="219"/>
      <c r="X6" s="219"/>
      <c r="Y6" s="219"/>
      <c r="Z6" s="219"/>
      <c r="AA6" s="219"/>
      <c r="AB6" s="219"/>
    </row>
    <row r="7" spans="3:36" s="13" customFormat="1" ht="103.5">
      <c r="C7" s="317" t="s">
        <v>296</v>
      </c>
      <c r="D7" s="317" t="s">
        <v>330</v>
      </c>
      <c r="E7" s="317" t="s">
        <v>331</v>
      </c>
      <c r="F7" s="318" t="s">
        <v>306</v>
      </c>
      <c r="G7" s="318" t="s">
        <v>299</v>
      </c>
      <c r="H7" s="318" t="s">
        <v>301</v>
      </c>
      <c r="I7" s="318" t="s">
        <v>303</v>
      </c>
      <c r="J7" s="318" t="s">
        <v>377</v>
      </c>
      <c r="K7" s="318" t="s">
        <v>304</v>
      </c>
      <c r="L7" s="318" t="s">
        <v>378</v>
      </c>
      <c r="M7" s="318" t="s">
        <v>337</v>
      </c>
      <c r="N7" s="318" t="s">
        <v>455</v>
      </c>
      <c r="O7" s="317" t="s">
        <v>159</v>
      </c>
      <c r="P7" s="317" t="s">
        <v>319</v>
      </c>
      <c r="Q7" s="317" t="s">
        <v>340</v>
      </c>
      <c r="R7" s="317" t="s">
        <v>341</v>
      </c>
      <c r="S7" s="317" t="s">
        <v>318</v>
      </c>
      <c r="T7" s="317" t="s">
        <v>332</v>
      </c>
      <c r="U7" s="319" t="s">
        <v>379</v>
      </c>
      <c r="V7" s="319" t="s">
        <v>380</v>
      </c>
      <c r="W7" s="319" t="s">
        <v>381</v>
      </c>
      <c r="X7" s="319" t="s">
        <v>382</v>
      </c>
      <c r="Y7" s="319" t="s">
        <v>383</v>
      </c>
      <c r="Z7" s="319" t="s">
        <v>384</v>
      </c>
      <c r="AA7" s="319" t="s">
        <v>385</v>
      </c>
      <c r="AB7" s="319" t="s">
        <v>386</v>
      </c>
      <c r="AC7" s="317" t="s">
        <v>322</v>
      </c>
      <c r="AD7" s="318" t="s">
        <v>387</v>
      </c>
      <c r="AE7" s="318" t="s">
        <v>388</v>
      </c>
      <c r="AF7" s="318" t="s">
        <v>389</v>
      </c>
      <c r="AG7" s="318" t="s">
        <v>390</v>
      </c>
      <c r="AH7" s="318" t="s">
        <v>391</v>
      </c>
      <c r="AI7" s="318" t="s">
        <v>328</v>
      </c>
      <c r="AJ7" s="2"/>
    </row>
    <row r="8" spans="3:36">
      <c r="C8" s="126">
        <v>1</v>
      </c>
      <c r="D8" s="126">
        <v>1</v>
      </c>
      <c r="E8" s="126">
        <v>1</v>
      </c>
      <c r="F8" s="126">
        <v>1</v>
      </c>
      <c r="O8" s="126" t="s">
        <v>561</v>
      </c>
      <c r="S8" s="168">
        <v>46213</v>
      </c>
      <c r="T8" s="126">
        <v>81</v>
      </c>
      <c r="U8" s="228">
        <v>60</v>
      </c>
      <c r="V8" s="228">
        <v>5</v>
      </c>
      <c r="W8" s="228">
        <v>74.400000000000006</v>
      </c>
      <c r="X8" s="228">
        <v>0</v>
      </c>
      <c r="Y8" s="228">
        <v>0</v>
      </c>
      <c r="Z8" s="228">
        <v>0</v>
      </c>
      <c r="AA8" s="228">
        <v>74.400000000000006</v>
      </c>
      <c r="AB8" s="228">
        <v>0</v>
      </c>
      <c r="AC8" s="261">
        <v>46215.679502314815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I9" s="126">
        <v>5</v>
      </c>
      <c r="J9" s="126">
        <v>11</v>
      </c>
      <c r="O9" s="126" t="s">
        <v>567</v>
      </c>
      <c r="P9" s="126" t="s">
        <v>602</v>
      </c>
      <c r="R9" s="126">
        <v>1</v>
      </c>
      <c r="S9" s="168">
        <v>46214</v>
      </c>
      <c r="T9" s="126">
        <v>81</v>
      </c>
      <c r="U9" s="228">
        <v>120</v>
      </c>
      <c r="V9" s="228">
        <v>10</v>
      </c>
      <c r="W9" s="228">
        <v>74.400000000000006</v>
      </c>
      <c r="X9" s="228">
        <v>0</v>
      </c>
      <c r="Y9" s="228">
        <v>0</v>
      </c>
      <c r="Z9" s="228">
        <v>0</v>
      </c>
      <c r="AA9" s="228">
        <v>74.400000000000006</v>
      </c>
      <c r="AB9" s="228">
        <v>0</v>
      </c>
      <c r="AC9" s="261">
        <v>46215.680937500001</v>
      </c>
      <c r="AE9" s="126">
        <v>0</v>
      </c>
      <c r="AF9" s="126">
        <v>0</v>
      </c>
      <c r="AG9" s="126">
        <v>1</v>
      </c>
      <c r="AH9" s="126">
        <v>0</v>
      </c>
    </row>
    <row r="10" spans="3:36">
      <c r="C10" s="126">
        <v>3</v>
      </c>
      <c r="D10" s="126">
        <v>1</v>
      </c>
      <c r="E10" s="126">
        <v>1</v>
      </c>
      <c r="I10" s="126">
        <v>6</v>
      </c>
      <c r="J10" s="126">
        <v>12</v>
      </c>
      <c r="O10" s="126" t="s">
        <v>567</v>
      </c>
      <c r="P10" s="126" t="s">
        <v>605</v>
      </c>
      <c r="R10" s="126">
        <v>1</v>
      </c>
      <c r="S10" s="168">
        <v>46215</v>
      </c>
      <c r="T10" s="126">
        <v>81</v>
      </c>
      <c r="U10" s="228">
        <v>180</v>
      </c>
      <c r="V10" s="228">
        <v>15</v>
      </c>
      <c r="W10" s="228">
        <v>74.400000000000006</v>
      </c>
      <c r="X10" s="228">
        <v>0</v>
      </c>
      <c r="Y10" s="228">
        <v>0</v>
      </c>
      <c r="Z10" s="228">
        <v>0</v>
      </c>
      <c r="AA10" s="228">
        <v>74.400000000000006</v>
      </c>
      <c r="AB10" s="228">
        <v>0</v>
      </c>
      <c r="AC10" s="261">
        <v>46215.681990740741</v>
      </c>
      <c r="AE10" s="126">
        <v>0</v>
      </c>
      <c r="AF10" s="126">
        <v>0</v>
      </c>
      <c r="AG10" s="126">
        <v>1</v>
      </c>
      <c r="AH10" s="126">
        <v>0</v>
      </c>
    </row>
    <row r="11" spans="3:36">
      <c r="C11" s="126">
        <v>4</v>
      </c>
      <c r="D11" s="126">
        <v>1</v>
      </c>
      <c r="E11" s="126">
        <v>1</v>
      </c>
      <c r="G11" s="126">
        <v>1</v>
      </c>
      <c r="O11" s="126" t="s">
        <v>576</v>
      </c>
      <c r="P11" s="126" t="s">
        <v>573</v>
      </c>
      <c r="Q11" s="126">
        <v>1</v>
      </c>
      <c r="S11" s="168">
        <v>46213</v>
      </c>
      <c r="T11" s="126">
        <v>81</v>
      </c>
      <c r="U11" s="228">
        <v>-60</v>
      </c>
      <c r="V11" s="228">
        <v>-5</v>
      </c>
      <c r="W11" s="228">
        <v>74.400000000000006</v>
      </c>
      <c r="X11" s="228">
        <v>0</v>
      </c>
      <c r="Y11" s="228">
        <v>0</v>
      </c>
      <c r="Z11" s="228">
        <v>0</v>
      </c>
      <c r="AA11" s="228">
        <v>74.400000000000006</v>
      </c>
      <c r="AB11" s="228">
        <v>0</v>
      </c>
      <c r="AC11" s="261">
        <v>46215.684999999998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576</v>
      </c>
      <c r="P12" s="126" t="s">
        <v>583</v>
      </c>
      <c r="Q12" s="126">
        <v>1</v>
      </c>
      <c r="S12" s="168">
        <v>46215</v>
      </c>
      <c r="T12" s="126">
        <v>81</v>
      </c>
      <c r="U12" s="228">
        <v>-180</v>
      </c>
      <c r="V12" s="228">
        <v>-15</v>
      </c>
      <c r="W12" s="228">
        <v>74.400000000000006</v>
      </c>
      <c r="X12" s="228">
        <v>0</v>
      </c>
      <c r="Y12" s="228">
        <v>0</v>
      </c>
      <c r="Z12" s="228">
        <v>0</v>
      </c>
      <c r="AA12" s="228">
        <v>74.400000000000006</v>
      </c>
      <c r="AB12" s="228">
        <v>0</v>
      </c>
      <c r="AC12" s="261">
        <v>46215.687962962962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3</v>
      </c>
      <c r="O13" s="126" t="s">
        <v>576</v>
      </c>
      <c r="P13" s="126" t="s">
        <v>590</v>
      </c>
      <c r="Q13" s="126">
        <v>1</v>
      </c>
      <c r="S13" s="168">
        <v>46215</v>
      </c>
      <c r="T13" s="126">
        <v>81</v>
      </c>
      <c r="U13" s="228">
        <v>-120</v>
      </c>
      <c r="V13" s="228">
        <v>-10</v>
      </c>
      <c r="W13" s="228">
        <v>74.400000000000006</v>
      </c>
      <c r="X13" s="228">
        <v>0</v>
      </c>
      <c r="Y13" s="228">
        <v>0</v>
      </c>
      <c r="Z13" s="228">
        <v>0</v>
      </c>
      <c r="AA13" s="228">
        <v>74.400000000000006</v>
      </c>
      <c r="AB13" s="228">
        <v>0</v>
      </c>
      <c r="AC13" s="261">
        <v>46215.689803240741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I14" s="126">
        <v>7</v>
      </c>
      <c r="J14" s="126">
        <v>13</v>
      </c>
      <c r="O14" s="126" t="s">
        <v>567</v>
      </c>
      <c r="P14" s="126" t="s">
        <v>608</v>
      </c>
      <c r="R14" s="126">
        <v>1</v>
      </c>
      <c r="S14" s="168">
        <v>46215</v>
      </c>
      <c r="T14" s="126">
        <v>81</v>
      </c>
      <c r="U14" s="228">
        <v>120</v>
      </c>
      <c r="V14" s="228">
        <v>10</v>
      </c>
      <c r="W14" s="228">
        <v>74.400000000000006</v>
      </c>
      <c r="X14" s="228">
        <v>0</v>
      </c>
      <c r="Y14" s="228">
        <v>0</v>
      </c>
      <c r="Z14" s="228">
        <v>0</v>
      </c>
      <c r="AA14" s="228">
        <v>74.400000000000006</v>
      </c>
      <c r="AB14" s="228">
        <v>0</v>
      </c>
      <c r="AC14" s="261">
        <v>46215.718391203707</v>
      </c>
      <c r="AE14" s="126">
        <v>0</v>
      </c>
      <c r="AF14" s="126">
        <v>0</v>
      </c>
      <c r="AG14" s="126">
        <v>1</v>
      </c>
      <c r="AH14" s="126">
        <v>0</v>
      </c>
    </row>
    <row r="15" spans="3:36">
      <c r="C15" s="126">
        <v>8</v>
      </c>
      <c r="D15" s="126">
        <v>1</v>
      </c>
      <c r="E15" s="126">
        <v>1</v>
      </c>
      <c r="F15" s="126">
        <v>2</v>
      </c>
      <c r="O15" s="126" t="s">
        <v>561</v>
      </c>
      <c r="S15" s="168">
        <v>46215</v>
      </c>
      <c r="T15" s="126">
        <v>81</v>
      </c>
      <c r="U15" s="228">
        <v>120</v>
      </c>
      <c r="V15" s="228">
        <v>10</v>
      </c>
      <c r="W15" s="228">
        <v>74.400000000000006</v>
      </c>
      <c r="X15" s="228">
        <v>0</v>
      </c>
      <c r="Y15" s="228">
        <v>0</v>
      </c>
      <c r="Z15" s="228">
        <v>0</v>
      </c>
      <c r="AA15" s="228">
        <v>74.400000000000006</v>
      </c>
      <c r="AB15" s="228">
        <v>0</v>
      </c>
      <c r="AC15" s="261">
        <v>46215.722743055558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4</v>
      </c>
      <c r="O16" s="126" t="s">
        <v>576</v>
      </c>
      <c r="P16" s="126" t="s">
        <v>596</v>
      </c>
      <c r="Q16" s="126">
        <v>3</v>
      </c>
      <c r="S16" s="168">
        <v>46215</v>
      </c>
      <c r="T16" s="126">
        <v>81</v>
      </c>
      <c r="U16" s="228">
        <v>-240</v>
      </c>
      <c r="V16" s="228">
        <v>-20</v>
      </c>
      <c r="W16" s="228">
        <v>74.400000000000006</v>
      </c>
      <c r="X16" s="228">
        <v>0</v>
      </c>
      <c r="Y16" s="228">
        <v>0</v>
      </c>
      <c r="Z16" s="228">
        <v>0</v>
      </c>
      <c r="AA16" s="228">
        <v>74.400000000000006</v>
      </c>
      <c r="AB16" s="228">
        <v>0</v>
      </c>
      <c r="AC16" s="261">
        <v>46215.725810185184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F17" s="126">
        <v>3</v>
      </c>
      <c r="O17" s="126" t="s">
        <v>561</v>
      </c>
      <c r="S17" s="168">
        <v>46216</v>
      </c>
      <c r="T17" s="126">
        <v>1</v>
      </c>
      <c r="U17" s="228">
        <v>10</v>
      </c>
      <c r="V17" s="228">
        <v>10</v>
      </c>
      <c r="W17" s="228">
        <v>27.34</v>
      </c>
      <c r="X17" s="228">
        <v>0</v>
      </c>
      <c r="Y17" s="228">
        <v>0</v>
      </c>
      <c r="Z17" s="228">
        <v>0</v>
      </c>
      <c r="AA17" s="228">
        <v>27.34</v>
      </c>
      <c r="AB17" s="228">
        <v>0</v>
      </c>
      <c r="AC17" s="261">
        <v>46216.693506944444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F18" s="126">
        <v>3</v>
      </c>
      <c r="O18" s="126" t="s">
        <v>561</v>
      </c>
      <c r="S18" s="168">
        <v>46216</v>
      </c>
      <c r="T18" s="126">
        <v>2</v>
      </c>
      <c r="U18" s="228">
        <v>10</v>
      </c>
      <c r="V18" s="228">
        <v>10</v>
      </c>
      <c r="W18" s="228">
        <v>11.32</v>
      </c>
      <c r="X18" s="228">
        <v>0</v>
      </c>
      <c r="Y18" s="228">
        <v>0</v>
      </c>
      <c r="Z18" s="228">
        <v>0</v>
      </c>
      <c r="AA18" s="228">
        <v>11.32</v>
      </c>
      <c r="AB18" s="228">
        <v>0</v>
      </c>
      <c r="AC18" s="261">
        <v>46216.693506944444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F19" s="126">
        <v>3</v>
      </c>
      <c r="O19" s="126" t="s">
        <v>561</v>
      </c>
      <c r="S19" s="168">
        <v>46216</v>
      </c>
      <c r="T19" s="126">
        <v>3</v>
      </c>
      <c r="U19" s="228">
        <v>10</v>
      </c>
      <c r="V19" s="228">
        <v>10</v>
      </c>
      <c r="W19" s="228">
        <v>8.8000000000000007</v>
      </c>
      <c r="X19" s="228">
        <v>0</v>
      </c>
      <c r="Y19" s="228">
        <v>0</v>
      </c>
      <c r="Z19" s="228">
        <v>0</v>
      </c>
      <c r="AA19" s="228">
        <v>8.8000000000000007</v>
      </c>
      <c r="AB19" s="228">
        <v>0</v>
      </c>
      <c r="AC19" s="261">
        <v>46216.693506944444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F20" s="126">
        <v>3</v>
      </c>
      <c r="O20" s="126" t="s">
        <v>561</v>
      </c>
      <c r="S20" s="168">
        <v>46216</v>
      </c>
      <c r="T20" s="126">
        <v>4</v>
      </c>
      <c r="U20" s="228">
        <v>10</v>
      </c>
      <c r="V20" s="228">
        <v>10</v>
      </c>
      <c r="W20" s="228">
        <v>5.8</v>
      </c>
      <c r="X20" s="228">
        <v>0</v>
      </c>
      <c r="Y20" s="228">
        <v>0</v>
      </c>
      <c r="Z20" s="228">
        <v>0</v>
      </c>
      <c r="AA20" s="228">
        <v>5.8</v>
      </c>
      <c r="AB20" s="228">
        <v>0</v>
      </c>
      <c r="AC20" s="261">
        <v>46216.693506944444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F21" s="126">
        <v>3</v>
      </c>
      <c r="O21" s="126" t="s">
        <v>561</v>
      </c>
      <c r="S21" s="168">
        <v>46216</v>
      </c>
      <c r="T21" s="126">
        <v>5</v>
      </c>
      <c r="U21" s="228">
        <v>10</v>
      </c>
      <c r="V21" s="228">
        <v>10</v>
      </c>
      <c r="W21" s="228">
        <v>3.74</v>
      </c>
      <c r="X21" s="228">
        <v>0</v>
      </c>
      <c r="Y21" s="228">
        <v>0</v>
      </c>
      <c r="Z21" s="228">
        <v>0</v>
      </c>
      <c r="AA21" s="228">
        <v>3.74</v>
      </c>
      <c r="AB21" s="228">
        <v>0</v>
      </c>
      <c r="AC21" s="261">
        <v>46216.693506944444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I22" s="126">
        <v>8</v>
      </c>
      <c r="J22" s="126">
        <v>14</v>
      </c>
      <c r="O22" s="126" t="s">
        <v>567</v>
      </c>
      <c r="P22" s="126" t="s">
        <v>627</v>
      </c>
      <c r="R22" s="126">
        <v>1</v>
      </c>
      <c r="S22" s="168">
        <v>46216</v>
      </c>
      <c r="T22" s="126">
        <v>1</v>
      </c>
      <c r="U22" s="228">
        <v>10</v>
      </c>
      <c r="V22" s="228">
        <v>10</v>
      </c>
      <c r="W22" s="228">
        <v>27.34</v>
      </c>
      <c r="X22" s="228">
        <v>0</v>
      </c>
      <c r="Y22" s="228">
        <v>0</v>
      </c>
      <c r="Z22" s="228">
        <v>0</v>
      </c>
      <c r="AA22" s="228">
        <v>27.34</v>
      </c>
      <c r="AB22" s="228">
        <v>0</v>
      </c>
      <c r="AC22" s="261">
        <v>46216.694976851853</v>
      </c>
      <c r="AE22" s="126">
        <v>0</v>
      </c>
      <c r="AF22" s="126">
        <v>0</v>
      </c>
      <c r="AG22" s="126">
        <v>1</v>
      </c>
      <c r="AH22" s="126">
        <v>0</v>
      </c>
    </row>
    <row r="23" spans="3:35">
      <c r="C23" s="126">
        <v>16</v>
      </c>
      <c r="D23" s="126">
        <v>1</v>
      </c>
      <c r="E23" s="126">
        <v>1</v>
      </c>
      <c r="I23" s="126">
        <v>8</v>
      </c>
      <c r="J23" s="126">
        <v>15</v>
      </c>
      <c r="O23" s="126" t="s">
        <v>567</v>
      </c>
      <c r="P23" s="126" t="s">
        <v>627</v>
      </c>
      <c r="R23" s="126">
        <v>1</v>
      </c>
      <c r="S23" s="168">
        <v>46216</v>
      </c>
      <c r="T23" s="126">
        <v>2</v>
      </c>
      <c r="U23" s="228">
        <v>10</v>
      </c>
      <c r="V23" s="228">
        <v>10</v>
      </c>
      <c r="W23" s="228">
        <v>11.32</v>
      </c>
      <c r="X23" s="228">
        <v>0</v>
      </c>
      <c r="Y23" s="228">
        <v>0</v>
      </c>
      <c r="Z23" s="228">
        <v>0</v>
      </c>
      <c r="AA23" s="228">
        <v>11.32</v>
      </c>
      <c r="AB23" s="228">
        <v>0</v>
      </c>
      <c r="AC23" s="261">
        <v>46216.694976851853</v>
      </c>
      <c r="AE23" s="126">
        <v>0</v>
      </c>
      <c r="AF23" s="126">
        <v>0</v>
      </c>
      <c r="AG23" s="126">
        <v>1</v>
      </c>
      <c r="AH23" s="126">
        <v>0</v>
      </c>
    </row>
    <row r="24" spans="3:35">
      <c r="C24" s="126">
        <v>17</v>
      </c>
      <c r="D24" s="126">
        <v>1</v>
      </c>
      <c r="E24" s="126">
        <v>1</v>
      </c>
      <c r="I24" s="126">
        <v>8</v>
      </c>
      <c r="J24" s="126">
        <v>16</v>
      </c>
      <c r="O24" s="126" t="s">
        <v>567</v>
      </c>
      <c r="P24" s="126" t="s">
        <v>627</v>
      </c>
      <c r="R24" s="126">
        <v>1</v>
      </c>
      <c r="S24" s="168">
        <v>46216</v>
      </c>
      <c r="T24" s="126">
        <v>3</v>
      </c>
      <c r="U24" s="228">
        <v>10</v>
      </c>
      <c r="V24" s="228">
        <v>10</v>
      </c>
      <c r="W24" s="228">
        <v>8.8000000000000007</v>
      </c>
      <c r="X24" s="228">
        <v>0</v>
      </c>
      <c r="Y24" s="228">
        <v>0</v>
      </c>
      <c r="Z24" s="228">
        <v>0</v>
      </c>
      <c r="AA24" s="228">
        <v>8.8000000000000007</v>
      </c>
      <c r="AB24" s="228">
        <v>0</v>
      </c>
      <c r="AC24" s="261">
        <v>46216.694976851853</v>
      </c>
      <c r="AE24" s="126">
        <v>0</v>
      </c>
      <c r="AF24" s="126">
        <v>0</v>
      </c>
      <c r="AG24" s="126">
        <v>1</v>
      </c>
      <c r="AH24" s="126">
        <v>0</v>
      </c>
    </row>
    <row r="25" spans="3:35">
      <c r="C25" s="126">
        <v>18</v>
      </c>
      <c r="D25" s="126">
        <v>1</v>
      </c>
      <c r="E25" s="126">
        <v>1</v>
      </c>
      <c r="I25" s="126">
        <v>8</v>
      </c>
      <c r="J25" s="126">
        <v>17</v>
      </c>
      <c r="O25" s="126" t="s">
        <v>567</v>
      </c>
      <c r="P25" s="126" t="s">
        <v>627</v>
      </c>
      <c r="R25" s="126">
        <v>1</v>
      </c>
      <c r="S25" s="168">
        <v>46216</v>
      </c>
      <c r="T25" s="126">
        <v>4</v>
      </c>
      <c r="U25" s="228">
        <v>10</v>
      </c>
      <c r="V25" s="228">
        <v>10</v>
      </c>
      <c r="W25" s="228">
        <v>5.8</v>
      </c>
      <c r="X25" s="228">
        <v>0</v>
      </c>
      <c r="Y25" s="228">
        <v>0</v>
      </c>
      <c r="Z25" s="228">
        <v>0</v>
      </c>
      <c r="AA25" s="228">
        <v>5.8</v>
      </c>
      <c r="AB25" s="228">
        <v>0</v>
      </c>
      <c r="AC25" s="261">
        <v>46216.694976851853</v>
      </c>
      <c r="AE25" s="126">
        <v>0</v>
      </c>
      <c r="AF25" s="126">
        <v>0</v>
      </c>
      <c r="AG25" s="126">
        <v>1</v>
      </c>
      <c r="AH25" s="126">
        <v>0</v>
      </c>
    </row>
    <row r="26" spans="3:35">
      <c r="C26" s="126">
        <v>19</v>
      </c>
      <c r="D26" s="126">
        <v>1</v>
      </c>
      <c r="E26" s="126">
        <v>1</v>
      </c>
      <c r="I26" s="126">
        <v>8</v>
      </c>
      <c r="J26" s="126">
        <v>18</v>
      </c>
      <c r="O26" s="126" t="s">
        <v>567</v>
      </c>
      <c r="P26" s="126" t="s">
        <v>627</v>
      </c>
      <c r="R26" s="126">
        <v>1</v>
      </c>
      <c r="S26" s="168">
        <v>46216</v>
      </c>
      <c r="T26" s="126">
        <v>5</v>
      </c>
      <c r="U26" s="228">
        <v>10</v>
      </c>
      <c r="V26" s="228">
        <v>10</v>
      </c>
      <c r="W26" s="228">
        <v>3.74</v>
      </c>
      <c r="X26" s="228">
        <v>0</v>
      </c>
      <c r="Y26" s="228">
        <v>0</v>
      </c>
      <c r="Z26" s="228">
        <v>0</v>
      </c>
      <c r="AA26" s="228">
        <v>3.74</v>
      </c>
      <c r="AB26" s="228">
        <v>0</v>
      </c>
      <c r="AC26" s="261">
        <v>46216.694976851853</v>
      </c>
      <c r="AE26" s="126">
        <v>0</v>
      </c>
      <c r="AF26" s="126">
        <v>0</v>
      </c>
      <c r="AG26" s="126">
        <v>1</v>
      </c>
      <c r="AH26" s="126">
        <v>0</v>
      </c>
    </row>
    <row r="27" spans="3:35">
      <c r="C27" s="126">
        <v>20</v>
      </c>
      <c r="D27" s="126">
        <v>1</v>
      </c>
      <c r="E27" s="126">
        <v>1</v>
      </c>
      <c r="I27" s="126">
        <v>8</v>
      </c>
      <c r="J27" s="126">
        <v>19</v>
      </c>
      <c r="O27" s="126" t="s">
        <v>567</v>
      </c>
      <c r="P27" s="126" t="s">
        <v>627</v>
      </c>
      <c r="R27" s="126">
        <v>1</v>
      </c>
      <c r="S27" s="168">
        <v>46216</v>
      </c>
      <c r="T27" s="126">
        <v>6</v>
      </c>
      <c r="U27" s="228">
        <v>10</v>
      </c>
      <c r="V27" s="228">
        <v>10</v>
      </c>
      <c r="W27" s="228">
        <v>2.89</v>
      </c>
      <c r="X27" s="228">
        <v>0</v>
      </c>
      <c r="Y27" s="228">
        <v>0</v>
      </c>
      <c r="Z27" s="228">
        <v>0</v>
      </c>
      <c r="AA27" s="228">
        <v>2.89</v>
      </c>
      <c r="AB27" s="228">
        <v>0</v>
      </c>
      <c r="AC27" s="261">
        <v>46216.694976851853</v>
      </c>
      <c r="AE27" s="126">
        <v>0</v>
      </c>
      <c r="AF27" s="126">
        <v>0</v>
      </c>
      <c r="AG27" s="126">
        <v>1</v>
      </c>
      <c r="AH27" s="126">
        <v>0</v>
      </c>
    </row>
    <row r="28" spans="3:35">
      <c r="C28" s="126">
        <v>21</v>
      </c>
      <c r="D28" s="126">
        <v>1</v>
      </c>
      <c r="E28" s="126">
        <v>1</v>
      </c>
      <c r="I28" s="126">
        <v>8</v>
      </c>
      <c r="J28" s="126">
        <v>20</v>
      </c>
      <c r="O28" s="126" t="s">
        <v>567</v>
      </c>
      <c r="P28" s="126" t="s">
        <v>627</v>
      </c>
      <c r="R28" s="126">
        <v>1</v>
      </c>
      <c r="S28" s="168">
        <v>46216</v>
      </c>
      <c r="T28" s="126">
        <v>7</v>
      </c>
      <c r="U28" s="228">
        <v>10</v>
      </c>
      <c r="V28" s="228">
        <v>10</v>
      </c>
      <c r="W28" s="228">
        <v>1.79</v>
      </c>
      <c r="X28" s="228">
        <v>0</v>
      </c>
      <c r="Y28" s="228">
        <v>0</v>
      </c>
      <c r="Z28" s="228">
        <v>0</v>
      </c>
      <c r="AA28" s="228">
        <v>1.79</v>
      </c>
      <c r="AB28" s="228">
        <v>0</v>
      </c>
      <c r="AC28" s="261">
        <v>46216.694976851853</v>
      </c>
      <c r="AE28" s="126">
        <v>0</v>
      </c>
      <c r="AF28" s="126">
        <v>0</v>
      </c>
      <c r="AG28" s="126">
        <v>1</v>
      </c>
      <c r="AH28" s="126">
        <v>0</v>
      </c>
    </row>
    <row r="29" spans="3:35">
      <c r="C29" s="126">
        <v>22</v>
      </c>
      <c r="D29" s="126">
        <v>1</v>
      </c>
      <c r="E29" s="126">
        <v>1</v>
      </c>
      <c r="I29" s="126">
        <v>8</v>
      </c>
      <c r="J29" s="126">
        <v>21</v>
      </c>
      <c r="O29" s="126" t="s">
        <v>567</v>
      </c>
      <c r="P29" s="126" t="s">
        <v>627</v>
      </c>
      <c r="R29" s="126">
        <v>1</v>
      </c>
      <c r="S29" s="168">
        <v>46216</v>
      </c>
      <c r="T29" s="126">
        <v>8</v>
      </c>
      <c r="U29" s="228">
        <v>10</v>
      </c>
      <c r="V29" s="228">
        <v>10</v>
      </c>
      <c r="W29" s="228">
        <v>1.32</v>
      </c>
      <c r="X29" s="228">
        <v>0</v>
      </c>
      <c r="Y29" s="228">
        <v>0</v>
      </c>
      <c r="Z29" s="228">
        <v>0</v>
      </c>
      <c r="AA29" s="228">
        <v>1.32</v>
      </c>
      <c r="AB29" s="228">
        <v>0</v>
      </c>
      <c r="AC29" s="261">
        <v>46216.694976851853</v>
      </c>
      <c r="AE29" s="126">
        <v>0</v>
      </c>
      <c r="AF29" s="126">
        <v>0</v>
      </c>
      <c r="AG29" s="126">
        <v>1</v>
      </c>
      <c r="AH29" s="126">
        <v>0</v>
      </c>
    </row>
    <row r="30" spans="3:35">
      <c r="C30" s="126">
        <v>23</v>
      </c>
      <c r="D30" s="126">
        <v>1</v>
      </c>
      <c r="E30" s="126">
        <v>1</v>
      </c>
      <c r="I30" s="126">
        <v>8</v>
      </c>
      <c r="J30" s="126">
        <v>22</v>
      </c>
      <c r="O30" s="126" t="s">
        <v>567</v>
      </c>
      <c r="P30" s="126" t="s">
        <v>627</v>
      </c>
      <c r="R30" s="126">
        <v>1</v>
      </c>
      <c r="S30" s="168">
        <v>46216</v>
      </c>
      <c r="T30" s="126">
        <v>9</v>
      </c>
      <c r="U30" s="228">
        <v>10</v>
      </c>
      <c r="V30" s="228">
        <v>10</v>
      </c>
      <c r="W30" s="228">
        <v>1.1499999999999999</v>
      </c>
      <c r="X30" s="228">
        <v>0</v>
      </c>
      <c r="Y30" s="228">
        <v>0</v>
      </c>
      <c r="Z30" s="228">
        <v>0</v>
      </c>
      <c r="AA30" s="228">
        <v>1.1499999999999999</v>
      </c>
      <c r="AB30" s="228">
        <v>0</v>
      </c>
      <c r="AC30" s="261">
        <v>46216.694976851853</v>
      </c>
      <c r="AE30" s="126">
        <v>0</v>
      </c>
      <c r="AF30" s="126">
        <v>0</v>
      </c>
      <c r="AG30" s="126">
        <v>1</v>
      </c>
      <c r="AH30" s="126">
        <v>0</v>
      </c>
    </row>
    <row r="31" spans="3:35">
      <c r="C31" s="126">
        <v>24</v>
      </c>
      <c r="D31" s="126">
        <v>1</v>
      </c>
      <c r="E31" s="126">
        <v>1</v>
      </c>
      <c r="I31" s="126">
        <v>8</v>
      </c>
      <c r="J31" s="126">
        <v>23</v>
      </c>
      <c r="O31" s="126" t="s">
        <v>567</v>
      </c>
      <c r="P31" s="126" t="s">
        <v>627</v>
      </c>
      <c r="R31" s="126">
        <v>1</v>
      </c>
      <c r="S31" s="168">
        <v>46216</v>
      </c>
      <c r="T31" s="126">
        <v>10</v>
      </c>
      <c r="U31" s="228">
        <v>10</v>
      </c>
      <c r="V31" s="228">
        <v>10</v>
      </c>
      <c r="W31" s="228">
        <v>14.85</v>
      </c>
      <c r="X31" s="228">
        <v>0</v>
      </c>
      <c r="Y31" s="228">
        <v>0</v>
      </c>
      <c r="Z31" s="228">
        <v>0</v>
      </c>
      <c r="AA31" s="228">
        <v>14.85</v>
      </c>
      <c r="AB31" s="228">
        <v>0</v>
      </c>
      <c r="AC31" s="261">
        <v>46216.694976851853</v>
      </c>
      <c r="AE31" s="126">
        <v>0</v>
      </c>
      <c r="AF31" s="126">
        <v>0</v>
      </c>
      <c r="AG31" s="126">
        <v>1</v>
      </c>
      <c r="AH31" s="126">
        <v>0</v>
      </c>
    </row>
    <row r="32" spans="3:35">
      <c r="C32" s="126">
        <v>25</v>
      </c>
      <c r="D32" s="126">
        <v>1</v>
      </c>
      <c r="E32" s="126">
        <v>1</v>
      </c>
      <c r="G32" s="126">
        <v>5</v>
      </c>
      <c r="O32" s="126" t="s">
        <v>576</v>
      </c>
      <c r="P32" s="126" t="s">
        <v>650</v>
      </c>
      <c r="Q32" s="126">
        <v>1</v>
      </c>
      <c r="S32" s="168">
        <v>46216</v>
      </c>
      <c r="T32" s="126">
        <v>1</v>
      </c>
      <c r="U32" s="228">
        <v>-2</v>
      </c>
      <c r="V32" s="228">
        <v>-2</v>
      </c>
      <c r="W32" s="228">
        <v>27.34</v>
      </c>
      <c r="X32" s="228">
        <v>0</v>
      </c>
      <c r="Y32" s="228">
        <v>0</v>
      </c>
      <c r="Z32" s="228">
        <v>0</v>
      </c>
      <c r="AA32" s="228">
        <v>27.34</v>
      </c>
      <c r="AB32" s="228">
        <v>0</v>
      </c>
      <c r="AC32" s="261">
        <v>46216.696875000001</v>
      </c>
      <c r="AE32" s="126">
        <v>0</v>
      </c>
      <c r="AF32" s="126">
        <v>0</v>
      </c>
      <c r="AG32" s="126">
        <v>1</v>
      </c>
      <c r="AH32" s="126">
        <v>0</v>
      </c>
      <c r="AI32" s="126">
        <v>1</v>
      </c>
    </row>
    <row r="33" spans="3:35">
      <c r="C33" s="126">
        <v>26</v>
      </c>
      <c r="D33" s="126">
        <v>1</v>
      </c>
      <c r="E33" s="126">
        <v>1</v>
      </c>
      <c r="G33" s="126">
        <v>5</v>
      </c>
      <c r="O33" s="126" t="s">
        <v>576</v>
      </c>
      <c r="P33" s="126" t="s">
        <v>650</v>
      </c>
      <c r="Q33" s="126">
        <v>1</v>
      </c>
      <c r="S33" s="168">
        <v>46216</v>
      </c>
      <c r="T33" s="126">
        <v>2</v>
      </c>
      <c r="U33" s="228">
        <v>-2</v>
      </c>
      <c r="V33" s="228">
        <v>-2</v>
      </c>
      <c r="W33" s="228">
        <v>11.32</v>
      </c>
      <c r="X33" s="228">
        <v>0</v>
      </c>
      <c r="Y33" s="228">
        <v>0</v>
      </c>
      <c r="Z33" s="228">
        <v>0</v>
      </c>
      <c r="AA33" s="228">
        <v>11.32</v>
      </c>
      <c r="AB33" s="228">
        <v>0</v>
      </c>
      <c r="AC33" s="261">
        <v>46216.696875000001</v>
      </c>
      <c r="AE33" s="126">
        <v>0</v>
      </c>
      <c r="AF33" s="126">
        <v>0</v>
      </c>
      <c r="AG33" s="126">
        <v>1</v>
      </c>
      <c r="AH33" s="126">
        <v>0</v>
      </c>
      <c r="AI33" s="126">
        <v>1</v>
      </c>
    </row>
    <row r="34" spans="3:35">
      <c r="C34" s="126">
        <v>27</v>
      </c>
      <c r="D34" s="126">
        <v>1</v>
      </c>
      <c r="E34" s="126">
        <v>1</v>
      </c>
      <c r="G34" s="126">
        <v>5</v>
      </c>
      <c r="O34" s="126" t="s">
        <v>576</v>
      </c>
      <c r="P34" s="126" t="s">
        <v>650</v>
      </c>
      <c r="Q34" s="126">
        <v>1</v>
      </c>
      <c r="S34" s="168">
        <v>46216</v>
      </c>
      <c r="T34" s="126">
        <v>3</v>
      </c>
      <c r="U34" s="228">
        <v>-2</v>
      </c>
      <c r="V34" s="228">
        <v>-2</v>
      </c>
      <c r="W34" s="228">
        <v>8.8000000000000007</v>
      </c>
      <c r="X34" s="228">
        <v>0</v>
      </c>
      <c r="Y34" s="228">
        <v>0</v>
      </c>
      <c r="Z34" s="228">
        <v>0</v>
      </c>
      <c r="AA34" s="228">
        <v>8.8000000000000007</v>
      </c>
      <c r="AB34" s="228">
        <v>0</v>
      </c>
      <c r="AC34" s="261">
        <v>46216.696875000001</v>
      </c>
      <c r="AE34" s="126">
        <v>0</v>
      </c>
      <c r="AF34" s="126">
        <v>0</v>
      </c>
      <c r="AG34" s="126">
        <v>1</v>
      </c>
      <c r="AH34" s="126">
        <v>0</v>
      </c>
      <c r="AI34" s="126">
        <v>1</v>
      </c>
    </row>
    <row r="35" spans="3:35">
      <c r="C35" s="126">
        <v>28</v>
      </c>
      <c r="D35" s="126">
        <v>1</v>
      </c>
      <c r="E35" s="126">
        <v>1</v>
      </c>
      <c r="G35" s="126">
        <v>5</v>
      </c>
      <c r="O35" s="126" t="s">
        <v>576</v>
      </c>
      <c r="P35" s="126" t="s">
        <v>650</v>
      </c>
      <c r="Q35" s="126">
        <v>1</v>
      </c>
      <c r="S35" s="168">
        <v>46216</v>
      </c>
      <c r="T35" s="126">
        <v>4</v>
      </c>
      <c r="U35" s="228">
        <v>-2</v>
      </c>
      <c r="V35" s="228">
        <v>-2</v>
      </c>
      <c r="W35" s="228">
        <v>5.8</v>
      </c>
      <c r="X35" s="228">
        <v>0</v>
      </c>
      <c r="Y35" s="228">
        <v>0</v>
      </c>
      <c r="Z35" s="228">
        <v>0</v>
      </c>
      <c r="AA35" s="228">
        <v>5.8</v>
      </c>
      <c r="AB35" s="228">
        <v>0</v>
      </c>
      <c r="AC35" s="261">
        <v>46216.696875000001</v>
      </c>
      <c r="AE35" s="126">
        <v>0</v>
      </c>
      <c r="AF35" s="126">
        <v>0</v>
      </c>
      <c r="AG35" s="126">
        <v>1</v>
      </c>
      <c r="AH35" s="126">
        <v>0</v>
      </c>
      <c r="AI35" s="126">
        <v>1</v>
      </c>
    </row>
    <row r="36" spans="3:35">
      <c r="C36" s="126">
        <v>29</v>
      </c>
      <c r="D36" s="126">
        <v>1</v>
      </c>
      <c r="E36" s="126">
        <v>1</v>
      </c>
      <c r="G36" s="126">
        <v>5</v>
      </c>
      <c r="O36" s="126" t="s">
        <v>576</v>
      </c>
      <c r="P36" s="126" t="s">
        <v>650</v>
      </c>
      <c r="Q36" s="126">
        <v>1</v>
      </c>
      <c r="S36" s="168">
        <v>46216</v>
      </c>
      <c r="T36" s="126">
        <v>5</v>
      </c>
      <c r="U36" s="228">
        <v>-2</v>
      </c>
      <c r="V36" s="228">
        <v>-2</v>
      </c>
      <c r="W36" s="228">
        <v>3.74</v>
      </c>
      <c r="X36" s="228">
        <v>0</v>
      </c>
      <c r="Y36" s="228">
        <v>0</v>
      </c>
      <c r="Z36" s="228">
        <v>0</v>
      </c>
      <c r="AA36" s="228">
        <v>3.74</v>
      </c>
      <c r="AB36" s="228">
        <v>0</v>
      </c>
      <c r="AC36" s="261">
        <v>46216.696875000001</v>
      </c>
      <c r="AE36" s="126">
        <v>0</v>
      </c>
      <c r="AF36" s="126">
        <v>0</v>
      </c>
      <c r="AG36" s="126">
        <v>1</v>
      </c>
      <c r="AH36" s="126">
        <v>0</v>
      </c>
      <c r="AI36" s="126">
        <v>1</v>
      </c>
    </row>
    <row r="37" spans="3:35">
      <c r="C37" s="126">
        <v>30</v>
      </c>
      <c r="D37" s="126">
        <v>1</v>
      </c>
      <c r="E37" s="126">
        <v>1</v>
      </c>
      <c r="G37" s="126">
        <v>5</v>
      </c>
      <c r="O37" s="126" t="s">
        <v>576</v>
      </c>
      <c r="P37" s="126" t="s">
        <v>650</v>
      </c>
      <c r="Q37" s="126">
        <v>1</v>
      </c>
      <c r="S37" s="168">
        <v>46216</v>
      </c>
      <c r="T37" s="126">
        <v>6</v>
      </c>
      <c r="U37" s="228">
        <v>-2</v>
      </c>
      <c r="V37" s="228">
        <v>-2</v>
      </c>
      <c r="W37" s="228">
        <v>2.89</v>
      </c>
      <c r="X37" s="228">
        <v>0</v>
      </c>
      <c r="Y37" s="228">
        <v>0</v>
      </c>
      <c r="Z37" s="228">
        <v>0</v>
      </c>
      <c r="AA37" s="228">
        <v>2.89</v>
      </c>
      <c r="AB37" s="228">
        <v>0</v>
      </c>
      <c r="AC37" s="261">
        <v>46216.696875000001</v>
      </c>
      <c r="AE37" s="126">
        <v>0</v>
      </c>
      <c r="AF37" s="126">
        <v>0</v>
      </c>
      <c r="AG37" s="126">
        <v>1</v>
      </c>
      <c r="AH37" s="126">
        <v>0</v>
      </c>
      <c r="AI37" s="126">
        <v>1</v>
      </c>
    </row>
    <row r="38" spans="3:35">
      <c r="C38" s="126">
        <v>31</v>
      </c>
      <c r="D38" s="126">
        <v>1</v>
      </c>
      <c r="E38" s="126">
        <v>1</v>
      </c>
      <c r="G38" s="126">
        <v>5</v>
      </c>
      <c r="O38" s="126" t="s">
        <v>576</v>
      </c>
      <c r="P38" s="126" t="s">
        <v>650</v>
      </c>
      <c r="Q38" s="126">
        <v>1</v>
      </c>
      <c r="S38" s="168">
        <v>46216</v>
      </c>
      <c r="T38" s="126">
        <v>7</v>
      </c>
      <c r="U38" s="228">
        <v>-2</v>
      </c>
      <c r="V38" s="228">
        <v>-2</v>
      </c>
      <c r="W38" s="228">
        <v>1.79</v>
      </c>
      <c r="X38" s="228">
        <v>0</v>
      </c>
      <c r="Y38" s="228">
        <v>0</v>
      </c>
      <c r="Z38" s="228">
        <v>0</v>
      </c>
      <c r="AA38" s="228">
        <v>1.79</v>
      </c>
      <c r="AB38" s="228">
        <v>0</v>
      </c>
      <c r="AC38" s="261">
        <v>46216.696875000001</v>
      </c>
      <c r="AE38" s="126">
        <v>0</v>
      </c>
      <c r="AF38" s="126">
        <v>0</v>
      </c>
      <c r="AG38" s="126">
        <v>1</v>
      </c>
      <c r="AH38" s="126">
        <v>0</v>
      </c>
      <c r="AI38" s="126">
        <v>1</v>
      </c>
    </row>
    <row r="39" spans="3:35">
      <c r="C39" s="126">
        <v>32</v>
      </c>
      <c r="D39" s="126">
        <v>1</v>
      </c>
      <c r="E39" s="126">
        <v>1</v>
      </c>
      <c r="G39" s="126">
        <v>5</v>
      </c>
      <c r="O39" s="126" t="s">
        <v>576</v>
      </c>
      <c r="P39" s="126" t="s">
        <v>650</v>
      </c>
      <c r="Q39" s="126">
        <v>1</v>
      </c>
      <c r="S39" s="168">
        <v>46216</v>
      </c>
      <c r="T39" s="126">
        <v>8</v>
      </c>
      <c r="U39" s="228">
        <v>-2</v>
      </c>
      <c r="V39" s="228">
        <v>-2</v>
      </c>
      <c r="W39" s="228">
        <v>1.32</v>
      </c>
      <c r="X39" s="228">
        <v>0</v>
      </c>
      <c r="Y39" s="228">
        <v>0</v>
      </c>
      <c r="Z39" s="228">
        <v>0</v>
      </c>
      <c r="AA39" s="228">
        <v>1.32</v>
      </c>
      <c r="AB39" s="228">
        <v>0</v>
      </c>
      <c r="AC39" s="261">
        <v>46216.696875000001</v>
      </c>
      <c r="AE39" s="126">
        <v>0</v>
      </c>
      <c r="AF39" s="126">
        <v>0</v>
      </c>
      <c r="AG39" s="126">
        <v>1</v>
      </c>
      <c r="AH39" s="126">
        <v>0</v>
      </c>
      <c r="AI39" s="126">
        <v>1</v>
      </c>
    </row>
    <row r="40" spans="3:35">
      <c r="C40" s="126">
        <v>33</v>
      </c>
      <c r="D40" s="126">
        <v>1</v>
      </c>
      <c r="E40" s="126">
        <v>1</v>
      </c>
      <c r="G40" s="126">
        <v>5</v>
      </c>
      <c r="O40" s="126" t="s">
        <v>576</v>
      </c>
      <c r="P40" s="126" t="s">
        <v>650</v>
      </c>
      <c r="Q40" s="126">
        <v>1</v>
      </c>
      <c r="S40" s="168">
        <v>46216</v>
      </c>
      <c r="T40" s="126">
        <v>9</v>
      </c>
      <c r="U40" s="228">
        <v>-2</v>
      </c>
      <c r="V40" s="228">
        <v>-2</v>
      </c>
      <c r="W40" s="228">
        <v>1.1499999999999999</v>
      </c>
      <c r="X40" s="228">
        <v>0</v>
      </c>
      <c r="Y40" s="228">
        <v>0</v>
      </c>
      <c r="Z40" s="228">
        <v>0</v>
      </c>
      <c r="AA40" s="228">
        <v>1.1499999999999999</v>
      </c>
      <c r="AB40" s="228">
        <v>0</v>
      </c>
      <c r="AC40" s="261">
        <v>46216.696875000001</v>
      </c>
      <c r="AE40" s="126">
        <v>0</v>
      </c>
      <c r="AF40" s="126">
        <v>0</v>
      </c>
      <c r="AG40" s="126">
        <v>1</v>
      </c>
      <c r="AH40" s="126">
        <v>0</v>
      </c>
      <c r="AI40" s="126">
        <v>1</v>
      </c>
    </row>
    <row r="41" spans="3:35">
      <c r="C41" s="126">
        <v>34</v>
      </c>
      <c r="D41" s="126">
        <v>1</v>
      </c>
      <c r="E41" s="126">
        <v>1</v>
      </c>
      <c r="G41" s="126">
        <v>5</v>
      </c>
      <c r="O41" s="126" t="s">
        <v>576</v>
      </c>
      <c r="P41" s="126" t="s">
        <v>650</v>
      </c>
      <c r="Q41" s="126">
        <v>1</v>
      </c>
      <c r="S41" s="168">
        <v>46216</v>
      </c>
      <c r="T41" s="126">
        <v>10</v>
      </c>
      <c r="U41" s="228">
        <v>-2</v>
      </c>
      <c r="V41" s="228">
        <v>-2</v>
      </c>
      <c r="W41" s="228">
        <v>14.85</v>
      </c>
      <c r="X41" s="228">
        <v>0</v>
      </c>
      <c r="Y41" s="228">
        <v>0</v>
      </c>
      <c r="Z41" s="228">
        <v>0</v>
      </c>
      <c r="AA41" s="228">
        <v>14.85</v>
      </c>
      <c r="AB41" s="228">
        <v>0</v>
      </c>
      <c r="AC41" s="261">
        <v>46216.696875000001</v>
      </c>
      <c r="AE41" s="126">
        <v>0</v>
      </c>
      <c r="AF41" s="126">
        <v>0</v>
      </c>
      <c r="AG41" s="126">
        <v>1</v>
      </c>
      <c r="AH41" s="126">
        <v>0</v>
      </c>
      <c r="AI41" s="126">
        <v>1</v>
      </c>
    </row>
    <row r="42" spans="3:35">
      <c r="S42" s="168"/>
      <c r="AC42" s="261"/>
    </row>
    <row r="43" spans="3:35">
      <c r="S43" s="168"/>
      <c r="AC43" s="261"/>
    </row>
    <row r="44" spans="3:35">
      <c r="S44" s="168"/>
      <c r="AC44" s="261"/>
    </row>
    <row r="45" spans="3:35">
      <c r="S45" s="168"/>
      <c r="AC45" s="261"/>
    </row>
    <row r="46" spans="3:35">
      <c r="S46" s="168"/>
      <c r="AC46" s="261"/>
    </row>
    <row r="47" spans="3:35">
      <c r="S47" s="168"/>
      <c r="AC47" s="261"/>
    </row>
    <row r="48" spans="3:35">
      <c r="S48" s="168"/>
      <c r="AC48" s="261"/>
    </row>
    <row r="49" spans="19:29">
      <c r="S49" s="168"/>
      <c r="AC49" s="261"/>
    </row>
    <row r="50" spans="19:29">
      <c r="S50" s="168"/>
      <c r="AC50" s="261"/>
    </row>
    <row r="51" spans="19:29">
      <c r="S51" s="168"/>
      <c r="AC51" s="261"/>
    </row>
    <row r="52" spans="19:29">
      <c r="S52" s="168"/>
      <c r="AC52" s="261"/>
    </row>
    <row r="53" spans="19:29">
      <c r="S53" s="168"/>
      <c r="AC53" s="261"/>
    </row>
    <row r="54" spans="19:29">
      <c r="S54" s="168"/>
      <c r="AC54" s="261"/>
    </row>
    <row r="55" spans="19:29">
      <c r="S55" s="168"/>
      <c r="AC55" s="261"/>
    </row>
    <row r="56" spans="19:29">
      <c r="S56" s="168"/>
      <c r="AC56" s="261"/>
    </row>
    <row r="57" spans="19:29">
      <c r="S57" s="168"/>
      <c r="AC57" s="261"/>
    </row>
    <row r="58" spans="19:29">
      <c r="S58" s="168"/>
      <c r="AC58" s="261"/>
    </row>
    <row r="59" spans="19:29">
      <c r="S59" s="168"/>
      <c r="AC59" s="261"/>
    </row>
    <row r="60" spans="19:29">
      <c r="S60" s="168"/>
      <c r="AC60" s="261"/>
    </row>
    <row r="61" spans="19:29">
      <c r="S61" s="168"/>
      <c r="AC61" s="261"/>
    </row>
    <row r="62" spans="19:29">
      <c r="S62" s="168"/>
      <c r="AC62" s="261"/>
    </row>
    <row r="63" spans="19:29">
      <c r="S63" s="168"/>
      <c r="AC63" s="261"/>
    </row>
    <row r="64" spans="19:29">
      <c r="S64" s="168"/>
      <c r="AC64" s="261"/>
    </row>
    <row r="65" spans="19:29">
      <c r="S65" s="168"/>
      <c r="AC65" s="261"/>
    </row>
    <row r="66" spans="19:29">
      <c r="S66" s="168"/>
      <c r="AC66" s="261"/>
    </row>
    <row r="67" spans="19:29">
      <c r="S67" s="168"/>
      <c r="AC67" s="261"/>
    </row>
    <row r="68" spans="19:29">
      <c r="S68" s="168"/>
      <c r="AC68" s="261"/>
    </row>
    <row r="69" spans="19:29">
      <c r="S69" s="168"/>
      <c r="AC69" s="261"/>
    </row>
    <row r="70" spans="19:29">
      <c r="S70" s="168"/>
      <c r="AC70" s="261"/>
    </row>
    <row r="71" spans="19:29">
      <c r="S71" s="168"/>
      <c r="AC71" s="261"/>
    </row>
    <row r="72" spans="19:29">
      <c r="S72" s="168"/>
      <c r="AC72" s="261"/>
    </row>
    <row r="73" spans="19:29">
      <c r="S73" s="168"/>
      <c r="AC73" s="261"/>
    </row>
    <row r="74" spans="19:29">
      <c r="S74" s="168"/>
      <c r="AC74" s="261"/>
    </row>
    <row r="75" spans="19:29">
      <c r="S75" s="168"/>
      <c r="AC75" s="261"/>
    </row>
    <row r="76" spans="19:29">
      <c r="S76" s="168"/>
      <c r="AC76" s="261"/>
    </row>
    <row r="77" spans="19:29">
      <c r="S77" s="168"/>
      <c r="AC77" s="261"/>
    </row>
    <row r="78" spans="19:29">
      <c r="S78" s="168"/>
      <c r="AC78" s="261"/>
    </row>
    <row r="79" spans="19:29">
      <c r="S79" s="168"/>
      <c r="AC79" s="261"/>
    </row>
    <row r="80" spans="19:29">
      <c r="S80" s="168"/>
      <c r="AC80" s="261"/>
    </row>
    <row r="81" spans="19:29">
      <c r="S81" s="168"/>
      <c r="AC81" s="261"/>
    </row>
    <row r="82" spans="19:29">
      <c r="S82" s="168"/>
      <c r="AC82" s="261"/>
    </row>
    <row r="83" spans="19:29">
      <c r="S83" s="168"/>
      <c r="AC83" s="261"/>
    </row>
    <row r="84" spans="19:29">
      <c r="S84" s="168"/>
      <c r="AC84" s="261"/>
    </row>
    <row r="85" spans="19:29">
      <c r="S85" s="168"/>
      <c r="AC85" s="261"/>
    </row>
    <row r="86" spans="19:29">
      <c r="S86" s="168"/>
      <c r="AC86" s="261"/>
    </row>
    <row r="87" spans="19:29">
      <c r="S87" s="168"/>
      <c r="AC87" s="261"/>
    </row>
    <row r="88" spans="19:29">
      <c r="S88" s="168"/>
      <c r="AC88" s="261"/>
    </row>
    <row r="89" spans="19:29">
      <c r="S89" s="168"/>
      <c r="AC89" s="261"/>
    </row>
    <row r="90" spans="19:29">
      <c r="S90" s="168"/>
      <c r="AC90" s="261"/>
    </row>
    <row r="91" spans="19:29">
      <c r="S91" s="168"/>
      <c r="AC91" s="261"/>
    </row>
    <row r="92" spans="19:29">
      <c r="S92" s="168"/>
      <c r="AC92" s="261"/>
    </row>
    <row r="93" spans="19:29">
      <c r="S93" s="168"/>
      <c r="AC93" s="261"/>
    </row>
    <row r="94" spans="19:29">
      <c r="S94" s="168"/>
      <c r="AC94" s="261"/>
    </row>
    <row r="95" spans="19:29">
      <c r="S95" s="168"/>
      <c r="AC95" s="261"/>
    </row>
    <row r="96" spans="19:29">
      <c r="S96" s="168"/>
      <c r="AC96" s="261"/>
    </row>
    <row r="97" spans="19:29">
      <c r="S97" s="168"/>
      <c r="AC97" s="261"/>
    </row>
    <row r="98" spans="19:29">
      <c r="S98" s="168"/>
      <c r="AC98" s="261"/>
    </row>
    <row r="99" spans="19:29">
      <c r="S99" s="168"/>
      <c r="AC99" s="261"/>
    </row>
    <row r="100" spans="19:29">
      <c r="S100" s="168"/>
      <c r="AC100" s="261"/>
    </row>
    <row r="101" spans="19:29">
      <c r="S101" s="168"/>
      <c r="AC101" s="261"/>
    </row>
    <row r="102" spans="19:29">
      <c r="S102" s="168"/>
      <c r="AC102" s="261"/>
    </row>
    <row r="103" spans="19:29">
      <c r="S103" s="168"/>
      <c r="AC103" s="261"/>
    </row>
    <row r="104" spans="19:29">
      <c r="S104" s="168"/>
      <c r="AC104" s="261"/>
    </row>
    <row r="105" spans="19:29">
      <c r="S105" s="168"/>
      <c r="AC105" s="261"/>
    </row>
    <row r="106" spans="19:29">
      <c r="S106" s="168"/>
      <c r="AC106" s="261"/>
    </row>
    <row r="107" spans="19:29">
      <c r="S107" s="168"/>
      <c r="AC107" s="261"/>
    </row>
    <row r="108" spans="19:29">
      <c r="S108" s="168"/>
      <c r="AC108" s="261"/>
    </row>
    <row r="109" spans="19:29">
      <c r="S109" s="168"/>
      <c r="AC109" s="261"/>
    </row>
    <row r="110" spans="19:29">
      <c r="S110" s="168"/>
      <c r="AC110" s="261"/>
    </row>
    <row r="111" spans="19:29">
      <c r="S111" s="168"/>
      <c r="AC111" s="261"/>
    </row>
    <row r="112" spans="19:29">
      <c r="S112" s="168"/>
      <c r="AC112" s="261"/>
    </row>
    <row r="113" spans="19:29">
      <c r="S113" s="168"/>
      <c r="AC113" s="261"/>
    </row>
    <row r="114" spans="19:29">
      <c r="S114" s="168"/>
      <c r="AC114" s="261"/>
    </row>
    <row r="115" spans="19:29">
      <c r="S115" s="168"/>
      <c r="AC115" s="261"/>
    </row>
    <row r="116" spans="19:29">
      <c r="S116" s="168"/>
      <c r="AC116" s="261"/>
    </row>
    <row r="117" spans="19:29">
      <c r="S117" s="168"/>
      <c r="AC117" s="261"/>
    </row>
    <row r="118" spans="19:29">
      <c r="S118" s="168"/>
      <c r="AC118" s="261"/>
    </row>
    <row r="119" spans="19:29">
      <c r="S119" s="168"/>
      <c r="AC119" s="261"/>
    </row>
    <row r="120" spans="19:29">
      <c r="S120" s="168"/>
      <c r="AC120" s="261"/>
    </row>
    <row r="121" spans="19:29">
      <c r="S121" s="168"/>
      <c r="AC121" s="261"/>
    </row>
    <row r="122" spans="19:29">
      <c r="S122" s="168"/>
      <c r="AC122" s="261"/>
    </row>
    <row r="123" spans="19:29">
      <c r="S123" s="168"/>
      <c r="AC123" s="261"/>
    </row>
    <row r="124" spans="19:29">
      <c r="S124" s="168"/>
      <c r="AC124" s="261"/>
    </row>
    <row r="125" spans="19:29">
      <c r="S125" s="168"/>
      <c r="AC125" s="261"/>
    </row>
    <row r="126" spans="19:29">
      <c r="S126" s="168"/>
      <c r="AC126" s="261"/>
    </row>
    <row r="127" spans="19:29">
      <c r="S127" s="168"/>
      <c r="AC127" s="261"/>
    </row>
    <row r="128" spans="19:29">
      <c r="S128" s="168"/>
      <c r="AC128" s="261"/>
    </row>
    <row r="129" spans="19:29">
      <c r="S129" s="168"/>
      <c r="AC129" s="261"/>
    </row>
    <row r="130" spans="19:29">
      <c r="S130" s="168"/>
      <c r="AC130" s="261"/>
    </row>
    <row r="131" spans="19:29">
      <c r="S131" s="168"/>
      <c r="AC131" s="261"/>
    </row>
    <row r="132" spans="19:29">
      <c r="S132" s="168"/>
      <c r="AC132" s="261"/>
    </row>
    <row r="133" spans="19:29">
      <c r="S133" s="168"/>
      <c r="AC133" s="261"/>
    </row>
    <row r="134" spans="19:29">
      <c r="S134" s="168"/>
      <c r="AC134" s="261"/>
    </row>
    <row r="135" spans="19:29">
      <c r="S135" s="168"/>
      <c r="AC135" s="261"/>
    </row>
    <row r="136" spans="19:29">
      <c r="S136" s="168"/>
      <c r="AC136" s="261"/>
    </row>
    <row r="137" spans="19:29">
      <c r="S137" s="168"/>
      <c r="AC137" s="261"/>
    </row>
    <row r="138" spans="19:29">
      <c r="S138" s="168"/>
      <c r="AC138" s="261"/>
    </row>
    <row r="139" spans="19:29">
      <c r="S139" s="168"/>
      <c r="AC139" s="261"/>
    </row>
    <row r="140" spans="19:29">
      <c r="S140" s="168"/>
      <c r="AC140" s="261"/>
    </row>
    <row r="141" spans="19:29">
      <c r="S141" s="168"/>
      <c r="AC141" s="261"/>
    </row>
    <row r="142" spans="19:29">
      <c r="S142" s="168"/>
      <c r="AC142" s="261"/>
    </row>
    <row r="143" spans="19:29">
      <c r="S143" s="168"/>
      <c r="AC143" s="261"/>
    </row>
    <row r="144" spans="19:29">
      <c r="S144" s="168"/>
      <c r="AC144" s="261"/>
    </row>
    <row r="145" spans="19:29">
      <c r="S145" s="168"/>
      <c r="AC145" s="261"/>
    </row>
    <row r="146" spans="19:29">
      <c r="S146" s="168"/>
      <c r="AC146" s="261"/>
    </row>
    <row r="147" spans="19:29">
      <c r="S147" s="168"/>
      <c r="AC147" s="261"/>
    </row>
    <row r="148" spans="19:29">
      <c r="S148" s="168"/>
      <c r="AC148" s="261"/>
    </row>
    <row r="149" spans="19:29">
      <c r="S149" s="168"/>
      <c r="AC149" s="261"/>
    </row>
    <row r="150" spans="19:29">
      <c r="S150" s="168"/>
      <c r="AC150" s="261"/>
    </row>
    <row r="151" spans="19:29">
      <c r="S151" s="168"/>
      <c r="AC151" s="261"/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U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19" sqref="I19"/>
    </sheetView>
  </sheetViews>
  <sheetFormatPr defaultRowHeight="20.100000000000001" customHeight="1"/>
  <cols>
    <col min="1" max="1" width="3" style="141" customWidth="1"/>
    <col min="2" max="2" width="3.28515625" style="141" customWidth="1"/>
    <col min="3" max="3" width="7.7109375" style="141" customWidth="1"/>
    <col min="4" max="4" width="17.7109375" style="141" customWidth="1"/>
    <col min="5" max="5" width="13.7109375" style="141" customWidth="1"/>
    <col min="6" max="6" width="17.5703125" style="141" bestFit="1" customWidth="1"/>
    <col min="7" max="7" width="17.85546875" style="141" customWidth="1"/>
    <col min="8" max="8" width="15.28515625" style="141" bestFit="1" customWidth="1"/>
    <col min="9" max="9" width="20.28515625" style="141" customWidth="1"/>
    <col min="10" max="10" width="12.42578125" style="141" customWidth="1"/>
    <col min="11" max="11" width="18.5703125" style="141" customWidth="1"/>
    <col min="12" max="12" width="21.42578125" style="141" customWidth="1"/>
    <col min="13" max="13" width="26.85546875" style="141" customWidth="1"/>
    <col min="14" max="14" width="14.85546875" style="141" customWidth="1"/>
    <col min="15" max="15" width="19.7109375" style="141" customWidth="1"/>
    <col min="16" max="16" width="19.28515625" style="141" customWidth="1"/>
    <col min="17" max="17" width="13.5703125" style="141" bestFit="1" customWidth="1"/>
    <col min="18" max="18" width="20.28515625" style="141" customWidth="1"/>
    <col min="19" max="19" width="14.28515625" style="141" customWidth="1"/>
    <col min="20" max="20" width="18.85546875" style="141" customWidth="1"/>
    <col min="21" max="21" width="12.7109375" style="141" customWidth="1"/>
    <col min="22" max="16384" width="9.140625" style="141"/>
  </cols>
  <sheetData>
    <row r="1" spans="3:21" customFormat="1" ht="15" hidden="1"/>
    <row r="2" spans="3:21" customFormat="1" ht="15" hidden="1"/>
    <row r="3" spans="3:21" customFormat="1" ht="15" hidden="1"/>
    <row r="4" spans="3:21" customFormat="1" ht="53.25" customHeight="1">
      <c r="C4" s="316" t="s">
        <v>454</v>
      </c>
      <c r="D4" s="239"/>
      <c r="E4" s="239"/>
      <c r="F4" s="239"/>
      <c r="G4" s="239"/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9"/>
      <c r="T4" s="239"/>
      <c r="U4" s="239"/>
    </row>
    <row r="5" spans="3:21" customFormat="1" ht="15"/>
    <row r="6" spans="3:21" customFormat="1" ht="25.5">
      <c r="C6" s="320" t="s">
        <v>10</v>
      </c>
      <c r="D6" s="320" t="s">
        <v>432</v>
      </c>
      <c r="E6" s="320" t="s">
        <v>107</v>
      </c>
      <c r="F6" s="320" t="s">
        <v>438</v>
      </c>
      <c r="G6" s="320" t="s">
        <v>225</v>
      </c>
      <c r="H6" s="320" t="s">
        <v>220</v>
      </c>
      <c r="I6" s="320" t="s">
        <v>298</v>
      </c>
      <c r="J6" s="320" t="s">
        <v>94</v>
      </c>
      <c r="K6" s="320" t="s">
        <v>442</v>
      </c>
      <c r="L6" s="320" t="s">
        <v>439</v>
      </c>
      <c r="M6" s="320" t="s">
        <v>440</v>
      </c>
      <c r="N6" s="320" t="s">
        <v>451</v>
      </c>
      <c r="O6" s="320" t="s">
        <v>445</v>
      </c>
      <c r="P6" s="320" t="s">
        <v>450</v>
      </c>
      <c r="Q6" s="320" t="s">
        <v>447</v>
      </c>
      <c r="R6" s="320" t="s">
        <v>401</v>
      </c>
      <c r="S6" s="320" t="s">
        <v>209</v>
      </c>
      <c r="T6" s="320" t="s">
        <v>453</v>
      </c>
      <c r="U6" s="320" t="s">
        <v>109</v>
      </c>
    </row>
    <row r="7" spans="3:21" customFormat="1" ht="20.25" customHeight="1">
      <c r="C7" s="321" t="s">
        <v>139</v>
      </c>
      <c r="D7" s="321" t="s">
        <v>433</v>
      </c>
      <c r="E7" s="321" t="s">
        <v>124</v>
      </c>
      <c r="F7" s="321" t="s">
        <v>434</v>
      </c>
      <c r="G7" s="321" t="s">
        <v>3</v>
      </c>
      <c r="H7" s="321" t="s">
        <v>219</v>
      </c>
      <c r="I7" s="321" t="s">
        <v>297</v>
      </c>
      <c r="J7" s="321" t="s">
        <v>435</v>
      </c>
      <c r="K7" s="321" t="s">
        <v>441</v>
      </c>
      <c r="L7" s="321" t="s">
        <v>443</v>
      </c>
      <c r="M7" s="321" t="s">
        <v>444</v>
      </c>
      <c r="N7" s="321" t="s">
        <v>452</v>
      </c>
      <c r="O7" s="321" t="s">
        <v>446</v>
      </c>
      <c r="P7" s="321" t="s">
        <v>449</v>
      </c>
      <c r="Q7" s="321" t="s">
        <v>448</v>
      </c>
      <c r="R7" s="321" t="s">
        <v>436</v>
      </c>
      <c r="S7" s="321" t="s">
        <v>203</v>
      </c>
      <c r="T7" s="321" t="s">
        <v>191</v>
      </c>
      <c r="U7" s="321" t="s">
        <v>437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C1:Y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1.7109375" customWidth="1"/>
    <col min="2" max="2" width="3.28515625" customWidth="1"/>
    <col min="3" max="3" width="7" customWidth="1"/>
    <col min="4" max="4" width="19.85546875" customWidth="1"/>
    <col min="5" max="5" width="14.28515625" customWidth="1"/>
    <col min="6" max="8" width="5" bestFit="1" customWidth="1"/>
    <col min="9" max="9" width="19" customWidth="1"/>
    <col min="10" max="10" width="14.42578125" customWidth="1"/>
    <col min="11" max="11" width="17.85546875" customWidth="1"/>
    <col min="12" max="12" width="15.42578125" customWidth="1"/>
    <col min="13" max="13" width="20.140625" customWidth="1"/>
    <col min="14" max="14" width="17.7109375" customWidth="1"/>
    <col min="15" max="15" width="13.140625" bestFit="1" customWidth="1"/>
    <col min="16" max="16" width="19.140625" bestFit="1" customWidth="1"/>
    <col min="17" max="17" width="7.85546875" bestFit="1" customWidth="1"/>
    <col min="18" max="18" width="13.85546875" bestFit="1" customWidth="1"/>
    <col min="19" max="19" width="10.7109375" customWidth="1"/>
    <col min="20" max="20" width="17.28515625" customWidth="1"/>
    <col min="22" max="22" width="9.42578125" bestFit="1" customWidth="1"/>
    <col min="23" max="23" width="7.7109375" bestFit="1" customWidth="1"/>
    <col min="24" max="24" width="10.85546875" bestFit="1" customWidth="1"/>
    <col min="25" max="25" width="7.28515625" bestFit="1" customWidth="1"/>
  </cols>
  <sheetData>
    <row r="1" spans="3:25" hidden="1"/>
    <row r="2" spans="3:25" hidden="1"/>
    <row r="3" spans="3:25" hidden="1"/>
    <row r="4" spans="3:25" hidden="1"/>
    <row r="5" spans="3:25" ht="49.5" customHeight="1">
      <c r="C5" s="264" t="s">
        <v>464</v>
      </c>
      <c r="D5" s="259"/>
      <c r="E5" s="259"/>
      <c r="F5" s="259"/>
      <c r="G5" s="259"/>
      <c r="H5" s="259"/>
      <c r="I5" s="259"/>
      <c r="J5" s="259"/>
      <c r="K5" s="259"/>
      <c r="L5" s="259"/>
      <c r="M5" s="259"/>
      <c r="N5" s="259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</row>
    <row r="7" spans="3:25" s="13" customFormat="1" ht="79.5">
      <c r="C7" s="323" t="s">
        <v>296</v>
      </c>
      <c r="D7" s="323" t="s">
        <v>299</v>
      </c>
      <c r="E7" s="324" t="s">
        <v>331</v>
      </c>
      <c r="F7" s="325" t="s">
        <v>346</v>
      </c>
      <c r="G7" s="326" t="s">
        <v>347</v>
      </c>
      <c r="H7" s="325" t="s">
        <v>329</v>
      </c>
      <c r="I7" s="322" t="s">
        <v>348</v>
      </c>
      <c r="J7" s="323" t="s">
        <v>349</v>
      </c>
      <c r="K7" s="323" t="s">
        <v>350</v>
      </c>
      <c r="L7" s="323" t="s">
        <v>351</v>
      </c>
      <c r="M7" s="323" t="s">
        <v>352</v>
      </c>
      <c r="N7" s="323" t="s">
        <v>353</v>
      </c>
      <c r="O7" s="323" t="s">
        <v>354</v>
      </c>
      <c r="P7" s="323" t="s">
        <v>355</v>
      </c>
      <c r="Q7" s="323" t="s">
        <v>356</v>
      </c>
      <c r="R7" s="323" t="s">
        <v>357</v>
      </c>
      <c r="S7" s="323" t="s">
        <v>358</v>
      </c>
      <c r="T7" s="323" t="s">
        <v>359</v>
      </c>
      <c r="U7" s="323" t="s">
        <v>360</v>
      </c>
      <c r="V7" s="323" t="s">
        <v>361</v>
      </c>
      <c r="W7" s="323" t="s">
        <v>322</v>
      </c>
      <c r="X7" s="323" t="s">
        <v>323</v>
      </c>
      <c r="Y7" s="323" t="s">
        <v>362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C1:N7"/>
  <sheetViews>
    <sheetView showGridLines="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3" customWidth="1"/>
    <col min="2" max="2" width="2.85546875" customWidth="1"/>
    <col min="4" max="4" width="16.85546875" customWidth="1"/>
    <col min="5" max="5" width="13.85546875" customWidth="1"/>
    <col min="6" max="6" width="15.5703125" customWidth="1"/>
    <col min="7" max="7" width="15.7109375" customWidth="1"/>
    <col min="8" max="8" width="15" customWidth="1"/>
    <col min="9" max="9" width="18.140625" customWidth="1"/>
    <col min="10" max="10" width="14.85546875" customWidth="1"/>
    <col min="11" max="11" width="12.7109375" customWidth="1"/>
    <col min="12" max="12" width="14.7109375" customWidth="1"/>
    <col min="13" max="13" width="10.85546875" bestFit="1" customWidth="1"/>
    <col min="14" max="14" width="12.28515625" customWidth="1"/>
  </cols>
  <sheetData>
    <row r="1" spans="3:14" hidden="1"/>
    <row r="2" spans="3:14" hidden="1"/>
    <row r="3" spans="3:14" hidden="1"/>
    <row r="4" spans="3:14" hidden="1"/>
    <row r="5" spans="3:14" ht="33.75">
      <c r="C5" s="328" t="s">
        <v>465</v>
      </c>
      <c r="D5" s="259"/>
      <c r="E5" s="259"/>
      <c r="F5" s="259"/>
      <c r="G5" s="259"/>
      <c r="H5" s="259"/>
      <c r="I5" s="259"/>
      <c r="J5" s="259"/>
      <c r="K5" s="259"/>
      <c r="L5" s="259"/>
      <c r="M5" s="259"/>
      <c r="N5" s="259"/>
    </row>
    <row r="7" spans="3:14" s="13" customFormat="1" ht="33" customHeight="1">
      <c r="C7" s="327" t="s">
        <v>296</v>
      </c>
      <c r="D7" s="327" t="s">
        <v>318</v>
      </c>
      <c r="E7" s="327" t="s">
        <v>330</v>
      </c>
      <c r="F7" s="327" t="s">
        <v>331</v>
      </c>
      <c r="G7" s="327" t="s">
        <v>363</v>
      </c>
      <c r="H7" s="327" t="s">
        <v>340</v>
      </c>
      <c r="I7" s="327" t="s">
        <v>364</v>
      </c>
      <c r="J7" s="327" t="s">
        <v>319</v>
      </c>
      <c r="K7" s="327" t="s">
        <v>321</v>
      </c>
      <c r="L7" s="327" t="s">
        <v>322</v>
      </c>
      <c r="M7" s="327" t="s">
        <v>323</v>
      </c>
      <c r="N7" s="327" t="s">
        <v>328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C1:P22"/>
  <sheetViews>
    <sheetView showGridLines="0" workbookViewId="0">
      <pane ySplit="7" topLeftCell="A8" activePane="bottomLeft" state="frozen"/>
      <selection activeCell="L28" sqref="L28"/>
      <selection pane="bottomLeft" activeCell="H25" sqref="H25"/>
    </sheetView>
  </sheetViews>
  <sheetFormatPr defaultRowHeight="15"/>
  <cols>
    <col min="1" max="1" width="3.5703125" customWidth="1"/>
    <col min="2" max="2" width="4" customWidth="1"/>
    <col min="3" max="3" width="8.85546875" customWidth="1"/>
    <col min="4" max="4" width="22.5703125" customWidth="1"/>
    <col min="5" max="5" width="20.140625" customWidth="1"/>
    <col min="6" max="6" width="25.5703125" customWidth="1"/>
    <col min="7" max="7" width="25.85546875" customWidth="1"/>
    <col min="8" max="8" width="12.28515625" bestFit="1" customWidth="1"/>
    <col min="9" max="9" width="9.5703125" customWidth="1"/>
    <col min="10" max="10" width="15" customWidth="1"/>
    <col min="11" max="11" width="10.85546875" customWidth="1"/>
    <col min="12" max="12" width="16.5703125" bestFit="1" customWidth="1"/>
    <col min="13" max="13" width="14.5703125" bestFit="1" customWidth="1"/>
    <col min="14" max="14" width="11.85546875" customWidth="1"/>
    <col min="15" max="15" width="12" customWidth="1"/>
    <col min="16" max="16" width="9.7109375" customWidth="1"/>
  </cols>
  <sheetData>
    <row r="1" spans="3:16" hidden="1"/>
    <row r="2" spans="3:16" hidden="1"/>
    <row r="3" spans="3:16" hidden="1"/>
    <row r="5" spans="3:16" ht="30.75">
      <c r="C5" s="329" t="s">
        <v>466</v>
      </c>
      <c r="D5" s="259"/>
      <c r="E5" s="259"/>
      <c r="F5" s="259"/>
      <c r="G5" s="259"/>
      <c r="H5" s="259"/>
      <c r="I5" s="259"/>
      <c r="J5" s="259"/>
      <c r="K5" s="259"/>
      <c r="L5" s="259"/>
      <c r="M5" s="259"/>
      <c r="N5" s="259"/>
      <c r="O5" s="259"/>
      <c r="P5" s="259"/>
    </row>
    <row r="6" spans="3:16" ht="12" customHeight="1"/>
    <row r="7" spans="3:16" ht="24.75" customHeight="1">
      <c r="C7" s="327" t="s">
        <v>296</v>
      </c>
      <c r="D7" s="327" t="s">
        <v>307</v>
      </c>
      <c r="E7" s="327" t="s">
        <v>299</v>
      </c>
      <c r="F7" s="327" t="s">
        <v>300</v>
      </c>
      <c r="G7" s="327" t="s">
        <v>365</v>
      </c>
      <c r="H7" s="327" t="s">
        <v>366</v>
      </c>
      <c r="I7" s="327" t="s">
        <v>367</v>
      </c>
      <c r="J7" s="327" t="s">
        <v>368</v>
      </c>
      <c r="K7" s="327" t="s">
        <v>369</v>
      </c>
      <c r="L7" s="327" t="s">
        <v>352</v>
      </c>
      <c r="M7" s="327" t="s">
        <v>353</v>
      </c>
      <c r="N7" s="327" t="s">
        <v>356</v>
      </c>
      <c r="O7" s="327" t="s">
        <v>361</v>
      </c>
      <c r="P7" s="327" t="s">
        <v>362</v>
      </c>
    </row>
    <row r="9" spans="3:16">
      <c r="C9" s="13"/>
    </row>
    <row r="10" spans="3:16">
      <c r="C10" s="13"/>
    </row>
    <row r="11" spans="3:16">
      <c r="C11" s="13"/>
    </row>
    <row r="12" spans="3:16">
      <c r="C12" s="13"/>
    </row>
    <row r="13" spans="3:16">
      <c r="C13" s="13"/>
    </row>
    <row r="14" spans="3:16">
      <c r="C14" s="13"/>
    </row>
    <row r="15" spans="3:16">
      <c r="C15" s="13"/>
    </row>
    <row r="16" spans="3:16">
      <c r="C16" s="13"/>
    </row>
    <row r="17" spans="3:3">
      <c r="C17" s="13"/>
    </row>
    <row r="18" spans="3:3">
      <c r="C18" s="13"/>
    </row>
    <row r="19" spans="3:3">
      <c r="C19" s="13"/>
    </row>
    <row r="20" spans="3:3">
      <c r="C20" s="13"/>
    </row>
    <row r="21" spans="3:3">
      <c r="C21" s="13"/>
    </row>
    <row r="22" spans="3:3">
      <c r="C22" s="1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37"/>
  <sheetViews>
    <sheetView zoomScale="90" zoomScaleNormal="90" workbookViewId="0">
      <pane ySplit="7" topLeftCell="A8" activePane="bottomLeft" state="frozen"/>
      <selection activeCell="L28" sqref="L28"/>
      <selection pane="bottomLeft" activeCell="Y27" sqref="Y27"/>
    </sheetView>
  </sheetViews>
  <sheetFormatPr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26" customWidth="1"/>
    <col min="25" max="25" width="14.5703125" style="168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7"/>
    </row>
    <row r="2" spans="3:40" s="13" customFormat="1" ht="15" hidden="1">
      <c r="Y2" s="167"/>
    </row>
    <row r="3" spans="3:40" s="13" customFormat="1" ht="15" hidden="1">
      <c r="Y3" s="167"/>
    </row>
    <row r="4" spans="3:40" s="13" customFormat="1" ht="15" hidden="1">
      <c r="Y4" s="167"/>
    </row>
    <row r="5" spans="3:40" s="13" customFormat="1" ht="55.5" customHeight="1">
      <c r="C5" s="239" t="s">
        <v>462</v>
      </c>
      <c r="D5" s="258"/>
      <c r="E5" s="258"/>
      <c r="F5" s="258"/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62"/>
      <c r="Z5" s="258"/>
      <c r="AA5" s="258"/>
      <c r="AB5" s="258"/>
      <c r="AC5" s="258"/>
      <c r="AD5" s="258"/>
      <c r="AE5" s="258"/>
      <c r="AF5" s="258"/>
      <c r="AG5" s="258"/>
      <c r="AH5" s="258"/>
      <c r="AI5" s="258"/>
      <c r="AJ5" s="258"/>
      <c r="AK5" s="258"/>
      <c r="AL5" s="258"/>
      <c r="AM5" s="258"/>
      <c r="AN5" s="258"/>
    </row>
    <row r="6" spans="3:40" s="13" customFormat="1" ht="15">
      <c r="Y6" s="167"/>
      <c r="AC6" s="211"/>
    </row>
    <row r="7" spans="3:40" ht="108">
      <c r="C7" s="325" t="s">
        <v>296</v>
      </c>
      <c r="D7" s="325" t="s">
        <v>306</v>
      </c>
      <c r="E7" s="325" t="s">
        <v>299</v>
      </c>
      <c r="F7" s="325" t="s">
        <v>300</v>
      </c>
      <c r="G7" s="325" t="s">
        <v>307</v>
      </c>
      <c r="H7" s="325" t="s">
        <v>309</v>
      </c>
      <c r="I7" s="325" t="s">
        <v>301</v>
      </c>
      <c r="J7" s="325" t="s">
        <v>302</v>
      </c>
      <c r="K7" s="325" t="s">
        <v>303</v>
      </c>
      <c r="L7" s="325" t="s">
        <v>315</v>
      </c>
      <c r="M7" s="325" t="s">
        <v>344</v>
      </c>
      <c r="N7" s="325" t="s">
        <v>308</v>
      </c>
      <c r="O7" s="325" t="s">
        <v>310</v>
      </c>
      <c r="P7" s="325" t="s">
        <v>304</v>
      </c>
      <c r="Q7" s="325" t="s">
        <v>305</v>
      </c>
      <c r="R7" s="325" t="s">
        <v>311</v>
      </c>
      <c r="S7" s="325" t="s">
        <v>312</v>
      </c>
      <c r="T7" s="325" t="s">
        <v>313</v>
      </c>
      <c r="U7" s="325" t="s">
        <v>345</v>
      </c>
      <c r="V7" s="325" t="s">
        <v>314</v>
      </c>
      <c r="W7" s="330" t="s">
        <v>316</v>
      </c>
      <c r="X7" s="323" t="s">
        <v>317</v>
      </c>
      <c r="Y7" s="331" t="s">
        <v>318</v>
      </c>
      <c r="Z7" s="331" t="s">
        <v>319</v>
      </c>
      <c r="AA7" s="331" t="s">
        <v>320</v>
      </c>
      <c r="AB7" s="331" t="s">
        <v>321</v>
      </c>
      <c r="AC7" s="332" t="s">
        <v>322</v>
      </c>
      <c r="AD7" s="325" t="s">
        <v>323</v>
      </c>
      <c r="AE7" s="325" t="s">
        <v>393</v>
      </c>
      <c r="AF7" s="325" t="s">
        <v>394</v>
      </c>
      <c r="AG7" s="325" t="s">
        <v>324</v>
      </c>
      <c r="AH7" s="325" t="s">
        <v>325</v>
      </c>
      <c r="AI7" s="325" t="s">
        <v>326</v>
      </c>
      <c r="AJ7" s="325" t="s">
        <v>327</v>
      </c>
      <c r="AK7" s="325" t="s">
        <v>328</v>
      </c>
      <c r="AL7" s="325" t="s">
        <v>370</v>
      </c>
      <c r="AM7" s="325" t="s">
        <v>371</v>
      </c>
      <c r="AN7" s="325" t="s">
        <v>372</v>
      </c>
    </row>
    <row r="8" spans="3:40" ht="20.100000000000001" customHeight="1">
      <c r="C8" s="126">
        <v>1</v>
      </c>
      <c r="D8" s="126">
        <v>1</v>
      </c>
      <c r="Y8" s="168">
        <v>46213</v>
      </c>
      <c r="Z8" s="126" t="s">
        <v>558</v>
      </c>
      <c r="AA8" s="126">
        <v>0</v>
      </c>
      <c r="AC8" s="261">
        <v>46215.679502314815</v>
      </c>
      <c r="AD8" s="126">
        <v>1</v>
      </c>
      <c r="AE8" s="126">
        <v>1</v>
      </c>
      <c r="AF8" s="126">
        <v>0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2</v>
      </c>
      <c r="AM8" s="126">
        <v>7</v>
      </c>
      <c r="AN8" s="126">
        <v>2026</v>
      </c>
    </row>
    <row r="9" spans="3:40" ht="20.100000000000001" customHeight="1">
      <c r="C9" s="126">
        <v>2</v>
      </c>
      <c r="K9" s="126">
        <v>5</v>
      </c>
      <c r="Y9" s="168">
        <v>46214</v>
      </c>
      <c r="Z9" s="126" t="s">
        <v>602</v>
      </c>
      <c r="AA9" s="126">
        <v>0</v>
      </c>
      <c r="AC9" s="261">
        <v>46215.680937500001</v>
      </c>
      <c r="AD9" s="126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2</v>
      </c>
      <c r="AM9" s="126">
        <v>7</v>
      </c>
      <c r="AN9" s="126">
        <v>2026</v>
      </c>
    </row>
    <row r="10" spans="3:40" ht="20.100000000000001" customHeight="1">
      <c r="C10" s="126">
        <v>3</v>
      </c>
      <c r="K10" s="126">
        <v>6</v>
      </c>
      <c r="Y10" s="168">
        <v>46215</v>
      </c>
      <c r="Z10" s="126" t="s">
        <v>605</v>
      </c>
      <c r="AA10" s="126">
        <v>0</v>
      </c>
      <c r="AC10" s="261">
        <v>46215.681990740741</v>
      </c>
      <c r="AD10" s="126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2</v>
      </c>
      <c r="AM10" s="126">
        <v>7</v>
      </c>
      <c r="AN10" s="126">
        <v>2026</v>
      </c>
    </row>
    <row r="11" spans="3:40" ht="20.100000000000001" customHeight="1">
      <c r="C11" s="126">
        <v>4</v>
      </c>
      <c r="E11" s="126">
        <v>1</v>
      </c>
      <c r="Y11" s="168">
        <v>46213</v>
      </c>
      <c r="Z11" s="126" t="s">
        <v>573</v>
      </c>
      <c r="AA11" s="126">
        <v>0</v>
      </c>
      <c r="AC11" s="261">
        <v>46215.684999999998</v>
      </c>
      <c r="AD11" s="126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2</v>
      </c>
      <c r="AM11" s="126">
        <v>7</v>
      </c>
      <c r="AN11" s="126">
        <v>2026</v>
      </c>
    </row>
    <row r="12" spans="3:40" ht="20.100000000000001" customHeight="1">
      <c r="C12" s="126">
        <v>5</v>
      </c>
      <c r="E12" s="126">
        <v>2</v>
      </c>
      <c r="Y12" s="168">
        <v>46215</v>
      </c>
      <c r="Z12" s="126" t="s">
        <v>583</v>
      </c>
      <c r="AA12" s="126">
        <v>0</v>
      </c>
      <c r="AC12" s="261">
        <v>46215.687962962962</v>
      </c>
      <c r="AD12" s="126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2</v>
      </c>
      <c r="AM12" s="126">
        <v>7</v>
      </c>
      <c r="AN12" s="126">
        <v>2026</v>
      </c>
    </row>
    <row r="13" spans="3:40" ht="20.100000000000001" customHeight="1">
      <c r="C13" s="126">
        <v>6</v>
      </c>
      <c r="E13" s="126">
        <v>3</v>
      </c>
      <c r="Y13" s="168">
        <v>46215</v>
      </c>
      <c r="Z13" s="126" t="s">
        <v>590</v>
      </c>
      <c r="AA13" s="126">
        <v>0</v>
      </c>
      <c r="AC13" s="261">
        <v>46215.689803240741</v>
      </c>
      <c r="AD13" s="126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2</v>
      </c>
      <c r="AM13" s="126">
        <v>7</v>
      </c>
      <c r="AN13" s="126">
        <v>2026</v>
      </c>
    </row>
    <row r="14" spans="3:40" ht="20.100000000000001" customHeight="1">
      <c r="C14" s="126">
        <v>7</v>
      </c>
      <c r="K14" s="126">
        <v>7</v>
      </c>
      <c r="Y14" s="168">
        <v>46215</v>
      </c>
      <c r="Z14" s="126" t="s">
        <v>608</v>
      </c>
      <c r="AA14" s="126">
        <v>0</v>
      </c>
      <c r="AC14" s="261">
        <v>46215.718391203707</v>
      </c>
      <c r="AD14" s="126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2</v>
      </c>
      <c r="AM14" s="126">
        <v>7</v>
      </c>
      <c r="AN14" s="126">
        <v>2026</v>
      </c>
    </row>
    <row r="15" spans="3:40" ht="20.100000000000001" customHeight="1">
      <c r="C15" s="126">
        <v>8</v>
      </c>
      <c r="D15" s="126">
        <v>2</v>
      </c>
      <c r="Y15" s="168">
        <v>46215</v>
      </c>
      <c r="Z15" s="126" t="s">
        <v>588</v>
      </c>
      <c r="AA15" s="126">
        <v>0</v>
      </c>
      <c r="AC15" s="261">
        <v>46215.722743055558</v>
      </c>
      <c r="AD15" s="126">
        <v>1</v>
      </c>
      <c r="AE15" s="126">
        <v>1</v>
      </c>
      <c r="AF15" s="126">
        <v>0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2</v>
      </c>
      <c r="AM15" s="126">
        <v>7</v>
      </c>
      <c r="AN15" s="126">
        <v>2026</v>
      </c>
    </row>
    <row r="16" spans="3:40" ht="20.100000000000001" customHeight="1">
      <c r="C16" s="126">
        <v>9</v>
      </c>
      <c r="E16" s="126">
        <v>4</v>
      </c>
      <c r="Y16" s="168">
        <v>46215</v>
      </c>
      <c r="Z16" s="126" t="s">
        <v>596</v>
      </c>
      <c r="AA16" s="126">
        <v>0</v>
      </c>
      <c r="AC16" s="261">
        <v>46215.725810185184</v>
      </c>
      <c r="AD16" s="126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2</v>
      </c>
      <c r="AM16" s="126">
        <v>7</v>
      </c>
      <c r="AN16" s="126">
        <v>2026</v>
      </c>
    </row>
    <row r="17" spans="3:40" ht="20.100000000000001" customHeight="1">
      <c r="C17" s="126">
        <v>10</v>
      </c>
      <c r="D17" s="126">
        <v>3</v>
      </c>
      <c r="Y17" s="168">
        <v>46216</v>
      </c>
      <c r="Z17" s="126" t="s">
        <v>612</v>
      </c>
      <c r="AA17" s="126">
        <v>0</v>
      </c>
      <c r="AC17" s="261">
        <v>46216.693506944444</v>
      </c>
      <c r="AD17" s="126">
        <v>1</v>
      </c>
      <c r="AE17" s="126">
        <v>1</v>
      </c>
      <c r="AF17" s="126">
        <v>0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2</v>
      </c>
      <c r="AM17" s="126">
        <v>7</v>
      </c>
      <c r="AN17" s="126">
        <v>2026</v>
      </c>
    </row>
    <row r="18" spans="3:40" ht="20.100000000000001" customHeight="1">
      <c r="C18" s="126">
        <v>11</v>
      </c>
      <c r="K18" s="126">
        <v>8</v>
      </c>
      <c r="Y18" s="168">
        <v>46216</v>
      </c>
      <c r="Z18" s="126" t="s">
        <v>627</v>
      </c>
      <c r="AA18" s="126">
        <v>0</v>
      </c>
      <c r="AC18" s="261">
        <v>46216.694976851853</v>
      </c>
      <c r="AD18" s="126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2</v>
      </c>
      <c r="AM18" s="126">
        <v>7</v>
      </c>
      <c r="AN18" s="126">
        <v>2026</v>
      </c>
    </row>
    <row r="19" spans="3:40" ht="20.100000000000001" customHeight="1">
      <c r="C19" s="126">
        <v>12</v>
      </c>
      <c r="E19" s="126">
        <v>5</v>
      </c>
      <c r="Y19" s="168">
        <v>46216</v>
      </c>
      <c r="Z19" s="126" t="s">
        <v>650</v>
      </c>
      <c r="AA19" s="126">
        <v>0</v>
      </c>
      <c r="AC19" s="261">
        <v>46216.696875000001</v>
      </c>
      <c r="AD19" s="126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2</v>
      </c>
      <c r="AM19" s="126">
        <v>7</v>
      </c>
      <c r="AN19" s="126">
        <v>2026</v>
      </c>
    </row>
    <row r="20" spans="3:40" ht="20.100000000000001" customHeight="1">
      <c r="AC20" s="261"/>
    </row>
    <row r="21" spans="3:40" ht="20.100000000000001" customHeight="1">
      <c r="AC21" s="261"/>
    </row>
    <row r="22" spans="3:40" ht="20.100000000000001" customHeight="1">
      <c r="AC22" s="261"/>
    </row>
    <row r="23" spans="3:40" ht="20.100000000000001" customHeight="1">
      <c r="AC23" s="261"/>
    </row>
    <row r="24" spans="3:40" ht="20.100000000000001" customHeight="1">
      <c r="AC24" s="261"/>
    </row>
    <row r="25" spans="3:40" ht="20.100000000000001" customHeight="1">
      <c r="AC25" s="261"/>
    </row>
    <row r="26" spans="3:40" ht="20.100000000000001" customHeight="1">
      <c r="AC26" s="261"/>
    </row>
    <row r="27" spans="3:40" ht="20.100000000000001" customHeight="1">
      <c r="AC27" s="261"/>
    </row>
    <row r="28" spans="3:40" ht="20.100000000000001" customHeight="1">
      <c r="AC28" s="261"/>
    </row>
    <row r="29" spans="3:40" ht="20.100000000000001" customHeight="1">
      <c r="AC29" s="261"/>
    </row>
    <row r="30" spans="3:40" ht="20.100000000000001" customHeight="1">
      <c r="AC30" s="261"/>
    </row>
    <row r="31" spans="3:40" ht="20.100000000000001" customHeight="1">
      <c r="AC31" s="261"/>
    </row>
    <row r="32" spans="3:40" ht="20.100000000000001" customHeight="1">
      <c r="AC32" s="261"/>
    </row>
    <row r="33" spans="29:29" ht="20.100000000000001" customHeight="1">
      <c r="AC33" s="261"/>
    </row>
    <row r="34" spans="29:29" ht="20.100000000000001" customHeight="1">
      <c r="AC34" s="261"/>
    </row>
    <row r="35" spans="29:29" ht="20.100000000000001" customHeight="1">
      <c r="AC35" s="261"/>
    </row>
    <row r="36" spans="29:29" ht="20.100000000000001" customHeight="1">
      <c r="AC36" s="261"/>
    </row>
    <row r="37" spans="29:29" ht="20.100000000000001" customHeight="1">
      <c r="AC37" s="261"/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111"/>
  <sheetViews>
    <sheetView topLeftCell="A5" zoomScale="80" zoomScaleNormal="80" workbookViewId="0">
      <pane ySplit="3" topLeftCell="A8" activePane="bottomLeft" state="frozen"/>
      <selection activeCell="L28" sqref="L28"/>
      <selection pane="bottomLeft" activeCell="AI19" sqref="AI19"/>
    </sheetView>
  </sheetViews>
  <sheetFormatPr defaultRowHeight="23.25"/>
  <cols>
    <col min="1" max="1" width="2.42578125" customWidth="1"/>
    <col min="2" max="2" width="4.140625" style="121" customWidth="1"/>
    <col min="3" max="3" width="5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6" width="4.7109375" style="126" customWidth="1"/>
    <col min="17" max="17" width="4.42578125" style="130" bestFit="1" customWidth="1"/>
    <col min="18" max="18" width="17.85546875" style="126" customWidth="1"/>
    <col min="19" max="19" width="18.85546875" style="286" customWidth="1"/>
    <col min="20" max="20" width="18.140625" style="286" customWidth="1"/>
    <col min="21" max="21" width="80" style="68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84"/>
      <c r="T1" s="284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84"/>
      <c r="T2" s="284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84"/>
      <c r="T3" s="284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84"/>
      <c r="T4" s="284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57" t="s">
        <v>461</v>
      </c>
      <c r="D5" s="258"/>
      <c r="E5" s="258"/>
      <c r="F5" s="258"/>
      <c r="G5" s="258"/>
      <c r="H5" s="258"/>
      <c r="I5" s="258"/>
      <c r="J5" s="258"/>
      <c r="K5" s="259"/>
      <c r="L5" s="259"/>
      <c r="M5" s="258"/>
      <c r="N5" s="258"/>
      <c r="O5" s="258"/>
      <c r="P5" s="258"/>
      <c r="Q5" s="259"/>
      <c r="R5" s="258"/>
      <c r="S5" s="285"/>
      <c r="T5" s="285"/>
      <c r="U5" s="259"/>
      <c r="V5" s="259"/>
      <c r="W5" s="259"/>
      <c r="X5" s="259"/>
      <c r="Y5" s="259"/>
      <c r="Z5" s="259"/>
      <c r="AA5" s="259"/>
      <c r="AB5" s="259"/>
      <c r="AC5" s="259"/>
      <c r="AD5" s="259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84"/>
      <c r="T6" s="284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333" t="s">
        <v>296</v>
      </c>
      <c r="D7" s="333" t="s">
        <v>474</v>
      </c>
      <c r="E7" s="333" t="s">
        <v>329</v>
      </c>
      <c r="F7" s="333" t="s">
        <v>330</v>
      </c>
      <c r="G7" s="333" t="s">
        <v>331</v>
      </c>
      <c r="H7" s="333" t="s">
        <v>475</v>
      </c>
      <c r="I7" s="333" t="s">
        <v>476</v>
      </c>
      <c r="J7" s="333" t="s">
        <v>332</v>
      </c>
      <c r="K7" s="333" t="s">
        <v>333</v>
      </c>
      <c r="L7" s="333" t="s">
        <v>334</v>
      </c>
      <c r="M7" s="333" t="s">
        <v>335</v>
      </c>
      <c r="N7" s="333" t="s">
        <v>336</v>
      </c>
      <c r="O7" s="333" t="s">
        <v>456</v>
      </c>
      <c r="P7" s="333" t="s">
        <v>338</v>
      </c>
      <c r="Q7" s="333" t="s">
        <v>339</v>
      </c>
      <c r="R7" s="334" t="s">
        <v>159</v>
      </c>
      <c r="S7" s="335" t="s">
        <v>477</v>
      </c>
      <c r="T7" s="335" t="s">
        <v>478</v>
      </c>
      <c r="U7" s="335" t="s">
        <v>479</v>
      </c>
      <c r="V7" s="333" t="s">
        <v>340</v>
      </c>
      <c r="W7" s="333" t="s">
        <v>341</v>
      </c>
      <c r="X7" s="333" t="s">
        <v>342</v>
      </c>
      <c r="Y7" s="333" t="s">
        <v>343</v>
      </c>
      <c r="Z7" s="333" t="s">
        <v>480</v>
      </c>
      <c r="AA7" s="333" t="s">
        <v>328</v>
      </c>
      <c r="AB7" s="333" t="s">
        <v>481</v>
      </c>
      <c r="AC7" s="333" t="s">
        <v>371</v>
      </c>
      <c r="AD7" s="333" t="s">
        <v>372</v>
      </c>
    </row>
    <row r="8" spans="2:30">
      <c r="C8" s="126">
        <v>1</v>
      </c>
      <c r="D8" s="126">
        <v>1</v>
      </c>
      <c r="E8" s="126">
        <v>3</v>
      </c>
      <c r="F8" s="126">
        <v>1</v>
      </c>
      <c r="G8" s="126">
        <v>1</v>
      </c>
      <c r="H8" s="126">
        <v>1</v>
      </c>
      <c r="I8" s="126">
        <v>1</v>
      </c>
      <c r="J8" s="126">
        <v>81</v>
      </c>
      <c r="M8" s="126">
        <v>1</v>
      </c>
      <c r="N8" s="126">
        <v>1</v>
      </c>
      <c r="R8" s="126" t="s">
        <v>561</v>
      </c>
      <c r="S8" s="286">
        <v>372</v>
      </c>
      <c r="T8" s="286">
        <v>0</v>
      </c>
      <c r="U8" s="68" t="s">
        <v>564</v>
      </c>
      <c r="Z8" s="126">
        <v>1</v>
      </c>
      <c r="AA8" s="126">
        <v>1</v>
      </c>
      <c r="AB8" s="126">
        <v>2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9</v>
      </c>
      <c r="F9" s="126">
        <v>1</v>
      </c>
      <c r="G9" s="126">
        <v>1</v>
      </c>
      <c r="H9" s="126">
        <v>1</v>
      </c>
      <c r="I9" s="126">
        <v>1</v>
      </c>
      <c r="J9" s="126">
        <v>81</v>
      </c>
      <c r="M9" s="126">
        <v>1</v>
      </c>
      <c r="N9" s="126">
        <v>0</v>
      </c>
      <c r="R9" s="126" t="s">
        <v>561</v>
      </c>
      <c r="S9" s="286">
        <v>0</v>
      </c>
      <c r="T9" s="286">
        <v>372</v>
      </c>
      <c r="U9" s="68" t="s">
        <v>564</v>
      </c>
      <c r="Z9" s="126">
        <v>1</v>
      </c>
      <c r="AA9" s="126">
        <v>1</v>
      </c>
      <c r="AB9" s="126">
        <v>2</v>
      </c>
      <c r="AC9" s="126">
        <v>7</v>
      </c>
      <c r="AD9" s="126">
        <v>2026</v>
      </c>
    </row>
    <row r="10" spans="2:30">
      <c r="C10" s="126">
        <v>3</v>
      </c>
      <c r="D10" s="126">
        <v>2</v>
      </c>
      <c r="E10" s="126">
        <v>6</v>
      </c>
      <c r="F10" s="126">
        <v>1</v>
      </c>
      <c r="G10" s="126">
        <v>1</v>
      </c>
      <c r="H10" s="126">
        <v>1</v>
      </c>
      <c r="I10" s="126">
        <v>1</v>
      </c>
      <c r="R10" s="126" t="s">
        <v>567</v>
      </c>
      <c r="S10" s="286">
        <v>0</v>
      </c>
      <c r="T10" s="286">
        <v>744</v>
      </c>
      <c r="U10" s="68" t="s">
        <v>603</v>
      </c>
      <c r="V10" s="126">
        <v>1</v>
      </c>
      <c r="Z10" s="126">
        <v>1</v>
      </c>
      <c r="AA10" s="126">
        <v>1</v>
      </c>
      <c r="AB10" s="126">
        <v>2</v>
      </c>
      <c r="AC10" s="126">
        <v>7</v>
      </c>
      <c r="AD10" s="126">
        <v>2026</v>
      </c>
    </row>
    <row r="11" spans="2:30">
      <c r="C11" s="126">
        <v>4</v>
      </c>
      <c r="D11" s="126">
        <v>2</v>
      </c>
      <c r="E11" s="126">
        <v>3</v>
      </c>
      <c r="F11" s="126">
        <v>1</v>
      </c>
      <c r="G11" s="126">
        <v>1</v>
      </c>
      <c r="H11" s="126">
        <v>1</v>
      </c>
      <c r="I11" s="126">
        <v>1</v>
      </c>
      <c r="J11" s="126">
        <v>81</v>
      </c>
      <c r="M11" s="126">
        <v>2</v>
      </c>
      <c r="N11" s="126">
        <v>0</v>
      </c>
      <c r="O11" s="126">
        <v>11</v>
      </c>
      <c r="R11" s="126" t="s">
        <v>567</v>
      </c>
      <c r="S11" s="286">
        <v>744</v>
      </c>
      <c r="T11" s="286">
        <v>0</v>
      </c>
      <c r="U11" s="68" t="s">
        <v>604</v>
      </c>
      <c r="V11" s="126">
        <v>1</v>
      </c>
      <c r="Z11" s="126">
        <v>1</v>
      </c>
      <c r="AA11" s="126">
        <v>1</v>
      </c>
      <c r="AB11" s="126">
        <v>2</v>
      </c>
      <c r="AC11" s="126">
        <v>7</v>
      </c>
      <c r="AD11" s="126">
        <v>2026</v>
      </c>
    </row>
    <row r="12" spans="2:30">
      <c r="C12" s="126">
        <v>5</v>
      </c>
      <c r="D12" s="126">
        <v>3</v>
      </c>
      <c r="E12" s="126">
        <v>6</v>
      </c>
      <c r="F12" s="126">
        <v>1</v>
      </c>
      <c r="G12" s="126">
        <v>1</v>
      </c>
      <c r="H12" s="126">
        <v>1</v>
      </c>
      <c r="I12" s="126">
        <v>1</v>
      </c>
      <c r="R12" s="126" t="s">
        <v>567</v>
      </c>
      <c r="S12" s="286">
        <v>0</v>
      </c>
      <c r="T12" s="286">
        <v>1116</v>
      </c>
      <c r="U12" s="68" t="s">
        <v>606</v>
      </c>
      <c r="V12" s="126">
        <v>1</v>
      </c>
      <c r="Z12" s="126">
        <v>1</v>
      </c>
      <c r="AA12" s="126">
        <v>1</v>
      </c>
      <c r="AB12" s="126">
        <v>2</v>
      </c>
      <c r="AC12" s="126">
        <v>7</v>
      </c>
      <c r="AD12" s="126">
        <v>2026</v>
      </c>
    </row>
    <row r="13" spans="2:30">
      <c r="C13" s="126">
        <v>6</v>
      </c>
      <c r="D13" s="126">
        <v>3</v>
      </c>
      <c r="E13" s="126">
        <v>3</v>
      </c>
      <c r="F13" s="126">
        <v>1</v>
      </c>
      <c r="G13" s="126">
        <v>1</v>
      </c>
      <c r="H13" s="126">
        <v>1</v>
      </c>
      <c r="I13" s="126">
        <v>1</v>
      </c>
      <c r="J13" s="126">
        <v>81</v>
      </c>
      <c r="M13" s="126">
        <v>3</v>
      </c>
      <c r="N13" s="126">
        <v>0</v>
      </c>
      <c r="O13" s="126">
        <v>12</v>
      </c>
      <c r="R13" s="126" t="s">
        <v>567</v>
      </c>
      <c r="S13" s="286">
        <v>1116</v>
      </c>
      <c r="T13" s="286">
        <v>0</v>
      </c>
      <c r="U13" s="68" t="s">
        <v>607</v>
      </c>
      <c r="V13" s="126">
        <v>1</v>
      </c>
      <c r="Z13" s="126">
        <v>1</v>
      </c>
      <c r="AA13" s="126">
        <v>1</v>
      </c>
      <c r="AB13" s="126">
        <v>2</v>
      </c>
      <c r="AC13" s="126">
        <v>7</v>
      </c>
      <c r="AD13" s="126">
        <v>2026</v>
      </c>
    </row>
    <row r="14" spans="2:30">
      <c r="C14" s="126">
        <v>7</v>
      </c>
      <c r="D14" s="126">
        <v>4</v>
      </c>
      <c r="E14" s="126">
        <v>2</v>
      </c>
      <c r="F14" s="126">
        <v>1</v>
      </c>
      <c r="G14" s="126">
        <v>1</v>
      </c>
      <c r="H14" s="126">
        <v>1</v>
      </c>
      <c r="I14" s="126">
        <v>1</v>
      </c>
      <c r="R14" s="126" t="s">
        <v>576</v>
      </c>
      <c r="S14" s="286">
        <v>420</v>
      </c>
      <c r="T14" s="286">
        <v>0</v>
      </c>
      <c r="U14" s="68" t="s">
        <v>577</v>
      </c>
      <c r="V14" s="126">
        <v>1</v>
      </c>
      <c r="Z14" s="126">
        <v>1</v>
      </c>
      <c r="AA14" s="126">
        <v>1</v>
      </c>
      <c r="AB14" s="126">
        <v>2</v>
      </c>
      <c r="AC14" s="126">
        <v>7</v>
      </c>
      <c r="AD14" s="126">
        <v>2026</v>
      </c>
    </row>
    <row r="15" spans="2:30">
      <c r="C15" s="126">
        <v>8</v>
      </c>
      <c r="D15" s="126">
        <v>4</v>
      </c>
      <c r="E15" s="126">
        <v>3</v>
      </c>
      <c r="F15" s="126">
        <v>1</v>
      </c>
      <c r="G15" s="126">
        <v>1</v>
      </c>
      <c r="H15" s="126">
        <v>1</v>
      </c>
      <c r="I15" s="126">
        <v>1</v>
      </c>
      <c r="J15" s="126">
        <v>81</v>
      </c>
      <c r="M15" s="126">
        <v>4</v>
      </c>
      <c r="N15" s="126">
        <v>0</v>
      </c>
      <c r="P15" s="126">
        <v>1</v>
      </c>
      <c r="R15" s="126" t="s">
        <v>576</v>
      </c>
      <c r="S15" s="286">
        <v>0</v>
      </c>
      <c r="T15" s="286">
        <v>372</v>
      </c>
      <c r="U15" s="68" t="s">
        <v>579</v>
      </c>
      <c r="V15" s="126">
        <v>1</v>
      </c>
      <c r="Z15" s="126">
        <v>1</v>
      </c>
      <c r="AA15" s="126">
        <v>1</v>
      </c>
      <c r="AB15" s="126">
        <v>2</v>
      </c>
      <c r="AC15" s="126">
        <v>7</v>
      </c>
      <c r="AD15" s="126">
        <v>2026</v>
      </c>
    </row>
    <row r="16" spans="2:30">
      <c r="C16" s="126">
        <v>9</v>
      </c>
      <c r="D16" s="126">
        <v>4</v>
      </c>
      <c r="E16" s="126">
        <v>11</v>
      </c>
      <c r="F16" s="126">
        <v>1</v>
      </c>
      <c r="G16" s="126">
        <v>1</v>
      </c>
      <c r="H16" s="126">
        <v>1</v>
      </c>
      <c r="I16" s="126">
        <v>1</v>
      </c>
      <c r="J16" s="126">
        <v>81</v>
      </c>
      <c r="M16" s="126">
        <v>4</v>
      </c>
      <c r="N16" s="126">
        <v>1</v>
      </c>
      <c r="P16" s="126">
        <v>1</v>
      </c>
      <c r="R16" s="126" t="s">
        <v>576</v>
      </c>
      <c r="S16" s="286">
        <v>372</v>
      </c>
      <c r="T16" s="286">
        <v>0</v>
      </c>
      <c r="U16" s="68" t="s">
        <v>580</v>
      </c>
      <c r="V16" s="126">
        <v>1</v>
      </c>
      <c r="Z16" s="126">
        <v>1</v>
      </c>
      <c r="AA16" s="126">
        <v>1</v>
      </c>
      <c r="AB16" s="126">
        <v>2</v>
      </c>
      <c r="AC16" s="126">
        <v>7</v>
      </c>
      <c r="AD16" s="126">
        <v>2026</v>
      </c>
    </row>
    <row r="17" spans="3:32">
      <c r="C17" s="126">
        <v>10</v>
      </c>
      <c r="D17" s="126">
        <v>4</v>
      </c>
      <c r="E17" s="126">
        <v>10</v>
      </c>
      <c r="F17" s="126">
        <v>1</v>
      </c>
      <c r="G17" s="126">
        <v>1</v>
      </c>
      <c r="H17" s="126">
        <v>1</v>
      </c>
      <c r="I17" s="126">
        <v>1</v>
      </c>
      <c r="J17" s="126">
        <v>81</v>
      </c>
      <c r="P17" s="126">
        <v>1</v>
      </c>
      <c r="R17" s="126" t="s">
        <v>576</v>
      </c>
      <c r="S17" s="286">
        <v>0</v>
      </c>
      <c r="T17" s="286">
        <v>420</v>
      </c>
      <c r="U17" s="68" t="s">
        <v>581</v>
      </c>
      <c r="V17" s="126">
        <v>1</v>
      </c>
      <c r="Z17" s="126">
        <v>1</v>
      </c>
      <c r="AA17" s="126">
        <v>1</v>
      </c>
      <c r="AB17" s="126">
        <v>2</v>
      </c>
      <c r="AC17" s="126">
        <v>7</v>
      </c>
      <c r="AD17" s="126">
        <v>2026</v>
      </c>
    </row>
    <row r="18" spans="3:32">
      <c r="C18" s="126">
        <v>11</v>
      </c>
      <c r="D18" s="126">
        <v>5</v>
      </c>
      <c r="E18" s="126">
        <v>2</v>
      </c>
      <c r="F18" s="126">
        <v>1</v>
      </c>
      <c r="G18" s="126">
        <v>1</v>
      </c>
      <c r="H18" s="126">
        <v>1</v>
      </c>
      <c r="I18" s="126">
        <v>1</v>
      </c>
      <c r="R18" s="126" t="s">
        <v>576</v>
      </c>
      <c r="S18" s="286">
        <v>1260</v>
      </c>
      <c r="T18" s="286">
        <v>0</v>
      </c>
      <c r="U18" s="68" t="s">
        <v>584</v>
      </c>
      <c r="V18" s="126">
        <v>1</v>
      </c>
      <c r="Z18" s="126">
        <v>1</v>
      </c>
      <c r="AA18" s="126">
        <v>1</v>
      </c>
      <c r="AB18" s="126">
        <v>2</v>
      </c>
      <c r="AC18" s="126">
        <v>7</v>
      </c>
      <c r="AD18" s="126">
        <v>2026</v>
      </c>
    </row>
    <row r="19" spans="3:32">
      <c r="C19" s="126">
        <v>12</v>
      </c>
      <c r="D19" s="126">
        <v>5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81</v>
      </c>
      <c r="M19" s="126">
        <v>5</v>
      </c>
      <c r="N19" s="126">
        <v>0</v>
      </c>
      <c r="P19" s="126">
        <v>2</v>
      </c>
      <c r="R19" s="126" t="s">
        <v>576</v>
      </c>
      <c r="S19" s="286">
        <v>0</v>
      </c>
      <c r="T19" s="286">
        <v>1116</v>
      </c>
      <c r="U19" s="68" t="s">
        <v>585</v>
      </c>
      <c r="V19" s="126">
        <v>1</v>
      </c>
      <c r="Z19" s="126">
        <v>1</v>
      </c>
      <c r="AA19" s="126">
        <v>1</v>
      </c>
      <c r="AB19" s="126">
        <v>2</v>
      </c>
      <c r="AC19" s="126">
        <v>7</v>
      </c>
      <c r="AD19" s="126">
        <v>2026</v>
      </c>
    </row>
    <row r="20" spans="3:32">
      <c r="C20" s="126">
        <v>13</v>
      </c>
      <c r="D20" s="126">
        <v>5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81</v>
      </c>
      <c r="M20" s="126">
        <v>5</v>
      </c>
      <c r="N20" s="126">
        <v>1</v>
      </c>
      <c r="P20" s="126">
        <v>2</v>
      </c>
      <c r="R20" s="126" t="s">
        <v>576</v>
      </c>
      <c r="S20" s="286">
        <v>1116</v>
      </c>
      <c r="T20" s="286">
        <v>0</v>
      </c>
      <c r="U20" s="68" t="s">
        <v>586</v>
      </c>
      <c r="V20" s="126">
        <v>1</v>
      </c>
      <c r="Z20" s="126">
        <v>1</v>
      </c>
      <c r="AA20" s="126">
        <v>1</v>
      </c>
      <c r="AB20" s="126">
        <v>2</v>
      </c>
      <c r="AC20" s="126">
        <v>7</v>
      </c>
      <c r="AD20" s="126">
        <v>2026</v>
      </c>
    </row>
    <row r="21" spans="3:32">
      <c r="C21" s="126">
        <v>14</v>
      </c>
      <c r="D21" s="126">
        <v>5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81</v>
      </c>
      <c r="P21" s="126">
        <v>2</v>
      </c>
      <c r="R21" s="126" t="s">
        <v>576</v>
      </c>
      <c r="S21" s="286">
        <v>0</v>
      </c>
      <c r="T21" s="286">
        <v>1260</v>
      </c>
      <c r="U21" s="68" t="s">
        <v>587</v>
      </c>
      <c r="V21" s="126">
        <v>1</v>
      </c>
      <c r="Z21" s="126">
        <v>1</v>
      </c>
      <c r="AA21" s="126">
        <v>1</v>
      </c>
      <c r="AB21" s="126">
        <v>2</v>
      </c>
      <c r="AC21" s="126">
        <v>7</v>
      </c>
      <c r="AD21" s="126">
        <v>2026</v>
      </c>
      <c r="AF21" s="288"/>
    </row>
    <row r="22" spans="3:32">
      <c r="C22" s="126">
        <v>15</v>
      </c>
      <c r="D22" s="126">
        <v>6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576</v>
      </c>
      <c r="S22" s="286">
        <v>840</v>
      </c>
      <c r="T22" s="286">
        <v>0</v>
      </c>
      <c r="U22" s="68" t="s">
        <v>591</v>
      </c>
      <c r="V22" s="126">
        <v>1</v>
      </c>
      <c r="Z22" s="126">
        <v>1</v>
      </c>
      <c r="AA22" s="126">
        <v>1</v>
      </c>
      <c r="AB22" s="126">
        <v>2</v>
      </c>
      <c r="AC22" s="126">
        <v>7</v>
      </c>
      <c r="AD22" s="126">
        <v>2026</v>
      </c>
    </row>
    <row r="23" spans="3:32">
      <c r="C23" s="126">
        <v>16</v>
      </c>
      <c r="D23" s="126">
        <v>6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81</v>
      </c>
      <c r="M23" s="126">
        <v>6</v>
      </c>
      <c r="N23" s="126">
        <v>0</v>
      </c>
      <c r="P23" s="126">
        <v>3</v>
      </c>
      <c r="R23" s="126" t="s">
        <v>576</v>
      </c>
      <c r="S23" s="286">
        <v>0</v>
      </c>
      <c r="T23" s="286">
        <v>744</v>
      </c>
      <c r="U23" s="68" t="s">
        <v>592</v>
      </c>
      <c r="V23" s="126">
        <v>1</v>
      </c>
      <c r="Z23" s="126">
        <v>1</v>
      </c>
      <c r="AA23" s="126">
        <v>1</v>
      </c>
      <c r="AB23" s="126">
        <v>2</v>
      </c>
      <c r="AC23" s="126">
        <v>7</v>
      </c>
      <c r="AD23" s="126">
        <v>2026</v>
      </c>
    </row>
    <row r="24" spans="3:32">
      <c r="C24" s="126">
        <v>17</v>
      </c>
      <c r="D24" s="126">
        <v>6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81</v>
      </c>
      <c r="M24" s="126">
        <v>6</v>
      </c>
      <c r="N24" s="126">
        <v>1</v>
      </c>
      <c r="P24" s="126">
        <v>3</v>
      </c>
      <c r="R24" s="126" t="s">
        <v>576</v>
      </c>
      <c r="S24" s="286">
        <v>744</v>
      </c>
      <c r="T24" s="286">
        <v>0</v>
      </c>
      <c r="U24" s="68" t="s">
        <v>593</v>
      </c>
      <c r="V24" s="126">
        <v>1</v>
      </c>
      <c r="Z24" s="126">
        <v>1</v>
      </c>
      <c r="AA24" s="126">
        <v>1</v>
      </c>
      <c r="AB24" s="126">
        <v>2</v>
      </c>
      <c r="AC24" s="126">
        <v>7</v>
      </c>
      <c r="AD24" s="126">
        <v>2026</v>
      </c>
    </row>
    <row r="25" spans="3:32">
      <c r="C25" s="126">
        <v>18</v>
      </c>
      <c r="D25" s="126">
        <v>6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81</v>
      </c>
      <c r="P25" s="126">
        <v>3</v>
      </c>
      <c r="R25" s="126" t="s">
        <v>576</v>
      </c>
      <c r="S25" s="286">
        <v>0</v>
      </c>
      <c r="T25" s="286">
        <v>840</v>
      </c>
      <c r="U25" s="68" t="s">
        <v>594</v>
      </c>
      <c r="V25" s="126">
        <v>1</v>
      </c>
      <c r="Z25" s="126">
        <v>1</v>
      </c>
      <c r="AA25" s="126">
        <v>1</v>
      </c>
      <c r="AB25" s="126">
        <v>2</v>
      </c>
      <c r="AC25" s="126">
        <v>7</v>
      </c>
      <c r="AD25" s="126">
        <v>2026</v>
      </c>
    </row>
    <row r="26" spans="3:32">
      <c r="C26" s="126">
        <v>19</v>
      </c>
      <c r="D26" s="126">
        <v>7</v>
      </c>
      <c r="E26" s="126">
        <v>6</v>
      </c>
      <c r="F26" s="126">
        <v>1</v>
      </c>
      <c r="G26" s="126">
        <v>1</v>
      </c>
      <c r="H26" s="126">
        <v>1</v>
      </c>
      <c r="I26" s="126">
        <v>1</v>
      </c>
      <c r="R26" s="126" t="s">
        <v>567</v>
      </c>
      <c r="S26" s="286">
        <v>0</v>
      </c>
      <c r="T26" s="286">
        <v>744</v>
      </c>
      <c r="U26" s="68" t="s">
        <v>609</v>
      </c>
      <c r="V26" s="126">
        <v>1</v>
      </c>
      <c r="Z26" s="126">
        <v>1</v>
      </c>
      <c r="AA26" s="126">
        <v>1</v>
      </c>
      <c r="AB26" s="126">
        <v>2</v>
      </c>
      <c r="AC26" s="126">
        <v>7</v>
      </c>
      <c r="AD26" s="126">
        <v>2026</v>
      </c>
    </row>
    <row r="27" spans="3:32">
      <c r="C27" s="126">
        <v>20</v>
      </c>
      <c r="D27" s="126">
        <v>7</v>
      </c>
      <c r="E27" s="126">
        <v>3</v>
      </c>
      <c r="F27" s="126">
        <v>1</v>
      </c>
      <c r="G27" s="126">
        <v>1</v>
      </c>
      <c r="H27" s="126">
        <v>1</v>
      </c>
      <c r="I27" s="126">
        <v>1</v>
      </c>
      <c r="J27" s="126">
        <v>81</v>
      </c>
      <c r="M27" s="126">
        <v>7</v>
      </c>
      <c r="N27" s="126">
        <v>0</v>
      </c>
      <c r="O27" s="126">
        <v>13</v>
      </c>
      <c r="R27" s="126" t="s">
        <v>567</v>
      </c>
      <c r="S27" s="286">
        <v>744</v>
      </c>
      <c r="T27" s="286">
        <v>0</v>
      </c>
      <c r="U27" s="68" t="s">
        <v>610</v>
      </c>
      <c r="V27" s="126">
        <v>1</v>
      </c>
      <c r="Z27" s="126">
        <v>1</v>
      </c>
      <c r="AA27" s="126">
        <v>1</v>
      </c>
      <c r="AB27" s="126">
        <v>2</v>
      </c>
      <c r="AC27" s="126">
        <v>7</v>
      </c>
      <c r="AD27" s="126">
        <v>2026</v>
      </c>
    </row>
    <row r="28" spans="3:32">
      <c r="C28" s="126">
        <v>21</v>
      </c>
      <c r="D28" s="126">
        <v>8</v>
      </c>
      <c r="E28" s="126">
        <v>3</v>
      </c>
      <c r="F28" s="126">
        <v>1</v>
      </c>
      <c r="G28" s="126">
        <v>1</v>
      </c>
      <c r="H28" s="126">
        <v>1</v>
      </c>
      <c r="I28" s="126">
        <v>1</v>
      </c>
      <c r="J28" s="126">
        <v>81</v>
      </c>
      <c r="M28" s="126">
        <v>8</v>
      </c>
      <c r="N28" s="126">
        <v>1</v>
      </c>
      <c r="R28" s="126" t="s">
        <v>561</v>
      </c>
      <c r="S28" s="286">
        <v>744</v>
      </c>
      <c r="T28" s="286">
        <v>0</v>
      </c>
      <c r="U28" s="68" t="s">
        <v>564</v>
      </c>
      <c r="Z28" s="126">
        <v>1</v>
      </c>
      <c r="AA28" s="126">
        <v>1</v>
      </c>
      <c r="AB28" s="126">
        <v>2</v>
      </c>
      <c r="AC28" s="126">
        <v>7</v>
      </c>
      <c r="AD28" s="126">
        <v>2026</v>
      </c>
    </row>
    <row r="29" spans="3:32">
      <c r="C29" s="126">
        <v>22</v>
      </c>
      <c r="D29" s="126">
        <v>8</v>
      </c>
      <c r="E29" s="126">
        <v>9</v>
      </c>
      <c r="F29" s="126">
        <v>1</v>
      </c>
      <c r="G29" s="126">
        <v>1</v>
      </c>
      <c r="H29" s="126">
        <v>1</v>
      </c>
      <c r="I29" s="126">
        <v>1</v>
      </c>
      <c r="J29" s="126">
        <v>81</v>
      </c>
      <c r="M29" s="126">
        <v>8</v>
      </c>
      <c r="N29" s="126">
        <v>0</v>
      </c>
      <c r="R29" s="126" t="s">
        <v>561</v>
      </c>
      <c r="S29" s="286">
        <v>0</v>
      </c>
      <c r="T29" s="286">
        <v>744</v>
      </c>
      <c r="U29" s="68" t="s">
        <v>564</v>
      </c>
      <c r="Z29" s="126">
        <v>1</v>
      </c>
      <c r="AA29" s="126">
        <v>1</v>
      </c>
      <c r="AB29" s="126">
        <v>2</v>
      </c>
      <c r="AC29" s="126">
        <v>7</v>
      </c>
      <c r="AD29" s="126">
        <v>2026</v>
      </c>
    </row>
    <row r="30" spans="3:32">
      <c r="C30" s="126">
        <v>23</v>
      </c>
      <c r="D30" s="126">
        <v>9</v>
      </c>
      <c r="E30" s="126">
        <v>2</v>
      </c>
      <c r="F30" s="126">
        <v>1</v>
      </c>
      <c r="G30" s="126">
        <v>1</v>
      </c>
      <c r="H30" s="126">
        <v>1</v>
      </c>
      <c r="I30" s="126">
        <v>1</v>
      </c>
      <c r="R30" s="126" t="s">
        <v>576</v>
      </c>
      <c r="S30" s="286">
        <v>1680</v>
      </c>
      <c r="T30" s="286">
        <v>0</v>
      </c>
      <c r="U30" s="68" t="s">
        <v>597</v>
      </c>
      <c r="V30" s="126">
        <v>3</v>
      </c>
      <c r="Z30" s="126">
        <v>1</v>
      </c>
      <c r="AA30" s="126">
        <v>1</v>
      </c>
      <c r="AB30" s="126">
        <v>2</v>
      </c>
      <c r="AC30" s="126">
        <v>7</v>
      </c>
      <c r="AD30" s="126">
        <v>2026</v>
      </c>
    </row>
    <row r="31" spans="3:32">
      <c r="C31" s="126">
        <v>24</v>
      </c>
      <c r="D31" s="126">
        <v>9</v>
      </c>
      <c r="E31" s="126">
        <v>3</v>
      </c>
      <c r="F31" s="126">
        <v>1</v>
      </c>
      <c r="G31" s="126">
        <v>1</v>
      </c>
      <c r="H31" s="126">
        <v>1</v>
      </c>
      <c r="I31" s="126">
        <v>1</v>
      </c>
      <c r="J31" s="126">
        <v>81</v>
      </c>
      <c r="M31" s="126">
        <v>9</v>
      </c>
      <c r="N31" s="126">
        <v>0</v>
      </c>
      <c r="P31" s="126">
        <v>4</v>
      </c>
      <c r="R31" s="126" t="s">
        <v>576</v>
      </c>
      <c r="S31" s="286">
        <v>0</v>
      </c>
      <c r="T31" s="286">
        <v>1488</v>
      </c>
      <c r="U31" s="68" t="s">
        <v>598</v>
      </c>
      <c r="V31" s="126">
        <v>3</v>
      </c>
      <c r="Z31" s="126">
        <v>1</v>
      </c>
      <c r="AA31" s="126">
        <v>1</v>
      </c>
      <c r="AB31" s="126">
        <v>2</v>
      </c>
      <c r="AC31" s="126">
        <v>7</v>
      </c>
      <c r="AD31" s="126">
        <v>2026</v>
      </c>
    </row>
    <row r="32" spans="3:32">
      <c r="C32" s="126">
        <v>25</v>
      </c>
      <c r="D32" s="126">
        <v>9</v>
      </c>
      <c r="E32" s="126">
        <v>11</v>
      </c>
      <c r="F32" s="126">
        <v>1</v>
      </c>
      <c r="G32" s="126">
        <v>1</v>
      </c>
      <c r="H32" s="126">
        <v>1</v>
      </c>
      <c r="I32" s="126">
        <v>1</v>
      </c>
      <c r="J32" s="126">
        <v>81</v>
      </c>
      <c r="M32" s="126">
        <v>9</v>
      </c>
      <c r="N32" s="126">
        <v>1</v>
      </c>
      <c r="P32" s="126">
        <v>4</v>
      </c>
      <c r="R32" s="126" t="s">
        <v>576</v>
      </c>
      <c r="S32" s="286">
        <v>1488</v>
      </c>
      <c r="T32" s="286">
        <v>0</v>
      </c>
      <c r="U32" s="68" t="s">
        <v>599</v>
      </c>
      <c r="V32" s="126">
        <v>3</v>
      </c>
      <c r="Z32" s="126">
        <v>1</v>
      </c>
      <c r="AA32" s="126">
        <v>1</v>
      </c>
      <c r="AB32" s="126">
        <v>2</v>
      </c>
      <c r="AC32" s="126">
        <v>7</v>
      </c>
      <c r="AD32" s="126">
        <v>2026</v>
      </c>
    </row>
    <row r="33" spans="3:30">
      <c r="C33" s="126">
        <v>26</v>
      </c>
      <c r="D33" s="126">
        <v>9</v>
      </c>
      <c r="E33" s="126">
        <v>10</v>
      </c>
      <c r="F33" s="126">
        <v>1</v>
      </c>
      <c r="G33" s="126">
        <v>1</v>
      </c>
      <c r="H33" s="126">
        <v>1</v>
      </c>
      <c r="I33" s="126">
        <v>1</v>
      </c>
      <c r="J33" s="126">
        <v>81</v>
      </c>
      <c r="P33" s="126">
        <v>4</v>
      </c>
      <c r="R33" s="126" t="s">
        <v>576</v>
      </c>
      <c r="S33" s="286">
        <v>0</v>
      </c>
      <c r="T33" s="286">
        <v>1680</v>
      </c>
      <c r="U33" s="68" t="s">
        <v>600</v>
      </c>
      <c r="V33" s="126">
        <v>3</v>
      </c>
      <c r="Z33" s="126">
        <v>1</v>
      </c>
      <c r="AA33" s="126">
        <v>1</v>
      </c>
      <c r="AB33" s="126">
        <v>2</v>
      </c>
      <c r="AC33" s="126">
        <v>7</v>
      </c>
      <c r="AD33" s="126">
        <v>2026</v>
      </c>
    </row>
    <row r="34" spans="3:30">
      <c r="C34" s="126">
        <v>27</v>
      </c>
      <c r="D34" s="126">
        <v>10</v>
      </c>
      <c r="E34" s="126">
        <v>3</v>
      </c>
      <c r="F34" s="126">
        <v>1</v>
      </c>
      <c r="G34" s="126">
        <v>1</v>
      </c>
      <c r="H34" s="126">
        <v>1</v>
      </c>
      <c r="I34" s="126">
        <v>1</v>
      </c>
      <c r="J34" s="126">
        <v>1</v>
      </c>
      <c r="M34" s="126">
        <v>10</v>
      </c>
      <c r="N34" s="126">
        <v>1</v>
      </c>
      <c r="R34" s="126" t="s">
        <v>561</v>
      </c>
      <c r="S34" s="286">
        <v>273.39999999999998</v>
      </c>
      <c r="T34" s="286">
        <v>0</v>
      </c>
      <c r="U34" s="68" t="s">
        <v>614</v>
      </c>
      <c r="Z34" s="126">
        <v>1</v>
      </c>
      <c r="AA34" s="126">
        <v>1</v>
      </c>
      <c r="AB34" s="126">
        <v>2</v>
      </c>
      <c r="AC34" s="126">
        <v>7</v>
      </c>
      <c r="AD34" s="126">
        <v>2026</v>
      </c>
    </row>
    <row r="35" spans="3:30">
      <c r="C35" s="126">
        <v>28</v>
      </c>
      <c r="D35" s="126">
        <v>10</v>
      </c>
      <c r="E35" s="126">
        <v>9</v>
      </c>
      <c r="F35" s="126">
        <v>1</v>
      </c>
      <c r="G35" s="126">
        <v>1</v>
      </c>
      <c r="H35" s="126">
        <v>1</v>
      </c>
      <c r="I35" s="126">
        <v>1</v>
      </c>
      <c r="J35" s="126">
        <v>1</v>
      </c>
      <c r="M35" s="126">
        <v>10</v>
      </c>
      <c r="N35" s="126">
        <v>0</v>
      </c>
      <c r="R35" s="126" t="s">
        <v>561</v>
      </c>
      <c r="S35" s="286">
        <v>0</v>
      </c>
      <c r="T35" s="286">
        <v>273.39999999999998</v>
      </c>
      <c r="U35" s="68" t="s">
        <v>614</v>
      </c>
      <c r="Z35" s="126">
        <v>1</v>
      </c>
      <c r="AA35" s="126">
        <v>1</v>
      </c>
      <c r="AB35" s="126">
        <v>2</v>
      </c>
      <c r="AC35" s="126">
        <v>7</v>
      </c>
      <c r="AD35" s="126">
        <v>2026</v>
      </c>
    </row>
    <row r="36" spans="3:30">
      <c r="C36" s="126">
        <v>29</v>
      </c>
      <c r="D36" s="126">
        <v>10</v>
      </c>
      <c r="E36" s="126">
        <v>3</v>
      </c>
      <c r="F36" s="126">
        <v>1</v>
      </c>
      <c r="G36" s="126">
        <v>1</v>
      </c>
      <c r="H36" s="126">
        <v>1</v>
      </c>
      <c r="I36" s="126">
        <v>1</v>
      </c>
      <c r="J36" s="126">
        <v>2</v>
      </c>
      <c r="M36" s="126">
        <v>11</v>
      </c>
      <c r="N36" s="126">
        <v>1</v>
      </c>
      <c r="R36" s="126" t="s">
        <v>561</v>
      </c>
      <c r="S36" s="286">
        <v>113.2</v>
      </c>
      <c r="T36" s="286">
        <v>0</v>
      </c>
      <c r="U36" s="68" t="s">
        <v>617</v>
      </c>
      <c r="Z36" s="126">
        <v>1</v>
      </c>
      <c r="AA36" s="126">
        <v>1</v>
      </c>
      <c r="AB36" s="126">
        <v>2</v>
      </c>
      <c r="AC36" s="126">
        <v>7</v>
      </c>
      <c r="AD36" s="126">
        <v>2026</v>
      </c>
    </row>
    <row r="37" spans="3:30">
      <c r="C37" s="126">
        <v>30</v>
      </c>
      <c r="D37" s="126">
        <v>10</v>
      </c>
      <c r="E37" s="126">
        <v>9</v>
      </c>
      <c r="F37" s="126">
        <v>1</v>
      </c>
      <c r="G37" s="126">
        <v>1</v>
      </c>
      <c r="H37" s="126">
        <v>1</v>
      </c>
      <c r="I37" s="126">
        <v>1</v>
      </c>
      <c r="J37" s="126">
        <v>2</v>
      </c>
      <c r="M37" s="126">
        <v>11</v>
      </c>
      <c r="N37" s="126">
        <v>0</v>
      </c>
      <c r="R37" s="126" t="s">
        <v>561</v>
      </c>
      <c r="S37" s="286">
        <v>0</v>
      </c>
      <c r="T37" s="286">
        <v>113.2</v>
      </c>
      <c r="U37" s="68" t="s">
        <v>617</v>
      </c>
      <c r="Z37" s="126">
        <v>1</v>
      </c>
      <c r="AA37" s="126">
        <v>1</v>
      </c>
      <c r="AB37" s="126">
        <v>2</v>
      </c>
      <c r="AC37" s="126">
        <v>7</v>
      </c>
      <c r="AD37" s="126">
        <v>2026</v>
      </c>
    </row>
    <row r="38" spans="3:30">
      <c r="C38" s="126">
        <v>31</v>
      </c>
      <c r="D38" s="126">
        <v>10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3</v>
      </c>
      <c r="M38" s="126">
        <v>12</v>
      </c>
      <c r="N38" s="126">
        <v>1</v>
      </c>
      <c r="R38" s="126" t="s">
        <v>561</v>
      </c>
      <c r="S38" s="286">
        <v>88</v>
      </c>
      <c r="T38" s="286">
        <v>0</v>
      </c>
      <c r="U38" s="68" t="s">
        <v>620</v>
      </c>
      <c r="Z38" s="126">
        <v>1</v>
      </c>
      <c r="AA38" s="126">
        <v>1</v>
      </c>
      <c r="AB38" s="126">
        <v>2</v>
      </c>
      <c r="AC38" s="126">
        <v>7</v>
      </c>
      <c r="AD38" s="126">
        <v>2026</v>
      </c>
    </row>
    <row r="39" spans="3:30">
      <c r="C39" s="126">
        <v>32</v>
      </c>
      <c r="D39" s="126">
        <v>10</v>
      </c>
      <c r="E39" s="126">
        <v>9</v>
      </c>
      <c r="F39" s="126">
        <v>1</v>
      </c>
      <c r="G39" s="126">
        <v>1</v>
      </c>
      <c r="H39" s="126">
        <v>1</v>
      </c>
      <c r="I39" s="126">
        <v>1</v>
      </c>
      <c r="J39" s="126">
        <v>3</v>
      </c>
      <c r="M39" s="126">
        <v>12</v>
      </c>
      <c r="N39" s="126">
        <v>0</v>
      </c>
      <c r="R39" s="126" t="s">
        <v>561</v>
      </c>
      <c r="S39" s="286">
        <v>0</v>
      </c>
      <c r="T39" s="286">
        <v>88</v>
      </c>
      <c r="U39" s="68" t="s">
        <v>620</v>
      </c>
      <c r="Z39" s="126">
        <v>1</v>
      </c>
      <c r="AA39" s="126">
        <v>1</v>
      </c>
      <c r="AB39" s="126">
        <v>2</v>
      </c>
      <c r="AC39" s="126">
        <v>7</v>
      </c>
      <c r="AD39" s="126">
        <v>2026</v>
      </c>
    </row>
    <row r="40" spans="3:30">
      <c r="C40" s="126">
        <v>33</v>
      </c>
      <c r="D40" s="126">
        <v>10</v>
      </c>
      <c r="E40" s="126">
        <v>3</v>
      </c>
      <c r="F40" s="126">
        <v>1</v>
      </c>
      <c r="G40" s="126">
        <v>1</v>
      </c>
      <c r="H40" s="126">
        <v>1</v>
      </c>
      <c r="I40" s="126">
        <v>1</v>
      </c>
      <c r="J40" s="126">
        <v>4</v>
      </c>
      <c r="M40" s="126">
        <v>13</v>
      </c>
      <c r="N40" s="126">
        <v>1</v>
      </c>
      <c r="R40" s="126" t="s">
        <v>561</v>
      </c>
      <c r="S40" s="286">
        <v>58</v>
      </c>
      <c r="T40" s="286">
        <v>0</v>
      </c>
      <c r="U40" s="68" t="s">
        <v>623</v>
      </c>
      <c r="Z40" s="126">
        <v>1</v>
      </c>
      <c r="AA40" s="126">
        <v>1</v>
      </c>
      <c r="AB40" s="126">
        <v>2</v>
      </c>
      <c r="AC40" s="126">
        <v>7</v>
      </c>
      <c r="AD40" s="126">
        <v>2026</v>
      </c>
    </row>
    <row r="41" spans="3:30">
      <c r="C41" s="126">
        <v>34</v>
      </c>
      <c r="D41" s="126">
        <v>10</v>
      </c>
      <c r="E41" s="126">
        <v>9</v>
      </c>
      <c r="F41" s="126">
        <v>1</v>
      </c>
      <c r="G41" s="126">
        <v>1</v>
      </c>
      <c r="H41" s="126">
        <v>1</v>
      </c>
      <c r="I41" s="126">
        <v>1</v>
      </c>
      <c r="J41" s="126">
        <v>4</v>
      </c>
      <c r="M41" s="126">
        <v>13</v>
      </c>
      <c r="N41" s="126">
        <v>0</v>
      </c>
      <c r="R41" s="126" t="s">
        <v>561</v>
      </c>
      <c r="S41" s="286">
        <v>0</v>
      </c>
      <c r="T41" s="286">
        <v>58</v>
      </c>
      <c r="U41" s="68" t="s">
        <v>623</v>
      </c>
      <c r="Z41" s="126">
        <v>1</v>
      </c>
      <c r="AA41" s="126">
        <v>1</v>
      </c>
      <c r="AB41" s="126">
        <v>2</v>
      </c>
      <c r="AC41" s="126">
        <v>7</v>
      </c>
      <c r="AD41" s="126">
        <v>2026</v>
      </c>
    </row>
    <row r="42" spans="3:30">
      <c r="C42" s="126">
        <v>35</v>
      </c>
      <c r="D42" s="126">
        <v>10</v>
      </c>
      <c r="E42" s="126">
        <v>3</v>
      </c>
      <c r="F42" s="126">
        <v>1</v>
      </c>
      <c r="G42" s="126">
        <v>1</v>
      </c>
      <c r="H42" s="126">
        <v>1</v>
      </c>
      <c r="I42" s="126">
        <v>1</v>
      </c>
      <c r="J42" s="126">
        <v>5</v>
      </c>
      <c r="M42" s="126">
        <v>14</v>
      </c>
      <c r="N42" s="126">
        <v>1</v>
      </c>
      <c r="R42" s="126" t="s">
        <v>561</v>
      </c>
      <c r="S42" s="286">
        <v>37.4</v>
      </c>
      <c r="T42" s="286">
        <v>0</v>
      </c>
      <c r="U42" s="68" t="s">
        <v>626</v>
      </c>
      <c r="Z42" s="126">
        <v>1</v>
      </c>
      <c r="AA42" s="126">
        <v>1</v>
      </c>
      <c r="AB42" s="126">
        <v>2</v>
      </c>
      <c r="AC42" s="126">
        <v>7</v>
      </c>
      <c r="AD42" s="126">
        <v>2026</v>
      </c>
    </row>
    <row r="43" spans="3:30">
      <c r="C43" s="126">
        <v>36</v>
      </c>
      <c r="D43" s="126">
        <v>10</v>
      </c>
      <c r="E43" s="126">
        <v>9</v>
      </c>
      <c r="F43" s="126">
        <v>1</v>
      </c>
      <c r="G43" s="126">
        <v>1</v>
      </c>
      <c r="H43" s="126">
        <v>1</v>
      </c>
      <c r="I43" s="126">
        <v>1</v>
      </c>
      <c r="J43" s="126">
        <v>5</v>
      </c>
      <c r="M43" s="126">
        <v>14</v>
      </c>
      <c r="N43" s="126">
        <v>0</v>
      </c>
      <c r="R43" s="126" t="s">
        <v>561</v>
      </c>
      <c r="S43" s="286">
        <v>0</v>
      </c>
      <c r="T43" s="286">
        <v>37.4</v>
      </c>
      <c r="U43" s="68" t="s">
        <v>626</v>
      </c>
      <c r="Z43" s="126">
        <v>1</v>
      </c>
      <c r="AA43" s="126">
        <v>1</v>
      </c>
      <c r="AB43" s="126">
        <v>2</v>
      </c>
      <c r="AC43" s="126">
        <v>7</v>
      </c>
      <c r="AD43" s="126">
        <v>2026</v>
      </c>
    </row>
    <row r="44" spans="3:30">
      <c r="C44" s="126">
        <v>37</v>
      </c>
      <c r="D44" s="126">
        <v>11</v>
      </c>
      <c r="E44" s="126">
        <v>6</v>
      </c>
      <c r="F44" s="126">
        <v>1</v>
      </c>
      <c r="G44" s="126">
        <v>1</v>
      </c>
      <c r="H44" s="126">
        <v>1</v>
      </c>
      <c r="I44" s="126">
        <v>1</v>
      </c>
      <c r="R44" s="126" t="s">
        <v>567</v>
      </c>
      <c r="S44" s="286">
        <v>0</v>
      </c>
      <c r="T44" s="286">
        <v>789.99999999999989</v>
      </c>
      <c r="U44" s="68" t="s">
        <v>628</v>
      </c>
      <c r="V44" s="126">
        <v>1</v>
      </c>
      <c r="Z44" s="126">
        <v>1</v>
      </c>
      <c r="AA44" s="126">
        <v>1</v>
      </c>
      <c r="AB44" s="126">
        <v>2</v>
      </c>
      <c r="AC44" s="126">
        <v>7</v>
      </c>
      <c r="AD44" s="126">
        <v>2026</v>
      </c>
    </row>
    <row r="45" spans="3:30">
      <c r="C45" s="126">
        <v>38</v>
      </c>
      <c r="D45" s="126">
        <v>11</v>
      </c>
      <c r="E45" s="126">
        <v>3</v>
      </c>
      <c r="F45" s="126">
        <v>1</v>
      </c>
      <c r="G45" s="126">
        <v>1</v>
      </c>
      <c r="H45" s="126">
        <v>1</v>
      </c>
      <c r="I45" s="126">
        <v>1</v>
      </c>
      <c r="J45" s="126">
        <v>1</v>
      </c>
      <c r="M45" s="126">
        <v>15</v>
      </c>
      <c r="N45" s="126">
        <v>0</v>
      </c>
      <c r="O45" s="126">
        <v>14</v>
      </c>
      <c r="R45" s="126" t="s">
        <v>567</v>
      </c>
      <c r="S45" s="286">
        <v>273.39999999999998</v>
      </c>
      <c r="T45" s="286">
        <v>0</v>
      </c>
      <c r="U45" s="68" t="s">
        <v>629</v>
      </c>
      <c r="V45" s="126">
        <v>1</v>
      </c>
      <c r="Z45" s="126">
        <v>1</v>
      </c>
      <c r="AA45" s="126">
        <v>1</v>
      </c>
      <c r="AB45" s="126">
        <v>2</v>
      </c>
      <c r="AC45" s="126">
        <v>7</v>
      </c>
      <c r="AD45" s="126">
        <v>2026</v>
      </c>
    </row>
    <row r="46" spans="3:30">
      <c r="C46" s="126">
        <v>39</v>
      </c>
      <c r="D46" s="126">
        <v>11</v>
      </c>
      <c r="E46" s="126">
        <v>3</v>
      </c>
      <c r="F46" s="126">
        <v>1</v>
      </c>
      <c r="G46" s="126">
        <v>1</v>
      </c>
      <c r="H46" s="126">
        <v>1</v>
      </c>
      <c r="I46" s="126">
        <v>1</v>
      </c>
      <c r="J46" s="126">
        <v>2</v>
      </c>
      <c r="M46" s="126">
        <v>16</v>
      </c>
      <c r="N46" s="126">
        <v>0</v>
      </c>
      <c r="O46" s="126">
        <v>15</v>
      </c>
      <c r="R46" s="126" t="s">
        <v>567</v>
      </c>
      <c r="S46" s="286">
        <v>113.2</v>
      </c>
      <c r="T46" s="286">
        <v>0</v>
      </c>
      <c r="U46" s="68" t="s">
        <v>630</v>
      </c>
      <c r="V46" s="126">
        <v>1</v>
      </c>
      <c r="Z46" s="126">
        <v>1</v>
      </c>
      <c r="AA46" s="126">
        <v>1</v>
      </c>
      <c r="AB46" s="126">
        <v>2</v>
      </c>
      <c r="AC46" s="126">
        <v>7</v>
      </c>
      <c r="AD46" s="126">
        <v>2026</v>
      </c>
    </row>
    <row r="47" spans="3:30">
      <c r="C47" s="126">
        <v>40</v>
      </c>
      <c r="D47" s="126">
        <v>11</v>
      </c>
      <c r="E47" s="126">
        <v>3</v>
      </c>
      <c r="F47" s="126">
        <v>1</v>
      </c>
      <c r="G47" s="126">
        <v>1</v>
      </c>
      <c r="H47" s="126">
        <v>1</v>
      </c>
      <c r="I47" s="126">
        <v>1</v>
      </c>
      <c r="J47" s="126">
        <v>3</v>
      </c>
      <c r="M47" s="126">
        <v>17</v>
      </c>
      <c r="N47" s="126">
        <v>0</v>
      </c>
      <c r="O47" s="126">
        <v>16</v>
      </c>
      <c r="R47" s="126" t="s">
        <v>567</v>
      </c>
      <c r="S47" s="286">
        <v>88</v>
      </c>
      <c r="T47" s="286">
        <v>0</v>
      </c>
      <c r="U47" s="68" t="s">
        <v>631</v>
      </c>
      <c r="V47" s="126">
        <v>1</v>
      </c>
      <c r="Z47" s="126">
        <v>1</v>
      </c>
      <c r="AA47" s="126">
        <v>1</v>
      </c>
      <c r="AB47" s="126">
        <v>2</v>
      </c>
      <c r="AC47" s="126">
        <v>7</v>
      </c>
      <c r="AD47" s="126">
        <v>2026</v>
      </c>
    </row>
    <row r="48" spans="3:30">
      <c r="C48" s="126">
        <v>41</v>
      </c>
      <c r="D48" s="126">
        <v>11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4</v>
      </c>
      <c r="M48" s="126">
        <v>18</v>
      </c>
      <c r="N48" s="126">
        <v>0</v>
      </c>
      <c r="O48" s="126">
        <v>17</v>
      </c>
      <c r="R48" s="126" t="s">
        <v>567</v>
      </c>
      <c r="S48" s="286">
        <v>58</v>
      </c>
      <c r="T48" s="286">
        <v>0</v>
      </c>
      <c r="U48" s="68" t="s">
        <v>632</v>
      </c>
      <c r="V48" s="126">
        <v>1</v>
      </c>
      <c r="Z48" s="126">
        <v>1</v>
      </c>
      <c r="AA48" s="126">
        <v>1</v>
      </c>
      <c r="AB48" s="126">
        <v>2</v>
      </c>
      <c r="AC48" s="126">
        <v>7</v>
      </c>
      <c r="AD48" s="126">
        <v>2026</v>
      </c>
    </row>
    <row r="49" spans="3:30">
      <c r="C49" s="126">
        <v>42</v>
      </c>
      <c r="D49" s="126">
        <v>11</v>
      </c>
      <c r="E49" s="126">
        <v>3</v>
      </c>
      <c r="F49" s="126">
        <v>1</v>
      </c>
      <c r="G49" s="126">
        <v>1</v>
      </c>
      <c r="H49" s="126">
        <v>1</v>
      </c>
      <c r="I49" s="126">
        <v>1</v>
      </c>
      <c r="J49" s="126">
        <v>5</v>
      </c>
      <c r="M49" s="126">
        <v>19</v>
      </c>
      <c r="N49" s="126">
        <v>0</v>
      </c>
      <c r="O49" s="126">
        <v>18</v>
      </c>
      <c r="R49" s="126" t="s">
        <v>567</v>
      </c>
      <c r="S49" s="286">
        <v>37.4</v>
      </c>
      <c r="T49" s="286">
        <v>0</v>
      </c>
      <c r="U49" s="68" t="s">
        <v>633</v>
      </c>
      <c r="V49" s="126">
        <v>1</v>
      </c>
      <c r="Z49" s="126">
        <v>1</v>
      </c>
      <c r="AA49" s="126">
        <v>1</v>
      </c>
      <c r="AB49" s="126">
        <v>2</v>
      </c>
      <c r="AC49" s="126">
        <v>7</v>
      </c>
      <c r="AD49" s="126">
        <v>2026</v>
      </c>
    </row>
    <row r="50" spans="3:30">
      <c r="C50" s="126">
        <v>43</v>
      </c>
      <c r="D50" s="126">
        <v>11</v>
      </c>
      <c r="E50" s="126">
        <v>3</v>
      </c>
      <c r="F50" s="126">
        <v>1</v>
      </c>
      <c r="G50" s="126">
        <v>1</v>
      </c>
      <c r="H50" s="126">
        <v>1</v>
      </c>
      <c r="I50" s="126">
        <v>1</v>
      </c>
      <c r="J50" s="126">
        <v>6</v>
      </c>
      <c r="M50" s="126">
        <v>20</v>
      </c>
      <c r="N50" s="126">
        <v>0</v>
      </c>
      <c r="O50" s="126">
        <v>19</v>
      </c>
      <c r="R50" s="126" t="s">
        <v>567</v>
      </c>
      <c r="S50" s="286">
        <v>28.9</v>
      </c>
      <c r="T50" s="286">
        <v>0</v>
      </c>
      <c r="U50" s="68" t="s">
        <v>636</v>
      </c>
      <c r="V50" s="126">
        <v>1</v>
      </c>
      <c r="Z50" s="126">
        <v>1</v>
      </c>
      <c r="AA50" s="126">
        <v>1</v>
      </c>
      <c r="AB50" s="126">
        <v>2</v>
      </c>
      <c r="AC50" s="126">
        <v>7</v>
      </c>
      <c r="AD50" s="126">
        <v>2026</v>
      </c>
    </row>
    <row r="51" spans="3:30">
      <c r="C51" s="126">
        <v>44</v>
      </c>
      <c r="D51" s="126">
        <v>11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7</v>
      </c>
      <c r="M51" s="126">
        <v>21</v>
      </c>
      <c r="N51" s="126">
        <v>0</v>
      </c>
      <c r="O51" s="126">
        <v>20</v>
      </c>
      <c r="R51" s="126" t="s">
        <v>567</v>
      </c>
      <c r="S51" s="286">
        <v>17.899999999999999</v>
      </c>
      <c r="T51" s="286">
        <v>0</v>
      </c>
      <c r="U51" s="68" t="s">
        <v>639</v>
      </c>
      <c r="V51" s="126">
        <v>1</v>
      </c>
      <c r="Z51" s="126">
        <v>1</v>
      </c>
      <c r="AA51" s="126">
        <v>1</v>
      </c>
      <c r="AB51" s="126">
        <v>2</v>
      </c>
      <c r="AC51" s="126">
        <v>7</v>
      </c>
      <c r="AD51" s="126">
        <v>2026</v>
      </c>
    </row>
    <row r="52" spans="3:30">
      <c r="C52" s="126">
        <v>45</v>
      </c>
      <c r="D52" s="126">
        <v>11</v>
      </c>
      <c r="E52" s="126">
        <v>3</v>
      </c>
      <c r="F52" s="126">
        <v>1</v>
      </c>
      <c r="G52" s="126">
        <v>1</v>
      </c>
      <c r="H52" s="126">
        <v>1</v>
      </c>
      <c r="I52" s="126">
        <v>1</v>
      </c>
      <c r="J52" s="126">
        <v>8</v>
      </c>
      <c r="M52" s="126">
        <v>22</v>
      </c>
      <c r="N52" s="126">
        <v>0</v>
      </c>
      <c r="O52" s="126">
        <v>21</v>
      </c>
      <c r="R52" s="126" t="s">
        <v>567</v>
      </c>
      <c r="S52" s="286">
        <v>13.2</v>
      </c>
      <c r="T52" s="286">
        <v>0</v>
      </c>
      <c r="U52" s="68" t="s">
        <v>642</v>
      </c>
      <c r="V52" s="126">
        <v>1</v>
      </c>
      <c r="Z52" s="126">
        <v>1</v>
      </c>
      <c r="AA52" s="126">
        <v>1</v>
      </c>
      <c r="AB52" s="126">
        <v>2</v>
      </c>
      <c r="AC52" s="126">
        <v>7</v>
      </c>
      <c r="AD52" s="126">
        <v>2026</v>
      </c>
    </row>
    <row r="53" spans="3:30">
      <c r="C53" s="126">
        <v>46</v>
      </c>
      <c r="D53" s="126">
        <v>11</v>
      </c>
      <c r="E53" s="126">
        <v>3</v>
      </c>
      <c r="F53" s="126">
        <v>1</v>
      </c>
      <c r="G53" s="126">
        <v>1</v>
      </c>
      <c r="H53" s="126">
        <v>1</v>
      </c>
      <c r="I53" s="126">
        <v>1</v>
      </c>
      <c r="J53" s="126">
        <v>9</v>
      </c>
      <c r="M53" s="126">
        <v>23</v>
      </c>
      <c r="N53" s="126">
        <v>0</v>
      </c>
      <c r="O53" s="126">
        <v>22</v>
      </c>
      <c r="R53" s="126" t="s">
        <v>567</v>
      </c>
      <c r="S53" s="286">
        <v>11.5</v>
      </c>
      <c r="T53" s="286">
        <v>0</v>
      </c>
      <c r="U53" s="68" t="s">
        <v>645</v>
      </c>
      <c r="V53" s="126">
        <v>1</v>
      </c>
      <c r="Z53" s="126">
        <v>1</v>
      </c>
      <c r="AA53" s="126">
        <v>1</v>
      </c>
      <c r="AB53" s="126">
        <v>2</v>
      </c>
      <c r="AC53" s="126">
        <v>7</v>
      </c>
      <c r="AD53" s="126">
        <v>2026</v>
      </c>
    </row>
    <row r="54" spans="3:30">
      <c r="C54" s="126">
        <v>47</v>
      </c>
      <c r="D54" s="126">
        <v>11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10</v>
      </c>
      <c r="M54" s="126">
        <v>24</v>
      </c>
      <c r="N54" s="126">
        <v>0</v>
      </c>
      <c r="O54" s="126">
        <v>23</v>
      </c>
      <c r="R54" s="126" t="s">
        <v>567</v>
      </c>
      <c r="S54" s="286">
        <v>148.5</v>
      </c>
      <c r="T54" s="286">
        <v>0</v>
      </c>
      <c r="U54" s="68" t="s">
        <v>648</v>
      </c>
      <c r="V54" s="126">
        <v>1</v>
      </c>
      <c r="Z54" s="126">
        <v>1</v>
      </c>
      <c r="AA54" s="126">
        <v>1</v>
      </c>
      <c r="AB54" s="126">
        <v>2</v>
      </c>
      <c r="AC54" s="126">
        <v>7</v>
      </c>
      <c r="AD54" s="126">
        <v>2026</v>
      </c>
    </row>
    <row r="55" spans="3:30">
      <c r="C55" s="126">
        <v>48</v>
      </c>
      <c r="D55" s="126">
        <v>12</v>
      </c>
      <c r="E55" s="126">
        <v>2</v>
      </c>
      <c r="F55" s="126">
        <v>1</v>
      </c>
      <c r="G55" s="126">
        <v>1</v>
      </c>
      <c r="H55" s="126">
        <v>1</v>
      </c>
      <c r="I55" s="126">
        <v>1</v>
      </c>
      <c r="R55" s="126" t="s">
        <v>576</v>
      </c>
      <c r="S55" s="286">
        <v>171</v>
      </c>
      <c r="T55" s="286">
        <v>0</v>
      </c>
      <c r="U55" s="68" t="s">
        <v>651</v>
      </c>
      <c r="V55" s="126">
        <v>1</v>
      </c>
      <c r="Z55" s="126">
        <v>1</v>
      </c>
      <c r="AA55" s="126">
        <v>1</v>
      </c>
      <c r="AB55" s="126">
        <v>2</v>
      </c>
      <c r="AC55" s="126">
        <v>7</v>
      </c>
      <c r="AD55" s="126">
        <v>2026</v>
      </c>
    </row>
    <row r="56" spans="3:30">
      <c r="C56" s="126">
        <v>49</v>
      </c>
      <c r="D56" s="126">
        <v>12</v>
      </c>
      <c r="E56" s="126">
        <v>3</v>
      </c>
      <c r="F56" s="126">
        <v>1</v>
      </c>
      <c r="G56" s="126">
        <v>1</v>
      </c>
      <c r="H56" s="126">
        <v>1</v>
      </c>
      <c r="I56" s="126">
        <v>1</v>
      </c>
      <c r="J56" s="126">
        <v>1</v>
      </c>
      <c r="M56" s="126">
        <v>25</v>
      </c>
      <c r="N56" s="126">
        <v>0</v>
      </c>
      <c r="P56" s="126">
        <v>5</v>
      </c>
      <c r="R56" s="126" t="s">
        <v>576</v>
      </c>
      <c r="S56" s="286">
        <v>0</v>
      </c>
      <c r="T56" s="286">
        <v>54.68</v>
      </c>
      <c r="U56" s="68" t="s">
        <v>652</v>
      </c>
      <c r="V56" s="126">
        <v>1</v>
      </c>
      <c r="Z56" s="126">
        <v>1</v>
      </c>
      <c r="AA56" s="126">
        <v>1</v>
      </c>
      <c r="AB56" s="126">
        <v>2</v>
      </c>
      <c r="AC56" s="126">
        <v>7</v>
      </c>
      <c r="AD56" s="126">
        <v>2026</v>
      </c>
    </row>
    <row r="57" spans="3:30">
      <c r="C57" s="126">
        <v>50</v>
      </c>
      <c r="D57" s="126">
        <v>12</v>
      </c>
      <c r="E57" s="126">
        <v>11</v>
      </c>
      <c r="F57" s="126">
        <v>1</v>
      </c>
      <c r="G57" s="126">
        <v>1</v>
      </c>
      <c r="H57" s="126">
        <v>1</v>
      </c>
      <c r="I57" s="126">
        <v>1</v>
      </c>
      <c r="J57" s="126">
        <v>1</v>
      </c>
      <c r="M57" s="126">
        <v>25</v>
      </c>
      <c r="N57" s="126">
        <v>1</v>
      </c>
      <c r="P57" s="126">
        <v>5</v>
      </c>
      <c r="R57" s="126" t="s">
        <v>576</v>
      </c>
      <c r="S57" s="286">
        <v>54.68</v>
      </c>
      <c r="T57" s="286">
        <v>0</v>
      </c>
      <c r="U57" s="68" t="s">
        <v>653</v>
      </c>
      <c r="V57" s="126">
        <v>1</v>
      </c>
      <c r="Z57" s="126">
        <v>1</v>
      </c>
      <c r="AA57" s="126">
        <v>1</v>
      </c>
      <c r="AB57" s="126">
        <v>2</v>
      </c>
      <c r="AC57" s="126">
        <v>7</v>
      </c>
      <c r="AD57" s="126">
        <v>2026</v>
      </c>
    </row>
    <row r="58" spans="3:30">
      <c r="C58" s="126">
        <v>51</v>
      </c>
      <c r="D58" s="126">
        <v>12</v>
      </c>
      <c r="E58" s="126">
        <v>10</v>
      </c>
      <c r="F58" s="126">
        <v>1</v>
      </c>
      <c r="G58" s="126">
        <v>1</v>
      </c>
      <c r="H58" s="126">
        <v>1</v>
      </c>
      <c r="I58" s="126">
        <v>1</v>
      </c>
      <c r="J58" s="126">
        <v>1</v>
      </c>
      <c r="P58" s="126">
        <v>5</v>
      </c>
      <c r="R58" s="126" t="s">
        <v>576</v>
      </c>
      <c r="S58" s="286">
        <v>0</v>
      </c>
      <c r="T58" s="286">
        <v>57</v>
      </c>
      <c r="U58" s="68" t="s">
        <v>654</v>
      </c>
      <c r="V58" s="126">
        <v>1</v>
      </c>
      <c r="Z58" s="126">
        <v>1</v>
      </c>
      <c r="AA58" s="126">
        <v>1</v>
      </c>
      <c r="AB58" s="126">
        <v>2</v>
      </c>
      <c r="AC58" s="126">
        <v>7</v>
      </c>
      <c r="AD58" s="126">
        <v>2026</v>
      </c>
    </row>
    <row r="59" spans="3:30">
      <c r="C59" s="126">
        <v>52</v>
      </c>
      <c r="D59" s="126">
        <v>12</v>
      </c>
      <c r="E59" s="126">
        <v>3</v>
      </c>
      <c r="F59" s="126">
        <v>1</v>
      </c>
      <c r="G59" s="126">
        <v>1</v>
      </c>
      <c r="H59" s="126">
        <v>1</v>
      </c>
      <c r="I59" s="126">
        <v>1</v>
      </c>
      <c r="J59" s="126">
        <v>2</v>
      </c>
      <c r="M59" s="126">
        <v>26</v>
      </c>
      <c r="N59" s="126">
        <v>0</v>
      </c>
      <c r="P59" s="126">
        <v>6</v>
      </c>
      <c r="R59" s="126" t="s">
        <v>576</v>
      </c>
      <c r="S59" s="286">
        <v>0</v>
      </c>
      <c r="T59" s="286">
        <v>22.64</v>
      </c>
      <c r="U59" s="68" t="s">
        <v>655</v>
      </c>
      <c r="V59" s="126">
        <v>1</v>
      </c>
      <c r="Z59" s="126">
        <v>1</v>
      </c>
      <c r="AA59" s="126">
        <v>1</v>
      </c>
      <c r="AB59" s="126">
        <v>2</v>
      </c>
      <c r="AC59" s="126">
        <v>7</v>
      </c>
      <c r="AD59" s="126">
        <v>2026</v>
      </c>
    </row>
    <row r="60" spans="3:30">
      <c r="C60" s="126">
        <v>53</v>
      </c>
      <c r="D60" s="126">
        <v>12</v>
      </c>
      <c r="E60" s="126">
        <v>11</v>
      </c>
      <c r="F60" s="126">
        <v>1</v>
      </c>
      <c r="G60" s="126">
        <v>1</v>
      </c>
      <c r="H60" s="126">
        <v>1</v>
      </c>
      <c r="I60" s="126">
        <v>1</v>
      </c>
      <c r="J60" s="126">
        <v>2</v>
      </c>
      <c r="M60" s="126">
        <v>26</v>
      </c>
      <c r="N60" s="126">
        <v>1</v>
      </c>
      <c r="P60" s="126">
        <v>6</v>
      </c>
      <c r="R60" s="126" t="s">
        <v>576</v>
      </c>
      <c r="S60" s="286">
        <v>22.64</v>
      </c>
      <c r="T60" s="286">
        <v>0</v>
      </c>
      <c r="U60" s="68" t="s">
        <v>656</v>
      </c>
      <c r="V60" s="126">
        <v>1</v>
      </c>
      <c r="Z60" s="126">
        <v>1</v>
      </c>
      <c r="AA60" s="126">
        <v>1</v>
      </c>
      <c r="AB60" s="126">
        <v>2</v>
      </c>
      <c r="AC60" s="126">
        <v>7</v>
      </c>
      <c r="AD60" s="126">
        <v>2026</v>
      </c>
    </row>
    <row r="61" spans="3:30">
      <c r="C61" s="126">
        <v>54</v>
      </c>
      <c r="D61" s="126">
        <v>12</v>
      </c>
      <c r="E61" s="126">
        <v>10</v>
      </c>
      <c r="F61" s="126">
        <v>1</v>
      </c>
      <c r="G61" s="126">
        <v>1</v>
      </c>
      <c r="H61" s="126">
        <v>1</v>
      </c>
      <c r="I61" s="126">
        <v>1</v>
      </c>
      <c r="J61" s="126">
        <v>2</v>
      </c>
      <c r="P61" s="126">
        <v>6</v>
      </c>
      <c r="R61" s="126" t="s">
        <v>576</v>
      </c>
      <c r="S61" s="286">
        <v>0</v>
      </c>
      <c r="T61" s="286">
        <v>24</v>
      </c>
      <c r="U61" s="68" t="s">
        <v>657</v>
      </c>
      <c r="V61" s="126">
        <v>1</v>
      </c>
      <c r="Z61" s="126">
        <v>1</v>
      </c>
      <c r="AA61" s="126">
        <v>1</v>
      </c>
      <c r="AB61" s="126">
        <v>2</v>
      </c>
      <c r="AC61" s="126">
        <v>7</v>
      </c>
      <c r="AD61" s="126">
        <v>2026</v>
      </c>
    </row>
    <row r="62" spans="3:30">
      <c r="C62" s="126">
        <v>55</v>
      </c>
      <c r="D62" s="126">
        <v>12</v>
      </c>
      <c r="E62" s="126">
        <v>3</v>
      </c>
      <c r="F62" s="126">
        <v>1</v>
      </c>
      <c r="G62" s="126">
        <v>1</v>
      </c>
      <c r="H62" s="126">
        <v>1</v>
      </c>
      <c r="I62" s="126">
        <v>1</v>
      </c>
      <c r="J62" s="126">
        <v>3</v>
      </c>
      <c r="M62" s="126">
        <v>27</v>
      </c>
      <c r="N62" s="126">
        <v>0</v>
      </c>
      <c r="P62" s="126">
        <v>7</v>
      </c>
      <c r="R62" s="126" t="s">
        <v>576</v>
      </c>
      <c r="S62" s="286">
        <v>0</v>
      </c>
      <c r="T62" s="286">
        <v>17.600000000000001</v>
      </c>
      <c r="U62" s="68" t="s">
        <v>658</v>
      </c>
      <c r="V62" s="126">
        <v>1</v>
      </c>
      <c r="Z62" s="126">
        <v>1</v>
      </c>
      <c r="AA62" s="126">
        <v>1</v>
      </c>
      <c r="AB62" s="126">
        <v>2</v>
      </c>
      <c r="AC62" s="126">
        <v>7</v>
      </c>
      <c r="AD62" s="126">
        <v>2026</v>
      </c>
    </row>
    <row r="63" spans="3:30">
      <c r="C63" s="126">
        <v>56</v>
      </c>
      <c r="D63" s="126">
        <v>12</v>
      </c>
      <c r="E63" s="126">
        <v>11</v>
      </c>
      <c r="F63" s="126">
        <v>1</v>
      </c>
      <c r="G63" s="126">
        <v>1</v>
      </c>
      <c r="H63" s="126">
        <v>1</v>
      </c>
      <c r="I63" s="126">
        <v>1</v>
      </c>
      <c r="J63" s="126">
        <v>3</v>
      </c>
      <c r="M63" s="126">
        <v>27</v>
      </c>
      <c r="N63" s="126">
        <v>1</v>
      </c>
      <c r="P63" s="126">
        <v>7</v>
      </c>
      <c r="R63" s="126" t="s">
        <v>576</v>
      </c>
      <c r="S63" s="286">
        <v>17.600000000000001</v>
      </c>
      <c r="T63" s="286">
        <v>0</v>
      </c>
      <c r="U63" s="68" t="s">
        <v>659</v>
      </c>
      <c r="V63" s="126">
        <v>1</v>
      </c>
      <c r="Z63" s="126">
        <v>1</v>
      </c>
      <c r="AA63" s="126">
        <v>1</v>
      </c>
      <c r="AB63" s="126">
        <v>2</v>
      </c>
      <c r="AC63" s="126">
        <v>7</v>
      </c>
      <c r="AD63" s="126">
        <v>2026</v>
      </c>
    </row>
    <row r="64" spans="3:30">
      <c r="C64" s="126">
        <v>57</v>
      </c>
      <c r="D64" s="126">
        <v>12</v>
      </c>
      <c r="E64" s="126">
        <v>10</v>
      </c>
      <c r="F64" s="126">
        <v>1</v>
      </c>
      <c r="G64" s="126">
        <v>1</v>
      </c>
      <c r="H64" s="126">
        <v>1</v>
      </c>
      <c r="I64" s="126">
        <v>1</v>
      </c>
      <c r="J64" s="126">
        <v>3</v>
      </c>
      <c r="P64" s="126">
        <v>7</v>
      </c>
      <c r="R64" s="126" t="s">
        <v>576</v>
      </c>
      <c r="S64" s="286">
        <v>0</v>
      </c>
      <c r="T64" s="286">
        <v>19</v>
      </c>
      <c r="U64" s="68" t="s">
        <v>660</v>
      </c>
      <c r="V64" s="126">
        <v>1</v>
      </c>
      <c r="Z64" s="126">
        <v>1</v>
      </c>
      <c r="AA64" s="126">
        <v>1</v>
      </c>
      <c r="AB64" s="126">
        <v>2</v>
      </c>
      <c r="AC64" s="126">
        <v>7</v>
      </c>
      <c r="AD64" s="126">
        <v>2026</v>
      </c>
    </row>
    <row r="65" spans="3:30">
      <c r="C65" s="126">
        <v>58</v>
      </c>
      <c r="D65" s="126">
        <v>12</v>
      </c>
      <c r="E65" s="126">
        <v>3</v>
      </c>
      <c r="F65" s="126">
        <v>1</v>
      </c>
      <c r="G65" s="126">
        <v>1</v>
      </c>
      <c r="H65" s="126">
        <v>1</v>
      </c>
      <c r="I65" s="126">
        <v>1</v>
      </c>
      <c r="J65" s="126">
        <v>4</v>
      </c>
      <c r="M65" s="126">
        <v>28</v>
      </c>
      <c r="N65" s="126">
        <v>0</v>
      </c>
      <c r="P65" s="126">
        <v>8</v>
      </c>
      <c r="R65" s="126" t="s">
        <v>576</v>
      </c>
      <c r="S65" s="286">
        <v>0</v>
      </c>
      <c r="T65" s="286">
        <v>11.6</v>
      </c>
      <c r="U65" s="68" t="s">
        <v>661</v>
      </c>
      <c r="V65" s="126">
        <v>1</v>
      </c>
      <c r="Z65" s="126">
        <v>1</v>
      </c>
      <c r="AA65" s="126">
        <v>1</v>
      </c>
      <c r="AB65" s="126">
        <v>2</v>
      </c>
      <c r="AC65" s="126">
        <v>7</v>
      </c>
      <c r="AD65" s="126">
        <v>2026</v>
      </c>
    </row>
    <row r="66" spans="3:30">
      <c r="C66" s="126">
        <v>59</v>
      </c>
      <c r="D66" s="126">
        <v>12</v>
      </c>
      <c r="E66" s="126">
        <v>11</v>
      </c>
      <c r="F66" s="126">
        <v>1</v>
      </c>
      <c r="G66" s="126">
        <v>1</v>
      </c>
      <c r="H66" s="126">
        <v>1</v>
      </c>
      <c r="I66" s="126">
        <v>1</v>
      </c>
      <c r="J66" s="126">
        <v>4</v>
      </c>
      <c r="M66" s="126">
        <v>28</v>
      </c>
      <c r="N66" s="126">
        <v>1</v>
      </c>
      <c r="P66" s="126">
        <v>8</v>
      </c>
      <c r="R66" s="126" t="s">
        <v>576</v>
      </c>
      <c r="S66" s="286">
        <v>11.6</v>
      </c>
      <c r="T66" s="286">
        <v>0</v>
      </c>
      <c r="U66" s="68" t="s">
        <v>662</v>
      </c>
      <c r="V66" s="126">
        <v>1</v>
      </c>
      <c r="Z66" s="126">
        <v>1</v>
      </c>
      <c r="AA66" s="126">
        <v>1</v>
      </c>
      <c r="AB66" s="126">
        <v>2</v>
      </c>
      <c r="AC66" s="126">
        <v>7</v>
      </c>
      <c r="AD66" s="126">
        <v>2026</v>
      </c>
    </row>
    <row r="67" spans="3:30">
      <c r="C67" s="126">
        <v>60</v>
      </c>
      <c r="D67" s="126">
        <v>12</v>
      </c>
      <c r="E67" s="126">
        <v>10</v>
      </c>
      <c r="F67" s="126">
        <v>1</v>
      </c>
      <c r="G67" s="126">
        <v>1</v>
      </c>
      <c r="H67" s="126">
        <v>1</v>
      </c>
      <c r="I67" s="126">
        <v>1</v>
      </c>
      <c r="J67" s="126">
        <v>4</v>
      </c>
      <c r="P67" s="126">
        <v>8</v>
      </c>
      <c r="R67" s="126" t="s">
        <v>576</v>
      </c>
      <c r="S67" s="286">
        <v>0</v>
      </c>
      <c r="T67" s="286">
        <v>13</v>
      </c>
      <c r="U67" s="68" t="s">
        <v>663</v>
      </c>
      <c r="V67" s="126">
        <v>1</v>
      </c>
      <c r="Z67" s="126">
        <v>1</v>
      </c>
      <c r="AA67" s="126">
        <v>1</v>
      </c>
      <c r="AB67" s="126">
        <v>2</v>
      </c>
      <c r="AC67" s="126">
        <v>7</v>
      </c>
      <c r="AD67" s="126">
        <v>2026</v>
      </c>
    </row>
    <row r="68" spans="3:30">
      <c r="C68" s="126">
        <v>61</v>
      </c>
      <c r="D68" s="126">
        <v>12</v>
      </c>
      <c r="E68" s="126">
        <v>3</v>
      </c>
      <c r="F68" s="126">
        <v>1</v>
      </c>
      <c r="G68" s="126">
        <v>1</v>
      </c>
      <c r="H68" s="126">
        <v>1</v>
      </c>
      <c r="I68" s="126">
        <v>1</v>
      </c>
      <c r="J68" s="126">
        <v>5</v>
      </c>
      <c r="M68" s="126">
        <v>29</v>
      </c>
      <c r="N68" s="126">
        <v>0</v>
      </c>
      <c r="P68" s="126">
        <v>9</v>
      </c>
      <c r="R68" s="126" t="s">
        <v>576</v>
      </c>
      <c r="S68" s="286">
        <v>0</v>
      </c>
      <c r="T68" s="286">
        <v>7.48</v>
      </c>
      <c r="U68" s="68" t="s">
        <v>664</v>
      </c>
      <c r="V68" s="126">
        <v>1</v>
      </c>
      <c r="Z68" s="126">
        <v>1</v>
      </c>
      <c r="AA68" s="126">
        <v>1</v>
      </c>
      <c r="AB68" s="126">
        <v>2</v>
      </c>
      <c r="AC68" s="126">
        <v>7</v>
      </c>
      <c r="AD68" s="126">
        <v>2026</v>
      </c>
    </row>
    <row r="69" spans="3:30">
      <c r="C69" s="126">
        <v>62</v>
      </c>
      <c r="D69" s="126">
        <v>12</v>
      </c>
      <c r="E69" s="126">
        <v>11</v>
      </c>
      <c r="F69" s="126">
        <v>1</v>
      </c>
      <c r="G69" s="126">
        <v>1</v>
      </c>
      <c r="H69" s="126">
        <v>1</v>
      </c>
      <c r="I69" s="126">
        <v>1</v>
      </c>
      <c r="J69" s="126">
        <v>5</v>
      </c>
      <c r="M69" s="126">
        <v>29</v>
      </c>
      <c r="N69" s="126">
        <v>1</v>
      </c>
      <c r="P69" s="126">
        <v>9</v>
      </c>
      <c r="R69" s="126" t="s">
        <v>576</v>
      </c>
      <c r="S69" s="286">
        <v>7.48</v>
      </c>
      <c r="T69" s="286">
        <v>0</v>
      </c>
      <c r="U69" s="68" t="s">
        <v>665</v>
      </c>
      <c r="V69" s="126">
        <v>1</v>
      </c>
      <c r="Z69" s="126">
        <v>1</v>
      </c>
      <c r="AA69" s="126">
        <v>1</v>
      </c>
      <c r="AB69" s="126">
        <v>2</v>
      </c>
      <c r="AC69" s="126">
        <v>7</v>
      </c>
      <c r="AD69" s="126">
        <v>2026</v>
      </c>
    </row>
    <row r="70" spans="3:30">
      <c r="C70" s="126">
        <v>63</v>
      </c>
      <c r="D70" s="126">
        <v>12</v>
      </c>
      <c r="E70" s="126">
        <v>10</v>
      </c>
      <c r="F70" s="126">
        <v>1</v>
      </c>
      <c r="G70" s="126">
        <v>1</v>
      </c>
      <c r="H70" s="126">
        <v>1</v>
      </c>
      <c r="I70" s="126">
        <v>1</v>
      </c>
      <c r="J70" s="126">
        <v>5</v>
      </c>
      <c r="P70" s="126">
        <v>9</v>
      </c>
      <c r="R70" s="126" t="s">
        <v>576</v>
      </c>
      <c r="S70" s="286">
        <v>0</v>
      </c>
      <c r="T70" s="286">
        <v>8.5</v>
      </c>
      <c r="U70" s="68" t="s">
        <v>666</v>
      </c>
      <c r="V70" s="126">
        <v>1</v>
      </c>
      <c r="Z70" s="126">
        <v>1</v>
      </c>
      <c r="AA70" s="126">
        <v>1</v>
      </c>
      <c r="AB70" s="126">
        <v>2</v>
      </c>
      <c r="AC70" s="126">
        <v>7</v>
      </c>
      <c r="AD70" s="126">
        <v>2026</v>
      </c>
    </row>
    <row r="71" spans="3:30">
      <c r="C71" s="126">
        <v>64</v>
      </c>
      <c r="D71" s="126">
        <v>12</v>
      </c>
      <c r="E71" s="126">
        <v>3</v>
      </c>
      <c r="F71" s="126">
        <v>1</v>
      </c>
      <c r="G71" s="126">
        <v>1</v>
      </c>
      <c r="H71" s="126">
        <v>1</v>
      </c>
      <c r="I71" s="126">
        <v>1</v>
      </c>
      <c r="J71" s="126">
        <v>6</v>
      </c>
      <c r="M71" s="126">
        <v>30</v>
      </c>
      <c r="N71" s="126">
        <v>0</v>
      </c>
      <c r="P71" s="126">
        <v>10</v>
      </c>
      <c r="R71" s="126" t="s">
        <v>576</v>
      </c>
      <c r="S71" s="286">
        <v>0</v>
      </c>
      <c r="T71" s="286">
        <v>5.78</v>
      </c>
      <c r="U71" s="68" t="s">
        <v>667</v>
      </c>
      <c r="V71" s="126">
        <v>1</v>
      </c>
      <c r="Z71" s="126">
        <v>1</v>
      </c>
      <c r="AA71" s="126">
        <v>1</v>
      </c>
      <c r="AB71" s="126">
        <v>2</v>
      </c>
      <c r="AC71" s="126">
        <v>7</v>
      </c>
      <c r="AD71" s="126">
        <v>2026</v>
      </c>
    </row>
    <row r="72" spans="3:30">
      <c r="C72" s="126">
        <v>65</v>
      </c>
      <c r="D72" s="126">
        <v>12</v>
      </c>
      <c r="E72" s="126">
        <v>11</v>
      </c>
      <c r="F72" s="126">
        <v>1</v>
      </c>
      <c r="G72" s="126">
        <v>1</v>
      </c>
      <c r="H72" s="126">
        <v>1</v>
      </c>
      <c r="I72" s="126">
        <v>1</v>
      </c>
      <c r="J72" s="126">
        <v>6</v>
      </c>
      <c r="M72" s="126">
        <v>30</v>
      </c>
      <c r="N72" s="126">
        <v>1</v>
      </c>
      <c r="P72" s="126">
        <v>10</v>
      </c>
      <c r="R72" s="126" t="s">
        <v>576</v>
      </c>
      <c r="S72" s="286">
        <v>5.78</v>
      </c>
      <c r="T72" s="286">
        <v>0</v>
      </c>
      <c r="U72" s="68" t="s">
        <v>668</v>
      </c>
      <c r="V72" s="126">
        <v>1</v>
      </c>
      <c r="Z72" s="126">
        <v>1</v>
      </c>
      <c r="AA72" s="126">
        <v>1</v>
      </c>
      <c r="AB72" s="126">
        <v>2</v>
      </c>
      <c r="AC72" s="126">
        <v>7</v>
      </c>
      <c r="AD72" s="126">
        <v>2026</v>
      </c>
    </row>
    <row r="73" spans="3:30">
      <c r="C73" s="126">
        <v>66</v>
      </c>
      <c r="D73" s="126">
        <v>12</v>
      </c>
      <c r="E73" s="126">
        <v>10</v>
      </c>
      <c r="F73" s="126">
        <v>1</v>
      </c>
      <c r="G73" s="126">
        <v>1</v>
      </c>
      <c r="H73" s="126">
        <v>1</v>
      </c>
      <c r="I73" s="126">
        <v>1</v>
      </c>
      <c r="J73" s="126">
        <v>6</v>
      </c>
      <c r="P73" s="126">
        <v>10</v>
      </c>
      <c r="R73" s="126" t="s">
        <v>576</v>
      </c>
      <c r="S73" s="286">
        <v>0</v>
      </c>
      <c r="T73" s="286">
        <v>7</v>
      </c>
      <c r="U73" s="68" t="s">
        <v>669</v>
      </c>
      <c r="V73" s="126">
        <v>1</v>
      </c>
      <c r="Z73" s="126">
        <v>1</v>
      </c>
      <c r="AA73" s="126">
        <v>1</v>
      </c>
      <c r="AB73" s="126">
        <v>2</v>
      </c>
      <c r="AC73" s="126">
        <v>7</v>
      </c>
      <c r="AD73" s="126">
        <v>2026</v>
      </c>
    </row>
    <row r="74" spans="3:30">
      <c r="C74" s="126">
        <v>67</v>
      </c>
      <c r="D74" s="126">
        <v>12</v>
      </c>
      <c r="E74" s="126">
        <v>3</v>
      </c>
      <c r="F74" s="126">
        <v>1</v>
      </c>
      <c r="G74" s="126">
        <v>1</v>
      </c>
      <c r="H74" s="126">
        <v>1</v>
      </c>
      <c r="I74" s="126">
        <v>1</v>
      </c>
      <c r="J74" s="126">
        <v>7</v>
      </c>
      <c r="M74" s="126">
        <v>31</v>
      </c>
      <c r="N74" s="126">
        <v>0</v>
      </c>
      <c r="P74" s="126">
        <v>11</v>
      </c>
      <c r="R74" s="126" t="s">
        <v>576</v>
      </c>
      <c r="S74" s="286">
        <v>0</v>
      </c>
      <c r="T74" s="286">
        <v>3.58</v>
      </c>
      <c r="U74" s="68" t="s">
        <v>670</v>
      </c>
      <c r="V74" s="126">
        <v>1</v>
      </c>
      <c r="Z74" s="126">
        <v>1</v>
      </c>
      <c r="AA74" s="126">
        <v>1</v>
      </c>
      <c r="AB74" s="126">
        <v>2</v>
      </c>
      <c r="AC74" s="126">
        <v>7</v>
      </c>
      <c r="AD74" s="126">
        <v>2026</v>
      </c>
    </row>
    <row r="75" spans="3:30">
      <c r="C75" s="126">
        <v>68</v>
      </c>
      <c r="D75" s="126">
        <v>12</v>
      </c>
      <c r="E75" s="126">
        <v>11</v>
      </c>
      <c r="F75" s="126">
        <v>1</v>
      </c>
      <c r="G75" s="126">
        <v>1</v>
      </c>
      <c r="H75" s="126">
        <v>1</v>
      </c>
      <c r="I75" s="126">
        <v>1</v>
      </c>
      <c r="J75" s="126">
        <v>7</v>
      </c>
      <c r="M75" s="126">
        <v>31</v>
      </c>
      <c r="N75" s="126">
        <v>1</v>
      </c>
      <c r="P75" s="126">
        <v>11</v>
      </c>
      <c r="R75" s="126" t="s">
        <v>576</v>
      </c>
      <c r="S75" s="286">
        <v>3.58</v>
      </c>
      <c r="T75" s="286">
        <v>0</v>
      </c>
      <c r="U75" s="68" t="s">
        <v>671</v>
      </c>
      <c r="V75" s="126">
        <v>1</v>
      </c>
      <c r="Z75" s="126">
        <v>1</v>
      </c>
      <c r="AA75" s="126">
        <v>1</v>
      </c>
      <c r="AB75" s="126">
        <v>2</v>
      </c>
      <c r="AC75" s="126">
        <v>7</v>
      </c>
      <c r="AD75" s="126">
        <v>2026</v>
      </c>
    </row>
    <row r="76" spans="3:30">
      <c r="C76" s="126">
        <v>69</v>
      </c>
      <c r="D76" s="126">
        <v>12</v>
      </c>
      <c r="E76" s="126">
        <v>10</v>
      </c>
      <c r="F76" s="126">
        <v>1</v>
      </c>
      <c r="G76" s="126">
        <v>1</v>
      </c>
      <c r="H76" s="126">
        <v>1</v>
      </c>
      <c r="I76" s="126">
        <v>1</v>
      </c>
      <c r="J76" s="126">
        <v>7</v>
      </c>
      <c r="P76" s="126">
        <v>11</v>
      </c>
      <c r="R76" s="126" t="s">
        <v>576</v>
      </c>
      <c r="S76" s="286">
        <v>0</v>
      </c>
      <c r="T76" s="286">
        <v>5</v>
      </c>
      <c r="U76" s="68" t="s">
        <v>672</v>
      </c>
      <c r="V76" s="126">
        <v>1</v>
      </c>
      <c r="Z76" s="126">
        <v>1</v>
      </c>
      <c r="AA76" s="126">
        <v>1</v>
      </c>
      <c r="AB76" s="126">
        <v>2</v>
      </c>
      <c r="AC76" s="126">
        <v>7</v>
      </c>
      <c r="AD76" s="126">
        <v>2026</v>
      </c>
    </row>
    <row r="77" spans="3:30">
      <c r="C77" s="126">
        <v>70</v>
      </c>
      <c r="D77" s="126">
        <v>12</v>
      </c>
      <c r="E77" s="126">
        <v>3</v>
      </c>
      <c r="F77" s="126">
        <v>1</v>
      </c>
      <c r="G77" s="126">
        <v>1</v>
      </c>
      <c r="H77" s="126">
        <v>1</v>
      </c>
      <c r="I77" s="126">
        <v>1</v>
      </c>
      <c r="J77" s="126">
        <v>8</v>
      </c>
      <c r="M77" s="126">
        <v>32</v>
      </c>
      <c r="N77" s="126">
        <v>0</v>
      </c>
      <c r="P77" s="126">
        <v>12</v>
      </c>
      <c r="R77" s="126" t="s">
        <v>576</v>
      </c>
      <c r="S77" s="286">
        <v>0</v>
      </c>
      <c r="T77" s="286">
        <v>2.64</v>
      </c>
      <c r="U77" s="68" t="s">
        <v>673</v>
      </c>
      <c r="V77" s="126">
        <v>1</v>
      </c>
      <c r="Z77" s="126">
        <v>1</v>
      </c>
      <c r="AA77" s="126">
        <v>1</v>
      </c>
      <c r="AB77" s="126">
        <v>2</v>
      </c>
      <c r="AC77" s="126">
        <v>7</v>
      </c>
      <c r="AD77" s="126">
        <v>2026</v>
      </c>
    </row>
    <row r="78" spans="3:30">
      <c r="C78" s="126">
        <v>71</v>
      </c>
      <c r="D78" s="126">
        <v>12</v>
      </c>
      <c r="E78" s="126">
        <v>11</v>
      </c>
      <c r="F78" s="126">
        <v>1</v>
      </c>
      <c r="G78" s="126">
        <v>1</v>
      </c>
      <c r="H78" s="126">
        <v>1</v>
      </c>
      <c r="I78" s="126">
        <v>1</v>
      </c>
      <c r="J78" s="126">
        <v>8</v>
      </c>
      <c r="M78" s="126">
        <v>32</v>
      </c>
      <c r="N78" s="126">
        <v>1</v>
      </c>
      <c r="P78" s="126">
        <v>12</v>
      </c>
      <c r="R78" s="126" t="s">
        <v>576</v>
      </c>
      <c r="S78" s="286">
        <v>2.64</v>
      </c>
      <c r="T78" s="286">
        <v>0</v>
      </c>
      <c r="U78" s="68" t="s">
        <v>674</v>
      </c>
      <c r="V78" s="126">
        <v>1</v>
      </c>
      <c r="Z78" s="126">
        <v>1</v>
      </c>
      <c r="AA78" s="126">
        <v>1</v>
      </c>
      <c r="AB78" s="126">
        <v>2</v>
      </c>
      <c r="AC78" s="126">
        <v>7</v>
      </c>
      <c r="AD78" s="126">
        <v>2026</v>
      </c>
    </row>
    <row r="79" spans="3:30">
      <c r="C79" s="126">
        <v>72</v>
      </c>
      <c r="D79" s="126">
        <v>12</v>
      </c>
      <c r="E79" s="126">
        <v>10</v>
      </c>
      <c r="F79" s="126">
        <v>1</v>
      </c>
      <c r="G79" s="126">
        <v>1</v>
      </c>
      <c r="H79" s="126">
        <v>1</v>
      </c>
      <c r="I79" s="126">
        <v>1</v>
      </c>
      <c r="J79" s="126">
        <v>8</v>
      </c>
      <c r="P79" s="126">
        <v>12</v>
      </c>
      <c r="R79" s="126" t="s">
        <v>576</v>
      </c>
      <c r="S79" s="286">
        <v>0</v>
      </c>
      <c r="T79" s="286">
        <v>3.5</v>
      </c>
      <c r="U79" s="68" t="s">
        <v>675</v>
      </c>
      <c r="V79" s="126">
        <v>1</v>
      </c>
      <c r="Z79" s="126">
        <v>1</v>
      </c>
      <c r="AA79" s="126">
        <v>1</v>
      </c>
      <c r="AB79" s="126">
        <v>2</v>
      </c>
      <c r="AC79" s="126">
        <v>7</v>
      </c>
      <c r="AD79" s="126">
        <v>2026</v>
      </c>
    </row>
    <row r="80" spans="3:30">
      <c r="C80" s="126">
        <v>73</v>
      </c>
      <c r="D80" s="126">
        <v>12</v>
      </c>
      <c r="E80" s="126">
        <v>3</v>
      </c>
      <c r="F80" s="126">
        <v>1</v>
      </c>
      <c r="G80" s="126">
        <v>1</v>
      </c>
      <c r="H80" s="126">
        <v>1</v>
      </c>
      <c r="I80" s="126">
        <v>1</v>
      </c>
      <c r="J80" s="126">
        <v>9</v>
      </c>
      <c r="M80" s="126">
        <v>33</v>
      </c>
      <c r="N80" s="126">
        <v>0</v>
      </c>
      <c r="P80" s="126">
        <v>13</v>
      </c>
      <c r="R80" s="126" t="s">
        <v>576</v>
      </c>
      <c r="S80" s="286">
        <v>0</v>
      </c>
      <c r="T80" s="286">
        <v>2.2999999999999998</v>
      </c>
      <c r="U80" s="68" t="s">
        <v>676</v>
      </c>
      <c r="V80" s="126">
        <v>1</v>
      </c>
      <c r="Z80" s="126">
        <v>1</v>
      </c>
      <c r="AA80" s="126">
        <v>1</v>
      </c>
      <c r="AB80" s="126">
        <v>2</v>
      </c>
      <c r="AC80" s="126">
        <v>7</v>
      </c>
      <c r="AD80" s="126">
        <v>2026</v>
      </c>
    </row>
    <row r="81" spans="3:30">
      <c r="C81" s="126">
        <v>74</v>
      </c>
      <c r="D81" s="126">
        <v>12</v>
      </c>
      <c r="E81" s="126">
        <v>11</v>
      </c>
      <c r="F81" s="126">
        <v>1</v>
      </c>
      <c r="G81" s="126">
        <v>1</v>
      </c>
      <c r="H81" s="126">
        <v>1</v>
      </c>
      <c r="I81" s="126">
        <v>1</v>
      </c>
      <c r="J81" s="126">
        <v>9</v>
      </c>
      <c r="M81" s="126">
        <v>33</v>
      </c>
      <c r="N81" s="126">
        <v>1</v>
      </c>
      <c r="P81" s="126">
        <v>13</v>
      </c>
      <c r="R81" s="126" t="s">
        <v>576</v>
      </c>
      <c r="S81" s="286">
        <v>2.2999999999999998</v>
      </c>
      <c r="T81" s="286">
        <v>0</v>
      </c>
      <c r="U81" s="68" t="s">
        <v>677</v>
      </c>
      <c r="V81" s="126">
        <v>1</v>
      </c>
      <c r="Z81" s="126">
        <v>1</v>
      </c>
      <c r="AA81" s="126">
        <v>1</v>
      </c>
      <c r="AB81" s="126">
        <v>2</v>
      </c>
      <c r="AC81" s="126">
        <v>7</v>
      </c>
      <c r="AD81" s="126">
        <v>2026</v>
      </c>
    </row>
    <row r="82" spans="3:30">
      <c r="C82" s="126">
        <v>75</v>
      </c>
      <c r="D82" s="126">
        <v>12</v>
      </c>
      <c r="E82" s="126">
        <v>10</v>
      </c>
      <c r="F82" s="126">
        <v>1</v>
      </c>
      <c r="G82" s="126">
        <v>1</v>
      </c>
      <c r="H82" s="126">
        <v>1</v>
      </c>
      <c r="I82" s="126">
        <v>1</v>
      </c>
      <c r="J82" s="126">
        <v>9</v>
      </c>
      <c r="P82" s="126">
        <v>13</v>
      </c>
      <c r="R82" s="126" t="s">
        <v>576</v>
      </c>
      <c r="S82" s="286">
        <v>0</v>
      </c>
      <c r="T82" s="286">
        <v>3</v>
      </c>
      <c r="U82" s="68" t="s">
        <v>678</v>
      </c>
      <c r="V82" s="126">
        <v>1</v>
      </c>
      <c r="Z82" s="126">
        <v>1</v>
      </c>
      <c r="AA82" s="126">
        <v>1</v>
      </c>
      <c r="AB82" s="126">
        <v>2</v>
      </c>
      <c r="AC82" s="126">
        <v>7</v>
      </c>
      <c r="AD82" s="126">
        <v>2026</v>
      </c>
    </row>
    <row r="83" spans="3:30">
      <c r="C83" s="126">
        <v>76</v>
      </c>
      <c r="D83" s="126">
        <v>12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10</v>
      </c>
      <c r="M83" s="126">
        <v>34</v>
      </c>
      <c r="N83" s="126">
        <v>0</v>
      </c>
      <c r="P83" s="126">
        <v>14</v>
      </c>
      <c r="R83" s="126" t="s">
        <v>576</v>
      </c>
      <c r="S83" s="286">
        <v>0</v>
      </c>
      <c r="T83" s="286">
        <v>29.7</v>
      </c>
      <c r="U83" s="68" t="s">
        <v>679</v>
      </c>
      <c r="V83" s="126">
        <v>1</v>
      </c>
      <c r="Z83" s="126">
        <v>1</v>
      </c>
      <c r="AA83" s="126">
        <v>1</v>
      </c>
      <c r="AB83" s="126">
        <v>2</v>
      </c>
      <c r="AC83" s="126">
        <v>7</v>
      </c>
      <c r="AD83" s="126">
        <v>2026</v>
      </c>
    </row>
    <row r="84" spans="3:30">
      <c r="C84" s="126">
        <v>77</v>
      </c>
      <c r="D84" s="126">
        <v>12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10</v>
      </c>
      <c r="M84" s="126">
        <v>34</v>
      </c>
      <c r="N84" s="126">
        <v>1</v>
      </c>
      <c r="P84" s="126">
        <v>14</v>
      </c>
      <c r="R84" s="126" t="s">
        <v>576</v>
      </c>
      <c r="S84" s="286">
        <v>29.7</v>
      </c>
      <c r="T84" s="286">
        <v>0</v>
      </c>
      <c r="U84" s="68" t="s">
        <v>680</v>
      </c>
      <c r="V84" s="126">
        <v>1</v>
      </c>
      <c r="Z84" s="126">
        <v>1</v>
      </c>
      <c r="AA84" s="126">
        <v>1</v>
      </c>
      <c r="AB84" s="126">
        <v>2</v>
      </c>
      <c r="AC84" s="126">
        <v>7</v>
      </c>
      <c r="AD84" s="126">
        <v>2026</v>
      </c>
    </row>
    <row r="85" spans="3:30">
      <c r="C85" s="126">
        <v>78</v>
      </c>
      <c r="D85" s="126">
        <v>12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10</v>
      </c>
      <c r="P85" s="126">
        <v>14</v>
      </c>
      <c r="R85" s="126" t="s">
        <v>576</v>
      </c>
      <c r="S85" s="286">
        <v>0</v>
      </c>
      <c r="T85" s="286">
        <v>31</v>
      </c>
      <c r="U85" s="68" t="s">
        <v>681</v>
      </c>
      <c r="V85" s="126">
        <v>1</v>
      </c>
      <c r="Z85" s="126">
        <v>1</v>
      </c>
      <c r="AA85" s="126">
        <v>1</v>
      </c>
      <c r="AB85" s="126">
        <v>2</v>
      </c>
      <c r="AC85" s="126">
        <v>7</v>
      </c>
      <c r="AD85" s="126">
        <v>2026</v>
      </c>
    </row>
    <row r="111" spans="21:21">
      <c r="U111" s="289"/>
    </row>
  </sheetData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894"/>
  <sheetViews>
    <sheetView showGridLines="0" topLeftCell="A3" zoomScale="80" zoomScaleNormal="80" zoomScaleSheetLayoutView="96" workbookViewId="0">
      <pane ySplit="5" topLeftCell="A8" activePane="bottomLeft" state="frozen"/>
      <selection activeCell="L28" sqref="L28"/>
      <selection pane="bottomLeft" activeCell="R19" sqref="R19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87" customWidth="1"/>
    <col min="4" max="4" width="19.42578125" style="187" customWidth="1"/>
    <col min="5" max="5" width="18.28515625" style="188" customWidth="1"/>
    <col min="6" max="6" width="14" style="189" customWidth="1"/>
    <col min="7" max="7" width="19.140625" style="187" customWidth="1"/>
    <col min="8" max="16" width="4.85546875" style="187" bestFit="1" customWidth="1"/>
    <col min="17" max="17" width="27" style="187" customWidth="1"/>
    <col min="18" max="18" width="34.5703125" style="370" bestFit="1" customWidth="1"/>
    <col min="19" max="19" width="33.140625" style="371" bestFit="1" customWidth="1"/>
    <col min="20" max="20" width="9.85546875" style="194" customWidth="1"/>
    <col min="21" max="24" width="5.5703125" style="224" bestFit="1" customWidth="1"/>
    <col min="25" max="25" width="33" style="223" customWidth="1"/>
    <col min="26" max="26" width="16.5703125" style="223" customWidth="1"/>
    <col min="27" max="27" width="14.7109375" style="210" bestFit="1" customWidth="1"/>
    <col min="28" max="28" width="19.42578125" style="210" customWidth="1"/>
    <col min="29" max="29" width="15" style="221" bestFit="1" customWidth="1"/>
    <col min="30" max="30" width="9.85546875" style="209" bestFit="1" customWidth="1"/>
    <col min="31" max="31" width="15.5703125" style="190" customWidth="1"/>
    <col min="32" max="32" width="18.7109375" style="190" customWidth="1"/>
    <col min="33" max="33" width="12.85546875" style="191" customWidth="1"/>
    <col min="34" max="34" width="9" style="187" customWidth="1"/>
    <col min="35" max="35" width="11.140625" style="187" customWidth="1"/>
    <col min="36" max="36" width="16.140625" style="141"/>
    <col min="37" max="37" width="13.7109375" bestFit="1" customWidth="1"/>
  </cols>
  <sheetData>
    <row r="1" spans="3:42" ht="24" hidden="1" customHeight="1">
      <c r="C1" s="126"/>
      <c r="D1" s="126"/>
      <c r="E1" s="141"/>
      <c r="F1" s="168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5"/>
      <c r="S1" s="279"/>
      <c r="T1" s="145"/>
      <c r="U1" s="131"/>
      <c r="V1" s="131"/>
      <c r="W1" s="131"/>
      <c r="X1" s="131"/>
      <c r="Y1" s="280"/>
      <c r="Z1" s="280"/>
      <c r="AA1" s="281"/>
      <c r="AB1" s="281"/>
      <c r="AC1" s="282"/>
      <c r="AD1" s="283"/>
      <c r="AE1" s="204"/>
      <c r="AF1" s="204"/>
      <c r="AG1" s="143"/>
      <c r="AH1" s="126"/>
      <c r="AI1" s="126"/>
    </row>
    <row r="2" spans="3:42" ht="24" hidden="1" customHeight="1">
      <c r="C2" s="126"/>
      <c r="D2" s="126"/>
      <c r="E2" s="141"/>
      <c r="F2" s="168"/>
      <c r="G2" s="261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5"/>
      <c r="S2" s="279"/>
      <c r="T2" s="145"/>
      <c r="U2" s="131"/>
      <c r="V2" s="131"/>
      <c r="W2" s="131"/>
      <c r="X2" s="131"/>
      <c r="Y2" s="280"/>
      <c r="Z2" s="280"/>
      <c r="AA2" s="281"/>
      <c r="AB2" s="281"/>
      <c r="AC2" s="282"/>
      <c r="AD2" s="283"/>
      <c r="AE2" s="204"/>
      <c r="AF2" s="204"/>
      <c r="AG2" s="143"/>
      <c r="AH2" s="126"/>
      <c r="AI2" s="126"/>
    </row>
    <row r="3" spans="3:42" ht="45" thickBot="1">
      <c r="C3" s="257" t="s">
        <v>469</v>
      </c>
      <c r="D3" s="257"/>
      <c r="E3" s="248"/>
      <c r="F3" s="251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5"/>
      <c r="Z3" s="245"/>
      <c r="AA3" s="244"/>
      <c r="AB3" s="244"/>
      <c r="AC3" s="245"/>
      <c r="AD3" s="246"/>
      <c r="AE3" s="195"/>
      <c r="AF3" s="195"/>
      <c r="AG3"/>
      <c r="AH3"/>
      <c r="AI3" s="13"/>
      <c r="AJ3" s="202" t="s">
        <v>6</v>
      </c>
      <c r="AK3" s="144">
        <f>IF(AJ3&lt;&gt;"",MID(AJ3,1,2)*1,"")</f>
        <v>3</v>
      </c>
      <c r="AL3" s="166" t="s">
        <v>282</v>
      </c>
      <c r="AM3" s="359" t="s">
        <v>218</v>
      </c>
      <c r="AN3" s="359"/>
    </row>
    <row r="4" spans="3:42" ht="24" customHeight="1">
      <c r="C4" s="241"/>
      <c r="D4" s="241"/>
      <c r="E4" s="242"/>
      <c r="F4" s="25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  <c r="T4" s="242"/>
      <c r="U4" s="242"/>
      <c r="V4" s="242"/>
      <c r="W4" s="242"/>
      <c r="X4" s="242"/>
      <c r="Y4" s="243"/>
      <c r="Z4" s="243"/>
      <c r="AA4" s="242"/>
      <c r="AB4" s="227">
        <v>1</v>
      </c>
      <c r="AC4" s="247">
        <v>3</v>
      </c>
      <c r="AD4" s="227">
        <v>2</v>
      </c>
      <c r="AE4" s="204"/>
      <c r="AF4" s="204"/>
      <c r="AG4"/>
      <c r="AH4"/>
      <c r="AI4" s="13"/>
      <c r="AJ4" s="181" t="str">
        <f>"ប្រចាំឆ្នាំ "&amp;MID(AJ3,4,30)</f>
        <v>ប្រចាំឆ្នាំ មីនា</v>
      </c>
      <c r="AK4" s="133" t="str">
        <f>IF(AJ3="","","01/"&amp;MID(AJ3,1,2)&amp;"/"&amp;AL3)</f>
        <v>01/03/2026</v>
      </c>
      <c r="AL4" s="178">
        <f>IF(AJ3="","",EOMONTH(AK4,0))</f>
        <v>46112</v>
      </c>
      <c r="AM4" s="179" t="s">
        <v>218</v>
      </c>
      <c r="AN4" s="180"/>
      <c r="AO4" s="81"/>
    </row>
    <row r="5" spans="3:42" ht="23.25" customHeight="1">
      <c r="C5" s="208"/>
      <c r="D5" s="208"/>
      <c r="E5" s="193"/>
      <c r="F5" s="253"/>
      <c r="G5" s="215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373"/>
      <c r="S5" s="373"/>
      <c r="T5" s="373"/>
      <c r="U5" s="215"/>
      <c r="V5" s="215"/>
      <c r="W5" s="215"/>
      <c r="X5" s="215"/>
      <c r="Y5" s="222"/>
      <c r="Z5" s="222"/>
      <c r="AA5" s="222"/>
      <c r="AB5" s="165" t="s">
        <v>127</v>
      </c>
      <c r="AC5" s="220" t="s">
        <v>129</v>
      </c>
      <c r="AD5" s="175" t="s">
        <v>128</v>
      </c>
      <c r="AE5" s="204"/>
      <c r="AF5" s="204"/>
      <c r="AG5"/>
      <c r="AH5"/>
      <c r="AI5" s="13"/>
      <c r="AJ5" s="192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134"/>
      <c r="AL5" s="134"/>
      <c r="AM5" s="177" t="s">
        <v>217</v>
      </c>
      <c r="AN5" s="81"/>
      <c r="AO5" s="81"/>
      <c r="AP5" s="176"/>
    </row>
    <row r="6" spans="3:42" ht="16.5" customHeight="1">
      <c r="C6" s="337"/>
      <c r="D6" s="337"/>
      <c r="E6" s="337"/>
      <c r="F6" s="337"/>
      <c r="G6" s="337"/>
      <c r="H6" s="339"/>
      <c r="I6" s="339"/>
      <c r="J6" s="339"/>
      <c r="K6" s="339"/>
      <c r="L6" s="339"/>
      <c r="M6" s="339"/>
      <c r="N6" s="339"/>
      <c r="O6" s="339"/>
      <c r="P6" s="339"/>
      <c r="Q6" s="337"/>
      <c r="R6" s="337"/>
      <c r="S6" s="337"/>
      <c r="T6" s="337"/>
      <c r="U6" s="337"/>
      <c r="V6" s="337"/>
      <c r="W6" s="337"/>
      <c r="X6" s="337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/>
      <c r="AL6" s="151"/>
      <c r="AN6" s="176"/>
      <c r="AO6" s="176"/>
      <c r="AP6" s="176"/>
    </row>
    <row r="7" spans="3:42" s="146" customFormat="1" ht="91.5">
      <c r="C7" s="338" t="s">
        <v>139</v>
      </c>
      <c r="D7" s="338" t="s">
        <v>484</v>
      </c>
      <c r="E7" s="338" t="s">
        <v>29</v>
      </c>
      <c r="F7" s="338" t="s">
        <v>40</v>
      </c>
      <c r="G7" s="338" t="s">
        <v>286</v>
      </c>
      <c r="H7" s="340" t="s">
        <v>102</v>
      </c>
      <c r="I7" s="340" t="s">
        <v>292</v>
      </c>
      <c r="J7" s="340" t="s">
        <v>110</v>
      </c>
      <c r="K7" s="340" t="s">
        <v>103</v>
      </c>
      <c r="L7" s="340" t="s">
        <v>106</v>
      </c>
      <c r="M7" s="340" t="s">
        <v>104</v>
      </c>
      <c r="N7" s="340" t="s">
        <v>100</v>
      </c>
      <c r="O7" s="340" t="s">
        <v>396</v>
      </c>
      <c r="P7" s="340" t="s">
        <v>219</v>
      </c>
      <c r="Q7" s="338" t="s">
        <v>398</v>
      </c>
      <c r="R7" s="338" t="s">
        <v>105</v>
      </c>
      <c r="S7" s="338" t="s">
        <v>97</v>
      </c>
      <c r="T7" s="341" t="s">
        <v>3</v>
      </c>
      <c r="U7" s="341" t="s">
        <v>376</v>
      </c>
      <c r="V7" s="341" t="s">
        <v>232</v>
      </c>
      <c r="W7" s="341" t="s">
        <v>284</v>
      </c>
      <c r="X7" s="341" t="s">
        <v>234</v>
      </c>
      <c r="Y7" s="343" t="s">
        <v>30</v>
      </c>
      <c r="Z7" s="343" t="s">
        <v>285</v>
      </c>
      <c r="AA7" s="343" t="s">
        <v>31</v>
      </c>
      <c r="AB7" s="343" t="s">
        <v>206</v>
      </c>
      <c r="AC7" s="343" t="s">
        <v>32</v>
      </c>
      <c r="AD7" s="343" t="s">
        <v>98</v>
      </c>
      <c r="AE7" s="343" t="s">
        <v>28</v>
      </c>
      <c r="AF7" s="343" t="s">
        <v>291</v>
      </c>
      <c r="AG7" s="343" t="s">
        <v>26</v>
      </c>
      <c r="AH7" s="343" t="s">
        <v>2</v>
      </c>
      <c r="AI7" s="343" t="s">
        <v>121</v>
      </c>
      <c r="AN7" s="162"/>
      <c r="AO7" s="162"/>
      <c r="AP7" s="162"/>
    </row>
    <row r="8" spans="3:42" ht="24" customHeight="1">
      <c r="C8" s="336">
        <v>1</v>
      </c>
      <c r="D8" s="336" t="s">
        <v>572</v>
      </c>
      <c r="E8" s="188" t="s">
        <v>573</v>
      </c>
      <c r="F8" s="374">
        <v>46213</v>
      </c>
      <c r="G8" s="189">
        <v>46215.684999999998</v>
      </c>
      <c r="H8" s="336">
        <v>1</v>
      </c>
      <c r="I8" s="187">
        <v>1</v>
      </c>
      <c r="J8" s="187">
        <v>1</v>
      </c>
      <c r="K8" s="187">
        <v>2</v>
      </c>
      <c r="L8" s="187">
        <v>1</v>
      </c>
      <c r="M8" s="187">
        <v>1</v>
      </c>
      <c r="N8" s="187">
        <v>1</v>
      </c>
      <c r="O8" s="187">
        <v>1</v>
      </c>
      <c r="P8" s="187">
        <v>1</v>
      </c>
      <c r="Q8" s="336">
        <v>2</v>
      </c>
      <c r="R8" s="370" t="s">
        <v>574</v>
      </c>
      <c r="S8" s="371" t="s">
        <v>575</v>
      </c>
      <c r="T8" s="375">
        <v>4024</v>
      </c>
      <c r="V8" s="224">
        <v>0</v>
      </c>
      <c r="Y8" s="376">
        <v>420</v>
      </c>
      <c r="Z8" s="223">
        <v>0</v>
      </c>
      <c r="AA8" s="377">
        <v>0</v>
      </c>
      <c r="AB8" s="377">
        <v>0</v>
      </c>
      <c r="AC8" s="378">
        <v>420</v>
      </c>
      <c r="AD8" s="209">
        <v>1</v>
      </c>
      <c r="AE8" s="188"/>
      <c r="AF8" s="190">
        <v>1</v>
      </c>
      <c r="AG8" s="191">
        <v>2</v>
      </c>
      <c r="AH8" s="187">
        <v>7</v>
      </c>
      <c r="AI8" s="187">
        <v>2026</v>
      </c>
    </row>
    <row r="9" spans="3:42" ht="24" customHeight="1">
      <c r="C9" s="187">
        <v>2</v>
      </c>
      <c r="D9" s="336" t="s">
        <v>595</v>
      </c>
      <c r="E9" s="188" t="s">
        <v>583</v>
      </c>
      <c r="F9" s="374">
        <v>46215</v>
      </c>
      <c r="G9" s="189">
        <v>46215.687962962962</v>
      </c>
      <c r="H9" s="187">
        <v>1</v>
      </c>
      <c r="I9" s="187">
        <v>1</v>
      </c>
      <c r="J9" s="187">
        <v>1</v>
      </c>
      <c r="K9" s="187">
        <v>2</v>
      </c>
      <c r="L9" s="187">
        <v>1</v>
      </c>
      <c r="M9" s="187">
        <v>1</v>
      </c>
      <c r="N9" s="187">
        <v>1</v>
      </c>
      <c r="O9" s="187">
        <v>1</v>
      </c>
      <c r="P9" s="187">
        <v>1</v>
      </c>
      <c r="Q9" s="187">
        <v>2</v>
      </c>
      <c r="R9" s="370" t="s">
        <v>574</v>
      </c>
      <c r="S9" s="371" t="s">
        <v>575</v>
      </c>
      <c r="T9" s="375">
        <v>4024</v>
      </c>
      <c r="V9" s="224">
        <v>0</v>
      </c>
      <c r="Y9" s="223">
        <v>1260</v>
      </c>
      <c r="Z9" s="223">
        <v>0</v>
      </c>
      <c r="AA9" s="210">
        <v>0</v>
      </c>
      <c r="AB9" s="210">
        <v>0</v>
      </c>
      <c r="AC9" s="221">
        <v>1260</v>
      </c>
      <c r="AD9" s="209">
        <v>1</v>
      </c>
      <c r="AE9" s="188"/>
      <c r="AF9" s="190">
        <v>1</v>
      </c>
      <c r="AG9" s="191">
        <v>2</v>
      </c>
      <c r="AH9" s="187">
        <v>7</v>
      </c>
      <c r="AI9" s="187">
        <v>2026</v>
      </c>
    </row>
    <row r="10" spans="3:42" ht="24" customHeight="1">
      <c r="C10" s="187">
        <v>3</v>
      </c>
      <c r="D10" s="336" t="s">
        <v>595</v>
      </c>
      <c r="E10" s="188" t="s">
        <v>590</v>
      </c>
      <c r="F10" s="374">
        <v>46215</v>
      </c>
      <c r="G10" s="189">
        <v>46215.689803240741</v>
      </c>
      <c r="H10" s="187">
        <v>1</v>
      </c>
      <c r="I10" s="187">
        <v>1</v>
      </c>
      <c r="J10" s="187">
        <v>1</v>
      </c>
      <c r="K10" s="187">
        <v>2</v>
      </c>
      <c r="L10" s="187">
        <v>1</v>
      </c>
      <c r="M10" s="187">
        <v>1</v>
      </c>
      <c r="N10" s="187">
        <v>2</v>
      </c>
      <c r="O10" s="187">
        <v>1</v>
      </c>
      <c r="P10" s="187">
        <v>1</v>
      </c>
      <c r="Q10" s="187">
        <v>2</v>
      </c>
      <c r="R10" s="370" t="s">
        <v>574</v>
      </c>
      <c r="S10" s="371" t="s">
        <v>575</v>
      </c>
      <c r="T10" s="375">
        <v>4024</v>
      </c>
      <c r="V10" s="224">
        <v>0</v>
      </c>
      <c r="Y10" s="223">
        <v>840</v>
      </c>
      <c r="Z10" s="223">
        <v>0</v>
      </c>
      <c r="AA10" s="210">
        <v>0</v>
      </c>
      <c r="AB10" s="210">
        <v>0</v>
      </c>
      <c r="AC10" s="221">
        <v>840</v>
      </c>
      <c r="AD10" s="209">
        <v>1</v>
      </c>
      <c r="AE10" s="188"/>
      <c r="AF10" s="190">
        <v>1</v>
      </c>
      <c r="AG10" s="191">
        <v>2</v>
      </c>
      <c r="AH10" s="187">
        <v>7</v>
      </c>
      <c r="AI10" s="187">
        <v>2026</v>
      </c>
    </row>
    <row r="11" spans="3:42" ht="24" customHeight="1">
      <c r="C11" s="212">
        <v>4</v>
      </c>
      <c r="D11" s="187" t="s">
        <v>595</v>
      </c>
      <c r="E11" s="188" t="s">
        <v>596</v>
      </c>
      <c r="F11" s="379">
        <v>46215</v>
      </c>
      <c r="G11" s="189">
        <v>46215.725810185184</v>
      </c>
      <c r="H11" s="187">
        <v>1</v>
      </c>
      <c r="I11" s="187">
        <v>1</v>
      </c>
      <c r="J11" s="187">
        <v>1</v>
      </c>
      <c r="K11" s="187">
        <v>2</v>
      </c>
      <c r="L11" s="187">
        <v>1</v>
      </c>
      <c r="M11" s="187">
        <v>1</v>
      </c>
      <c r="N11" s="187">
        <v>3</v>
      </c>
      <c r="O11" s="187">
        <v>1</v>
      </c>
      <c r="P11" s="187">
        <v>1</v>
      </c>
      <c r="Q11" s="187">
        <v>2</v>
      </c>
      <c r="R11" s="370" t="s">
        <v>574</v>
      </c>
      <c r="S11" s="371" t="s">
        <v>611</v>
      </c>
      <c r="T11" s="194">
        <v>4024</v>
      </c>
      <c r="V11" s="224">
        <v>0</v>
      </c>
      <c r="Y11" s="223">
        <v>1680</v>
      </c>
      <c r="Z11" s="223">
        <v>0</v>
      </c>
      <c r="AA11" s="210">
        <v>0</v>
      </c>
      <c r="AB11" s="210">
        <v>0</v>
      </c>
      <c r="AC11" s="221">
        <v>1680</v>
      </c>
      <c r="AD11" s="209">
        <v>1</v>
      </c>
      <c r="AF11" s="190">
        <v>1</v>
      </c>
      <c r="AG11" s="191">
        <v>2</v>
      </c>
      <c r="AH11" s="187">
        <v>7</v>
      </c>
      <c r="AI11" s="187">
        <v>2026</v>
      </c>
    </row>
    <row r="12" spans="3:42" ht="24" customHeight="1">
      <c r="C12" s="212">
        <v>5</v>
      </c>
      <c r="D12" s="336" t="s">
        <v>649</v>
      </c>
      <c r="E12" s="188" t="s">
        <v>650</v>
      </c>
      <c r="F12" s="380">
        <v>46216</v>
      </c>
      <c r="G12" s="189">
        <v>46216.696875000001</v>
      </c>
      <c r="H12" s="187">
        <v>1</v>
      </c>
      <c r="I12" s="187">
        <v>1</v>
      </c>
      <c r="J12" s="187">
        <v>1</v>
      </c>
      <c r="K12" s="187">
        <v>2</v>
      </c>
      <c r="L12" s="187">
        <v>1</v>
      </c>
      <c r="M12" s="187">
        <v>1</v>
      </c>
      <c r="N12" s="187">
        <v>1</v>
      </c>
      <c r="O12" s="187">
        <v>1</v>
      </c>
      <c r="P12" s="187">
        <v>1</v>
      </c>
      <c r="Q12" s="187">
        <v>2</v>
      </c>
      <c r="R12" s="370" t="s">
        <v>574</v>
      </c>
      <c r="S12" s="371" t="s">
        <v>575</v>
      </c>
      <c r="T12" s="194">
        <v>4024</v>
      </c>
      <c r="V12" s="224">
        <v>0</v>
      </c>
      <c r="Y12" s="223">
        <v>171</v>
      </c>
      <c r="Z12" s="223">
        <v>0</v>
      </c>
      <c r="AA12" s="210">
        <v>0</v>
      </c>
      <c r="AB12" s="210">
        <v>0</v>
      </c>
      <c r="AC12" s="221">
        <v>171</v>
      </c>
      <c r="AD12" s="209">
        <v>1</v>
      </c>
      <c r="AF12" s="190">
        <v>1</v>
      </c>
      <c r="AG12" s="191">
        <v>2</v>
      </c>
      <c r="AH12" s="187">
        <v>7</v>
      </c>
      <c r="AI12" s="187">
        <v>2026</v>
      </c>
    </row>
    <row r="13" spans="3:42" ht="24" customHeight="1">
      <c r="C13" s="212"/>
      <c r="D13" s="336"/>
      <c r="F13" s="381"/>
      <c r="G13" s="189"/>
    </row>
    <row r="14" spans="3:42" ht="24" customHeight="1">
      <c r="C14" s="212"/>
      <c r="D14" s="336"/>
      <c r="F14" s="381"/>
      <c r="G14" s="189"/>
    </row>
    <row r="15" spans="3:42" ht="24" customHeight="1">
      <c r="C15" s="212"/>
      <c r="D15" s="336"/>
      <c r="F15" s="381"/>
      <c r="G15" s="189"/>
      <c r="AK15" s="151"/>
    </row>
    <row r="16" spans="3:42" ht="24" customHeight="1">
      <c r="C16" s="212"/>
      <c r="D16" s="336"/>
      <c r="G16" s="189"/>
      <c r="AK16" s="151"/>
    </row>
    <row r="17" spans="3:37" ht="24" customHeight="1">
      <c r="C17" s="212"/>
      <c r="D17" s="336"/>
      <c r="G17" s="189"/>
      <c r="AK17" s="151"/>
    </row>
    <row r="18" spans="3:37" ht="24" customHeight="1">
      <c r="C18" s="212"/>
      <c r="D18" s="336"/>
      <c r="G18" s="189"/>
      <c r="AK18" s="151"/>
    </row>
    <row r="19" spans="3:37" ht="24" customHeight="1">
      <c r="C19" s="212"/>
      <c r="D19" s="336"/>
      <c r="G19" s="189"/>
      <c r="AK19" s="151"/>
    </row>
    <row r="20" spans="3:37" ht="24" customHeight="1">
      <c r="C20" s="212"/>
      <c r="D20" s="336"/>
      <c r="G20" s="189"/>
      <c r="AK20" s="151"/>
    </row>
    <row r="21" spans="3:37" ht="24" customHeight="1">
      <c r="C21" s="212"/>
      <c r="D21" s="336"/>
      <c r="G21" s="189"/>
      <c r="AK21" s="151"/>
    </row>
    <row r="22" spans="3:37" ht="24" customHeight="1">
      <c r="C22" s="212"/>
      <c r="D22" s="336"/>
      <c r="G22" s="189"/>
      <c r="AK22" s="151"/>
    </row>
    <row r="23" spans="3:37" ht="24" customHeight="1">
      <c r="C23" s="212"/>
      <c r="D23" s="336"/>
      <c r="G23" s="189"/>
      <c r="AK23" s="151"/>
    </row>
    <row r="24" spans="3:37" ht="24" customHeight="1">
      <c r="C24" s="212"/>
      <c r="D24" s="336"/>
      <c r="G24" s="189"/>
      <c r="AK24" s="151"/>
    </row>
    <row r="25" spans="3:37" ht="24" customHeight="1">
      <c r="C25" s="212"/>
      <c r="D25" s="336"/>
      <c r="G25" s="189"/>
      <c r="AK25" s="151"/>
    </row>
    <row r="26" spans="3:37" ht="24" customHeight="1">
      <c r="C26" s="213"/>
      <c r="D26" s="368"/>
      <c r="G26" s="189"/>
      <c r="AK26" s="151"/>
    </row>
    <row r="27" spans="3:37" ht="24" customHeight="1">
      <c r="C27" s="213"/>
      <c r="D27" s="368"/>
      <c r="G27" s="189"/>
      <c r="AK27" s="151"/>
    </row>
    <row r="28" spans="3:37" ht="24" customHeight="1">
      <c r="C28" s="213"/>
      <c r="D28" s="368"/>
      <c r="G28" s="189"/>
      <c r="AK28" s="151"/>
    </row>
    <row r="29" spans="3:37" ht="24" customHeight="1">
      <c r="C29" s="213"/>
      <c r="D29" s="368"/>
      <c r="G29" s="189"/>
      <c r="AK29" s="151"/>
    </row>
    <row r="30" spans="3:37" ht="24" customHeight="1">
      <c r="C30" s="213"/>
      <c r="D30" s="368"/>
      <c r="G30" s="189"/>
      <c r="AK30" s="151"/>
    </row>
    <row r="31" spans="3:37" ht="24" customHeight="1">
      <c r="C31" s="213"/>
      <c r="D31" s="368"/>
      <c r="G31" s="189"/>
      <c r="AK31" s="151"/>
    </row>
    <row r="32" spans="3:37" ht="24" customHeight="1">
      <c r="C32" s="213"/>
      <c r="D32" s="368"/>
      <c r="G32" s="189"/>
      <c r="AK32" s="151"/>
    </row>
    <row r="33" spans="3:37" ht="24" customHeight="1">
      <c r="C33" s="214"/>
      <c r="D33" s="369"/>
      <c r="G33" s="189"/>
      <c r="AK33" s="151"/>
    </row>
    <row r="34" spans="3:37" ht="24" customHeight="1">
      <c r="C34" s="212"/>
      <c r="D34" s="336"/>
      <c r="G34" s="189"/>
      <c r="AK34" s="151"/>
    </row>
    <row r="35" spans="3:37" ht="24" customHeight="1">
      <c r="C35" s="212"/>
      <c r="D35" s="336"/>
      <c r="G35" s="189"/>
      <c r="AK35" s="151"/>
    </row>
    <row r="36" spans="3:37" ht="24" customHeight="1">
      <c r="C36" s="212"/>
      <c r="D36" s="336"/>
      <c r="G36" s="189"/>
      <c r="AK36" s="151"/>
    </row>
    <row r="37" spans="3:37" ht="24" customHeight="1">
      <c r="C37" s="212"/>
      <c r="D37" s="336"/>
      <c r="G37" s="189"/>
      <c r="AK37" s="151"/>
    </row>
    <row r="38" spans="3:37" ht="24" customHeight="1">
      <c r="C38" s="212"/>
      <c r="D38" s="336"/>
      <c r="G38" s="189"/>
      <c r="AK38" s="151"/>
    </row>
    <row r="39" spans="3:37" ht="24" customHeight="1">
      <c r="G39" s="189"/>
      <c r="AK39" s="151"/>
    </row>
    <row r="40" spans="3:37" ht="24" customHeight="1">
      <c r="G40" s="189"/>
      <c r="AK40" s="151"/>
    </row>
    <row r="41" spans="3:37" ht="24" customHeight="1">
      <c r="G41" s="189"/>
      <c r="AK41" s="151"/>
    </row>
    <row r="42" spans="3:37" ht="24" customHeight="1">
      <c r="G42" s="189"/>
      <c r="AK42" s="151"/>
    </row>
    <row r="43" spans="3:37" ht="24" customHeight="1">
      <c r="G43" s="189"/>
      <c r="AK43" s="151"/>
    </row>
    <row r="44" spans="3:37" ht="24" customHeight="1">
      <c r="G44" s="189"/>
      <c r="AK44" s="151"/>
    </row>
    <row r="45" spans="3:37" ht="24" customHeight="1">
      <c r="G45" s="189"/>
      <c r="AK45" s="151"/>
    </row>
    <row r="46" spans="3:37" ht="24" customHeight="1">
      <c r="G46" s="189"/>
      <c r="AK46" s="151"/>
    </row>
    <row r="47" spans="3:37" ht="24" customHeight="1">
      <c r="G47" s="189"/>
      <c r="AK47" s="151"/>
    </row>
    <row r="48" spans="3:37" ht="24" customHeight="1">
      <c r="G48" s="189"/>
      <c r="AK48" s="151"/>
    </row>
    <row r="49" spans="7:37" ht="24" customHeight="1">
      <c r="G49" s="189"/>
      <c r="AK49" s="151"/>
    </row>
    <row r="50" spans="7:37" ht="24" customHeight="1">
      <c r="G50" s="189"/>
      <c r="AK50" s="151"/>
    </row>
    <row r="51" spans="7:37" ht="24" customHeight="1">
      <c r="G51" s="189"/>
      <c r="AK51" s="151"/>
    </row>
    <row r="52" spans="7:37" ht="24" customHeight="1">
      <c r="G52" s="189"/>
      <c r="AK52" s="151"/>
    </row>
    <row r="53" spans="7:37" ht="24" customHeight="1">
      <c r="G53" s="189"/>
      <c r="AK53" s="151"/>
    </row>
    <row r="54" spans="7:37" ht="24" customHeight="1">
      <c r="G54" s="189"/>
      <c r="AK54" s="151"/>
    </row>
    <row r="55" spans="7:37" ht="24" customHeight="1">
      <c r="G55" s="189"/>
      <c r="AK55" s="151"/>
    </row>
    <row r="56" spans="7:37" ht="24" customHeight="1">
      <c r="G56" s="189"/>
      <c r="AK56" s="151"/>
    </row>
    <row r="57" spans="7:37" ht="24" customHeight="1">
      <c r="G57" s="189"/>
      <c r="AK57" s="151"/>
    </row>
    <row r="58" spans="7:37" ht="24" customHeight="1">
      <c r="G58" s="189"/>
      <c r="AK58" s="151"/>
    </row>
    <row r="59" spans="7:37" ht="24" customHeight="1">
      <c r="G59" s="189"/>
      <c r="AK59" s="151"/>
    </row>
    <row r="60" spans="7:37" ht="24" customHeight="1">
      <c r="G60" s="189"/>
      <c r="AK60" s="151"/>
    </row>
    <row r="61" spans="7:37" ht="24" customHeight="1">
      <c r="G61" s="189"/>
      <c r="AK61" s="151"/>
    </row>
    <row r="62" spans="7:37" ht="24" customHeight="1">
      <c r="G62" s="189"/>
      <c r="AK62" s="151"/>
    </row>
    <row r="63" spans="7:37" ht="24" customHeight="1">
      <c r="G63" s="189"/>
      <c r="AK63" s="151"/>
    </row>
    <row r="64" spans="7:37" ht="24" customHeight="1">
      <c r="G64" s="189"/>
      <c r="AK64" s="151"/>
    </row>
    <row r="65" spans="7:37" ht="24" customHeight="1">
      <c r="G65" s="189"/>
      <c r="AK65" s="151"/>
    </row>
    <row r="66" spans="7:37" ht="24" customHeight="1">
      <c r="G66" s="189"/>
      <c r="AK66" s="151"/>
    </row>
    <row r="67" spans="7:37" ht="24" customHeight="1">
      <c r="G67" s="189"/>
      <c r="AK67" s="151"/>
    </row>
    <row r="68" spans="7:37" ht="24" customHeight="1">
      <c r="G68" s="189"/>
      <c r="AK68" s="151"/>
    </row>
    <row r="69" spans="7:37" ht="24" customHeight="1">
      <c r="G69" s="189"/>
      <c r="AK69" s="151"/>
    </row>
    <row r="70" spans="7:37" ht="24" customHeight="1">
      <c r="G70" s="189"/>
      <c r="AK70" s="151"/>
    </row>
    <row r="71" spans="7:37" ht="24" customHeight="1">
      <c r="G71" s="189"/>
      <c r="AK71" s="151"/>
    </row>
    <row r="72" spans="7:37" ht="24" customHeight="1">
      <c r="G72" s="189"/>
      <c r="AK72" s="151"/>
    </row>
    <row r="73" spans="7:37" ht="24" customHeight="1">
      <c r="G73" s="189"/>
      <c r="AK73" s="151"/>
    </row>
    <row r="74" spans="7:37" ht="24" customHeight="1">
      <c r="G74" s="189"/>
      <c r="AK74" s="151"/>
    </row>
    <row r="75" spans="7:37" ht="24" customHeight="1">
      <c r="G75" s="189"/>
      <c r="AK75" s="151"/>
    </row>
    <row r="76" spans="7:37" ht="24" customHeight="1">
      <c r="G76" s="189"/>
      <c r="AK76" s="151"/>
    </row>
    <row r="77" spans="7:37" ht="24" customHeight="1">
      <c r="G77" s="189"/>
      <c r="AK77" s="151"/>
    </row>
    <row r="78" spans="7:37" ht="24" customHeight="1">
      <c r="G78" s="189"/>
      <c r="AK78" s="151"/>
    </row>
    <row r="79" spans="7:37" ht="24" customHeight="1">
      <c r="G79" s="189"/>
      <c r="AK79" s="151"/>
    </row>
    <row r="80" spans="7:37" ht="24" customHeight="1">
      <c r="G80" s="189"/>
      <c r="AK80" s="151"/>
    </row>
    <row r="81" spans="7:37" ht="24" customHeight="1">
      <c r="G81" s="189"/>
      <c r="AK81" s="151"/>
    </row>
    <row r="82" spans="7:37" ht="24" customHeight="1">
      <c r="G82" s="189"/>
      <c r="AK82" s="151"/>
    </row>
    <row r="83" spans="7:37" ht="24" customHeight="1">
      <c r="G83" s="189"/>
      <c r="AK83" s="151"/>
    </row>
    <row r="84" spans="7:37" ht="24" customHeight="1">
      <c r="G84" s="189"/>
      <c r="AK84" s="151"/>
    </row>
    <row r="85" spans="7:37" ht="24" customHeight="1">
      <c r="G85" s="189"/>
      <c r="AK85" s="151"/>
    </row>
    <row r="86" spans="7:37" ht="24" customHeight="1">
      <c r="G86" s="189"/>
      <c r="AK86" s="151"/>
    </row>
    <row r="87" spans="7:37" ht="24" customHeight="1">
      <c r="G87" s="189"/>
      <c r="AK87" s="151"/>
    </row>
    <row r="88" spans="7:37" ht="24" customHeight="1">
      <c r="G88" s="189"/>
      <c r="AK88" s="151"/>
    </row>
    <row r="89" spans="7:37" ht="24" customHeight="1">
      <c r="G89" s="189"/>
      <c r="AK89" s="151"/>
    </row>
    <row r="90" spans="7:37" ht="24" customHeight="1">
      <c r="G90" s="189"/>
      <c r="AK90" s="151"/>
    </row>
    <row r="91" spans="7:37" ht="24" customHeight="1">
      <c r="G91" s="189"/>
      <c r="AK91" s="151"/>
    </row>
    <row r="92" spans="7:37" ht="24" customHeight="1">
      <c r="G92" s="189"/>
      <c r="AK92" s="151"/>
    </row>
    <row r="93" spans="7:37" ht="24" customHeight="1">
      <c r="G93" s="189"/>
      <c r="AK93" s="151"/>
    </row>
    <row r="94" spans="7:37" ht="24" customHeight="1">
      <c r="G94" s="189"/>
      <c r="AK94" s="151"/>
    </row>
    <row r="95" spans="7:37" ht="24" customHeight="1">
      <c r="G95" s="189"/>
      <c r="AK95" s="151"/>
    </row>
    <row r="96" spans="7:37" ht="24" customHeight="1">
      <c r="G96" s="189"/>
      <c r="AK96" s="151"/>
    </row>
    <row r="97" spans="7:37" ht="24" customHeight="1">
      <c r="G97" s="189"/>
      <c r="AK97" s="151"/>
    </row>
    <row r="98" spans="7:37" ht="24" customHeight="1">
      <c r="G98" s="189"/>
      <c r="AK98" s="151"/>
    </row>
    <row r="99" spans="7:37" ht="24" customHeight="1">
      <c r="G99" s="189"/>
      <c r="AK99" s="151"/>
    </row>
    <row r="100" spans="7:37" ht="24" customHeight="1">
      <c r="G100" s="189"/>
      <c r="AK100" s="151"/>
    </row>
    <row r="101" spans="7:37" ht="24" customHeight="1">
      <c r="G101" s="189"/>
      <c r="AK101" s="151"/>
    </row>
    <row r="102" spans="7:37" ht="24" customHeight="1">
      <c r="G102" s="189"/>
      <c r="AK102" s="151"/>
    </row>
    <row r="103" spans="7:37" ht="24" customHeight="1">
      <c r="G103" s="189"/>
      <c r="AK103" s="151"/>
    </row>
    <row r="104" spans="7:37" ht="24" customHeight="1">
      <c r="G104" s="189"/>
      <c r="AK104" s="151"/>
    </row>
    <row r="105" spans="7:37" ht="24" customHeight="1">
      <c r="G105" s="189"/>
      <c r="AK105" s="151"/>
    </row>
    <row r="106" spans="7:37" ht="24" customHeight="1">
      <c r="G106" s="189"/>
      <c r="AK106" s="151"/>
    </row>
    <row r="107" spans="7:37" ht="24" customHeight="1">
      <c r="G107" s="189"/>
      <c r="AK107" s="151"/>
    </row>
    <row r="108" spans="7:37" ht="24" customHeight="1">
      <c r="G108" s="189"/>
      <c r="AK108" s="151"/>
    </row>
    <row r="109" spans="7:37" ht="24" customHeight="1">
      <c r="G109" s="189"/>
      <c r="AK109" s="151"/>
    </row>
    <row r="110" spans="7:37" ht="24" customHeight="1">
      <c r="G110" s="189"/>
      <c r="AK110" s="151"/>
    </row>
    <row r="111" spans="7:37" ht="24" customHeight="1">
      <c r="G111" s="189"/>
      <c r="AK111" s="151"/>
    </row>
    <row r="112" spans="7:37" ht="24" customHeight="1">
      <c r="G112" s="189"/>
      <c r="AK112" s="151"/>
    </row>
    <row r="113" spans="7:37" ht="24" customHeight="1">
      <c r="G113" s="189"/>
      <c r="AK113" s="151"/>
    </row>
    <row r="114" spans="7:37" ht="24" customHeight="1">
      <c r="G114" s="189"/>
      <c r="AK114" s="151"/>
    </row>
    <row r="115" spans="7:37" ht="24" customHeight="1">
      <c r="G115" s="189"/>
      <c r="AK115" s="151"/>
    </row>
    <row r="116" spans="7:37" ht="24" customHeight="1">
      <c r="G116" s="189"/>
      <c r="AK116" s="151"/>
    </row>
    <row r="117" spans="7:37" ht="24" customHeight="1">
      <c r="G117" s="189"/>
      <c r="AK117" s="151"/>
    </row>
    <row r="118" spans="7:37" ht="24" customHeight="1">
      <c r="G118" s="189"/>
      <c r="AK118" s="151"/>
    </row>
    <row r="119" spans="7:37" ht="24" customHeight="1">
      <c r="G119" s="189"/>
      <c r="AK119" s="151"/>
    </row>
    <row r="120" spans="7:37" ht="24" customHeight="1">
      <c r="G120" s="189"/>
      <c r="AK120" s="151"/>
    </row>
    <row r="121" spans="7:37" ht="24" customHeight="1">
      <c r="G121" s="189"/>
      <c r="AK121" s="151"/>
    </row>
    <row r="122" spans="7:37" ht="24" customHeight="1">
      <c r="G122" s="189"/>
      <c r="AK122" s="151"/>
    </row>
    <row r="123" spans="7:37" ht="24" customHeight="1">
      <c r="G123" s="189"/>
      <c r="AK123" s="151"/>
    </row>
    <row r="124" spans="7:37" ht="24" customHeight="1">
      <c r="G124" s="189"/>
      <c r="AK124" s="151"/>
    </row>
    <row r="125" spans="7:37" ht="24" customHeight="1">
      <c r="G125" s="189"/>
      <c r="AK125" s="151"/>
    </row>
    <row r="126" spans="7:37" ht="24" customHeight="1">
      <c r="G126" s="189"/>
      <c r="AK126" s="151"/>
    </row>
    <row r="127" spans="7:37" ht="24" customHeight="1">
      <c r="G127" s="189"/>
      <c r="AK127" s="151"/>
    </row>
    <row r="128" spans="7:37" ht="24" customHeight="1">
      <c r="G128" s="189"/>
      <c r="AK128" s="151"/>
    </row>
    <row r="129" spans="7:37" ht="24" customHeight="1">
      <c r="G129" s="189"/>
      <c r="AK129" s="151"/>
    </row>
    <row r="130" spans="7:37" ht="24" customHeight="1">
      <c r="G130" s="189"/>
      <c r="AK130" s="151"/>
    </row>
    <row r="131" spans="7:37" ht="24" customHeight="1">
      <c r="G131" s="189"/>
      <c r="AK131" s="151"/>
    </row>
    <row r="132" spans="7:37" ht="24" customHeight="1">
      <c r="G132" s="189"/>
      <c r="AK132" s="151"/>
    </row>
    <row r="133" spans="7:37" ht="24" customHeight="1">
      <c r="G133" s="189"/>
      <c r="AK133" s="151"/>
    </row>
    <row r="134" spans="7:37" ht="24" customHeight="1">
      <c r="G134" s="189"/>
      <c r="AK134" s="151"/>
    </row>
    <row r="135" spans="7:37" ht="24" customHeight="1">
      <c r="G135" s="189"/>
      <c r="AK135" s="151"/>
    </row>
    <row r="136" spans="7:37" ht="24" customHeight="1">
      <c r="G136" s="189"/>
      <c r="AK136" s="151"/>
    </row>
    <row r="137" spans="7:37" ht="24" customHeight="1">
      <c r="G137" s="189"/>
      <c r="AK137" s="151"/>
    </row>
    <row r="138" spans="7:37" ht="24" customHeight="1">
      <c r="G138" s="189"/>
      <c r="AK138" s="151"/>
    </row>
    <row r="139" spans="7:37" ht="24" customHeight="1">
      <c r="G139" s="189"/>
      <c r="AK139" s="151"/>
    </row>
    <row r="140" spans="7:37" ht="24" customHeight="1">
      <c r="G140" s="189"/>
      <c r="AK140" s="151"/>
    </row>
    <row r="141" spans="7:37" ht="24" customHeight="1">
      <c r="G141" s="189"/>
      <c r="AK141" s="151"/>
    </row>
    <row r="142" spans="7:37" ht="24" customHeight="1">
      <c r="G142" s="189"/>
      <c r="AK142" s="151"/>
    </row>
    <row r="143" spans="7:37" ht="24" customHeight="1">
      <c r="G143" s="189"/>
      <c r="AK143" s="151"/>
    </row>
    <row r="144" spans="7:37" ht="24" customHeight="1">
      <c r="G144" s="189"/>
      <c r="AK144" s="151"/>
    </row>
    <row r="145" spans="7:37" ht="24" customHeight="1">
      <c r="G145" s="189"/>
      <c r="AK145" s="151"/>
    </row>
    <row r="146" spans="7:37" ht="24" customHeight="1">
      <c r="G146" s="189"/>
      <c r="AK146" s="151"/>
    </row>
    <row r="147" spans="7:37" ht="24" customHeight="1">
      <c r="G147" s="189"/>
      <c r="AK147" s="151"/>
    </row>
    <row r="148" spans="7:37" ht="24" customHeight="1">
      <c r="G148" s="189"/>
      <c r="AK148" s="151"/>
    </row>
    <row r="149" spans="7:37" ht="24" customHeight="1">
      <c r="G149" s="189"/>
      <c r="AK149" s="151"/>
    </row>
    <row r="150" spans="7:37" ht="24" customHeight="1">
      <c r="G150" s="189"/>
      <c r="AK150" s="151"/>
    </row>
    <row r="151" spans="7:37" ht="24" customHeight="1">
      <c r="G151" s="189"/>
      <c r="AK151" s="151"/>
    </row>
    <row r="152" spans="7:37" ht="24" customHeight="1">
      <c r="G152" s="189"/>
      <c r="AK152" s="151"/>
    </row>
    <row r="153" spans="7:37" ht="24" customHeight="1">
      <c r="G153" s="189"/>
      <c r="AK153" s="151"/>
    </row>
    <row r="154" spans="7:37" ht="24" customHeight="1">
      <c r="G154" s="189"/>
      <c r="AK154" s="151"/>
    </row>
    <row r="155" spans="7:37" ht="24" customHeight="1">
      <c r="G155" s="189"/>
      <c r="AK155" s="151"/>
    </row>
    <row r="156" spans="7:37" ht="24" customHeight="1">
      <c r="G156" s="189"/>
      <c r="AK156" s="151"/>
    </row>
    <row r="157" spans="7:37" ht="24" customHeight="1">
      <c r="G157" s="189"/>
      <c r="AK157" s="151"/>
    </row>
    <row r="158" spans="7:37" ht="24" customHeight="1">
      <c r="G158" s="189"/>
      <c r="AK158" s="151"/>
    </row>
    <row r="159" spans="7:37" ht="24" customHeight="1">
      <c r="G159" s="189"/>
      <c r="AK159" s="151"/>
    </row>
    <row r="160" spans="7:37" ht="24" customHeight="1">
      <c r="G160" s="189"/>
      <c r="AK160" s="151"/>
    </row>
    <row r="161" spans="7:37" ht="24" customHeight="1">
      <c r="G161" s="189"/>
      <c r="AK161" s="151"/>
    </row>
    <row r="162" spans="7:37" ht="24" customHeight="1">
      <c r="G162" s="189"/>
      <c r="AK162" s="151"/>
    </row>
    <row r="163" spans="7:37" ht="24" customHeight="1">
      <c r="G163" s="189"/>
      <c r="AK163" s="151"/>
    </row>
    <row r="164" spans="7:37" ht="24" customHeight="1">
      <c r="G164" s="189"/>
      <c r="AK164" s="151"/>
    </row>
    <row r="165" spans="7:37" ht="24" customHeight="1">
      <c r="G165" s="189"/>
      <c r="AK165" s="151"/>
    </row>
    <row r="166" spans="7:37" ht="24" customHeight="1">
      <c r="G166" s="189"/>
      <c r="AK166" s="151"/>
    </row>
    <row r="167" spans="7:37" ht="24" customHeight="1">
      <c r="G167" s="189"/>
      <c r="AK167" s="151"/>
    </row>
    <row r="168" spans="7:37" ht="24" customHeight="1">
      <c r="G168" s="189"/>
      <c r="AK168" s="151"/>
    </row>
    <row r="169" spans="7:37" ht="24" customHeight="1">
      <c r="G169" s="189"/>
      <c r="AK169" s="151"/>
    </row>
    <row r="170" spans="7:37" ht="24" customHeight="1">
      <c r="G170" s="189"/>
      <c r="AK170" s="151"/>
    </row>
    <row r="171" spans="7:37" ht="24" customHeight="1">
      <c r="G171" s="189"/>
      <c r="AK171" s="151"/>
    </row>
    <row r="172" spans="7:37" ht="24" customHeight="1">
      <c r="G172" s="189"/>
      <c r="AK172" s="151"/>
    </row>
    <row r="173" spans="7:37" ht="24" customHeight="1">
      <c r="G173" s="189"/>
      <c r="AK173" s="151"/>
    </row>
    <row r="174" spans="7:37" ht="24" customHeight="1">
      <c r="G174" s="189"/>
      <c r="AK174" s="151"/>
    </row>
    <row r="175" spans="7:37" ht="24" customHeight="1">
      <c r="G175" s="189"/>
      <c r="AK175" s="151"/>
    </row>
    <row r="176" spans="7:37" ht="24" customHeight="1">
      <c r="G176" s="189"/>
      <c r="AK176" s="151"/>
    </row>
    <row r="177" spans="7:37" ht="24" customHeight="1">
      <c r="G177" s="189"/>
      <c r="AK177" s="151"/>
    </row>
    <row r="178" spans="7:37" ht="24" customHeight="1">
      <c r="G178" s="189"/>
      <c r="AK178" s="151"/>
    </row>
    <row r="179" spans="7:37" ht="24" customHeight="1">
      <c r="G179" s="189"/>
      <c r="AK179" s="151"/>
    </row>
    <row r="180" spans="7:37" ht="24" customHeight="1">
      <c r="G180" s="189"/>
      <c r="AK180" s="151"/>
    </row>
    <row r="181" spans="7:37" ht="24" customHeight="1">
      <c r="G181" s="189"/>
      <c r="AK181" s="151"/>
    </row>
    <row r="182" spans="7:37" ht="24" customHeight="1">
      <c r="G182" s="189"/>
      <c r="AK182" s="151"/>
    </row>
    <row r="183" spans="7:37" ht="24" customHeight="1">
      <c r="G183" s="189"/>
      <c r="AK183" s="151"/>
    </row>
    <row r="184" spans="7:37" ht="24" customHeight="1">
      <c r="G184" s="189"/>
      <c r="AK184" s="151"/>
    </row>
    <row r="185" spans="7:37" ht="24" customHeight="1">
      <c r="G185" s="189"/>
      <c r="AK185" s="151"/>
    </row>
    <row r="186" spans="7:37" ht="24" customHeight="1">
      <c r="G186" s="189"/>
      <c r="AK186" s="151"/>
    </row>
    <row r="187" spans="7:37" ht="24" customHeight="1">
      <c r="G187" s="189"/>
      <c r="AK187" s="151"/>
    </row>
    <row r="188" spans="7:37" ht="24" customHeight="1">
      <c r="G188" s="189"/>
      <c r="AK188" s="151"/>
    </row>
    <row r="189" spans="7:37" ht="24" customHeight="1">
      <c r="G189" s="189"/>
      <c r="AK189" s="151"/>
    </row>
    <row r="190" spans="7:37" ht="24" customHeight="1">
      <c r="G190" s="189"/>
      <c r="AK190" s="151"/>
    </row>
    <row r="191" spans="7:37" ht="24" customHeight="1">
      <c r="G191" s="189"/>
      <c r="AK191" s="151"/>
    </row>
    <row r="192" spans="7:37" ht="24" customHeight="1">
      <c r="G192" s="189"/>
      <c r="AK192" s="151"/>
    </row>
    <row r="193" spans="7:37" ht="24" customHeight="1">
      <c r="G193" s="189"/>
      <c r="AK193" s="151"/>
    </row>
    <row r="194" spans="7:37" ht="24" customHeight="1">
      <c r="G194" s="189"/>
      <c r="AK194" s="151"/>
    </row>
    <row r="195" spans="7:37" ht="24" customHeight="1">
      <c r="G195" s="189"/>
      <c r="AK195" s="151"/>
    </row>
    <row r="196" spans="7:37" ht="24" customHeight="1">
      <c r="G196" s="189"/>
      <c r="AK196" s="151"/>
    </row>
    <row r="197" spans="7:37" ht="24" customHeight="1">
      <c r="G197" s="189"/>
      <c r="AK197" s="151"/>
    </row>
    <row r="198" spans="7:37" ht="24" customHeight="1">
      <c r="G198" s="189"/>
      <c r="AK198" s="151"/>
    </row>
    <row r="199" spans="7:37" ht="24" customHeight="1">
      <c r="G199" s="189"/>
      <c r="AK199" s="151"/>
    </row>
    <row r="200" spans="7:37" ht="24" customHeight="1">
      <c r="G200" s="189"/>
      <c r="AK200" s="151"/>
    </row>
    <row r="201" spans="7:37" ht="24" customHeight="1">
      <c r="G201" s="189"/>
      <c r="AK201" s="151"/>
    </row>
    <row r="202" spans="7:37" ht="24" customHeight="1">
      <c r="G202" s="189"/>
      <c r="AK202" s="151"/>
    </row>
    <row r="203" spans="7:37" ht="24" customHeight="1">
      <c r="G203" s="189"/>
      <c r="AK203" s="151"/>
    </row>
    <row r="204" spans="7:37" ht="24" customHeight="1">
      <c r="G204" s="189"/>
      <c r="AK204" s="151"/>
    </row>
    <row r="205" spans="7:37" ht="24" customHeight="1">
      <c r="G205" s="189"/>
      <c r="AK205" s="151"/>
    </row>
    <row r="206" spans="7:37" ht="24" customHeight="1">
      <c r="G206" s="189"/>
      <c r="AK206" s="151"/>
    </row>
    <row r="207" spans="7:37" ht="24" customHeight="1">
      <c r="G207" s="189"/>
      <c r="AK207" s="151"/>
    </row>
    <row r="208" spans="7:37" ht="24" customHeight="1">
      <c r="G208" s="189"/>
      <c r="AK208" s="151"/>
    </row>
    <row r="209" spans="7:37" ht="24" customHeight="1">
      <c r="G209" s="189"/>
      <c r="AK209" s="151"/>
    </row>
    <row r="210" spans="7:37" ht="24" customHeight="1">
      <c r="G210" s="189"/>
      <c r="AK210" s="151"/>
    </row>
    <row r="211" spans="7:37" ht="24" customHeight="1">
      <c r="G211" s="189"/>
      <c r="AK211" s="151"/>
    </row>
    <row r="212" spans="7:37" ht="24" customHeight="1">
      <c r="G212" s="189"/>
      <c r="AK212" s="151"/>
    </row>
    <row r="213" spans="7:37" ht="24" customHeight="1">
      <c r="G213" s="189"/>
      <c r="AK213" s="151"/>
    </row>
    <row r="214" spans="7:37" ht="24" customHeight="1">
      <c r="G214" s="189"/>
      <c r="AK214" s="151"/>
    </row>
    <row r="215" spans="7:37" ht="24" customHeight="1">
      <c r="G215" s="189"/>
      <c r="AK215" s="151"/>
    </row>
    <row r="216" spans="7:37" ht="24" customHeight="1">
      <c r="G216" s="189"/>
      <c r="AK216" s="151"/>
    </row>
    <row r="217" spans="7:37" ht="24" customHeight="1">
      <c r="G217" s="189"/>
      <c r="AK217" s="151"/>
    </row>
    <row r="218" spans="7:37" ht="24" customHeight="1">
      <c r="G218" s="189"/>
      <c r="AK218" s="151"/>
    </row>
    <row r="219" spans="7:37" ht="24" customHeight="1">
      <c r="G219" s="189"/>
      <c r="AK219" s="151"/>
    </row>
    <row r="220" spans="7:37" ht="24" customHeight="1">
      <c r="G220" s="189"/>
      <c r="AK220" s="151"/>
    </row>
    <row r="221" spans="7:37" ht="24" customHeight="1">
      <c r="G221" s="189"/>
      <c r="AK221" s="151"/>
    </row>
    <row r="222" spans="7:37" ht="24" customHeight="1">
      <c r="G222" s="189"/>
      <c r="AK222" s="151"/>
    </row>
    <row r="223" spans="7:37" ht="24" customHeight="1">
      <c r="G223" s="189"/>
      <c r="AK223" s="151"/>
    </row>
    <row r="224" spans="7:37" ht="18" customHeight="1">
      <c r="G224" s="189"/>
      <c r="AK224" s="151"/>
    </row>
    <row r="225" spans="7:37" ht="24" customHeight="1">
      <c r="G225" s="189"/>
      <c r="H225" s="207"/>
      <c r="I225" s="207"/>
      <c r="J225" s="207"/>
      <c r="K225" s="207"/>
      <c r="L225" s="207"/>
      <c r="M225" s="207"/>
      <c r="AK225" s="151"/>
    </row>
    <row r="226" spans="7:37" ht="24" customHeight="1">
      <c r="G226" s="189"/>
      <c r="AK226" s="151"/>
    </row>
    <row r="227" spans="7:37" ht="24" customHeight="1">
      <c r="G227" s="189"/>
      <c r="AK227" s="151"/>
    </row>
    <row r="228" spans="7:37" ht="24" customHeight="1">
      <c r="G228" s="189"/>
      <c r="AK228" s="151"/>
    </row>
    <row r="229" spans="7:37" ht="24" customHeight="1">
      <c r="G229" s="189"/>
      <c r="AK229" s="151"/>
    </row>
    <row r="230" spans="7:37" ht="24" customHeight="1">
      <c r="G230" s="189"/>
      <c r="AK230" s="151"/>
    </row>
    <row r="231" spans="7:37" ht="24" customHeight="1">
      <c r="G231" s="189"/>
      <c r="AK231" s="151"/>
    </row>
    <row r="232" spans="7:37" ht="24" customHeight="1">
      <c r="G232" s="189"/>
      <c r="AK232" s="151"/>
    </row>
    <row r="233" spans="7:37" ht="24" customHeight="1">
      <c r="G233" s="189"/>
      <c r="AK233" s="151"/>
    </row>
    <row r="234" spans="7:37" ht="24" customHeight="1">
      <c r="G234" s="189"/>
      <c r="AK234" s="151"/>
    </row>
    <row r="235" spans="7:37" ht="24" customHeight="1">
      <c r="G235" s="189"/>
      <c r="AK235" s="151"/>
    </row>
    <row r="236" spans="7:37" ht="24" customHeight="1">
      <c r="G236" s="189"/>
      <c r="AK236" s="151"/>
    </row>
    <row r="237" spans="7:37" ht="24" customHeight="1">
      <c r="G237" s="189"/>
      <c r="AK237" s="151"/>
    </row>
    <row r="238" spans="7:37" ht="24" customHeight="1">
      <c r="G238" s="189"/>
      <c r="AK238" s="151"/>
    </row>
    <row r="239" spans="7:37" ht="24" customHeight="1">
      <c r="G239" s="189"/>
      <c r="AK239" s="151"/>
    </row>
    <row r="240" spans="7:37" ht="24" customHeight="1">
      <c r="G240" s="189"/>
      <c r="AK240" s="151"/>
    </row>
    <row r="241" spans="7:37" ht="24" customHeight="1">
      <c r="G241" s="189"/>
      <c r="AK241" s="151"/>
    </row>
    <row r="242" spans="7:37" ht="24" customHeight="1">
      <c r="G242" s="189"/>
      <c r="AK242" s="151"/>
    </row>
    <row r="243" spans="7:37" ht="24" customHeight="1">
      <c r="G243" s="189"/>
      <c r="AK243" s="151"/>
    </row>
    <row r="244" spans="7:37" ht="24" customHeight="1">
      <c r="G244" s="189"/>
      <c r="AK244" s="151"/>
    </row>
    <row r="245" spans="7:37" ht="24" customHeight="1">
      <c r="G245" s="189"/>
      <c r="AK245" s="151"/>
    </row>
    <row r="246" spans="7:37" ht="24" customHeight="1">
      <c r="G246" s="189"/>
      <c r="AK246" s="151"/>
    </row>
    <row r="247" spans="7:37" ht="24" customHeight="1">
      <c r="G247" s="189"/>
      <c r="AK247" s="151"/>
    </row>
    <row r="248" spans="7:37" ht="24" customHeight="1">
      <c r="G248" s="189"/>
      <c r="AK248" s="151"/>
    </row>
    <row r="249" spans="7:37" ht="24" customHeight="1">
      <c r="G249" s="189"/>
      <c r="AK249" s="151"/>
    </row>
    <row r="250" spans="7:37" ht="24" customHeight="1">
      <c r="G250" s="189"/>
      <c r="AK250" s="151"/>
    </row>
    <row r="251" spans="7:37" ht="24" customHeight="1">
      <c r="G251" s="189"/>
      <c r="AK251" s="151"/>
    </row>
    <row r="252" spans="7:37" ht="24" customHeight="1">
      <c r="G252" s="189"/>
      <c r="AK252" s="151"/>
    </row>
    <row r="253" spans="7:37" ht="24" customHeight="1">
      <c r="G253" s="189"/>
      <c r="AK253" s="151"/>
    </row>
    <row r="254" spans="7:37" ht="24" customHeight="1">
      <c r="G254" s="189"/>
      <c r="AK254" s="151"/>
    </row>
    <row r="255" spans="7:37" ht="24" customHeight="1">
      <c r="G255" s="189"/>
      <c r="AK255" s="151"/>
    </row>
    <row r="256" spans="7:37" ht="24" customHeight="1">
      <c r="G256" s="189"/>
      <c r="AK256" s="151"/>
    </row>
    <row r="257" spans="7:37" ht="24" customHeight="1">
      <c r="G257" s="189"/>
      <c r="AK257" s="151"/>
    </row>
    <row r="258" spans="7:37" ht="24" customHeight="1">
      <c r="G258" s="189"/>
      <c r="AK258" s="151"/>
    </row>
    <row r="259" spans="7:37" ht="24" customHeight="1">
      <c r="G259" s="189"/>
      <c r="AK259" s="151"/>
    </row>
    <row r="260" spans="7:37" ht="24" customHeight="1">
      <c r="G260" s="189"/>
      <c r="AK260" s="151"/>
    </row>
    <row r="261" spans="7:37" ht="24" customHeight="1">
      <c r="G261" s="189"/>
      <c r="AK261" s="151"/>
    </row>
    <row r="262" spans="7:37" ht="24" customHeight="1">
      <c r="G262" s="189"/>
      <c r="AK262" s="151"/>
    </row>
    <row r="263" spans="7:37" ht="24" customHeight="1">
      <c r="G263" s="189"/>
      <c r="AK263" s="151"/>
    </row>
    <row r="264" spans="7:37" ht="24" customHeight="1">
      <c r="G264" s="189"/>
      <c r="AK264" s="151"/>
    </row>
    <row r="265" spans="7:37" ht="24" customHeight="1">
      <c r="G265" s="189"/>
      <c r="AK265" s="151"/>
    </row>
    <row r="266" spans="7:37" ht="24" customHeight="1">
      <c r="G266" s="189"/>
      <c r="AK266" s="151"/>
    </row>
    <row r="267" spans="7:37" ht="24" customHeight="1">
      <c r="G267" s="189"/>
      <c r="AK267" s="151"/>
    </row>
    <row r="268" spans="7:37" ht="24" customHeight="1">
      <c r="G268" s="189"/>
      <c r="AK268" s="151"/>
    </row>
    <row r="269" spans="7:37" ht="24" customHeight="1">
      <c r="G269" s="189"/>
      <c r="AK269" s="151"/>
    </row>
    <row r="270" spans="7:37" ht="24" customHeight="1">
      <c r="G270" s="189"/>
      <c r="AK270" s="151"/>
    </row>
    <row r="271" spans="7:37" ht="24" customHeight="1">
      <c r="G271" s="189"/>
      <c r="AK271" s="151"/>
    </row>
    <row r="272" spans="7:37" ht="24" customHeight="1">
      <c r="G272" s="189"/>
      <c r="AK272" s="151"/>
    </row>
    <row r="273" spans="7:37" ht="24" customHeight="1">
      <c r="G273" s="189"/>
      <c r="AK273" s="151"/>
    </row>
    <row r="274" spans="7:37" ht="24" customHeight="1">
      <c r="G274" s="189"/>
      <c r="AK274" s="151"/>
    </row>
    <row r="275" spans="7:37" ht="24" customHeight="1">
      <c r="G275" s="189"/>
      <c r="AK275" s="151"/>
    </row>
    <row r="276" spans="7:37" ht="24" customHeight="1">
      <c r="G276" s="189"/>
      <c r="AK276" s="151"/>
    </row>
    <row r="277" spans="7:37" ht="24" customHeight="1">
      <c r="G277" s="189"/>
      <c r="AK277" s="151"/>
    </row>
    <row r="278" spans="7:37" ht="24" customHeight="1">
      <c r="G278" s="189"/>
      <c r="AK278" s="151"/>
    </row>
    <row r="279" spans="7:37" ht="24" customHeight="1">
      <c r="G279" s="189"/>
      <c r="AK279" s="151"/>
    </row>
    <row r="280" spans="7:37" ht="24" customHeight="1">
      <c r="G280" s="189"/>
      <c r="AK280" s="151"/>
    </row>
    <row r="281" spans="7:37" ht="24" customHeight="1">
      <c r="G281" s="189"/>
      <c r="AK281" s="151"/>
    </row>
    <row r="282" spans="7:37" ht="24" customHeight="1">
      <c r="G282" s="189"/>
      <c r="AK282" s="151"/>
    </row>
    <row r="283" spans="7:37" ht="24" customHeight="1">
      <c r="G283" s="189"/>
      <c r="AK283" s="151"/>
    </row>
    <row r="284" spans="7:37" ht="24" customHeight="1">
      <c r="G284" s="189"/>
      <c r="AK284" s="151"/>
    </row>
    <row r="285" spans="7:37" ht="24" customHeight="1">
      <c r="G285" s="189"/>
      <c r="AK285" s="151"/>
    </row>
    <row r="286" spans="7:37" ht="24" customHeight="1">
      <c r="G286" s="189"/>
      <c r="AK286" s="151"/>
    </row>
    <row r="287" spans="7:37" ht="24" customHeight="1">
      <c r="G287" s="189"/>
      <c r="AK287" s="151"/>
    </row>
    <row r="288" spans="7:37" ht="24" customHeight="1">
      <c r="G288" s="189"/>
      <c r="AK288" s="151"/>
    </row>
    <row r="289" spans="7:37" ht="24" customHeight="1">
      <c r="G289" s="189"/>
      <c r="AK289" s="151"/>
    </row>
    <row r="290" spans="7:37" ht="24" customHeight="1">
      <c r="G290" s="189"/>
      <c r="AK290" s="151"/>
    </row>
    <row r="291" spans="7:37" ht="24" customHeight="1">
      <c r="G291" s="189"/>
      <c r="AK291" s="151"/>
    </row>
    <row r="292" spans="7:37" ht="24" customHeight="1">
      <c r="G292" s="189"/>
      <c r="AK292" s="151"/>
    </row>
    <row r="293" spans="7:37" ht="24" customHeight="1">
      <c r="G293" s="189"/>
      <c r="AK293" s="151"/>
    </row>
    <row r="294" spans="7:37" ht="24" customHeight="1">
      <c r="G294" s="189"/>
      <c r="AK294" s="151"/>
    </row>
    <row r="295" spans="7:37" ht="24" customHeight="1">
      <c r="G295" s="189"/>
      <c r="AK295" s="151"/>
    </row>
    <row r="296" spans="7:37" ht="24" customHeight="1">
      <c r="G296" s="189"/>
      <c r="AK296" s="151"/>
    </row>
    <row r="297" spans="7:37" ht="24" customHeight="1">
      <c r="G297" s="189"/>
      <c r="AK297" s="151"/>
    </row>
    <row r="298" spans="7:37" ht="24" customHeight="1">
      <c r="G298" s="189"/>
      <c r="AK298" s="151"/>
    </row>
    <row r="299" spans="7:37" ht="24" customHeight="1">
      <c r="G299" s="189"/>
      <c r="AK299" s="151"/>
    </row>
    <row r="300" spans="7:37" ht="24" customHeight="1">
      <c r="G300" s="189"/>
      <c r="AK300" s="151"/>
    </row>
    <row r="301" spans="7:37" ht="24" customHeight="1">
      <c r="G301" s="189"/>
      <c r="AK301" s="151"/>
    </row>
    <row r="302" spans="7:37" ht="24" customHeight="1">
      <c r="G302" s="189"/>
      <c r="AK302" s="151"/>
    </row>
    <row r="303" spans="7:37" ht="24" customHeight="1">
      <c r="G303" s="189"/>
      <c r="AK303" s="151"/>
    </row>
    <row r="304" spans="7:37" ht="24" customHeight="1">
      <c r="G304" s="189"/>
      <c r="AK304" s="151"/>
    </row>
    <row r="305" spans="7:37" ht="24" customHeight="1">
      <c r="G305" s="189"/>
      <c r="AK305" s="151"/>
    </row>
    <row r="306" spans="7:37" ht="24" customHeight="1">
      <c r="G306" s="189"/>
      <c r="AK306" s="151"/>
    </row>
    <row r="307" spans="7:37" ht="24" customHeight="1">
      <c r="G307" s="189"/>
      <c r="AK307" s="151"/>
    </row>
    <row r="308" spans="7:37" ht="24" customHeight="1">
      <c r="G308" s="189"/>
      <c r="AK308" s="151"/>
    </row>
    <row r="309" spans="7:37" ht="24" customHeight="1">
      <c r="G309" s="189"/>
      <c r="AK309" s="151"/>
    </row>
    <row r="310" spans="7:37" ht="24" customHeight="1">
      <c r="G310" s="189"/>
      <c r="AK310" s="151"/>
    </row>
    <row r="311" spans="7:37" ht="24" customHeight="1">
      <c r="G311" s="189"/>
      <c r="AK311" s="151"/>
    </row>
    <row r="312" spans="7:37" ht="24" customHeight="1">
      <c r="G312" s="189"/>
      <c r="AK312" s="151"/>
    </row>
    <row r="313" spans="7:37" ht="24" customHeight="1">
      <c r="G313" s="189"/>
      <c r="AK313" s="151"/>
    </row>
    <row r="314" spans="7:37" ht="24" customHeight="1">
      <c r="G314" s="189"/>
      <c r="AK314" s="151"/>
    </row>
    <row r="315" spans="7:37" ht="24" customHeight="1">
      <c r="G315" s="189"/>
      <c r="AK315" s="151"/>
    </row>
    <row r="316" spans="7:37" ht="24" customHeight="1">
      <c r="G316" s="189"/>
      <c r="AK316" s="151"/>
    </row>
    <row r="317" spans="7:37" ht="24" customHeight="1">
      <c r="G317" s="189"/>
      <c r="AK317" s="151"/>
    </row>
    <row r="318" spans="7:37" ht="24" customHeight="1">
      <c r="G318" s="189"/>
      <c r="H318" s="207"/>
      <c r="I318" s="207"/>
      <c r="J318" s="207"/>
      <c r="K318" s="207"/>
      <c r="L318" s="207"/>
      <c r="M318" s="207"/>
      <c r="AK318" s="151"/>
    </row>
    <row r="319" spans="7:37" ht="24" customHeight="1">
      <c r="G319" s="189"/>
      <c r="AK319" s="151"/>
    </row>
    <row r="320" spans="7:37" ht="24" customHeight="1">
      <c r="G320" s="189"/>
      <c r="AK320" s="151"/>
    </row>
    <row r="321" spans="7:37" ht="24" customHeight="1">
      <c r="G321" s="189"/>
      <c r="AK321" s="151"/>
    </row>
    <row r="322" spans="7:37" ht="24" customHeight="1">
      <c r="G322" s="189"/>
      <c r="AK322" s="151"/>
    </row>
    <row r="323" spans="7:37" ht="24" customHeight="1">
      <c r="G323" s="189"/>
      <c r="AK323" s="151"/>
    </row>
    <row r="324" spans="7:37" ht="24" customHeight="1">
      <c r="G324" s="189"/>
      <c r="AK324" s="151"/>
    </row>
    <row r="325" spans="7:37" ht="24" customHeight="1">
      <c r="G325" s="189"/>
      <c r="AK325" s="151"/>
    </row>
    <row r="326" spans="7:37" ht="24" customHeight="1">
      <c r="G326" s="189"/>
      <c r="AK326" s="151"/>
    </row>
    <row r="327" spans="7:37" ht="24" customHeight="1">
      <c r="G327" s="189"/>
    </row>
    <row r="328" spans="7:37" ht="24" customHeight="1">
      <c r="G328" s="189"/>
      <c r="AK328" s="151"/>
    </row>
    <row r="329" spans="7:37" ht="24" customHeight="1">
      <c r="G329" s="189"/>
      <c r="AK329" s="151"/>
    </row>
    <row r="330" spans="7:37" ht="24" customHeight="1">
      <c r="G330" s="189"/>
      <c r="AK330" s="151"/>
    </row>
    <row r="331" spans="7:37" ht="24" customHeight="1">
      <c r="G331" s="189"/>
      <c r="AK331" s="151"/>
    </row>
    <row r="332" spans="7:37" ht="24" customHeight="1">
      <c r="G332" s="189"/>
      <c r="AK332" s="151"/>
    </row>
    <row r="333" spans="7:37" ht="24" customHeight="1">
      <c r="G333" s="189"/>
      <c r="AK333" s="151"/>
    </row>
    <row r="334" spans="7:37" ht="24" customHeight="1">
      <c r="G334" s="189"/>
      <c r="AK334" s="151"/>
    </row>
    <row r="335" spans="7:37" ht="24" customHeight="1">
      <c r="G335" s="189"/>
      <c r="AK335" s="151"/>
    </row>
    <row r="336" spans="7:37" ht="24" customHeight="1">
      <c r="G336" s="189"/>
      <c r="AK336" s="151"/>
    </row>
    <row r="337" spans="7:37" ht="24" customHeight="1">
      <c r="G337" s="189"/>
      <c r="AK337" s="151"/>
    </row>
    <row r="338" spans="7:37" ht="24" customHeight="1">
      <c r="G338" s="189"/>
      <c r="AK338" s="151"/>
    </row>
    <row r="339" spans="7:37" ht="24" customHeight="1">
      <c r="G339" s="189"/>
      <c r="AK339" s="151"/>
    </row>
    <row r="340" spans="7:37" ht="24" customHeight="1">
      <c r="G340" s="189"/>
      <c r="AK340" s="151"/>
    </row>
    <row r="341" spans="7:37" ht="24" customHeight="1">
      <c r="G341" s="189"/>
      <c r="AK341" s="151"/>
    </row>
    <row r="342" spans="7:37" ht="24" customHeight="1">
      <c r="G342" s="189"/>
    </row>
    <row r="343" spans="7:37" ht="24" customHeight="1">
      <c r="G343" s="189"/>
    </row>
    <row r="344" spans="7:37" ht="24" customHeight="1">
      <c r="G344" s="189"/>
    </row>
    <row r="345" spans="7:37" ht="24" customHeight="1">
      <c r="G345" s="189"/>
    </row>
    <row r="346" spans="7:37" ht="24" customHeight="1">
      <c r="G346" s="189"/>
    </row>
    <row r="347" spans="7:37" ht="24" customHeight="1">
      <c r="G347" s="189"/>
    </row>
    <row r="348" spans="7:37" ht="24" customHeight="1">
      <c r="G348" s="189"/>
    </row>
    <row r="349" spans="7:37" ht="24" customHeight="1">
      <c r="G349" s="189"/>
    </row>
    <row r="350" spans="7:37" ht="24" customHeight="1">
      <c r="G350" s="189"/>
    </row>
    <row r="351" spans="7:37" ht="24" customHeight="1">
      <c r="G351" s="189"/>
    </row>
    <row r="352" spans="7:37" ht="24" customHeight="1">
      <c r="G352" s="189"/>
    </row>
    <row r="353" spans="7:7" ht="24" customHeight="1">
      <c r="G353" s="189"/>
    </row>
    <row r="354" spans="7:7" ht="24" customHeight="1">
      <c r="G354" s="189"/>
    </row>
    <row r="355" spans="7:7" ht="24" customHeight="1">
      <c r="G355" s="189"/>
    </row>
    <row r="356" spans="7:7" ht="24" customHeight="1">
      <c r="G356" s="189"/>
    </row>
    <row r="357" spans="7:7" ht="24" customHeight="1">
      <c r="G357" s="189"/>
    </row>
    <row r="358" spans="7:7" ht="24" customHeight="1">
      <c r="G358" s="189"/>
    </row>
    <row r="359" spans="7:7" ht="24" customHeight="1">
      <c r="G359" s="189"/>
    </row>
    <row r="360" spans="7:7" ht="24" customHeight="1">
      <c r="G360" s="189"/>
    </row>
    <row r="361" spans="7:7" ht="24" customHeight="1">
      <c r="G361" s="189"/>
    </row>
    <row r="362" spans="7:7" ht="24" customHeight="1">
      <c r="G362" s="189"/>
    </row>
    <row r="363" spans="7:7" ht="24" customHeight="1">
      <c r="G363" s="189"/>
    </row>
    <row r="364" spans="7:7" ht="24" customHeight="1">
      <c r="G364" s="189"/>
    </row>
    <row r="365" spans="7:7" ht="24" customHeight="1">
      <c r="G365" s="189"/>
    </row>
    <row r="366" spans="7:7" ht="24" customHeight="1">
      <c r="G366" s="189"/>
    </row>
    <row r="367" spans="7:7" ht="24" customHeight="1">
      <c r="G367" s="189"/>
    </row>
    <row r="368" spans="7:7" ht="24" customHeight="1">
      <c r="G368" s="189"/>
    </row>
    <row r="369" spans="7:7" ht="24" customHeight="1">
      <c r="G369" s="189"/>
    </row>
    <row r="370" spans="7:7" ht="24" customHeight="1">
      <c r="G370" s="189"/>
    </row>
    <row r="371" spans="7:7" ht="24" customHeight="1">
      <c r="G371" s="189"/>
    </row>
    <row r="372" spans="7:7" ht="24" customHeight="1">
      <c r="G372" s="189"/>
    </row>
    <row r="373" spans="7:7" ht="24" customHeight="1">
      <c r="G373" s="189"/>
    </row>
    <row r="374" spans="7:7" ht="24" customHeight="1">
      <c r="G374" s="189"/>
    </row>
    <row r="375" spans="7:7" ht="24" customHeight="1">
      <c r="G375" s="189"/>
    </row>
    <row r="376" spans="7:7" ht="24" customHeight="1">
      <c r="G376" s="189"/>
    </row>
    <row r="377" spans="7:7" ht="24" customHeight="1">
      <c r="G377" s="189"/>
    </row>
    <row r="378" spans="7:7" ht="24" customHeight="1">
      <c r="G378" s="189"/>
    </row>
    <row r="379" spans="7:7" ht="24" customHeight="1">
      <c r="G379" s="189"/>
    </row>
    <row r="380" spans="7:7" ht="24" customHeight="1">
      <c r="G380" s="189"/>
    </row>
    <row r="381" spans="7:7" ht="24" customHeight="1">
      <c r="G381" s="189"/>
    </row>
    <row r="382" spans="7:7" ht="24" customHeight="1">
      <c r="G382" s="189"/>
    </row>
    <row r="383" spans="7:7" ht="24" customHeight="1">
      <c r="G383" s="189"/>
    </row>
    <row r="384" spans="7:7" ht="24" customHeight="1">
      <c r="G384" s="189"/>
    </row>
    <row r="385" spans="7:7" ht="24" customHeight="1">
      <c r="G385" s="189"/>
    </row>
    <row r="386" spans="7:7" ht="24" customHeight="1">
      <c r="G386" s="189"/>
    </row>
    <row r="387" spans="7:7" ht="24" customHeight="1">
      <c r="G387" s="189"/>
    </row>
    <row r="388" spans="7:7" ht="24" customHeight="1">
      <c r="G388" s="189"/>
    </row>
    <row r="389" spans="7:7" ht="24" customHeight="1">
      <c r="G389" s="189"/>
    </row>
    <row r="390" spans="7:7" ht="24" customHeight="1">
      <c r="G390" s="189"/>
    </row>
    <row r="391" spans="7:7" ht="24" customHeight="1">
      <c r="G391" s="189"/>
    </row>
    <row r="392" spans="7:7" ht="24" customHeight="1">
      <c r="G392" s="189"/>
    </row>
    <row r="393" spans="7:7" ht="24" customHeight="1">
      <c r="G393" s="189"/>
    </row>
    <row r="394" spans="7:7" ht="24" customHeight="1">
      <c r="G394" s="189"/>
    </row>
    <row r="395" spans="7:7" ht="24" customHeight="1">
      <c r="G395" s="189"/>
    </row>
    <row r="396" spans="7:7" ht="24" customHeight="1">
      <c r="G396" s="189"/>
    </row>
    <row r="397" spans="7:7" ht="24" customHeight="1">
      <c r="G397" s="189"/>
    </row>
    <row r="398" spans="7:7" ht="24" customHeight="1">
      <c r="G398" s="189"/>
    </row>
    <row r="399" spans="7:7" ht="24" customHeight="1">
      <c r="G399" s="189"/>
    </row>
    <row r="400" spans="7:7" ht="24" customHeight="1">
      <c r="G400" s="189"/>
    </row>
    <row r="401" spans="7:7" ht="24" customHeight="1">
      <c r="G401" s="189"/>
    </row>
    <row r="402" spans="7:7" ht="24" customHeight="1">
      <c r="G402" s="189"/>
    </row>
    <row r="403" spans="7:7" ht="24" customHeight="1">
      <c r="G403" s="189"/>
    </row>
    <row r="404" spans="7:7" ht="24" customHeight="1">
      <c r="G404" s="189"/>
    </row>
    <row r="405" spans="7:7" ht="24" customHeight="1">
      <c r="G405" s="189"/>
    </row>
    <row r="406" spans="7:7" ht="24" customHeight="1">
      <c r="G406" s="189"/>
    </row>
    <row r="407" spans="7:7" ht="24" customHeight="1">
      <c r="G407" s="189"/>
    </row>
    <row r="408" spans="7:7" ht="24" customHeight="1">
      <c r="G408" s="189"/>
    </row>
    <row r="409" spans="7:7" ht="24" customHeight="1">
      <c r="G409" s="189"/>
    </row>
    <row r="410" spans="7:7" ht="24" customHeight="1">
      <c r="G410" s="189"/>
    </row>
    <row r="411" spans="7:7" ht="24" customHeight="1">
      <c r="G411" s="189"/>
    </row>
    <row r="412" spans="7:7" ht="24" customHeight="1">
      <c r="G412" s="189"/>
    </row>
    <row r="413" spans="7:7" ht="24" customHeight="1">
      <c r="G413" s="189"/>
    </row>
    <row r="414" spans="7:7" ht="24" customHeight="1">
      <c r="G414" s="189"/>
    </row>
    <row r="415" spans="7:7" ht="24" customHeight="1">
      <c r="G415" s="189"/>
    </row>
    <row r="416" spans="7:7" ht="24" customHeight="1">
      <c r="G416" s="189"/>
    </row>
    <row r="417" spans="7:7" ht="24" customHeight="1">
      <c r="G417" s="189"/>
    </row>
    <row r="418" spans="7:7" ht="24" customHeight="1">
      <c r="G418" s="189"/>
    </row>
    <row r="419" spans="7:7" ht="24" customHeight="1">
      <c r="G419" s="189"/>
    </row>
    <row r="420" spans="7:7" ht="24" customHeight="1">
      <c r="G420" s="189"/>
    </row>
    <row r="421" spans="7:7" ht="24" customHeight="1">
      <c r="G421" s="189"/>
    </row>
    <row r="422" spans="7:7" ht="24" customHeight="1">
      <c r="G422" s="189"/>
    </row>
    <row r="423" spans="7:7" ht="24" customHeight="1">
      <c r="G423" s="189"/>
    </row>
    <row r="424" spans="7:7" ht="24" customHeight="1">
      <c r="G424" s="189"/>
    </row>
    <row r="425" spans="7:7" ht="24" customHeight="1">
      <c r="G425" s="189"/>
    </row>
    <row r="426" spans="7:7" ht="24" customHeight="1">
      <c r="G426" s="189"/>
    </row>
    <row r="427" spans="7:7" ht="24" customHeight="1">
      <c r="G427" s="189"/>
    </row>
    <row r="428" spans="7:7" ht="24" customHeight="1">
      <c r="G428" s="189"/>
    </row>
    <row r="429" spans="7:7" ht="24" customHeight="1">
      <c r="G429" s="189"/>
    </row>
    <row r="430" spans="7:7" ht="24" customHeight="1">
      <c r="G430" s="189"/>
    </row>
    <row r="431" spans="7:7" ht="24" customHeight="1">
      <c r="G431" s="189"/>
    </row>
    <row r="432" spans="7:7" ht="24" customHeight="1">
      <c r="G432" s="189"/>
    </row>
    <row r="433" spans="7:7" ht="24" customHeight="1">
      <c r="G433" s="189"/>
    </row>
    <row r="434" spans="7:7" ht="24" customHeight="1">
      <c r="G434" s="189"/>
    </row>
    <row r="435" spans="7:7" ht="24" customHeight="1">
      <c r="G435" s="189"/>
    </row>
    <row r="436" spans="7:7" ht="24" customHeight="1">
      <c r="G436" s="189"/>
    </row>
    <row r="437" spans="7:7" ht="24" customHeight="1">
      <c r="G437" s="189"/>
    </row>
    <row r="438" spans="7:7" ht="24" customHeight="1">
      <c r="G438" s="189"/>
    </row>
    <row r="439" spans="7:7" ht="24" customHeight="1">
      <c r="G439" s="189"/>
    </row>
    <row r="440" spans="7:7" ht="24" customHeight="1">
      <c r="G440" s="189"/>
    </row>
    <row r="441" spans="7:7" ht="24" customHeight="1">
      <c r="G441" s="189"/>
    </row>
    <row r="442" spans="7:7" ht="24" customHeight="1">
      <c r="G442" s="189"/>
    </row>
    <row r="443" spans="7:7" ht="24" customHeight="1">
      <c r="G443" s="189"/>
    </row>
    <row r="444" spans="7:7" ht="24" customHeight="1">
      <c r="G444" s="189"/>
    </row>
    <row r="445" spans="7:7" ht="24" customHeight="1">
      <c r="G445" s="189"/>
    </row>
    <row r="446" spans="7:7" ht="24" customHeight="1">
      <c r="G446" s="189"/>
    </row>
    <row r="447" spans="7:7" ht="24" customHeight="1">
      <c r="G447" s="189"/>
    </row>
    <row r="448" spans="7:7" ht="24" customHeight="1">
      <c r="G448" s="189"/>
    </row>
    <row r="449" spans="7:7" ht="24" customHeight="1">
      <c r="G449" s="189"/>
    </row>
    <row r="450" spans="7:7" ht="24" customHeight="1">
      <c r="G450" s="189"/>
    </row>
    <row r="451" spans="7:7" ht="24" customHeight="1">
      <c r="G451" s="189"/>
    </row>
    <row r="452" spans="7:7" ht="24" customHeight="1">
      <c r="G452" s="189"/>
    </row>
    <row r="453" spans="7:7" ht="24" customHeight="1">
      <c r="G453" s="189"/>
    </row>
    <row r="454" spans="7:7" ht="24" customHeight="1">
      <c r="G454" s="189"/>
    </row>
    <row r="455" spans="7:7" ht="24" customHeight="1">
      <c r="G455" s="189"/>
    </row>
    <row r="456" spans="7:7" ht="24" customHeight="1">
      <c r="G456" s="189"/>
    </row>
    <row r="457" spans="7:7" ht="24" customHeight="1">
      <c r="G457" s="189"/>
    </row>
    <row r="458" spans="7:7" ht="24" customHeight="1">
      <c r="G458" s="189"/>
    </row>
    <row r="459" spans="7:7" ht="24" customHeight="1">
      <c r="G459" s="189"/>
    </row>
    <row r="460" spans="7:7" ht="24" customHeight="1">
      <c r="G460" s="189"/>
    </row>
    <row r="461" spans="7:7" ht="24" customHeight="1">
      <c r="G461" s="189"/>
    </row>
    <row r="462" spans="7:7" ht="24" customHeight="1">
      <c r="G462" s="189"/>
    </row>
    <row r="463" spans="7:7" ht="24" customHeight="1">
      <c r="G463" s="189"/>
    </row>
    <row r="464" spans="7:7" ht="24" customHeight="1">
      <c r="G464" s="189"/>
    </row>
    <row r="465" spans="7:7" ht="24" customHeight="1">
      <c r="G465" s="189"/>
    </row>
    <row r="466" spans="7:7" ht="24" customHeight="1">
      <c r="G466" s="189"/>
    </row>
    <row r="467" spans="7:7" ht="24" customHeight="1">
      <c r="G467" s="189"/>
    </row>
    <row r="468" spans="7:7" ht="24" customHeight="1">
      <c r="G468" s="189"/>
    </row>
    <row r="469" spans="7:7" ht="24" customHeight="1">
      <c r="G469" s="189"/>
    </row>
    <row r="470" spans="7:7" ht="24" customHeight="1">
      <c r="G470" s="189"/>
    </row>
    <row r="471" spans="7:7" ht="24" customHeight="1">
      <c r="G471" s="189"/>
    </row>
    <row r="472" spans="7:7" ht="24" customHeight="1">
      <c r="G472" s="189"/>
    </row>
    <row r="473" spans="7:7" ht="24" customHeight="1">
      <c r="G473" s="189"/>
    </row>
    <row r="474" spans="7:7" ht="24" customHeight="1">
      <c r="G474" s="189"/>
    </row>
    <row r="475" spans="7:7" ht="24" customHeight="1">
      <c r="G475" s="189"/>
    </row>
    <row r="476" spans="7:7" ht="24" customHeight="1">
      <c r="G476" s="189"/>
    </row>
    <row r="477" spans="7:7" ht="24" customHeight="1">
      <c r="G477" s="189"/>
    </row>
    <row r="478" spans="7:7" ht="24" customHeight="1">
      <c r="G478" s="189"/>
    </row>
    <row r="479" spans="7:7" ht="24" customHeight="1">
      <c r="G479" s="189"/>
    </row>
    <row r="480" spans="7:7" ht="24" customHeight="1">
      <c r="G480" s="189"/>
    </row>
    <row r="481" spans="7:7" ht="24" customHeight="1">
      <c r="G481" s="189"/>
    </row>
    <row r="482" spans="7:7" ht="24" customHeight="1">
      <c r="G482" s="189"/>
    </row>
    <row r="483" spans="7:7" ht="24" customHeight="1">
      <c r="G483" s="189"/>
    </row>
    <row r="484" spans="7:7" ht="24" customHeight="1">
      <c r="G484" s="189"/>
    </row>
    <row r="485" spans="7:7" ht="24" customHeight="1">
      <c r="G485" s="189"/>
    </row>
    <row r="486" spans="7:7" ht="24" customHeight="1">
      <c r="G486" s="189"/>
    </row>
    <row r="487" spans="7:7" ht="24" customHeight="1">
      <c r="G487" s="189"/>
    </row>
    <row r="488" spans="7:7" ht="24" customHeight="1">
      <c r="G488" s="189"/>
    </row>
    <row r="489" spans="7:7" ht="24" customHeight="1">
      <c r="G489" s="189"/>
    </row>
    <row r="490" spans="7:7" ht="24" customHeight="1">
      <c r="G490" s="189"/>
    </row>
    <row r="491" spans="7:7" ht="24" customHeight="1">
      <c r="G491" s="189"/>
    </row>
    <row r="492" spans="7:7" ht="23.25">
      <c r="G492" s="189"/>
    </row>
    <row r="493" spans="7:7" ht="23.25">
      <c r="G493" s="189"/>
    </row>
    <row r="494" spans="7:7" ht="23.25">
      <c r="G494" s="189"/>
    </row>
    <row r="495" spans="7:7" ht="24" customHeight="1">
      <c r="G495" s="189"/>
    </row>
    <row r="496" spans="7:7" ht="24" customHeight="1">
      <c r="G496" s="189"/>
    </row>
    <row r="497" spans="7:7" ht="24" customHeight="1">
      <c r="G497" s="189"/>
    </row>
    <row r="498" spans="7:7" ht="24" customHeight="1">
      <c r="G498" s="189"/>
    </row>
    <row r="499" spans="7:7" ht="24" customHeight="1">
      <c r="G499" s="189"/>
    </row>
    <row r="500" spans="7:7" ht="24" customHeight="1">
      <c r="G500" s="189"/>
    </row>
    <row r="501" spans="7:7" ht="24" customHeight="1">
      <c r="G501" s="189"/>
    </row>
    <row r="502" spans="7:7" ht="24" customHeight="1">
      <c r="G502" s="189"/>
    </row>
    <row r="503" spans="7:7" ht="24" customHeight="1">
      <c r="G503" s="189"/>
    </row>
    <row r="504" spans="7:7" ht="24" customHeight="1">
      <c r="G504" s="189"/>
    </row>
    <row r="505" spans="7:7" ht="24" customHeight="1">
      <c r="G505" s="189"/>
    </row>
    <row r="506" spans="7:7" ht="24" customHeight="1">
      <c r="G506" s="189"/>
    </row>
    <row r="507" spans="7:7" ht="24" customHeight="1">
      <c r="G507" s="189"/>
    </row>
    <row r="508" spans="7:7" ht="24" customHeight="1">
      <c r="G508" s="189"/>
    </row>
    <row r="509" spans="7:7" ht="24" customHeight="1">
      <c r="G509" s="189"/>
    </row>
    <row r="510" spans="7:7" ht="24" customHeight="1">
      <c r="G510" s="189"/>
    </row>
    <row r="511" spans="7:7" ht="24" customHeight="1">
      <c r="G511" s="189"/>
    </row>
    <row r="512" spans="7:7" ht="24" customHeight="1">
      <c r="G512" s="189"/>
    </row>
    <row r="513" spans="7:7" ht="24" customHeight="1">
      <c r="G513" s="189"/>
    </row>
    <row r="514" spans="7:7" ht="24" customHeight="1">
      <c r="G514" s="189"/>
    </row>
    <row r="515" spans="7:7" ht="24" customHeight="1">
      <c r="G515" s="189"/>
    </row>
    <row r="516" spans="7:7" ht="24" customHeight="1">
      <c r="G516" s="189"/>
    </row>
    <row r="517" spans="7:7" ht="24" customHeight="1">
      <c r="G517" s="189"/>
    </row>
    <row r="518" spans="7:7" ht="24" customHeight="1">
      <c r="G518" s="189"/>
    </row>
    <row r="519" spans="7:7" ht="24" customHeight="1">
      <c r="G519" s="189"/>
    </row>
    <row r="520" spans="7:7" ht="24" customHeight="1">
      <c r="G520" s="189"/>
    </row>
    <row r="521" spans="7:7" ht="24" customHeight="1">
      <c r="G521" s="189"/>
    </row>
    <row r="522" spans="7:7" ht="24" customHeight="1">
      <c r="G522" s="189"/>
    </row>
    <row r="523" spans="7:7" ht="24" customHeight="1">
      <c r="G523" s="189"/>
    </row>
    <row r="524" spans="7:7" ht="24" customHeight="1">
      <c r="G524" s="189"/>
    </row>
    <row r="525" spans="7:7" ht="24" customHeight="1">
      <c r="G525" s="189"/>
    </row>
    <row r="526" spans="7:7" ht="24" customHeight="1">
      <c r="G526" s="189"/>
    </row>
    <row r="527" spans="7:7" ht="24" customHeight="1">
      <c r="G527" s="189"/>
    </row>
    <row r="528" spans="7:7" ht="24" customHeight="1">
      <c r="G528" s="189"/>
    </row>
    <row r="529" spans="7:7" ht="24" customHeight="1">
      <c r="G529" s="189"/>
    </row>
    <row r="530" spans="7:7" ht="24" customHeight="1">
      <c r="G530" s="189"/>
    </row>
    <row r="531" spans="7:7" ht="24" customHeight="1">
      <c r="G531" s="189"/>
    </row>
    <row r="532" spans="7:7" ht="24" customHeight="1">
      <c r="G532" s="189"/>
    </row>
    <row r="533" spans="7:7" ht="24" customHeight="1">
      <c r="G533" s="189"/>
    </row>
    <row r="534" spans="7:7" ht="24" customHeight="1">
      <c r="G534" s="189"/>
    </row>
    <row r="535" spans="7:7" ht="24" customHeight="1">
      <c r="G535" s="189"/>
    </row>
    <row r="536" spans="7:7" ht="24" customHeight="1">
      <c r="G536" s="189"/>
    </row>
    <row r="537" spans="7:7" ht="24" customHeight="1">
      <c r="G537" s="189"/>
    </row>
    <row r="538" spans="7:7" ht="24" customHeight="1">
      <c r="G538" s="189"/>
    </row>
    <row r="539" spans="7:7" ht="24" customHeight="1">
      <c r="G539" s="189"/>
    </row>
    <row r="540" spans="7:7" ht="24" customHeight="1">
      <c r="G540" s="189"/>
    </row>
    <row r="541" spans="7:7" ht="24" customHeight="1">
      <c r="G541" s="189"/>
    </row>
    <row r="542" spans="7:7" ht="24" customHeight="1">
      <c r="G542" s="189"/>
    </row>
    <row r="543" spans="7:7" ht="24" customHeight="1">
      <c r="G543" s="189"/>
    </row>
    <row r="544" spans="7:7" ht="24" customHeight="1">
      <c r="G544" s="189"/>
    </row>
    <row r="545" spans="7:7" ht="24" customHeight="1">
      <c r="G545" s="189"/>
    </row>
    <row r="546" spans="7:7" ht="24" customHeight="1">
      <c r="G546" s="189"/>
    </row>
    <row r="547" spans="7:7" ht="24" customHeight="1">
      <c r="G547" s="189"/>
    </row>
    <row r="548" spans="7:7" ht="24" customHeight="1">
      <c r="G548" s="189"/>
    </row>
    <row r="549" spans="7:7" ht="24" customHeight="1">
      <c r="G549" s="189"/>
    </row>
    <row r="550" spans="7:7" ht="24" customHeight="1">
      <c r="G550" s="189"/>
    </row>
    <row r="551" spans="7:7" ht="24" customHeight="1">
      <c r="G551" s="189"/>
    </row>
    <row r="552" spans="7:7" ht="24" customHeight="1">
      <c r="G552" s="189"/>
    </row>
    <row r="553" spans="7:7" ht="24" customHeight="1">
      <c r="G553" s="189"/>
    </row>
    <row r="554" spans="7:7" ht="24" customHeight="1">
      <c r="G554" s="189"/>
    </row>
    <row r="555" spans="7:7" ht="24" customHeight="1">
      <c r="G555" s="189"/>
    </row>
    <row r="556" spans="7:7" ht="24" customHeight="1">
      <c r="G556" s="189"/>
    </row>
    <row r="557" spans="7:7" ht="24" customHeight="1">
      <c r="G557" s="189"/>
    </row>
    <row r="558" spans="7:7" ht="24" customHeight="1">
      <c r="G558" s="189"/>
    </row>
    <row r="559" spans="7:7" ht="24" customHeight="1">
      <c r="G559" s="189"/>
    </row>
    <row r="560" spans="7:7" ht="24" customHeight="1">
      <c r="G560" s="189"/>
    </row>
    <row r="561" spans="7:7" ht="24" customHeight="1">
      <c r="G561" s="189"/>
    </row>
    <row r="562" spans="7:7" ht="24" customHeight="1">
      <c r="G562" s="189"/>
    </row>
    <row r="563" spans="7:7" ht="24" customHeight="1">
      <c r="G563" s="189"/>
    </row>
    <row r="564" spans="7:7" ht="24" customHeight="1">
      <c r="G564" s="189"/>
    </row>
    <row r="565" spans="7:7" ht="24" customHeight="1">
      <c r="G565" s="189"/>
    </row>
    <row r="566" spans="7:7" ht="24" customHeight="1">
      <c r="G566" s="189"/>
    </row>
    <row r="567" spans="7:7" ht="24" customHeight="1">
      <c r="G567" s="189"/>
    </row>
    <row r="568" spans="7:7" ht="24" customHeight="1">
      <c r="G568" s="189"/>
    </row>
    <row r="569" spans="7:7" ht="24" customHeight="1">
      <c r="G569" s="189"/>
    </row>
    <row r="570" spans="7:7" ht="24" customHeight="1">
      <c r="G570" s="189"/>
    </row>
    <row r="571" spans="7:7" ht="24" customHeight="1">
      <c r="G571" s="189"/>
    </row>
    <row r="572" spans="7:7" ht="24" customHeight="1">
      <c r="G572" s="189"/>
    </row>
    <row r="573" spans="7:7" ht="24" customHeight="1">
      <c r="G573" s="189"/>
    </row>
    <row r="574" spans="7:7" ht="24" customHeight="1">
      <c r="G574" s="189"/>
    </row>
    <row r="575" spans="7:7" ht="24" customHeight="1">
      <c r="G575" s="189"/>
    </row>
    <row r="576" spans="7:7" ht="24" customHeight="1">
      <c r="G576" s="189"/>
    </row>
    <row r="577" spans="7:7" ht="24" customHeight="1">
      <c r="G577" s="189"/>
    </row>
    <row r="578" spans="7:7" ht="24" customHeight="1">
      <c r="G578" s="189"/>
    </row>
    <row r="579" spans="7:7" ht="24" customHeight="1">
      <c r="G579" s="189"/>
    </row>
    <row r="580" spans="7:7" ht="24" customHeight="1">
      <c r="G580" s="189"/>
    </row>
    <row r="581" spans="7:7" ht="24" customHeight="1">
      <c r="G581" s="189"/>
    </row>
    <row r="582" spans="7:7" ht="24" customHeight="1">
      <c r="G582" s="189"/>
    </row>
    <row r="583" spans="7:7" ht="24" customHeight="1">
      <c r="G583" s="189"/>
    </row>
    <row r="584" spans="7:7" ht="24" customHeight="1">
      <c r="G584" s="189"/>
    </row>
    <row r="585" spans="7:7" ht="24" customHeight="1">
      <c r="G585" s="189"/>
    </row>
    <row r="586" spans="7:7" ht="24" customHeight="1">
      <c r="G586" s="189"/>
    </row>
    <row r="587" spans="7:7" ht="24" customHeight="1">
      <c r="G587" s="189"/>
    </row>
    <row r="588" spans="7:7" ht="24" customHeight="1">
      <c r="G588" s="189"/>
    </row>
    <row r="589" spans="7:7" ht="24" customHeight="1">
      <c r="G589" s="189"/>
    </row>
    <row r="590" spans="7:7" ht="24" customHeight="1">
      <c r="G590" s="189"/>
    </row>
    <row r="591" spans="7:7" ht="24" customHeight="1">
      <c r="G591" s="189"/>
    </row>
    <row r="592" spans="7:7" ht="24" customHeight="1">
      <c r="G592" s="189"/>
    </row>
    <row r="593" spans="7:7" ht="24" customHeight="1">
      <c r="G593" s="189"/>
    </row>
    <row r="594" spans="7:7" ht="24" customHeight="1">
      <c r="G594" s="189"/>
    </row>
    <row r="595" spans="7:7" ht="24" customHeight="1">
      <c r="G595" s="189"/>
    </row>
    <row r="596" spans="7:7" ht="24" customHeight="1">
      <c r="G596" s="189"/>
    </row>
    <row r="597" spans="7:7" ht="24" customHeight="1">
      <c r="G597" s="189"/>
    </row>
    <row r="598" spans="7:7" ht="24" customHeight="1">
      <c r="G598" s="189"/>
    </row>
    <row r="599" spans="7:7" ht="24" customHeight="1">
      <c r="G599" s="189"/>
    </row>
    <row r="600" spans="7:7" ht="24" customHeight="1">
      <c r="G600" s="189"/>
    </row>
    <row r="601" spans="7:7" ht="24" customHeight="1">
      <c r="G601" s="189"/>
    </row>
    <row r="602" spans="7:7" ht="24" customHeight="1">
      <c r="G602" s="189"/>
    </row>
    <row r="603" spans="7:7" ht="24" customHeight="1">
      <c r="G603" s="189"/>
    </row>
    <row r="604" spans="7:7" ht="24" customHeight="1">
      <c r="G604" s="189"/>
    </row>
    <row r="605" spans="7:7" ht="24" customHeight="1">
      <c r="G605" s="189"/>
    </row>
    <row r="606" spans="7:7" ht="24" customHeight="1">
      <c r="G606" s="189"/>
    </row>
    <row r="607" spans="7:7" ht="24" customHeight="1">
      <c r="G607" s="189"/>
    </row>
    <row r="608" spans="7:7" ht="24" customHeight="1">
      <c r="G608" s="189"/>
    </row>
    <row r="609" spans="7:7" ht="24" customHeight="1">
      <c r="G609" s="189"/>
    </row>
    <row r="610" spans="7:7" ht="24" customHeight="1">
      <c r="G610" s="189"/>
    </row>
    <row r="611" spans="7:7" ht="24" customHeight="1">
      <c r="G611" s="189"/>
    </row>
    <row r="612" spans="7:7" ht="24" customHeight="1">
      <c r="G612" s="189"/>
    </row>
    <row r="613" spans="7:7" ht="24" customHeight="1">
      <c r="G613" s="189"/>
    </row>
    <row r="614" spans="7:7" ht="24" customHeight="1">
      <c r="G614" s="189"/>
    </row>
    <row r="615" spans="7:7" ht="24" customHeight="1">
      <c r="G615" s="189"/>
    </row>
    <row r="616" spans="7:7" ht="24" customHeight="1">
      <c r="G616" s="189"/>
    </row>
    <row r="617" spans="7:7" ht="24" customHeight="1">
      <c r="G617" s="189"/>
    </row>
    <row r="618" spans="7:7" ht="24" customHeight="1">
      <c r="G618" s="189"/>
    </row>
    <row r="619" spans="7:7" ht="24" customHeight="1">
      <c r="G619" s="189"/>
    </row>
    <row r="620" spans="7:7" ht="24" customHeight="1">
      <c r="G620" s="189"/>
    </row>
    <row r="621" spans="7:7" ht="24" customHeight="1">
      <c r="G621" s="189"/>
    </row>
    <row r="622" spans="7:7" ht="24" customHeight="1">
      <c r="G622" s="189"/>
    </row>
    <row r="623" spans="7:7" ht="24" customHeight="1">
      <c r="G623" s="189"/>
    </row>
    <row r="624" spans="7:7" ht="24" customHeight="1">
      <c r="G624" s="189"/>
    </row>
    <row r="625" spans="7:7" ht="24" customHeight="1">
      <c r="G625" s="189"/>
    </row>
    <row r="626" spans="7:7" ht="24" customHeight="1">
      <c r="G626" s="189"/>
    </row>
    <row r="627" spans="7:7" ht="24" customHeight="1">
      <c r="G627" s="189"/>
    </row>
    <row r="628" spans="7:7" ht="24" customHeight="1">
      <c r="G628" s="189"/>
    </row>
    <row r="629" spans="7:7" ht="24" customHeight="1">
      <c r="G629" s="189"/>
    </row>
    <row r="630" spans="7:7" ht="24" customHeight="1">
      <c r="G630" s="189"/>
    </row>
    <row r="631" spans="7:7" ht="24" customHeight="1">
      <c r="G631" s="189"/>
    </row>
    <row r="632" spans="7:7" ht="24" customHeight="1">
      <c r="G632" s="189"/>
    </row>
    <row r="633" spans="7:7" ht="24" customHeight="1">
      <c r="G633" s="189"/>
    </row>
    <row r="634" spans="7:7" ht="24" customHeight="1">
      <c r="G634" s="189"/>
    </row>
    <row r="635" spans="7:7" ht="24" customHeight="1">
      <c r="G635" s="189"/>
    </row>
    <row r="636" spans="7:7" ht="24" customHeight="1">
      <c r="G636" s="189"/>
    </row>
    <row r="637" spans="7:7" ht="24" customHeight="1">
      <c r="G637" s="189"/>
    </row>
    <row r="638" spans="7:7" ht="24" customHeight="1">
      <c r="G638" s="189"/>
    </row>
    <row r="639" spans="7:7" ht="24" customHeight="1">
      <c r="G639" s="189"/>
    </row>
    <row r="640" spans="7:7" ht="24" customHeight="1">
      <c r="G640" s="189"/>
    </row>
    <row r="641" spans="7:7" ht="24" customHeight="1">
      <c r="G641" s="189"/>
    </row>
    <row r="642" spans="7:7" ht="24" customHeight="1">
      <c r="G642" s="189"/>
    </row>
    <row r="643" spans="7:7" ht="24" customHeight="1">
      <c r="G643" s="189"/>
    </row>
    <row r="644" spans="7:7" ht="24" customHeight="1">
      <c r="G644" s="189"/>
    </row>
    <row r="645" spans="7:7" ht="24" customHeight="1">
      <c r="G645" s="189"/>
    </row>
    <row r="646" spans="7:7" ht="24" customHeight="1">
      <c r="G646" s="189"/>
    </row>
    <row r="647" spans="7:7" ht="24" customHeight="1">
      <c r="G647" s="189"/>
    </row>
    <row r="648" spans="7:7" ht="24" customHeight="1">
      <c r="G648" s="189"/>
    </row>
    <row r="649" spans="7:7" ht="24" customHeight="1">
      <c r="G649" s="189"/>
    </row>
    <row r="650" spans="7:7" ht="24" customHeight="1">
      <c r="G650" s="189"/>
    </row>
    <row r="651" spans="7:7" ht="24" customHeight="1">
      <c r="G651" s="189"/>
    </row>
    <row r="652" spans="7:7" ht="24" customHeight="1">
      <c r="G652" s="189"/>
    </row>
    <row r="653" spans="7:7" ht="24" customHeight="1">
      <c r="G653" s="189"/>
    </row>
    <row r="654" spans="7:7" ht="24" customHeight="1">
      <c r="G654" s="189"/>
    </row>
    <row r="655" spans="7:7" ht="24" customHeight="1">
      <c r="G655" s="189"/>
    </row>
    <row r="656" spans="7:7" ht="24" customHeight="1">
      <c r="G656" s="189"/>
    </row>
    <row r="657" spans="3:36" s="3" customFormat="1" ht="23.25">
      <c r="C657" s="187"/>
      <c r="D657" s="187"/>
      <c r="E657" s="188"/>
      <c r="F657" s="189"/>
      <c r="G657" s="189"/>
      <c r="H657" s="187"/>
      <c r="I657" s="187"/>
      <c r="J657" s="187"/>
      <c r="K657" s="187"/>
      <c r="L657" s="187"/>
      <c r="M657" s="187"/>
      <c r="N657" s="187"/>
      <c r="O657" s="187"/>
      <c r="P657" s="187"/>
      <c r="Q657" s="187"/>
      <c r="R657" s="370"/>
      <c r="S657" s="372"/>
      <c r="T657" s="194"/>
      <c r="U657" s="224"/>
      <c r="V657" s="224"/>
      <c r="W657" s="224"/>
      <c r="X657" s="224"/>
      <c r="Y657" s="223"/>
      <c r="Z657" s="223"/>
      <c r="AA657" s="210"/>
      <c r="AB657" s="210"/>
      <c r="AC657" s="221"/>
      <c r="AD657" s="209"/>
      <c r="AE657" s="190"/>
      <c r="AF657" s="190"/>
      <c r="AG657" s="191"/>
      <c r="AH657" s="187"/>
      <c r="AI657" s="187"/>
      <c r="AJ657" s="141"/>
    </row>
    <row r="658" spans="3:36" ht="24" customHeight="1">
      <c r="G658" s="189"/>
    </row>
    <row r="659" spans="3:36" ht="24" customHeight="1">
      <c r="G659" s="189"/>
    </row>
    <row r="660" spans="3:36" ht="24" customHeight="1">
      <c r="G660" s="189"/>
    </row>
    <row r="661" spans="3:36" ht="24" customHeight="1">
      <c r="G661" s="189"/>
    </row>
    <row r="662" spans="3:36" ht="24" customHeight="1">
      <c r="G662" s="189"/>
    </row>
    <row r="663" spans="3:36" ht="24" customHeight="1">
      <c r="G663" s="189"/>
    </row>
    <row r="664" spans="3:36" ht="24" customHeight="1">
      <c r="G664" s="189"/>
    </row>
    <row r="665" spans="3:36" ht="24" customHeight="1">
      <c r="G665" s="189"/>
    </row>
    <row r="666" spans="3:36" ht="24" customHeight="1">
      <c r="G666" s="189"/>
    </row>
    <row r="667" spans="3:36" ht="24" customHeight="1">
      <c r="G667" s="189"/>
    </row>
    <row r="668" spans="3:36" ht="24" customHeight="1">
      <c r="G668" s="189"/>
    </row>
    <row r="669" spans="3:36" ht="24" customHeight="1">
      <c r="G669" s="189"/>
    </row>
    <row r="670" spans="3:36" ht="24" customHeight="1">
      <c r="G670" s="189"/>
    </row>
    <row r="671" spans="3:36" ht="24" customHeight="1">
      <c r="G671" s="189"/>
    </row>
    <row r="672" spans="3:36" ht="24" customHeight="1">
      <c r="G672" s="189"/>
    </row>
    <row r="673" spans="7:7" ht="24" customHeight="1">
      <c r="G673" s="189"/>
    </row>
    <row r="674" spans="7:7" ht="24" customHeight="1">
      <c r="G674" s="189"/>
    </row>
    <row r="675" spans="7:7" ht="24" customHeight="1">
      <c r="G675" s="189"/>
    </row>
    <row r="676" spans="7:7" ht="24" customHeight="1">
      <c r="G676" s="189"/>
    </row>
    <row r="677" spans="7:7" ht="24" customHeight="1">
      <c r="G677" s="189"/>
    </row>
    <row r="678" spans="7:7" ht="24" customHeight="1">
      <c r="G678" s="189"/>
    </row>
    <row r="679" spans="7:7" ht="24" customHeight="1">
      <c r="G679" s="189"/>
    </row>
    <row r="680" spans="7:7" ht="24" customHeight="1">
      <c r="G680" s="189"/>
    </row>
    <row r="681" spans="7:7" ht="24" customHeight="1">
      <c r="G681" s="189"/>
    </row>
    <row r="682" spans="7:7" ht="24" customHeight="1">
      <c r="G682" s="189"/>
    </row>
    <row r="683" spans="7:7" ht="24" customHeight="1">
      <c r="G683" s="189"/>
    </row>
    <row r="684" spans="7:7" ht="24" customHeight="1">
      <c r="G684" s="189"/>
    </row>
    <row r="685" spans="7:7" ht="24" customHeight="1">
      <c r="G685" s="189"/>
    </row>
    <row r="686" spans="7:7" ht="24" customHeight="1">
      <c r="G686" s="189"/>
    </row>
    <row r="687" spans="7:7" ht="24" customHeight="1">
      <c r="G687" s="189"/>
    </row>
    <row r="688" spans="7:7" ht="24" customHeight="1">
      <c r="G688" s="189"/>
    </row>
    <row r="689" spans="7:7" ht="24" customHeight="1">
      <c r="G689" s="189"/>
    </row>
    <row r="690" spans="7:7" ht="24" customHeight="1">
      <c r="G690" s="189"/>
    </row>
    <row r="691" spans="7:7" ht="24" customHeight="1">
      <c r="G691" s="189"/>
    </row>
    <row r="692" spans="7:7" ht="24" customHeight="1">
      <c r="G692" s="189"/>
    </row>
    <row r="693" spans="7:7" ht="24" customHeight="1">
      <c r="G693" s="189"/>
    </row>
    <row r="694" spans="7:7" ht="24" customHeight="1">
      <c r="G694" s="189"/>
    </row>
    <row r="695" spans="7:7" ht="24" customHeight="1">
      <c r="G695" s="189"/>
    </row>
    <row r="696" spans="7:7" ht="24" customHeight="1">
      <c r="G696" s="189"/>
    </row>
    <row r="697" spans="7:7" ht="24" customHeight="1">
      <c r="G697" s="189"/>
    </row>
    <row r="698" spans="7:7" ht="24" customHeight="1">
      <c r="G698" s="189"/>
    </row>
    <row r="699" spans="7:7" ht="24" customHeight="1">
      <c r="G699" s="189"/>
    </row>
    <row r="700" spans="7:7" ht="24" customHeight="1">
      <c r="G700" s="189"/>
    </row>
    <row r="701" spans="7:7" ht="24" customHeight="1">
      <c r="G701" s="189"/>
    </row>
    <row r="702" spans="7:7" ht="24" customHeight="1">
      <c r="G702" s="189"/>
    </row>
    <row r="703" spans="7:7" ht="24" customHeight="1">
      <c r="G703" s="189"/>
    </row>
    <row r="704" spans="7:7" ht="24" customHeight="1">
      <c r="G704" s="189"/>
    </row>
    <row r="705" spans="7:7" ht="24" customHeight="1">
      <c r="G705" s="189"/>
    </row>
    <row r="706" spans="7:7" ht="24" customHeight="1">
      <c r="G706" s="189"/>
    </row>
    <row r="707" spans="7:7" ht="24" customHeight="1">
      <c r="G707" s="189"/>
    </row>
    <row r="708" spans="7:7" ht="24" customHeight="1">
      <c r="G708" s="189"/>
    </row>
    <row r="709" spans="7:7" ht="24" customHeight="1">
      <c r="G709" s="189"/>
    </row>
    <row r="710" spans="7:7" ht="24" customHeight="1">
      <c r="G710" s="189"/>
    </row>
    <row r="711" spans="7:7" ht="24" customHeight="1">
      <c r="G711" s="189"/>
    </row>
    <row r="712" spans="7:7" ht="24" customHeight="1">
      <c r="G712" s="189"/>
    </row>
    <row r="713" spans="7:7" ht="24" customHeight="1">
      <c r="G713" s="189"/>
    </row>
    <row r="714" spans="7:7" ht="24" customHeight="1">
      <c r="G714" s="189"/>
    </row>
    <row r="715" spans="7:7" ht="24" customHeight="1">
      <c r="G715" s="189"/>
    </row>
    <row r="716" spans="7:7" ht="24" customHeight="1">
      <c r="G716" s="189"/>
    </row>
    <row r="717" spans="7:7" ht="24" customHeight="1">
      <c r="G717" s="189"/>
    </row>
    <row r="718" spans="7:7" ht="24" customHeight="1">
      <c r="G718" s="189"/>
    </row>
    <row r="719" spans="7:7" ht="24" customHeight="1">
      <c r="G719" s="189"/>
    </row>
    <row r="720" spans="7:7" ht="24" customHeight="1">
      <c r="G720" s="189"/>
    </row>
    <row r="721" spans="7:7" ht="24" customHeight="1">
      <c r="G721" s="189"/>
    </row>
    <row r="722" spans="7:7" ht="24" customHeight="1">
      <c r="G722" s="189"/>
    </row>
    <row r="723" spans="7:7" ht="24" customHeight="1">
      <c r="G723" s="189"/>
    </row>
    <row r="724" spans="7:7" ht="24" customHeight="1">
      <c r="G724" s="189"/>
    </row>
    <row r="725" spans="7:7" ht="24" customHeight="1">
      <c r="G725" s="189"/>
    </row>
    <row r="726" spans="7:7" ht="24" customHeight="1">
      <c r="G726" s="189"/>
    </row>
    <row r="727" spans="7:7" ht="24" customHeight="1">
      <c r="G727" s="189"/>
    </row>
    <row r="728" spans="7:7" ht="24" customHeight="1">
      <c r="G728" s="189"/>
    </row>
    <row r="729" spans="7:7" ht="24" customHeight="1">
      <c r="G729" s="189"/>
    </row>
    <row r="730" spans="7:7" ht="24" customHeight="1">
      <c r="G730" s="189"/>
    </row>
    <row r="731" spans="7:7" ht="24" customHeight="1">
      <c r="G731" s="189"/>
    </row>
    <row r="732" spans="7:7" ht="24" customHeight="1">
      <c r="G732" s="189"/>
    </row>
    <row r="733" spans="7:7" ht="24" customHeight="1">
      <c r="G733" s="189"/>
    </row>
    <row r="734" spans="7:7" ht="24" customHeight="1">
      <c r="G734" s="189"/>
    </row>
    <row r="735" spans="7:7" ht="24" customHeight="1">
      <c r="G735" s="189"/>
    </row>
    <row r="736" spans="7:7" ht="24" customHeight="1">
      <c r="G736" s="189"/>
    </row>
    <row r="737" spans="7:7" ht="24" customHeight="1">
      <c r="G737" s="189"/>
    </row>
    <row r="738" spans="7:7" ht="24" customHeight="1">
      <c r="G738" s="189"/>
    </row>
    <row r="739" spans="7:7" ht="24" customHeight="1">
      <c r="G739" s="189"/>
    </row>
    <row r="740" spans="7:7" ht="24" customHeight="1">
      <c r="G740" s="189"/>
    </row>
    <row r="741" spans="7:7" ht="24" customHeight="1">
      <c r="G741" s="189"/>
    </row>
    <row r="742" spans="7:7" ht="24" customHeight="1">
      <c r="G742" s="189"/>
    </row>
    <row r="743" spans="7:7" ht="24" customHeight="1">
      <c r="G743" s="189"/>
    </row>
    <row r="744" spans="7:7" ht="24" customHeight="1">
      <c r="G744" s="189"/>
    </row>
    <row r="745" spans="7:7" ht="24" customHeight="1">
      <c r="G745" s="189"/>
    </row>
    <row r="746" spans="7:7" ht="24" customHeight="1">
      <c r="G746" s="189"/>
    </row>
    <row r="747" spans="7:7" ht="24" customHeight="1">
      <c r="G747" s="189"/>
    </row>
    <row r="748" spans="7:7" ht="24" customHeight="1">
      <c r="G748" s="189"/>
    </row>
    <row r="749" spans="7:7" ht="24" customHeight="1">
      <c r="G749" s="189"/>
    </row>
    <row r="750" spans="7:7" ht="24" customHeight="1">
      <c r="G750" s="189"/>
    </row>
    <row r="751" spans="7:7" ht="24" customHeight="1">
      <c r="G751" s="189"/>
    </row>
    <row r="752" spans="7:7" ht="24" customHeight="1">
      <c r="G752" s="189"/>
    </row>
    <row r="753" spans="7:19" ht="24" customHeight="1">
      <c r="G753" s="189"/>
    </row>
    <row r="754" spans="7:19" ht="24" customHeight="1">
      <c r="G754" s="189"/>
    </row>
    <row r="755" spans="7:19" ht="24" customHeight="1">
      <c r="G755" s="189"/>
    </row>
    <row r="756" spans="7:19" ht="24" customHeight="1">
      <c r="G756" s="189"/>
    </row>
    <row r="757" spans="7:19" ht="24" customHeight="1">
      <c r="G757" s="189"/>
    </row>
    <row r="758" spans="7:19" ht="24" customHeight="1">
      <c r="G758" s="189"/>
    </row>
    <row r="759" spans="7:19" ht="24" customHeight="1">
      <c r="G759" s="189"/>
    </row>
    <row r="760" spans="7:19" ht="24" customHeight="1">
      <c r="G760" s="189"/>
    </row>
    <row r="761" spans="7:19" ht="24" customHeight="1">
      <c r="G761" s="189"/>
    </row>
    <row r="762" spans="7:19" ht="24" customHeight="1">
      <c r="G762" s="189"/>
    </row>
    <row r="763" spans="7:19" ht="24" customHeight="1">
      <c r="G763" s="189"/>
    </row>
    <row r="764" spans="7:19" ht="23.25">
      <c r="G764" s="189"/>
      <c r="S764" s="372"/>
    </row>
    <row r="765" spans="7:19" ht="24" customHeight="1">
      <c r="G765" s="189"/>
    </row>
    <row r="766" spans="7:19" ht="23.25">
      <c r="G766" s="189"/>
    </row>
    <row r="767" spans="7:19" ht="24" customHeight="1">
      <c r="G767" s="189"/>
    </row>
    <row r="768" spans="7:19" ht="24" customHeight="1">
      <c r="G768" s="189"/>
    </row>
    <row r="769" spans="7:7" ht="24" customHeight="1">
      <c r="G769" s="189"/>
    </row>
    <row r="770" spans="7:7" ht="24" customHeight="1">
      <c r="G770" s="189"/>
    </row>
    <row r="771" spans="7:7" ht="24" customHeight="1">
      <c r="G771" s="189"/>
    </row>
    <row r="772" spans="7:7" ht="24" customHeight="1">
      <c r="G772" s="189"/>
    </row>
    <row r="773" spans="7:7" ht="24" customHeight="1">
      <c r="G773" s="189"/>
    </row>
    <row r="774" spans="7:7" ht="24" customHeight="1">
      <c r="G774" s="189"/>
    </row>
    <row r="775" spans="7:7" ht="24" customHeight="1">
      <c r="G775" s="189"/>
    </row>
    <row r="776" spans="7:7" ht="24" customHeight="1">
      <c r="G776" s="189"/>
    </row>
    <row r="777" spans="7:7" ht="24" customHeight="1">
      <c r="G777" s="189"/>
    </row>
    <row r="778" spans="7:7" ht="24" customHeight="1">
      <c r="G778" s="189"/>
    </row>
    <row r="779" spans="7:7" ht="24" customHeight="1">
      <c r="G779" s="189"/>
    </row>
    <row r="780" spans="7:7" ht="24" customHeight="1">
      <c r="G780" s="189"/>
    </row>
    <row r="781" spans="7:7" ht="24" customHeight="1">
      <c r="G781" s="189"/>
    </row>
    <row r="782" spans="7:7" ht="24" customHeight="1">
      <c r="G782" s="189"/>
    </row>
    <row r="783" spans="7:7" ht="24" customHeight="1">
      <c r="G783" s="189"/>
    </row>
    <row r="784" spans="7:7" ht="24" customHeight="1">
      <c r="G784" s="189"/>
    </row>
    <row r="785" spans="7:7" ht="24" customHeight="1">
      <c r="G785" s="189"/>
    </row>
    <row r="786" spans="7:7" ht="24" customHeight="1">
      <c r="G786" s="189"/>
    </row>
    <row r="787" spans="7:7" ht="24" customHeight="1">
      <c r="G787" s="189"/>
    </row>
    <row r="788" spans="7:7" ht="24" customHeight="1">
      <c r="G788" s="189"/>
    </row>
    <row r="789" spans="7:7" ht="24" customHeight="1">
      <c r="G789" s="189"/>
    </row>
    <row r="790" spans="7:7" ht="24" customHeight="1">
      <c r="G790" s="189"/>
    </row>
    <row r="791" spans="7:7" ht="24" customHeight="1">
      <c r="G791" s="189"/>
    </row>
    <row r="792" spans="7:7" ht="24" customHeight="1">
      <c r="G792" s="189"/>
    </row>
    <row r="793" spans="7:7" ht="24" customHeight="1">
      <c r="G793" s="189"/>
    </row>
    <row r="794" spans="7:7" ht="24" customHeight="1">
      <c r="G794" s="189"/>
    </row>
    <row r="795" spans="7:7" ht="24" customHeight="1">
      <c r="G795" s="189"/>
    </row>
    <row r="796" spans="7:7" ht="24" customHeight="1">
      <c r="G796" s="189"/>
    </row>
    <row r="797" spans="7:7" ht="24" customHeight="1">
      <c r="G797" s="189"/>
    </row>
    <row r="798" spans="7:7" ht="24" customHeight="1">
      <c r="G798" s="189"/>
    </row>
    <row r="799" spans="7:7" ht="24" customHeight="1">
      <c r="G799" s="189"/>
    </row>
    <row r="800" spans="7:7" ht="24" customHeight="1">
      <c r="G800" s="189"/>
    </row>
    <row r="801" spans="7:7" ht="24" customHeight="1">
      <c r="G801" s="189"/>
    </row>
    <row r="802" spans="7:7" ht="24" customHeight="1">
      <c r="G802" s="189"/>
    </row>
    <row r="803" spans="7:7" ht="24" customHeight="1">
      <c r="G803" s="189"/>
    </row>
    <row r="804" spans="7:7" ht="24" customHeight="1">
      <c r="G804" s="189"/>
    </row>
    <row r="805" spans="7:7" ht="24" customHeight="1">
      <c r="G805" s="189"/>
    </row>
    <row r="806" spans="7:7" ht="24" customHeight="1">
      <c r="G806" s="189"/>
    </row>
    <row r="807" spans="7:7" ht="24" customHeight="1">
      <c r="G807" s="189"/>
    </row>
    <row r="808" spans="7:7" ht="24" customHeight="1">
      <c r="G808" s="189"/>
    </row>
    <row r="809" spans="7:7" ht="24" customHeight="1">
      <c r="G809" s="189"/>
    </row>
    <row r="810" spans="7:7" ht="24" customHeight="1">
      <c r="G810" s="189"/>
    </row>
    <row r="811" spans="7:7" ht="24" customHeight="1">
      <c r="G811" s="189"/>
    </row>
    <row r="812" spans="7:7" ht="24" customHeight="1">
      <c r="G812" s="189"/>
    </row>
    <row r="813" spans="7:7" ht="24" customHeight="1">
      <c r="G813" s="189"/>
    </row>
    <row r="814" spans="7:7" ht="24" customHeight="1">
      <c r="G814" s="189"/>
    </row>
    <row r="815" spans="7:7" ht="24" customHeight="1">
      <c r="G815" s="189"/>
    </row>
    <row r="816" spans="7:7" ht="24" customHeight="1">
      <c r="G816" s="189"/>
    </row>
    <row r="817" spans="7:19" ht="24" customHeight="1">
      <c r="G817" s="189"/>
    </row>
    <row r="818" spans="7:19" ht="24" customHeight="1">
      <c r="G818" s="189"/>
    </row>
    <row r="819" spans="7:19" ht="24" customHeight="1">
      <c r="G819" s="189"/>
    </row>
    <row r="820" spans="7:19" ht="24" customHeight="1">
      <c r="G820" s="189"/>
    </row>
    <row r="821" spans="7:19" ht="24" customHeight="1">
      <c r="G821" s="189"/>
    </row>
    <row r="822" spans="7:19" ht="24" customHeight="1">
      <c r="G822" s="189"/>
    </row>
    <row r="823" spans="7:19" ht="24" customHeight="1">
      <c r="G823" s="189"/>
    </row>
    <row r="824" spans="7:19" ht="24" customHeight="1">
      <c r="G824" s="189"/>
    </row>
    <row r="825" spans="7:19" ht="24" customHeight="1">
      <c r="G825" s="189"/>
    </row>
    <row r="826" spans="7:19" ht="24" customHeight="1">
      <c r="G826" s="189"/>
    </row>
    <row r="827" spans="7:19" ht="24" customHeight="1">
      <c r="G827" s="189"/>
    </row>
    <row r="828" spans="7:19" ht="24" customHeight="1">
      <c r="G828" s="189"/>
    </row>
    <row r="829" spans="7:19" ht="24" customHeight="1">
      <c r="G829" s="189"/>
    </row>
    <row r="830" spans="7:19" ht="23.25">
      <c r="G830" s="189"/>
      <c r="S830" s="372"/>
    </row>
    <row r="831" spans="7:19" ht="24" customHeight="1">
      <c r="G831" s="189"/>
    </row>
    <row r="832" spans="7:19" ht="24" customHeight="1">
      <c r="G832" s="189"/>
    </row>
    <row r="833" spans="7:7" ht="24" customHeight="1">
      <c r="G833" s="189"/>
    </row>
    <row r="834" spans="7:7" ht="24" customHeight="1">
      <c r="G834" s="189"/>
    </row>
    <row r="835" spans="7:7" ht="24" customHeight="1">
      <c r="G835" s="189"/>
    </row>
    <row r="836" spans="7:7" ht="24" customHeight="1">
      <c r="G836" s="189"/>
    </row>
    <row r="837" spans="7:7" ht="24" customHeight="1">
      <c r="G837" s="189"/>
    </row>
    <row r="838" spans="7:7" ht="24" customHeight="1">
      <c r="G838" s="189"/>
    </row>
    <row r="839" spans="7:7" ht="24" customHeight="1">
      <c r="G839" s="189"/>
    </row>
    <row r="840" spans="7:7" ht="24" customHeight="1">
      <c r="G840" s="189"/>
    </row>
    <row r="841" spans="7:7" ht="24" customHeight="1">
      <c r="G841" s="189"/>
    </row>
    <row r="842" spans="7:7" ht="24" customHeight="1">
      <c r="G842" s="189"/>
    </row>
    <row r="843" spans="7:7" ht="24" customHeight="1">
      <c r="G843" s="189"/>
    </row>
    <row r="844" spans="7:7" ht="24" customHeight="1">
      <c r="G844" s="189"/>
    </row>
    <row r="845" spans="7:7" ht="24" customHeight="1">
      <c r="G845" s="189"/>
    </row>
    <row r="846" spans="7:7" ht="24" customHeight="1">
      <c r="G846" s="189"/>
    </row>
    <row r="847" spans="7:7" ht="24" customHeight="1">
      <c r="G847" s="189"/>
    </row>
    <row r="848" spans="7:7" ht="24" customHeight="1">
      <c r="G848" s="189"/>
    </row>
    <row r="849" spans="7:7" ht="24" customHeight="1">
      <c r="G849" s="189"/>
    </row>
    <row r="850" spans="7:7" ht="24" customHeight="1">
      <c r="G850" s="189"/>
    </row>
    <row r="851" spans="7:7" ht="24" customHeight="1">
      <c r="G851" s="189"/>
    </row>
    <row r="852" spans="7:7" ht="24" customHeight="1">
      <c r="G852" s="189"/>
    </row>
    <row r="853" spans="7:7" ht="24" customHeight="1">
      <c r="G853" s="189"/>
    </row>
    <row r="854" spans="7:7" ht="24" customHeight="1">
      <c r="G854" s="189"/>
    </row>
    <row r="855" spans="7:7" ht="24" customHeight="1">
      <c r="G855" s="189"/>
    </row>
    <row r="856" spans="7:7" ht="24" customHeight="1">
      <c r="G856" s="189"/>
    </row>
    <row r="857" spans="7:7" ht="24" customHeight="1">
      <c r="G857" s="189"/>
    </row>
    <row r="858" spans="7:7" ht="24" customHeight="1">
      <c r="G858" s="189"/>
    </row>
    <row r="859" spans="7:7" ht="24" customHeight="1">
      <c r="G859" s="189"/>
    </row>
    <row r="860" spans="7:7" ht="24" customHeight="1">
      <c r="G860" s="189"/>
    </row>
    <row r="861" spans="7:7" ht="24" customHeight="1">
      <c r="G861" s="189"/>
    </row>
    <row r="862" spans="7:7" ht="24" customHeight="1">
      <c r="G862" s="189"/>
    </row>
    <row r="863" spans="7:7" ht="24" customHeight="1">
      <c r="G863" s="189"/>
    </row>
    <row r="864" spans="7:7" ht="24" customHeight="1">
      <c r="G864" s="189"/>
    </row>
    <row r="865" spans="7:7" ht="24" customHeight="1">
      <c r="G865" s="189"/>
    </row>
    <row r="866" spans="7:7" ht="24" customHeight="1">
      <c r="G866" s="189"/>
    </row>
    <row r="867" spans="7:7" ht="24" customHeight="1">
      <c r="G867" s="189"/>
    </row>
    <row r="868" spans="7:7" ht="24" customHeight="1">
      <c r="G868" s="189"/>
    </row>
    <row r="869" spans="7:7" ht="24" customHeight="1">
      <c r="G869" s="189"/>
    </row>
    <row r="870" spans="7:7" ht="24" customHeight="1">
      <c r="G870" s="189"/>
    </row>
    <row r="871" spans="7:7" ht="24" customHeight="1">
      <c r="G871" s="189"/>
    </row>
    <row r="872" spans="7:7" ht="24" customHeight="1">
      <c r="G872" s="189"/>
    </row>
    <row r="873" spans="7:7" ht="24" customHeight="1">
      <c r="G873" s="189"/>
    </row>
    <row r="874" spans="7:7" ht="24" customHeight="1">
      <c r="G874" s="189"/>
    </row>
    <row r="875" spans="7:7" ht="24" customHeight="1">
      <c r="G875" s="189"/>
    </row>
    <row r="876" spans="7:7" ht="24" customHeight="1">
      <c r="G876" s="189"/>
    </row>
    <row r="877" spans="7:7" ht="24" customHeight="1">
      <c r="G877" s="189"/>
    </row>
    <row r="878" spans="7:7" ht="24" customHeight="1">
      <c r="G878" s="189"/>
    </row>
    <row r="879" spans="7:7" ht="24" customHeight="1">
      <c r="G879" s="189"/>
    </row>
    <row r="880" spans="7:7" ht="24" customHeight="1">
      <c r="G880" s="189"/>
    </row>
    <row r="881" spans="7:7" ht="24" customHeight="1">
      <c r="G881" s="189"/>
    </row>
    <row r="882" spans="7:7" ht="24" customHeight="1">
      <c r="G882" s="189"/>
    </row>
    <row r="883" spans="7:7" ht="24" customHeight="1">
      <c r="G883" s="189"/>
    </row>
    <row r="884" spans="7:7" ht="24" customHeight="1">
      <c r="G884" s="189"/>
    </row>
    <row r="885" spans="7:7" ht="24" customHeight="1">
      <c r="G885" s="189"/>
    </row>
    <row r="886" spans="7:7" ht="24" customHeight="1">
      <c r="G886" s="189"/>
    </row>
    <row r="887" spans="7:7" ht="24" customHeight="1">
      <c r="G887" s="189"/>
    </row>
    <row r="888" spans="7:7" ht="24" customHeight="1">
      <c r="G888" s="189"/>
    </row>
    <row r="889" spans="7:7" ht="24" customHeight="1">
      <c r="G889" s="189"/>
    </row>
    <row r="890" spans="7:7" ht="24" customHeight="1">
      <c r="G890" s="189"/>
    </row>
    <row r="891" spans="7:7" ht="24" customHeight="1">
      <c r="G891" s="189"/>
    </row>
    <row r="892" spans="7:7" ht="24" customHeight="1">
      <c r="G892" s="189"/>
    </row>
    <row r="893" spans="7:7" ht="24" customHeight="1">
      <c r="G893" s="189"/>
    </row>
    <row r="894" spans="7:7" ht="24" customHeight="1">
      <c r="G894" s="189"/>
    </row>
  </sheetData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4" orientation="landscape" r:id="rId1"/>
  <headerFooter>
    <oddFooter>&amp;CPage &amp;P of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23F9B0DE-ECBB-494F-966C-409B6A76911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AD8:AD1048576</xm:sqref>
        </x14:conditionalFormatting>
        <x14:conditionalFormatting xmlns:xm="http://schemas.microsoft.com/office/excel/2006/main">
          <x14:cfRule type="iconSet" priority="15" id="{3631F129-E38B-4C9D-A950-DE0E3CD9A0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AE11:AE1048576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1181"/>
  <sheetViews>
    <sheetView showGridLines="0" topLeftCell="A3" zoomScale="80" zoomScaleNormal="80" workbookViewId="0">
      <pane ySplit="5" topLeftCell="A8" activePane="bottomLeft" state="frozen"/>
      <selection activeCell="L28" sqref="L28"/>
      <selection pane="bottomLeft" activeCell="K21" sqref="K21"/>
    </sheetView>
  </sheetViews>
  <sheetFormatPr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8" customWidth="1"/>
    <col min="9" max="9" width="18.7109375" style="126" customWidth="1"/>
    <col min="10" max="10" width="21.28515625" style="143" customWidth="1"/>
    <col min="11" max="11" width="46.42578125" style="164" bestFit="1" customWidth="1"/>
    <col min="12" max="12" width="9.5703125" style="126" customWidth="1"/>
    <col min="13" max="13" width="16.7109375" style="126" customWidth="1"/>
    <col min="14" max="14" width="18.28515625" style="164" customWidth="1"/>
    <col min="15" max="15" width="14" style="126" customWidth="1"/>
    <col min="16" max="16" width="21.28515625" style="126" customWidth="1"/>
    <col min="17" max="17" width="14" style="126" customWidth="1"/>
    <col min="18" max="18" width="17" style="126" bestFit="1" customWidth="1"/>
    <col min="19" max="20" width="17.7109375" style="226" customWidth="1"/>
    <col min="21" max="21" width="22.5703125" style="226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87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265"/>
      <c r="D4" s="266"/>
      <c r="E4" s="386"/>
      <c r="F4" s="266"/>
      <c r="G4" s="266"/>
      <c r="H4" s="267"/>
      <c r="I4" s="266"/>
      <c r="J4" s="268"/>
      <c r="K4" s="269"/>
      <c r="L4" s="266"/>
      <c r="M4" s="266"/>
      <c r="N4" s="269"/>
      <c r="O4" s="266"/>
      <c r="P4" s="266"/>
      <c r="Q4" s="266"/>
      <c r="R4" s="266"/>
      <c r="S4" s="270"/>
      <c r="T4" s="270"/>
      <c r="U4" s="270"/>
      <c r="V4" s="266"/>
      <c r="W4" s="266"/>
      <c r="X4" s="266"/>
      <c r="Y4" s="266"/>
      <c r="Z4" s="266"/>
      <c r="AA4" s="266"/>
      <c r="AB4" s="266"/>
    </row>
    <row r="5" spans="3:32" ht="21.95" customHeight="1">
      <c r="E5" s="139"/>
    </row>
    <row r="6" spans="3:32" customFormat="1" ht="29.25" customHeight="1">
      <c r="C6" s="344" t="s">
        <v>10</v>
      </c>
      <c r="D6" s="344" t="s">
        <v>123</v>
      </c>
      <c r="E6" s="344" t="s">
        <v>290</v>
      </c>
      <c r="F6" s="344" t="s">
        <v>123</v>
      </c>
      <c r="G6" s="344" t="s">
        <v>123</v>
      </c>
      <c r="H6" s="344" t="s">
        <v>24</v>
      </c>
      <c r="I6" s="344" t="s">
        <v>101</v>
      </c>
      <c r="J6" s="344" t="s">
        <v>37</v>
      </c>
      <c r="K6" s="344" t="s">
        <v>38</v>
      </c>
      <c r="L6" s="344" t="s">
        <v>16</v>
      </c>
      <c r="M6" s="344" t="s">
        <v>281</v>
      </c>
      <c r="N6" s="344" t="s">
        <v>13</v>
      </c>
      <c r="O6" s="344" t="s">
        <v>198</v>
      </c>
      <c r="P6" s="344" t="s">
        <v>265</v>
      </c>
      <c r="Q6" s="344" t="s">
        <v>276</v>
      </c>
      <c r="R6" s="344" t="s">
        <v>267</v>
      </c>
      <c r="S6" s="344" t="s">
        <v>14</v>
      </c>
      <c r="T6" s="344" t="s">
        <v>39</v>
      </c>
      <c r="U6" s="344" t="s">
        <v>33</v>
      </c>
      <c r="V6" s="344" t="s">
        <v>214</v>
      </c>
      <c r="W6" s="344" t="s">
        <v>211</v>
      </c>
      <c r="X6" s="344" t="s">
        <v>15</v>
      </c>
      <c r="Y6" s="344" t="s">
        <v>23</v>
      </c>
      <c r="Z6" s="344" t="s">
        <v>95</v>
      </c>
      <c r="AA6" s="344" t="s">
        <v>120</v>
      </c>
      <c r="AB6" s="344" t="s">
        <v>109</v>
      </c>
      <c r="AC6" s="2"/>
      <c r="AE6" s="150"/>
      <c r="AF6" s="150"/>
    </row>
    <row r="7" spans="3:32" customFormat="1" ht="15">
      <c r="C7" s="345" t="s">
        <v>139</v>
      </c>
      <c r="D7" s="345" t="s">
        <v>200</v>
      </c>
      <c r="E7" s="345" t="s">
        <v>289</v>
      </c>
      <c r="F7" s="345" t="s">
        <v>485</v>
      </c>
      <c r="G7" s="345" t="s">
        <v>29</v>
      </c>
      <c r="H7" s="345" t="s">
        <v>40</v>
      </c>
      <c r="I7" s="345" t="s">
        <v>100</v>
      </c>
      <c r="J7" s="345" t="s">
        <v>35</v>
      </c>
      <c r="K7" s="345" t="s">
        <v>36</v>
      </c>
      <c r="L7" s="345" t="s">
        <v>18</v>
      </c>
      <c r="M7" s="345" t="s">
        <v>196</v>
      </c>
      <c r="N7" s="345" t="s">
        <v>199</v>
      </c>
      <c r="O7" s="345" t="s">
        <v>197</v>
      </c>
      <c r="P7" s="345" t="s">
        <v>288</v>
      </c>
      <c r="Q7" s="345" t="s">
        <v>287</v>
      </c>
      <c r="R7" s="345" t="s">
        <v>278</v>
      </c>
      <c r="S7" s="345" t="s">
        <v>19</v>
      </c>
      <c r="T7" s="345" t="s">
        <v>8</v>
      </c>
      <c r="U7" s="345" t="s">
        <v>201</v>
      </c>
      <c r="V7" s="345" t="s">
        <v>423</v>
      </c>
      <c r="W7" s="345" t="s">
        <v>202</v>
      </c>
      <c r="X7" s="345" t="s">
        <v>472</v>
      </c>
      <c r="Y7" s="345" t="s">
        <v>26</v>
      </c>
      <c r="Z7" s="345" t="s">
        <v>2</v>
      </c>
      <c r="AA7" s="345" t="s">
        <v>121</v>
      </c>
      <c r="AB7" s="345" t="s">
        <v>98</v>
      </c>
      <c r="AC7" s="2"/>
    </row>
    <row r="8" spans="3:32" ht="21.95" customHeight="1">
      <c r="C8" s="126">
        <v>1</v>
      </c>
      <c r="D8" s="126">
        <v>1</v>
      </c>
      <c r="F8" s="126" t="s">
        <v>572</v>
      </c>
      <c r="G8" s="174" t="s">
        <v>573</v>
      </c>
      <c r="H8" s="168">
        <v>46213</v>
      </c>
      <c r="I8" s="126">
        <v>1</v>
      </c>
      <c r="J8" s="143" t="s">
        <v>556</v>
      </c>
      <c r="K8" s="164" t="s">
        <v>557</v>
      </c>
      <c r="L8" s="126">
        <v>5</v>
      </c>
      <c r="M8" s="126">
        <v>0</v>
      </c>
      <c r="N8" s="164" t="s">
        <v>563</v>
      </c>
      <c r="O8" s="126">
        <v>1</v>
      </c>
      <c r="S8" s="226">
        <v>74.400000000000006</v>
      </c>
      <c r="T8" s="226">
        <v>84</v>
      </c>
      <c r="U8" s="226">
        <v>420</v>
      </c>
      <c r="W8" s="254"/>
      <c r="X8" s="254"/>
      <c r="Y8" s="126">
        <v>2</v>
      </c>
      <c r="Z8" s="126">
        <v>7</v>
      </c>
      <c r="AA8" s="126">
        <v>2026</v>
      </c>
      <c r="AB8" s="395">
        <v>1</v>
      </c>
      <c r="AD8" s="396"/>
    </row>
    <row r="9" spans="3:32" ht="21.95" customHeight="1">
      <c r="C9" s="126">
        <v>2</v>
      </c>
      <c r="D9" s="126">
        <v>2</v>
      </c>
      <c r="F9" s="126" t="s">
        <v>595</v>
      </c>
      <c r="G9" s="174" t="s">
        <v>583</v>
      </c>
      <c r="H9" s="168">
        <v>46215</v>
      </c>
      <c r="I9" s="126">
        <v>1</v>
      </c>
      <c r="J9" s="143" t="s">
        <v>556</v>
      </c>
      <c r="K9" s="164" t="s">
        <v>557</v>
      </c>
      <c r="L9" s="126">
        <v>15</v>
      </c>
      <c r="M9" s="126">
        <v>0</v>
      </c>
      <c r="N9" s="164" t="s">
        <v>563</v>
      </c>
      <c r="O9" s="126">
        <v>1</v>
      </c>
      <c r="S9" s="226">
        <v>74.400000000000006</v>
      </c>
      <c r="T9" s="226">
        <v>84</v>
      </c>
      <c r="U9" s="226">
        <v>1260</v>
      </c>
      <c r="W9" s="254"/>
      <c r="X9" s="254"/>
      <c r="Y9" s="126">
        <v>2</v>
      </c>
      <c r="Z9" s="126">
        <v>7</v>
      </c>
      <c r="AA9" s="126">
        <v>2026</v>
      </c>
      <c r="AB9" s="395">
        <v>1</v>
      </c>
      <c r="AD9" s="396"/>
    </row>
    <row r="10" spans="3:32" ht="21.95" customHeight="1">
      <c r="C10" s="126">
        <v>3</v>
      </c>
      <c r="D10" s="126">
        <v>3</v>
      </c>
      <c r="F10" s="126" t="s">
        <v>595</v>
      </c>
      <c r="G10" s="168" t="s">
        <v>590</v>
      </c>
      <c r="H10" s="168">
        <v>46215</v>
      </c>
      <c r="I10" s="126">
        <v>1</v>
      </c>
      <c r="J10" s="143" t="s">
        <v>556</v>
      </c>
      <c r="K10" s="164" t="s">
        <v>557</v>
      </c>
      <c r="L10" s="126">
        <v>10</v>
      </c>
      <c r="M10" s="126">
        <v>0</v>
      </c>
      <c r="N10" s="164" t="s">
        <v>563</v>
      </c>
      <c r="O10" s="126">
        <v>1</v>
      </c>
      <c r="S10" s="226">
        <v>74.400000000000006</v>
      </c>
      <c r="T10" s="226">
        <v>84</v>
      </c>
      <c r="U10" s="226">
        <v>840</v>
      </c>
      <c r="W10" s="254"/>
      <c r="X10" s="254"/>
      <c r="Y10" s="126">
        <v>2</v>
      </c>
      <c r="Z10" s="126">
        <v>7</v>
      </c>
      <c r="AA10" s="126">
        <v>2026</v>
      </c>
      <c r="AB10" s="395">
        <v>1</v>
      </c>
      <c r="AD10" s="396"/>
    </row>
    <row r="11" spans="3:32" ht="21.95" customHeight="1">
      <c r="C11" s="126">
        <v>4</v>
      </c>
      <c r="D11" s="126">
        <v>4</v>
      </c>
      <c r="F11" s="126" t="s">
        <v>595</v>
      </c>
      <c r="G11" s="168" t="s">
        <v>596</v>
      </c>
      <c r="H11" s="168">
        <v>46215</v>
      </c>
      <c r="I11" s="126">
        <v>3</v>
      </c>
      <c r="J11" s="143" t="s">
        <v>556</v>
      </c>
      <c r="K11" s="164" t="s">
        <v>557</v>
      </c>
      <c r="L11" s="126">
        <v>20</v>
      </c>
      <c r="M11" s="126">
        <v>0</v>
      </c>
      <c r="N11" s="164" t="s">
        <v>563</v>
      </c>
      <c r="O11" s="126">
        <v>1</v>
      </c>
      <c r="S11" s="226">
        <v>74.400000000000006</v>
      </c>
      <c r="T11" s="226">
        <v>84</v>
      </c>
      <c r="U11" s="226">
        <v>1680</v>
      </c>
      <c r="W11" s="254"/>
      <c r="X11" s="254"/>
      <c r="Y11" s="126">
        <v>2</v>
      </c>
      <c r="Z11" s="126">
        <v>7</v>
      </c>
      <c r="AA11" s="126">
        <v>2026</v>
      </c>
      <c r="AB11" s="395">
        <v>1</v>
      </c>
      <c r="AD11" s="396"/>
    </row>
    <row r="12" spans="3:32" ht="21.95" customHeight="1">
      <c r="C12" s="126">
        <v>5</v>
      </c>
      <c r="D12" s="126">
        <v>5</v>
      </c>
      <c r="F12" s="126" t="s">
        <v>649</v>
      </c>
      <c r="G12" s="126" t="s">
        <v>650</v>
      </c>
      <c r="H12" s="168">
        <v>46216</v>
      </c>
      <c r="I12" s="126">
        <v>1</v>
      </c>
      <c r="J12" s="143" t="s">
        <v>486</v>
      </c>
      <c r="K12" s="164" t="s">
        <v>487</v>
      </c>
      <c r="L12" s="126">
        <v>2</v>
      </c>
      <c r="M12" s="126">
        <v>0</v>
      </c>
      <c r="N12" s="164" t="s">
        <v>613</v>
      </c>
      <c r="O12" s="126">
        <v>1</v>
      </c>
      <c r="S12" s="226">
        <v>27.34</v>
      </c>
      <c r="T12" s="226">
        <v>28.5</v>
      </c>
      <c r="U12" s="226">
        <v>57</v>
      </c>
      <c r="W12" s="254"/>
      <c r="X12" s="254"/>
      <c r="Y12" s="126">
        <v>2</v>
      </c>
      <c r="Z12" s="126">
        <v>7</v>
      </c>
      <c r="AA12" s="126">
        <v>2026</v>
      </c>
      <c r="AB12" s="395">
        <v>1</v>
      </c>
      <c r="AD12" s="396"/>
    </row>
    <row r="13" spans="3:32" ht="21.95" customHeight="1">
      <c r="C13" s="126">
        <v>6</v>
      </c>
      <c r="D13" s="126">
        <v>5</v>
      </c>
      <c r="F13" s="126" t="s">
        <v>649</v>
      </c>
      <c r="G13" s="126" t="s">
        <v>650</v>
      </c>
      <c r="H13" s="168">
        <v>46216</v>
      </c>
      <c r="I13" s="126">
        <v>1</v>
      </c>
      <c r="J13" s="143" t="s">
        <v>615</v>
      </c>
      <c r="K13" s="164" t="s">
        <v>616</v>
      </c>
      <c r="L13" s="126">
        <v>2</v>
      </c>
      <c r="M13" s="126">
        <v>0</v>
      </c>
      <c r="N13" s="164" t="s">
        <v>613</v>
      </c>
      <c r="O13" s="126">
        <v>1</v>
      </c>
      <c r="S13" s="226">
        <v>11.32</v>
      </c>
      <c r="T13" s="226">
        <v>12</v>
      </c>
      <c r="U13" s="226">
        <v>24</v>
      </c>
      <c r="W13" s="254"/>
      <c r="X13" s="254"/>
      <c r="Y13" s="126">
        <v>2</v>
      </c>
      <c r="Z13" s="126">
        <v>7</v>
      </c>
      <c r="AA13" s="126">
        <v>2026</v>
      </c>
      <c r="AB13" s="395">
        <v>1</v>
      </c>
      <c r="AD13" s="396"/>
    </row>
    <row r="14" spans="3:32" ht="21.95" customHeight="1">
      <c r="C14" s="126">
        <v>7</v>
      </c>
      <c r="D14" s="126">
        <v>5</v>
      </c>
      <c r="F14" s="126" t="s">
        <v>649</v>
      </c>
      <c r="G14" s="126" t="s">
        <v>650</v>
      </c>
      <c r="H14" s="168">
        <v>46216</v>
      </c>
      <c r="I14" s="126">
        <v>1</v>
      </c>
      <c r="J14" s="143" t="s">
        <v>618</v>
      </c>
      <c r="K14" s="164" t="s">
        <v>619</v>
      </c>
      <c r="L14" s="126">
        <v>2</v>
      </c>
      <c r="M14" s="126">
        <v>0</v>
      </c>
      <c r="N14" s="164" t="s">
        <v>613</v>
      </c>
      <c r="O14" s="126">
        <v>1</v>
      </c>
      <c r="S14" s="226">
        <v>8.8000000000000007</v>
      </c>
      <c r="T14" s="226">
        <v>9.5</v>
      </c>
      <c r="U14" s="226">
        <v>19</v>
      </c>
      <c r="W14" s="254"/>
      <c r="X14" s="254"/>
      <c r="Y14" s="126">
        <v>2</v>
      </c>
      <c r="Z14" s="126">
        <v>7</v>
      </c>
      <c r="AA14" s="126">
        <v>2026</v>
      </c>
      <c r="AB14" s="395">
        <v>1</v>
      </c>
      <c r="AD14" s="396"/>
    </row>
    <row r="15" spans="3:32" ht="21.95" customHeight="1">
      <c r="C15" s="396">
        <v>8</v>
      </c>
      <c r="D15" s="126">
        <v>5</v>
      </c>
      <c r="F15" s="126" t="s">
        <v>649</v>
      </c>
      <c r="G15" s="126" t="s">
        <v>650</v>
      </c>
      <c r="H15" s="168">
        <v>46216</v>
      </c>
      <c r="I15" s="126">
        <v>1</v>
      </c>
      <c r="J15" s="143" t="s">
        <v>621</v>
      </c>
      <c r="K15" s="164" t="s">
        <v>622</v>
      </c>
      <c r="L15" s="126">
        <v>2</v>
      </c>
      <c r="M15" s="126">
        <v>0</v>
      </c>
      <c r="N15" s="164" t="s">
        <v>613</v>
      </c>
      <c r="O15" s="126">
        <v>1</v>
      </c>
      <c r="S15" s="226">
        <v>5.8</v>
      </c>
      <c r="T15" s="226">
        <v>6.5</v>
      </c>
      <c r="U15" s="226">
        <v>13</v>
      </c>
      <c r="W15" s="254"/>
      <c r="X15" s="254"/>
      <c r="Y15" s="126">
        <v>2</v>
      </c>
      <c r="Z15" s="126">
        <v>7</v>
      </c>
      <c r="AA15" s="126">
        <v>2026</v>
      </c>
      <c r="AB15" s="395">
        <v>1</v>
      </c>
      <c r="AD15" s="396"/>
    </row>
    <row r="16" spans="3:32" ht="21.95" customHeight="1">
      <c r="C16" s="396">
        <v>9</v>
      </c>
      <c r="D16" s="126">
        <v>5</v>
      </c>
      <c r="F16" s="126" t="s">
        <v>649</v>
      </c>
      <c r="G16" s="126" t="s">
        <v>650</v>
      </c>
      <c r="H16" s="168">
        <v>46216</v>
      </c>
      <c r="I16" s="126">
        <v>1</v>
      </c>
      <c r="J16" s="143" t="s">
        <v>624</v>
      </c>
      <c r="K16" s="164" t="s">
        <v>625</v>
      </c>
      <c r="L16" s="126">
        <v>2</v>
      </c>
      <c r="M16" s="126">
        <v>0</v>
      </c>
      <c r="N16" s="164" t="s">
        <v>613</v>
      </c>
      <c r="O16" s="126">
        <v>1</v>
      </c>
      <c r="S16" s="226">
        <v>3.74</v>
      </c>
      <c r="T16" s="226">
        <v>4.25</v>
      </c>
      <c r="U16" s="226">
        <v>8.5</v>
      </c>
      <c r="W16" s="254"/>
      <c r="X16" s="254"/>
      <c r="Y16" s="126">
        <v>2</v>
      </c>
      <c r="Z16" s="126">
        <v>7</v>
      </c>
      <c r="AA16" s="126">
        <v>2026</v>
      </c>
      <c r="AB16" s="387">
        <v>1</v>
      </c>
      <c r="AD16" s="396"/>
    </row>
    <row r="17" spans="3:30" ht="21.95" customHeight="1">
      <c r="C17" s="396">
        <v>10</v>
      </c>
      <c r="D17" s="126">
        <v>5</v>
      </c>
      <c r="F17" s="126" t="s">
        <v>649</v>
      </c>
      <c r="G17" s="126" t="s">
        <v>650</v>
      </c>
      <c r="H17" s="168">
        <v>46216</v>
      </c>
      <c r="I17" s="126">
        <v>1</v>
      </c>
      <c r="J17" s="143" t="s">
        <v>634</v>
      </c>
      <c r="K17" s="164" t="s">
        <v>635</v>
      </c>
      <c r="L17" s="126">
        <v>2</v>
      </c>
      <c r="M17" s="126">
        <v>0</v>
      </c>
      <c r="N17" s="164" t="s">
        <v>613</v>
      </c>
      <c r="O17" s="126">
        <v>1</v>
      </c>
      <c r="S17" s="226">
        <v>2.89</v>
      </c>
      <c r="T17" s="226">
        <v>3.5</v>
      </c>
      <c r="U17" s="226">
        <v>7</v>
      </c>
      <c r="W17" s="254"/>
      <c r="X17" s="254"/>
      <c r="Y17" s="126">
        <v>2</v>
      </c>
      <c r="Z17" s="126">
        <v>7</v>
      </c>
      <c r="AA17" s="126">
        <v>2026</v>
      </c>
      <c r="AB17" s="387">
        <v>1</v>
      </c>
      <c r="AD17" s="396"/>
    </row>
    <row r="18" spans="3:30" ht="21.95" customHeight="1">
      <c r="C18" s="396">
        <v>11</v>
      </c>
      <c r="D18" s="126">
        <v>5</v>
      </c>
      <c r="F18" s="126" t="s">
        <v>649</v>
      </c>
      <c r="G18" s="126" t="s">
        <v>650</v>
      </c>
      <c r="H18" s="168">
        <v>46216</v>
      </c>
      <c r="I18" s="126">
        <v>1</v>
      </c>
      <c r="J18" s="143" t="s">
        <v>637</v>
      </c>
      <c r="K18" s="164" t="s">
        <v>638</v>
      </c>
      <c r="L18" s="126">
        <v>2</v>
      </c>
      <c r="M18" s="126">
        <v>0</v>
      </c>
      <c r="N18" s="164" t="s">
        <v>613</v>
      </c>
      <c r="O18" s="126">
        <v>1</v>
      </c>
      <c r="S18" s="226">
        <v>1.79</v>
      </c>
      <c r="T18" s="226">
        <v>2.5</v>
      </c>
      <c r="U18" s="226">
        <v>5</v>
      </c>
      <c r="Y18" s="126">
        <v>2</v>
      </c>
      <c r="Z18" s="126">
        <v>7</v>
      </c>
      <c r="AA18" s="126">
        <v>2026</v>
      </c>
      <c r="AB18" s="387">
        <v>1</v>
      </c>
      <c r="AD18" s="397"/>
    </row>
    <row r="19" spans="3:30" ht="21.95" customHeight="1">
      <c r="C19" s="396">
        <v>12</v>
      </c>
      <c r="D19" s="126">
        <v>5</v>
      </c>
      <c r="F19" s="126" t="s">
        <v>649</v>
      </c>
      <c r="G19" s="126" t="s">
        <v>650</v>
      </c>
      <c r="H19" s="168">
        <v>46216</v>
      </c>
      <c r="I19" s="126">
        <v>1</v>
      </c>
      <c r="J19" s="143" t="s">
        <v>640</v>
      </c>
      <c r="K19" s="164" t="s">
        <v>641</v>
      </c>
      <c r="L19" s="126">
        <v>2</v>
      </c>
      <c r="M19" s="126">
        <v>0</v>
      </c>
      <c r="N19" s="164" t="s">
        <v>613</v>
      </c>
      <c r="O19" s="126">
        <v>1</v>
      </c>
      <c r="S19" s="226">
        <v>1.32</v>
      </c>
      <c r="T19" s="226">
        <v>1.75</v>
      </c>
      <c r="U19" s="226">
        <v>3.5</v>
      </c>
      <c r="Y19" s="126">
        <v>2</v>
      </c>
      <c r="Z19" s="126">
        <v>7</v>
      </c>
      <c r="AA19" s="126">
        <v>2026</v>
      </c>
      <c r="AB19" s="387">
        <v>1</v>
      </c>
      <c r="AC19" s="130"/>
      <c r="AD19" s="396"/>
    </row>
    <row r="20" spans="3:30" ht="21.95" customHeight="1">
      <c r="C20" s="398">
        <v>13</v>
      </c>
      <c r="D20" s="126">
        <v>5</v>
      </c>
      <c r="F20" s="126" t="s">
        <v>649</v>
      </c>
      <c r="G20" s="126" t="s">
        <v>650</v>
      </c>
      <c r="H20" s="168">
        <v>46216</v>
      </c>
      <c r="I20" s="126">
        <v>1</v>
      </c>
      <c r="J20" s="143" t="s">
        <v>643</v>
      </c>
      <c r="K20" s="164" t="s">
        <v>644</v>
      </c>
      <c r="L20" s="126">
        <v>2</v>
      </c>
      <c r="M20" s="126">
        <v>0</v>
      </c>
      <c r="N20" s="164" t="s">
        <v>613</v>
      </c>
      <c r="O20" s="126">
        <v>1</v>
      </c>
      <c r="S20" s="226">
        <v>1.1499999999999999</v>
      </c>
      <c r="T20" s="226">
        <v>1.5</v>
      </c>
      <c r="U20" s="226">
        <v>3</v>
      </c>
      <c r="Y20" s="126">
        <v>2</v>
      </c>
      <c r="Z20" s="126">
        <v>7</v>
      </c>
      <c r="AA20" s="126">
        <v>2026</v>
      </c>
      <c r="AB20" s="387">
        <v>1</v>
      </c>
      <c r="AD20" s="396"/>
    </row>
    <row r="21" spans="3:30" ht="21.95" customHeight="1">
      <c r="C21" s="396">
        <v>14</v>
      </c>
      <c r="D21" s="126">
        <v>5</v>
      </c>
      <c r="F21" s="126" t="s">
        <v>649</v>
      </c>
      <c r="G21" s="126" t="s">
        <v>650</v>
      </c>
      <c r="H21" s="168">
        <v>46216</v>
      </c>
      <c r="I21" s="126">
        <v>1</v>
      </c>
      <c r="J21" s="143" t="s">
        <v>646</v>
      </c>
      <c r="K21" s="164" t="s">
        <v>647</v>
      </c>
      <c r="L21" s="126">
        <v>2</v>
      </c>
      <c r="M21" s="126">
        <v>0</v>
      </c>
      <c r="N21" s="164" t="s">
        <v>613</v>
      </c>
      <c r="O21" s="126">
        <v>1</v>
      </c>
      <c r="S21" s="226">
        <v>14.85</v>
      </c>
      <c r="T21" s="226">
        <v>15.5</v>
      </c>
      <c r="U21" s="226">
        <v>31</v>
      </c>
      <c r="Y21" s="126">
        <v>2</v>
      </c>
      <c r="Z21" s="126">
        <v>7</v>
      </c>
      <c r="AA21" s="126">
        <v>2026</v>
      </c>
      <c r="AB21" s="387">
        <v>1</v>
      </c>
      <c r="AD21" s="396"/>
    </row>
    <row r="22" spans="3:30" ht="21.95" customHeight="1">
      <c r="C22" s="396"/>
      <c r="AB22" s="387"/>
      <c r="AD22" s="396"/>
    </row>
    <row r="23" spans="3:30" ht="21.95" customHeight="1">
      <c r="C23" s="396"/>
      <c r="AB23" s="387"/>
      <c r="AD23" s="396"/>
    </row>
    <row r="24" spans="3:30" ht="21.95" customHeight="1">
      <c r="C24" s="396"/>
      <c r="AB24" s="387"/>
      <c r="AD24" s="396"/>
    </row>
    <row r="25" spans="3:30" ht="21.95" customHeight="1">
      <c r="C25" s="397"/>
      <c r="AB25" s="387"/>
      <c r="AD25" s="396"/>
    </row>
    <row r="26" spans="3:30" ht="21.95" customHeight="1">
      <c r="C26" s="396"/>
      <c r="AB26" s="387"/>
      <c r="AD26" s="396"/>
    </row>
    <row r="27" spans="3:30" ht="21.95" customHeight="1">
      <c r="C27" s="396"/>
      <c r="AB27" s="387"/>
      <c r="AD27" s="396"/>
    </row>
    <row r="28" spans="3:30" ht="21.95" customHeight="1">
      <c r="C28" s="396"/>
      <c r="AB28" s="387"/>
      <c r="AD28" s="396"/>
    </row>
    <row r="29" spans="3:30" ht="21.95" customHeight="1">
      <c r="C29" s="396"/>
      <c r="AB29" s="387"/>
    </row>
    <row r="30" spans="3:30" ht="21.95" customHeight="1">
      <c r="C30" s="396"/>
      <c r="AB30" s="387"/>
    </row>
    <row r="31" spans="3:30" ht="21.95" customHeight="1">
      <c r="C31" s="396"/>
      <c r="AB31" s="387"/>
    </row>
    <row r="32" spans="3:30" ht="21.95" customHeight="1">
      <c r="C32" s="396"/>
      <c r="AB32" s="387"/>
    </row>
    <row r="33" spans="3:28" ht="21.95" customHeight="1">
      <c r="C33" s="396"/>
      <c r="AB33" s="387"/>
    </row>
    <row r="34" spans="3:28" ht="21.95" customHeight="1">
      <c r="C34" s="396"/>
      <c r="W34" s="168"/>
      <c r="AB34" s="387"/>
    </row>
    <row r="35" spans="3:28" ht="21.95" customHeight="1">
      <c r="C35" s="396"/>
      <c r="W35" s="168"/>
      <c r="AB35" s="387"/>
    </row>
    <row r="36" spans="3:28" ht="21.95" customHeight="1">
      <c r="W36" s="168"/>
      <c r="AB36" s="387"/>
    </row>
    <row r="37" spans="3:28" ht="21.95" customHeight="1">
      <c r="W37" s="168"/>
      <c r="AB37" s="387"/>
    </row>
    <row r="38" spans="3:28" ht="21.95" customHeight="1">
      <c r="W38" s="168"/>
      <c r="AB38" s="387"/>
    </row>
    <row r="39" spans="3:28" ht="21.95" customHeight="1">
      <c r="W39" s="168"/>
      <c r="AB39" s="387"/>
    </row>
    <row r="40" spans="3:28" ht="21.95" customHeight="1">
      <c r="W40" s="168"/>
      <c r="AB40" s="387"/>
    </row>
    <row r="41" spans="3:28" ht="21.95" customHeight="1">
      <c r="W41" s="168"/>
      <c r="AB41" s="387"/>
    </row>
    <row r="42" spans="3:28" ht="21.95" customHeight="1">
      <c r="W42" s="168"/>
      <c r="AB42" s="387"/>
    </row>
    <row r="43" spans="3:28" ht="21.95" customHeight="1">
      <c r="W43" s="168"/>
      <c r="AB43" s="387"/>
    </row>
    <row r="44" spans="3:28" ht="21.95" customHeight="1">
      <c r="AB44" s="387"/>
    </row>
    <row r="45" spans="3:28" ht="21.95" customHeight="1">
      <c r="AB45" s="387"/>
    </row>
    <row r="46" spans="3:28" ht="21.95" customHeight="1">
      <c r="AB46" s="387"/>
    </row>
    <row r="47" spans="3:28" ht="21.95" customHeight="1">
      <c r="AB47" s="387"/>
    </row>
    <row r="48" spans="3:28" ht="21.95" customHeight="1">
      <c r="AB48" s="387"/>
    </row>
    <row r="49" spans="28:28" ht="21.95" customHeight="1">
      <c r="AB49" s="387"/>
    </row>
    <row r="50" spans="28:28" ht="21.95" customHeight="1">
      <c r="AB50" s="387"/>
    </row>
    <row r="51" spans="28:28" ht="21.95" customHeight="1">
      <c r="AB51" s="387"/>
    </row>
    <row r="52" spans="28:28" ht="21.95" customHeight="1">
      <c r="AB52" s="387"/>
    </row>
    <row r="53" spans="28:28" ht="21.95" customHeight="1">
      <c r="AB53" s="387"/>
    </row>
    <row r="54" spans="28:28" ht="21.95" customHeight="1">
      <c r="AB54" s="387"/>
    </row>
    <row r="55" spans="28:28" ht="21.95" customHeight="1">
      <c r="AB55" s="387"/>
    </row>
    <row r="56" spans="28:28" ht="21.95" customHeight="1">
      <c r="AB56" s="387"/>
    </row>
    <row r="57" spans="28:28" ht="21.95" customHeight="1">
      <c r="AB57" s="387"/>
    </row>
    <row r="58" spans="28:28" ht="21.95" customHeight="1">
      <c r="AB58" s="387"/>
    </row>
    <row r="59" spans="28:28" ht="21.95" customHeight="1">
      <c r="AB59" s="387"/>
    </row>
    <row r="60" spans="28:28" ht="21.95" customHeight="1">
      <c r="AB60" s="387"/>
    </row>
    <row r="61" spans="28:28" ht="21.95" customHeight="1">
      <c r="AB61" s="387"/>
    </row>
    <row r="62" spans="28:28" ht="21.95" customHeight="1">
      <c r="AB62" s="387"/>
    </row>
    <row r="63" spans="28:28" ht="21.95" customHeight="1">
      <c r="AB63" s="387"/>
    </row>
    <row r="64" spans="28:28" ht="21.95" customHeight="1">
      <c r="AB64" s="387"/>
    </row>
    <row r="65" spans="28:28" ht="21.95" customHeight="1">
      <c r="AB65" s="387"/>
    </row>
    <row r="66" spans="28:28" ht="21.95" customHeight="1">
      <c r="AB66" s="387"/>
    </row>
    <row r="67" spans="28:28" ht="21.95" customHeight="1">
      <c r="AB67" s="387"/>
    </row>
    <row r="68" spans="28:28" ht="21.95" customHeight="1">
      <c r="AB68" s="387"/>
    </row>
    <row r="69" spans="28:28" ht="21.95" customHeight="1">
      <c r="AB69" s="387"/>
    </row>
    <row r="70" spans="28:28" ht="21.95" customHeight="1">
      <c r="AB70" s="387"/>
    </row>
    <row r="71" spans="28:28" ht="21.95" customHeight="1">
      <c r="AB71" s="387"/>
    </row>
    <row r="72" spans="28:28" ht="21.95" customHeight="1">
      <c r="AB72" s="387"/>
    </row>
    <row r="73" spans="28:28" ht="21.95" customHeight="1">
      <c r="AB73" s="387"/>
    </row>
    <row r="74" spans="28:28" ht="21.95" customHeight="1">
      <c r="AB74" s="387"/>
    </row>
    <row r="75" spans="28:28" ht="21.95" customHeight="1">
      <c r="AB75" s="387"/>
    </row>
    <row r="76" spans="28:28" ht="21.95" customHeight="1">
      <c r="AB76" s="387"/>
    </row>
    <row r="77" spans="28:28" ht="21.95" customHeight="1">
      <c r="AB77" s="387"/>
    </row>
    <row r="580" ht="21.75" customHeight="1"/>
    <row r="792" ht="24.75" customHeight="1"/>
    <row r="1181" ht="17.25" customHeight="1"/>
  </sheetData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1" sqref="M11"/>
    </sheetView>
  </sheetViews>
  <sheetFormatPr defaultRowHeight="25.5"/>
  <cols>
    <col min="1" max="1" width="2" style="13" customWidth="1"/>
    <col min="2" max="2" width="3.42578125" style="13" customWidth="1"/>
    <col min="3" max="3" width="7.140625" style="157" customWidth="1"/>
    <col min="4" max="4" width="17.7109375" style="161" customWidth="1"/>
    <col min="5" max="5" width="25.85546875" style="161" customWidth="1"/>
    <col min="6" max="6" width="20.42578125" style="161" customWidth="1"/>
    <col min="7" max="7" width="23" style="158" customWidth="1"/>
    <col min="8" max="8" width="17.5703125" style="159" customWidth="1"/>
    <col min="9" max="9" width="19" style="158" customWidth="1"/>
    <col min="10" max="10" width="20.42578125" style="157" customWidth="1"/>
    <col min="11" max="11" width="28" style="160" customWidth="1"/>
    <col min="12" max="12" width="17.140625" style="157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4"/>
      <c r="E1" s="154"/>
      <c r="F1" s="154"/>
      <c r="G1" s="142"/>
      <c r="H1" s="174"/>
      <c r="I1" s="142"/>
      <c r="J1" s="13"/>
      <c r="K1" s="156"/>
      <c r="L1" s="13"/>
    </row>
    <row r="2" spans="3:12" ht="20.25" hidden="1" customHeight="1">
      <c r="C2" s="13"/>
      <c r="D2" s="154"/>
      <c r="E2" s="154"/>
      <c r="F2" s="154"/>
      <c r="G2" s="142"/>
      <c r="H2" s="174"/>
      <c r="I2" s="142"/>
      <c r="J2" s="13"/>
      <c r="K2" s="156"/>
      <c r="L2" s="13"/>
    </row>
    <row r="3" spans="3:12" ht="20.25" customHeight="1">
      <c r="C3" s="13"/>
      <c r="D3" s="154"/>
      <c r="E3" s="154"/>
      <c r="F3" s="154"/>
      <c r="G3" s="142"/>
      <c r="H3" s="174"/>
      <c r="I3" s="142"/>
      <c r="J3" s="13"/>
      <c r="K3" s="156"/>
      <c r="L3" s="13"/>
    </row>
    <row r="4" spans="3:12" ht="36.75" customHeight="1">
      <c r="C4" s="257" t="s">
        <v>467</v>
      </c>
      <c r="D4" s="271"/>
      <c r="E4" s="271"/>
      <c r="F4" s="271"/>
      <c r="G4" s="272"/>
      <c r="H4" s="273"/>
      <c r="I4" s="272"/>
      <c r="J4" s="272"/>
      <c r="K4" s="272"/>
      <c r="L4" s="272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91" t="s">
        <v>10</v>
      </c>
      <c r="D6" s="291" t="s">
        <v>107</v>
      </c>
      <c r="E6" s="291" t="s">
        <v>142</v>
      </c>
      <c r="F6" s="291" t="s">
        <v>193</v>
      </c>
      <c r="G6" s="291" t="s">
        <v>143</v>
      </c>
      <c r="H6" s="291" t="s">
        <v>150</v>
      </c>
      <c r="I6" s="291" t="s">
        <v>144</v>
      </c>
      <c r="J6" s="291" t="s">
        <v>149</v>
      </c>
      <c r="K6" s="291" t="s">
        <v>15</v>
      </c>
      <c r="L6" s="291" t="s">
        <v>109</v>
      </c>
    </row>
    <row r="7" spans="3:12" ht="19.5" customHeight="1">
      <c r="C7" s="346" t="s">
        <v>139</v>
      </c>
      <c r="D7" s="346" t="s">
        <v>102</v>
      </c>
      <c r="E7" s="346" t="s">
        <v>140</v>
      </c>
      <c r="F7" s="346" t="s">
        <v>194</v>
      </c>
      <c r="G7" s="346" t="s">
        <v>141</v>
      </c>
      <c r="H7" s="346" t="s">
        <v>151</v>
      </c>
      <c r="I7" s="346" t="s">
        <v>392</v>
      </c>
      <c r="J7" s="346" t="s">
        <v>148</v>
      </c>
      <c r="K7" s="346" t="s">
        <v>28</v>
      </c>
      <c r="L7" s="346" t="s">
        <v>98</v>
      </c>
    </row>
    <row r="8" spans="3:12">
      <c r="C8" s="157">
        <v>1</v>
      </c>
      <c r="D8" s="161">
        <v>1</v>
      </c>
      <c r="E8" s="161">
        <v>1</v>
      </c>
      <c r="F8" s="161">
        <v>1</v>
      </c>
      <c r="G8" s="158">
        <v>9</v>
      </c>
      <c r="H8" s="159">
        <v>46213</v>
      </c>
      <c r="I8" s="158" t="s">
        <v>558</v>
      </c>
      <c r="K8" s="160" t="s">
        <v>559</v>
      </c>
      <c r="L8" s="157">
        <v>2</v>
      </c>
    </row>
    <row r="9" spans="3:12">
      <c r="C9" s="157">
        <v>2</v>
      </c>
      <c r="D9" s="161">
        <v>1</v>
      </c>
      <c r="E9" s="161">
        <v>1</v>
      </c>
      <c r="F9" s="161">
        <v>1</v>
      </c>
      <c r="G9" s="158">
        <v>9</v>
      </c>
      <c r="H9" s="159">
        <v>46215</v>
      </c>
      <c r="I9" s="158" t="s">
        <v>588</v>
      </c>
      <c r="K9" s="160" t="s">
        <v>559</v>
      </c>
      <c r="L9" s="157">
        <v>2</v>
      </c>
    </row>
    <row r="10" spans="3:12">
      <c r="C10" s="157">
        <v>3</v>
      </c>
      <c r="D10" s="161">
        <v>1</v>
      </c>
      <c r="E10" s="161">
        <v>1</v>
      </c>
      <c r="F10" s="161">
        <v>2</v>
      </c>
      <c r="G10" s="158">
        <v>9</v>
      </c>
      <c r="H10" s="159">
        <v>46216</v>
      </c>
      <c r="I10" s="158" t="s">
        <v>612</v>
      </c>
      <c r="K10" s="160" t="s">
        <v>559</v>
      </c>
      <c r="L10" s="157">
        <v>2</v>
      </c>
    </row>
    <row r="105" ht="24" customHeight="1"/>
    <row r="258" spans="3:12" s="201" customFormat="1">
      <c r="C258" s="196"/>
      <c r="D258" s="197"/>
      <c r="E258" s="197"/>
      <c r="F258" s="197"/>
      <c r="G258" s="198"/>
      <c r="H258" s="199"/>
      <c r="I258" s="198"/>
      <c r="J258" s="196"/>
      <c r="K258" s="200"/>
      <c r="L258" s="196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8" activePane="bottomLeft" state="frozen"/>
      <selection activeCell="L28" sqref="L28"/>
      <selection pane="bottomLeft" activeCell="I18" sqref="I18"/>
    </sheetView>
  </sheetViews>
  <sheetFormatPr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8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3" customWidth="1"/>
    <col min="13" max="13" width="31" style="164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64" bestFit="1" customWidth="1"/>
    <col min="18" max="18" width="18.42578125" style="153" customWidth="1"/>
    <col min="19" max="19" width="15.7109375" style="153" customWidth="1"/>
    <col min="20" max="20" width="19.7109375" style="228" customWidth="1"/>
    <col min="21" max="21" width="23.28515625" style="228" customWidth="1"/>
    <col min="22" max="22" width="22.42578125" style="172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53"/>
    </row>
    <row r="2" spans="3:35" customFormat="1" ht="24.95" customHeight="1">
      <c r="F2" s="150"/>
      <c r="G2" s="129"/>
      <c r="H2" s="129"/>
      <c r="I2" s="129"/>
      <c r="L2" s="137"/>
      <c r="M2" s="138"/>
      <c r="Q2" s="68"/>
      <c r="R2" s="68"/>
      <c r="S2" s="68"/>
      <c r="T2" s="225"/>
      <c r="U2" s="225"/>
      <c r="V2" s="171"/>
      <c r="W2" s="129"/>
      <c r="X2" s="287"/>
      <c r="AE2" s="150"/>
      <c r="AF2" s="150"/>
    </row>
    <row r="3" spans="3:35" customFormat="1" ht="33.75">
      <c r="C3" s="329" t="s">
        <v>468</v>
      </c>
      <c r="D3" s="259"/>
      <c r="E3" s="259"/>
      <c r="F3" s="274"/>
      <c r="G3" s="275"/>
      <c r="H3" s="275"/>
      <c r="I3" s="275"/>
      <c r="J3" s="259"/>
      <c r="K3" s="259"/>
      <c r="L3" s="276"/>
      <c r="M3" s="277"/>
      <c r="N3" s="259"/>
      <c r="O3" s="259"/>
      <c r="P3" s="2"/>
      <c r="Q3" s="277"/>
      <c r="R3" s="277"/>
      <c r="S3" s="277"/>
      <c r="T3" s="260"/>
      <c r="U3" s="260">
        <f>P8*T8</f>
        <v>4464</v>
      </c>
      <c r="V3" s="278"/>
      <c r="W3" s="275"/>
      <c r="X3" s="287"/>
      <c r="Y3" s="259"/>
      <c r="Z3" s="259"/>
      <c r="AA3" s="259"/>
      <c r="AB3" s="259"/>
    </row>
    <row r="4" spans="3:35" customFormat="1" ht="11.25" customHeight="1">
      <c r="F4" s="150"/>
      <c r="G4" s="129"/>
      <c r="H4" s="129"/>
      <c r="I4" s="129"/>
      <c r="L4" s="137"/>
      <c r="M4" s="138"/>
      <c r="Q4" s="68"/>
      <c r="R4" s="68"/>
      <c r="S4" s="68"/>
      <c r="T4" s="225"/>
      <c r="U4" s="225"/>
      <c r="V4" s="171"/>
      <c r="W4" s="129"/>
      <c r="X4" s="287"/>
    </row>
    <row r="5" spans="3:35" s="13" customFormat="1" ht="9" customHeight="1"/>
    <row r="6" spans="3:35" customFormat="1" ht="28.5" customHeight="1">
      <c r="C6" s="347" t="s">
        <v>10</v>
      </c>
      <c r="D6" s="347" t="s">
        <v>34</v>
      </c>
      <c r="E6" s="347" t="s">
        <v>125</v>
      </c>
      <c r="F6" s="348" t="s">
        <v>24</v>
      </c>
      <c r="G6" s="347" t="s">
        <v>41</v>
      </c>
      <c r="H6" s="347" t="s">
        <v>214</v>
      </c>
      <c r="I6" s="347" t="s">
        <v>211</v>
      </c>
      <c r="J6" s="347" t="s">
        <v>193</v>
      </c>
      <c r="K6" s="347" t="s">
        <v>131</v>
      </c>
      <c r="L6" s="347" t="s">
        <v>37</v>
      </c>
      <c r="M6" s="347" t="s">
        <v>38</v>
      </c>
      <c r="N6" s="347" t="s">
        <v>133</v>
      </c>
      <c r="O6" s="347" t="s">
        <v>122</v>
      </c>
      <c r="P6" s="347" t="s">
        <v>134</v>
      </c>
      <c r="Q6" s="347" t="s">
        <v>13</v>
      </c>
      <c r="R6" s="347" t="s">
        <v>264</v>
      </c>
      <c r="S6" s="347" t="s">
        <v>457</v>
      </c>
      <c r="T6" s="349" t="s">
        <v>138</v>
      </c>
      <c r="U6" s="349" t="s">
        <v>137</v>
      </c>
      <c r="V6" s="350" t="s">
        <v>24</v>
      </c>
      <c r="W6" s="347" t="s">
        <v>192</v>
      </c>
      <c r="X6" s="347" t="s">
        <v>473</v>
      </c>
      <c r="Y6" s="347" t="s">
        <v>109</v>
      </c>
      <c r="Z6" s="347" t="s">
        <v>23</v>
      </c>
      <c r="AA6" s="347" t="s">
        <v>95</v>
      </c>
      <c r="AB6" s="347" t="s">
        <v>120</v>
      </c>
    </row>
    <row r="7" spans="3:35" customFormat="1" ht="21.75" customHeight="1">
      <c r="C7" s="346" t="s">
        <v>139</v>
      </c>
      <c r="D7" s="346" t="s">
        <v>132</v>
      </c>
      <c r="E7" s="346" t="s">
        <v>96</v>
      </c>
      <c r="F7" s="351" t="s">
        <v>216</v>
      </c>
      <c r="G7" s="346" t="s">
        <v>11</v>
      </c>
      <c r="H7" s="346" t="s">
        <v>210</v>
      </c>
      <c r="I7" s="346" t="s">
        <v>424</v>
      </c>
      <c r="J7" s="346" t="s">
        <v>195</v>
      </c>
      <c r="K7" s="346" t="s">
        <v>130</v>
      </c>
      <c r="L7" s="346" t="s">
        <v>35</v>
      </c>
      <c r="M7" s="346" t="s">
        <v>190</v>
      </c>
      <c r="N7" s="346" t="s">
        <v>145</v>
      </c>
      <c r="O7" s="346" t="s">
        <v>146</v>
      </c>
      <c r="P7" s="346" t="s">
        <v>147</v>
      </c>
      <c r="Q7" s="346" t="s">
        <v>4</v>
      </c>
      <c r="R7" s="346" t="s">
        <v>197</v>
      </c>
      <c r="S7" s="346" t="s">
        <v>421</v>
      </c>
      <c r="T7" s="352" t="s">
        <v>135</v>
      </c>
      <c r="U7" s="352" t="s">
        <v>136</v>
      </c>
      <c r="V7" s="353" t="s">
        <v>215</v>
      </c>
      <c r="W7" s="346" t="s">
        <v>191</v>
      </c>
      <c r="X7" s="346" t="s">
        <v>472</v>
      </c>
      <c r="Y7" s="346" t="s">
        <v>98</v>
      </c>
      <c r="Z7" s="346" t="s">
        <v>26</v>
      </c>
      <c r="AA7" s="346" t="s">
        <v>2</v>
      </c>
      <c r="AB7" s="346" t="s">
        <v>121</v>
      </c>
    </row>
    <row r="8" spans="3:35" ht="21.95" customHeight="1">
      <c r="C8" s="126">
        <v>1</v>
      </c>
      <c r="D8" s="126">
        <v>1</v>
      </c>
      <c r="F8" s="168">
        <v>46213</v>
      </c>
      <c r="G8" s="131">
        <v>1</v>
      </c>
      <c r="J8" s="126">
        <v>1</v>
      </c>
      <c r="K8" s="126">
        <v>81</v>
      </c>
      <c r="L8" s="143" t="s">
        <v>556</v>
      </c>
      <c r="M8" s="164" t="s">
        <v>557</v>
      </c>
      <c r="N8" s="126">
        <v>0</v>
      </c>
      <c r="O8" s="126">
        <v>5</v>
      </c>
      <c r="P8" s="126">
        <v>60</v>
      </c>
      <c r="Q8" s="164" t="s">
        <v>563</v>
      </c>
      <c r="R8" s="153">
        <v>1</v>
      </c>
      <c r="T8" s="228">
        <v>74.400000000000006</v>
      </c>
      <c r="U8" s="228">
        <v>372</v>
      </c>
      <c r="V8" s="172">
        <v>46215.679502314815</v>
      </c>
      <c r="W8" s="131" t="s">
        <v>560</v>
      </c>
      <c r="Y8" s="126">
        <v>1</v>
      </c>
      <c r="Z8" s="126">
        <v>2</v>
      </c>
      <c r="AA8" s="126">
        <v>7</v>
      </c>
      <c r="AB8" s="126">
        <v>2026</v>
      </c>
      <c r="AE8" s="143"/>
    </row>
    <row r="9" spans="3:35" ht="21.95" customHeight="1">
      <c r="C9" s="126">
        <v>2</v>
      </c>
      <c r="D9" s="126">
        <v>2</v>
      </c>
      <c r="F9" s="168">
        <v>46215</v>
      </c>
      <c r="G9" s="131">
        <v>1</v>
      </c>
      <c r="J9" s="126">
        <v>1</v>
      </c>
      <c r="K9" s="126">
        <v>81</v>
      </c>
      <c r="L9" s="143" t="s">
        <v>556</v>
      </c>
      <c r="M9" s="164" t="s">
        <v>557</v>
      </c>
      <c r="N9" s="126">
        <v>120</v>
      </c>
      <c r="O9" s="126">
        <v>10</v>
      </c>
      <c r="P9" s="126">
        <v>120</v>
      </c>
      <c r="Q9" s="164" t="s">
        <v>563</v>
      </c>
      <c r="R9" s="153">
        <v>1</v>
      </c>
      <c r="T9" s="228">
        <v>74.400000000000006</v>
      </c>
      <c r="U9" s="228">
        <v>744</v>
      </c>
      <c r="V9" s="172">
        <v>46215.722743055558</v>
      </c>
      <c r="W9" s="131" t="s">
        <v>560</v>
      </c>
      <c r="Y9" s="126">
        <v>1</v>
      </c>
      <c r="Z9" s="126">
        <v>2</v>
      </c>
      <c r="AA9" s="126">
        <v>7</v>
      </c>
      <c r="AB9" s="126">
        <v>2026</v>
      </c>
      <c r="AE9" s="13"/>
      <c r="AF9" s="399"/>
      <c r="AG9" s="400"/>
      <c r="AI9" s="128"/>
    </row>
    <row r="10" spans="3:35" ht="21.95" customHeight="1">
      <c r="C10" s="126">
        <v>3</v>
      </c>
      <c r="D10" s="126">
        <v>3</v>
      </c>
      <c r="F10" s="168">
        <v>46216</v>
      </c>
      <c r="G10" s="131">
        <v>1</v>
      </c>
      <c r="J10" s="126">
        <v>2</v>
      </c>
      <c r="K10" s="126">
        <v>1</v>
      </c>
      <c r="L10" s="143" t="s">
        <v>486</v>
      </c>
      <c r="M10" s="164" t="s">
        <v>487</v>
      </c>
      <c r="N10" s="126">
        <v>0</v>
      </c>
      <c r="O10" s="126">
        <v>10</v>
      </c>
      <c r="P10" s="126">
        <v>10</v>
      </c>
      <c r="Q10" s="164" t="s">
        <v>613</v>
      </c>
      <c r="R10" s="153">
        <v>1</v>
      </c>
      <c r="T10" s="228">
        <v>27.34</v>
      </c>
      <c r="U10" s="228">
        <v>273.39999999999998</v>
      </c>
      <c r="V10" s="172">
        <v>46216.693506944444</v>
      </c>
      <c r="W10" s="131" t="s">
        <v>560</v>
      </c>
      <c r="Y10" s="126">
        <v>1</v>
      </c>
      <c r="Z10" s="126">
        <v>2</v>
      </c>
      <c r="AA10" s="126">
        <v>7</v>
      </c>
      <c r="AB10" s="126">
        <v>2026</v>
      </c>
      <c r="AE10" s="13"/>
      <c r="AF10" s="399"/>
      <c r="AG10" s="400"/>
      <c r="AI10" s="128"/>
    </row>
    <row r="11" spans="3:35" ht="21.95" customHeight="1">
      <c r="C11" s="126">
        <v>4</v>
      </c>
      <c r="D11" s="126">
        <v>3</v>
      </c>
      <c r="F11" s="168">
        <v>46216</v>
      </c>
      <c r="G11" s="131">
        <v>1</v>
      </c>
      <c r="J11" s="126">
        <v>2</v>
      </c>
      <c r="K11" s="126">
        <v>2</v>
      </c>
      <c r="L11" s="143" t="s">
        <v>615</v>
      </c>
      <c r="M11" s="164" t="s">
        <v>616</v>
      </c>
      <c r="N11" s="126">
        <v>0</v>
      </c>
      <c r="O11" s="126">
        <v>10</v>
      </c>
      <c r="P11" s="126">
        <v>10</v>
      </c>
      <c r="Q11" s="164" t="s">
        <v>613</v>
      </c>
      <c r="R11" s="153">
        <v>1</v>
      </c>
      <c r="T11" s="228">
        <v>11.32</v>
      </c>
      <c r="U11" s="228">
        <v>113.2</v>
      </c>
      <c r="V11" s="172">
        <v>46216.693506944444</v>
      </c>
      <c r="W11" s="131" t="s">
        <v>560</v>
      </c>
      <c r="Y11" s="126">
        <v>1</v>
      </c>
      <c r="Z11" s="126">
        <v>2</v>
      </c>
      <c r="AA11" s="126">
        <v>7</v>
      </c>
      <c r="AB11" s="126">
        <v>2026</v>
      </c>
      <c r="AE11" s="13"/>
      <c r="AF11" s="399"/>
      <c r="AG11" s="400"/>
      <c r="AI11" s="128"/>
    </row>
    <row r="12" spans="3:35" ht="21.95" customHeight="1">
      <c r="C12" s="126">
        <v>5</v>
      </c>
      <c r="D12" s="126">
        <v>3</v>
      </c>
      <c r="F12" s="168">
        <v>46216</v>
      </c>
      <c r="G12" s="131">
        <v>1</v>
      </c>
      <c r="J12" s="126">
        <v>2</v>
      </c>
      <c r="K12" s="126">
        <v>3</v>
      </c>
      <c r="L12" s="143" t="s">
        <v>618</v>
      </c>
      <c r="M12" s="164" t="s">
        <v>619</v>
      </c>
      <c r="N12" s="126">
        <v>0</v>
      </c>
      <c r="O12" s="126">
        <v>10</v>
      </c>
      <c r="P12" s="126">
        <v>10</v>
      </c>
      <c r="Q12" s="164" t="s">
        <v>613</v>
      </c>
      <c r="R12" s="153">
        <v>1</v>
      </c>
      <c r="T12" s="228">
        <v>8.8000000000000007</v>
      </c>
      <c r="U12" s="228">
        <v>88</v>
      </c>
      <c r="V12" s="172">
        <v>46216.693506944444</v>
      </c>
      <c r="W12" s="131" t="s">
        <v>560</v>
      </c>
      <c r="Y12" s="126">
        <v>1</v>
      </c>
      <c r="Z12" s="126">
        <v>2</v>
      </c>
      <c r="AA12" s="126">
        <v>7</v>
      </c>
      <c r="AB12" s="126">
        <v>2026</v>
      </c>
      <c r="AE12" s="13"/>
      <c r="AF12" s="401"/>
      <c r="AG12" s="402"/>
      <c r="AI12" s="128"/>
    </row>
    <row r="13" spans="3:35" ht="21.95" customHeight="1">
      <c r="C13" s="126">
        <v>6</v>
      </c>
      <c r="D13" s="126">
        <v>3</v>
      </c>
      <c r="F13" s="168">
        <v>46216</v>
      </c>
      <c r="G13" s="131">
        <v>1</v>
      </c>
      <c r="J13" s="126">
        <v>2</v>
      </c>
      <c r="K13" s="126">
        <v>4</v>
      </c>
      <c r="L13" s="143" t="s">
        <v>621</v>
      </c>
      <c r="M13" s="164" t="s">
        <v>622</v>
      </c>
      <c r="N13" s="126">
        <v>0</v>
      </c>
      <c r="O13" s="126">
        <v>10</v>
      </c>
      <c r="P13" s="126">
        <v>10</v>
      </c>
      <c r="Q13" s="164" t="s">
        <v>613</v>
      </c>
      <c r="R13" s="153">
        <v>1</v>
      </c>
      <c r="T13" s="228">
        <v>5.8</v>
      </c>
      <c r="U13" s="228">
        <v>58</v>
      </c>
      <c r="V13" s="172">
        <v>46216.693506944444</v>
      </c>
      <c r="W13" s="131" t="s">
        <v>560</v>
      </c>
      <c r="Y13" s="126">
        <v>1</v>
      </c>
      <c r="Z13" s="126">
        <v>2</v>
      </c>
      <c r="AA13" s="126">
        <v>7</v>
      </c>
      <c r="AB13" s="126">
        <v>2026</v>
      </c>
      <c r="AE13" s="13"/>
      <c r="AF13" s="399"/>
      <c r="AG13" s="400"/>
      <c r="AI13" s="128"/>
    </row>
    <row r="14" spans="3:35" ht="21.95" customHeight="1">
      <c r="C14" s="126">
        <v>7</v>
      </c>
      <c r="D14" s="126">
        <v>3</v>
      </c>
      <c r="F14" s="168">
        <v>46216</v>
      </c>
      <c r="G14" s="131">
        <v>1</v>
      </c>
      <c r="J14" s="126">
        <v>2</v>
      </c>
      <c r="K14" s="126">
        <v>5</v>
      </c>
      <c r="L14" s="143" t="s">
        <v>624</v>
      </c>
      <c r="M14" s="164" t="s">
        <v>625</v>
      </c>
      <c r="N14" s="126">
        <v>0</v>
      </c>
      <c r="O14" s="126">
        <v>10</v>
      </c>
      <c r="P14" s="126">
        <v>10</v>
      </c>
      <c r="Q14" s="164" t="s">
        <v>613</v>
      </c>
      <c r="R14" s="153">
        <v>1</v>
      </c>
      <c r="T14" s="228">
        <v>3.74</v>
      </c>
      <c r="U14" s="228">
        <v>37.4</v>
      </c>
      <c r="V14" s="172">
        <v>46216.693506944444</v>
      </c>
      <c r="W14" s="131" t="s">
        <v>560</v>
      </c>
      <c r="Y14" s="126">
        <v>1</v>
      </c>
      <c r="Z14" s="126">
        <v>2</v>
      </c>
      <c r="AA14" s="126">
        <v>7</v>
      </c>
      <c r="AB14" s="126">
        <v>2026</v>
      </c>
      <c r="AE14" s="13"/>
      <c r="AF14" s="399"/>
      <c r="AG14" s="400"/>
      <c r="AI14" s="128"/>
    </row>
    <row r="15" spans="3:35" ht="21.95" customHeight="1">
      <c r="AE15" s="13"/>
      <c r="AF15" s="399"/>
      <c r="AG15" s="400"/>
      <c r="AI15" s="128"/>
    </row>
    <row r="16" spans="3:35" ht="21.95" customHeight="1">
      <c r="AE16" s="13"/>
      <c r="AF16" s="399"/>
      <c r="AG16" s="400"/>
      <c r="AI16" s="128"/>
    </row>
    <row r="17" spans="31:35" ht="21.95" customHeight="1">
      <c r="AE17" s="13"/>
      <c r="AF17" s="399"/>
      <c r="AG17" s="400"/>
      <c r="AI17" s="128"/>
    </row>
    <row r="18" spans="31:35" ht="21.95" customHeight="1">
      <c r="AE18" s="13"/>
      <c r="AF18" s="399"/>
      <c r="AG18" s="400"/>
      <c r="AI18" s="128"/>
    </row>
    <row r="19" spans="31:35" ht="21.95" customHeight="1">
      <c r="AE19" s="13"/>
      <c r="AF19" s="399"/>
      <c r="AG19" s="400"/>
      <c r="AI19" s="128"/>
    </row>
    <row r="20" spans="31:35" ht="21.95" customHeight="1">
      <c r="AE20" s="13"/>
      <c r="AF20" s="399"/>
      <c r="AG20" s="400"/>
      <c r="AI20" s="128"/>
    </row>
    <row r="21" spans="31:35" ht="21.95" customHeight="1">
      <c r="AE21" s="13"/>
      <c r="AF21" s="399"/>
      <c r="AG21" s="400"/>
      <c r="AI21" s="128"/>
    </row>
    <row r="22" spans="31:35" ht="21.95" customHeight="1">
      <c r="AE22" s="13"/>
      <c r="AF22" s="399"/>
      <c r="AG22" s="400"/>
      <c r="AI22" s="128"/>
    </row>
    <row r="23" spans="31:35" ht="21.95" customHeight="1">
      <c r="AE23" s="13"/>
      <c r="AF23" s="399"/>
      <c r="AG23" s="400"/>
      <c r="AI23" s="128"/>
    </row>
    <row r="24" spans="31:35" ht="21.95" customHeight="1">
      <c r="AE24" s="13"/>
      <c r="AF24" s="399"/>
      <c r="AG24" s="400"/>
      <c r="AI24" s="128"/>
    </row>
    <row r="25" spans="31:35" ht="21.95" customHeight="1">
      <c r="AE25" s="13"/>
      <c r="AF25" s="399"/>
      <c r="AG25" s="400"/>
      <c r="AI25" s="128"/>
    </row>
    <row r="26" spans="31:35" ht="21.95" customHeight="1">
      <c r="AE26" s="13"/>
      <c r="AF26" s="403"/>
      <c r="AG26" s="404"/>
      <c r="AI26" s="128"/>
    </row>
    <row r="27" spans="31:35" ht="21.95" customHeight="1">
      <c r="AE27" s="13"/>
      <c r="AF27" s="403"/>
      <c r="AG27" s="404"/>
      <c r="AI27" s="128"/>
    </row>
    <row r="28" spans="31:35" ht="21.95" customHeight="1">
      <c r="AE28" s="13"/>
      <c r="AF28" s="405"/>
      <c r="AG28" s="406"/>
      <c r="AI28" s="128"/>
    </row>
    <row r="29" spans="31:35" ht="21.95" customHeight="1">
      <c r="AE29" s="13"/>
      <c r="AF29" s="399"/>
      <c r="AG29" s="400"/>
      <c r="AI29" s="128"/>
    </row>
    <row r="30" spans="31:35" ht="21.95" customHeight="1">
      <c r="AE30" s="13"/>
      <c r="AF30" s="399"/>
      <c r="AG30" s="400"/>
      <c r="AI30" s="128"/>
    </row>
    <row r="31" spans="31:35" ht="21.95" customHeight="1">
      <c r="AE31" s="13"/>
      <c r="AF31" s="399"/>
      <c r="AG31" s="400"/>
      <c r="AI31" s="128"/>
    </row>
    <row r="32" spans="31:35" ht="21.95" customHeight="1">
      <c r="AE32" s="13"/>
      <c r="AF32" s="399"/>
      <c r="AG32" s="400"/>
      <c r="AI32" s="128"/>
    </row>
    <row r="33" spans="31:35" ht="21.95" customHeight="1">
      <c r="AE33" s="13"/>
      <c r="AF33" s="399"/>
      <c r="AG33" s="400"/>
      <c r="AI33" s="128"/>
    </row>
    <row r="34" spans="31:35" ht="21.95" customHeight="1">
      <c r="AE34" s="13"/>
      <c r="AF34" s="399"/>
      <c r="AG34" s="400"/>
      <c r="AI34" s="128"/>
    </row>
    <row r="376" spans="7:21" ht="21" customHeight="1">
      <c r="G376" s="186"/>
      <c r="H376" s="186"/>
      <c r="I376" s="186"/>
      <c r="J376" s="185"/>
      <c r="K376" s="185"/>
      <c r="N376" s="185"/>
      <c r="O376" s="185"/>
      <c r="T376" s="229"/>
      <c r="U376" s="229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W18"/>
  <sheetViews>
    <sheetView showGridLines="0" topLeftCell="A3" zoomScale="80" zoomScaleNormal="80" workbookViewId="0">
      <pane ySplit="5" topLeftCell="A8" activePane="bottomLeft" state="frozen"/>
      <selection activeCell="L28" sqref="L28"/>
      <selection pane="bottomLeft" activeCell="J8" sqref="J8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3" customWidth="1"/>
    <col min="5" max="5" width="31.140625" style="169" customWidth="1"/>
    <col min="6" max="6" width="26.28515625" style="153" customWidth="1"/>
    <col min="7" max="7" width="22.28515625" style="153" customWidth="1"/>
    <col min="8" max="8" width="19" style="164" customWidth="1"/>
    <col min="9" max="9" width="18" style="249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23" s="13" customFormat="1" ht="23.25" hidden="1">
      <c r="C1" s="126"/>
      <c r="D1" s="142"/>
      <c r="E1" s="169"/>
      <c r="F1" s="153"/>
      <c r="G1" s="153"/>
      <c r="H1" s="164"/>
      <c r="I1" s="249"/>
    </row>
    <row r="2" spans="3:23" s="13" customFormat="1" ht="23.25" hidden="1">
      <c r="C2" s="126"/>
      <c r="D2" s="142"/>
      <c r="E2" s="169"/>
      <c r="F2" s="153"/>
      <c r="G2" s="153"/>
      <c r="H2" s="164"/>
      <c r="I2" s="249"/>
    </row>
    <row r="3" spans="3:23" s="13" customFormat="1" ht="23.25">
      <c r="C3" s="126"/>
      <c r="D3" s="142"/>
      <c r="E3" s="169"/>
      <c r="F3" s="153"/>
      <c r="G3" s="153"/>
      <c r="H3" s="164"/>
      <c r="I3" s="249"/>
    </row>
    <row r="4" spans="3:23" s="13" customFormat="1" ht="32.25" customHeight="1">
      <c r="C4" s="126"/>
      <c r="D4" s="142"/>
      <c r="E4" s="173"/>
      <c r="F4" s="206"/>
      <c r="G4" s="206"/>
      <c r="H4" s="205"/>
      <c r="I4" s="250"/>
      <c r="U4" s="13">
        <v>5</v>
      </c>
      <c r="V4" s="13">
        <v>10</v>
      </c>
      <c r="W4" s="13">
        <v>15</v>
      </c>
    </row>
    <row r="5" spans="3:23" s="13" customFormat="1" ht="8.25" customHeight="1">
      <c r="C5" s="126"/>
      <c r="D5" s="142"/>
      <c r="E5" s="169"/>
      <c r="F5" s="153"/>
      <c r="G5" s="153"/>
      <c r="H5" s="164"/>
      <c r="I5" s="249"/>
    </row>
    <row r="6" spans="3:23" s="13" customFormat="1" ht="25.5">
      <c r="C6" s="291" t="s">
        <v>173</v>
      </c>
      <c r="D6" s="292" t="s">
        <v>213</v>
      </c>
      <c r="E6" s="292" t="s">
        <v>12</v>
      </c>
      <c r="F6" s="291" t="s">
        <v>293</v>
      </c>
      <c r="G6" s="291" t="s">
        <v>186</v>
      </c>
      <c r="H6" s="291" t="s">
        <v>214</v>
      </c>
      <c r="I6" s="293" t="s">
        <v>211</v>
      </c>
      <c r="J6" s="291" t="s">
        <v>174</v>
      </c>
      <c r="K6" s="291" t="s">
        <v>175</v>
      </c>
      <c r="L6" s="291" t="s">
        <v>119</v>
      </c>
      <c r="M6" s="291" t="s">
        <v>176</v>
      </c>
      <c r="N6" s="291" t="s">
        <v>177</v>
      </c>
      <c r="O6" s="155" t="s">
        <v>178</v>
      </c>
      <c r="P6" s="155" t="s">
        <v>179</v>
      </c>
      <c r="Q6" s="155" t="s">
        <v>180</v>
      </c>
      <c r="R6" s="155" t="s">
        <v>181</v>
      </c>
      <c r="S6" s="155" t="s">
        <v>182</v>
      </c>
    </row>
    <row r="7" spans="3:23" ht="20.25" customHeight="1">
      <c r="C7" s="294" t="s">
        <v>162</v>
      </c>
      <c r="D7" s="295" t="s">
        <v>207</v>
      </c>
      <c r="E7" s="295" t="s">
        <v>17</v>
      </c>
      <c r="F7" s="294" t="s">
        <v>294</v>
      </c>
      <c r="G7" s="294" t="s">
        <v>163</v>
      </c>
      <c r="H7" s="294" t="s">
        <v>210</v>
      </c>
      <c r="I7" s="296" t="s">
        <v>202</v>
      </c>
      <c r="J7" s="294" t="s">
        <v>164</v>
      </c>
      <c r="K7" s="294" t="s">
        <v>165</v>
      </c>
      <c r="L7" s="294" t="s">
        <v>172</v>
      </c>
      <c r="M7" s="294" t="s">
        <v>166</v>
      </c>
      <c r="N7" s="294" t="s">
        <v>167</v>
      </c>
      <c r="O7" s="152" t="s">
        <v>168</v>
      </c>
      <c r="P7" s="152" t="s">
        <v>169</v>
      </c>
      <c r="Q7" s="152" t="s">
        <v>170</v>
      </c>
      <c r="R7" s="152" t="s">
        <v>171</v>
      </c>
      <c r="S7" s="152" t="s">
        <v>183</v>
      </c>
    </row>
    <row r="8" spans="3:23" ht="23.1" customHeight="1">
      <c r="C8" s="126">
        <v>81</v>
      </c>
      <c r="D8" s="143" t="s">
        <v>556</v>
      </c>
      <c r="E8" s="169" t="s">
        <v>557</v>
      </c>
      <c r="F8" s="153">
        <v>1</v>
      </c>
      <c r="G8" s="153">
        <v>1</v>
      </c>
      <c r="J8" s="126">
        <v>0</v>
      </c>
      <c r="K8" s="126">
        <v>180</v>
      </c>
      <c r="L8" s="126">
        <v>600</v>
      </c>
      <c r="M8" s="126">
        <v>0</v>
      </c>
      <c r="N8" s="126">
        <v>420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U8" s="126">
        <f>J8/12</f>
        <v>0</v>
      </c>
    </row>
    <row r="9" spans="3:23" ht="23.1" customHeight="1">
      <c r="C9" s="126">
        <v>1</v>
      </c>
      <c r="D9" s="143" t="s">
        <v>486</v>
      </c>
      <c r="E9" s="169" t="s">
        <v>487</v>
      </c>
      <c r="F9" s="153">
        <v>1</v>
      </c>
      <c r="G9" s="153">
        <v>1</v>
      </c>
      <c r="J9" s="126">
        <v>18</v>
      </c>
      <c r="K9" s="126">
        <v>10</v>
      </c>
      <c r="L9" s="126">
        <v>2</v>
      </c>
      <c r="M9" s="126">
        <v>0</v>
      </c>
      <c r="N9" s="126">
        <v>10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23" ht="23.1" customHeight="1">
      <c r="C10" s="126">
        <v>2</v>
      </c>
      <c r="D10" s="143" t="s">
        <v>615</v>
      </c>
      <c r="E10" s="169" t="s">
        <v>616</v>
      </c>
      <c r="F10" s="153">
        <v>1</v>
      </c>
      <c r="G10" s="153">
        <v>1</v>
      </c>
      <c r="J10" s="126">
        <v>18</v>
      </c>
      <c r="K10" s="126">
        <v>10</v>
      </c>
      <c r="L10" s="126">
        <v>2</v>
      </c>
      <c r="M10" s="126">
        <v>0</v>
      </c>
      <c r="N10" s="126">
        <v>10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23" ht="23.1" customHeight="1">
      <c r="C11" s="126">
        <v>3</v>
      </c>
      <c r="D11" s="143" t="s">
        <v>618</v>
      </c>
      <c r="E11" s="169" t="s">
        <v>619</v>
      </c>
      <c r="F11" s="153">
        <v>1</v>
      </c>
      <c r="G11" s="153">
        <v>1</v>
      </c>
      <c r="J11" s="126">
        <v>18</v>
      </c>
      <c r="K11" s="126">
        <v>10</v>
      </c>
      <c r="L11" s="126">
        <v>2</v>
      </c>
      <c r="M11" s="126">
        <v>0</v>
      </c>
      <c r="N11" s="126">
        <v>10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23" ht="23.1" customHeight="1">
      <c r="C12" s="126">
        <v>4</v>
      </c>
      <c r="D12" s="143" t="s">
        <v>621</v>
      </c>
      <c r="E12" s="169" t="s">
        <v>622</v>
      </c>
      <c r="F12" s="153">
        <v>1</v>
      </c>
      <c r="G12" s="153">
        <v>1</v>
      </c>
      <c r="J12" s="126">
        <v>18</v>
      </c>
      <c r="K12" s="126">
        <v>10</v>
      </c>
      <c r="L12" s="126">
        <v>2</v>
      </c>
      <c r="M12" s="126">
        <v>0</v>
      </c>
      <c r="N12" s="126">
        <v>10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23" ht="23.1" customHeight="1">
      <c r="C13" s="126">
        <v>5</v>
      </c>
      <c r="D13" s="143" t="s">
        <v>624</v>
      </c>
      <c r="E13" s="169" t="s">
        <v>625</v>
      </c>
      <c r="F13" s="153">
        <v>1</v>
      </c>
      <c r="G13" s="153">
        <v>1</v>
      </c>
      <c r="J13" s="126">
        <v>18</v>
      </c>
      <c r="K13" s="126">
        <v>10</v>
      </c>
      <c r="L13" s="126">
        <v>2</v>
      </c>
      <c r="M13" s="126">
        <v>0</v>
      </c>
      <c r="N13" s="126">
        <v>10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23" ht="23.1" customHeight="1">
      <c r="C14" s="126">
        <v>6</v>
      </c>
      <c r="D14" s="143" t="s">
        <v>634</v>
      </c>
      <c r="E14" s="169" t="s">
        <v>635</v>
      </c>
      <c r="F14" s="153">
        <v>1</v>
      </c>
      <c r="G14" s="153">
        <v>1</v>
      </c>
      <c r="J14" s="126">
        <v>8</v>
      </c>
      <c r="K14" s="126">
        <v>0</v>
      </c>
      <c r="L14" s="126">
        <v>2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23" ht="23.1" customHeight="1">
      <c r="C15" s="126">
        <v>7</v>
      </c>
      <c r="D15" s="143" t="s">
        <v>637</v>
      </c>
      <c r="E15" s="169" t="s">
        <v>638</v>
      </c>
      <c r="F15" s="153">
        <v>1</v>
      </c>
      <c r="G15" s="153">
        <v>1</v>
      </c>
      <c r="J15" s="126">
        <v>8</v>
      </c>
      <c r="K15" s="126">
        <v>0</v>
      </c>
      <c r="L15" s="126">
        <v>2</v>
      </c>
      <c r="M15" s="126">
        <v>0</v>
      </c>
      <c r="N15" s="126">
        <v>10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23" ht="23.1" customHeight="1">
      <c r="C16" s="126">
        <v>8</v>
      </c>
      <c r="D16" s="143" t="s">
        <v>640</v>
      </c>
      <c r="E16" s="169" t="s">
        <v>641</v>
      </c>
      <c r="F16" s="153">
        <v>1</v>
      </c>
      <c r="G16" s="153">
        <v>1</v>
      </c>
      <c r="J16" s="126">
        <v>8</v>
      </c>
      <c r="K16" s="126">
        <v>0</v>
      </c>
      <c r="L16" s="126">
        <v>2</v>
      </c>
      <c r="M16" s="126">
        <v>0</v>
      </c>
      <c r="N16" s="126">
        <v>10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9</v>
      </c>
      <c r="D17" s="143" t="s">
        <v>643</v>
      </c>
      <c r="E17" s="169" t="s">
        <v>644</v>
      </c>
      <c r="F17" s="153">
        <v>1</v>
      </c>
      <c r="G17" s="153">
        <v>1</v>
      </c>
      <c r="J17" s="126">
        <v>8</v>
      </c>
      <c r="K17" s="126">
        <v>0</v>
      </c>
      <c r="L17" s="126">
        <v>2</v>
      </c>
      <c r="M17" s="126">
        <v>0</v>
      </c>
      <c r="N17" s="126">
        <v>10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10</v>
      </c>
      <c r="D18" s="143" t="s">
        <v>646</v>
      </c>
      <c r="E18" s="169" t="s">
        <v>647</v>
      </c>
      <c r="F18" s="153">
        <v>1</v>
      </c>
      <c r="G18" s="153">
        <v>1</v>
      </c>
      <c r="J18" s="126">
        <v>8</v>
      </c>
      <c r="K18" s="126">
        <v>0</v>
      </c>
      <c r="L18" s="126">
        <v>2</v>
      </c>
      <c r="M18" s="126">
        <v>0</v>
      </c>
      <c r="N18" s="126">
        <v>10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379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2" sqref="I12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3" customWidth="1"/>
    <col min="5" max="5" width="36.140625" style="164" customWidth="1"/>
    <col min="6" max="6" width="18.7109375" style="131" customWidth="1"/>
    <col min="7" max="7" width="19.42578125" style="131" customWidth="1"/>
    <col min="8" max="8" width="19.140625" style="167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83" customWidth="1"/>
    <col min="19" max="16384" width="12.5703125" style="130"/>
  </cols>
  <sheetData>
    <row r="1" spans="3:23" customFormat="1" ht="23.25" hidden="1">
      <c r="C1" s="13"/>
      <c r="D1" s="142"/>
      <c r="E1" s="127"/>
      <c r="F1" s="131"/>
      <c r="G1" s="131"/>
      <c r="H1" s="167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2"/>
      <c r="E2" s="127"/>
      <c r="F2" s="131"/>
      <c r="G2" s="131"/>
      <c r="H2" s="167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3"/>
      <c r="E3" s="127"/>
      <c r="F3" s="131"/>
      <c r="G3" s="131"/>
      <c r="H3" s="167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2"/>
      <c r="E4" s="127"/>
      <c r="F4" s="131"/>
      <c r="G4" s="131"/>
      <c r="H4" s="167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63"/>
      <c r="W4" s="127"/>
    </row>
    <row r="5" spans="3:23" customFormat="1" ht="8.25" customHeight="1">
      <c r="C5" s="13"/>
      <c r="D5" s="142"/>
      <c r="E5" s="127"/>
      <c r="F5" s="131"/>
      <c r="G5" s="131"/>
      <c r="H5" s="167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91" t="s">
        <v>173</v>
      </c>
      <c r="D6" s="292" t="s">
        <v>213</v>
      </c>
      <c r="E6" s="291" t="s">
        <v>12</v>
      </c>
      <c r="F6" s="291" t="s">
        <v>224</v>
      </c>
      <c r="G6" s="291" t="s">
        <v>295</v>
      </c>
      <c r="H6" s="291" t="s">
        <v>24</v>
      </c>
      <c r="I6" s="291" t="s">
        <v>118</v>
      </c>
      <c r="J6" s="291" t="s">
        <v>119</v>
      </c>
      <c r="K6" s="291" t="s">
        <v>176</v>
      </c>
      <c r="L6" s="291" t="s">
        <v>177</v>
      </c>
      <c r="M6" s="155" t="s">
        <v>178</v>
      </c>
      <c r="N6" s="155" t="s">
        <v>179</v>
      </c>
      <c r="O6" s="155" t="s">
        <v>180</v>
      </c>
      <c r="P6" s="155" t="s">
        <v>181</v>
      </c>
      <c r="Q6" s="155" t="s">
        <v>182</v>
      </c>
      <c r="R6" s="132"/>
    </row>
    <row r="7" spans="3:23" s="126" customFormat="1" ht="20.25" customHeight="1">
      <c r="C7" s="294" t="s">
        <v>162</v>
      </c>
      <c r="D7" s="295" t="s">
        <v>207</v>
      </c>
      <c r="E7" s="294" t="s">
        <v>17</v>
      </c>
      <c r="F7" s="294" t="s">
        <v>292</v>
      </c>
      <c r="G7" s="294" t="s">
        <v>163</v>
      </c>
      <c r="H7" s="294" t="s">
        <v>21</v>
      </c>
      <c r="I7" s="294" t="s">
        <v>165</v>
      </c>
      <c r="J7" s="294" t="s">
        <v>172</v>
      </c>
      <c r="K7" s="294" t="s">
        <v>166</v>
      </c>
      <c r="L7" s="294" t="s">
        <v>167</v>
      </c>
      <c r="M7" s="152" t="s">
        <v>168</v>
      </c>
      <c r="N7" s="152" t="s">
        <v>169</v>
      </c>
      <c r="O7" s="152" t="s">
        <v>170</v>
      </c>
      <c r="P7" s="152" t="s">
        <v>171</v>
      </c>
      <c r="Q7" s="152" t="s">
        <v>183</v>
      </c>
      <c r="R7" s="128"/>
    </row>
    <row r="8" spans="3:23" ht="23.1" customHeight="1">
      <c r="C8" s="126">
        <v>81</v>
      </c>
      <c r="D8" s="143" t="s">
        <v>556</v>
      </c>
      <c r="E8" s="164" t="s">
        <v>557</v>
      </c>
      <c r="F8" s="131">
        <v>1</v>
      </c>
      <c r="G8" s="131">
        <v>1</v>
      </c>
      <c r="H8" s="167">
        <v>46213</v>
      </c>
      <c r="I8" s="126">
        <v>60</v>
      </c>
      <c r="J8" s="126">
        <v>60</v>
      </c>
      <c r="K8" s="126">
        <v>0</v>
      </c>
      <c r="L8" s="126">
        <v>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81</v>
      </c>
      <c r="D9" s="143" t="s">
        <v>556</v>
      </c>
      <c r="E9" s="164" t="s">
        <v>557</v>
      </c>
      <c r="F9" s="131">
        <v>1</v>
      </c>
      <c r="G9" s="131">
        <v>1</v>
      </c>
      <c r="H9" s="167">
        <v>46214</v>
      </c>
      <c r="I9" s="126">
        <v>0</v>
      </c>
      <c r="J9" s="126">
        <v>0</v>
      </c>
      <c r="K9" s="126">
        <v>0</v>
      </c>
      <c r="L9" s="126">
        <v>120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81</v>
      </c>
      <c r="D10" s="143" t="s">
        <v>556</v>
      </c>
      <c r="E10" s="164" t="s">
        <v>557</v>
      </c>
      <c r="F10" s="131">
        <v>1</v>
      </c>
      <c r="G10" s="131">
        <v>1</v>
      </c>
      <c r="H10" s="167">
        <v>46215</v>
      </c>
      <c r="I10" s="126">
        <v>120</v>
      </c>
      <c r="J10" s="126">
        <v>540</v>
      </c>
      <c r="K10" s="126">
        <v>0</v>
      </c>
      <c r="L10" s="126">
        <v>300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</v>
      </c>
      <c r="D11" s="143" t="s">
        <v>486</v>
      </c>
      <c r="E11" s="164" t="s">
        <v>487</v>
      </c>
      <c r="F11" s="131">
        <v>1</v>
      </c>
      <c r="G11" s="131">
        <v>1</v>
      </c>
      <c r="H11" s="167">
        <v>46216</v>
      </c>
      <c r="I11" s="126">
        <v>10</v>
      </c>
      <c r="J11" s="126">
        <v>2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2</v>
      </c>
      <c r="D12" s="143" t="s">
        <v>615</v>
      </c>
      <c r="E12" s="164" t="s">
        <v>616</v>
      </c>
      <c r="F12" s="131">
        <v>1</v>
      </c>
      <c r="G12" s="131">
        <v>1</v>
      </c>
      <c r="H12" s="167">
        <v>46216</v>
      </c>
      <c r="I12" s="126">
        <v>10</v>
      </c>
      <c r="J12" s="126">
        <v>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3</v>
      </c>
      <c r="D13" s="143" t="s">
        <v>618</v>
      </c>
      <c r="E13" s="164" t="s">
        <v>619</v>
      </c>
      <c r="F13" s="131">
        <v>1</v>
      </c>
      <c r="G13" s="131">
        <v>1</v>
      </c>
      <c r="H13" s="167">
        <v>46216</v>
      </c>
      <c r="I13" s="126">
        <v>10</v>
      </c>
      <c r="J13" s="126">
        <v>2</v>
      </c>
      <c r="K13" s="126">
        <v>0</v>
      </c>
      <c r="L13" s="126">
        <v>0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4</v>
      </c>
      <c r="D14" s="143" t="s">
        <v>621</v>
      </c>
      <c r="E14" s="164" t="s">
        <v>622</v>
      </c>
      <c r="F14" s="131">
        <v>1</v>
      </c>
      <c r="G14" s="131">
        <v>1</v>
      </c>
      <c r="H14" s="167">
        <v>46216</v>
      </c>
      <c r="I14" s="126">
        <v>10</v>
      </c>
      <c r="J14" s="126">
        <v>2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5</v>
      </c>
      <c r="D15" s="143" t="s">
        <v>624</v>
      </c>
      <c r="E15" s="164" t="s">
        <v>625</v>
      </c>
      <c r="F15" s="131">
        <v>1</v>
      </c>
      <c r="G15" s="131">
        <v>1</v>
      </c>
      <c r="H15" s="167">
        <v>46216</v>
      </c>
      <c r="I15" s="126">
        <v>10</v>
      </c>
      <c r="J15" s="126">
        <v>2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1</v>
      </c>
      <c r="D16" s="143" t="s">
        <v>486</v>
      </c>
      <c r="E16" s="164" t="s">
        <v>487</v>
      </c>
      <c r="F16" s="131">
        <v>1</v>
      </c>
      <c r="G16" s="131">
        <v>1</v>
      </c>
      <c r="H16" s="167">
        <v>46216</v>
      </c>
      <c r="I16" s="126">
        <v>0</v>
      </c>
      <c r="J16" s="126">
        <v>0</v>
      </c>
      <c r="K16" s="126">
        <v>0</v>
      </c>
      <c r="L16" s="126">
        <v>10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2</v>
      </c>
      <c r="D17" s="143" t="s">
        <v>615</v>
      </c>
      <c r="E17" s="164" t="s">
        <v>616</v>
      </c>
      <c r="F17" s="131">
        <v>1</v>
      </c>
      <c r="G17" s="131">
        <v>1</v>
      </c>
      <c r="H17" s="167">
        <v>46216</v>
      </c>
      <c r="I17" s="126">
        <v>0</v>
      </c>
      <c r="J17" s="126">
        <v>0</v>
      </c>
      <c r="K17" s="126">
        <v>0</v>
      </c>
      <c r="L17" s="126">
        <v>10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84"/>
    </row>
    <row r="18" spans="3:18" ht="23.1" customHeight="1">
      <c r="C18" s="126">
        <v>3</v>
      </c>
      <c r="D18" s="143" t="s">
        <v>618</v>
      </c>
      <c r="E18" s="164" t="s">
        <v>619</v>
      </c>
      <c r="F18" s="131">
        <v>1</v>
      </c>
      <c r="G18" s="131">
        <v>1</v>
      </c>
      <c r="H18" s="167">
        <v>46216</v>
      </c>
      <c r="I18" s="126">
        <v>0</v>
      </c>
      <c r="J18" s="126">
        <v>0</v>
      </c>
      <c r="K18" s="126">
        <v>0</v>
      </c>
      <c r="L18" s="126">
        <v>10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84"/>
    </row>
    <row r="19" spans="3:18" ht="23.1" customHeight="1">
      <c r="C19" s="126">
        <v>4</v>
      </c>
      <c r="D19" s="143" t="s">
        <v>621</v>
      </c>
      <c r="E19" s="164" t="s">
        <v>622</v>
      </c>
      <c r="F19" s="131">
        <v>1</v>
      </c>
      <c r="G19" s="131">
        <v>1</v>
      </c>
      <c r="H19" s="167">
        <v>46216</v>
      </c>
      <c r="I19" s="126">
        <v>0</v>
      </c>
      <c r="J19" s="126">
        <v>0</v>
      </c>
      <c r="K19" s="126">
        <v>0</v>
      </c>
      <c r="L19" s="126">
        <v>10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84"/>
    </row>
    <row r="20" spans="3:18" ht="23.1" customHeight="1">
      <c r="C20" s="126">
        <v>5</v>
      </c>
      <c r="D20" s="143" t="s">
        <v>624</v>
      </c>
      <c r="E20" s="164" t="s">
        <v>625</v>
      </c>
      <c r="F20" s="131">
        <v>1</v>
      </c>
      <c r="G20" s="131">
        <v>1</v>
      </c>
      <c r="H20" s="167">
        <v>46216</v>
      </c>
      <c r="I20" s="126">
        <v>0</v>
      </c>
      <c r="J20" s="126">
        <v>0</v>
      </c>
      <c r="K20" s="126">
        <v>0</v>
      </c>
      <c r="L20" s="126">
        <v>10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84"/>
    </row>
    <row r="21" spans="3:18" ht="23.1" customHeight="1">
      <c r="C21" s="126">
        <v>6</v>
      </c>
      <c r="D21" s="143" t="s">
        <v>634</v>
      </c>
      <c r="E21" s="164" t="s">
        <v>635</v>
      </c>
      <c r="F21" s="131">
        <v>1</v>
      </c>
      <c r="G21" s="131">
        <v>1</v>
      </c>
      <c r="H21" s="167">
        <v>46216</v>
      </c>
      <c r="I21" s="126">
        <v>0</v>
      </c>
      <c r="J21" s="126">
        <v>2</v>
      </c>
      <c r="K21" s="126">
        <v>0</v>
      </c>
      <c r="L21" s="126">
        <v>10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84"/>
    </row>
    <row r="22" spans="3:18" ht="23.1" customHeight="1">
      <c r="C22" s="126">
        <v>7</v>
      </c>
      <c r="D22" s="143" t="s">
        <v>637</v>
      </c>
      <c r="E22" s="164" t="s">
        <v>638</v>
      </c>
      <c r="F22" s="131">
        <v>1</v>
      </c>
      <c r="G22" s="131">
        <v>1</v>
      </c>
      <c r="H22" s="167">
        <v>46216</v>
      </c>
      <c r="I22" s="126">
        <v>0</v>
      </c>
      <c r="J22" s="126">
        <v>2</v>
      </c>
      <c r="K22" s="126">
        <v>0</v>
      </c>
      <c r="L22" s="126">
        <v>10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8</v>
      </c>
      <c r="D23" s="143" t="s">
        <v>640</v>
      </c>
      <c r="E23" s="164" t="s">
        <v>641</v>
      </c>
      <c r="F23" s="131">
        <v>1</v>
      </c>
      <c r="G23" s="131">
        <v>1</v>
      </c>
      <c r="H23" s="167">
        <v>46216</v>
      </c>
      <c r="I23" s="126">
        <v>0</v>
      </c>
      <c r="J23" s="126">
        <v>2</v>
      </c>
      <c r="K23" s="126">
        <v>0</v>
      </c>
      <c r="L23" s="126">
        <v>10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84"/>
    </row>
    <row r="24" spans="3:18" ht="23.1" customHeight="1">
      <c r="C24" s="126">
        <v>9</v>
      </c>
      <c r="D24" s="143" t="s">
        <v>643</v>
      </c>
      <c r="E24" s="164" t="s">
        <v>644</v>
      </c>
      <c r="F24" s="131">
        <v>1</v>
      </c>
      <c r="G24" s="131">
        <v>1</v>
      </c>
      <c r="H24" s="167">
        <v>46216</v>
      </c>
      <c r="I24" s="126">
        <v>0</v>
      </c>
      <c r="J24" s="126">
        <v>2</v>
      </c>
      <c r="K24" s="126">
        <v>0</v>
      </c>
      <c r="L24" s="126">
        <v>10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84"/>
    </row>
    <row r="25" spans="3:18" ht="23.1" customHeight="1">
      <c r="C25" s="126">
        <v>10</v>
      </c>
      <c r="D25" s="143" t="s">
        <v>646</v>
      </c>
      <c r="E25" s="164" t="s">
        <v>647</v>
      </c>
      <c r="F25" s="131">
        <v>1</v>
      </c>
      <c r="G25" s="131">
        <v>1</v>
      </c>
      <c r="H25" s="167">
        <v>46216</v>
      </c>
      <c r="I25" s="126">
        <v>0</v>
      </c>
      <c r="J25" s="126">
        <v>2</v>
      </c>
      <c r="K25" s="126">
        <v>0</v>
      </c>
      <c r="L25" s="126">
        <v>10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R26" s="184"/>
    </row>
    <row r="347" spans="18:18" ht="23.1" customHeight="1">
      <c r="R347" s="126"/>
    </row>
    <row r="349" spans="18:18" ht="23.1" customHeight="1">
      <c r="R349" s="126"/>
    </row>
    <row r="350" spans="18:18" ht="23.1" customHeight="1">
      <c r="R350" s="126"/>
    </row>
    <row r="352" spans="18:18" ht="23.1" customHeight="1">
      <c r="R352" s="126"/>
    </row>
    <row r="354" spans="18:18" ht="23.1" customHeight="1">
      <c r="R354" s="126"/>
    </row>
    <row r="357" spans="18:18" ht="23.1" customHeight="1">
      <c r="R357" s="126"/>
    </row>
    <row r="360" spans="18:18" ht="23.1" customHeight="1">
      <c r="R360" s="126"/>
    </row>
    <row r="361" spans="18:18" ht="23.1" customHeight="1">
      <c r="R361" s="126"/>
    </row>
    <row r="363" spans="18:18" ht="23.1" customHeight="1">
      <c r="R363" s="126"/>
    </row>
    <row r="365" spans="18:18" ht="23.1" customHeight="1">
      <c r="R365" s="126"/>
    </row>
    <row r="368" spans="18:18" ht="23.1" customHeight="1">
      <c r="R368" s="126"/>
    </row>
    <row r="370" spans="18:18" ht="23.1" customHeight="1">
      <c r="R370" s="126"/>
    </row>
    <row r="372" spans="18:18" ht="23.1" customHeight="1">
      <c r="R372" s="126"/>
    </row>
    <row r="373" spans="18:18" ht="23.1" customHeight="1">
      <c r="R373" s="126"/>
    </row>
    <row r="375" spans="18:18" ht="23.1" customHeight="1">
      <c r="R375" s="126"/>
    </row>
    <row r="376" spans="18:18" ht="23.1" customHeight="1">
      <c r="R376" s="126"/>
    </row>
    <row r="379" spans="18:18" ht="23.1" customHeight="1">
      <c r="R379" s="126"/>
    </row>
  </sheetData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1800"/>
  <sheetViews>
    <sheetView showGridLines="0" topLeftCell="A3" zoomScale="80" zoomScaleNormal="80" workbookViewId="0">
      <pane ySplit="5" topLeftCell="A8" activePane="bottomLeft" state="frozen"/>
      <selection activeCell="L28" sqref="L28"/>
      <selection pane="bottomLeft" activeCell="U8" sqref="U8:U13"/>
    </sheetView>
  </sheetViews>
  <sheetFormatPr defaultColWidth="15.42578125" defaultRowHeight="23.1" customHeight="1"/>
  <cols>
    <col min="1" max="1" width="1.42578125" style="130" customWidth="1"/>
    <col min="2" max="2" width="2.42578125" style="140" customWidth="1"/>
    <col min="3" max="3" width="9.42578125" style="126" customWidth="1"/>
    <col min="4" max="4" width="22.85546875" style="126" customWidth="1"/>
    <col min="5" max="5" width="24" style="143" customWidth="1"/>
    <col min="6" max="6" width="29.42578125" style="169" bestFit="1" customWidth="1"/>
    <col min="7" max="7" width="15.42578125" style="168" customWidth="1"/>
    <col min="8" max="8" width="14.85546875" style="131" customWidth="1"/>
    <col min="9" max="9" width="18.7109375" style="131" customWidth="1"/>
    <col min="10" max="10" width="14.28515625" style="143" customWidth="1"/>
    <col min="11" max="20" width="5.28515625" style="143" bestFit="1" customWidth="1"/>
    <col min="21" max="21" width="15.42578125" style="126" customWidth="1"/>
    <col min="22" max="22" width="18" style="240" customWidth="1"/>
    <col min="23" max="23" width="19.5703125" style="240" customWidth="1"/>
    <col min="24" max="25" width="18.85546875" style="126" customWidth="1"/>
    <col min="26" max="26" width="18.85546875" style="168" customWidth="1"/>
    <col min="27" max="27" width="24.140625" style="203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5"/>
      <c r="C1" s="13"/>
      <c r="D1" s="13"/>
      <c r="E1" s="142"/>
      <c r="F1" s="169"/>
      <c r="G1" s="167"/>
      <c r="H1" s="131"/>
      <c r="I1" s="131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3"/>
      <c r="V1" s="230"/>
      <c r="W1" s="230"/>
      <c r="X1" s="13"/>
      <c r="Y1" s="13"/>
      <c r="Z1" s="167"/>
      <c r="AA1" s="203"/>
      <c r="AB1" s="131"/>
      <c r="AC1" s="13"/>
      <c r="AD1" s="13"/>
    </row>
    <row r="2" spans="2:32" customFormat="1" ht="23.25" hidden="1">
      <c r="B2" s="135"/>
      <c r="C2" s="13"/>
      <c r="D2" s="13"/>
      <c r="E2" s="142"/>
      <c r="F2" s="169"/>
      <c r="G2" s="167"/>
      <c r="H2" s="131"/>
      <c r="I2" s="131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3"/>
      <c r="V2" s="230"/>
      <c r="W2" s="230"/>
      <c r="X2" s="13"/>
      <c r="Y2" s="13"/>
      <c r="Z2" s="167"/>
      <c r="AA2" s="203"/>
      <c r="AB2" s="131"/>
      <c r="AC2" s="13"/>
      <c r="AD2" s="13"/>
    </row>
    <row r="3" spans="2:32" customFormat="1" ht="23.25">
      <c r="B3" s="135"/>
      <c r="C3" s="13"/>
      <c r="D3" s="13"/>
      <c r="E3" s="142"/>
      <c r="F3" s="169"/>
      <c r="G3" s="167"/>
      <c r="H3" s="131"/>
      <c r="I3" s="131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3"/>
      <c r="V3" s="230"/>
      <c r="W3" s="230"/>
      <c r="X3" s="13"/>
      <c r="Y3" s="13"/>
      <c r="Z3" s="167"/>
      <c r="AA3" s="203"/>
      <c r="AB3" s="131"/>
      <c r="AC3" s="13"/>
      <c r="AD3" s="13"/>
    </row>
    <row r="4" spans="2:32" customFormat="1" ht="23.25">
      <c r="B4" s="135"/>
      <c r="C4" s="13"/>
      <c r="D4" s="13"/>
      <c r="E4" s="142"/>
      <c r="F4" s="169"/>
      <c r="G4" s="167"/>
      <c r="H4" s="131"/>
      <c r="I4" s="131"/>
      <c r="J4" s="142"/>
      <c r="K4" s="142"/>
      <c r="L4" s="142"/>
      <c r="M4" s="142"/>
      <c r="N4" s="142"/>
      <c r="O4" s="142"/>
      <c r="P4" s="142"/>
      <c r="Q4" s="142"/>
      <c r="R4" s="143"/>
      <c r="S4" s="143"/>
      <c r="T4" s="142"/>
      <c r="U4" s="13"/>
      <c r="V4" s="230"/>
      <c r="W4" s="230"/>
      <c r="X4" s="13"/>
      <c r="Y4" s="13"/>
      <c r="Z4" s="167"/>
      <c r="AA4" s="203"/>
      <c r="AB4" s="131"/>
      <c r="AC4" s="13"/>
      <c r="AD4" s="13"/>
    </row>
    <row r="5" spans="2:32" customFormat="1" ht="23.25">
      <c r="B5" s="135"/>
      <c r="C5" s="13"/>
      <c r="D5" s="13"/>
      <c r="E5" s="142"/>
      <c r="F5" s="169"/>
      <c r="G5" s="167"/>
      <c r="H5" s="131"/>
      <c r="I5" s="131"/>
      <c r="J5" s="142"/>
      <c r="K5" s="142"/>
      <c r="L5" s="142"/>
      <c r="M5" s="142"/>
      <c r="N5" s="142"/>
      <c r="O5" s="142"/>
      <c r="P5" s="13"/>
      <c r="Q5" s="142"/>
      <c r="R5" s="142"/>
      <c r="S5" s="142"/>
      <c r="T5" s="142"/>
      <c r="U5" s="13"/>
      <c r="V5" s="230"/>
      <c r="W5" s="230"/>
      <c r="X5" s="13"/>
      <c r="Y5" s="13"/>
      <c r="Z5" s="167"/>
      <c r="AA5" s="203"/>
      <c r="AB5" s="131"/>
      <c r="AC5" s="13"/>
      <c r="AD5" s="13"/>
    </row>
    <row r="6" spans="2:32" customFormat="1" ht="27.75" customHeight="1">
      <c r="B6" s="135"/>
      <c r="C6" s="291" t="s">
        <v>184</v>
      </c>
      <c r="D6" s="291" t="s">
        <v>208</v>
      </c>
      <c r="E6" s="292" t="s">
        <v>189</v>
      </c>
      <c r="F6" s="292" t="s">
        <v>12</v>
      </c>
      <c r="G6" s="293" t="s">
        <v>24</v>
      </c>
      <c r="H6" s="291" t="s">
        <v>186</v>
      </c>
      <c r="I6" s="291" t="s">
        <v>142</v>
      </c>
      <c r="J6" s="293" t="s">
        <v>185</v>
      </c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1"/>
      <c r="V6" s="354" t="s">
        <v>188</v>
      </c>
      <c r="W6" s="354" t="s">
        <v>187</v>
      </c>
      <c r="X6" s="291" t="s">
        <v>109</v>
      </c>
      <c r="Y6" s="291" t="s">
        <v>458</v>
      </c>
      <c r="Z6" s="293" t="s">
        <v>211</v>
      </c>
      <c r="AA6" s="291" t="s">
        <v>209</v>
      </c>
      <c r="AB6" s="291" t="s">
        <v>23</v>
      </c>
      <c r="AC6" s="291" t="s">
        <v>95</v>
      </c>
      <c r="AD6" s="291" t="s">
        <v>120</v>
      </c>
    </row>
    <row r="7" spans="2:32" s="13" customFormat="1" ht="84">
      <c r="B7" s="135"/>
      <c r="C7" s="346" t="s">
        <v>139</v>
      </c>
      <c r="D7" s="346" t="s">
        <v>162</v>
      </c>
      <c r="E7" s="355" t="s">
        <v>207</v>
      </c>
      <c r="F7" s="355" t="s">
        <v>17</v>
      </c>
      <c r="G7" s="351" t="s">
        <v>21</v>
      </c>
      <c r="H7" s="346" t="s">
        <v>163</v>
      </c>
      <c r="I7" s="346" t="s">
        <v>140</v>
      </c>
      <c r="J7" s="351" t="s">
        <v>159</v>
      </c>
      <c r="K7" s="356" t="s">
        <v>160</v>
      </c>
      <c r="L7" s="356" t="s">
        <v>161</v>
      </c>
      <c r="M7" s="356" t="s">
        <v>152</v>
      </c>
      <c r="N7" s="356" t="s">
        <v>153</v>
      </c>
      <c r="O7" s="356" t="s">
        <v>154</v>
      </c>
      <c r="P7" s="356" t="s">
        <v>155</v>
      </c>
      <c r="Q7" s="356" t="s">
        <v>156</v>
      </c>
      <c r="R7" s="356" t="s">
        <v>157</v>
      </c>
      <c r="S7" s="356" t="s">
        <v>426</v>
      </c>
      <c r="T7" s="356" t="s">
        <v>158</v>
      </c>
      <c r="U7" s="357" t="s">
        <v>18</v>
      </c>
      <c r="V7" s="358" t="s">
        <v>19</v>
      </c>
      <c r="W7" s="358" t="s">
        <v>8</v>
      </c>
      <c r="X7" s="346" t="s">
        <v>98</v>
      </c>
      <c r="Y7" s="346" t="s">
        <v>210</v>
      </c>
      <c r="Z7" s="351" t="s">
        <v>202</v>
      </c>
      <c r="AA7" s="346" t="s">
        <v>203</v>
      </c>
      <c r="AB7" s="346" t="s">
        <v>26</v>
      </c>
      <c r="AC7" s="346" t="s">
        <v>2</v>
      </c>
      <c r="AD7" s="346" t="s">
        <v>121</v>
      </c>
    </row>
    <row r="8" spans="2:32" ht="23.1" customHeight="1">
      <c r="C8" s="126">
        <v>1</v>
      </c>
      <c r="D8" s="126">
        <v>81</v>
      </c>
      <c r="E8" s="143" t="s">
        <v>556</v>
      </c>
      <c r="F8" s="169" t="s">
        <v>557</v>
      </c>
      <c r="G8" s="168">
        <v>46213</v>
      </c>
      <c r="H8" s="131">
        <v>1</v>
      </c>
      <c r="I8" s="131">
        <v>1</v>
      </c>
      <c r="J8" s="143" t="s">
        <v>562</v>
      </c>
      <c r="M8" s="143">
        <v>1</v>
      </c>
      <c r="U8" s="126">
        <v>60</v>
      </c>
      <c r="V8" s="240">
        <v>74.400000000000006</v>
      </c>
      <c r="W8" s="240">
        <v>0</v>
      </c>
      <c r="X8" s="126">
        <v>1</v>
      </c>
      <c r="AA8" s="203">
        <v>46215.679502314815</v>
      </c>
      <c r="AB8" s="131">
        <v>2</v>
      </c>
      <c r="AC8" s="126">
        <v>7</v>
      </c>
      <c r="AD8" s="126">
        <v>2026</v>
      </c>
      <c r="AF8" s="217"/>
    </row>
    <row r="9" spans="2:32" ht="23.1" customHeight="1">
      <c r="C9" s="126">
        <v>2</v>
      </c>
      <c r="D9" s="126">
        <v>81</v>
      </c>
      <c r="E9" s="143" t="s">
        <v>556</v>
      </c>
      <c r="F9" s="169" t="s">
        <v>557</v>
      </c>
      <c r="G9" s="168">
        <v>46214</v>
      </c>
      <c r="H9" s="131">
        <v>1</v>
      </c>
      <c r="I9" s="131">
        <v>1</v>
      </c>
      <c r="J9" s="143" t="s">
        <v>569</v>
      </c>
      <c r="L9" s="143">
        <v>1</v>
      </c>
      <c r="Q9" s="143">
        <v>5</v>
      </c>
      <c r="U9" s="126">
        <v>120</v>
      </c>
      <c r="V9" s="240">
        <v>74.400000000000006</v>
      </c>
      <c r="W9" s="240">
        <v>0</v>
      </c>
      <c r="X9" s="126">
        <v>1</v>
      </c>
      <c r="AA9" s="203">
        <v>46215.680937500001</v>
      </c>
      <c r="AB9" s="131">
        <v>2</v>
      </c>
      <c r="AC9" s="126">
        <v>7</v>
      </c>
      <c r="AD9" s="126">
        <v>2026</v>
      </c>
      <c r="AF9" s="217"/>
    </row>
    <row r="10" spans="2:32" ht="23.25" customHeight="1">
      <c r="C10" s="126">
        <v>3</v>
      </c>
      <c r="D10" s="126">
        <v>81</v>
      </c>
      <c r="E10" s="143" t="s">
        <v>556</v>
      </c>
      <c r="F10" s="169" t="s">
        <v>557</v>
      </c>
      <c r="G10" s="168">
        <v>46215</v>
      </c>
      <c r="H10" s="131">
        <v>1</v>
      </c>
      <c r="I10" s="131">
        <v>1</v>
      </c>
      <c r="J10" s="143" t="s">
        <v>569</v>
      </c>
      <c r="L10" s="143">
        <v>1</v>
      </c>
      <c r="Q10" s="143">
        <v>6</v>
      </c>
      <c r="U10" s="126">
        <v>180</v>
      </c>
      <c r="V10" s="240">
        <v>74.400000000000006</v>
      </c>
      <c r="W10" s="240">
        <v>0</v>
      </c>
      <c r="X10" s="126">
        <v>1</v>
      </c>
      <c r="AA10" s="203">
        <v>46215.681990740741</v>
      </c>
      <c r="AB10" s="131">
        <v>2</v>
      </c>
      <c r="AC10" s="126">
        <v>7</v>
      </c>
      <c r="AD10" s="126">
        <v>2026</v>
      </c>
    </row>
    <row r="11" spans="2:32" ht="23.1" customHeight="1">
      <c r="C11" s="126">
        <v>4</v>
      </c>
      <c r="D11" s="126">
        <v>81</v>
      </c>
      <c r="E11" s="143" t="s">
        <v>556</v>
      </c>
      <c r="F11" s="169" t="s">
        <v>557</v>
      </c>
      <c r="G11" s="168">
        <v>46213</v>
      </c>
      <c r="H11" s="131">
        <v>1</v>
      </c>
      <c r="I11" s="131">
        <v>1</v>
      </c>
      <c r="J11" s="143" t="s">
        <v>578</v>
      </c>
      <c r="K11" s="143">
        <v>1</v>
      </c>
      <c r="N11" s="143">
        <v>1</v>
      </c>
      <c r="U11" s="126">
        <v>-60</v>
      </c>
      <c r="V11" s="240">
        <v>74.400000000000006</v>
      </c>
      <c r="W11" s="240">
        <v>84</v>
      </c>
      <c r="X11" s="126">
        <v>1</v>
      </c>
      <c r="AA11" s="203">
        <v>46215.684999999998</v>
      </c>
      <c r="AB11" s="131">
        <v>2</v>
      </c>
      <c r="AC11" s="126">
        <v>7</v>
      </c>
      <c r="AD11" s="126">
        <v>2026</v>
      </c>
    </row>
    <row r="12" spans="2:32" ht="23.1" customHeight="1">
      <c r="C12" s="126">
        <v>5</v>
      </c>
      <c r="D12" s="126">
        <v>81</v>
      </c>
      <c r="E12" s="143" t="s">
        <v>556</v>
      </c>
      <c r="F12" s="169" t="s">
        <v>557</v>
      </c>
      <c r="G12" s="168">
        <v>46215</v>
      </c>
      <c r="H12" s="131">
        <v>1</v>
      </c>
      <c r="I12" s="131">
        <v>1</v>
      </c>
      <c r="J12" s="143" t="s">
        <v>578</v>
      </c>
      <c r="K12" s="143">
        <v>1</v>
      </c>
      <c r="N12" s="143">
        <v>2</v>
      </c>
      <c r="U12" s="126">
        <v>-180</v>
      </c>
      <c r="V12" s="240">
        <v>74.400000000000006</v>
      </c>
      <c r="W12" s="240">
        <v>84</v>
      </c>
      <c r="X12" s="126">
        <v>1</v>
      </c>
      <c r="AA12" s="203">
        <v>46215.687962962962</v>
      </c>
      <c r="AB12" s="131">
        <v>2</v>
      </c>
      <c r="AC12" s="126">
        <v>7</v>
      </c>
      <c r="AD12" s="126">
        <v>2026</v>
      </c>
    </row>
    <row r="13" spans="2:32" ht="23.1" customHeight="1">
      <c r="C13" s="126">
        <v>6</v>
      </c>
      <c r="D13" s="126">
        <v>81</v>
      </c>
      <c r="E13" s="143" t="s">
        <v>556</v>
      </c>
      <c r="F13" s="169" t="s">
        <v>557</v>
      </c>
      <c r="G13" s="168">
        <v>46215</v>
      </c>
      <c r="H13" s="131">
        <v>1</v>
      </c>
      <c r="I13" s="131">
        <v>1</v>
      </c>
      <c r="J13" s="143" t="s">
        <v>578</v>
      </c>
      <c r="K13" s="143">
        <v>1</v>
      </c>
      <c r="N13" s="143">
        <v>3</v>
      </c>
      <c r="U13" s="126">
        <v>-120</v>
      </c>
      <c r="V13" s="240">
        <v>74.400000000000006</v>
      </c>
      <c r="W13" s="240">
        <v>84</v>
      </c>
      <c r="X13" s="126">
        <v>1</v>
      </c>
      <c r="AA13" s="203">
        <v>46215.689803240741</v>
      </c>
      <c r="AB13" s="131">
        <v>2</v>
      </c>
      <c r="AC13" s="126">
        <v>7</v>
      </c>
      <c r="AD13" s="126">
        <v>2026</v>
      </c>
    </row>
    <row r="14" spans="2:32" ht="23.1" customHeight="1">
      <c r="C14" s="126">
        <v>7</v>
      </c>
      <c r="D14" s="126">
        <v>81</v>
      </c>
      <c r="E14" s="143" t="s">
        <v>556</v>
      </c>
      <c r="F14" s="169" t="s">
        <v>557</v>
      </c>
      <c r="G14" s="168">
        <v>46215</v>
      </c>
      <c r="H14" s="131">
        <v>1</v>
      </c>
      <c r="I14" s="131">
        <v>1</v>
      </c>
      <c r="J14" s="143" t="s">
        <v>569</v>
      </c>
      <c r="L14" s="143">
        <v>1</v>
      </c>
      <c r="Q14" s="143">
        <v>7</v>
      </c>
      <c r="U14" s="126">
        <v>120</v>
      </c>
      <c r="V14" s="240">
        <v>74.400000000000006</v>
      </c>
      <c r="W14" s="240">
        <v>0</v>
      </c>
      <c r="X14" s="126">
        <v>1</v>
      </c>
      <c r="AA14" s="203">
        <v>46215.718391203707</v>
      </c>
      <c r="AB14" s="131">
        <v>2</v>
      </c>
      <c r="AC14" s="126">
        <v>7</v>
      </c>
      <c r="AD14" s="126">
        <v>2026</v>
      </c>
    </row>
    <row r="15" spans="2:32" ht="23.1" customHeight="1">
      <c r="C15" s="126">
        <v>8</v>
      </c>
      <c r="D15" s="126">
        <v>81</v>
      </c>
      <c r="E15" s="143" t="s">
        <v>556</v>
      </c>
      <c r="F15" s="169" t="s">
        <v>557</v>
      </c>
      <c r="G15" s="168">
        <v>46215</v>
      </c>
      <c r="H15" s="131">
        <v>1</v>
      </c>
      <c r="I15" s="131">
        <v>1</v>
      </c>
      <c r="J15" s="143" t="s">
        <v>562</v>
      </c>
      <c r="M15" s="143">
        <v>2</v>
      </c>
      <c r="U15" s="126">
        <v>120</v>
      </c>
      <c r="V15" s="240">
        <v>74.400000000000006</v>
      </c>
      <c r="W15" s="240">
        <v>0</v>
      </c>
      <c r="X15" s="126">
        <v>1</v>
      </c>
      <c r="AA15" s="203">
        <v>46215.722743055558</v>
      </c>
      <c r="AB15" s="131">
        <v>2</v>
      </c>
      <c r="AC15" s="126">
        <v>7</v>
      </c>
      <c r="AD15" s="126">
        <v>2026</v>
      </c>
    </row>
    <row r="16" spans="2:32" ht="23.1" customHeight="1">
      <c r="C16" s="126">
        <v>9</v>
      </c>
      <c r="D16" s="126">
        <v>81</v>
      </c>
      <c r="E16" s="143" t="s">
        <v>556</v>
      </c>
      <c r="F16" s="169" t="s">
        <v>557</v>
      </c>
      <c r="G16" s="168">
        <v>46215</v>
      </c>
      <c r="H16" s="131">
        <v>1</v>
      </c>
      <c r="I16" s="131">
        <v>1</v>
      </c>
      <c r="J16" s="143" t="s">
        <v>578</v>
      </c>
      <c r="K16" s="143">
        <v>3</v>
      </c>
      <c r="N16" s="143">
        <v>4</v>
      </c>
      <c r="U16" s="126">
        <v>-240</v>
      </c>
      <c r="V16" s="240">
        <v>74.400000000000006</v>
      </c>
      <c r="W16" s="240">
        <v>84</v>
      </c>
      <c r="X16" s="126">
        <v>1</v>
      </c>
      <c r="AA16" s="203">
        <v>46215.725810185184</v>
      </c>
      <c r="AB16" s="131">
        <v>2</v>
      </c>
      <c r="AC16" s="126">
        <v>7</v>
      </c>
      <c r="AD16" s="126">
        <v>2026</v>
      </c>
    </row>
    <row r="17" spans="3:30" ht="23.1" customHeight="1">
      <c r="C17" s="126">
        <v>10</v>
      </c>
      <c r="D17" s="126">
        <v>1</v>
      </c>
      <c r="E17" s="143" t="s">
        <v>486</v>
      </c>
      <c r="F17" s="169" t="s">
        <v>487</v>
      </c>
      <c r="G17" s="168">
        <v>46216</v>
      </c>
      <c r="H17" s="131">
        <v>1</v>
      </c>
      <c r="I17" s="131">
        <v>1</v>
      </c>
      <c r="J17" s="143" t="s">
        <v>562</v>
      </c>
      <c r="M17" s="143">
        <v>3</v>
      </c>
      <c r="U17" s="126">
        <v>10</v>
      </c>
      <c r="V17" s="240">
        <v>27.34</v>
      </c>
      <c r="W17" s="240">
        <v>0</v>
      </c>
      <c r="X17" s="126">
        <v>1</v>
      </c>
      <c r="AA17" s="203">
        <v>46216.693506944444</v>
      </c>
      <c r="AB17" s="131">
        <v>2</v>
      </c>
      <c r="AC17" s="126">
        <v>7</v>
      </c>
      <c r="AD17" s="126">
        <v>2026</v>
      </c>
    </row>
    <row r="18" spans="3:30" ht="23.1" customHeight="1">
      <c r="C18" s="126">
        <v>11</v>
      </c>
      <c r="D18" s="126">
        <v>2</v>
      </c>
      <c r="E18" s="143" t="s">
        <v>615</v>
      </c>
      <c r="F18" s="169" t="s">
        <v>616</v>
      </c>
      <c r="G18" s="168">
        <v>46216</v>
      </c>
      <c r="H18" s="131">
        <v>1</v>
      </c>
      <c r="I18" s="131">
        <v>1</v>
      </c>
      <c r="J18" s="143" t="s">
        <v>562</v>
      </c>
      <c r="M18" s="143">
        <v>3</v>
      </c>
      <c r="U18" s="126">
        <v>10</v>
      </c>
      <c r="V18" s="240">
        <v>11.32</v>
      </c>
      <c r="W18" s="240">
        <v>0</v>
      </c>
      <c r="X18" s="126">
        <v>1</v>
      </c>
      <c r="AA18" s="203">
        <v>46216.693506944444</v>
      </c>
      <c r="AB18" s="131">
        <v>2</v>
      </c>
      <c r="AC18" s="126">
        <v>7</v>
      </c>
      <c r="AD18" s="126">
        <v>2026</v>
      </c>
    </row>
    <row r="19" spans="3:30" ht="23.1" customHeight="1">
      <c r="C19" s="126">
        <v>12</v>
      </c>
      <c r="D19" s="126">
        <v>3</v>
      </c>
      <c r="E19" s="143" t="s">
        <v>618</v>
      </c>
      <c r="F19" s="169" t="s">
        <v>619</v>
      </c>
      <c r="G19" s="168">
        <v>46216</v>
      </c>
      <c r="H19" s="131">
        <v>1</v>
      </c>
      <c r="I19" s="131">
        <v>1</v>
      </c>
      <c r="J19" s="143" t="s">
        <v>562</v>
      </c>
      <c r="M19" s="143">
        <v>3</v>
      </c>
      <c r="U19" s="126">
        <v>10</v>
      </c>
      <c r="V19" s="240">
        <v>8.8000000000000007</v>
      </c>
      <c r="W19" s="240">
        <v>0</v>
      </c>
      <c r="X19" s="126">
        <v>1</v>
      </c>
      <c r="AA19" s="203">
        <v>46216.693506944444</v>
      </c>
      <c r="AB19" s="131">
        <v>2</v>
      </c>
      <c r="AC19" s="126">
        <v>7</v>
      </c>
      <c r="AD19" s="126">
        <v>2026</v>
      </c>
    </row>
    <row r="20" spans="3:30" ht="23.1" customHeight="1">
      <c r="C20" s="126">
        <v>13</v>
      </c>
      <c r="D20" s="126">
        <v>4</v>
      </c>
      <c r="E20" s="143" t="s">
        <v>621</v>
      </c>
      <c r="F20" s="169" t="s">
        <v>622</v>
      </c>
      <c r="G20" s="168">
        <v>46216</v>
      </c>
      <c r="H20" s="131">
        <v>1</v>
      </c>
      <c r="I20" s="131">
        <v>1</v>
      </c>
      <c r="J20" s="143" t="s">
        <v>562</v>
      </c>
      <c r="M20" s="143">
        <v>3</v>
      </c>
      <c r="U20" s="126">
        <v>10</v>
      </c>
      <c r="V20" s="240">
        <v>5.8</v>
      </c>
      <c r="W20" s="240">
        <v>0</v>
      </c>
      <c r="X20" s="126">
        <v>1</v>
      </c>
      <c r="AA20" s="203">
        <v>46216.693506944444</v>
      </c>
      <c r="AB20" s="131">
        <v>2</v>
      </c>
      <c r="AC20" s="126">
        <v>7</v>
      </c>
      <c r="AD20" s="126">
        <v>2026</v>
      </c>
    </row>
    <row r="21" spans="3:30" ht="23.1" customHeight="1">
      <c r="C21" s="126">
        <v>14</v>
      </c>
      <c r="D21" s="126">
        <v>5</v>
      </c>
      <c r="E21" s="143" t="s">
        <v>624</v>
      </c>
      <c r="F21" s="169" t="s">
        <v>625</v>
      </c>
      <c r="G21" s="168">
        <v>46216</v>
      </c>
      <c r="H21" s="131">
        <v>1</v>
      </c>
      <c r="I21" s="131">
        <v>1</v>
      </c>
      <c r="J21" s="143" t="s">
        <v>562</v>
      </c>
      <c r="M21" s="143">
        <v>3</v>
      </c>
      <c r="U21" s="126">
        <v>10</v>
      </c>
      <c r="V21" s="240">
        <v>3.74</v>
      </c>
      <c r="W21" s="240">
        <v>0</v>
      </c>
      <c r="X21" s="126">
        <v>1</v>
      </c>
      <c r="AA21" s="203">
        <v>46216.693506944444</v>
      </c>
      <c r="AB21" s="131">
        <v>2</v>
      </c>
      <c r="AC21" s="126">
        <v>7</v>
      </c>
      <c r="AD21" s="126">
        <v>2026</v>
      </c>
    </row>
    <row r="22" spans="3:30" ht="23.1" customHeight="1">
      <c r="C22" s="126">
        <v>15</v>
      </c>
      <c r="D22" s="126">
        <v>1</v>
      </c>
      <c r="E22" s="143" t="s">
        <v>486</v>
      </c>
      <c r="F22" s="169" t="s">
        <v>487</v>
      </c>
      <c r="G22" s="168">
        <v>46216</v>
      </c>
      <c r="H22" s="131">
        <v>1</v>
      </c>
      <c r="I22" s="131">
        <v>1</v>
      </c>
      <c r="J22" s="143" t="s">
        <v>569</v>
      </c>
      <c r="L22" s="143">
        <v>1</v>
      </c>
      <c r="Q22" s="143">
        <v>8</v>
      </c>
      <c r="U22" s="126">
        <v>10</v>
      </c>
      <c r="V22" s="240">
        <v>27.34</v>
      </c>
      <c r="W22" s="240">
        <v>0</v>
      </c>
      <c r="X22" s="126">
        <v>1</v>
      </c>
      <c r="AA22" s="203">
        <v>46216.694976851853</v>
      </c>
      <c r="AB22" s="131">
        <v>2</v>
      </c>
      <c r="AC22" s="126">
        <v>7</v>
      </c>
      <c r="AD22" s="126">
        <v>2026</v>
      </c>
    </row>
    <row r="23" spans="3:30" ht="23.1" customHeight="1">
      <c r="C23" s="126">
        <v>16</v>
      </c>
      <c r="D23" s="126">
        <v>2</v>
      </c>
      <c r="E23" s="143" t="s">
        <v>615</v>
      </c>
      <c r="F23" s="169" t="s">
        <v>616</v>
      </c>
      <c r="G23" s="168">
        <v>46216</v>
      </c>
      <c r="H23" s="131">
        <v>1</v>
      </c>
      <c r="I23" s="131">
        <v>1</v>
      </c>
      <c r="J23" s="143" t="s">
        <v>569</v>
      </c>
      <c r="L23" s="143">
        <v>1</v>
      </c>
      <c r="Q23" s="143">
        <v>8</v>
      </c>
      <c r="U23" s="126">
        <v>10</v>
      </c>
      <c r="V23" s="240">
        <v>11.32</v>
      </c>
      <c r="W23" s="240">
        <v>0</v>
      </c>
      <c r="X23" s="126">
        <v>1</v>
      </c>
      <c r="AA23" s="203">
        <v>46216.694976851853</v>
      </c>
      <c r="AB23" s="131">
        <v>2</v>
      </c>
      <c r="AC23" s="126">
        <v>7</v>
      </c>
      <c r="AD23" s="126">
        <v>2026</v>
      </c>
    </row>
    <row r="24" spans="3:30" ht="23.1" customHeight="1">
      <c r="C24" s="126">
        <v>17</v>
      </c>
      <c r="D24" s="126">
        <v>3</v>
      </c>
      <c r="E24" s="143" t="s">
        <v>618</v>
      </c>
      <c r="F24" s="169" t="s">
        <v>619</v>
      </c>
      <c r="G24" s="168">
        <v>46216</v>
      </c>
      <c r="H24" s="131">
        <v>1</v>
      </c>
      <c r="I24" s="131">
        <v>1</v>
      </c>
      <c r="J24" s="143" t="s">
        <v>569</v>
      </c>
      <c r="L24" s="143">
        <v>1</v>
      </c>
      <c r="Q24" s="143">
        <v>8</v>
      </c>
      <c r="U24" s="126">
        <v>10</v>
      </c>
      <c r="V24" s="240">
        <v>8.8000000000000007</v>
      </c>
      <c r="W24" s="240">
        <v>0</v>
      </c>
      <c r="X24" s="126">
        <v>1</v>
      </c>
      <c r="Z24" s="254"/>
      <c r="AA24" s="203">
        <v>46216.694976851853</v>
      </c>
      <c r="AB24" s="131">
        <v>2</v>
      </c>
      <c r="AC24" s="126">
        <v>7</v>
      </c>
      <c r="AD24" s="126">
        <v>2026</v>
      </c>
    </row>
    <row r="25" spans="3:30" ht="23.1" customHeight="1">
      <c r="C25" s="126">
        <v>18</v>
      </c>
      <c r="D25" s="126">
        <v>4</v>
      </c>
      <c r="E25" s="143" t="s">
        <v>621</v>
      </c>
      <c r="F25" s="169" t="s">
        <v>622</v>
      </c>
      <c r="G25" s="168">
        <v>46216</v>
      </c>
      <c r="H25" s="131">
        <v>1</v>
      </c>
      <c r="I25" s="131">
        <v>1</v>
      </c>
      <c r="J25" s="143" t="s">
        <v>569</v>
      </c>
      <c r="L25" s="143">
        <v>1</v>
      </c>
      <c r="Q25" s="143">
        <v>8</v>
      </c>
      <c r="U25" s="126">
        <v>10</v>
      </c>
      <c r="V25" s="240">
        <v>5.8</v>
      </c>
      <c r="W25" s="240">
        <v>0</v>
      </c>
      <c r="X25" s="126">
        <v>1</v>
      </c>
      <c r="AA25" s="203">
        <v>46216.694976851853</v>
      </c>
      <c r="AB25" s="131">
        <v>2</v>
      </c>
      <c r="AC25" s="126">
        <v>7</v>
      </c>
      <c r="AD25" s="126">
        <v>2026</v>
      </c>
    </row>
    <row r="26" spans="3:30" ht="23.1" customHeight="1">
      <c r="C26" s="126">
        <v>19</v>
      </c>
      <c r="D26" s="126">
        <v>5</v>
      </c>
      <c r="E26" s="143" t="s">
        <v>624</v>
      </c>
      <c r="F26" s="169" t="s">
        <v>625</v>
      </c>
      <c r="G26" s="168">
        <v>46216</v>
      </c>
      <c r="H26" s="131">
        <v>1</v>
      </c>
      <c r="I26" s="131">
        <v>1</v>
      </c>
      <c r="J26" s="143" t="s">
        <v>569</v>
      </c>
      <c r="L26" s="143">
        <v>1</v>
      </c>
      <c r="Q26" s="143">
        <v>8</v>
      </c>
      <c r="U26" s="126">
        <v>10</v>
      </c>
      <c r="V26" s="240">
        <v>3.74</v>
      </c>
      <c r="W26" s="240">
        <v>0</v>
      </c>
      <c r="X26" s="126">
        <v>1</v>
      </c>
      <c r="AA26" s="203">
        <v>46216.694976851853</v>
      </c>
      <c r="AB26" s="131">
        <v>2</v>
      </c>
      <c r="AC26" s="126">
        <v>7</v>
      </c>
      <c r="AD26" s="126">
        <v>2026</v>
      </c>
    </row>
    <row r="27" spans="3:30" ht="23.1" customHeight="1">
      <c r="C27" s="126">
        <v>20</v>
      </c>
      <c r="D27" s="126">
        <v>6</v>
      </c>
      <c r="E27" s="143" t="s">
        <v>634</v>
      </c>
      <c r="F27" s="169" t="s">
        <v>635</v>
      </c>
      <c r="G27" s="168">
        <v>46216</v>
      </c>
      <c r="H27" s="131">
        <v>1</v>
      </c>
      <c r="I27" s="131">
        <v>1</v>
      </c>
      <c r="J27" s="143" t="s">
        <v>569</v>
      </c>
      <c r="L27" s="143">
        <v>1</v>
      </c>
      <c r="Q27" s="143">
        <v>8</v>
      </c>
      <c r="U27" s="126">
        <v>10</v>
      </c>
      <c r="V27" s="240">
        <v>2.89</v>
      </c>
      <c r="W27" s="240">
        <v>0</v>
      </c>
      <c r="X27" s="126">
        <v>1</v>
      </c>
      <c r="AA27" s="203">
        <v>46216.694976851853</v>
      </c>
      <c r="AB27" s="131">
        <v>2</v>
      </c>
      <c r="AC27" s="126">
        <v>7</v>
      </c>
      <c r="AD27" s="126">
        <v>2026</v>
      </c>
    </row>
    <row r="28" spans="3:30" ht="23.1" customHeight="1">
      <c r="C28" s="126">
        <v>21</v>
      </c>
      <c r="D28" s="126">
        <v>7</v>
      </c>
      <c r="E28" s="143" t="s">
        <v>637</v>
      </c>
      <c r="F28" s="169" t="s">
        <v>638</v>
      </c>
      <c r="G28" s="168">
        <v>46216</v>
      </c>
      <c r="H28" s="131">
        <v>1</v>
      </c>
      <c r="I28" s="131">
        <v>1</v>
      </c>
      <c r="J28" s="143" t="s">
        <v>569</v>
      </c>
      <c r="L28" s="143">
        <v>1</v>
      </c>
      <c r="Q28" s="143">
        <v>8</v>
      </c>
      <c r="U28" s="126">
        <v>10</v>
      </c>
      <c r="V28" s="240">
        <v>1.79</v>
      </c>
      <c r="W28" s="240">
        <v>0</v>
      </c>
      <c r="X28" s="126">
        <v>1</v>
      </c>
      <c r="AA28" s="203">
        <v>46216.694976851853</v>
      </c>
      <c r="AB28" s="131">
        <v>2</v>
      </c>
      <c r="AC28" s="126">
        <v>7</v>
      </c>
      <c r="AD28" s="126">
        <v>2026</v>
      </c>
    </row>
    <row r="29" spans="3:30" ht="23.1" customHeight="1">
      <c r="C29" s="126">
        <v>22</v>
      </c>
      <c r="D29" s="126">
        <v>8</v>
      </c>
      <c r="E29" s="143" t="s">
        <v>640</v>
      </c>
      <c r="F29" s="169" t="s">
        <v>641</v>
      </c>
      <c r="G29" s="168">
        <v>46216</v>
      </c>
      <c r="H29" s="131">
        <v>1</v>
      </c>
      <c r="I29" s="131">
        <v>1</v>
      </c>
      <c r="J29" s="143" t="s">
        <v>569</v>
      </c>
      <c r="L29" s="143">
        <v>1</v>
      </c>
      <c r="Q29" s="143">
        <v>8</v>
      </c>
      <c r="U29" s="126">
        <v>10</v>
      </c>
      <c r="V29" s="240">
        <v>1.32</v>
      </c>
      <c r="W29" s="240">
        <v>0</v>
      </c>
      <c r="X29" s="126">
        <v>1</v>
      </c>
      <c r="AA29" s="203">
        <v>46216.694976851853</v>
      </c>
      <c r="AB29" s="131">
        <v>2</v>
      </c>
      <c r="AC29" s="126">
        <v>7</v>
      </c>
      <c r="AD29" s="126">
        <v>2026</v>
      </c>
    </row>
    <row r="30" spans="3:30" ht="23.1" customHeight="1">
      <c r="C30" s="126">
        <v>23</v>
      </c>
      <c r="D30" s="126">
        <v>9</v>
      </c>
      <c r="E30" s="143" t="s">
        <v>643</v>
      </c>
      <c r="F30" s="169" t="s">
        <v>644</v>
      </c>
      <c r="G30" s="168">
        <v>46216</v>
      </c>
      <c r="H30" s="131">
        <v>1</v>
      </c>
      <c r="I30" s="131">
        <v>1</v>
      </c>
      <c r="J30" s="143" t="s">
        <v>569</v>
      </c>
      <c r="L30" s="143">
        <v>1</v>
      </c>
      <c r="Q30" s="143">
        <v>8</v>
      </c>
      <c r="U30" s="126">
        <v>10</v>
      </c>
      <c r="V30" s="240">
        <v>1.1499999999999999</v>
      </c>
      <c r="W30" s="240">
        <v>0</v>
      </c>
      <c r="X30" s="126">
        <v>1</v>
      </c>
      <c r="AA30" s="203">
        <v>46216.694976851853</v>
      </c>
      <c r="AB30" s="131">
        <v>2</v>
      </c>
      <c r="AC30" s="126">
        <v>7</v>
      </c>
      <c r="AD30" s="126">
        <v>2026</v>
      </c>
    </row>
    <row r="31" spans="3:30" ht="23.1" customHeight="1">
      <c r="C31" s="126">
        <v>24</v>
      </c>
      <c r="D31" s="126">
        <v>10</v>
      </c>
      <c r="E31" s="143" t="s">
        <v>646</v>
      </c>
      <c r="F31" s="169" t="s">
        <v>647</v>
      </c>
      <c r="G31" s="168">
        <v>46216</v>
      </c>
      <c r="H31" s="131">
        <v>1</v>
      </c>
      <c r="I31" s="131">
        <v>1</v>
      </c>
      <c r="J31" s="143" t="s">
        <v>569</v>
      </c>
      <c r="L31" s="143">
        <v>1</v>
      </c>
      <c r="Q31" s="143">
        <v>8</v>
      </c>
      <c r="U31" s="126">
        <v>10</v>
      </c>
      <c r="V31" s="240">
        <v>14.85</v>
      </c>
      <c r="W31" s="240">
        <v>0</v>
      </c>
      <c r="X31" s="126">
        <v>1</v>
      </c>
      <c r="AA31" s="203">
        <v>46216.694976851853</v>
      </c>
      <c r="AB31" s="131">
        <v>2</v>
      </c>
      <c r="AC31" s="126">
        <v>7</v>
      </c>
      <c r="AD31" s="126">
        <v>2026</v>
      </c>
    </row>
    <row r="32" spans="3:30" ht="23.1" customHeight="1">
      <c r="C32" s="126">
        <v>25</v>
      </c>
      <c r="D32" s="126">
        <v>1</v>
      </c>
      <c r="E32" s="143" t="s">
        <v>486</v>
      </c>
      <c r="F32" s="169" t="s">
        <v>487</v>
      </c>
      <c r="G32" s="168">
        <v>46216</v>
      </c>
      <c r="H32" s="131">
        <v>1</v>
      </c>
      <c r="I32" s="131">
        <v>1</v>
      </c>
      <c r="J32" s="143" t="s">
        <v>578</v>
      </c>
      <c r="K32" s="143">
        <v>1</v>
      </c>
      <c r="N32" s="143">
        <v>5</v>
      </c>
      <c r="U32" s="126">
        <v>-2</v>
      </c>
      <c r="V32" s="240">
        <v>27.34</v>
      </c>
      <c r="W32" s="240">
        <v>28.5</v>
      </c>
      <c r="X32" s="126">
        <v>1</v>
      </c>
      <c r="AA32" s="203">
        <v>46216.696875000001</v>
      </c>
      <c r="AB32" s="131">
        <v>2</v>
      </c>
      <c r="AC32" s="126">
        <v>7</v>
      </c>
      <c r="AD32" s="126">
        <v>2026</v>
      </c>
    </row>
    <row r="33" spans="3:30" ht="23.1" customHeight="1">
      <c r="C33" s="126">
        <v>26</v>
      </c>
      <c r="D33" s="126">
        <v>2</v>
      </c>
      <c r="E33" s="143" t="s">
        <v>615</v>
      </c>
      <c r="F33" s="169" t="s">
        <v>616</v>
      </c>
      <c r="G33" s="168">
        <v>46216</v>
      </c>
      <c r="H33" s="131">
        <v>1</v>
      </c>
      <c r="I33" s="131">
        <v>1</v>
      </c>
      <c r="J33" s="143" t="s">
        <v>578</v>
      </c>
      <c r="K33" s="143">
        <v>1</v>
      </c>
      <c r="N33" s="143">
        <v>5</v>
      </c>
      <c r="U33" s="126">
        <v>-2</v>
      </c>
      <c r="V33" s="240">
        <v>11.32</v>
      </c>
      <c r="W33" s="240">
        <v>12</v>
      </c>
      <c r="X33" s="126">
        <v>1</v>
      </c>
      <c r="AA33" s="203">
        <v>46216.696875000001</v>
      </c>
      <c r="AB33" s="131">
        <v>2</v>
      </c>
      <c r="AC33" s="126">
        <v>7</v>
      </c>
      <c r="AD33" s="126">
        <v>2026</v>
      </c>
    </row>
    <row r="34" spans="3:30" ht="23.1" customHeight="1">
      <c r="C34" s="126">
        <v>27</v>
      </c>
      <c r="D34" s="126">
        <v>3</v>
      </c>
      <c r="E34" s="143" t="s">
        <v>618</v>
      </c>
      <c r="F34" s="169" t="s">
        <v>619</v>
      </c>
      <c r="G34" s="168">
        <v>46216</v>
      </c>
      <c r="H34" s="131">
        <v>1</v>
      </c>
      <c r="I34" s="131">
        <v>1</v>
      </c>
      <c r="J34" s="143" t="s">
        <v>578</v>
      </c>
      <c r="K34" s="143">
        <v>1</v>
      </c>
      <c r="N34" s="143">
        <v>5</v>
      </c>
      <c r="U34" s="126">
        <v>-2</v>
      </c>
      <c r="V34" s="240">
        <v>8.8000000000000007</v>
      </c>
      <c r="W34" s="240">
        <v>9.5</v>
      </c>
      <c r="X34" s="126">
        <v>1</v>
      </c>
      <c r="AA34" s="203">
        <v>46216.696875000001</v>
      </c>
      <c r="AB34" s="131">
        <v>2</v>
      </c>
      <c r="AC34" s="126">
        <v>7</v>
      </c>
      <c r="AD34" s="126">
        <v>2026</v>
      </c>
    </row>
    <row r="35" spans="3:30" ht="23.1" customHeight="1">
      <c r="C35" s="126">
        <v>28</v>
      </c>
      <c r="D35" s="126">
        <v>4</v>
      </c>
      <c r="E35" s="143" t="s">
        <v>621</v>
      </c>
      <c r="F35" s="169" t="s">
        <v>622</v>
      </c>
      <c r="G35" s="168">
        <v>46216</v>
      </c>
      <c r="H35" s="131">
        <v>1</v>
      </c>
      <c r="I35" s="131">
        <v>1</v>
      </c>
      <c r="J35" s="143" t="s">
        <v>578</v>
      </c>
      <c r="K35" s="143">
        <v>1</v>
      </c>
      <c r="N35" s="143">
        <v>5</v>
      </c>
      <c r="U35" s="126">
        <v>-2</v>
      </c>
      <c r="V35" s="240">
        <v>5.8</v>
      </c>
      <c r="W35" s="240">
        <v>6.5</v>
      </c>
      <c r="X35" s="126">
        <v>1</v>
      </c>
      <c r="AA35" s="203">
        <v>46216.696875000001</v>
      </c>
      <c r="AB35" s="131">
        <v>2</v>
      </c>
      <c r="AC35" s="126">
        <v>7</v>
      </c>
      <c r="AD35" s="126">
        <v>2026</v>
      </c>
    </row>
    <row r="36" spans="3:30" ht="23.1" customHeight="1">
      <c r="C36" s="126">
        <v>29</v>
      </c>
      <c r="D36" s="126">
        <v>5</v>
      </c>
      <c r="E36" s="143" t="s">
        <v>624</v>
      </c>
      <c r="F36" s="169" t="s">
        <v>625</v>
      </c>
      <c r="G36" s="168">
        <v>46216</v>
      </c>
      <c r="H36" s="131">
        <v>1</v>
      </c>
      <c r="I36" s="131">
        <v>1</v>
      </c>
      <c r="J36" s="143" t="s">
        <v>578</v>
      </c>
      <c r="K36" s="143">
        <v>1</v>
      </c>
      <c r="N36" s="143">
        <v>5</v>
      </c>
      <c r="U36" s="126">
        <v>-2</v>
      </c>
      <c r="V36" s="240">
        <v>3.74</v>
      </c>
      <c r="W36" s="240">
        <v>4.25</v>
      </c>
      <c r="X36" s="126">
        <v>1</v>
      </c>
      <c r="AA36" s="203">
        <v>46216.696875000001</v>
      </c>
      <c r="AB36" s="131">
        <v>2</v>
      </c>
      <c r="AC36" s="126">
        <v>7</v>
      </c>
      <c r="AD36" s="126">
        <v>2026</v>
      </c>
    </row>
    <row r="37" spans="3:30" ht="23.1" customHeight="1">
      <c r="C37" s="126">
        <v>30</v>
      </c>
      <c r="D37" s="126">
        <v>6</v>
      </c>
      <c r="E37" s="143" t="s">
        <v>634</v>
      </c>
      <c r="F37" s="169" t="s">
        <v>635</v>
      </c>
      <c r="G37" s="168">
        <v>46216</v>
      </c>
      <c r="H37" s="131">
        <v>1</v>
      </c>
      <c r="I37" s="131">
        <v>1</v>
      </c>
      <c r="J37" s="143" t="s">
        <v>578</v>
      </c>
      <c r="K37" s="143">
        <v>1</v>
      </c>
      <c r="N37" s="143">
        <v>5</v>
      </c>
      <c r="U37" s="126">
        <v>-2</v>
      </c>
      <c r="V37" s="240">
        <v>2.89</v>
      </c>
      <c r="W37" s="240">
        <v>3.5</v>
      </c>
      <c r="X37" s="126">
        <v>1</v>
      </c>
      <c r="AA37" s="203">
        <v>46216.696875000001</v>
      </c>
      <c r="AB37" s="131">
        <v>2</v>
      </c>
      <c r="AC37" s="126">
        <v>7</v>
      </c>
      <c r="AD37" s="126">
        <v>2026</v>
      </c>
    </row>
    <row r="38" spans="3:30" ht="23.1" customHeight="1">
      <c r="C38" s="126">
        <v>31</v>
      </c>
      <c r="D38" s="126">
        <v>7</v>
      </c>
      <c r="E38" s="143" t="s">
        <v>637</v>
      </c>
      <c r="F38" s="169" t="s">
        <v>638</v>
      </c>
      <c r="G38" s="168">
        <v>46216</v>
      </c>
      <c r="H38" s="131">
        <v>1</v>
      </c>
      <c r="I38" s="131">
        <v>1</v>
      </c>
      <c r="J38" s="143" t="s">
        <v>578</v>
      </c>
      <c r="K38" s="143">
        <v>1</v>
      </c>
      <c r="N38" s="143">
        <v>5</v>
      </c>
      <c r="U38" s="126">
        <v>-2</v>
      </c>
      <c r="V38" s="240">
        <v>1.79</v>
      </c>
      <c r="W38" s="240">
        <v>2.5</v>
      </c>
      <c r="X38" s="126">
        <v>1</v>
      </c>
      <c r="AA38" s="203">
        <v>46216.696875000001</v>
      </c>
      <c r="AB38" s="131">
        <v>2</v>
      </c>
      <c r="AC38" s="126">
        <v>7</v>
      </c>
      <c r="AD38" s="126">
        <v>2026</v>
      </c>
    </row>
    <row r="39" spans="3:30" ht="23.1" customHeight="1">
      <c r="C39" s="126">
        <v>32</v>
      </c>
      <c r="D39" s="126">
        <v>8</v>
      </c>
      <c r="E39" s="143" t="s">
        <v>640</v>
      </c>
      <c r="F39" s="169" t="s">
        <v>641</v>
      </c>
      <c r="G39" s="168">
        <v>46216</v>
      </c>
      <c r="H39" s="131">
        <v>1</v>
      </c>
      <c r="I39" s="131">
        <v>1</v>
      </c>
      <c r="J39" s="143" t="s">
        <v>578</v>
      </c>
      <c r="K39" s="143">
        <v>1</v>
      </c>
      <c r="N39" s="143">
        <v>5</v>
      </c>
      <c r="U39" s="126">
        <v>-2</v>
      </c>
      <c r="V39" s="240">
        <v>1.32</v>
      </c>
      <c r="W39" s="240">
        <v>1.75</v>
      </c>
      <c r="X39" s="126">
        <v>1</v>
      </c>
      <c r="AA39" s="203">
        <v>46216.696875000001</v>
      </c>
      <c r="AB39" s="131">
        <v>2</v>
      </c>
      <c r="AC39" s="126">
        <v>7</v>
      </c>
      <c r="AD39" s="126">
        <v>2026</v>
      </c>
    </row>
    <row r="40" spans="3:30" ht="23.1" customHeight="1">
      <c r="C40" s="126">
        <v>33</v>
      </c>
      <c r="D40" s="126">
        <v>9</v>
      </c>
      <c r="E40" s="143" t="s">
        <v>643</v>
      </c>
      <c r="F40" s="169" t="s">
        <v>644</v>
      </c>
      <c r="G40" s="168">
        <v>46216</v>
      </c>
      <c r="H40" s="131">
        <v>1</v>
      </c>
      <c r="I40" s="131">
        <v>1</v>
      </c>
      <c r="J40" s="143" t="s">
        <v>578</v>
      </c>
      <c r="K40" s="143">
        <v>1</v>
      </c>
      <c r="N40" s="143">
        <v>5</v>
      </c>
      <c r="U40" s="126">
        <v>-2</v>
      </c>
      <c r="V40" s="240">
        <v>1.1499999999999999</v>
      </c>
      <c r="W40" s="240">
        <v>1.5</v>
      </c>
      <c r="X40" s="126">
        <v>1</v>
      </c>
      <c r="AA40" s="203">
        <v>46216.696875000001</v>
      </c>
      <c r="AB40" s="131">
        <v>2</v>
      </c>
      <c r="AC40" s="126">
        <v>7</v>
      </c>
      <c r="AD40" s="126">
        <v>2026</v>
      </c>
    </row>
    <row r="41" spans="3:30" ht="23.1" customHeight="1">
      <c r="C41" s="126">
        <v>34</v>
      </c>
      <c r="D41" s="126">
        <v>10</v>
      </c>
      <c r="E41" s="143" t="s">
        <v>646</v>
      </c>
      <c r="F41" s="169" t="s">
        <v>647</v>
      </c>
      <c r="G41" s="168">
        <v>46216</v>
      </c>
      <c r="H41" s="131">
        <v>1</v>
      </c>
      <c r="I41" s="131">
        <v>1</v>
      </c>
      <c r="J41" s="143" t="s">
        <v>578</v>
      </c>
      <c r="K41" s="143">
        <v>1</v>
      </c>
      <c r="N41" s="143">
        <v>5</v>
      </c>
      <c r="U41" s="126">
        <v>-2</v>
      </c>
      <c r="V41" s="240">
        <v>14.85</v>
      </c>
      <c r="W41" s="240">
        <v>15.5</v>
      </c>
      <c r="X41" s="126">
        <v>1</v>
      </c>
      <c r="AA41" s="203">
        <v>46216.696875000001</v>
      </c>
      <c r="AB41" s="131">
        <v>2</v>
      </c>
      <c r="AC41" s="126">
        <v>7</v>
      </c>
      <c r="AD41" s="126">
        <v>2026</v>
      </c>
    </row>
    <row r="340" spans="11:11" ht="23.1" customHeight="1">
      <c r="K340" s="130"/>
    </row>
    <row r="341" spans="11:11" ht="23.1" customHeight="1">
      <c r="K341" s="130"/>
    </row>
    <row r="342" spans="11:11" ht="23.1" customHeight="1">
      <c r="K342" s="130"/>
    </row>
    <row r="343" spans="11:11" ht="23.1" customHeight="1">
      <c r="K343" s="130"/>
    </row>
    <row r="344" spans="11:11" ht="23.1" customHeight="1">
      <c r="K344" s="130"/>
    </row>
    <row r="1122" spans="21:26" ht="23.1" customHeight="1">
      <c r="U1122" s="139"/>
      <c r="X1122" s="139"/>
      <c r="Y1122" s="139"/>
      <c r="Z1122" s="255"/>
    </row>
    <row r="1186" spans="6:6" ht="23.1" customHeight="1">
      <c r="F1186" s="127"/>
    </row>
    <row r="1746" spans="11:21" ht="23.1" customHeight="1">
      <c r="K1746" s="191"/>
      <c r="U1746" s="143"/>
    </row>
    <row r="1747" spans="11:21" ht="23.1" customHeight="1">
      <c r="K1747" s="191"/>
      <c r="U1747" s="143"/>
    </row>
    <row r="1748" spans="11:21" ht="23.1" customHeight="1">
      <c r="U1748" s="143"/>
    </row>
    <row r="1749" spans="11:21" ht="23.1" customHeight="1">
      <c r="U1749" s="143"/>
    </row>
    <row r="1750" spans="11:21" ht="23.1" customHeight="1">
      <c r="U1750" s="143"/>
    </row>
    <row r="1751" spans="11:21" ht="23.1" customHeight="1">
      <c r="U1751" s="143"/>
    </row>
    <row r="1800" spans="21:21" ht="23.1" customHeight="1">
      <c r="U1800" s="139"/>
    </row>
  </sheetData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18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Y16" sqref="Y16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3" customWidth="1"/>
    <col min="5" max="5" width="26.28515625" style="169" customWidth="1"/>
    <col min="6" max="6" width="13.28515625" style="164" customWidth="1"/>
    <col min="7" max="7" width="13" style="249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2"/>
      <c r="E1" s="169"/>
      <c r="F1" s="164"/>
      <c r="G1" s="249"/>
    </row>
    <row r="2" spans="3:29" s="13" customFormat="1" ht="23.25" hidden="1">
      <c r="C2" s="126"/>
      <c r="D2" s="142"/>
      <c r="E2" s="169"/>
      <c r="F2" s="164"/>
      <c r="G2" s="249"/>
    </row>
    <row r="3" spans="3:29" s="13" customFormat="1" ht="23.25">
      <c r="C3" s="126"/>
      <c r="D3" s="142"/>
      <c r="E3" s="169"/>
      <c r="F3" s="164"/>
      <c r="G3" s="249"/>
    </row>
    <row r="4" spans="3:29" s="13" customFormat="1" ht="32.25" customHeight="1">
      <c r="C4" s="126"/>
      <c r="D4" s="142"/>
      <c r="E4" s="173"/>
      <c r="F4" s="205"/>
      <c r="G4" s="250"/>
    </row>
    <row r="5" spans="3:29" s="13" customFormat="1" ht="26.25" customHeight="1">
      <c r="C5" s="126"/>
      <c r="D5" s="142"/>
      <c r="E5" s="169"/>
      <c r="F5" s="164"/>
      <c r="G5" s="249"/>
    </row>
    <row r="6" spans="3:29" s="13" customFormat="1" ht="25.5">
      <c r="C6" s="291" t="s">
        <v>173</v>
      </c>
      <c r="D6" s="292" t="s">
        <v>213</v>
      </c>
      <c r="E6" s="292" t="s">
        <v>12</v>
      </c>
      <c r="F6" s="291" t="s">
        <v>214</v>
      </c>
      <c r="G6" s="293" t="s">
        <v>211</v>
      </c>
      <c r="H6" s="291" t="s">
        <v>174</v>
      </c>
      <c r="I6" s="291" t="s">
        <v>175</v>
      </c>
      <c r="J6" s="291" t="s">
        <v>119</v>
      </c>
      <c r="K6" s="291" t="s">
        <v>119</v>
      </c>
      <c r="L6" s="291" t="s">
        <v>176</v>
      </c>
      <c r="M6" s="291" t="s">
        <v>176</v>
      </c>
      <c r="N6" s="291" t="s">
        <v>177</v>
      </c>
      <c r="O6" s="155" t="s">
        <v>178</v>
      </c>
      <c r="P6" s="155" t="s">
        <v>179</v>
      </c>
      <c r="Q6" s="155" t="s">
        <v>179</v>
      </c>
      <c r="R6" s="155" t="s">
        <v>180</v>
      </c>
      <c r="S6" s="155" t="s">
        <v>181</v>
      </c>
      <c r="T6" s="155" t="s">
        <v>182</v>
      </c>
      <c r="W6" s="407"/>
      <c r="X6" s="407"/>
      <c r="Y6" s="407"/>
      <c r="Z6" s="407"/>
      <c r="AA6" s="407"/>
      <c r="AB6" s="407"/>
      <c r="AC6" s="407"/>
    </row>
    <row r="7" spans="3:29" ht="20.25" customHeight="1">
      <c r="C7" s="294" t="s">
        <v>162</v>
      </c>
      <c r="D7" s="295" t="s">
        <v>207</v>
      </c>
      <c r="E7" s="295" t="s">
        <v>17</v>
      </c>
      <c r="F7" s="294" t="s">
        <v>210</v>
      </c>
      <c r="G7" s="296" t="s">
        <v>202</v>
      </c>
      <c r="H7" s="294" t="s">
        <v>164</v>
      </c>
      <c r="I7" s="294" t="s">
        <v>165</v>
      </c>
      <c r="J7" s="294" t="s">
        <v>172</v>
      </c>
      <c r="K7" s="294" t="s">
        <v>373</v>
      </c>
      <c r="L7" s="294" t="s">
        <v>166</v>
      </c>
      <c r="M7" s="294" t="s">
        <v>374</v>
      </c>
      <c r="N7" s="294" t="s">
        <v>167</v>
      </c>
      <c r="O7" s="152" t="s">
        <v>168</v>
      </c>
      <c r="P7" s="152" t="s">
        <v>169</v>
      </c>
      <c r="Q7" s="152" t="s">
        <v>375</v>
      </c>
      <c r="R7" s="152" t="s">
        <v>170</v>
      </c>
      <c r="S7" s="152" t="s">
        <v>171</v>
      </c>
      <c r="T7" s="152" t="s">
        <v>183</v>
      </c>
      <c r="W7" s="408"/>
      <c r="X7" s="408"/>
      <c r="Y7" s="408"/>
      <c r="Z7" s="408"/>
      <c r="AA7" s="408"/>
      <c r="AB7" s="408"/>
      <c r="AC7" s="408"/>
    </row>
    <row r="8" spans="3:29" ht="23.1" customHeight="1">
      <c r="C8" s="126">
        <v>81</v>
      </c>
      <c r="D8" s="143" t="s">
        <v>556</v>
      </c>
      <c r="E8" s="169" t="s">
        <v>557</v>
      </c>
      <c r="H8" s="126">
        <v>0</v>
      </c>
      <c r="I8" s="126">
        <v>180</v>
      </c>
      <c r="J8" s="126">
        <v>600</v>
      </c>
      <c r="K8" s="126">
        <v>0</v>
      </c>
      <c r="N8" s="126">
        <v>420</v>
      </c>
    </row>
    <row r="9" spans="3:29" ht="23.1" customHeight="1">
      <c r="C9" s="126">
        <v>1</v>
      </c>
      <c r="D9" s="143" t="s">
        <v>486</v>
      </c>
      <c r="E9" s="169" t="s">
        <v>487</v>
      </c>
      <c r="H9" s="126">
        <v>18</v>
      </c>
      <c r="I9" s="126">
        <v>10</v>
      </c>
      <c r="J9" s="126">
        <v>2</v>
      </c>
      <c r="K9" s="126">
        <v>0</v>
      </c>
      <c r="N9" s="126">
        <v>10</v>
      </c>
    </row>
    <row r="10" spans="3:29" ht="23.1" customHeight="1">
      <c r="C10" s="126">
        <v>2</v>
      </c>
      <c r="D10" s="143" t="s">
        <v>615</v>
      </c>
      <c r="E10" s="169" t="s">
        <v>616</v>
      </c>
      <c r="H10" s="126">
        <v>18</v>
      </c>
      <c r="I10" s="126">
        <v>10</v>
      </c>
      <c r="J10" s="126">
        <v>2</v>
      </c>
      <c r="K10" s="126">
        <v>0</v>
      </c>
      <c r="N10" s="126">
        <v>10</v>
      </c>
    </row>
    <row r="11" spans="3:29" ht="23.1" customHeight="1">
      <c r="C11" s="126">
        <v>3</v>
      </c>
      <c r="D11" s="143" t="s">
        <v>618</v>
      </c>
      <c r="E11" s="169" t="s">
        <v>619</v>
      </c>
      <c r="H11" s="126">
        <v>18</v>
      </c>
      <c r="I11" s="126">
        <v>10</v>
      </c>
      <c r="J11" s="126">
        <v>2</v>
      </c>
      <c r="K11" s="126">
        <v>0</v>
      </c>
      <c r="N11" s="126">
        <v>10</v>
      </c>
    </row>
    <row r="12" spans="3:29" ht="23.1" customHeight="1">
      <c r="C12" s="126">
        <v>4</v>
      </c>
      <c r="D12" s="143" t="s">
        <v>621</v>
      </c>
      <c r="E12" s="169" t="s">
        <v>622</v>
      </c>
      <c r="H12" s="126">
        <v>18</v>
      </c>
      <c r="I12" s="126">
        <v>10</v>
      </c>
      <c r="J12" s="126">
        <v>2</v>
      </c>
      <c r="K12" s="126">
        <v>0</v>
      </c>
      <c r="N12" s="126">
        <v>10</v>
      </c>
    </row>
    <row r="13" spans="3:29" ht="23.1" customHeight="1">
      <c r="C13" s="126">
        <v>5</v>
      </c>
      <c r="D13" s="143" t="s">
        <v>624</v>
      </c>
      <c r="E13" s="169" t="s">
        <v>625</v>
      </c>
      <c r="H13" s="126">
        <v>18</v>
      </c>
      <c r="I13" s="126">
        <v>10</v>
      </c>
      <c r="J13" s="126">
        <v>2</v>
      </c>
      <c r="K13" s="126">
        <v>0</v>
      </c>
      <c r="N13" s="126">
        <v>10</v>
      </c>
    </row>
    <row r="14" spans="3:29" ht="23.1" customHeight="1">
      <c r="C14" s="126">
        <v>6</v>
      </c>
      <c r="D14" s="143" t="s">
        <v>634</v>
      </c>
      <c r="E14" s="169" t="s">
        <v>635</v>
      </c>
      <c r="H14" s="126">
        <v>8</v>
      </c>
      <c r="I14" s="126">
        <v>0</v>
      </c>
      <c r="J14" s="126">
        <v>2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7</v>
      </c>
      <c r="D15" s="143" t="s">
        <v>637</v>
      </c>
      <c r="E15" s="169" t="s">
        <v>638</v>
      </c>
      <c r="H15" s="126">
        <v>8</v>
      </c>
      <c r="I15" s="126">
        <v>0</v>
      </c>
      <c r="J15" s="126">
        <v>2</v>
      </c>
      <c r="K15" s="126">
        <v>0</v>
      </c>
      <c r="L15" s="126">
        <v>0</v>
      </c>
      <c r="M15" s="126">
        <v>0</v>
      </c>
      <c r="N15" s="126">
        <v>10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8</v>
      </c>
      <c r="D16" s="143" t="s">
        <v>640</v>
      </c>
      <c r="E16" s="169" t="s">
        <v>641</v>
      </c>
      <c r="H16" s="126">
        <v>8</v>
      </c>
      <c r="I16" s="126">
        <v>0</v>
      </c>
      <c r="J16" s="126">
        <v>2</v>
      </c>
      <c r="K16" s="126">
        <v>0</v>
      </c>
      <c r="L16" s="126">
        <v>0</v>
      </c>
      <c r="M16" s="126">
        <v>0</v>
      </c>
      <c r="N16" s="126">
        <v>10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9</v>
      </c>
      <c r="D17" s="143" t="s">
        <v>643</v>
      </c>
      <c r="E17" s="169" t="s">
        <v>644</v>
      </c>
      <c r="H17" s="126">
        <v>8</v>
      </c>
      <c r="I17" s="126">
        <v>0</v>
      </c>
      <c r="J17" s="126">
        <v>2</v>
      </c>
      <c r="K17" s="126">
        <v>0</v>
      </c>
      <c r="L17" s="126">
        <v>0</v>
      </c>
      <c r="M17" s="126">
        <v>0</v>
      </c>
      <c r="N17" s="126">
        <v>10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10</v>
      </c>
      <c r="D18" s="143" t="s">
        <v>646</v>
      </c>
      <c r="E18" s="169" t="s">
        <v>647</v>
      </c>
      <c r="H18" s="126">
        <v>8</v>
      </c>
      <c r="I18" s="126">
        <v>0</v>
      </c>
      <c r="J18" s="126">
        <v>2</v>
      </c>
      <c r="K18" s="126">
        <v>0</v>
      </c>
      <c r="L18" s="126">
        <v>0</v>
      </c>
      <c r="M18" s="126">
        <v>0</v>
      </c>
      <c r="N18" s="126">
        <v>10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</sheetData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25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S17" sqref="S17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3" customWidth="1"/>
    <col min="5" max="5" width="36.140625" style="164" customWidth="1"/>
    <col min="6" max="6" width="15.85546875" style="127" bestFit="1" customWidth="1"/>
    <col min="7" max="7" width="16.5703125" style="126" bestFit="1" customWidth="1"/>
    <col min="8" max="8" width="17.7109375" style="168" customWidth="1"/>
    <col min="9" max="9" width="12" style="168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83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/>
      <c r="U4" s="126"/>
      <c r="V4" s="126"/>
      <c r="W4" s="163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91" t="s">
        <v>173</v>
      </c>
      <c r="D6" s="291" t="s">
        <v>213</v>
      </c>
      <c r="E6" s="291" t="s">
        <v>12</v>
      </c>
      <c r="F6" s="291" t="s">
        <v>186</v>
      </c>
      <c r="G6" s="291" t="s">
        <v>212</v>
      </c>
      <c r="H6" s="291" t="s">
        <v>211</v>
      </c>
      <c r="I6" s="291" t="s">
        <v>24</v>
      </c>
      <c r="J6" s="291" t="s">
        <v>118</v>
      </c>
      <c r="K6" s="291" t="s">
        <v>119</v>
      </c>
      <c r="L6" s="291" t="s">
        <v>176</v>
      </c>
      <c r="M6" s="291" t="s">
        <v>177</v>
      </c>
      <c r="N6" s="155" t="s">
        <v>178</v>
      </c>
      <c r="O6" s="155" t="s">
        <v>179</v>
      </c>
      <c r="P6" s="155" t="s">
        <v>180</v>
      </c>
      <c r="Q6" s="155" t="s">
        <v>181</v>
      </c>
      <c r="R6" s="155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94" t="s">
        <v>162</v>
      </c>
      <c r="D7" s="294" t="s">
        <v>207</v>
      </c>
      <c r="E7" s="294" t="s">
        <v>17</v>
      </c>
      <c r="F7" s="294" t="s">
        <v>110</v>
      </c>
      <c r="G7" s="294" t="s">
        <v>210</v>
      </c>
      <c r="H7" s="294" t="s">
        <v>202</v>
      </c>
      <c r="I7" s="294" t="s">
        <v>21</v>
      </c>
      <c r="J7" s="294" t="s">
        <v>165</v>
      </c>
      <c r="K7" s="294" t="s">
        <v>172</v>
      </c>
      <c r="L7" s="294" t="s">
        <v>166</v>
      </c>
      <c r="M7" s="294" t="s">
        <v>167</v>
      </c>
      <c r="N7" s="152" t="s">
        <v>168</v>
      </c>
      <c r="O7" s="152" t="s">
        <v>169</v>
      </c>
      <c r="P7" s="152" t="s">
        <v>170</v>
      </c>
      <c r="Q7" s="152" t="s">
        <v>171</v>
      </c>
      <c r="R7" s="152" t="s">
        <v>183</v>
      </c>
      <c r="S7" s="128"/>
    </row>
    <row r="8" spans="3:26" ht="23.1" customHeight="1">
      <c r="C8" s="126">
        <v>81</v>
      </c>
      <c r="D8" s="143" t="s">
        <v>556</v>
      </c>
      <c r="E8" s="164" t="s">
        <v>557</v>
      </c>
      <c r="F8" s="127">
        <v>1</v>
      </c>
      <c r="I8" s="168">
        <v>46213</v>
      </c>
      <c r="J8" s="126">
        <v>60</v>
      </c>
      <c r="K8" s="126">
        <v>60</v>
      </c>
    </row>
    <row r="9" spans="3:26" ht="23.1" customHeight="1">
      <c r="C9" s="126">
        <v>81</v>
      </c>
      <c r="D9" s="143" t="s">
        <v>556</v>
      </c>
      <c r="E9" s="164" t="s">
        <v>557</v>
      </c>
      <c r="F9" s="127">
        <v>1</v>
      </c>
      <c r="I9" s="168">
        <v>46214</v>
      </c>
      <c r="J9" s="126">
        <v>0</v>
      </c>
      <c r="K9" s="126">
        <v>0</v>
      </c>
      <c r="L9" s="126">
        <v>0</v>
      </c>
      <c r="M9" s="126">
        <v>120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81</v>
      </c>
      <c r="D10" s="143" t="s">
        <v>556</v>
      </c>
      <c r="E10" s="164" t="s">
        <v>557</v>
      </c>
      <c r="F10" s="127">
        <v>1</v>
      </c>
      <c r="I10" s="168">
        <v>46215</v>
      </c>
      <c r="J10" s="126">
        <v>120</v>
      </c>
      <c r="K10" s="126">
        <v>540</v>
      </c>
      <c r="L10" s="126">
        <v>0</v>
      </c>
      <c r="M10" s="126">
        <v>300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</v>
      </c>
      <c r="D11" s="143" t="s">
        <v>486</v>
      </c>
      <c r="E11" s="164" t="s">
        <v>487</v>
      </c>
      <c r="F11" s="127">
        <v>1</v>
      </c>
      <c r="I11" s="168">
        <v>46216</v>
      </c>
      <c r="J11" s="126">
        <v>10</v>
      </c>
      <c r="K11" s="126">
        <v>2</v>
      </c>
    </row>
    <row r="12" spans="3:26" ht="23.1" customHeight="1">
      <c r="C12" s="126">
        <v>2</v>
      </c>
      <c r="D12" s="143" t="s">
        <v>615</v>
      </c>
      <c r="E12" s="164" t="s">
        <v>616</v>
      </c>
      <c r="F12" s="127">
        <v>1</v>
      </c>
      <c r="I12" s="168">
        <v>46216</v>
      </c>
      <c r="J12" s="126">
        <v>10</v>
      </c>
      <c r="K12" s="126">
        <v>2</v>
      </c>
    </row>
    <row r="13" spans="3:26" ht="23.1" customHeight="1">
      <c r="C13" s="126">
        <v>3</v>
      </c>
      <c r="D13" s="143" t="s">
        <v>618</v>
      </c>
      <c r="E13" s="164" t="s">
        <v>619</v>
      </c>
      <c r="F13" s="127">
        <v>1</v>
      </c>
      <c r="I13" s="168">
        <v>46216</v>
      </c>
      <c r="J13" s="126">
        <v>10</v>
      </c>
      <c r="K13" s="126">
        <v>2</v>
      </c>
    </row>
    <row r="14" spans="3:26" ht="23.1" customHeight="1">
      <c r="C14" s="126">
        <v>4</v>
      </c>
      <c r="D14" s="143" t="s">
        <v>621</v>
      </c>
      <c r="E14" s="164" t="s">
        <v>622</v>
      </c>
      <c r="F14" s="127">
        <v>1</v>
      </c>
      <c r="I14" s="168">
        <v>46216</v>
      </c>
      <c r="J14" s="126">
        <v>10</v>
      </c>
      <c r="K14" s="126">
        <v>2</v>
      </c>
    </row>
    <row r="15" spans="3:26" ht="23.1" customHeight="1">
      <c r="C15" s="126">
        <v>5</v>
      </c>
      <c r="D15" s="143" t="s">
        <v>624</v>
      </c>
      <c r="E15" s="164" t="s">
        <v>625</v>
      </c>
      <c r="F15" s="127">
        <v>1</v>
      </c>
      <c r="I15" s="168">
        <v>46216</v>
      </c>
      <c r="J15" s="126">
        <v>10</v>
      </c>
      <c r="K15" s="126">
        <v>2</v>
      </c>
    </row>
    <row r="16" spans="3:26" ht="23.1" customHeight="1">
      <c r="C16" s="126">
        <v>1</v>
      </c>
      <c r="D16" s="143" t="s">
        <v>486</v>
      </c>
      <c r="E16" s="164" t="s">
        <v>487</v>
      </c>
      <c r="F16" s="127">
        <v>1</v>
      </c>
      <c r="I16" s="168">
        <v>46216</v>
      </c>
      <c r="J16" s="126">
        <v>0</v>
      </c>
      <c r="K16" s="126">
        <v>0</v>
      </c>
      <c r="L16" s="126">
        <v>0</v>
      </c>
      <c r="M16" s="126">
        <v>10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2</v>
      </c>
      <c r="D17" s="143" t="s">
        <v>615</v>
      </c>
      <c r="E17" s="164" t="s">
        <v>616</v>
      </c>
      <c r="F17" s="127">
        <v>1</v>
      </c>
      <c r="I17" s="168">
        <v>46216</v>
      </c>
      <c r="J17" s="126">
        <v>0</v>
      </c>
      <c r="K17" s="126">
        <v>0</v>
      </c>
      <c r="L17" s="126">
        <v>0</v>
      </c>
      <c r="M17" s="126">
        <v>10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3</v>
      </c>
      <c r="D18" s="143" t="s">
        <v>618</v>
      </c>
      <c r="E18" s="164" t="s">
        <v>619</v>
      </c>
      <c r="F18" s="127">
        <v>1</v>
      </c>
      <c r="I18" s="168">
        <v>46216</v>
      </c>
      <c r="J18" s="126">
        <v>0</v>
      </c>
      <c r="K18" s="126">
        <v>0</v>
      </c>
      <c r="L18" s="126">
        <v>0</v>
      </c>
      <c r="M18" s="126">
        <v>10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4</v>
      </c>
      <c r="D19" s="143" t="s">
        <v>621</v>
      </c>
      <c r="E19" s="164" t="s">
        <v>622</v>
      </c>
      <c r="F19" s="127">
        <v>1</v>
      </c>
      <c r="I19" s="168">
        <v>46216</v>
      </c>
      <c r="J19" s="126">
        <v>0</v>
      </c>
      <c r="K19" s="126">
        <v>0</v>
      </c>
      <c r="L19" s="126">
        <v>0</v>
      </c>
      <c r="M19" s="126">
        <v>10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5</v>
      </c>
      <c r="D20" s="143" t="s">
        <v>624</v>
      </c>
      <c r="E20" s="164" t="s">
        <v>625</v>
      </c>
      <c r="F20" s="127">
        <v>1</v>
      </c>
      <c r="I20" s="168">
        <v>46216</v>
      </c>
      <c r="J20" s="126">
        <v>0</v>
      </c>
      <c r="K20" s="126">
        <v>0</v>
      </c>
      <c r="L20" s="126">
        <v>0</v>
      </c>
      <c r="M20" s="126">
        <v>10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6</v>
      </c>
      <c r="D21" s="143" t="s">
        <v>634</v>
      </c>
      <c r="E21" s="164" t="s">
        <v>635</v>
      </c>
      <c r="F21" s="127">
        <v>1</v>
      </c>
      <c r="I21" s="168">
        <v>46216</v>
      </c>
      <c r="J21" s="126">
        <v>0</v>
      </c>
      <c r="K21" s="126">
        <v>2</v>
      </c>
      <c r="L21" s="126">
        <v>0</v>
      </c>
      <c r="M21" s="126">
        <v>10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7</v>
      </c>
      <c r="D22" s="143" t="s">
        <v>637</v>
      </c>
      <c r="E22" s="164" t="s">
        <v>638</v>
      </c>
      <c r="F22" s="127">
        <v>1</v>
      </c>
      <c r="I22" s="168">
        <v>46216</v>
      </c>
      <c r="J22" s="126">
        <v>0</v>
      </c>
      <c r="K22" s="126">
        <v>2</v>
      </c>
      <c r="L22" s="126">
        <v>0</v>
      </c>
      <c r="M22" s="126">
        <v>10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8</v>
      </c>
      <c r="D23" s="143" t="s">
        <v>640</v>
      </c>
      <c r="E23" s="164" t="s">
        <v>641</v>
      </c>
      <c r="F23" s="127">
        <v>1</v>
      </c>
      <c r="I23" s="168">
        <v>46216</v>
      </c>
      <c r="J23" s="126">
        <v>0</v>
      </c>
      <c r="K23" s="126">
        <v>2</v>
      </c>
      <c r="L23" s="126">
        <v>0</v>
      </c>
      <c r="M23" s="126">
        <v>10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9</v>
      </c>
      <c r="D24" s="143" t="s">
        <v>643</v>
      </c>
      <c r="E24" s="164" t="s">
        <v>644</v>
      </c>
      <c r="F24" s="127">
        <v>1</v>
      </c>
      <c r="I24" s="168">
        <v>46216</v>
      </c>
      <c r="J24" s="126">
        <v>0</v>
      </c>
      <c r="K24" s="126">
        <v>2</v>
      </c>
      <c r="L24" s="126">
        <v>0</v>
      </c>
      <c r="M24" s="126">
        <v>10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10</v>
      </c>
      <c r="D25" s="143" t="s">
        <v>646</v>
      </c>
      <c r="E25" s="164" t="s">
        <v>647</v>
      </c>
      <c r="F25" s="127">
        <v>1</v>
      </c>
      <c r="I25" s="168">
        <v>46216</v>
      </c>
      <c r="J25" s="126">
        <v>0</v>
      </c>
      <c r="K25" s="126">
        <v>2</v>
      </c>
      <c r="L25" s="126">
        <v>0</v>
      </c>
      <c r="M25" s="126">
        <v>10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G17" sqref="G17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3" customWidth="1"/>
    <col min="5" max="5" width="26.28515625" style="169" customWidth="1"/>
    <col min="6" max="6" width="13.28515625" style="164" customWidth="1"/>
    <col min="7" max="7" width="13" style="249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2"/>
      <c r="E1" s="169"/>
      <c r="F1" s="164"/>
      <c r="G1" s="249"/>
    </row>
    <row r="2" spans="3:30" s="13" customFormat="1" ht="23.25" hidden="1">
      <c r="C2" s="126"/>
      <c r="D2" s="142"/>
      <c r="E2" s="169"/>
      <c r="F2" s="164"/>
      <c r="G2" s="249"/>
    </row>
    <row r="3" spans="3:30" s="13" customFormat="1" ht="23.25">
      <c r="C3" s="126"/>
      <c r="D3" s="142"/>
      <c r="E3" s="169"/>
      <c r="F3" s="164"/>
      <c r="G3" s="249"/>
    </row>
    <row r="4" spans="3:30" s="13" customFormat="1" ht="32.25" customHeight="1">
      <c r="C4" s="126"/>
      <c r="D4" s="142"/>
      <c r="E4" s="173"/>
      <c r="F4" s="205"/>
      <c r="G4" s="250"/>
    </row>
    <row r="5" spans="3:30" s="13" customFormat="1" ht="26.25" customHeight="1">
      <c r="C5" s="126"/>
      <c r="D5" s="142"/>
      <c r="E5" s="169"/>
      <c r="F5" s="164"/>
      <c r="G5" s="249"/>
    </row>
    <row r="6" spans="3:30" s="13" customFormat="1" ht="25.5">
      <c r="C6" s="291" t="s">
        <v>173</v>
      </c>
      <c r="D6" s="292" t="s">
        <v>213</v>
      </c>
      <c r="E6" s="292" t="s">
        <v>12</v>
      </c>
      <c r="F6" s="291" t="s">
        <v>214</v>
      </c>
      <c r="G6" s="293" t="s">
        <v>211</v>
      </c>
      <c r="H6" s="291" t="s">
        <v>174</v>
      </c>
      <c r="I6" s="291" t="s">
        <v>175</v>
      </c>
      <c r="J6" s="291" t="s">
        <v>119</v>
      </c>
      <c r="K6" s="291" t="s">
        <v>119</v>
      </c>
      <c r="L6" s="291" t="s">
        <v>176</v>
      </c>
      <c r="M6" s="291" t="s">
        <v>176</v>
      </c>
      <c r="N6" s="291" t="s">
        <v>177</v>
      </c>
      <c r="O6" s="291" t="s">
        <v>178</v>
      </c>
      <c r="P6" s="291" t="s">
        <v>179</v>
      </c>
      <c r="Q6" s="291" t="s">
        <v>179</v>
      </c>
      <c r="R6" s="291" t="s">
        <v>180</v>
      </c>
      <c r="S6" s="291" t="s">
        <v>181</v>
      </c>
      <c r="T6" s="291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94" t="s">
        <v>162</v>
      </c>
      <c r="D7" s="295" t="s">
        <v>207</v>
      </c>
      <c r="E7" s="295" t="s">
        <v>17</v>
      </c>
      <c r="F7" s="294" t="s">
        <v>210</v>
      </c>
      <c r="G7" s="296" t="s">
        <v>202</v>
      </c>
      <c r="H7" s="294" t="s">
        <v>164</v>
      </c>
      <c r="I7" s="294" t="s">
        <v>165</v>
      </c>
      <c r="J7" s="294" t="s">
        <v>172</v>
      </c>
      <c r="K7" s="294" t="s">
        <v>373</v>
      </c>
      <c r="L7" s="294" t="s">
        <v>166</v>
      </c>
      <c r="M7" s="294" t="s">
        <v>374</v>
      </c>
      <c r="N7" s="294" t="s">
        <v>167</v>
      </c>
      <c r="O7" s="294" t="s">
        <v>168</v>
      </c>
      <c r="P7" s="294" t="s">
        <v>169</v>
      </c>
      <c r="Q7" s="294" t="s">
        <v>375</v>
      </c>
      <c r="R7" s="294" t="s">
        <v>170</v>
      </c>
      <c r="S7" s="294" t="s">
        <v>171</v>
      </c>
      <c r="T7" s="294" t="s">
        <v>183</v>
      </c>
      <c r="X7" s="126" t="s">
        <v>164</v>
      </c>
      <c r="Y7" s="126" t="s">
        <v>165</v>
      </c>
      <c r="Z7" s="126" t="s">
        <v>172</v>
      </c>
      <c r="AA7" s="126" t="s">
        <v>373</v>
      </c>
      <c r="AB7" s="126" t="s">
        <v>166</v>
      </c>
      <c r="AC7" s="126" t="s">
        <v>374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K21" sqref="K21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3" customWidth="1"/>
    <col min="5" max="5" width="36.140625" style="164" customWidth="1"/>
    <col min="6" max="6" width="15.85546875" style="127" bestFit="1" customWidth="1"/>
    <col min="7" max="7" width="13.5703125" style="126" customWidth="1"/>
    <col min="8" max="8" width="17.7109375" style="168" customWidth="1"/>
    <col min="9" max="9" width="12" style="168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83" customWidth="1"/>
    <col min="20" max="16384" width="12.5703125" style="130"/>
  </cols>
  <sheetData>
    <row r="1" spans="3:26" customFormat="1" ht="23.25" hidden="1">
      <c r="C1" s="13"/>
      <c r="D1" s="142"/>
      <c r="E1" s="127"/>
      <c r="F1" s="127"/>
      <c r="G1" s="13"/>
      <c r="H1" s="167"/>
      <c r="I1" s="167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2"/>
      <c r="E2" s="127"/>
      <c r="F2" s="127"/>
      <c r="G2" s="13"/>
      <c r="H2" s="167"/>
      <c r="I2" s="167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3"/>
      <c r="E3" s="127"/>
      <c r="F3" s="127"/>
      <c r="G3" s="13"/>
      <c r="H3" s="167"/>
      <c r="I3" s="167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2"/>
      <c r="E4" s="127"/>
      <c r="F4" s="127"/>
      <c r="G4" s="13"/>
      <c r="H4" s="167"/>
      <c r="I4" s="167"/>
      <c r="J4" s="13"/>
      <c r="K4" s="13"/>
      <c r="L4" s="13"/>
      <c r="M4" s="13"/>
      <c r="N4" s="13"/>
      <c r="O4" s="13"/>
      <c r="P4" s="13"/>
      <c r="Q4" s="13"/>
      <c r="R4" s="13"/>
      <c r="S4" s="132"/>
      <c r="U4" s="143"/>
      <c r="V4" s="143"/>
      <c r="W4" s="136"/>
      <c r="X4" s="127"/>
    </row>
    <row r="5" spans="3:26" customFormat="1" ht="8.25" customHeight="1">
      <c r="C5" s="13"/>
      <c r="D5" s="142"/>
      <c r="E5" s="127"/>
      <c r="F5" s="127"/>
      <c r="G5" s="13"/>
      <c r="H5" s="167"/>
      <c r="I5" s="167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91" t="s">
        <v>173</v>
      </c>
      <c r="D6" s="292" t="s">
        <v>213</v>
      </c>
      <c r="E6" s="291" t="s">
        <v>12</v>
      </c>
      <c r="F6" s="291" t="s">
        <v>186</v>
      </c>
      <c r="G6" s="291" t="s">
        <v>212</v>
      </c>
      <c r="H6" s="293" t="s">
        <v>211</v>
      </c>
      <c r="I6" s="293" t="s">
        <v>24</v>
      </c>
      <c r="J6" s="291" t="s">
        <v>118</v>
      </c>
      <c r="K6" s="291" t="s">
        <v>119</v>
      </c>
      <c r="L6" s="291" t="s">
        <v>176</v>
      </c>
      <c r="M6" s="291" t="s">
        <v>177</v>
      </c>
      <c r="N6" s="291" t="s">
        <v>178</v>
      </c>
      <c r="O6" s="291" t="s">
        <v>179</v>
      </c>
      <c r="P6" s="291" t="s">
        <v>180</v>
      </c>
      <c r="Q6" s="291" t="s">
        <v>181</v>
      </c>
      <c r="R6" s="29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94" t="s">
        <v>162</v>
      </c>
      <c r="D7" s="295" t="s">
        <v>207</v>
      </c>
      <c r="E7" s="294" t="s">
        <v>17</v>
      </c>
      <c r="F7" s="294" t="s">
        <v>110</v>
      </c>
      <c r="G7" s="294" t="s">
        <v>210</v>
      </c>
      <c r="H7" s="296" t="s">
        <v>202</v>
      </c>
      <c r="I7" s="296" t="s">
        <v>21</v>
      </c>
      <c r="J7" s="294" t="s">
        <v>165</v>
      </c>
      <c r="K7" s="294" t="s">
        <v>172</v>
      </c>
      <c r="L7" s="294" t="s">
        <v>166</v>
      </c>
      <c r="M7" s="294" t="s">
        <v>167</v>
      </c>
      <c r="N7" s="294" t="s">
        <v>168</v>
      </c>
      <c r="O7" s="294" t="s">
        <v>169</v>
      </c>
      <c r="P7" s="294" t="s">
        <v>170</v>
      </c>
      <c r="Q7" s="294" t="s">
        <v>171</v>
      </c>
      <c r="R7" s="294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H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J15" sqref="J15"/>
    </sheetView>
  </sheetViews>
  <sheetFormatPr defaultRowHeight="23.25"/>
  <cols>
    <col min="1" max="1" width="2" style="130" customWidth="1"/>
    <col min="2" max="2" width="3" style="130" customWidth="1"/>
    <col min="3" max="3" width="5.85546875" style="126" customWidth="1"/>
    <col min="4" max="4" width="14" style="143" customWidth="1"/>
    <col min="5" max="5" width="15.28515625" style="168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82" bestFit="1" customWidth="1"/>
    <col min="10" max="10" width="20.28515625" style="182" customWidth="1"/>
    <col min="11" max="11" width="11.42578125" style="126" customWidth="1"/>
    <col min="12" max="12" width="12.85546875" style="126" customWidth="1"/>
    <col min="13" max="13" width="11.7109375" style="126" customWidth="1"/>
    <col min="14" max="14" width="13.5703125" style="126" customWidth="1"/>
    <col min="15" max="15" width="12" style="126" customWidth="1"/>
    <col min="16" max="17" width="11.5703125" style="126" customWidth="1"/>
    <col min="18" max="18" width="10" style="126" bestFit="1" customWidth="1"/>
    <col min="19" max="19" width="11.5703125" style="126" customWidth="1"/>
    <col min="20" max="20" width="14.42578125" style="126" customWidth="1"/>
    <col min="21" max="21" width="13.140625" style="126" customWidth="1"/>
    <col min="22" max="22" width="13.42578125" style="126" customWidth="1"/>
    <col min="23" max="23" width="50" style="145" bestFit="1" customWidth="1"/>
    <col min="24" max="24" width="16" style="143" customWidth="1"/>
    <col min="25" max="25" width="22.42578125" style="172" customWidth="1"/>
    <col min="26" max="26" width="14.85546875" style="145" customWidth="1"/>
    <col min="27" max="27" width="10.5703125" style="168" customWidth="1"/>
    <col min="28" max="28" width="13.5703125" style="143" customWidth="1"/>
    <col min="29" max="29" width="8.42578125" style="126" customWidth="1"/>
    <col min="30" max="30" width="12.140625" style="126" customWidth="1"/>
    <col min="31" max="31" width="9.28515625" style="126" customWidth="1"/>
    <col min="32" max="32" width="7.7109375" style="126" customWidth="1"/>
    <col min="33" max="33" width="7" style="126" customWidth="1"/>
    <col min="34" max="34" width="6.28515625" style="126" customWidth="1"/>
    <col min="35" max="16384" width="9.140625" style="130"/>
  </cols>
  <sheetData>
    <row r="1" spans="3:34" customFormat="1" ht="7.5" customHeight="1">
      <c r="C1" s="13"/>
      <c r="D1" s="142"/>
      <c r="E1" s="167"/>
      <c r="F1" s="13"/>
      <c r="G1" s="13"/>
      <c r="H1" s="13"/>
      <c r="I1" s="182"/>
      <c r="J1" s="182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45"/>
      <c r="X1" s="142"/>
      <c r="Y1" s="170"/>
      <c r="Z1" s="145"/>
      <c r="AA1" s="167"/>
      <c r="AB1" s="142"/>
      <c r="AC1" s="13"/>
      <c r="AD1" s="13"/>
      <c r="AE1" s="13"/>
      <c r="AF1" s="13"/>
      <c r="AG1" s="13"/>
      <c r="AH1" s="13"/>
    </row>
    <row r="2" spans="3:34" customFormat="1">
      <c r="C2" s="13"/>
      <c r="D2" s="142"/>
      <c r="E2" s="167"/>
      <c r="F2" s="13"/>
      <c r="G2" s="13"/>
      <c r="H2" s="13"/>
      <c r="I2" s="182"/>
      <c r="J2" s="182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45"/>
      <c r="X2" s="142"/>
      <c r="Y2" s="170"/>
      <c r="Z2" s="145"/>
      <c r="AA2" s="167"/>
      <c r="AB2" s="142"/>
      <c r="AC2" s="13"/>
      <c r="AD2" s="13"/>
      <c r="AE2" s="13"/>
      <c r="AF2" s="13"/>
      <c r="AG2" s="13"/>
      <c r="AH2" s="13"/>
    </row>
    <row r="3" spans="3:34" customFormat="1">
      <c r="C3" s="13"/>
      <c r="D3" s="142"/>
      <c r="E3" s="167"/>
      <c r="F3" s="13"/>
      <c r="G3" s="13"/>
      <c r="H3" s="13"/>
      <c r="I3" s="182"/>
      <c r="J3" s="182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45"/>
      <c r="X3" s="142"/>
      <c r="Y3" s="170"/>
      <c r="Z3" s="145"/>
      <c r="AA3" s="167"/>
      <c r="AB3" s="142"/>
      <c r="AC3" s="13"/>
      <c r="AD3" s="13"/>
      <c r="AE3" s="13"/>
      <c r="AF3" s="13"/>
      <c r="AG3" s="13"/>
      <c r="AH3" s="13"/>
    </row>
    <row r="4" spans="3:34" customFormat="1" ht="12" customHeight="1">
      <c r="C4" s="13"/>
      <c r="D4" s="142"/>
      <c r="E4" s="167"/>
      <c r="F4" s="13"/>
      <c r="G4" s="13"/>
      <c r="H4" s="13"/>
      <c r="I4" s="182"/>
      <c r="J4" s="182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45"/>
      <c r="X4" s="142"/>
      <c r="Y4" s="170"/>
      <c r="Z4" s="145"/>
      <c r="AA4" s="167"/>
      <c r="AB4" s="142"/>
      <c r="AC4" s="13"/>
      <c r="AD4" s="13"/>
      <c r="AE4" s="13"/>
      <c r="AF4" s="13"/>
      <c r="AG4" s="13"/>
      <c r="AH4" s="13"/>
    </row>
    <row r="5" spans="3:34" customFormat="1" hidden="1">
      <c r="C5" s="13"/>
      <c r="D5" s="142"/>
      <c r="E5" s="167"/>
      <c r="F5" s="13"/>
      <c r="G5" s="13"/>
      <c r="H5" s="13"/>
      <c r="I5" s="182"/>
      <c r="J5" s="182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45"/>
      <c r="X5" s="142"/>
      <c r="Y5" s="170"/>
      <c r="Z5" s="145"/>
      <c r="AA5" s="167"/>
      <c r="AB5" s="142"/>
      <c r="AC5" s="13"/>
      <c r="AD5" s="13"/>
      <c r="AE5" s="13"/>
      <c r="AF5" s="13"/>
      <c r="AG5" s="13"/>
      <c r="AH5" s="13"/>
    </row>
    <row r="6" spans="3:34" s="13" customFormat="1">
      <c r="C6" s="297" t="s">
        <v>10</v>
      </c>
      <c r="D6" s="298" t="s">
        <v>243</v>
      </c>
      <c r="E6" s="299" t="s">
        <v>244</v>
      </c>
      <c r="F6" s="297" t="s">
        <v>222</v>
      </c>
      <c r="G6" s="297" t="s">
        <v>107</v>
      </c>
      <c r="H6" s="297" t="s">
        <v>241</v>
      </c>
      <c r="I6" s="298" t="s">
        <v>242</v>
      </c>
      <c r="J6" s="300" t="s">
        <v>273</v>
      </c>
      <c r="K6" s="297" t="s">
        <v>0</v>
      </c>
      <c r="L6" s="297" t="s">
        <v>223</v>
      </c>
      <c r="M6" s="297" t="s">
        <v>246</v>
      </c>
      <c r="N6" s="297" t="s">
        <v>247</v>
      </c>
      <c r="O6" s="297" t="s">
        <v>248</v>
      </c>
      <c r="P6" s="297" t="s">
        <v>9</v>
      </c>
      <c r="Q6" s="297" t="s">
        <v>276</v>
      </c>
      <c r="R6" s="297" t="s">
        <v>108</v>
      </c>
      <c r="S6" s="297" t="s">
        <v>245</v>
      </c>
      <c r="T6" s="297" t="s">
        <v>274</v>
      </c>
      <c r="U6" s="297" t="s">
        <v>249</v>
      </c>
      <c r="V6" s="297" t="s">
        <v>275</v>
      </c>
      <c r="W6" s="297" t="s">
        <v>250</v>
      </c>
      <c r="X6" s="298" t="s">
        <v>251</v>
      </c>
      <c r="Y6" s="301" t="s">
        <v>209</v>
      </c>
      <c r="Z6" s="298" t="s">
        <v>226</v>
      </c>
      <c r="AA6" s="299" t="s">
        <v>253</v>
      </c>
      <c r="AB6" s="298" t="s">
        <v>252</v>
      </c>
      <c r="AC6" s="297" t="s">
        <v>254</v>
      </c>
      <c r="AD6" s="297" t="s">
        <v>255</v>
      </c>
      <c r="AE6" s="297" t="s">
        <v>109</v>
      </c>
      <c r="AF6" s="297" t="s">
        <v>23</v>
      </c>
      <c r="AG6" s="297" t="s">
        <v>95</v>
      </c>
      <c r="AH6" s="297" t="s">
        <v>120</v>
      </c>
    </row>
    <row r="7" spans="3:34" s="126" customFormat="1" ht="21">
      <c r="C7" s="294" t="s">
        <v>1</v>
      </c>
      <c r="D7" s="295" t="s">
        <v>227</v>
      </c>
      <c r="E7" s="296" t="s">
        <v>228</v>
      </c>
      <c r="F7" s="294" t="s">
        <v>221</v>
      </c>
      <c r="G7" s="294" t="s">
        <v>124</v>
      </c>
      <c r="H7" s="294" t="s">
        <v>160</v>
      </c>
      <c r="I7" s="295" t="s">
        <v>97</v>
      </c>
      <c r="J7" s="302" t="s">
        <v>272</v>
      </c>
      <c r="K7" s="294" t="s">
        <v>229</v>
      </c>
      <c r="L7" s="294" t="s">
        <v>230</v>
      </c>
      <c r="M7" s="294" t="s">
        <v>232</v>
      </c>
      <c r="N7" s="294" t="s">
        <v>233</v>
      </c>
      <c r="O7" s="294" t="s">
        <v>234</v>
      </c>
      <c r="P7" s="294" t="s">
        <v>278</v>
      </c>
      <c r="Q7" s="294" t="s">
        <v>277</v>
      </c>
      <c r="R7" s="294" t="s">
        <v>205</v>
      </c>
      <c r="S7" s="294" t="s">
        <v>231</v>
      </c>
      <c r="T7" s="294" t="s">
        <v>271</v>
      </c>
      <c r="U7" s="294" t="s">
        <v>206</v>
      </c>
      <c r="V7" s="294" t="s">
        <v>30</v>
      </c>
      <c r="W7" s="294" t="s">
        <v>236</v>
      </c>
      <c r="X7" s="295" t="s">
        <v>240</v>
      </c>
      <c r="Y7" s="303" t="s">
        <v>203</v>
      </c>
      <c r="Z7" s="304" t="s">
        <v>191</v>
      </c>
      <c r="AA7" s="296" t="s">
        <v>204</v>
      </c>
      <c r="AB7" s="295" t="s">
        <v>237</v>
      </c>
      <c r="AC7" s="294" t="s">
        <v>238</v>
      </c>
      <c r="AD7" s="294" t="s">
        <v>239</v>
      </c>
      <c r="AE7" s="294" t="s">
        <v>98</v>
      </c>
      <c r="AF7" s="294" t="s">
        <v>26</v>
      </c>
      <c r="AG7" s="294" t="s">
        <v>2</v>
      </c>
      <c r="AH7" s="294" t="s">
        <v>121</v>
      </c>
    </row>
  </sheetData>
  <pageMargins left="0.7" right="0.7" top="0.75" bottom="0.75" header="0.3" footer="0.3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Z42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2.7109375" style="143" bestFit="1" customWidth="1"/>
    <col min="6" max="6" width="13" style="126" bestFit="1" customWidth="1"/>
    <col min="7" max="7" width="13" style="143" bestFit="1" customWidth="1"/>
    <col min="8" max="9" width="17.7109375" style="143" bestFit="1" customWidth="1"/>
    <col min="10" max="10" width="24.140625" style="182" bestFit="1" customWidth="1"/>
    <col min="11" max="11" width="5.5703125" style="126" bestFit="1" customWidth="1"/>
    <col min="12" max="12" width="9.140625" style="126" bestFit="1" customWidth="1"/>
    <col min="13" max="13" width="10" style="145" bestFit="1" customWidth="1"/>
    <col min="14" max="14" width="12" style="143" bestFit="1" customWidth="1"/>
    <col min="15" max="15" width="12.140625" style="126" bestFit="1" customWidth="1"/>
    <col min="16" max="16" width="13.42578125" style="143" hidden="1" customWidth="1"/>
    <col min="17" max="17" width="18.42578125" style="126" bestFit="1" customWidth="1"/>
    <col min="18" max="18" width="17.85546875" style="126" hidden="1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26" s="13" customFormat="1" hidden="1">
      <c r="E1" s="142"/>
      <c r="G1" s="142"/>
      <c r="H1" s="142"/>
      <c r="I1" s="142"/>
      <c r="J1" s="182"/>
      <c r="M1" s="145"/>
      <c r="N1" s="142"/>
      <c r="P1" s="142"/>
    </row>
    <row r="2" spans="3:26" s="13" customFormat="1" hidden="1">
      <c r="E2" s="142"/>
      <c r="G2" s="142"/>
      <c r="H2" s="142"/>
      <c r="I2" s="142"/>
      <c r="J2" s="182"/>
      <c r="M2" s="145"/>
      <c r="N2" s="142"/>
      <c r="P2" s="142"/>
    </row>
    <row r="3" spans="3:26" s="13" customFormat="1">
      <c r="E3" s="142"/>
      <c r="G3" s="142"/>
      <c r="H3" s="142"/>
      <c r="I3" s="142"/>
      <c r="J3" s="182"/>
      <c r="M3" s="145"/>
      <c r="N3" s="142"/>
      <c r="P3" s="142"/>
    </row>
    <row r="4" spans="3:26" s="13" customFormat="1">
      <c r="E4" s="142"/>
      <c r="G4" s="142"/>
      <c r="H4" s="142"/>
      <c r="I4" s="142"/>
      <c r="J4" s="182"/>
      <c r="M4" s="145"/>
      <c r="N4" s="142"/>
      <c r="P4" s="142"/>
    </row>
    <row r="5" spans="3:26" s="13" customFormat="1" ht="8.25" customHeight="1">
      <c r="E5" s="142"/>
      <c r="G5" s="142"/>
      <c r="H5" s="142"/>
      <c r="I5" s="142"/>
      <c r="J5" s="182"/>
      <c r="M5" s="145"/>
      <c r="N5" s="142"/>
      <c r="P5" s="142"/>
    </row>
    <row r="6" spans="3:26" s="13" customFormat="1">
      <c r="C6" s="297" t="s">
        <v>10</v>
      </c>
      <c r="D6" s="297" t="s">
        <v>243</v>
      </c>
      <c r="E6" s="298" t="s">
        <v>270</v>
      </c>
      <c r="F6" s="297" t="s">
        <v>244</v>
      </c>
      <c r="G6" s="298" t="s">
        <v>101</v>
      </c>
      <c r="H6" s="298" t="s">
        <v>173</v>
      </c>
      <c r="I6" s="298" t="s">
        <v>260</v>
      </c>
      <c r="J6" s="298" t="s">
        <v>261</v>
      </c>
      <c r="K6" s="298" t="s">
        <v>16</v>
      </c>
      <c r="L6" s="298" t="s">
        <v>16</v>
      </c>
      <c r="M6" s="298" t="s">
        <v>262</v>
      </c>
      <c r="N6" s="298" t="s">
        <v>263</v>
      </c>
      <c r="O6" s="297" t="s">
        <v>264</v>
      </c>
      <c r="P6" s="298" t="s">
        <v>265</v>
      </c>
      <c r="Q6" s="297" t="s">
        <v>267</v>
      </c>
      <c r="R6" s="297" t="s">
        <v>266</v>
      </c>
      <c r="S6" s="297" t="s">
        <v>14</v>
      </c>
      <c r="T6" s="297" t="s">
        <v>187</v>
      </c>
      <c r="U6" s="297" t="s">
        <v>280</v>
      </c>
      <c r="V6" s="297" t="s">
        <v>268</v>
      </c>
      <c r="W6" s="297" t="s">
        <v>109</v>
      </c>
      <c r="X6" s="297" t="s">
        <v>23</v>
      </c>
      <c r="Y6" s="297" t="s">
        <v>95</v>
      </c>
      <c r="Z6" s="297" t="s">
        <v>120</v>
      </c>
    </row>
    <row r="7" spans="3:26" s="13" customFormat="1" ht="15">
      <c r="C7" s="305" t="s">
        <v>139</v>
      </c>
      <c r="D7" s="305" t="s">
        <v>256</v>
      </c>
      <c r="E7" s="306" t="s">
        <v>269</v>
      </c>
      <c r="F7" s="305" t="s">
        <v>228</v>
      </c>
      <c r="G7" s="306" t="s">
        <v>160</v>
      </c>
      <c r="H7" s="306" t="s">
        <v>162</v>
      </c>
      <c r="I7" s="306" t="s">
        <v>207</v>
      </c>
      <c r="J7" s="306" t="s">
        <v>17</v>
      </c>
      <c r="K7" s="306" t="s">
        <v>18</v>
      </c>
      <c r="L7" s="306" t="s">
        <v>196</v>
      </c>
      <c r="M7" s="306" t="s">
        <v>4</v>
      </c>
      <c r="N7" s="306" t="s">
        <v>257</v>
      </c>
      <c r="O7" s="305" t="s">
        <v>197</v>
      </c>
      <c r="P7" s="306" t="s">
        <v>258</v>
      </c>
      <c r="Q7" s="305" t="s">
        <v>259</v>
      </c>
      <c r="R7" s="305" t="s">
        <v>235</v>
      </c>
      <c r="S7" s="305" t="s">
        <v>19</v>
      </c>
      <c r="T7" s="305" t="s">
        <v>8</v>
      </c>
      <c r="U7" s="305" t="s">
        <v>279</v>
      </c>
      <c r="V7" s="305" t="s">
        <v>201</v>
      </c>
      <c r="W7" s="305" t="s">
        <v>98</v>
      </c>
      <c r="X7" s="305" t="s">
        <v>26</v>
      </c>
      <c r="Y7" s="305" t="s">
        <v>2</v>
      </c>
      <c r="Z7" s="305" t="s">
        <v>121</v>
      </c>
    </row>
    <row r="8" spans="3:26">
      <c r="F8" s="168"/>
    </row>
    <row r="9" spans="3:26">
      <c r="F9" s="168"/>
    </row>
    <row r="10" spans="3:26">
      <c r="F10" s="168"/>
    </row>
    <row r="11" spans="3:26">
      <c r="F11" s="168"/>
    </row>
    <row r="12" spans="3:26">
      <c r="F12" s="168"/>
    </row>
    <row r="13" spans="3:26">
      <c r="F13" s="168"/>
    </row>
    <row r="14" spans="3:26">
      <c r="F14" s="168"/>
    </row>
    <row r="15" spans="3:26">
      <c r="F15" s="168"/>
    </row>
    <row r="16" spans="3:26">
      <c r="F16" s="168"/>
    </row>
    <row r="17" spans="6:6">
      <c r="F17" s="168"/>
    </row>
    <row r="18" spans="6:6">
      <c r="F18" s="168"/>
    </row>
    <row r="19" spans="6:6">
      <c r="F19" s="168"/>
    </row>
    <row r="20" spans="6:6">
      <c r="F20" s="168"/>
    </row>
    <row r="21" spans="6:6">
      <c r="F21" s="168"/>
    </row>
    <row r="22" spans="6:6">
      <c r="F22" s="168"/>
    </row>
    <row r="23" spans="6:6">
      <c r="F23" s="168"/>
    </row>
    <row r="24" spans="6:6">
      <c r="F24" s="168"/>
    </row>
    <row r="25" spans="6:6">
      <c r="F25" s="168"/>
    </row>
    <row r="26" spans="6:6">
      <c r="F26" s="168"/>
    </row>
    <row r="27" spans="6:6">
      <c r="F27" s="168"/>
    </row>
    <row r="28" spans="6:6">
      <c r="F28" s="168"/>
    </row>
    <row r="29" spans="6:6">
      <c r="F29" s="168"/>
    </row>
    <row r="30" spans="6:6">
      <c r="F30" s="168"/>
    </row>
    <row r="31" spans="6:6">
      <c r="F31" s="168"/>
    </row>
    <row r="32" spans="6:6">
      <c r="F32" s="168"/>
    </row>
    <row r="33" spans="6:6">
      <c r="F33" s="168"/>
    </row>
    <row r="34" spans="6:6">
      <c r="F34" s="168"/>
    </row>
    <row r="35" spans="6:6">
      <c r="F35" s="168"/>
    </row>
    <row r="36" spans="6:6">
      <c r="F36" s="168"/>
    </row>
    <row r="37" spans="6:6">
      <c r="F37" s="168"/>
    </row>
    <row r="38" spans="6:6">
      <c r="F38" s="168"/>
    </row>
    <row r="39" spans="6:6">
      <c r="F39" s="168"/>
    </row>
    <row r="40" spans="6:6">
      <c r="F40" s="168"/>
    </row>
    <row r="41" spans="6:6">
      <c r="F41" s="168"/>
    </row>
    <row r="42" spans="6:6">
      <c r="F42" s="168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97" t="s">
        <v>10</v>
      </c>
      <c r="D6" s="297" t="s">
        <v>243</v>
      </c>
      <c r="E6" s="297" t="s">
        <v>270</v>
      </c>
      <c r="F6" s="297" t="s">
        <v>173</v>
      </c>
      <c r="G6" s="297" t="s">
        <v>260</v>
      </c>
      <c r="H6" s="297" t="s">
        <v>261</v>
      </c>
      <c r="I6" s="297" t="s">
        <v>16</v>
      </c>
      <c r="J6" s="297" t="s">
        <v>262</v>
      </c>
      <c r="K6" s="297" t="s">
        <v>263</v>
      </c>
      <c r="L6" s="297" t="s">
        <v>264</v>
      </c>
      <c r="M6" s="297" t="s">
        <v>265</v>
      </c>
      <c r="N6" s="297" t="s">
        <v>267</v>
      </c>
      <c r="O6" s="297" t="s">
        <v>266</v>
      </c>
      <c r="P6" s="297" t="s">
        <v>14</v>
      </c>
      <c r="Q6" s="297" t="s">
        <v>187</v>
      </c>
      <c r="R6" s="297" t="s">
        <v>268</v>
      </c>
      <c r="S6" s="297" t="s">
        <v>109</v>
      </c>
    </row>
    <row r="7" spans="3:19">
      <c r="C7" s="305" t="s">
        <v>139</v>
      </c>
      <c r="D7" s="305" t="s">
        <v>256</v>
      </c>
      <c r="E7" s="305" t="s">
        <v>269</v>
      </c>
      <c r="F7" s="305" t="s">
        <v>162</v>
      </c>
      <c r="G7" s="305" t="s">
        <v>207</v>
      </c>
      <c r="H7" s="305" t="s">
        <v>17</v>
      </c>
      <c r="I7" s="305" t="s">
        <v>18</v>
      </c>
      <c r="J7" s="305" t="s">
        <v>4</v>
      </c>
      <c r="K7" s="305" t="s">
        <v>257</v>
      </c>
      <c r="L7" s="305" t="s">
        <v>197</v>
      </c>
      <c r="M7" s="305" t="s">
        <v>258</v>
      </c>
      <c r="N7" s="305" t="s">
        <v>259</v>
      </c>
      <c r="O7" s="305" t="s">
        <v>235</v>
      </c>
      <c r="P7" s="305" t="s">
        <v>19</v>
      </c>
      <c r="Q7" s="305" t="s">
        <v>8</v>
      </c>
      <c r="R7" s="305" t="s">
        <v>201</v>
      </c>
      <c r="S7" s="305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T4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AB23" sqref="AB23"/>
    </sheetView>
  </sheetViews>
  <sheetFormatPr defaultRowHeight="23.25"/>
  <cols>
    <col min="1" max="1" width="2" style="68" customWidth="1"/>
    <col min="2" max="2" width="3" style="68" customWidth="1"/>
    <col min="3" max="3" width="5.85546875" style="236" customWidth="1"/>
    <col min="4" max="4" width="18.140625" style="68" customWidth="1"/>
    <col min="5" max="5" width="20.85546875" style="234" customWidth="1"/>
    <col min="6" max="6" width="15.28515625" style="233" customWidth="1"/>
    <col min="7" max="8" width="15.28515625" style="68" customWidth="1"/>
    <col min="9" max="9" width="27.28515625" style="167" customWidth="1"/>
    <col min="10" max="10" width="26.28515625" style="68" hidden="1" customWidth="1"/>
    <col min="11" max="11" width="13.85546875" style="236" hidden="1" customWidth="1"/>
    <col min="12" max="12" width="11.85546875" style="236" hidden="1" customWidth="1"/>
    <col min="13" max="13" width="17.140625" style="236" hidden="1" customWidth="1"/>
    <col min="14" max="14" width="11.85546875" style="236" hidden="1" customWidth="1"/>
    <col min="15" max="15" width="19.85546875" style="236" hidden="1" customWidth="1"/>
    <col min="16" max="16" width="14.140625" style="236" hidden="1" customWidth="1"/>
    <col min="17" max="17" width="29.42578125" style="68" bestFit="1" customWidth="1"/>
    <col min="18" max="18" width="20.28515625" style="236" customWidth="1"/>
    <col min="19" max="19" width="16.140625" style="236" hidden="1" customWidth="1"/>
    <col min="20" max="20" width="14.42578125" style="236" bestFit="1" customWidth="1"/>
    <col min="21" max="21" width="20.140625" style="236" hidden="1" customWidth="1"/>
    <col min="22" max="22" width="16.5703125" style="236" hidden="1" customWidth="1"/>
    <col min="23" max="23" width="17.28515625" style="236" hidden="1" customWidth="1"/>
    <col min="24" max="24" width="12" style="236" hidden="1" customWidth="1"/>
    <col min="25" max="25" width="14.85546875" style="231" customWidth="1"/>
    <col min="26" max="26" width="15.140625" style="231" customWidth="1"/>
    <col min="27" max="27" width="13.5703125" style="231" customWidth="1"/>
    <col min="28" max="28" width="11.5703125" style="231" customWidth="1"/>
    <col min="29" max="29" width="17.42578125" style="231" customWidth="1"/>
    <col min="30" max="30" width="19.7109375" style="231" customWidth="1"/>
    <col min="31" max="31" width="19" style="231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8"/>
    <col min="46" max="46" width="26" style="138" bestFit="1" customWidth="1"/>
    <col min="47" max="47" width="29.140625" style="68" customWidth="1"/>
    <col min="48" max="16384" width="9.140625" style="68"/>
  </cols>
  <sheetData>
    <row r="1" spans="3:46" customFormat="1" ht="7.5" customHeight="1">
      <c r="C1" s="13"/>
      <c r="D1" s="13"/>
      <c r="E1" s="167"/>
      <c r="F1" s="235"/>
      <c r="G1" s="13"/>
      <c r="H1" s="13"/>
      <c r="I1" s="167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6" customFormat="1">
      <c r="C2" s="13"/>
      <c r="D2" s="13"/>
      <c r="E2" s="167"/>
      <c r="F2" s="235"/>
      <c r="G2" s="13"/>
      <c r="H2" s="13"/>
      <c r="I2" s="167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6" customFormat="1">
      <c r="C3" s="13"/>
      <c r="D3" s="13"/>
      <c r="E3" s="167"/>
      <c r="F3" s="235"/>
      <c r="G3" s="13"/>
      <c r="H3" s="13"/>
      <c r="I3" s="167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6" customFormat="1" ht="12" customHeight="1">
      <c r="C4" s="13"/>
      <c r="D4" s="13"/>
      <c r="E4" s="167"/>
      <c r="F4" s="235"/>
      <c r="G4" s="13"/>
      <c r="H4" s="13"/>
      <c r="I4" s="167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6" customFormat="1" ht="12.7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6" s="13" customFormat="1">
      <c r="C6" s="297" t="s">
        <v>10</v>
      </c>
      <c r="D6" s="297" t="s">
        <v>94</v>
      </c>
      <c r="E6" s="299" t="s">
        <v>24</v>
      </c>
      <c r="F6" s="307" t="s">
        <v>401</v>
      </c>
      <c r="G6" s="297" t="s">
        <v>408</v>
      </c>
      <c r="H6" s="297" t="s">
        <v>409</v>
      </c>
      <c r="I6" s="299" t="s">
        <v>410</v>
      </c>
      <c r="J6" s="299" t="s">
        <v>429</v>
      </c>
      <c r="K6" s="297" t="s">
        <v>222</v>
      </c>
      <c r="L6" s="297" t="s">
        <v>107</v>
      </c>
      <c r="M6" s="297" t="s">
        <v>142</v>
      </c>
      <c r="N6" s="297" t="s">
        <v>186</v>
      </c>
      <c r="O6" s="297" t="s">
        <v>397</v>
      </c>
      <c r="P6" s="297" t="s">
        <v>402</v>
      </c>
      <c r="Q6" s="297" t="s">
        <v>99</v>
      </c>
      <c r="R6" s="297" t="s">
        <v>298</v>
      </c>
      <c r="S6" s="297" t="s">
        <v>0</v>
      </c>
      <c r="T6" s="297" t="s">
        <v>404</v>
      </c>
      <c r="U6" s="297" t="s">
        <v>415</v>
      </c>
      <c r="V6" s="297" t="s">
        <v>246</v>
      </c>
      <c r="W6" s="297" t="s">
        <v>247</v>
      </c>
      <c r="X6" s="297" t="s">
        <v>248</v>
      </c>
      <c r="Y6" s="308" t="s">
        <v>9</v>
      </c>
      <c r="Z6" s="308" t="s">
        <v>276</v>
      </c>
      <c r="AA6" s="308" t="s">
        <v>108</v>
      </c>
      <c r="AB6" s="308" t="s">
        <v>245</v>
      </c>
      <c r="AC6" s="308" t="s">
        <v>274</v>
      </c>
      <c r="AD6" s="308" t="s">
        <v>249</v>
      </c>
      <c r="AE6" s="308" t="s">
        <v>418</v>
      </c>
      <c r="AF6" s="297" t="s">
        <v>431</v>
      </c>
      <c r="AG6" s="297" t="s">
        <v>250</v>
      </c>
      <c r="AH6" s="297" t="s">
        <v>251</v>
      </c>
      <c r="AI6" s="297" t="s">
        <v>25</v>
      </c>
      <c r="AJ6" s="309" t="s">
        <v>209</v>
      </c>
      <c r="AK6" s="297" t="s">
        <v>470</v>
      </c>
      <c r="AL6" s="297" t="s">
        <v>471</v>
      </c>
      <c r="AM6" s="297" t="s">
        <v>109</v>
      </c>
      <c r="AN6" s="297" t="s">
        <v>23</v>
      </c>
      <c r="AO6" s="297" t="s">
        <v>95</v>
      </c>
      <c r="AP6" s="297" t="s">
        <v>120</v>
      </c>
      <c r="AS6" s="121"/>
      <c r="AT6" s="121"/>
    </row>
    <row r="7" spans="3:46" s="126" customFormat="1" ht="15">
      <c r="C7" s="294" t="s">
        <v>1</v>
      </c>
      <c r="D7" s="294" t="s">
        <v>405</v>
      </c>
      <c r="E7" s="296" t="s">
        <v>406</v>
      </c>
      <c r="F7" s="310" t="s">
        <v>400</v>
      </c>
      <c r="G7" s="294" t="s">
        <v>411</v>
      </c>
      <c r="H7" s="294" t="s">
        <v>412</v>
      </c>
      <c r="I7" s="296" t="s">
        <v>413</v>
      </c>
      <c r="J7" s="296" t="s">
        <v>428</v>
      </c>
      <c r="K7" s="294" t="s">
        <v>221</v>
      </c>
      <c r="L7" s="294" t="s">
        <v>124</v>
      </c>
      <c r="M7" s="294" t="s">
        <v>140</v>
      </c>
      <c r="N7" s="294" t="s">
        <v>163</v>
      </c>
      <c r="O7" s="294" t="s">
        <v>396</v>
      </c>
      <c r="P7" s="294" t="s">
        <v>161</v>
      </c>
      <c r="Q7" s="294" t="s">
        <v>403</v>
      </c>
      <c r="R7" s="294" t="s">
        <v>407</v>
      </c>
      <c r="S7" s="294" t="s">
        <v>229</v>
      </c>
      <c r="T7" s="294" t="s">
        <v>3</v>
      </c>
      <c r="U7" s="294" t="s">
        <v>414</v>
      </c>
      <c r="V7" s="294" t="s">
        <v>232</v>
      </c>
      <c r="W7" s="294" t="s">
        <v>233</v>
      </c>
      <c r="X7" s="294" t="s">
        <v>234</v>
      </c>
      <c r="Y7" s="311" t="s">
        <v>278</v>
      </c>
      <c r="Z7" s="311" t="s">
        <v>277</v>
      </c>
      <c r="AA7" s="311" t="s">
        <v>205</v>
      </c>
      <c r="AB7" s="311" t="s">
        <v>231</v>
      </c>
      <c r="AC7" s="311" t="s">
        <v>271</v>
      </c>
      <c r="AD7" s="311" t="s">
        <v>206</v>
      </c>
      <c r="AE7" s="311" t="s">
        <v>283</v>
      </c>
      <c r="AF7" s="294" t="s">
        <v>430</v>
      </c>
      <c r="AG7" s="294" t="s">
        <v>236</v>
      </c>
      <c r="AH7" s="294" t="s">
        <v>240</v>
      </c>
      <c r="AI7" s="294" t="s">
        <v>28</v>
      </c>
      <c r="AJ7" s="312" t="s">
        <v>203</v>
      </c>
      <c r="AK7" s="294" t="s">
        <v>416</v>
      </c>
      <c r="AL7" s="294" t="s">
        <v>417</v>
      </c>
      <c r="AM7" s="294" t="s">
        <v>98</v>
      </c>
      <c r="AN7" s="294" t="s">
        <v>26</v>
      </c>
      <c r="AO7" s="294" t="s">
        <v>2</v>
      </c>
      <c r="AP7" s="294" t="s">
        <v>121</v>
      </c>
      <c r="AS7" s="128"/>
      <c r="AT7" s="128"/>
    </row>
    <row r="8" spans="3:46">
      <c r="C8" s="236">
        <v>1</v>
      </c>
      <c r="D8" s="68" t="s">
        <v>565</v>
      </c>
      <c r="E8" s="234">
        <v>46214</v>
      </c>
      <c r="F8" s="233">
        <v>46214</v>
      </c>
      <c r="K8" s="236">
        <v>1</v>
      </c>
      <c r="L8" s="236">
        <v>1</v>
      </c>
      <c r="M8" s="236">
        <v>1</v>
      </c>
      <c r="N8" s="236">
        <v>1</v>
      </c>
      <c r="O8" s="236">
        <v>1</v>
      </c>
      <c r="P8" s="236">
        <v>1</v>
      </c>
      <c r="Q8" s="68" t="s">
        <v>566</v>
      </c>
      <c r="R8" s="236">
        <v>6</v>
      </c>
      <c r="S8" s="236">
        <v>1</v>
      </c>
      <c r="T8" s="236">
        <v>4024</v>
      </c>
      <c r="V8" s="236">
        <v>0</v>
      </c>
      <c r="AA8" s="231">
        <v>1867.4</v>
      </c>
      <c r="AB8" s="231">
        <v>0</v>
      </c>
      <c r="AC8" s="231">
        <v>0</v>
      </c>
      <c r="AD8" s="231">
        <v>0</v>
      </c>
      <c r="AE8" s="231">
        <v>1867.4</v>
      </c>
      <c r="AJ8" s="232">
        <v>46214.653356481482</v>
      </c>
      <c r="AK8" s="68">
        <v>0</v>
      </c>
      <c r="AL8" s="68">
        <v>0</v>
      </c>
      <c r="AM8" s="68">
        <v>1</v>
      </c>
      <c r="AN8" s="68">
        <v>2</v>
      </c>
      <c r="AO8" s="68">
        <v>7</v>
      </c>
      <c r="AP8" s="68">
        <v>2026</v>
      </c>
      <c r="AS8" s="121"/>
      <c r="AT8" s="365"/>
    </row>
    <row r="9" spans="3:46">
      <c r="C9" s="236">
        <v>2</v>
      </c>
      <c r="D9" s="68" t="s">
        <v>582</v>
      </c>
      <c r="E9" s="234">
        <v>46214</v>
      </c>
      <c r="F9" s="233">
        <v>46214</v>
      </c>
      <c r="K9" s="236">
        <v>1</v>
      </c>
      <c r="L9" s="236">
        <v>1</v>
      </c>
      <c r="M9" s="236">
        <v>1</v>
      </c>
      <c r="N9" s="236">
        <v>1</v>
      </c>
      <c r="O9" s="236">
        <v>1</v>
      </c>
      <c r="P9" s="236">
        <v>1</v>
      </c>
      <c r="Q9" s="68" t="s">
        <v>566</v>
      </c>
      <c r="R9" s="236">
        <v>6</v>
      </c>
      <c r="S9" s="236">
        <v>1</v>
      </c>
      <c r="T9" s="236">
        <v>4024</v>
      </c>
      <c r="V9" s="236">
        <v>0</v>
      </c>
      <c r="AA9" s="231">
        <v>933.7</v>
      </c>
      <c r="AB9" s="231">
        <v>0</v>
      </c>
      <c r="AC9" s="231">
        <v>0</v>
      </c>
      <c r="AD9" s="231">
        <v>0</v>
      </c>
      <c r="AE9" s="231">
        <v>933.7</v>
      </c>
      <c r="AJ9" s="232">
        <v>46214.657951388886</v>
      </c>
      <c r="AK9" s="68">
        <v>0</v>
      </c>
      <c r="AL9" s="68">
        <v>0</v>
      </c>
      <c r="AM9" s="68">
        <v>1</v>
      </c>
      <c r="AN9" s="68">
        <v>2</v>
      </c>
      <c r="AO9" s="68">
        <v>7</v>
      </c>
      <c r="AP9" s="68">
        <v>2026</v>
      </c>
      <c r="AS9" s="121"/>
      <c r="AT9" s="365"/>
    </row>
    <row r="10" spans="3:46">
      <c r="C10" s="236">
        <v>3</v>
      </c>
      <c r="D10" s="68" t="s">
        <v>589</v>
      </c>
      <c r="E10" s="234">
        <v>46213</v>
      </c>
      <c r="F10" s="233">
        <v>46213</v>
      </c>
      <c r="K10" s="236">
        <v>1</v>
      </c>
      <c r="L10" s="236">
        <v>1</v>
      </c>
      <c r="M10" s="236">
        <v>1</v>
      </c>
      <c r="N10" s="236">
        <v>1</v>
      </c>
      <c r="O10" s="236">
        <v>1</v>
      </c>
      <c r="P10" s="236">
        <v>1</v>
      </c>
      <c r="Q10" s="68" t="s">
        <v>566</v>
      </c>
      <c r="R10" s="236">
        <v>6</v>
      </c>
      <c r="S10" s="236">
        <v>1</v>
      </c>
      <c r="T10" s="236">
        <v>4024</v>
      </c>
      <c r="V10" s="236">
        <v>0</v>
      </c>
      <c r="AA10" s="231">
        <v>746.96</v>
      </c>
      <c r="AB10" s="231">
        <v>0</v>
      </c>
      <c r="AC10" s="231">
        <v>0</v>
      </c>
      <c r="AD10" s="231">
        <v>0</v>
      </c>
      <c r="AE10" s="231">
        <v>746.96</v>
      </c>
      <c r="AJ10" s="232">
        <v>46214.674201388887</v>
      </c>
      <c r="AK10" s="68">
        <v>0</v>
      </c>
      <c r="AL10" s="68">
        <v>0</v>
      </c>
      <c r="AM10" s="68">
        <v>1</v>
      </c>
      <c r="AN10" s="68">
        <v>2</v>
      </c>
      <c r="AO10" s="68">
        <v>7</v>
      </c>
      <c r="AP10" s="68">
        <v>2026</v>
      </c>
      <c r="AS10" s="121"/>
      <c r="AT10" s="364"/>
    </row>
    <row r="11" spans="3:46">
      <c r="C11" s="236">
        <v>4</v>
      </c>
      <c r="D11" s="68" t="s">
        <v>601</v>
      </c>
      <c r="E11" s="234">
        <v>46215</v>
      </c>
      <c r="F11" s="233">
        <v>46215</v>
      </c>
      <c r="K11" s="236">
        <v>1</v>
      </c>
      <c r="L11" s="236">
        <v>1</v>
      </c>
      <c r="M11" s="236">
        <v>1</v>
      </c>
      <c r="N11" s="236">
        <v>1</v>
      </c>
      <c r="O11" s="236">
        <v>1</v>
      </c>
      <c r="P11" s="236">
        <v>1</v>
      </c>
      <c r="Q11" s="68" t="s">
        <v>566</v>
      </c>
      <c r="R11" s="236">
        <v>6</v>
      </c>
      <c r="S11" s="236">
        <v>1</v>
      </c>
      <c r="T11" s="236">
        <v>4024</v>
      </c>
      <c r="V11" s="236">
        <v>0</v>
      </c>
      <c r="AA11" s="231">
        <v>850</v>
      </c>
      <c r="AB11" s="231">
        <v>0</v>
      </c>
      <c r="AC11" s="231">
        <v>0</v>
      </c>
      <c r="AD11" s="231">
        <v>0</v>
      </c>
      <c r="AE11" s="231">
        <v>850</v>
      </c>
      <c r="AJ11" s="232">
        <v>46215.67391203704</v>
      </c>
      <c r="AK11" s="68">
        <v>0</v>
      </c>
      <c r="AL11" s="68">
        <v>0</v>
      </c>
      <c r="AM11" s="68">
        <v>1</v>
      </c>
      <c r="AN11" s="68">
        <v>2</v>
      </c>
      <c r="AO11" s="68">
        <v>7</v>
      </c>
      <c r="AP11" s="68">
        <v>2026</v>
      </c>
      <c r="AS11" s="121"/>
      <c r="AT11" s="364"/>
    </row>
    <row r="12" spans="3:46">
      <c r="C12" s="236">
        <v>5</v>
      </c>
      <c r="D12" s="68" t="s">
        <v>602</v>
      </c>
      <c r="E12" s="234">
        <v>46214</v>
      </c>
      <c r="F12" s="233">
        <v>46214</v>
      </c>
      <c r="K12" s="236">
        <v>1</v>
      </c>
      <c r="L12" s="236">
        <v>1</v>
      </c>
      <c r="M12" s="236">
        <v>1</v>
      </c>
      <c r="N12" s="236">
        <v>1</v>
      </c>
      <c r="O12" s="236">
        <v>1</v>
      </c>
      <c r="P12" s="236">
        <v>1</v>
      </c>
      <c r="Q12" s="68" t="s">
        <v>566</v>
      </c>
      <c r="R12" s="236">
        <v>6</v>
      </c>
      <c r="S12" s="236">
        <v>1</v>
      </c>
      <c r="T12" s="236">
        <v>4024</v>
      </c>
      <c r="V12" s="236">
        <v>0</v>
      </c>
      <c r="AA12" s="231">
        <v>744</v>
      </c>
      <c r="AB12" s="231">
        <v>0</v>
      </c>
      <c r="AC12" s="231">
        <v>0</v>
      </c>
      <c r="AD12" s="231">
        <v>0</v>
      </c>
      <c r="AE12" s="231">
        <v>744</v>
      </c>
      <c r="AJ12" s="232">
        <v>46215.680937500001</v>
      </c>
      <c r="AK12" s="68">
        <v>0</v>
      </c>
      <c r="AL12" s="68">
        <v>0</v>
      </c>
      <c r="AM12" s="68">
        <v>1</v>
      </c>
      <c r="AN12" s="68">
        <v>2</v>
      </c>
      <c r="AO12" s="68">
        <v>7</v>
      </c>
      <c r="AP12" s="68">
        <v>2026</v>
      </c>
      <c r="AS12" s="121"/>
      <c r="AT12" s="365"/>
    </row>
    <row r="13" spans="3:46">
      <c r="C13" s="236">
        <v>6</v>
      </c>
      <c r="D13" s="68" t="s">
        <v>605</v>
      </c>
      <c r="E13" s="234">
        <v>46215</v>
      </c>
      <c r="F13" s="233">
        <v>46215</v>
      </c>
      <c r="K13" s="236">
        <v>1</v>
      </c>
      <c r="L13" s="236">
        <v>1</v>
      </c>
      <c r="M13" s="236">
        <v>1</v>
      </c>
      <c r="N13" s="236">
        <v>1</v>
      </c>
      <c r="O13" s="236">
        <v>1</v>
      </c>
      <c r="P13" s="236">
        <v>1</v>
      </c>
      <c r="Q13" s="68" t="s">
        <v>566</v>
      </c>
      <c r="R13" s="236">
        <v>6</v>
      </c>
      <c r="S13" s="236">
        <v>1</v>
      </c>
      <c r="T13" s="236">
        <v>4024</v>
      </c>
      <c r="V13" s="236">
        <v>0</v>
      </c>
      <c r="AA13" s="231">
        <v>1116</v>
      </c>
      <c r="AB13" s="231">
        <v>0</v>
      </c>
      <c r="AC13" s="231">
        <v>0</v>
      </c>
      <c r="AD13" s="231">
        <v>0</v>
      </c>
      <c r="AE13" s="231">
        <v>1116</v>
      </c>
      <c r="AJ13" s="232">
        <v>46215.681990740741</v>
      </c>
      <c r="AK13" s="68">
        <v>0</v>
      </c>
      <c r="AL13" s="68">
        <v>0</v>
      </c>
      <c r="AM13" s="68">
        <v>1</v>
      </c>
      <c r="AN13" s="68">
        <v>2</v>
      </c>
      <c r="AO13" s="68">
        <v>7</v>
      </c>
      <c r="AP13" s="68">
        <v>2026</v>
      </c>
      <c r="AS13" s="121"/>
      <c r="AT13" s="365"/>
    </row>
    <row r="14" spans="3:46">
      <c r="C14" s="236">
        <v>7</v>
      </c>
      <c r="D14" s="68" t="s">
        <v>608</v>
      </c>
      <c r="E14" s="234">
        <v>46215</v>
      </c>
      <c r="F14" s="233">
        <v>46215</v>
      </c>
      <c r="K14" s="236">
        <v>1</v>
      </c>
      <c r="L14" s="236">
        <v>1</v>
      </c>
      <c r="M14" s="236">
        <v>1</v>
      </c>
      <c r="N14" s="236">
        <v>1</v>
      </c>
      <c r="O14" s="236">
        <v>1</v>
      </c>
      <c r="P14" s="236">
        <v>1</v>
      </c>
      <c r="Q14" s="68" t="s">
        <v>566</v>
      </c>
      <c r="R14" s="236">
        <v>6</v>
      </c>
      <c r="S14" s="236">
        <v>1</v>
      </c>
      <c r="T14" s="236">
        <v>4024</v>
      </c>
      <c r="V14" s="236">
        <v>0</v>
      </c>
      <c r="AA14" s="231">
        <v>744</v>
      </c>
      <c r="AB14" s="231">
        <v>0</v>
      </c>
      <c r="AC14" s="231">
        <v>0</v>
      </c>
      <c r="AD14" s="231">
        <v>0</v>
      </c>
      <c r="AE14" s="231">
        <v>744</v>
      </c>
      <c r="AJ14" s="232">
        <v>46215.718391203707</v>
      </c>
      <c r="AK14" s="68">
        <v>0</v>
      </c>
      <c r="AL14" s="68">
        <v>0</v>
      </c>
      <c r="AM14" s="68">
        <v>1</v>
      </c>
      <c r="AN14" s="68">
        <v>2</v>
      </c>
      <c r="AO14" s="68">
        <v>7</v>
      </c>
      <c r="AP14" s="68">
        <v>2026</v>
      </c>
      <c r="AS14" s="121"/>
      <c r="AT14" s="364"/>
    </row>
    <row r="15" spans="3:46">
      <c r="C15" s="236">
        <v>8</v>
      </c>
      <c r="D15" s="68" t="s">
        <v>627</v>
      </c>
      <c r="E15" s="234">
        <v>46216</v>
      </c>
      <c r="F15" s="233">
        <v>46216</v>
      </c>
      <c r="K15" s="236">
        <v>1</v>
      </c>
      <c r="L15" s="236">
        <v>1</v>
      </c>
      <c r="M15" s="236">
        <v>1</v>
      </c>
      <c r="N15" s="236">
        <v>1</v>
      </c>
      <c r="O15" s="236">
        <v>1</v>
      </c>
      <c r="P15" s="236">
        <v>1</v>
      </c>
      <c r="Q15" s="68" t="s">
        <v>566</v>
      </c>
      <c r="R15" s="236">
        <v>6</v>
      </c>
      <c r="S15" s="236">
        <v>1</v>
      </c>
      <c r="T15" s="236">
        <v>4024</v>
      </c>
      <c r="V15" s="236">
        <v>0</v>
      </c>
      <c r="AA15" s="231">
        <v>789.99999999999989</v>
      </c>
      <c r="AB15" s="231">
        <v>0</v>
      </c>
      <c r="AC15" s="231">
        <v>0</v>
      </c>
      <c r="AD15" s="231">
        <v>0</v>
      </c>
      <c r="AE15" s="231">
        <v>789.99999999999989</v>
      </c>
      <c r="AJ15" s="232">
        <v>46216.694976851853</v>
      </c>
      <c r="AK15" s="68">
        <v>0</v>
      </c>
      <c r="AL15" s="68">
        <v>0</v>
      </c>
      <c r="AM15" s="68">
        <v>1</v>
      </c>
      <c r="AN15" s="68">
        <v>2</v>
      </c>
      <c r="AO15" s="68">
        <v>7</v>
      </c>
      <c r="AP15" s="68">
        <v>2026</v>
      </c>
      <c r="AS15" s="121"/>
      <c r="AT15" s="364"/>
    </row>
    <row r="16" spans="3:46">
      <c r="AJ16" s="232"/>
      <c r="AS16" s="121"/>
      <c r="AT16" s="365"/>
    </row>
    <row r="17" spans="36:46">
      <c r="AJ17" s="232"/>
      <c r="AS17" s="121"/>
      <c r="AT17" s="365"/>
    </row>
    <row r="18" spans="36:46">
      <c r="AJ18" s="232"/>
      <c r="AS18" s="121"/>
      <c r="AT18" s="365"/>
    </row>
    <row r="19" spans="36:46">
      <c r="AJ19" s="232"/>
      <c r="AS19" s="121"/>
      <c r="AT19" s="365"/>
    </row>
    <row r="20" spans="36:46">
      <c r="AJ20" s="232"/>
      <c r="AS20" s="121"/>
      <c r="AT20" s="365"/>
    </row>
    <row r="21" spans="36:46">
      <c r="AJ21" s="232"/>
      <c r="AS21" s="121"/>
      <c r="AT21" s="365"/>
    </row>
    <row r="22" spans="36:46">
      <c r="AJ22" s="232"/>
      <c r="AS22" s="121"/>
      <c r="AT22" s="365"/>
    </row>
    <row r="23" spans="36:46">
      <c r="AJ23" s="232"/>
      <c r="AS23" s="121"/>
      <c r="AT23" s="365"/>
    </row>
    <row r="24" spans="36:46">
      <c r="AJ24" s="232"/>
      <c r="AS24" s="121"/>
      <c r="AT24" s="365"/>
    </row>
    <row r="25" spans="36:46">
      <c r="AJ25" s="232"/>
      <c r="AS25" s="121"/>
      <c r="AT25" s="365"/>
    </row>
    <row r="26" spans="36:46">
      <c r="AJ26" s="232"/>
      <c r="AS26" s="121"/>
      <c r="AT26" s="365"/>
    </row>
    <row r="27" spans="36:46">
      <c r="AJ27" s="232"/>
      <c r="AS27" s="121"/>
      <c r="AT27" s="365"/>
    </row>
    <row r="28" spans="36:46">
      <c r="AJ28" s="232"/>
      <c r="AS28" s="121"/>
      <c r="AT28" s="365"/>
    </row>
    <row r="29" spans="36:46">
      <c r="AJ29" s="232"/>
      <c r="AS29" s="121"/>
      <c r="AT29" s="365"/>
    </row>
    <row r="30" spans="36:46">
      <c r="AS30" s="121"/>
      <c r="AT30" s="366"/>
    </row>
    <row r="31" spans="36:46">
      <c r="AS31" s="121"/>
      <c r="AT31" s="366"/>
    </row>
    <row r="32" spans="36:46">
      <c r="AS32" s="121"/>
      <c r="AT32" s="366"/>
    </row>
    <row r="33" spans="45:46">
      <c r="AS33" s="121"/>
      <c r="AT33" s="366"/>
    </row>
    <row r="34" spans="45:46">
      <c r="AS34" s="121"/>
      <c r="AT34" s="366"/>
    </row>
    <row r="35" spans="45:46">
      <c r="AS35" s="121"/>
      <c r="AT35" s="366"/>
    </row>
    <row r="36" spans="45:46">
      <c r="AS36" s="121"/>
      <c r="AT36" s="366"/>
    </row>
    <row r="37" spans="45:46">
      <c r="AS37" s="121"/>
      <c r="AT37" s="365"/>
    </row>
    <row r="38" spans="45:46">
      <c r="AS38" s="121"/>
      <c r="AT38" s="365"/>
    </row>
    <row r="39" spans="45:46">
      <c r="AS39" s="121"/>
      <c r="AT39" s="365"/>
    </row>
    <row r="40" spans="45:46">
      <c r="AS40" s="121"/>
      <c r="AT40" s="365"/>
    </row>
    <row r="41" spans="45:46">
      <c r="AS41" s="121"/>
      <c r="AT41" s="367"/>
    </row>
    <row r="42" spans="45:46">
      <c r="AS42" s="121"/>
      <c r="AT42" s="365"/>
    </row>
    <row r="43" spans="45:46">
      <c r="AS43" s="121"/>
      <c r="AT43" s="365"/>
    </row>
    <row r="44" spans="45:46">
      <c r="AS44" s="121"/>
      <c r="AT44" s="365"/>
    </row>
    <row r="45" spans="45:46">
      <c r="AS45" s="121"/>
      <c r="AT45" s="365"/>
    </row>
    <row r="46" spans="45:46">
      <c r="AS46" s="121"/>
      <c r="AT46" s="365"/>
    </row>
    <row r="47" spans="45:46">
      <c r="AS47" s="121"/>
      <c r="AT47" s="365"/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36"/>
  <sheetViews>
    <sheetView showGridLines="0" topLeftCell="B1" zoomScale="80" zoomScaleNormal="80" workbookViewId="0">
      <pane ySplit="7" topLeftCell="A8" activePane="bottomLeft" state="frozen"/>
      <selection activeCell="D13" sqref="D13"/>
      <selection pane="bottomLeft" activeCell="N24" sqref="N24"/>
    </sheetView>
  </sheetViews>
  <sheetFormatPr defaultRowHeight="23.25"/>
  <cols>
    <col min="1" max="1" width="2.5703125" style="68" hidden="1" customWidth="1"/>
    <col min="2" max="2" width="1" style="68" customWidth="1"/>
    <col min="3" max="3" width="9.7109375" style="236" customWidth="1"/>
    <col min="4" max="4" width="15.5703125" style="236" customWidth="1"/>
    <col min="5" max="5" width="24.85546875" style="68" bestFit="1" customWidth="1"/>
    <col min="6" max="6" width="18.28515625" style="236" customWidth="1"/>
    <col min="7" max="7" width="21.28515625" style="237" customWidth="1"/>
    <col min="8" max="8" width="13" style="236" bestFit="1" customWidth="1"/>
    <col min="9" max="9" width="17.7109375" style="236" bestFit="1" customWidth="1"/>
    <col min="10" max="10" width="34.85546875" style="236" bestFit="1" customWidth="1"/>
    <col min="11" max="11" width="28.42578125" style="68" bestFit="1" customWidth="1"/>
    <col min="12" max="12" width="9.7109375" style="153" customWidth="1"/>
    <col min="13" max="13" width="11.28515625" style="153" customWidth="1"/>
    <col min="14" max="14" width="18.42578125" style="68" bestFit="1" customWidth="1"/>
    <col min="15" max="15" width="15.42578125" style="236" customWidth="1"/>
    <col min="16" max="16" width="12.140625" style="236" bestFit="1" customWidth="1"/>
    <col min="17" max="17" width="13.42578125" style="68" customWidth="1"/>
    <col min="18" max="18" width="18.42578125" style="231" bestFit="1" customWidth="1"/>
    <col min="19" max="19" width="17.85546875" style="231" customWidth="1"/>
    <col min="20" max="20" width="13.140625" style="238" bestFit="1" customWidth="1"/>
    <col min="21" max="21" width="15.85546875" style="238" customWidth="1"/>
    <col min="22" max="22" width="10.5703125" style="238" bestFit="1" customWidth="1"/>
    <col min="23" max="23" width="17.7109375" style="238" bestFit="1" customWidth="1"/>
    <col min="24" max="24" width="15.42578125" style="238" customWidth="1"/>
    <col min="25" max="26" width="15.42578125" style="68" customWidth="1"/>
    <col min="27" max="27" width="43.140625" style="68" bestFit="1" customWidth="1"/>
    <col min="28" max="28" width="13.5703125" style="236" customWidth="1"/>
    <col min="29" max="29" width="12.5703125" style="236" customWidth="1"/>
    <col min="30" max="30" width="12.85546875" style="236" customWidth="1"/>
    <col min="31" max="31" width="10.7109375" style="236" customWidth="1"/>
    <col min="32" max="35" width="9.140625" style="68"/>
    <col min="36" max="36" width="19" style="68" customWidth="1"/>
    <col min="37" max="16384" width="9.140625" style="68"/>
  </cols>
  <sheetData>
    <row r="1" spans="3:34" s="13" customFormat="1" hidden="1">
      <c r="F1" s="142"/>
      <c r="G1" s="167"/>
      <c r="H1" s="142"/>
      <c r="I1" s="142"/>
      <c r="J1" s="142"/>
      <c r="K1" s="182"/>
      <c r="N1" s="145"/>
      <c r="O1" s="142"/>
      <c r="Q1" s="142"/>
      <c r="R1" s="230"/>
      <c r="S1" s="230"/>
      <c r="T1" s="230"/>
      <c r="U1" s="230"/>
      <c r="V1" s="230"/>
      <c r="W1" s="230"/>
      <c r="X1" s="230"/>
    </row>
    <row r="2" spans="3:34" s="13" customFormat="1" hidden="1">
      <c r="F2" s="142"/>
      <c r="G2" s="167"/>
      <c r="H2" s="142"/>
      <c r="I2" s="142"/>
      <c r="J2" s="142"/>
      <c r="K2" s="182"/>
      <c r="N2" s="145"/>
      <c r="O2" s="142"/>
      <c r="Q2" s="142"/>
      <c r="R2" s="230"/>
      <c r="S2" s="230"/>
      <c r="T2" s="230"/>
      <c r="U2" s="230"/>
      <c r="V2" s="230"/>
      <c r="W2" s="230"/>
      <c r="X2" s="230"/>
    </row>
    <row r="3" spans="3:34" s="13" customFormat="1">
      <c r="F3" s="142"/>
      <c r="G3" s="167"/>
      <c r="H3" s="142"/>
      <c r="I3" s="142"/>
      <c r="J3" s="142"/>
      <c r="K3" s="182"/>
      <c r="N3" s="145"/>
      <c r="O3" s="142"/>
      <c r="Q3" s="142"/>
      <c r="R3" s="230"/>
      <c r="S3" s="230"/>
      <c r="T3" s="230"/>
      <c r="U3" s="230"/>
      <c r="V3" s="230"/>
      <c r="W3" s="230"/>
      <c r="X3" s="230"/>
    </row>
    <row r="4" spans="3:34" s="13" customFormat="1" ht="42.75" customHeight="1">
      <c r="F4" s="142"/>
      <c r="G4" s="167"/>
      <c r="H4" s="142"/>
      <c r="I4" s="142"/>
      <c r="J4" s="142"/>
      <c r="K4" s="182"/>
      <c r="N4" s="145"/>
      <c r="O4" s="142"/>
      <c r="Q4" s="142"/>
      <c r="R4" s="230"/>
      <c r="S4" s="230"/>
      <c r="T4" s="230"/>
      <c r="U4" s="230"/>
      <c r="V4" s="230"/>
      <c r="W4" s="230"/>
      <c r="X4" s="230"/>
    </row>
    <row r="5" spans="3:34" s="13" customFormat="1" ht="22.5" customHeight="1"/>
    <row r="6" spans="3:34" s="13" customFormat="1">
      <c r="C6" s="297" t="s">
        <v>10</v>
      </c>
      <c r="D6" s="297" t="s">
        <v>432</v>
      </c>
      <c r="E6" s="313" t="s">
        <v>427</v>
      </c>
      <c r="F6" s="298" t="s">
        <v>270</v>
      </c>
      <c r="G6" s="299" t="s">
        <v>244</v>
      </c>
      <c r="H6" s="298" t="s">
        <v>402</v>
      </c>
      <c r="I6" s="298" t="s">
        <v>173</v>
      </c>
      <c r="J6" s="298" t="s">
        <v>260</v>
      </c>
      <c r="K6" s="298" t="s">
        <v>261</v>
      </c>
      <c r="L6" s="298" t="s">
        <v>16</v>
      </c>
      <c r="M6" s="298" t="s">
        <v>16</v>
      </c>
      <c r="N6" s="298" t="s">
        <v>262</v>
      </c>
      <c r="O6" s="298" t="s">
        <v>263</v>
      </c>
      <c r="P6" s="297" t="s">
        <v>264</v>
      </c>
      <c r="Q6" s="298" t="s">
        <v>265</v>
      </c>
      <c r="R6" s="308" t="s">
        <v>267</v>
      </c>
      <c r="S6" s="308" t="s">
        <v>266</v>
      </c>
      <c r="T6" s="308" t="s">
        <v>14</v>
      </c>
      <c r="U6" s="308" t="s">
        <v>14</v>
      </c>
      <c r="V6" s="308" t="s">
        <v>187</v>
      </c>
      <c r="W6" s="308" t="s">
        <v>280</v>
      </c>
      <c r="X6" s="308" t="s">
        <v>268</v>
      </c>
      <c r="Y6" s="297" t="s">
        <v>214</v>
      </c>
      <c r="Z6" s="297" t="s">
        <v>425</v>
      </c>
      <c r="AA6" s="297" t="s">
        <v>25</v>
      </c>
      <c r="AB6" s="297" t="s">
        <v>109</v>
      </c>
      <c r="AC6" s="297" t="s">
        <v>23</v>
      </c>
      <c r="AD6" s="297" t="s">
        <v>95</v>
      </c>
      <c r="AE6" s="297" t="s">
        <v>120</v>
      </c>
    </row>
    <row r="7" spans="3:34" s="13" customFormat="1" ht="15">
      <c r="C7" s="305" t="s">
        <v>139</v>
      </c>
      <c r="D7" s="305" t="s">
        <v>419</v>
      </c>
      <c r="E7" s="305" t="s">
        <v>426</v>
      </c>
      <c r="F7" s="306" t="s">
        <v>405</v>
      </c>
      <c r="G7" s="314" t="s">
        <v>420</v>
      </c>
      <c r="H7" s="306" t="s">
        <v>161</v>
      </c>
      <c r="I7" s="306" t="s">
        <v>162</v>
      </c>
      <c r="J7" s="306" t="s">
        <v>207</v>
      </c>
      <c r="K7" s="306" t="s">
        <v>17</v>
      </c>
      <c r="L7" s="306" t="s">
        <v>18</v>
      </c>
      <c r="M7" s="306" t="s">
        <v>196</v>
      </c>
      <c r="N7" s="306" t="s">
        <v>4</v>
      </c>
      <c r="O7" s="306" t="s">
        <v>199</v>
      </c>
      <c r="P7" s="305" t="s">
        <v>197</v>
      </c>
      <c r="Q7" s="306" t="s">
        <v>258</v>
      </c>
      <c r="R7" s="315" t="s">
        <v>259</v>
      </c>
      <c r="S7" s="315" t="s">
        <v>235</v>
      </c>
      <c r="T7" s="315" t="s">
        <v>395</v>
      </c>
      <c r="U7" s="315" t="s">
        <v>421</v>
      </c>
      <c r="V7" s="315" t="s">
        <v>19</v>
      </c>
      <c r="W7" s="315" t="s">
        <v>422</v>
      </c>
      <c r="X7" s="315" t="s">
        <v>399</v>
      </c>
      <c r="Y7" s="305" t="s">
        <v>423</v>
      </c>
      <c r="Z7" s="305" t="s">
        <v>424</v>
      </c>
      <c r="AA7" s="305" t="s">
        <v>472</v>
      </c>
      <c r="AB7" s="305" t="s">
        <v>98</v>
      </c>
      <c r="AC7" s="305" t="s">
        <v>26</v>
      </c>
      <c r="AD7" s="305" t="s">
        <v>2</v>
      </c>
      <c r="AE7" s="305" t="s">
        <v>121</v>
      </c>
    </row>
    <row r="8" spans="3:34">
      <c r="C8" s="236">
        <v>1</v>
      </c>
      <c r="D8" s="236">
        <v>1</v>
      </c>
      <c r="F8" s="236" t="s">
        <v>565</v>
      </c>
      <c r="G8" s="237">
        <v>46214</v>
      </c>
      <c r="H8" s="236">
        <v>1</v>
      </c>
      <c r="I8" s="236">
        <v>1</v>
      </c>
      <c r="J8" s="236" t="s">
        <v>486</v>
      </c>
      <c r="K8" s="68" t="s">
        <v>487</v>
      </c>
      <c r="L8" s="153">
        <v>10</v>
      </c>
      <c r="M8" s="153">
        <v>0</v>
      </c>
      <c r="N8" s="68" t="s">
        <v>568</v>
      </c>
      <c r="O8" s="236">
        <v>2</v>
      </c>
      <c r="P8" s="236">
        <v>1</v>
      </c>
      <c r="T8" s="238">
        <v>27.34</v>
      </c>
      <c r="U8" s="238">
        <v>27.34</v>
      </c>
      <c r="V8" s="238">
        <v>27.34</v>
      </c>
      <c r="W8" s="238">
        <v>0</v>
      </c>
      <c r="X8" s="238">
        <v>273.39999999999998</v>
      </c>
      <c r="AB8" s="236">
        <v>1</v>
      </c>
      <c r="AC8" s="236">
        <v>2</v>
      </c>
      <c r="AD8" s="236">
        <v>7</v>
      </c>
      <c r="AE8" s="236">
        <v>2026</v>
      </c>
      <c r="AG8" s="13"/>
      <c r="AH8" s="382"/>
    </row>
    <row r="9" spans="3:34">
      <c r="C9" s="236">
        <v>2</v>
      </c>
      <c r="D9" s="236">
        <v>1</v>
      </c>
      <c r="F9" s="236" t="s">
        <v>565</v>
      </c>
      <c r="G9" s="237">
        <v>46214</v>
      </c>
      <c r="H9" s="236">
        <v>1</v>
      </c>
      <c r="I9" s="236">
        <v>81</v>
      </c>
      <c r="J9" s="236" t="s">
        <v>556</v>
      </c>
      <c r="K9" s="68" t="s">
        <v>557</v>
      </c>
      <c r="L9" s="153">
        <v>10</v>
      </c>
      <c r="M9" s="153">
        <v>0</v>
      </c>
      <c r="N9" s="68" t="s">
        <v>570</v>
      </c>
      <c r="O9" s="236">
        <v>26</v>
      </c>
      <c r="P9" s="236">
        <v>1</v>
      </c>
      <c r="T9" s="238">
        <v>74.400000000000006</v>
      </c>
      <c r="U9" s="238">
        <v>74.400000000000006</v>
      </c>
      <c r="V9" s="238">
        <v>74.400000000000006</v>
      </c>
      <c r="W9" s="238">
        <v>0</v>
      </c>
      <c r="X9" s="238">
        <v>744</v>
      </c>
      <c r="AB9" s="236">
        <v>1</v>
      </c>
      <c r="AC9" s="236">
        <v>2</v>
      </c>
      <c r="AD9" s="236">
        <v>7</v>
      </c>
      <c r="AE9" s="236">
        <v>2026</v>
      </c>
      <c r="AG9" s="13"/>
      <c r="AH9" s="382"/>
    </row>
    <row r="10" spans="3:34">
      <c r="C10" s="236">
        <v>3</v>
      </c>
      <c r="D10" s="236">
        <v>1</v>
      </c>
      <c r="F10" s="236" t="s">
        <v>565</v>
      </c>
      <c r="G10" s="237">
        <v>46214</v>
      </c>
      <c r="H10" s="236">
        <v>1</v>
      </c>
      <c r="I10" s="236">
        <v>176</v>
      </c>
      <c r="J10" s="236" t="s">
        <v>488</v>
      </c>
      <c r="K10" s="68" t="s">
        <v>489</v>
      </c>
      <c r="L10" s="153">
        <v>10</v>
      </c>
      <c r="M10" s="153">
        <v>0</v>
      </c>
      <c r="N10" s="68" t="s">
        <v>571</v>
      </c>
      <c r="O10" s="236">
        <v>51</v>
      </c>
      <c r="P10" s="236">
        <v>1</v>
      </c>
      <c r="T10" s="238">
        <v>85</v>
      </c>
      <c r="U10" s="238">
        <v>85</v>
      </c>
      <c r="V10" s="238">
        <v>85</v>
      </c>
      <c r="W10" s="238">
        <v>0</v>
      </c>
      <c r="X10" s="238">
        <v>850</v>
      </c>
      <c r="AB10" s="236">
        <v>1</v>
      </c>
      <c r="AC10" s="236">
        <v>2</v>
      </c>
      <c r="AD10" s="236">
        <v>7</v>
      </c>
      <c r="AE10" s="236">
        <v>2026</v>
      </c>
      <c r="AG10" s="13"/>
      <c r="AH10" s="382"/>
    </row>
    <row r="11" spans="3:34">
      <c r="C11" s="236">
        <v>4</v>
      </c>
      <c r="D11" s="236">
        <v>2</v>
      </c>
      <c r="F11" s="236" t="s">
        <v>582</v>
      </c>
      <c r="G11" s="237">
        <v>46214</v>
      </c>
      <c r="H11" s="236">
        <v>1</v>
      </c>
      <c r="I11" s="236">
        <v>1</v>
      </c>
      <c r="J11" s="236" t="s">
        <v>486</v>
      </c>
      <c r="K11" s="68" t="s">
        <v>487</v>
      </c>
      <c r="L11" s="153">
        <v>5</v>
      </c>
      <c r="M11" s="153">
        <v>0</v>
      </c>
      <c r="N11" s="68" t="s">
        <v>568</v>
      </c>
      <c r="O11" s="236">
        <v>2</v>
      </c>
      <c r="P11" s="236">
        <v>1</v>
      </c>
      <c r="T11" s="238">
        <v>27.34</v>
      </c>
      <c r="U11" s="238">
        <v>27.34</v>
      </c>
      <c r="V11" s="238">
        <v>27.34</v>
      </c>
      <c r="W11" s="238">
        <v>0</v>
      </c>
      <c r="X11" s="238">
        <v>136.69999999999999</v>
      </c>
      <c r="AB11" s="236">
        <v>1</v>
      </c>
      <c r="AC11" s="236">
        <v>2</v>
      </c>
      <c r="AD11" s="236">
        <v>7</v>
      </c>
      <c r="AE11" s="236">
        <v>2026</v>
      </c>
      <c r="AG11" s="13"/>
      <c r="AH11" s="383"/>
    </row>
    <row r="12" spans="3:34">
      <c r="C12" s="236">
        <v>5</v>
      </c>
      <c r="D12" s="236">
        <v>2</v>
      </c>
      <c r="F12" s="236" t="s">
        <v>582</v>
      </c>
      <c r="G12" s="237">
        <v>46214</v>
      </c>
      <c r="H12" s="236">
        <v>1</v>
      </c>
      <c r="I12" s="236">
        <v>81</v>
      </c>
      <c r="J12" s="236" t="s">
        <v>556</v>
      </c>
      <c r="K12" s="68" t="s">
        <v>557</v>
      </c>
      <c r="L12" s="153">
        <v>5</v>
      </c>
      <c r="M12" s="153">
        <v>0</v>
      </c>
      <c r="N12" s="68" t="s">
        <v>570</v>
      </c>
      <c r="O12" s="236">
        <v>26</v>
      </c>
      <c r="P12" s="236">
        <v>1</v>
      </c>
      <c r="T12" s="238">
        <v>74.400000000000006</v>
      </c>
      <c r="U12" s="238">
        <v>74.400000000000006</v>
      </c>
      <c r="V12" s="238">
        <v>74.400000000000006</v>
      </c>
      <c r="W12" s="238">
        <v>0</v>
      </c>
      <c r="X12" s="238">
        <v>372</v>
      </c>
      <c r="AB12" s="236">
        <v>1</v>
      </c>
      <c r="AC12" s="236">
        <v>2</v>
      </c>
      <c r="AD12" s="236">
        <v>7</v>
      </c>
      <c r="AE12" s="236">
        <v>2026</v>
      </c>
      <c r="AG12" s="13"/>
      <c r="AH12" s="384"/>
    </row>
    <row r="13" spans="3:34">
      <c r="C13" s="236">
        <v>6</v>
      </c>
      <c r="D13" s="236">
        <v>2</v>
      </c>
      <c r="F13" s="236" t="s">
        <v>582</v>
      </c>
      <c r="G13" s="237">
        <v>46214</v>
      </c>
      <c r="H13" s="236">
        <v>1</v>
      </c>
      <c r="I13" s="236">
        <v>176</v>
      </c>
      <c r="J13" s="236" t="s">
        <v>488</v>
      </c>
      <c r="K13" s="68" t="s">
        <v>489</v>
      </c>
      <c r="L13" s="153">
        <v>5</v>
      </c>
      <c r="M13" s="153">
        <v>0</v>
      </c>
      <c r="N13" s="68" t="s">
        <v>571</v>
      </c>
      <c r="O13" s="236">
        <v>51</v>
      </c>
      <c r="P13" s="236">
        <v>1</v>
      </c>
      <c r="T13" s="238">
        <v>85</v>
      </c>
      <c r="U13" s="238">
        <v>85</v>
      </c>
      <c r="V13" s="238">
        <v>85</v>
      </c>
      <c r="W13" s="238">
        <v>0</v>
      </c>
      <c r="X13" s="238">
        <v>425</v>
      </c>
      <c r="AB13" s="236">
        <v>1</v>
      </c>
      <c r="AC13" s="236">
        <v>2</v>
      </c>
      <c r="AD13" s="236">
        <v>7</v>
      </c>
      <c r="AE13" s="236">
        <v>2026</v>
      </c>
      <c r="AG13" s="13"/>
      <c r="AH13" s="383"/>
    </row>
    <row r="14" spans="3:34">
      <c r="C14" s="236">
        <v>7</v>
      </c>
      <c r="D14" s="236">
        <v>3</v>
      </c>
      <c r="F14" s="236" t="s">
        <v>589</v>
      </c>
      <c r="G14" s="237">
        <v>46213</v>
      </c>
      <c r="H14" s="236">
        <v>1</v>
      </c>
      <c r="I14" s="236">
        <v>1</v>
      </c>
      <c r="J14" s="236" t="s">
        <v>486</v>
      </c>
      <c r="K14" s="68" t="s">
        <v>487</v>
      </c>
      <c r="L14" s="153">
        <v>4</v>
      </c>
      <c r="M14" s="153">
        <v>0</v>
      </c>
      <c r="N14" s="68" t="s">
        <v>568</v>
      </c>
      <c r="O14" s="236">
        <v>2</v>
      </c>
      <c r="P14" s="236">
        <v>1</v>
      </c>
      <c r="T14" s="238">
        <v>27.34</v>
      </c>
      <c r="U14" s="238">
        <v>27.34</v>
      </c>
      <c r="V14" s="238">
        <v>27.34</v>
      </c>
      <c r="W14" s="238">
        <v>0</v>
      </c>
      <c r="X14" s="238">
        <v>109.36</v>
      </c>
      <c r="AB14" s="236">
        <v>1</v>
      </c>
      <c r="AC14" s="236">
        <v>2</v>
      </c>
      <c r="AD14" s="236">
        <v>7</v>
      </c>
      <c r="AE14" s="236">
        <v>2026</v>
      </c>
      <c r="AG14" s="13"/>
      <c r="AH14" s="383"/>
    </row>
    <row r="15" spans="3:34">
      <c r="C15" s="236">
        <v>8</v>
      </c>
      <c r="D15" s="236">
        <v>3</v>
      </c>
      <c r="F15" s="236" t="s">
        <v>589</v>
      </c>
      <c r="G15" s="237">
        <v>46213</v>
      </c>
      <c r="H15" s="236">
        <v>1</v>
      </c>
      <c r="I15" s="236">
        <v>81</v>
      </c>
      <c r="J15" s="236" t="s">
        <v>556</v>
      </c>
      <c r="K15" s="68" t="s">
        <v>557</v>
      </c>
      <c r="L15" s="153">
        <v>4</v>
      </c>
      <c r="M15" s="153">
        <v>0</v>
      </c>
      <c r="N15" s="68" t="s">
        <v>570</v>
      </c>
      <c r="O15" s="236">
        <v>26</v>
      </c>
      <c r="P15" s="236">
        <v>1</v>
      </c>
      <c r="T15" s="238">
        <v>74.400000000000006</v>
      </c>
      <c r="U15" s="238">
        <v>74.400000000000006</v>
      </c>
      <c r="V15" s="238">
        <v>74.400000000000006</v>
      </c>
      <c r="W15" s="238">
        <v>0</v>
      </c>
      <c r="X15" s="238">
        <v>297.60000000000002</v>
      </c>
      <c r="AB15" s="236">
        <v>1</v>
      </c>
      <c r="AC15" s="236">
        <v>2</v>
      </c>
      <c r="AD15" s="236">
        <v>7</v>
      </c>
      <c r="AE15" s="236">
        <v>2026</v>
      </c>
      <c r="AG15" s="13"/>
      <c r="AH15" s="383"/>
    </row>
    <row r="16" spans="3:34">
      <c r="C16" s="236">
        <v>9</v>
      </c>
      <c r="D16" s="236">
        <v>3</v>
      </c>
      <c r="F16" s="236" t="s">
        <v>589</v>
      </c>
      <c r="G16" s="237">
        <v>46213</v>
      </c>
      <c r="H16" s="236">
        <v>1</v>
      </c>
      <c r="I16" s="236">
        <v>176</v>
      </c>
      <c r="J16" s="236" t="s">
        <v>488</v>
      </c>
      <c r="K16" s="68" t="s">
        <v>489</v>
      </c>
      <c r="L16" s="153">
        <v>4</v>
      </c>
      <c r="M16" s="153">
        <v>0</v>
      </c>
      <c r="N16" s="68" t="s">
        <v>571</v>
      </c>
      <c r="O16" s="236">
        <v>51</v>
      </c>
      <c r="P16" s="236">
        <v>1</v>
      </c>
      <c r="T16" s="238">
        <v>85</v>
      </c>
      <c r="U16" s="238">
        <v>85</v>
      </c>
      <c r="V16" s="238">
        <v>85</v>
      </c>
      <c r="W16" s="238">
        <v>0</v>
      </c>
      <c r="X16" s="238">
        <v>340</v>
      </c>
      <c r="AB16" s="236">
        <v>1</v>
      </c>
      <c r="AC16" s="236">
        <v>2</v>
      </c>
      <c r="AD16" s="236">
        <v>7</v>
      </c>
      <c r="AE16" s="236">
        <v>2026</v>
      </c>
      <c r="AG16" s="13"/>
      <c r="AH16" s="383"/>
    </row>
    <row r="17" spans="3:34">
      <c r="C17" s="236">
        <v>10</v>
      </c>
      <c r="D17" s="236">
        <v>4</v>
      </c>
      <c r="F17" s="236" t="s">
        <v>601</v>
      </c>
      <c r="G17" s="237">
        <v>46215</v>
      </c>
      <c r="H17" s="236">
        <v>1</v>
      </c>
      <c r="I17" s="236">
        <v>176</v>
      </c>
      <c r="J17" s="236" t="s">
        <v>488</v>
      </c>
      <c r="K17" s="68" t="s">
        <v>489</v>
      </c>
      <c r="L17" s="153">
        <v>10</v>
      </c>
      <c r="M17" s="153">
        <v>0</v>
      </c>
      <c r="N17" s="68" t="s">
        <v>571</v>
      </c>
      <c r="O17" s="236">
        <v>51</v>
      </c>
      <c r="P17" s="236">
        <v>1</v>
      </c>
      <c r="T17" s="238">
        <v>85</v>
      </c>
      <c r="U17" s="238">
        <v>85</v>
      </c>
      <c r="V17" s="238">
        <v>85</v>
      </c>
      <c r="W17" s="238">
        <v>0</v>
      </c>
      <c r="X17" s="238">
        <v>850</v>
      </c>
      <c r="AB17" s="236">
        <v>1</v>
      </c>
      <c r="AC17" s="236">
        <v>2</v>
      </c>
      <c r="AD17" s="236">
        <v>7</v>
      </c>
      <c r="AE17" s="236">
        <v>2026</v>
      </c>
      <c r="AG17" s="13"/>
      <c r="AH17" s="383"/>
    </row>
    <row r="18" spans="3:34">
      <c r="C18" s="236">
        <v>11</v>
      </c>
      <c r="D18" s="236">
        <v>5</v>
      </c>
      <c r="F18" s="236" t="s">
        <v>602</v>
      </c>
      <c r="G18" s="237">
        <v>46214</v>
      </c>
      <c r="H18" s="236">
        <v>1</v>
      </c>
      <c r="I18" s="236">
        <v>81</v>
      </c>
      <c r="J18" s="236" t="s">
        <v>556</v>
      </c>
      <c r="K18" s="68" t="s">
        <v>557</v>
      </c>
      <c r="L18" s="153">
        <v>10</v>
      </c>
      <c r="M18" s="153">
        <v>0</v>
      </c>
      <c r="N18" s="68" t="s">
        <v>570</v>
      </c>
      <c r="O18" s="236">
        <v>26</v>
      </c>
      <c r="P18" s="236">
        <v>1</v>
      </c>
      <c r="T18" s="238">
        <v>74.400000000000006</v>
      </c>
      <c r="U18" s="238">
        <v>74.400000000000006</v>
      </c>
      <c r="V18" s="238">
        <v>74.400000000000006</v>
      </c>
      <c r="W18" s="238">
        <v>0</v>
      </c>
      <c r="X18" s="238">
        <v>744</v>
      </c>
      <c r="AB18" s="236">
        <v>1</v>
      </c>
      <c r="AC18" s="236">
        <v>2</v>
      </c>
      <c r="AD18" s="236">
        <v>7</v>
      </c>
      <c r="AE18" s="236">
        <v>2026</v>
      </c>
      <c r="AG18" s="13"/>
      <c r="AH18" s="383"/>
    </row>
    <row r="19" spans="3:34">
      <c r="C19" s="236">
        <v>12</v>
      </c>
      <c r="D19" s="236">
        <v>6</v>
      </c>
      <c r="F19" s="236" t="s">
        <v>605</v>
      </c>
      <c r="G19" s="237">
        <v>46215</v>
      </c>
      <c r="H19" s="236">
        <v>1</v>
      </c>
      <c r="I19" s="236">
        <v>81</v>
      </c>
      <c r="J19" s="236" t="s">
        <v>556</v>
      </c>
      <c r="K19" s="68" t="s">
        <v>557</v>
      </c>
      <c r="L19" s="153">
        <v>15</v>
      </c>
      <c r="M19" s="153">
        <v>0</v>
      </c>
      <c r="N19" s="68" t="s">
        <v>570</v>
      </c>
      <c r="O19" s="236">
        <v>26</v>
      </c>
      <c r="P19" s="236">
        <v>1</v>
      </c>
      <c r="T19" s="238">
        <v>74.400000000000006</v>
      </c>
      <c r="U19" s="238">
        <v>74.400000000000006</v>
      </c>
      <c r="V19" s="238">
        <v>74.400000000000006</v>
      </c>
      <c r="W19" s="238">
        <v>0</v>
      </c>
      <c r="X19" s="238">
        <v>1116</v>
      </c>
      <c r="AB19" s="236">
        <v>1</v>
      </c>
      <c r="AC19" s="236">
        <v>2</v>
      </c>
      <c r="AD19" s="236">
        <v>7</v>
      </c>
      <c r="AE19" s="236">
        <v>2026</v>
      </c>
      <c r="AG19" s="13"/>
      <c r="AH19" s="383"/>
    </row>
    <row r="20" spans="3:34">
      <c r="C20" s="236">
        <v>13</v>
      </c>
      <c r="D20" s="236">
        <v>7</v>
      </c>
      <c r="F20" s="236" t="s">
        <v>608</v>
      </c>
      <c r="G20" s="237">
        <v>46215</v>
      </c>
      <c r="H20" s="236">
        <v>1</v>
      </c>
      <c r="I20" s="236">
        <v>81</v>
      </c>
      <c r="J20" s="236" t="s">
        <v>556</v>
      </c>
      <c r="K20" s="68" t="s">
        <v>557</v>
      </c>
      <c r="L20" s="153">
        <v>10</v>
      </c>
      <c r="M20" s="153">
        <v>0</v>
      </c>
      <c r="N20" s="68" t="s">
        <v>570</v>
      </c>
      <c r="O20" s="236">
        <v>26</v>
      </c>
      <c r="P20" s="236">
        <v>1</v>
      </c>
      <c r="T20" s="238">
        <v>74.400000000000006</v>
      </c>
      <c r="U20" s="238">
        <v>74.400000000000006</v>
      </c>
      <c r="V20" s="238">
        <v>74.400000000000006</v>
      </c>
      <c r="W20" s="238">
        <v>0</v>
      </c>
      <c r="X20" s="238">
        <v>744</v>
      </c>
      <c r="AB20" s="236">
        <v>1</v>
      </c>
      <c r="AC20" s="236">
        <v>2</v>
      </c>
      <c r="AD20" s="236">
        <v>7</v>
      </c>
      <c r="AE20" s="236">
        <v>2026</v>
      </c>
      <c r="AG20" s="13"/>
      <c r="AH20" s="383"/>
    </row>
    <row r="21" spans="3:34">
      <c r="C21" s="236">
        <v>14</v>
      </c>
      <c r="D21" s="236">
        <v>8</v>
      </c>
      <c r="F21" s="236" t="s">
        <v>627</v>
      </c>
      <c r="G21" s="237">
        <v>46216</v>
      </c>
      <c r="H21" s="236">
        <v>1</v>
      </c>
      <c r="I21" s="236">
        <v>1</v>
      </c>
      <c r="J21" s="236" t="s">
        <v>486</v>
      </c>
      <c r="K21" s="68" t="s">
        <v>487</v>
      </c>
      <c r="L21" s="153">
        <v>10</v>
      </c>
      <c r="M21" s="153">
        <v>0</v>
      </c>
      <c r="N21" s="68" t="s">
        <v>568</v>
      </c>
      <c r="O21" s="236">
        <v>2</v>
      </c>
      <c r="P21" s="236">
        <v>1</v>
      </c>
      <c r="T21" s="238">
        <v>27.34</v>
      </c>
      <c r="U21" s="238">
        <v>27.34</v>
      </c>
      <c r="V21" s="238">
        <v>27.34</v>
      </c>
      <c r="W21" s="238">
        <v>0</v>
      </c>
      <c r="X21" s="238">
        <v>273.39999999999998</v>
      </c>
      <c r="AB21" s="236">
        <v>1</v>
      </c>
      <c r="AC21" s="236">
        <v>2</v>
      </c>
      <c r="AD21" s="236">
        <v>7</v>
      </c>
      <c r="AE21" s="236">
        <v>2026</v>
      </c>
      <c r="AG21" s="13"/>
      <c r="AH21" s="382"/>
    </row>
    <row r="22" spans="3:34">
      <c r="C22" s="236">
        <v>15</v>
      </c>
      <c r="D22" s="236">
        <v>8</v>
      </c>
      <c r="F22" s="236" t="s">
        <v>627</v>
      </c>
      <c r="G22" s="237">
        <v>46216</v>
      </c>
      <c r="H22" s="236">
        <v>1</v>
      </c>
      <c r="I22" s="236">
        <v>2</v>
      </c>
      <c r="J22" s="236" t="s">
        <v>615</v>
      </c>
      <c r="K22" s="68" t="s">
        <v>616</v>
      </c>
      <c r="L22" s="153">
        <v>10</v>
      </c>
      <c r="M22" s="153">
        <v>0</v>
      </c>
      <c r="N22" s="68" t="s">
        <v>568</v>
      </c>
      <c r="O22" s="236">
        <v>2</v>
      </c>
      <c r="P22" s="236">
        <v>1</v>
      </c>
      <c r="T22" s="238">
        <v>11.32</v>
      </c>
      <c r="U22" s="238">
        <v>11.32</v>
      </c>
      <c r="V22" s="238">
        <v>11.32</v>
      </c>
      <c r="W22" s="238">
        <v>0</v>
      </c>
      <c r="X22" s="238">
        <v>113.2</v>
      </c>
      <c r="AB22" s="236">
        <v>1</v>
      </c>
      <c r="AC22" s="236">
        <v>2</v>
      </c>
      <c r="AD22" s="236">
        <v>7</v>
      </c>
      <c r="AE22" s="236">
        <v>2026</v>
      </c>
      <c r="AG22" s="13"/>
      <c r="AH22" s="383"/>
    </row>
    <row r="23" spans="3:34">
      <c r="C23" s="236">
        <v>16</v>
      </c>
      <c r="D23" s="236">
        <v>8</v>
      </c>
      <c r="F23" s="236" t="s">
        <v>627</v>
      </c>
      <c r="G23" s="237">
        <v>46216</v>
      </c>
      <c r="H23" s="236">
        <v>1</v>
      </c>
      <c r="I23" s="236">
        <v>3</v>
      </c>
      <c r="J23" s="236" t="s">
        <v>618</v>
      </c>
      <c r="K23" s="68" t="s">
        <v>619</v>
      </c>
      <c r="L23" s="153">
        <v>10</v>
      </c>
      <c r="M23" s="153">
        <v>0</v>
      </c>
      <c r="N23" s="68" t="s">
        <v>568</v>
      </c>
      <c r="O23" s="236">
        <v>2</v>
      </c>
      <c r="P23" s="236">
        <v>1</v>
      </c>
      <c r="T23" s="238">
        <v>8.8000000000000007</v>
      </c>
      <c r="U23" s="238">
        <v>8.8000000000000007</v>
      </c>
      <c r="V23" s="238">
        <v>8.8000000000000007</v>
      </c>
      <c r="W23" s="238">
        <v>0</v>
      </c>
      <c r="X23" s="238">
        <v>88</v>
      </c>
      <c r="AB23" s="236">
        <v>1</v>
      </c>
      <c r="AC23" s="236">
        <v>2</v>
      </c>
      <c r="AD23" s="236">
        <v>7</v>
      </c>
      <c r="AE23" s="236">
        <v>2026</v>
      </c>
      <c r="AG23" s="13"/>
      <c r="AH23" s="385"/>
    </row>
    <row r="24" spans="3:34">
      <c r="C24" s="236">
        <v>17</v>
      </c>
      <c r="D24" s="236">
        <v>8</v>
      </c>
      <c r="F24" s="236" t="s">
        <v>627</v>
      </c>
      <c r="G24" s="237">
        <v>46216</v>
      </c>
      <c r="H24" s="236">
        <v>1</v>
      </c>
      <c r="I24" s="236">
        <v>4</v>
      </c>
      <c r="J24" s="236" t="s">
        <v>621</v>
      </c>
      <c r="K24" s="68" t="s">
        <v>622</v>
      </c>
      <c r="L24" s="153">
        <v>10</v>
      </c>
      <c r="M24" s="153">
        <v>0</v>
      </c>
      <c r="N24" s="68" t="s">
        <v>568</v>
      </c>
      <c r="O24" s="236">
        <v>2</v>
      </c>
      <c r="P24" s="236">
        <v>1</v>
      </c>
      <c r="T24" s="238">
        <v>5.8</v>
      </c>
      <c r="U24" s="238">
        <v>5.8</v>
      </c>
      <c r="V24" s="238">
        <v>5.8</v>
      </c>
      <c r="W24" s="238">
        <v>0</v>
      </c>
      <c r="X24" s="238">
        <v>58</v>
      </c>
      <c r="AB24" s="236">
        <v>1</v>
      </c>
      <c r="AC24" s="236">
        <v>2</v>
      </c>
      <c r="AD24" s="236">
        <v>7</v>
      </c>
      <c r="AE24" s="236">
        <v>2026</v>
      </c>
      <c r="AG24" s="13"/>
      <c r="AH24" s="385"/>
    </row>
    <row r="25" spans="3:34">
      <c r="C25" s="236">
        <v>18</v>
      </c>
      <c r="D25" s="236">
        <v>8</v>
      </c>
      <c r="F25" s="236" t="s">
        <v>627</v>
      </c>
      <c r="G25" s="237">
        <v>46216</v>
      </c>
      <c r="H25" s="236">
        <v>1</v>
      </c>
      <c r="I25" s="236">
        <v>5</v>
      </c>
      <c r="J25" s="236" t="s">
        <v>624</v>
      </c>
      <c r="K25" s="68" t="s">
        <v>625</v>
      </c>
      <c r="L25" s="153">
        <v>10</v>
      </c>
      <c r="M25" s="153">
        <v>0</v>
      </c>
      <c r="N25" s="68" t="s">
        <v>568</v>
      </c>
      <c r="O25" s="236">
        <v>2</v>
      </c>
      <c r="P25" s="236">
        <v>1</v>
      </c>
      <c r="T25" s="238">
        <v>3.74</v>
      </c>
      <c r="U25" s="238">
        <v>3.74</v>
      </c>
      <c r="V25" s="238">
        <v>3.74</v>
      </c>
      <c r="W25" s="238">
        <v>0</v>
      </c>
      <c r="X25" s="238">
        <v>37.4</v>
      </c>
      <c r="AB25" s="236">
        <v>1</v>
      </c>
      <c r="AC25" s="236">
        <v>2</v>
      </c>
      <c r="AD25" s="236">
        <v>7</v>
      </c>
      <c r="AE25" s="236">
        <v>2026</v>
      </c>
      <c r="AG25" s="13"/>
      <c r="AH25" s="385"/>
    </row>
    <row r="26" spans="3:34">
      <c r="C26" s="236">
        <v>19</v>
      </c>
      <c r="D26" s="236">
        <v>8</v>
      </c>
      <c r="F26" s="236" t="s">
        <v>627</v>
      </c>
      <c r="G26" s="237">
        <v>46216</v>
      </c>
      <c r="H26" s="236">
        <v>1</v>
      </c>
      <c r="I26" s="236">
        <v>6</v>
      </c>
      <c r="J26" s="236" t="s">
        <v>634</v>
      </c>
      <c r="K26" s="68" t="s">
        <v>635</v>
      </c>
      <c r="L26" s="153">
        <v>10</v>
      </c>
      <c r="M26" s="153">
        <v>0</v>
      </c>
      <c r="N26" s="68" t="s">
        <v>568</v>
      </c>
      <c r="O26" s="236">
        <v>2</v>
      </c>
      <c r="P26" s="236">
        <v>1</v>
      </c>
      <c r="T26" s="238">
        <v>2.89</v>
      </c>
      <c r="U26" s="238">
        <v>2.89</v>
      </c>
      <c r="V26" s="238">
        <v>2.89</v>
      </c>
      <c r="W26" s="238">
        <v>0</v>
      </c>
      <c r="X26" s="238">
        <v>28.9</v>
      </c>
      <c r="AB26" s="236">
        <v>1</v>
      </c>
      <c r="AC26" s="236">
        <v>2</v>
      </c>
      <c r="AD26" s="236">
        <v>7</v>
      </c>
      <c r="AE26" s="236">
        <v>2026</v>
      </c>
      <c r="AG26" s="13"/>
      <c r="AH26" s="385"/>
    </row>
    <row r="27" spans="3:34">
      <c r="C27" s="236">
        <v>20</v>
      </c>
      <c r="D27" s="236">
        <v>8</v>
      </c>
      <c r="F27" s="236" t="s">
        <v>627</v>
      </c>
      <c r="G27" s="237">
        <v>46216</v>
      </c>
      <c r="H27" s="236">
        <v>1</v>
      </c>
      <c r="I27" s="236">
        <v>7</v>
      </c>
      <c r="J27" s="236" t="s">
        <v>637</v>
      </c>
      <c r="K27" s="68" t="s">
        <v>638</v>
      </c>
      <c r="L27" s="153">
        <v>10</v>
      </c>
      <c r="M27" s="153">
        <v>0</v>
      </c>
      <c r="N27" s="68" t="s">
        <v>568</v>
      </c>
      <c r="O27" s="236">
        <v>2</v>
      </c>
      <c r="P27" s="236">
        <v>1</v>
      </c>
      <c r="T27" s="238">
        <v>1.79</v>
      </c>
      <c r="U27" s="238">
        <v>1.79</v>
      </c>
      <c r="V27" s="238">
        <v>1.79</v>
      </c>
      <c r="W27" s="238">
        <v>0</v>
      </c>
      <c r="X27" s="238">
        <v>17.899999999999999</v>
      </c>
      <c r="AB27" s="236">
        <v>1</v>
      </c>
      <c r="AC27" s="236">
        <v>2</v>
      </c>
      <c r="AD27" s="236">
        <v>7</v>
      </c>
      <c r="AE27" s="236">
        <v>2026</v>
      </c>
      <c r="AG27" s="13"/>
      <c r="AH27" s="385"/>
    </row>
    <row r="28" spans="3:34">
      <c r="C28" s="236">
        <v>21</v>
      </c>
      <c r="D28" s="236">
        <v>8</v>
      </c>
      <c r="F28" s="236" t="s">
        <v>627</v>
      </c>
      <c r="G28" s="237">
        <v>46216</v>
      </c>
      <c r="H28" s="236">
        <v>1</v>
      </c>
      <c r="I28" s="236">
        <v>8</v>
      </c>
      <c r="J28" s="236" t="s">
        <v>640</v>
      </c>
      <c r="K28" s="68" t="s">
        <v>641</v>
      </c>
      <c r="L28" s="153">
        <v>10</v>
      </c>
      <c r="M28" s="153">
        <v>0</v>
      </c>
      <c r="N28" s="68" t="s">
        <v>568</v>
      </c>
      <c r="O28" s="236">
        <v>2</v>
      </c>
      <c r="P28" s="236">
        <v>1</v>
      </c>
      <c r="T28" s="238">
        <v>1.32</v>
      </c>
      <c r="U28" s="238">
        <v>1.32</v>
      </c>
      <c r="V28" s="238">
        <v>1.32</v>
      </c>
      <c r="W28" s="238">
        <v>0</v>
      </c>
      <c r="X28" s="238">
        <v>13.2</v>
      </c>
      <c r="AB28" s="236">
        <v>1</v>
      </c>
      <c r="AC28" s="236">
        <v>2</v>
      </c>
      <c r="AD28" s="236">
        <v>7</v>
      </c>
      <c r="AE28" s="236">
        <v>2026</v>
      </c>
      <c r="AG28" s="13"/>
      <c r="AH28" s="385"/>
    </row>
    <row r="29" spans="3:34">
      <c r="C29" s="236">
        <v>22</v>
      </c>
      <c r="D29" s="236">
        <v>8</v>
      </c>
      <c r="F29" s="236" t="s">
        <v>627</v>
      </c>
      <c r="G29" s="237">
        <v>46216</v>
      </c>
      <c r="H29" s="236">
        <v>1</v>
      </c>
      <c r="I29" s="236">
        <v>9</v>
      </c>
      <c r="J29" s="236" t="s">
        <v>643</v>
      </c>
      <c r="K29" s="68" t="s">
        <v>644</v>
      </c>
      <c r="L29" s="153">
        <v>10</v>
      </c>
      <c r="M29" s="153">
        <v>0</v>
      </c>
      <c r="N29" s="68" t="s">
        <v>568</v>
      </c>
      <c r="O29" s="236">
        <v>2</v>
      </c>
      <c r="P29" s="236">
        <v>1</v>
      </c>
      <c r="T29" s="238">
        <v>1.1499999999999999</v>
      </c>
      <c r="U29" s="238">
        <v>1.1499999999999999</v>
      </c>
      <c r="V29" s="238">
        <v>1.1499999999999999</v>
      </c>
      <c r="W29" s="238">
        <v>0</v>
      </c>
      <c r="X29" s="238">
        <v>11.5</v>
      </c>
      <c r="AB29" s="236">
        <v>1</v>
      </c>
      <c r="AC29" s="236">
        <v>2</v>
      </c>
      <c r="AD29" s="236">
        <v>7</v>
      </c>
      <c r="AE29" s="236">
        <v>2026</v>
      </c>
      <c r="AG29" s="13"/>
      <c r="AH29" s="385"/>
    </row>
    <row r="30" spans="3:34">
      <c r="C30" s="236">
        <v>23</v>
      </c>
      <c r="D30" s="236">
        <v>8</v>
      </c>
      <c r="F30" s="236" t="s">
        <v>627</v>
      </c>
      <c r="G30" s="237">
        <v>46216</v>
      </c>
      <c r="H30" s="236">
        <v>1</v>
      </c>
      <c r="I30" s="236">
        <v>10</v>
      </c>
      <c r="J30" s="236" t="s">
        <v>646</v>
      </c>
      <c r="K30" s="68" t="s">
        <v>647</v>
      </c>
      <c r="L30" s="153">
        <v>10</v>
      </c>
      <c r="M30" s="153">
        <v>0</v>
      </c>
      <c r="N30" s="68" t="s">
        <v>568</v>
      </c>
      <c r="O30" s="236">
        <v>2</v>
      </c>
      <c r="P30" s="236">
        <v>1</v>
      </c>
      <c r="T30" s="238">
        <v>14.85</v>
      </c>
      <c r="U30" s="238">
        <v>14.85</v>
      </c>
      <c r="V30" s="238">
        <v>14.85</v>
      </c>
      <c r="W30" s="238">
        <v>0</v>
      </c>
      <c r="X30" s="238">
        <v>148.5</v>
      </c>
      <c r="AB30" s="236">
        <v>1</v>
      </c>
      <c r="AC30" s="236">
        <v>2</v>
      </c>
      <c r="AD30" s="236">
        <v>7</v>
      </c>
      <c r="AE30" s="236">
        <v>2026</v>
      </c>
      <c r="AG30" s="13"/>
      <c r="AH30" s="382"/>
    </row>
    <row r="31" spans="3:34">
      <c r="AG31" s="13"/>
      <c r="AH31" s="382"/>
    </row>
    <row r="32" spans="3:34">
      <c r="AG32" s="13"/>
      <c r="AH32" s="382"/>
    </row>
    <row r="33" spans="33:34">
      <c r="AG33" s="13"/>
      <c r="AH33" s="382"/>
    </row>
    <row r="34" spans="33:34">
      <c r="AG34" s="13"/>
      <c r="AH34" s="382"/>
    </row>
    <row r="35" spans="33:34">
      <c r="AG35" s="13"/>
      <c r="AH35" s="382"/>
    </row>
    <row r="36" spans="33:34">
      <c r="AG36" s="13"/>
      <c r="AH36" s="38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44"/>
      <c r="Q4" s="444"/>
      <c r="R4" s="444"/>
      <c r="S4" s="444"/>
      <c r="T4" s="444"/>
      <c r="U4" s="444"/>
      <c r="V4" s="444"/>
      <c r="W4" s="444"/>
      <c r="X4" s="444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448" t="str">
        <f ca="1">""&amp;I9&amp;""</f>
        <v>STCI21-0001</v>
      </c>
      <c r="I6" s="448"/>
      <c r="AB6" s="37" t="str">
        <f>MID(K13,8,8)</f>
        <v/>
      </c>
      <c r="AD6" s="47"/>
    </row>
    <row r="7" spans="1:30" ht="13.5" customHeight="1">
      <c r="A7" s="12"/>
      <c r="E7" s="45"/>
      <c r="H7" s="448"/>
      <c r="I7" s="448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433"/>
      <c r="C9" s="433"/>
      <c r="E9" s="53"/>
      <c r="F9" s="54"/>
      <c r="H9" s="104" t="s">
        <v>46</v>
      </c>
      <c r="I9" s="434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435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436" t="s">
        <v>48</v>
      </c>
      <c r="C11" s="436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449">
        <v>44308</v>
      </c>
      <c r="O11" s="449"/>
      <c r="P11" s="449"/>
      <c r="Q11" s="449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445"/>
      <c r="C12" s="446"/>
      <c r="D12" s="447"/>
      <c r="E12" s="53"/>
      <c r="F12" s="54"/>
      <c r="H12" s="125" t="s">
        <v>50</v>
      </c>
      <c r="I12" s="57"/>
      <c r="K12" t="s">
        <v>51</v>
      </c>
      <c r="N12" s="450">
        <v>4048</v>
      </c>
      <c r="O12" s="450"/>
      <c r="P12" s="450"/>
      <c r="Q12" s="450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437"/>
      <c r="E15" s="437"/>
      <c r="F15" s="437"/>
      <c r="G15" s="437"/>
      <c r="H15" s="437"/>
      <c r="I15" s="21"/>
      <c r="J15" s="58"/>
      <c r="K15" s="13"/>
      <c r="L15" s="412" t="e">
        <f>IF(Customer_TIN_Area="","",Customer_TIN_Area)</f>
        <v>#NAME?</v>
      </c>
      <c r="M15" s="413"/>
      <c r="N15" s="413"/>
      <c r="O15" s="413"/>
      <c r="P15" s="413"/>
      <c r="Q15" s="413"/>
      <c r="R15" s="413"/>
      <c r="S15" s="413"/>
      <c r="T15" s="413"/>
      <c r="U15" s="413"/>
      <c r="V15" s="413"/>
      <c r="W15" s="413"/>
      <c r="X15" s="414"/>
    </row>
    <row r="16" spans="1:30">
      <c r="A16" s="58"/>
      <c r="B16" s="18" t="s">
        <v>56</v>
      </c>
      <c r="C16" s="61"/>
      <c r="D16" s="438"/>
      <c r="E16" s="438"/>
      <c r="F16" s="438"/>
      <c r="G16" s="438"/>
      <c r="H16" s="438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439"/>
      <c r="E17" s="440"/>
      <c r="F17" s="440"/>
      <c r="G17" s="440"/>
      <c r="H17" s="440"/>
      <c r="I17" s="21"/>
      <c r="J17" s="58"/>
      <c r="L17" s="37"/>
      <c r="M17" s="37"/>
      <c r="O17" s="38" t="s">
        <v>61</v>
      </c>
      <c r="P17" s="415"/>
      <c r="Q17" s="415"/>
      <c r="R17" s="415"/>
      <c r="S17" s="415"/>
      <c r="T17" s="415"/>
      <c r="U17" s="415"/>
      <c r="V17" s="415"/>
      <c r="W17" s="415"/>
      <c r="X17" s="415"/>
    </row>
    <row r="18" spans="1:29">
      <c r="A18" s="58"/>
      <c r="B18" s="18" t="s">
        <v>62</v>
      </c>
      <c r="C18" s="61"/>
      <c r="D18" s="441"/>
      <c r="E18" s="441"/>
      <c r="F18" s="441"/>
      <c r="G18" s="441"/>
      <c r="H18" s="441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442"/>
      <c r="G19" s="440"/>
      <c r="H19" s="440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442"/>
      <c r="G20" s="440"/>
      <c r="H20" s="440"/>
      <c r="I20" s="16"/>
      <c r="J20" s="5"/>
      <c r="K20" s="5"/>
    </row>
    <row r="21" spans="1:29" ht="32.85" customHeight="1" thickBot="1">
      <c r="A21" s="5"/>
      <c r="B21" s="430" t="s">
        <v>67</v>
      </c>
      <c r="C21" s="431"/>
      <c r="D21" s="443" t="e">
        <f>L15</f>
        <v>#NAME?</v>
      </c>
      <c r="E21" s="443"/>
      <c r="F21" s="443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432" t="s">
        <v>75</v>
      </c>
      <c r="D25" s="432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409" t="s">
        <v>76</v>
      </c>
      <c r="D26" s="409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410"/>
      <c r="D27" s="410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410"/>
      <c r="D28" s="410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410"/>
      <c r="D29" s="410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411"/>
      <c r="D30" s="411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411"/>
      <c r="D31" s="411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411"/>
      <c r="D32" s="411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11"/>
      <c r="D33" s="411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11"/>
      <c r="D34" s="411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11"/>
      <c r="D35" s="411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427"/>
      <c r="D36" s="427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428" t="s">
        <v>78</v>
      </c>
      <c r="C37" s="429"/>
      <c r="D37" s="71" t="str">
        <f>SpellNumber(H37)</f>
        <v>Fifty Two US Dollars and Eighty  Cents</v>
      </c>
      <c r="E37" s="22"/>
      <c r="F37" s="19"/>
      <c r="G37" s="114" t="s">
        <v>79</v>
      </c>
      <c r="H37" s="423">
        <f>SUM(H25:H36)</f>
        <v>52.8</v>
      </c>
      <c r="I37" s="425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424"/>
      <c r="I38" s="426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416" t="s">
        <v>83</v>
      </c>
      <c r="C44" s="417"/>
      <c r="D44" s="417"/>
      <c r="E44" s="417"/>
      <c r="F44" s="417"/>
      <c r="G44" s="417"/>
      <c r="H44" s="417"/>
      <c r="I44" s="418"/>
    </row>
    <row r="45" spans="2:29" ht="24" thickBot="1">
      <c r="B45" s="419" t="s">
        <v>84</v>
      </c>
      <c r="C45" s="420"/>
      <c r="D45" s="420"/>
      <c r="E45" s="420"/>
      <c r="F45" s="420"/>
      <c r="G45" s="420"/>
      <c r="H45" s="420"/>
      <c r="I45" s="421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422"/>
      <c r="C48" s="422"/>
      <c r="D48" s="422"/>
      <c r="E48" s="422"/>
      <c r="F48" s="6"/>
      <c r="G48" s="422"/>
      <c r="H48" s="422"/>
      <c r="I48" s="422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459" t="s">
        <v>460</v>
      </c>
      <c r="C2" s="459"/>
      <c r="D2" s="459"/>
      <c r="E2" s="459"/>
      <c r="F2" s="459"/>
      <c r="G2" s="459"/>
      <c r="H2" s="459"/>
      <c r="I2" s="459"/>
      <c r="AB2" s="37" t="str">
        <f ca="1">MID(K12,8,8)</f>
        <v/>
      </c>
      <c r="AD2" s="47"/>
    </row>
    <row r="3" spans="1:30" ht="29.25" thickBot="1">
      <c r="A3" s="36"/>
      <c r="B3" s="460" t="e">
        <f>company_name_en</f>
        <v>#NAME?</v>
      </c>
      <c r="C3" s="460"/>
      <c r="D3" s="460"/>
      <c r="E3" s="460"/>
      <c r="F3" s="460"/>
      <c r="G3" s="460"/>
      <c r="H3" s="460"/>
      <c r="I3" s="460"/>
      <c r="AD3" s="47"/>
    </row>
    <row r="4" spans="1:30" ht="15.75" thickBot="1">
      <c r="A4" s="36"/>
      <c r="B4" s="461" t="s">
        <v>459</v>
      </c>
      <c r="C4" s="461"/>
      <c r="D4" s="461"/>
      <c r="E4" s="461"/>
      <c r="F4" s="461"/>
      <c r="G4" s="461"/>
      <c r="H4" s="461"/>
      <c r="I4" s="461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461" t="e">
        <f>Address_ENG</f>
        <v>#NAME?</v>
      </c>
      <c r="C5" s="461"/>
      <c r="D5" s="461"/>
      <c r="E5" s="461"/>
      <c r="F5" s="461"/>
      <c r="G5" s="461"/>
      <c r="H5" s="461"/>
      <c r="I5" s="461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461" t="e">
        <f>c_phone_email</f>
        <v>#NAME?</v>
      </c>
      <c r="C6" s="461"/>
      <c r="D6" s="461"/>
      <c r="E6" s="461"/>
      <c r="F6" s="461"/>
      <c r="G6" s="461"/>
      <c r="H6" s="461"/>
      <c r="I6" s="46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451" t="s">
        <v>86</v>
      </c>
      <c r="C7" s="451"/>
      <c r="D7" s="451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448" t="str">
        <f ca="1">""&amp;I12&amp;""</f>
        <v>STCI00-0003</v>
      </c>
      <c r="I9" s="448"/>
      <c r="AB9" s="37" t="str">
        <f>MID(K16,8,8)</f>
        <v/>
      </c>
      <c r="AD9" s="47"/>
    </row>
    <row r="10" spans="1:30" ht="21.6" customHeight="1">
      <c r="A10" s="12"/>
      <c r="E10" s="45"/>
      <c r="H10" s="448"/>
      <c r="I10" s="448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433"/>
      <c r="C12" s="433"/>
      <c r="E12" s="53"/>
      <c r="F12" s="54"/>
      <c r="H12" s="104" t="s">
        <v>46</v>
      </c>
      <c r="I12" s="434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435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436" t="s">
        <v>48</v>
      </c>
      <c r="C14" s="436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449"/>
      <c r="O14" s="449"/>
      <c r="P14" s="449"/>
      <c r="Q14" s="449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445"/>
      <c r="C15" s="446"/>
      <c r="D15" s="447"/>
      <c r="E15" s="53"/>
      <c r="F15" s="54"/>
      <c r="H15" s="56" t="s">
        <v>21</v>
      </c>
      <c r="I15" s="57"/>
      <c r="K15" t="s">
        <v>51</v>
      </c>
      <c r="N15" s="450"/>
      <c r="O15" s="450"/>
      <c r="P15" s="450"/>
      <c r="Q15" s="450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437"/>
      <c r="E18" s="437"/>
      <c r="F18" s="437"/>
      <c r="G18" s="437"/>
      <c r="H18" s="437"/>
      <c r="I18" s="21"/>
      <c r="J18" s="58"/>
      <c r="K18" s="13"/>
      <c r="L18" s="412" t="str">
        <f>IF(Customer_TIN_Area="","",Customer_TIN_Area)</f>
        <v/>
      </c>
      <c r="M18" s="413"/>
      <c r="N18" s="413"/>
      <c r="O18" s="413"/>
      <c r="P18" s="413"/>
      <c r="Q18" s="413"/>
      <c r="R18" s="413"/>
      <c r="S18" s="413"/>
      <c r="T18" s="413"/>
      <c r="U18" s="413"/>
      <c r="V18" s="413"/>
      <c r="W18" s="413"/>
      <c r="X18" s="414"/>
    </row>
    <row r="19" spans="1:29">
      <c r="A19" s="58"/>
      <c r="B19" s="18" t="s">
        <v>88</v>
      </c>
      <c r="C19" s="61"/>
      <c r="D19" s="438"/>
      <c r="E19" s="438"/>
      <c r="F19" s="438"/>
      <c r="G19" s="438"/>
      <c r="H19" s="438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439"/>
      <c r="E20" s="440"/>
      <c r="F20" s="440"/>
      <c r="G20" s="440"/>
      <c r="H20" s="440"/>
      <c r="I20" s="21"/>
      <c r="J20" s="58"/>
      <c r="L20" s="37"/>
      <c r="M20" s="37"/>
      <c r="O20" s="38" t="s">
        <v>61</v>
      </c>
      <c r="P20" s="415"/>
      <c r="Q20" s="415"/>
      <c r="R20" s="415"/>
      <c r="S20" s="415"/>
      <c r="T20" s="415"/>
      <c r="U20" s="415"/>
      <c r="V20" s="415"/>
      <c r="W20" s="415"/>
      <c r="X20" s="415"/>
    </row>
    <row r="21" spans="1:29">
      <c r="A21" s="58"/>
      <c r="B21" s="18" t="s">
        <v>7</v>
      </c>
      <c r="C21" s="61"/>
      <c r="D21" s="441"/>
      <c r="E21" s="441"/>
      <c r="F21" s="441"/>
      <c r="G21" s="441"/>
      <c r="H21" s="441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442"/>
      <c r="G22" s="440"/>
      <c r="H22" s="440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442"/>
      <c r="G23" s="440"/>
      <c r="H23" s="440"/>
      <c r="I23" s="16"/>
      <c r="J23" s="5"/>
      <c r="K23" s="5"/>
    </row>
    <row r="24" spans="1:29" ht="32.85" customHeight="1" thickBot="1">
      <c r="A24" s="5"/>
      <c r="B24" s="430" t="s">
        <v>90</v>
      </c>
      <c r="C24" s="431"/>
      <c r="D24" s="443" t="str">
        <f>L18</f>
        <v/>
      </c>
      <c r="E24" s="443"/>
      <c r="F24" s="443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432"/>
      <c r="D28" s="432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409"/>
      <c r="D29" s="409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458"/>
      <c r="D30" s="458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409"/>
      <c r="D31" s="409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410"/>
      <c r="D32" s="410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411"/>
      <c r="D33" s="411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411"/>
      <c r="D34" s="411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411"/>
      <c r="D35" s="411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411"/>
      <c r="D36" s="411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411"/>
      <c r="D37" s="411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411"/>
      <c r="D38" s="411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427"/>
      <c r="D39" s="427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428" t="s">
        <v>78</v>
      </c>
      <c r="C40" s="429"/>
      <c r="D40" s="71" t="str">
        <f>SpellNumber(H40)</f>
        <v>Zero US Dollars and Zero Cents</v>
      </c>
      <c r="E40" s="22"/>
      <c r="F40" s="19"/>
      <c r="G40" s="114" t="s">
        <v>79</v>
      </c>
      <c r="H40" s="423">
        <f>SUM(H28:H39)</f>
        <v>0</v>
      </c>
      <c r="I40" s="425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424"/>
      <c r="I41" s="426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452" t="s">
        <v>92</v>
      </c>
      <c r="C47" s="453"/>
      <c r="D47" s="453"/>
      <c r="E47" s="453"/>
      <c r="F47" s="453"/>
      <c r="G47" s="453"/>
      <c r="H47" s="453"/>
      <c r="I47" s="454"/>
    </row>
    <row r="48" spans="2:29" ht="24" thickBot="1">
      <c r="B48" s="455" t="s">
        <v>93</v>
      </c>
      <c r="C48" s="456"/>
      <c r="D48" s="456"/>
      <c r="E48" s="456"/>
      <c r="F48" s="456"/>
      <c r="G48" s="456"/>
      <c r="H48" s="456"/>
      <c r="I48" s="457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422"/>
      <c r="C51" s="422"/>
      <c r="D51" s="422"/>
      <c r="E51" s="422"/>
      <c r="F51" s="6"/>
      <c r="G51" s="422"/>
      <c r="H51" s="422"/>
      <c r="I51" s="422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27BC1BA-2931-412A-BFCF-F6C2AD0824D0}">
  <ds:schemaRefs/>
</ds:datastoreItem>
</file>

<file path=customXml/itemProps2.xml><?xml version="1.0" encoding="utf-8"?>
<ds:datastoreItem xmlns:ds="http://schemas.openxmlformats.org/officeDocument/2006/customXml" ds:itemID="{ADC146D0-807C-44AA-9A06-51FA38B5E60F}">
  <ds:schemaRefs/>
</ds:datastoreItem>
</file>

<file path=customXml/itemProps3.xml><?xml version="1.0" encoding="utf-8"?>
<ds:datastoreItem xmlns:ds="http://schemas.openxmlformats.org/officeDocument/2006/customXml" ds:itemID="{9F1C1C28-804A-470D-AF23-AD4F525D009C}">
  <ds:schemaRefs/>
</ds:datastoreItem>
</file>

<file path=customXml/itemProps4.xml><?xml version="1.0" encoding="utf-8"?>
<ds:datastoreItem xmlns:ds="http://schemas.openxmlformats.org/officeDocument/2006/customXml" ds:itemID="{D935AE82-1B4A-455F-9B26-99DAC6F8924F}">
  <ds:schemaRefs/>
</ds:datastoreItem>
</file>

<file path=customXml/itemProps5.xml><?xml version="1.0" encoding="utf-8"?>
<ds:datastoreItem xmlns:ds="http://schemas.openxmlformats.org/officeDocument/2006/customXml" ds:itemID="{63AAF10D-7B32-4C1D-A7E1-FA34FE2DB930}">
  <ds:schemaRefs/>
</ds:datastoreItem>
</file>

<file path=customXml/itemProps6.xml><?xml version="1.0" encoding="utf-8"?>
<ds:datastoreItem xmlns:ds="http://schemas.openxmlformats.org/officeDocument/2006/customXml" ds:itemID="{947775C8-8CE1-4CBD-8AA9-A1130A8DEA62}">
  <ds:schemaRefs/>
</ds:datastoreItem>
</file>

<file path=customXml/itemProps7.xml><?xml version="1.0" encoding="utf-8"?>
<ds:datastoreItem xmlns:ds="http://schemas.openxmlformats.org/officeDocument/2006/customXml" ds:itemID="{B356839B-70F8-494A-9CF4-FDC049176615}">
  <ds:schemaRefs/>
</ds:datastoreItem>
</file>

<file path=customXml/itemProps8.xml><?xml version="1.0" encoding="utf-8"?>
<ds:datastoreItem xmlns:ds="http://schemas.openxmlformats.org/officeDocument/2006/customXml" ds:itemID="{FDB041EB-1959-4AD0-95DE-CB9C39E33A8B}">
  <ds:schemaRefs/>
</ds:datastoreItem>
</file>

<file path=customXml/itemProps9.xml><?xml version="1.0" encoding="utf-8"?>
<ds:datastoreItem xmlns:ds="http://schemas.openxmlformats.org/officeDocument/2006/customXml" ds:itemID="{ABDB64DC-B77C-4A37-A752-35B6708AB56D}">
  <ds:schemaRefs/>
</ds:datastoreItem>
</file>

<file path=customXml/itemProps10.xml><?xml version="1.0" encoding="utf-8"?>
<ds:datastoreItem xmlns:ds="http://schemas.openxmlformats.org/officeDocument/2006/customXml" ds:itemID="{0720D362-99FC-4441-9DB2-A831ADAF562C}">
  <ds:schemaRefs/>
</ds:datastoreItem>
</file>

<file path=customXml/itemProps11.xml><?xml version="1.0" encoding="utf-8"?>
<ds:datastoreItem xmlns:ds="http://schemas.openxmlformats.org/officeDocument/2006/customXml" ds:itemID="{83BF0940-419E-4063-A803-9DD17FFE76FF}">
  <ds:schemaRefs/>
</ds:datastoreItem>
</file>

<file path=customXml/itemProps12.xml><?xml version="1.0" encoding="utf-8"?>
<ds:datastoreItem xmlns:ds="http://schemas.openxmlformats.org/officeDocument/2006/customXml" ds:itemID="{E9512B52-1531-46F8-86D4-273E91CDD994}">
  <ds:schemaRefs/>
</ds:datastoreItem>
</file>

<file path=customXml/itemProps13.xml><?xml version="1.0" encoding="utf-8"?>
<ds:datastoreItem xmlns:ds="http://schemas.openxmlformats.org/officeDocument/2006/customXml" ds:itemID="{17649CE1-4875-4997-835F-0FAC38650A09}">
  <ds:schemaRefs/>
</ds:datastoreItem>
</file>

<file path=customXml/itemProps14.xml><?xml version="1.0" encoding="utf-8"?>
<ds:datastoreItem xmlns:ds="http://schemas.openxmlformats.org/officeDocument/2006/customXml" ds:itemID="{B83D4DC2-D1A8-498E-AA5D-F730A26DD6B3}">
  <ds:schemaRefs/>
</ds:datastoreItem>
</file>

<file path=customXml/itemProps15.xml><?xml version="1.0" encoding="utf-8"?>
<ds:datastoreItem xmlns:ds="http://schemas.openxmlformats.org/officeDocument/2006/customXml" ds:itemID="{19A478B7-3E01-47D0-B259-A00B708B2C5A}">
  <ds:schemaRefs/>
</ds:datastoreItem>
</file>

<file path=customXml/itemProps16.xml><?xml version="1.0" encoding="utf-8"?>
<ds:datastoreItem xmlns:ds="http://schemas.openxmlformats.org/officeDocument/2006/customXml" ds:itemID="{267CAF88-E639-45A1-8BA9-EC131FA570FE}">
  <ds:schemaRefs/>
</ds:datastoreItem>
</file>

<file path=customXml/itemProps17.xml><?xml version="1.0" encoding="utf-8"?>
<ds:datastoreItem xmlns:ds="http://schemas.openxmlformats.org/officeDocument/2006/customXml" ds:itemID="{68794EC4-9672-462A-A0E1-370C073B0A2D}">
  <ds:schemaRefs/>
</ds:datastoreItem>
</file>

<file path=customXml/itemProps18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29</vt:i4>
      </vt:variant>
    </vt:vector>
  </HeadingPairs>
  <TitlesOfParts>
    <vt:vector size="57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2026-06-19T03:54:29Z</cp:lastPrinted>
  <dcterms:created xsi:type="dcterms:W3CDTF">2019-10-05T07:51:15Z</dcterms:created>
  <dcterms:modified xsi:type="dcterms:W3CDTF">2026-07-13T10:22:01Z</dcterms:modified>
  <cp:category/>
  <cp:contentStatus/>
</cp:coreProperties>
</file>