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2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3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1_Documents\1_Companies\ks_system\database\"/>
    </mc:Choice>
  </mc:AlternateContent>
  <xr:revisionPtr revIDLastSave="0" documentId="13_ncr:1_{42C5ED93-2538-4816-9567-E67166B1D2CC}" xr6:coauthVersionLast="47" xr6:coauthVersionMax="47" xr10:uidLastSave="{00000000-0000-0000-0000-000000000000}"/>
  <bookViews>
    <workbookView xWindow="-120" yWindow="-120" windowWidth="29040" windowHeight="15720" tabRatio="915" firstSheet="1" activeTab="1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InventoryValuation" sheetId="822" r:id="rId4"/>
    <sheet name="PaidToVendor" sheetId="829" r:id="rId5"/>
    <sheet name="SalesInvoiceReceipt" sheetId="820" r:id="rId6"/>
    <sheet name="ReceivePayment" sheetId="818" r:id="rId7"/>
    <sheet name="ReceivePaymentDetail" sheetId="819" r:id="rId8"/>
    <sheet name="GeneralLedger" sheetId="815" r:id="rId9"/>
    <sheet name="GeneralLedgerDetail" sheetId="816" r:id="rId10"/>
    <sheet name="SaleInvoiceData" sheetId="509" r:id="rId11"/>
    <sheet name="SalesByItemData" sheetId="233" r:id="rId12"/>
    <sheet name="InvAdjData" sheetId="720" r:id="rId13"/>
    <sheet name="InvAdjDetailData" sheetId="216" r:id="rId14"/>
    <sheet name="1_group_totals" sheetId="807" r:id="rId15"/>
    <sheet name="1_group_total_details" sheetId="808" r:id="rId16"/>
    <sheet name="inventories" sheetId="721" r:id="rId17"/>
    <sheet name="1_inventory_totals" sheetId="722" r:id="rId18"/>
    <sheet name="1_inventory_total_details" sheetId="776" r:id="rId19"/>
    <sheet name="2_inventory_totals" sheetId="835" r:id="rId20"/>
    <sheet name="2_inventory_total_details" sheetId="832" r:id="rId21"/>
    <sheet name="QuoteData" sheetId="789" r:id="rId22"/>
    <sheet name="QuoteDetailData" sheetId="790" r:id="rId23"/>
    <sheet name="QuoteServiceData" sheetId="791" r:id="rId24"/>
    <sheet name="PurchaseBill" sheetId="792" r:id="rId25"/>
    <sheet name="PurchaseBillDetail" sheetId="793" r:id="rId26"/>
    <sheet name="(1 )" sheetId="24" state="hidden" r:id="rId27"/>
    <sheet name="( 3)" sheetId="26" state="hidden" r:id="rId28"/>
  </sheets>
  <functionGroups builtInGroupCount="19"/>
  <definedNames>
    <definedName name="_xlnm._FilterDatabase" localSheetId="15" hidden="1">'1_group_total_details'!$C$7:$L$16</definedName>
    <definedName name="_xlnm._FilterDatabase" localSheetId="18" hidden="1">'1_inventory_total_details'!$C$7:$K$7</definedName>
    <definedName name="_xlnm._FilterDatabase" localSheetId="20" hidden="1">'2_inventory_total_details'!$C$7:$K$7</definedName>
    <definedName name="_xlnm._FilterDatabase" localSheetId="9" hidden="1">GeneralLedgerDetail!$C$7:$AD$34</definedName>
    <definedName name="_xlnm._FilterDatabase" localSheetId="12" hidden="1">InvAdjData!$C$7:$L$13</definedName>
    <definedName name="_xlnm._FilterDatabase" localSheetId="13" hidden="1">InvAdjDetailData!$C$7:$AB$630</definedName>
    <definedName name="_xlnm._FilterDatabase" localSheetId="16" hidden="1">inventories!$C$7:$AD$19</definedName>
    <definedName name="_xlnm._FilterDatabase" localSheetId="3" hidden="1">InventoryValuation!$C$7:$AI$34</definedName>
    <definedName name="_xlnm._FilterDatabase" localSheetId="25" hidden="1">PurchaseBillDetail!$C$7:$AE$36</definedName>
    <definedName name="_xlnm._FilterDatabase" localSheetId="22" hidden="1">QuoteDetailData!$C$7:$Z$10</definedName>
    <definedName name="_xlnm._FilterDatabase" localSheetId="10" hidden="1">SaleInvoiceData!$C$7:$AI$894</definedName>
    <definedName name="_xlnm._FilterDatabase" localSheetId="11" hidden="1">SalesByItemData!$C$7:$AB$1509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NOT" hidden="1" xlm="1">#NAME?</definedName>
    <definedName name="_xleta.OR" hidden="1" xlm="1">#NAME?</definedName>
    <definedName name="_xleta.ROUNDUP" hidden="1" xlm="1">#NAME?</definedName>
    <definedName name="_xleta.T" hidden="1" xlm="1">#NAME?</definedName>
    <definedName name="_xleta.VLOOKUP" hidden="1" xlm="1">#NAME?</definedName>
    <definedName name="Customer_Detail" localSheetId="27">'( 3)'!$D$18:$H$21,'( 3)'!$D$22,'( 3)'!$F$22,'( 3)'!$D$23,'( 3)'!$F$23</definedName>
    <definedName name="Customer_TIN_Area" localSheetId="27">'( 3)'!$P$20</definedName>
    <definedName name="data_input_path">FilesSetting!$L$10</definedName>
    <definedName name="database_path">FilesSetting!$L$8</definedName>
    <definedName name="Date" localSheetId="27">'( 3)'!$N$14</definedName>
    <definedName name="Description_Area" localSheetId="27">'( 3)'!$C$28:$G$38</definedName>
    <definedName name="Exchange_Rate" localSheetId="27">'( 3)'!$N$15</definedName>
    <definedName name="inv_adj_data_list">InvAdjData!$C$8:$L$10000</definedName>
    <definedName name="inv_adj_ref_list">InvAdjData!$J$8:$L$10000</definedName>
    <definedName name="invoice_code_option">SaleInvoiceData!$E$8:$E$10000</definedName>
    <definedName name="invoice_detail_list">SalesByItemData!$D$8:$AB$10000</definedName>
    <definedName name="invoice_list">SaleInvoiceData!$C$8:$AI$10000</definedName>
    <definedName name="invoice_list2">SaleInvoiceData!$E$8:$AJ$10000</definedName>
    <definedName name="_xlnm.Print_Area" localSheetId="27">'( 3)'!$B$2:$I$48</definedName>
    <definedName name="_xlnm.Print_Area" localSheetId="26">'(1 )'!$B$2:$I$45</definedName>
    <definedName name="_xlnm.Print_Area" localSheetId="1">Home!$C$1:$F$5</definedName>
    <definedName name="_xlnm.Print_Area" localSheetId="12">InvAdjData!$C$3:$L$108</definedName>
    <definedName name="_xlnm.Print_Area" localSheetId="13">InvAdjDetailData!$C$4:$Q$233</definedName>
    <definedName name="_xlnm.Print_Area" localSheetId="16">inventories!$A$1:$X$1745</definedName>
    <definedName name="_xlnm.Print_Area" localSheetId="10">SaleInvoiceData!$E$3:$AE$894</definedName>
    <definedName name="_xlnm.Print_Titles" localSheetId="12">InvAdjData!$6:$7</definedName>
    <definedName name="_xlnm.Print_Titles" localSheetId="13">InvAdjDetailData!$6:$7</definedName>
    <definedName name="_xlnm.Print_Titles" localSheetId="10">SaleInvoiceData!$3:$7</definedName>
    <definedName name="quote_list">QuoteData!$C$8:$AH$10000</definedName>
    <definedName name="Reference_Area" localSheetId="27">'( 3)'!$B$15</definedName>
    <definedName name="sale_invoice_data_list">SaleInvoiceData!$E$8:$AH$10000</definedName>
    <definedName name="sales_by_item_data_list">SalesByItemData!$H$8:$AA$536</definedName>
    <definedName name="VATRATE" localSheetId="27">'( 3)'!$F$49</definedName>
    <definedName name="VATRATE" localSheetId="26">'(1 )'!$F$46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person_f5e3f3bc-cf35-4122-b028-a1064be3b03c" name="tbl_person" connection="Query - tbl_perso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" i="216" l="1"/>
  <c r="L9" i="836"/>
  <c r="L10" i="836"/>
  <c r="L11" i="836"/>
  <c r="L12" i="836"/>
  <c r="L13" i="836"/>
  <c r="L14" i="836"/>
  <c r="L15" i="836"/>
  <c r="L16" i="836"/>
  <c r="L17" i="836"/>
  <c r="L18" i="836"/>
  <c r="L19" i="836"/>
  <c r="L20" i="836"/>
  <c r="L21" i="836"/>
  <c r="L22" i="836"/>
  <c r="L23" i="836"/>
  <c r="L24" i="836"/>
  <c r="L25" i="836"/>
  <c r="L26" i="836"/>
  <c r="L27" i="836"/>
  <c r="L28" i="836"/>
  <c r="L29" i="836"/>
  <c r="L30" i="836"/>
  <c r="L31" i="836"/>
  <c r="L32" i="836"/>
  <c r="L33" i="836"/>
  <c r="L34" i="836"/>
  <c r="L35" i="836"/>
  <c r="L36" i="836"/>
  <c r="L37" i="836"/>
  <c r="L38" i="836"/>
  <c r="L39" i="836"/>
  <c r="L40" i="836"/>
  <c r="L41" i="836"/>
  <c r="L42" i="836"/>
  <c r="L43" i="836"/>
  <c r="L44" i="836"/>
  <c r="L45" i="836"/>
  <c r="L46" i="836"/>
  <c r="L8" i="836"/>
  <c r="M10" i="836" l="1"/>
  <c r="M20" i="836"/>
  <c r="M25" i="836"/>
  <c r="M34" i="836"/>
  <c r="M43" i="836"/>
  <c r="M16" i="836"/>
  <c r="M40" i="836"/>
  <c r="M15" i="836"/>
  <c r="M27" i="836"/>
  <c r="M37" i="836"/>
  <c r="M12" i="836"/>
  <c r="M22" i="836"/>
  <c r="M24" i="836"/>
  <c r="M33" i="836"/>
  <c r="M44" i="836"/>
  <c r="M18" i="836"/>
  <c r="M32" i="836"/>
  <c r="M42" i="836"/>
  <c r="M11" i="836"/>
  <c r="M17" i="836"/>
  <c r="M23" i="836"/>
  <c r="M31" i="836"/>
  <c r="M39" i="836"/>
  <c r="M9" i="836"/>
  <c r="M21" i="836"/>
  <c r="M30" i="836"/>
  <c r="M36" i="836"/>
  <c r="M46" i="836"/>
  <c r="M13" i="836"/>
  <c r="M26" i="836"/>
  <c r="M38" i="836"/>
  <c r="M14" i="836"/>
  <c r="M29" i="836"/>
  <c r="M41" i="836"/>
  <c r="M8" i="836"/>
  <c r="M19" i="836"/>
  <c r="M28" i="836"/>
  <c r="M35" i="836"/>
  <c r="M45" i="836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AK4" i="509"/>
  <c r="AL4" i="509" s="1"/>
  <c r="AJ5" i="509" s="1"/>
  <c r="AJ4" i="509"/>
  <c r="AK3" i="509"/>
  <c r="I32" i="26" l="1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I9" i="24"/>
  <c r="H6" i="24" s="1"/>
  <c r="AB2" i="26"/>
  <c r="AB1" i="24"/>
  <c r="AB1" i="26"/>
  <c r="D40" i="26"/>
  <c r="D37" i="24"/>
  <c r="I40" i="26" l="1"/>
  <c r="I37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U7" authorId="0" shapeId="0" xr:uid="{2A7C0095-B415-45B9-88B7-59622E6C666D}">
      <text>
        <r>
          <rPr>
            <b/>
            <sz val="9"/>
            <color indexed="81"/>
            <rFont val="Tahoma"/>
            <family val="2"/>
          </rPr>
          <t>1=Void
0=Issued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C7" authorId="0" shapeId="0" xr:uid="{180F0735-83A2-4C89-AADE-5CDB9843FDB0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" authorId="0" shapeId="0" xr:uid="{8F0A9840-1957-4E3A-ADF3-26A9257420E6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7" authorId="0" shapeId="0" xr:uid="{E43F0FB5-B1B7-4409-A5BB-D0650D8ED93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K7" authorId="0" shapeId="0" xr:uid="{CD5BD06F-4F1B-4ACD-8B90-E6DF665D65E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7" authorId="0" shapeId="0" xr:uid="{5CD70EDF-830F-4752-B329-381AF744B3CB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7" authorId="0" shapeId="0" xr:uid="{0D19405C-84C6-4A4C-9DE2-559A89E3D36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T42" authorId="0" shapeId="0" xr:uid="{DADFFDA6-2B73-4A1A-8E18-F480C9E4F8D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3" authorId="0" shapeId="0" xr:uid="{CD1667DF-0A38-406E-AD4B-AA0A6D833F1D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4" authorId="0" shapeId="0" xr:uid="{6EC67037-ED8F-4027-9E62-68A4BF9DA428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  <connection id="2" xr16:uid="{FA321BB5-0288-4B3F-95C9-4FFC40B293F5}" name="Query - tbl_person" description="Connection to the 'tbl_person' query in the workbook." type="100" refreshedVersion="8" minRefreshableVersion="5">
    <extLst>
      <ext xmlns:x15="http://schemas.microsoft.com/office/spreadsheetml/2010/11/main" uri="{DE250136-89BD-433C-8126-D09CA5730AF9}">
        <x15:connection id="7100451b-3435-4847-a8ff-e4860462bcf9"/>
      </ext>
    </extLst>
  </connection>
  <connection id="3" xr16:uid="{CD8795DB-F2AC-430F-9D4D-7E632F181C4A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<sst xmlns="http://schemas.openxmlformats.org/spreadsheetml/2006/main" count="1422" uniqueCount="582">
  <si>
    <t>រូបិយប័ណ្ណ</t>
  </si>
  <si>
    <t>No.</t>
  </si>
  <si>
    <t>Month</t>
  </si>
  <si>
    <t>Exchange Rate</t>
  </si>
  <si>
    <t>UoM</t>
  </si>
  <si>
    <t>Unit</t>
  </si>
  <si>
    <t>03.មីនា</t>
  </si>
  <si>
    <t>Address</t>
  </si>
  <si>
    <t>Unit Price</t>
  </si>
  <si>
    <t>បញ្ចុះតម្លៃ</t>
  </si>
  <si>
    <t>ល.រ</t>
  </si>
  <si>
    <t>Location</t>
  </si>
  <si>
    <t>ឈ្មោះផលិតផល</t>
  </si>
  <si>
    <t>ខ្នាត</t>
  </si>
  <si>
    <t>ថ្លៃដើម</t>
  </si>
  <si>
    <t>សំគាល់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</si>
  <si>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</si>
  <si>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</si>
  <si>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</si>
  <si>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</si>
  <si>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</si>
  <si>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</si>
  <si>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</si>
  <si>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</si>
  <si>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</si>
  <si>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សម្គាល់</t>
  </si>
  <si>
    <t>Week</t>
  </si>
  <si>
    <t>Description</t>
  </si>
  <si>
    <t>Note</t>
  </si>
  <si>
    <t>Invoice No</t>
  </si>
  <si>
    <t>Total Amount</t>
  </si>
  <si>
    <t>Discount</t>
  </si>
  <si>
    <t>Balance</t>
  </si>
  <si>
    <t>តម្លៃសរុប</t>
  </si>
  <si>
    <t>លេខកូដស្តុក</t>
  </si>
  <si>
    <t>Item code</t>
  </si>
  <si>
    <t>Item Description/Service</t>
  </si>
  <si>
    <t>លេខកូដផលិតផល</t>
  </si>
  <si>
    <t>បរិយាយផលិតផល</t>
  </si>
  <si>
    <t>តម្លៃឯកតា</t>
  </si>
  <si>
    <t>Invoice Date</t>
  </si>
  <si>
    <t>ទីតាំងឃ្លាំង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</si>
  <si>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</si>
  <si>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</si>
  <si>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</si>
  <si>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</si>
  <si>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</si>
  <si>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</si>
  <si>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</si>
  <si>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</si>
  <si>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</si>
  <si>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</si>
  <si>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</si>
  <si>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</si>
  <si>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</si>
  <si>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</si>
  <si>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</si>
  <si>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</si>
  <si>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</si>
  <si>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</si>
  <si>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</si>
  <si>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</si>
  <si>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</si>
  <si>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</si>
  <si>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</si>
  <si>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</si>
  <si>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</si>
  <si>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</si>
  <si>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</si>
  <si>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</si>
  <si>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</si>
  <si>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</si>
  <si>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</si>
  <si>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</si>
  <si>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</si>
  <si>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</si>
  <si>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</si>
  <si>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</si>
  <si>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</si>
  <si>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</si>
  <si>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</si>
  <si>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</si>
  <si>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</si>
  <si>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</si>
  <si>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</si>
  <si>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</si>
  <si>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</si>
  <si>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</si>
  <si>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</si>
  <si>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</si>
  <si>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</si>
  <si>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</si>
  <si>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</si>
  <si>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</si>
  <si>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</si>
  <si>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ខែ</t>
  </si>
  <si>
    <t>Ref.Inv.Stock</t>
  </si>
  <si>
    <t>Customer Name</t>
  </si>
  <si>
    <t>Status</t>
  </si>
  <si>
    <t>ឈ្មោះអ្នកផ្គត់ផ្គង់</t>
  </si>
  <si>
    <t>Customer ID</t>
  </si>
  <si>
    <t>លេខអតិថិជន</t>
  </si>
  <si>
    <t>Branch ID</t>
  </si>
  <si>
    <t>Price Type ID</t>
  </si>
  <si>
    <t>Sale ID</t>
  </si>
  <si>
    <t>Sale Name</t>
  </si>
  <si>
    <t>Discount Type ID</t>
  </si>
  <si>
    <t>លេខសាខា</t>
  </si>
  <si>
    <t>ប្រាក់សរុប</t>
  </si>
  <si>
    <t>ស្ថានភាព</t>
  </si>
  <si>
    <t>Location ID</t>
  </si>
  <si>
    <t>Inventory</t>
  </si>
  <si>
    <t>Sales</t>
  </si>
  <si>
    <t>Accounting</t>
  </si>
  <si>
    <t>គណនេយ្យ</t>
  </si>
  <si>
    <t>គ្រប់គ្រងបញ្ជាទិញ</t>
  </si>
  <si>
    <t>គ្រប់គ្រងបញ្ជាលក់</t>
  </si>
  <si>
    <t>Purchasing</t>
  </si>
  <si>
    <t>ស្តុកផលិត</t>
  </si>
  <si>
    <t>ស្តុកលក់</t>
  </si>
  <si>
    <t>ឆ្នាំ</t>
  </si>
  <si>
    <t>Year</t>
  </si>
  <si>
    <t>ស្តុករាប់ជាក់ស្តែង</t>
  </si>
  <si>
    <t>លេខវិក្ក.</t>
  </si>
  <si>
    <t>Branch Id</t>
  </si>
  <si>
    <t>វិក្ក.យោង</t>
  </si>
  <si>
    <t>គ្រប់គ្រងសន្តិធិ</t>
  </si>
  <si>
    <t>មិនទាន់ទូទាត់</t>
  </si>
  <si>
    <t>ទូទាត់រួច</t>
  </si>
  <si>
    <t>បានទូទាត់ខ្លះៗ</t>
  </si>
  <si>
    <t>Item Id</t>
  </si>
  <si>
    <t>លេខផលិ.</t>
  </si>
  <si>
    <t>Inv Adj Id</t>
  </si>
  <si>
    <t>ស្តុកចុងក្រោយ</t>
  </si>
  <si>
    <t>ស្តុកត្រូវបញ្ចូល (+/-)</t>
  </si>
  <si>
    <t>Avg Cost</t>
  </si>
  <si>
    <t>Asset Value</t>
  </si>
  <si>
    <t>តម្លៃទ្រព្យ</t>
  </si>
  <si>
    <t>មធ្យមភាគថ្លៃដើម</t>
  </si>
  <si>
    <t>Id</t>
  </si>
  <si>
    <t>Location Group Id</t>
  </si>
  <si>
    <t>Chart Account ID</t>
  </si>
  <si>
    <t>លេខឃ្លាំង</t>
  </si>
  <si>
    <t>លេខគណនេយ្យ</t>
  </si>
  <si>
    <t>កូដស្តុក</t>
  </si>
  <si>
    <t>Ending Qty</t>
  </si>
  <si>
    <t>Count Qty</t>
  </si>
  <si>
    <t>Adjust Qty (+/-)</t>
  </si>
  <si>
    <t>Reference No.</t>
  </si>
  <si>
    <t>លេខស្តុកយោង</t>
  </si>
  <si>
    <t>កាលបរិឆ្ឆេទ</t>
  </si>
  <si>
    <t>Adjust Date</t>
  </si>
  <si>
    <t>Adj Id</t>
  </si>
  <si>
    <t>Sale Invoice Id</t>
  </si>
  <si>
    <t>POS Id</t>
  </si>
  <si>
    <t>Sales Return Id</t>
  </si>
  <si>
    <t>Purchase Bill Id</t>
  </si>
  <si>
    <t>Purchase Return Id</t>
  </si>
  <si>
    <t>Transfer Order Id</t>
  </si>
  <si>
    <t>type</t>
  </si>
  <si>
    <t>Customer Id</t>
  </si>
  <si>
    <t>Vendor Id</t>
  </si>
  <si>
    <t>Product Id</t>
  </si>
  <si>
    <t>Location Id</t>
  </si>
  <si>
    <t>Total Qty</t>
  </si>
  <si>
    <t>Total Adj</t>
  </si>
  <si>
    <t>Total Pos</t>
  </si>
  <si>
    <t>Total PB</t>
  </si>
  <si>
    <t>Total PR</t>
  </si>
  <si>
    <t>Total SR</t>
  </si>
  <si>
    <t>Total TO In</t>
  </si>
  <si>
    <t>Total TO Out</t>
  </si>
  <si>
    <t>Total SI</t>
  </si>
  <si>
    <t>លេខផលិត.</t>
  </si>
  <si>
    <t>ស្តុកសរុប</t>
  </si>
  <si>
    <t>សន្និធិ</t>
  </si>
  <si>
    <t>ស្តុក POS</t>
  </si>
  <si>
    <t>ស្តុកបញ្ជាទិញ</t>
  </si>
  <si>
    <t>ស្តុកត្រលប់បញ្ជាទិញ</t>
  </si>
  <si>
    <t>ស្តុកលក់ត្រលប់</t>
  </si>
  <si>
    <t>ស្តុកផ្ទេរចូល</t>
  </si>
  <si>
    <t>ស្តុកផ្ទេរចេញ</t>
  </si>
  <si>
    <t>ស្តុកកម្មង់</t>
  </si>
  <si>
    <t>Total Order</t>
  </si>
  <si>
    <t>លរ</t>
  </si>
  <si>
    <t>ប្រភេទ</t>
  </si>
  <si>
    <t>លេខទីតាំង</t>
  </si>
  <si>
    <t>ថ្លៃលក់</t>
  </si>
  <si>
    <t>លេខថ្លៃដើម</t>
  </si>
  <si>
    <t>កូដផលិតផល</t>
  </si>
  <si>
    <t>Item Description</t>
  </si>
  <si>
    <t>Created By</t>
  </si>
  <si>
    <t>អ្នកបញ្ចូល</t>
  </si>
  <si>
    <t>ប្រភេទស្តុក</t>
  </si>
  <si>
    <t>Stock Type</t>
  </si>
  <si>
    <t xml:space="preserve">Stock Type </t>
  </si>
  <si>
    <t>Qty Free</t>
  </si>
  <si>
    <t>Conversion</t>
  </si>
  <si>
    <t>បំបែកខ្នាត</t>
  </si>
  <si>
    <t>Uom Id</t>
  </si>
  <si>
    <t>Invoice ID</t>
  </si>
  <si>
    <t>Total Price</t>
  </si>
  <si>
    <t>Expired Date</t>
  </si>
  <si>
    <t>Created</t>
  </si>
  <si>
    <t>Approved</t>
  </si>
  <si>
    <t>Sub Total</t>
  </si>
  <si>
    <t>Total Deposit</t>
  </si>
  <si>
    <t>Product Code</t>
  </si>
  <si>
    <t>លរ.ផលិត</t>
  </si>
  <si>
    <t>ថ្ងៃបង្កើត</t>
  </si>
  <si>
    <t>Lots Number</t>
  </si>
  <si>
    <t>ថ្ងៃផុតកំណត់</t>
  </si>
  <si>
    <t>លេខឡូ៍</t>
  </si>
  <si>
    <t>កូដផលិត.</t>
  </si>
  <si>
    <t>លេខឡូតិ៍</t>
  </si>
  <si>
    <t xml:space="preserve">Created </t>
  </si>
  <si>
    <t xml:space="preserve">Inv Date </t>
  </si>
  <si>
    <t>2.បញ្ជីវិក្កយប័ត្រ</t>
  </si>
  <si>
    <t>1.បញ្ជីវិក្កយប័ត្រមិនទាន់ទូទាត់រួច</t>
  </si>
  <si>
    <t>Currency Id</t>
  </si>
  <si>
    <t>លេខរូបិយប័ណ្ណ</t>
  </si>
  <si>
    <t>Company Id</t>
  </si>
  <si>
    <t>លេខក្រុមហ៊ុន</t>
  </si>
  <si>
    <t>ប្រភេទតម្លៃ</t>
  </si>
  <si>
    <t>ឃ្លាំង</t>
  </si>
  <si>
    <t>អត្រាប្តូរប្រាក់</t>
  </si>
  <si>
    <t>បង្កើតដោយ</t>
  </si>
  <si>
    <t>Quote Code</t>
  </si>
  <si>
    <t>Quote Date</t>
  </si>
  <si>
    <t>Currency ID</t>
  </si>
  <si>
    <t>Price Type Id</t>
  </si>
  <si>
    <t>Total VAT</t>
  </si>
  <si>
    <t>Vat Percent</t>
  </si>
  <si>
    <t>Vat Setting ID</t>
  </si>
  <si>
    <t>Vat Cal</t>
  </si>
  <si>
    <t>Discount Percent</t>
  </si>
  <si>
    <t>Ship To</t>
  </si>
  <si>
    <t>Approved By</t>
  </si>
  <si>
    <t>Is Close</t>
  </si>
  <si>
    <t>Is Approve</t>
  </si>
  <si>
    <t>Ship Telephone</t>
  </si>
  <si>
    <t>លេខអតិថិ.</t>
  </si>
  <si>
    <t>ឈ្មោះអតិថិ.</t>
  </si>
  <si>
    <t>លេខឃ្វូត</t>
  </si>
  <si>
    <t>ថ្ងៃចេញឃ្វូត</t>
  </si>
  <si>
    <t>អាករសរុប</t>
  </si>
  <si>
    <t>ភាគរយអាករ</t>
  </si>
  <si>
    <t>លេខអាករ</t>
  </si>
  <si>
    <t>អាករគណនា</t>
  </si>
  <si>
    <t>ប្រាក់កក់</t>
  </si>
  <si>
    <t>ដឹកទៅកាន់</t>
  </si>
  <si>
    <t>លេខទីតាំងត្រូវដឹក</t>
  </si>
  <si>
    <t>អនុញ្ញាតដោយ</t>
  </si>
  <si>
    <t>ថ្ងៃអនុញ្ញាត</t>
  </si>
  <si>
    <t>បិទឃ្វូត</t>
  </si>
  <si>
    <t>បានអនុញ្ញាត</t>
  </si>
  <si>
    <t>Quote ID</t>
  </si>
  <si>
    <t>Qty Uom Id</t>
  </si>
  <si>
    <t>Discount Id</t>
  </si>
  <si>
    <t>Discount Amount</t>
  </si>
  <si>
    <t>លេខកូដផលិត.</t>
  </si>
  <si>
    <t>ឈ្មោះផលិត.</t>
  </si>
  <si>
    <t>ឈ្មោះខ្នាត</t>
  </si>
  <si>
    <t>លេខខ្នាត</t>
  </si>
  <si>
    <t>ខ្នាតបំបែក</t>
  </si>
  <si>
    <t>លេខបញ្ចុះតម្លៃ</t>
  </si>
  <si>
    <t>បញ្ចុះតម្លៃ %</t>
  </si>
  <si>
    <t>បញ្ចុះតម្លៃជាប្រាក់</t>
  </si>
  <si>
    <t>ថ្លៃលក់សរុប</t>
  </si>
  <si>
    <t>Quote No.</t>
  </si>
  <si>
    <t>លេខកូដឃ្វូត</t>
  </si>
  <si>
    <t>Total Discount</t>
  </si>
  <si>
    <t>Service Type</t>
  </si>
  <si>
    <t>ប្រភេទសេវា</t>
  </si>
  <si>
    <t>បញ្ចុះតម្លៃសរុប</t>
  </si>
  <si>
    <t>ប្រាក់សរុបរួម</t>
  </si>
  <si>
    <t>បញ្ចុះតម្លៃ%</t>
  </si>
  <si>
    <t>Dis​​ Percent</t>
  </si>
  <si>
    <t>Dis Amount</t>
  </si>
  <si>
    <t>Dis Total Price</t>
  </si>
  <si>
    <t>ប្រាក់បញ្ចុះតម្លៃសរុប</t>
  </si>
  <si>
    <t>សាប៊ូបញ្ចុះតម្លៃ</t>
  </si>
  <si>
    <t>2026</t>
  </si>
  <si>
    <t>Total Balance</t>
  </si>
  <si>
    <t>Vat Setting Id</t>
  </si>
  <si>
    <t>Total Vat</t>
  </si>
  <si>
    <t>Created Date</t>
  </si>
  <si>
    <t>Dis Percent</t>
  </si>
  <si>
    <t>Dis ID</t>
  </si>
  <si>
    <t>Invoice Service ID</t>
  </si>
  <si>
    <t>វិក្ក.សេវា</t>
  </si>
  <si>
    <t>Invoice Type</t>
  </si>
  <si>
    <t>Location Group ID</t>
  </si>
  <si>
    <t>លេខក្រុមទីតាំង</t>
  </si>
  <si>
    <t>Location​ Group Id</t>
  </si>
  <si>
    <t>ទីតាំង</t>
  </si>
  <si>
    <t>id</t>
  </si>
  <si>
    <t>Chart Account Id</t>
  </si>
  <si>
    <t>លេខគណនី</t>
  </si>
  <si>
    <t>sales_invoice_id</t>
  </si>
  <si>
    <t>sales_invoice_receipt_id</t>
  </si>
  <si>
    <t>sale_return_id</t>
  </si>
  <si>
    <t>sale_return_receipt_id</t>
  </si>
  <si>
    <t>purchase_order_id</t>
  </si>
  <si>
    <t>purchase_return_id</t>
  </si>
  <si>
    <t>purchase_return_receipt_id</t>
  </si>
  <si>
    <t>inv_adj_id</t>
  </si>
  <si>
    <t>receive_payment_id</t>
  </si>
  <si>
    <t>pay_bill_id</t>
  </si>
  <si>
    <t>ar_aging_id</t>
  </si>
  <si>
    <t>ap_aging_id</t>
  </si>
  <si>
    <t>apply_to_id</t>
  </si>
  <si>
    <t>landing_cost_id</t>
  </si>
  <si>
    <t>landing_cost_receipt_id</t>
  </si>
  <si>
    <t>other_income_id</t>
  </si>
  <si>
    <t>purchase_receive_result_id</t>
  </si>
  <si>
    <t>receive_from_id</t>
  </si>
  <si>
    <t>receive_from_name</t>
  </si>
  <si>
    <t>date</t>
  </si>
  <si>
    <t>reference</t>
  </si>
  <si>
    <t>total_deposit</t>
  </si>
  <si>
    <t>remark</t>
  </si>
  <si>
    <t>created</t>
  </si>
  <si>
    <t>created_by</t>
  </si>
  <si>
    <t>is_approve</t>
  </si>
  <si>
    <t>is_depreciated</t>
  </si>
  <si>
    <t>is_retained_earnings</t>
  </si>
  <si>
    <t>deposit_type</t>
  </si>
  <si>
    <t>is_active</t>
  </si>
  <si>
    <t>chart_account_id</t>
  </si>
  <si>
    <t>company_id</t>
  </si>
  <si>
    <t>branch_id</t>
  </si>
  <si>
    <t>product_id</t>
  </si>
  <si>
    <t>service_id</t>
  </si>
  <si>
    <t>is_free</t>
  </si>
  <si>
    <t>inventory_valuation_id</t>
  </si>
  <si>
    <t>inventory_valuation_is_debit</t>
  </si>
  <si>
    <t>purchase_receive_id</t>
  </si>
  <si>
    <t>sales_invoice_detail_id</t>
  </si>
  <si>
    <t>sale_return_detail_id</t>
  </si>
  <si>
    <t>customer_id</t>
  </si>
  <si>
    <t>vendor_id</t>
  </si>
  <si>
    <t>employee_id</t>
  </si>
  <si>
    <t>other_id</t>
  </si>
  <si>
    <t>paid_to_vendor_id</t>
  </si>
  <si>
    <t>other_expense_id</t>
  </si>
  <si>
    <t>exchange_rate_id</t>
  </si>
  <si>
    <t>currency_center_id</t>
  </si>
  <si>
    <t>receipt_code</t>
  </si>
  <si>
    <t>amount_us</t>
  </si>
  <si>
    <t>amount_other</t>
  </si>
  <si>
    <t>discount_us</t>
  </si>
  <si>
    <t>discount_percent</t>
  </si>
  <si>
    <t>discount_other</t>
  </si>
  <si>
    <t>total_amount</t>
  </si>
  <si>
    <t>total_amount_other</t>
  </si>
  <si>
    <t>balance</t>
  </si>
  <si>
    <t>balance_other</t>
  </si>
  <si>
    <t>change</t>
  </si>
  <si>
    <t>change_other</t>
  </si>
  <si>
    <t>pay_date</t>
  </si>
  <si>
    <t>due_date</t>
  </si>
  <si>
    <t>is_void</t>
  </si>
  <si>
    <t>cgroup_id</t>
  </si>
  <si>
    <t>deposit_to</t>
  </si>
  <si>
    <t>general_ledger_detail_id</t>
  </si>
  <si>
    <t>amount_due</t>
  </si>
  <si>
    <t>paid</t>
  </si>
  <si>
    <t>paid_other</t>
  </si>
  <si>
    <t>discount</t>
  </si>
  <si>
    <t>week</t>
  </si>
  <si>
    <t>month</t>
  </si>
  <si>
    <t>year</t>
  </si>
  <si>
    <t>Total SI Free</t>
  </si>
  <si>
    <t>Total Pos Free</t>
  </si>
  <si>
    <t>Total SR Free</t>
  </si>
  <si>
    <t>Vat Chart Account Id</t>
  </si>
  <si>
    <t>purchase_order_detail_id</t>
  </si>
  <si>
    <t>point_of_sales_id</t>
  </si>
  <si>
    <t>small_qty</t>
  </si>
  <si>
    <t>qty</t>
  </si>
  <si>
    <t>cost</t>
  </si>
  <si>
    <t>price</t>
  </si>
  <si>
    <t>on_hand</t>
  </si>
  <si>
    <t>on_hand_small</t>
  </si>
  <si>
    <t>avg_cost</t>
  </si>
  <si>
    <t>asset_value</t>
  </si>
  <si>
    <t>date_edited</t>
  </si>
  <si>
    <t>is_refer_gm_id</t>
  </si>
  <si>
    <t>avg_refer</t>
  </si>
  <si>
    <t>is_var_cost</t>
  </si>
  <si>
    <t>is_adjust_value</t>
  </si>
  <si>
    <t>Adjust Code</t>
  </si>
  <si>
    <t>is_sys</t>
  </si>
  <si>
    <t>is_adj</t>
  </si>
  <si>
    <t>Default Cost</t>
  </si>
  <si>
    <t>Payment Term Id</t>
  </si>
  <si>
    <t>លេខលក្ខ័ណទូទាត់</t>
  </si>
  <si>
    <t>Chart Account AR</t>
  </si>
  <si>
    <t>Total Cost</t>
  </si>
  <si>
    <t>Due Date</t>
  </si>
  <si>
    <t>ថ្ងៃបង់ប្រាក់</t>
  </si>
  <si>
    <t>លេខអ្នកផ្គត់ផ្គង់</t>
  </si>
  <si>
    <t>Vendor Name</t>
  </si>
  <si>
    <t>អាត្រាប្តូរប្រាក់</t>
  </si>
  <si>
    <t>PB Code</t>
  </si>
  <si>
    <t>PB  Date</t>
  </si>
  <si>
    <t xml:space="preserve">Chart Account AP </t>
  </si>
  <si>
    <t>យោងបញ្ជាទិញ</t>
  </si>
  <si>
    <t>យោងវិក្កយបត្រ</t>
  </si>
  <si>
    <t>ថ្ងៃយោងវិក្កយបត្រ</t>
  </si>
  <si>
    <t>PR No.</t>
  </si>
  <si>
    <t>Ref# Invoice</t>
  </si>
  <si>
    <t>Ref. Invoice Date</t>
  </si>
  <si>
    <t>Vat Chart Account ID</t>
  </si>
  <si>
    <t>លេខគណនីអតប</t>
  </si>
  <si>
    <t>Is Depsit Reference</t>
  </si>
  <si>
    <t>Is Update Cost</t>
  </si>
  <si>
    <t>សមតុល្យប្រាក់</t>
  </si>
  <si>
    <t>PB ID</t>
  </si>
  <si>
    <t>PB Date</t>
  </si>
  <si>
    <t>New Unit Cost</t>
  </si>
  <si>
    <t>Total Dis Item</t>
  </si>
  <si>
    <t>Lote Number</t>
  </si>
  <si>
    <t>Expired date</t>
  </si>
  <si>
    <t>លេខផុតកំណត់</t>
  </si>
  <si>
    <t>Purchase Receive Id</t>
  </si>
  <si>
    <t>Ref. Goods Receive Note</t>
  </si>
  <si>
    <t>Purchase Receive Result Id</t>
  </si>
  <si>
    <t>លេខ PPR</t>
  </si>
  <si>
    <t>Principal</t>
  </si>
  <si>
    <t>គោលការណ៍</t>
  </si>
  <si>
    <t>លេខទិញ</t>
  </si>
  <si>
    <t>Purhcase Bill Id</t>
  </si>
  <si>
    <t>Exchange Rate Id</t>
  </si>
  <si>
    <t>PV Code</t>
  </si>
  <si>
    <t>Pay Date</t>
  </si>
  <si>
    <t>Is Void</t>
  </si>
  <si>
    <t>លេខអត្រាប្តូរប្រាក់</t>
  </si>
  <si>
    <t>ប្រាក់ទូទាត់ដុល្លា</t>
  </si>
  <si>
    <t>ប្រាក់ទូទាត់រៀល</t>
  </si>
  <si>
    <t>Amount​ Due</t>
  </si>
  <si>
    <t>ប្រាក់ត្រូវបង់</t>
  </si>
  <si>
    <t>Amount Paid ($)</t>
  </si>
  <si>
    <t>Amount Other ( R )</t>
  </si>
  <si>
    <t>បញ្ចុះតម្លៃរៀល</t>
  </si>
  <si>
    <t>Discount (​R)</t>
  </si>
  <si>
    <t>សមតុល្យរៀល</t>
  </si>
  <si>
    <t>Balance (​R)</t>
  </si>
  <si>
    <t>Balance ($)</t>
  </si>
  <si>
    <t>សមតុល្យដុល្លា</t>
  </si>
  <si>
    <t>បញ្ចុះតម្លៃដុល្លា</t>
  </si>
  <si>
    <t>Discount ($)</t>
  </si>
  <si>
    <t>បង់ដោយ</t>
  </si>
  <si>
    <t>Paid To Vendor</t>
  </si>
  <si>
    <t>purchase_receive_detail_id</t>
  </si>
  <si>
    <t>purchase bill detail id</t>
  </si>
  <si>
    <t>ថ្លៃដើមថ្មី</t>
  </si>
  <si>
    <t>លេខឡតិ៍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</si>
  <si>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</si>
  <si>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</si>
  <si>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>General Ledger Detail</t>
  </si>
  <si>
    <t>General Ledger</t>
  </si>
  <si>
    <t>Inventory Valuation</t>
  </si>
  <si>
    <t>Sales Invoice Receipt</t>
  </si>
  <si>
    <t>Receive Payment</t>
  </si>
  <si>
    <t>Receive Payment Detail</t>
  </si>
  <si>
    <t>Inventory Adjustment</t>
  </si>
  <si>
    <t>Inventory Adjustment Detail</t>
  </si>
  <si>
    <t>Sales Invoice List</t>
  </si>
  <si>
    <t>ឆែកយោងប្រាក់កក់</t>
  </si>
  <si>
    <t>ឆែកកែថ្លៃដើម</t>
  </si>
  <si>
    <t>Remark</t>
  </si>
  <si>
    <t>សំគាល</t>
  </si>
  <si>
    <t>general_ledger_id</t>
  </si>
  <si>
    <t>location_group_id</t>
  </si>
  <si>
    <t>location_id</t>
  </si>
  <si>
    <t>debit</t>
  </si>
  <si>
    <t>credit</t>
  </si>
  <si>
    <t>memo</t>
  </si>
  <si>
    <t>class_id</t>
  </si>
  <si>
    <t xml:space="preserve">week </t>
  </si>
  <si>
    <t>D:\1_Documents\1_Companies\</t>
  </si>
  <si>
    <t>ចុចប៊ូតុងខាងក្រោម ដើម្បីចូលទៅតារាងទិន្នន័យនីមួយៗ</t>
  </si>
  <si>
    <t>Tax Inv Code</t>
  </si>
  <si>
    <t>Tax Inv No</t>
  </si>
  <si>
    <t>DKS0001</t>
  </si>
  <si>
    <t xml:space="preserve">ទីប​100(8.5) CHIP MONG </t>
  </si>
  <si>
    <t>Main Module</t>
  </si>
  <si>
    <t>Sub Module</t>
  </si>
  <si>
    <t>Main Folder Path</t>
  </si>
  <si>
    <t>Folder</t>
  </si>
  <si>
    <t>Sub Folder 1</t>
  </si>
  <si>
    <t>Sub Folder 2</t>
  </si>
  <si>
    <t>Sub Folder 3</t>
  </si>
  <si>
    <t>Folder Path</t>
  </si>
  <si>
    <t>Open Folder</t>
  </si>
  <si>
    <t>database</t>
  </si>
  <si>
    <t>ks_system</t>
  </si>
  <si>
    <t>system</t>
  </si>
  <si>
    <t>inventory</t>
  </si>
  <si>
    <t>inventory_adjustment</t>
  </si>
  <si>
    <t>report</t>
  </si>
  <si>
    <t>product</t>
  </si>
  <si>
    <t>transfer_order</t>
  </si>
  <si>
    <t>purchase</t>
  </si>
  <si>
    <t>purchase_bill</t>
  </si>
  <si>
    <t>purchase_request</t>
  </si>
  <si>
    <t>other_expense</t>
  </si>
  <si>
    <t>vendor</t>
  </si>
  <si>
    <t>sales</t>
  </si>
  <si>
    <t>customer</t>
  </si>
  <si>
    <t>quotation</t>
  </si>
  <si>
    <t>sales_order</t>
  </si>
  <si>
    <t>sales_invoice</t>
  </si>
  <si>
    <t>pos</t>
  </si>
  <si>
    <t>other_income</t>
  </si>
  <si>
    <t>setting</t>
  </si>
  <si>
    <t>employee_and_salary</t>
  </si>
  <si>
    <t>chart_account</t>
  </si>
  <si>
    <t>report_customer_balance</t>
  </si>
  <si>
    <t>customer_balance</t>
  </si>
  <si>
    <t>open_invoice</t>
  </si>
  <si>
    <t>customer_statement</t>
  </si>
  <si>
    <t>report_vendor_balance</t>
  </si>
  <si>
    <t>vendor_balance</t>
  </si>
  <si>
    <t>open_bill</t>
  </si>
  <si>
    <t>vendor_statement</t>
  </si>
  <si>
    <t>report_purchase</t>
  </si>
  <si>
    <t>purchase_by_invoice</t>
  </si>
  <si>
    <t>purchase_by_item</t>
  </si>
  <si>
    <t xml:space="preserve">pay_bills </t>
  </si>
  <si>
    <t>cash_expenses</t>
  </si>
  <si>
    <t>report_sales</t>
  </si>
  <si>
    <t>sales_by_item</t>
  </si>
  <si>
    <t>sales_by_item_customer</t>
  </si>
  <si>
    <t>total_sale</t>
  </si>
  <si>
    <t>report_inventory</t>
  </si>
  <si>
    <t>gloable_inventory</t>
  </si>
  <si>
    <t>inventory_activity</t>
  </si>
  <si>
    <t>inventory_valuation</t>
  </si>
  <si>
    <t>report_accounting</t>
  </si>
  <si>
    <t>journal_entry</t>
  </si>
  <si>
    <t>general_ledger</t>
  </si>
  <si>
    <t>balance_sheet</t>
  </si>
  <si>
    <t>profit_loss</t>
  </si>
  <si>
    <t>database_backup</t>
  </si>
  <si>
    <t>database file</t>
  </si>
  <si>
    <t>database backup</t>
  </si>
  <si>
    <t>system file</t>
  </si>
  <si>
    <t>system backup</t>
  </si>
  <si>
    <t>system_backup</t>
  </si>
  <si>
    <t>D:\OneDrive\YBA ADVISORY\B-Clients and Services\C024-KOK SNUOL\</t>
  </si>
  <si>
    <t>កំណត់កន្លែងដាក់ឯកសារ សន្និធិ ទិញ​ លក់ គណនេយ្យ និងរបាយការណ៍</t>
  </si>
  <si>
    <t>KSADJ26-0001</t>
  </si>
  <si>
    <t>Inventory Adjust</t>
  </si>
  <si>
    <t>Inv Adj</t>
  </si>
  <si>
    <t>KSPB26-0001</t>
  </si>
  <si>
    <t>ក្រុមហ៊ុនជីប ម៉ុង (CHIP MONG)</t>
  </si>
  <si>
    <t>Bill</t>
  </si>
  <si>
    <t>pcs</t>
  </si>
  <si>
    <t>Purchase</t>
  </si>
  <si>
    <t xml:space="preserve">ICS: Inventory adjustment for product # DKS0001 ទីប​100(8.5) CHIP MONG </t>
  </si>
  <si>
    <t>SUMIFS(AC8:AC14,AD8:AD14,"&gt;0",D8:D14,"KSINV26-0002",AH8:AH14,7,AI8:AI14,2026)</t>
  </si>
  <si>
    <t>VLOOKUP("KSINV26-0002",D8:AI10000,17,FALSE)</t>
  </si>
  <si>
    <t/>
  </si>
  <si>
    <t>002.pcs</t>
  </si>
  <si>
    <t>001.ហឿត ចន្ត្រា (HOEURT CHANTRA)</t>
  </si>
  <si>
    <t>ICS: PB # KSPB26-0001</t>
  </si>
  <si>
    <t xml:space="preserve">ICS: PB # KSPB26-0001 Product # DKS0001 ទីប​100(8.5) CHIP MONG </t>
  </si>
  <si>
    <t>DKS0081</t>
  </si>
  <si>
    <t xml:space="preserve">ព្រីភ្លើង​ 5m រុន6 China </t>
  </si>
  <si>
    <t>026.Box/12pcs</t>
  </si>
  <si>
    <t xml:space="preserve">ICS: Inventory adjustment for product # DKS0081 ព្រីភ្លើង​ 5m រុន6 China </t>
  </si>
  <si>
    <t>DKS0176</t>
  </si>
  <si>
    <t xml:space="preserve">ស៊ីម៉ង​ V CHIP MONG </t>
  </si>
  <si>
    <t>051.Ton/20Be</t>
  </si>
  <si>
    <t xml:space="preserve">ICS: Inventory adjustment for product # DKS0176 ស៊ីម៉ង​ V CHIP MONG </t>
  </si>
  <si>
    <t>Box/12pcs</t>
  </si>
  <si>
    <t xml:space="preserve">ICS: PB # KSPB26-0001 Product # DKS0081 ព្រីភ្លើង​ 5m រុន6 China </t>
  </si>
  <si>
    <t>Ton/20Be</t>
  </si>
  <si>
    <t xml:space="preserve">ICS: PB # KSPB26-0001 Product # DKS0176 ស៊ីម៉ង​ V CHIP MONG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</si>
</sst>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[$-12000425]0"/>
    <numFmt numFmtId="168" formatCode="_-[$R-46C]\ * #,##0_-;\-[$R-46C]\ * #,##0_-;_-[$R-46C]\ * &quot;-&quot;??_-;_-@_-"/>
    <numFmt numFmtId="169" formatCode="dd/mm/yyyy\ hh:mm:ss"/>
    <numFmt numFmtId="170" formatCode="0.000000000"/>
    <numFmt numFmtId="171" formatCode="dd/mm/yyyy\ h:mm:ss"/>
    <numFmt numFmtId="172" formatCode="#,##0.000000000"/>
  </numFmts>
  <fonts count="9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2"/>
      <color theme="1"/>
      <name val="Content"/>
    </font>
    <font>
      <sz val="12"/>
      <color theme="1"/>
      <name val="Roboto"/>
    </font>
    <font>
      <sz val="11"/>
      <color theme="0"/>
      <name val="Roboto"/>
    </font>
    <font>
      <sz val="11"/>
      <color rgb="FFFF0000"/>
      <name val="Roboto"/>
    </font>
    <font>
      <sz val="11"/>
      <color theme="0"/>
      <name val="Content"/>
    </font>
    <font>
      <sz val="11"/>
      <color theme="1"/>
      <name val="Roboto Medium"/>
    </font>
    <font>
      <sz val="10"/>
      <color theme="0"/>
      <name val="Content"/>
    </font>
    <font>
      <sz val="10"/>
      <color theme="0"/>
      <name val="Calibri"/>
      <family val="2"/>
      <scheme val="minor"/>
    </font>
    <font>
      <sz val="11"/>
      <color rgb="FF003399"/>
      <name val="Roboto"/>
    </font>
    <font>
      <sz val="12"/>
      <color rgb="FF000099"/>
      <name val="Content"/>
    </font>
    <font>
      <sz val="12"/>
      <color theme="1"/>
      <name val="Khmer OS Battambang"/>
    </font>
    <font>
      <sz val="12"/>
      <color rgb="FF000099"/>
      <name val="Roboto"/>
    </font>
    <font>
      <sz val="24"/>
      <color rgb="FF0066CC"/>
      <name val="Moul"/>
    </font>
    <font>
      <sz val="18"/>
      <color rgb="FF0066CC"/>
      <name val="Roboto"/>
    </font>
    <font>
      <sz val="20"/>
      <color rgb="FF0066CC"/>
      <name val="Khmer OS Moul Light"/>
    </font>
    <font>
      <sz val="14"/>
      <color theme="1"/>
      <name val="Roboto"/>
    </font>
    <font>
      <sz val="11"/>
      <color rgb="FF0070C0"/>
      <name val="Roboto"/>
    </font>
    <font>
      <sz val="10"/>
      <color rgb="FF0070C0"/>
      <name val="Roboto"/>
    </font>
    <font>
      <sz val="18"/>
      <color theme="1"/>
      <name val="Moul"/>
    </font>
    <font>
      <sz val="12"/>
      <color rgb="FF0070C0"/>
      <name val="Content"/>
    </font>
    <font>
      <sz val="18"/>
      <color theme="1"/>
      <name val="Khmer OS Battambang"/>
    </font>
    <font>
      <sz val="16"/>
      <color theme="1"/>
      <name val="Roboto Medium"/>
    </font>
    <font>
      <sz val="10"/>
      <color rgb="FF0070C0"/>
      <name val="Content"/>
    </font>
    <font>
      <sz val="14"/>
      <color rgb="FF0070C0"/>
      <name val="Content"/>
    </font>
    <font>
      <sz val="22"/>
      <color rgb="FF0070C0"/>
      <name val="Khmer Muol"/>
    </font>
    <font>
      <sz val="12"/>
      <color indexed="8"/>
      <name val="Khmer OS Battambang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4"/>
      <color theme="1"/>
      <name val="Khmer OS Battambang"/>
    </font>
    <font>
      <sz val="11"/>
      <color rgb="FF0066CC"/>
      <name val="Calibri"/>
      <family val="2"/>
      <scheme val="minor"/>
    </font>
    <font>
      <sz val="28"/>
      <color rgb="FF0070C0"/>
      <name val="Roboto Medium"/>
    </font>
    <font>
      <sz val="22"/>
      <color rgb="FF0066CC"/>
      <name val="Kh Muol"/>
    </font>
    <font>
      <sz val="24"/>
      <color rgb="FF0066CC"/>
      <name val="Roboto Medium"/>
    </font>
    <font>
      <sz val="26"/>
      <color rgb="FF0070C0"/>
      <name val="Roboto Medium"/>
    </font>
    <font>
      <sz val="24"/>
      <color rgb="FF0070C0"/>
      <name val="Roboto Medium"/>
    </font>
    <font>
      <sz val="14"/>
      <color rgb="FF0066CC"/>
      <name val="Kh Muol"/>
    </font>
    <font>
      <sz val="14"/>
      <color rgb="FF0066CC"/>
      <name val="Roboto Medium"/>
    </font>
    <font>
      <sz val="20"/>
      <color rgb="FF0066CC"/>
      <name val="Kh Muol"/>
    </font>
    <font>
      <sz val="12"/>
      <color rgb="FF0066CC"/>
      <name val="Content"/>
    </font>
    <font>
      <sz val="10"/>
      <color rgb="FF0066CC"/>
      <name val="Roboto"/>
    </font>
    <font>
      <sz val="11"/>
      <color rgb="FF0066CC"/>
      <name val="Content"/>
    </font>
    <font>
      <sz val="10"/>
      <color rgb="FF0066CC"/>
      <name val="Content"/>
    </font>
    <font>
      <sz val="11"/>
      <color rgb="FF0066CC"/>
      <name val="Roboto"/>
    </font>
    <font>
      <sz val="28"/>
      <color rgb="FF0066CC"/>
      <name val="Roboto Medium"/>
    </font>
    <font>
      <sz val="26"/>
      <color rgb="FF0066CC"/>
      <name val="Roboto Medium"/>
    </font>
    <font>
      <sz val="12"/>
      <color rgb="FF0066CC"/>
      <name val="Roboto"/>
    </font>
    <font>
      <sz val="14"/>
      <color rgb="FF0066CC"/>
      <name val="Roboto"/>
    </font>
    <font>
      <sz val="12"/>
      <color rgb="FF0066CC"/>
      <name val="Khmer OS Battambang"/>
    </font>
    <font>
      <sz val="12"/>
      <color rgb="FF0066CC"/>
      <name val="Roboto Medium"/>
    </font>
    <font>
      <sz val="12"/>
      <color rgb="FF0066CC"/>
      <name val="Roboto "/>
    </font>
    <font>
      <u/>
      <sz val="14"/>
      <color rgb="FF0070C0"/>
      <name val="Roboto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F6FB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/>
      <bottom style="medium">
        <color theme="4" tint="0.7999816888943144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</cellStyleXfs>
  <cellXfs count="464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/>
    <xf numFmtId="0" fontId="8" fillId="0" borderId="0" xfId="0" applyFont="1"/>
    <xf numFmtId="1" fontId="8" fillId="0" borderId="0" xfId="0" applyNumberFormat="1" applyFont="1"/>
    <xf numFmtId="0" fontId="8" fillId="0" borderId="5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4" fillId="0" borderId="0" xfId="0" applyFont="1"/>
    <xf numFmtId="9" fontId="4" fillId="0" borderId="0" xfId="2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2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6" xfId="0" applyFont="1" applyBorder="1"/>
    <xf numFmtId="0" fontId="8" fillId="0" borderId="13" xfId="0" applyFont="1" applyBorder="1"/>
    <xf numFmtId="0" fontId="8" fillId="0" borderId="5" xfId="0" applyFont="1" applyBorder="1"/>
    <xf numFmtId="0" fontId="8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4" fillId="0" borderId="2" xfId="0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4" fillId="0" borderId="5" xfId="0" applyFont="1" applyBorder="1" applyAlignment="1">
      <alignment horizontal="center"/>
    </xf>
    <xf numFmtId="0" fontId="9" fillId="0" borderId="3" xfId="0" applyFont="1" applyBorder="1"/>
    <xf numFmtId="0" fontId="8" fillId="0" borderId="15" xfId="0" applyFont="1" applyBorder="1"/>
    <xf numFmtId="14" fontId="1" fillId="3" borderId="3" xfId="0" applyNumberFormat="1" applyFont="1" applyFill="1" applyBorder="1" applyAlignment="1" applyProtection="1">
      <alignment vertical="center"/>
      <protection locked="0"/>
    </xf>
    <xf numFmtId="14" fontId="1" fillId="3" borderId="3" xfId="0" applyNumberFormat="1" applyFont="1" applyFill="1" applyBorder="1" applyAlignment="1" applyProtection="1">
      <alignment horizontal="center" vertical="center"/>
      <protection locked="0"/>
    </xf>
    <xf numFmtId="1" fontId="1" fillId="3" borderId="10" xfId="0" applyNumberFormat="1" applyFont="1" applyFill="1" applyBorder="1" applyAlignment="1" applyProtection="1">
      <alignment horizontal="center" vertical="center"/>
      <protection locked="0"/>
    </xf>
    <xf numFmtId="0" fontId="1" fillId="3" borderId="10" xfId="0" applyFont="1" applyFill="1" applyBorder="1" applyAlignment="1" applyProtection="1">
      <alignment horizontal="center" vertical="center"/>
      <protection locked="0"/>
    </xf>
    <xf numFmtId="164" fontId="1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>
      <alignment horizontal="center"/>
    </xf>
    <xf numFmtId="0" fontId="8" fillId="0" borderId="8" xfId="0" applyFont="1" applyBorder="1"/>
    <xf numFmtId="0" fontId="0" fillId="0" borderId="0" xfId="0" applyAlignment="1">
      <alignment wrapText="1"/>
    </xf>
    <xf numFmtId="0" fontId="8" fillId="0" borderId="15" xfId="0" applyFont="1" applyBorder="1" applyAlignment="1">
      <alignment vertical="center"/>
    </xf>
    <xf numFmtId="0" fontId="2" fillId="0" borderId="0" xfId="1" applyFill="1" applyBorder="1"/>
    <xf numFmtId="0" fontId="19" fillId="0" borderId="0" xfId="0" applyFont="1"/>
    <xf numFmtId="0" fontId="19" fillId="0" borderId="0" xfId="0" applyFont="1" applyAlignment="1">
      <alignment horizontal="right"/>
    </xf>
    <xf numFmtId="166" fontId="19" fillId="0" borderId="0" xfId="0" applyNumberFormat="1" applyFont="1" applyAlignment="1">
      <alignment horizontal="center" vertical="center"/>
    </xf>
    <xf numFmtId="0" fontId="20" fillId="0" borderId="0" xfId="0" applyFont="1"/>
    <xf numFmtId="0" fontId="19" fillId="0" borderId="0" xfId="0" applyFont="1" applyAlignment="1">
      <alignment vertical="center"/>
    </xf>
    <xf numFmtId="0" fontId="19" fillId="0" borderId="0" xfId="0" applyFont="1" applyAlignment="1">
      <alignment wrapText="1"/>
    </xf>
    <xf numFmtId="1" fontId="4" fillId="0" borderId="0" xfId="3" applyNumberFormat="1" applyFont="1" applyFill="1" applyBorder="1" applyAlignment="1">
      <alignment horizontal="left"/>
    </xf>
    <xf numFmtId="0" fontId="8" fillId="0" borderId="15" xfId="0" quotePrefix="1" applyFon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7" fillId="0" borderId="0" xfId="0" applyFont="1"/>
    <xf numFmtId="0" fontId="0" fillId="0" borderId="5" xfId="0" applyBorder="1"/>
    <xf numFmtId="0" fontId="3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6" fillId="0" borderId="5" xfId="0" applyFont="1" applyBorder="1" applyAlignment="1">
      <alignment horizontal="right" vertical="center"/>
    </xf>
    <xf numFmtId="0" fontId="11" fillId="0" borderId="0" xfId="0" applyFont="1"/>
    <xf numFmtId="0" fontId="14" fillId="0" borderId="0" xfId="0" applyFont="1" applyAlignment="1">
      <alignment horizontal="center" vertical="center"/>
    </xf>
    <xf numFmtId="1" fontId="11" fillId="0" borderId="0" xfId="0" applyNumberFormat="1" applyFont="1"/>
    <xf numFmtId="0" fontId="11" fillId="0" borderId="3" xfId="0" applyFont="1" applyBorder="1" applyAlignment="1">
      <alignment horizontal="right" vertical="top" indent="1"/>
    </xf>
    <xf numFmtId="0" fontId="11" fillId="0" borderId="4" xfId="0" applyFont="1" applyBorder="1" applyAlignment="1">
      <alignment horizontal="right" vertical="top" indent="1"/>
    </xf>
    <xf numFmtId="14" fontId="11" fillId="0" borderId="6" xfId="0" applyNumberFormat="1" applyFont="1" applyBorder="1" applyAlignment="1">
      <alignment horizontal="center" vertical="center"/>
    </xf>
    <xf numFmtId="0" fontId="13" fillId="0" borderId="0" xfId="0" applyFont="1" applyAlignment="1">
      <alignment horizontal="right"/>
    </xf>
    <xf numFmtId="0" fontId="10" fillId="0" borderId="1" xfId="0" applyFont="1" applyBorder="1" applyAlignment="1">
      <alignment horizontal="left"/>
    </xf>
    <xf numFmtId="0" fontId="13" fillId="0" borderId="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0" fontId="7" fillId="0" borderId="0" xfId="0" applyFont="1"/>
    <xf numFmtId="0" fontId="6" fillId="0" borderId="0" xfId="0" applyFont="1"/>
    <xf numFmtId="0" fontId="1" fillId="3" borderId="10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0" xfId="0" applyFont="1" applyAlignment="1">
      <alignment horizontal="center"/>
    </xf>
    <xf numFmtId="0" fontId="4" fillId="0" borderId="5" xfId="0" applyFont="1" applyBorder="1"/>
    <xf numFmtId="0" fontId="4" fillId="0" borderId="7" xfId="0" applyFont="1" applyBorder="1"/>
    <xf numFmtId="0" fontId="4" fillId="0" borderId="8" xfId="0" applyFont="1" applyBorder="1"/>
    <xf numFmtId="0" fontId="0" fillId="0" borderId="8" xfId="0" applyBorder="1"/>
    <xf numFmtId="0" fontId="0" fillId="0" borderId="9" xfId="0" applyBorder="1"/>
    <xf numFmtId="0" fontId="4" fillId="0" borderId="1" xfId="0" applyFont="1" applyBorder="1"/>
    <xf numFmtId="0" fontId="4" fillId="0" borderId="4" xfId="0" applyFont="1" applyBorder="1"/>
    <xf numFmtId="14" fontId="11" fillId="0" borderId="13" xfId="0" applyNumberFormat="1" applyFont="1" applyBorder="1" applyAlignment="1">
      <alignment horizontal="center" vertical="center"/>
    </xf>
    <xf numFmtId="0" fontId="16" fillId="0" borderId="0" xfId="0" applyFont="1"/>
    <xf numFmtId="0" fontId="11" fillId="0" borderId="0" xfId="0" applyFont="1" applyAlignment="1">
      <alignment vertical="center"/>
    </xf>
    <xf numFmtId="0" fontId="2" fillId="0" borderId="0" xfId="1" applyAlignment="1" applyProtection="1">
      <alignment vertical="top"/>
      <protection locked="0"/>
    </xf>
    <xf numFmtId="0" fontId="2" fillId="0" borderId="0" xfId="1" applyAlignment="1" applyProtection="1">
      <alignment vertical="center"/>
      <protection locked="0"/>
    </xf>
    <xf numFmtId="14" fontId="8" fillId="0" borderId="17" xfId="0" applyNumberFormat="1" applyFont="1" applyBorder="1" applyAlignment="1" applyProtection="1">
      <alignment horizontal="center" vertical="center" wrapText="1"/>
      <protection locked="0"/>
    </xf>
    <xf numFmtId="1" fontId="8" fillId="0" borderId="17" xfId="0" applyNumberFormat="1" applyFont="1" applyBorder="1" applyAlignment="1" applyProtection="1">
      <alignment horizontal="center" vertical="center" wrapText="1"/>
      <protection locked="0"/>
    </xf>
    <xf numFmtId="2" fontId="8" fillId="0" borderId="17" xfId="0" applyNumberFormat="1" applyFont="1" applyBorder="1" applyAlignment="1" applyProtection="1">
      <alignment horizontal="center" vertical="center" wrapText="1"/>
      <protection locked="0"/>
    </xf>
    <xf numFmtId="43" fontId="8" fillId="0" borderId="17" xfId="3" applyFont="1" applyBorder="1" applyAlignment="1" applyProtection="1">
      <alignment horizontal="center" vertical="center"/>
      <protection locked="0"/>
    </xf>
    <xf numFmtId="2" fontId="8" fillId="0" borderId="17" xfId="0" applyNumberFormat="1" applyFont="1" applyBorder="1" applyAlignment="1" applyProtection="1">
      <alignment horizontal="right" vertical="center" wrapText="1"/>
      <protection locked="0"/>
    </xf>
    <xf numFmtId="9" fontId="8" fillId="0" borderId="17" xfId="0" applyNumberFormat="1" applyFont="1" applyBorder="1" applyAlignment="1" applyProtection="1">
      <alignment horizontal="center" wrapText="1"/>
      <protection locked="0"/>
    </xf>
    <xf numFmtId="1" fontId="8" fillId="0" borderId="17" xfId="0" applyNumberFormat="1" applyFont="1" applyBorder="1" applyAlignment="1" applyProtection="1">
      <alignment wrapText="1"/>
      <protection locked="0"/>
    </xf>
    <xf numFmtId="2" fontId="8" fillId="0" borderId="17" xfId="0" applyNumberFormat="1" applyFont="1" applyBorder="1" applyAlignment="1" applyProtection="1">
      <alignment horizontal="right" wrapText="1"/>
      <protection locked="0"/>
    </xf>
    <xf numFmtId="14" fontId="8" fillId="0" borderId="17" xfId="0" applyNumberFormat="1" applyFont="1" applyBorder="1" applyAlignment="1" applyProtection="1">
      <alignment horizontal="center" wrapText="1"/>
      <protection locked="0"/>
    </xf>
    <xf numFmtId="14" fontId="1" fillId="3" borderId="0" xfId="0" applyNumberFormat="1" applyFont="1" applyFill="1" applyAlignment="1" applyProtection="1">
      <alignment vertical="center"/>
      <protection locked="0"/>
    </xf>
    <xf numFmtId="0" fontId="8" fillId="0" borderId="18" xfId="0" applyFont="1" applyBorder="1" applyAlignment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wrapText="1"/>
    </xf>
    <xf numFmtId="0" fontId="8" fillId="0" borderId="20" xfId="0" applyFont="1" applyBorder="1" applyAlignment="1">
      <alignment horizontal="center" wrapText="1"/>
    </xf>
    <xf numFmtId="14" fontId="8" fillId="0" borderId="21" xfId="0" applyNumberFormat="1" applyFont="1" applyBorder="1" applyAlignment="1" applyProtection="1">
      <alignment horizontal="center" wrapText="1"/>
      <protection locked="0"/>
    </xf>
    <xf numFmtId="1" fontId="8" fillId="0" borderId="21" xfId="0" applyNumberFormat="1" applyFont="1" applyBorder="1" applyAlignment="1" applyProtection="1">
      <alignment wrapText="1"/>
      <protection locked="0"/>
    </xf>
    <xf numFmtId="2" fontId="8" fillId="0" borderId="21" xfId="0" applyNumberFormat="1" applyFont="1" applyBorder="1" applyAlignment="1" applyProtection="1">
      <alignment horizontal="right" wrapText="1"/>
      <protection locked="0"/>
    </xf>
    <xf numFmtId="2" fontId="8" fillId="0" borderId="21" xfId="0" applyNumberFormat="1" applyFont="1" applyBorder="1" applyAlignment="1" applyProtection="1">
      <alignment horizontal="center" wrapText="1"/>
      <protection locked="0"/>
    </xf>
    <xf numFmtId="165" fontId="8" fillId="0" borderId="22" xfId="3" applyNumberFormat="1" applyFont="1" applyBorder="1" applyAlignment="1" applyProtection="1">
      <alignment horizontal="center" wrapText="1"/>
    </xf>
    <xf numFmtId="0" fontId="7" fillId="0" borderId="1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15" xfId="0" applyFont="1" applyBorder="1" applyAlignment="1">
      <alignment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5" xfId="0" applyFont="1" applyBorder="1" applyAlignment="1">
      <alignment horizontal="right"/>
    </xf>
    <xf numFmtId="0" fontId="5" fillId="0" borderId="3" xfId="0" applyFont="1" applyBorder="1"/>
    <xf numFmtId="0" fontId="18" fillId="0" borderId="0" xfId="0" applyFont="1"/>
    <xf numFmtId="165" fontId="8" fillId="0" borderId="19" xfId="3" applyNumberFormat="1" applyFont="1" applyBorder="1" applyAlignment="1" applyProtection="1">
      <alignment horizontal="center" vertical="center"/>
    </xf>
    <xf numFmtId="0" fontId="10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29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6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38" fillId="0" borderId="0" xfId="0" applyFont="1"/>
    <xf numFmtId="0" fontId="36" fillId="0" borderId="0" xfId="0" applyFont="1"/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40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16" fillId="0" borderId="0" xfId="0" applyFont="1" applyAlignment="1">
      <alignment horizontal="center" vertical="center"/>
    </xf>
    <xf numFmtId="49" fontId="35" fillId="0" borderId="0" xfId="0" applyNumberFormat="1" applyFont="1" applyAlignment="1">
      <alignment horizontal="left" vertical="center"/>
    </xf>
    <xf numFmtId="49" fontId="0" fillId="0" borderId="0" xfId="0" applyNumberFormat="1"/>
    <xf numFmtId="0" fontId="7" fillId="0" borderId="0" xfId="0" applyFont="1" applyAlignment="1">
      <alignment horizontal="left"/>
    </xf>
    <xf numFmtId="0" fontId="4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1" fontId="52" fillId="0" borderId="0" xfId="0" applyNumberFormat="1" applyFont="1" applyAlignment="1">
      <alignment horizontal="center" vertical="center"/>
    </xf>
    <xf numFmtId="49" fontId="38" fillId="0" borderId="0" xfId="0" applyNumberFormat="1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54" fillId="0" borderId="0" xfId="0" applyFont="1" applyAlignment="1">
      <alignment vertical="center"/>
    </xf>
    <xf numFmtId="0" fontId="55" fillId="0" borderId="0" xfId="0" applyFont="1"/>
    <xf numFmtId="0" fontId="46" fillId="0" borderId="0" xfId="0" applyFont="1" applyAlignment="1">
      <alignment horizontal="center" vertical="center"/>
    </xf>
    <xf numFmtId="14" fontId="0" fillId="0" borderId="0" xfId="0" applyNumberFormat="1"/>
    <xf numFmtId="168" fontId="0" fillId="0" borderId="0" xfId="0" applyNumberFormat="1"/>
    <xf numFmtId="0" fontId="58" fillId="5" borderId="3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60" fillId="5" borderId="30" xfId="0" applyFont="1" applyFill="1" applyBorder="1" applyAlignment="1">
      <alignment horizontal="center" vertical="center"/>
    </xf>
    <xf numFmtId="49" fontId="7" fillId="0" borderId="0" xfId="0" applyNumberFormat="1" applyFont="1" applyAlignment="1">
      <alignment horizontal="left" vertical="center" wrapText="1"/>
    </xf>
    <xf numFmtId="0" fontId="42" fillId="0" borderId="28" xfId="0" applyFont="1" applyBorder="1" applyAlignment="1">
      <alignment horizontal="center" vertical="center"/>
    </xf>
    <xf numFmtId="49" fontId="42" fillId="0" borderId="28" xfId="0" applyNumberFormat="1" applyFont="1" applyBorder="1" applyAlignment="1">
      <alignment horizontal="center" vertical="center"/>
    </xf>
    <xf numFmtId="14" fontId="42" fillId="0" borderId="28" xfId="0" applyNumberFormat="1" applyFont="1" applyBorder="1" applyAlignment="1">
      <alignment horizontal="center" vertical="center"/>
    </xf>
    <xf numFmtId="49" fontId="51" fillId="0" borderId="28" xfId="0" applyNumberFormat="1" applyFont="1" applyBorder="1" applyAlignment="1">
      <alignment horizontal="left" vertical="center" wrapText="1"/>
    </xf>
    <xf numFmtId="49" fontId="51" fillId="0" borderId="28" xfId="0" applyNumberFormat="1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1" fillId="0" borderId="0" xfId="0" applyFont="1" applyAlignment="1">
      <alignment horizontal="right" vertical="center"/>
    </xf>
    <xf numFmtId="49" fontId="52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0" fillId="0" borderId="0" xfId="0" applyNumberFormat="1"/>
    <xf numFmtId="169" fontId="36" fillId="0" borderId="0" xfId="0" applyNumberFormat="1" applyFont="1" applyAlignment="1">
      <alignment horizontal="center" vertical="center"/>
    </xf>
    <xf numFmtId="49" fontId="62" fillId="0" borderId="0" xfId="0" applyNumberFormat="1" applyFont="1" applyAlignment="1">
      <alignment vertical="center"/>
    </xf>
    <xf numFmtId="14" fontId="42" fillId="0" borderId="0" xfId="0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7" fillId="0" borderId="0" xfId="0" applyFont="1"/>
    <xf numFmtId="0" fontId="45" fillId="0" borderId="0" xfId="0" applyFont="1" applyAlignment="1">
      <alignment horizontal="left" vertical="center"/>
    </xf>
    <xf numFmtId="14" fontId="40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48" fillId="0" borderId="0" xfId="0" applyFont="1"/>
    <xf numFmtId="0" fontId="39" fillId="0" borderId="0" xfId="0" applyFont="1" applyAlignment="1">
      <alignment horizontal="left" vertical="center"/>
    </xf>
    <xf numFmtId="49" fontId="38" fillId="0" borderId="0" xfId="0" applyNumberFormat="1" applyFont="1" applyAlignment="1">
      <alignment horizontal="left" vertical="center"/>
    </xf>
    <xf numFmtId="0" fontId="36" fillId="0" borderId="0" xfId="0" applyFont="1" applyAlignment="1">
      <alignment horizontal="left"/>
    </xf>
    <xf numFmtId="0" fontId="36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0" fontId="42" fillId="0" borderId="33" xfId="0" applyFont="1" applyBorder="1" applyAlignment="1">
      <alignment horizontal="center" vertical="center"/>
    </xf>
    <xf numFmtId="14" fontId="36" fillId="0" borderId="33" xfId="0" applyNumberFormat="1" applyFont="1" applyBorder="1" applyAlignment="1">
      <alignment horizontal="center" vertical="center"/>
    </xf>
    <xf numFmtId="0" fontId="56" fillId="0" borderId="33" xfId="0" applyFont="1" applyBorder="1" applyAlignment="1">
      <alignment horizontal="center" vertical="center"/>
    </xf>
    <xf numFmtId="49" fontId="36" fillId="0" borderId="33" xfId="0" applyNumberFormat="1" applyFont="1" applyBorder="1" applyAlignment="1">
      <alignment horizontal="center" vertical="center"/>
    </xf>
    <xf numFmtId="0" fontId="39" fillId="0" borderId="0" xfId="0" applyFont="1" applyAlignment="1">
      <alignment vertical="top"/>
    </xf>
    <xf numFmtId="0" fontId="64" fillId="0" borderId="0" xfId="0" applyFont="1" applyAlignment="1">
      <alignment vertical="center"/>
    </xf>
    <xf numFmtId="49" fontId="38" fillId="0" borderId="33" xfId="0" applyNumberFormat="1" applyFont="1" applyBorder="1" applyAlignment="1">
      <alignment horizontal="center" vertical="center"/>
    </xf>
    <xf numFmtId="0" fontId="65" fillId="0" borderId="0" xfId="0" applyFont="1" applyAlignment="1">
      <alignment vertical="top"/>
    </xf>
    <xf numFmtId="0" fontId="42" fillId="2" borderId="28" xfId="0" applyFont="1" applyFill="1" applyBorder="1" applyAlignment="1">
      <alignment horizontal="center" vertical="center"/>
    </xf>
    <xf numFmtId="49" fontId="51" fillId="2" borderId="28" xfId="0" applyNumberFormat="1" applyFont="1" applyFill="1" applyBorder="1" applyAlignment="1">
      <alignment horizontal="center" vertical="center"/>
    </xf>
    <xf numFmtId="49" fontId="42" fillId="2" borderId="28" xfId="0" applyNumberFormat="1" applyFont="1" applyFill="1" applyBorder="1" applyAlignment="1">
      <alignment horizontal="center" vertical="center"/>
    </xf>
    <xf numFmtId="14" fontId="42" fillId="2" borderId="28" xfId="0" applyNumberFormat="1" applyFont="1" applyFill="1" applyBorder="1" applyAlignment="1">
      <alignment horizontal="center" vertical="center"/>
    </xf>
    <xf numFmtId="49" fontId="51" fillId="2" borderId="28" xfId="0" applyNumberFormat="1" applyFont="1" applyFill="1" applyBorder="1" applyAlignment="1">
      <alignment horizontal="left" vertical="center" wrapText="1"/>
    </xf>
    <xf numFmtId="0" fontId="0" fillId="2" borderId="0" xfId="0" applyFill="1" applyAlignment="1">
      <alignment horizontal="center" vertical="center"/>
    </xf>
    <xf numFmtId="167" fontId="50" fillId="0" borderId="32" xfId="0" applyNumberFormat="1" applyFont="1" applyBorder="1" applyAlignment="1">
      <alignment horizontal="center" vertical="center"/>
    </xf>
    <xf numFmtId="169" fontId="0" fillId="0" borderId="0" xfId="0" applyNumberFormat="1" applyAlignment="1">
      <alignment horizontal="left" vertical="center"/>
    </xf>
    <xf numFmtId="0" fontId="56" fillId="0" borderId="0" xfId="0" applyFont="1" applyAlignment="1">
      <alignment horizontal="center" vertical="center"/>
    </xf>
    <xf numFmtId="0" fontId="62" fillId="0" borderId="0" xfId="0" applyFont="1" applyAlignment="1">
      <alignment vertical="center"/>
    </xf>
    <xf numFmtId="0" fontId="62" fillId="0" borderId="0" xfId="0" applyFont="1" applyAlignment="1">
      <alignment horizontal="center" vertical="center"/>
    </xf>
    <xf numFmtId="0" fontId="36" fillId="4" borderId="33" xfId="0" applyFont="1" applyFill="1" applyBorder="1" applyAlignment="1">
      <alignment horizontal="center" vertical="center"/>
    </xf>
    <xf numFmtId="0" fontId="53" fillId="0" borderId="0" xfId="0" applyFont="1"/>
    <xf numFmtId="0" fontId="7" fillId="0" borderId="33" xfId="0" applyFont="1" applyBorder="1" applyAlignment="1">
      <alignment horizontal="center" vertical="center" wrapText="1"/>
    </xf>
    <xf numFmtId="168" fontId="36" fillId="0" borderId="33" xfId="0" applyNumberFormat="1" applyFont="1" applyBorder="1" applyAlignment="1">
      <alignment horizontal="right" vertical="center"/>
    </xf>
    <xf numFmtId="22" fontId="0" fillId="0" borderId="0" xfId="0" applyNumberFormat="1" applyAlignment="1">
      <alignment horizontal="center" vertical="center"/>
    </xf>
    <xf numFmtId="0" fontId="40" fillId="0" borderId="25" xfId="0" applyFont="1" applyBorder="1" applyAlignment="1">
      <alignment horizontal="center" vertical="center"/>
    </xf>
    <xf numFmtId="0" fontId="40" fillId="0" borderId="26" xfId="0" applyFont="1" applyBorder="1" applyAlignment="1">
      <alignment horizontal="center" vertical="center"/>
    </xf>
    <xf numFmtId="0" fontId="40" fillId="0" borderId="27" xfId="0" applyFont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22" fontId="36" fillId="0" borderId="0" xfId="0" applyNumberFormat="1" applyFont="1"/>
    <xf numFmtId="170" fontId="72" fillId="0" borderId="0" xfId="0" applyNumberFormat="1" applyFon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2" fontId="51" fillId="0" borderId="0" xfId="0" applyNumberFormat="1" applyFont="1" applyAlignment="1">
      <alignment horizontal="right" vertical="center" wrapText="1"/>
    </xf>
    <xf numFmtId="2" fontId="36" fillId="0" borderId="33" xfId="0" applyNumberFormat="1" applyFont="1" applyBorder="1" applyAlignment="1">
      <alignment horizontal="right" vertical="center"/>
    </xf>
    <xf numFmtId="2" fontId="64" fillId="0" borderId="0" xfId="0" applyNumberFormat="1" applyFont="1" applyAlignment="1">
      <alignment horizontal="right" vertical="center"/>
    </xf>
    <xf numFmtId="2" fontId="38" fillId="0" borderId="33" xfId="0" applyNumberFormat="1" applyFont="1" applyBorder="1" applyAlignment="1">
      <alignment horizontal="right" vertical="center"/>
    </xf>
    <xf numFmtId="0" fontId="38" fillId="0" borderId="33" xfId="0" applyFont="1" applyBorder="1" applyAlignment="1">
      <alignment horizontal="center" vertical="center"/>
    </xf>
    <xf numFmtId="170" fontId="0" fillId="0" borderId="0" xfId="0" applyNumberFormat="1"/>
    <xf numFmtId="2" fontId="36" fillId="0" borderId="0" xfId="0" applyNumberFormat="1" applyFont="1" applyAlignment="1">
      <alignment horizontal="center" vertical="center"/>
    </xf>
    <xf numFmtId="0" fontId="56" fillId="0" borderId="29" xfId="0" applyFont="1" applyBorder="1" applyAlignment="1">
      <alignment horizontal="center" vertical="center"/>
    </xf>
    <xf numFmtId="170" fontId="36" fillId="0" borderId="0" xfId="0" applyNumberFormat="1" applyFont="1" applyAlignment="1">
      <alignment horizontal="center" vertical="center"/>
    </xf>
    <xf numFmtId="170" fontId="36" fillId="2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7" fillId="0" borderId="0" xfId="0" applyNumberFormat="1" applyFont="1"/>
    <xf numFmtId="22" fontId="7" fillId="0" borderId="0" xfId="0" applyNumberFormat="1" applyFont="1"/>
    <xf numFmtId="14" fontId="7" fillId="0" borderId="0" xfId="0" applyNumberFormat="1" applyFont="1" applyAlignment="1">
      <alignment horizontal="left"/>
    </xf>
    <xf numFmtId="14" fontId="7" fillId="0" borderId="0" xfId="0" applyNumberFormat="1" applyFont="1"/>
    <xf numFmtId="14" fontId="0" fillId="0" borderId="0" xfId="0" applyNumberFormat="1" applyAlignment="1">
      <alignment horizontal="left" vertical="center"/>
    </xf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4" fontId="7" fillId="0" borderId="0" xfId="0" applyNumberFormat="1" applyFont="1" applyAlignment="1">
      <alignment horizontal="center"/>
    </xf>
    <xf numFmtId="0" fontId="73" fillId="0" borderId="0" xfId="0" applyFont="1" applyAlignment="1">
      <alignment horizontal="centerContinuous" vertical="center"/>
    </xf>
    <xf numFmtId="4" fontId="36" fillId="0" borderId="0" xfId="0" applyNumberFormat="1" applyFont="1" applyAlignment="1">
      <alignment horizontal="center" vertical="center"/>
    </xf>
    <xf numFmtId="0" fontId="71" fillId="0" borderId="0" xfId="0" applyFont="1" applyAlignment="1">
      <alignment horizontal="centerContinuous" vertical="center"/>
    </xf>
    <xf numFmtId="0" fontId="64" fillId="0" borderId="0" xfId="0" applyFont="1" applyAlignment="1">
      <alignment horizontal="centerContinuous" vertical="center"/>
    </xf>
    <xf numFmtId="2" fontId="64" fillId="0" borderId="0" xfId="0" applyNumberFormat="1" applyFont="1" applyAlignment="1">
      <alignment horizontal="centerContinuous" vertical="center"/>
    </xf>
    <xf numFmtId="0" fontId="65" fillId="0" borderId="0" xfId="0" applyFont="1" applyAlignment="1">
      <alignment horizontal="centerContinuous" vertical="center"/>
    </xf>
    <xf numFmtId="2" fontId="65" fillId="0" borderId="0" xfId="0" applyNumberFormat="1" applyFont="1" applyAlignment="1">
      <alignment horizontal="centerContinuous" vertical="center"/>
    </xf>
    <xf numFmtId="0" fontId="65" fillId="0" borderId="0" xfId="0" applyFont="1" applyAlignment="1">
      <alignment horizontal="centerContinuous" vertical="center" wrapText="1"/>
    </xf>
    <xf numFmtId="2" fontId="56" fillId="0" borderId="29" xfId="0" applyNumberFormat="1" applyFont="1" applyBorder="1" applyAlignment="1">
      <alignment horizontal="center" vertical="center"/>
    </xf>
    <xf numFmtId="168" fontId="65" fillId="0" borderId="0" xfId="0" applyNumberFormat="1" applyFont="1" applyAlignment="1">
      <alignment horizontal="centerContinuous" vertical="center"/>
    </xf>
    <xf numFmtId="14" fontId="7" fillId="0" borderId="0" xfId="0" applyNumberFormat="1" applyFont="1" applyAlignment="1">
      <alignment horizontal="left" vertical="center"/>
    </xf>
    <xf numFmtId="14" fontId="62" fillId="0" borderId="0" xfId="0" applyNumberFormat="1" applyFont="1" applyAlignment="1">
      <alignment vertical="center"/>
    </xf>
    <xf numFmtId="14" fontId="65" fillId="0" borderId="0" xfId="0" applyNumberFormat="1" applyFont="1" applyAlignment="1">
      <alignment horizontal="centerContinuous" vertical="center"/>
    </xf>
    <xf numFmtId="14" fontId="64" fillId="0" borderId="0" xfId="0" applyNumberFormat="1" applyFont="1" applyAlignment="1">
      <alignment horizontal="centerContinuous" vertical="center"/>
    </xf>
    <xf numFmtId="14" fontId="64" fillId="0" borderId="0" xfId="0" applyNumberFormat="1" applyFont="1" applyAlignment="1">
      <alignment vertical="center"/>
    </xf>
    <xf numFmtId="19" fontId="36" fillId="0" borderId="0" xfId="0" applyNumberFormat="1" applyFont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0" fontId="74" fillId="0" borderId="0" xfId="0" applyFont="1" applyAlignment="1">
      <alignment horizontal="centerContinuous"/>
    </xf>
    <xf numFmtId="0" fontId="75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170" fontId="0" fillId="0" borderId="0" xfId="0" applyNumberFormat="1" applyAlignment="1">
      <alignment horizontal="centerContinuous"/>
    </xf>
    <xf numFmtId="22" fontId="36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Continuous" vertical="center"/>
    </xf>
    <xf numFmtId="170" fontId="0" fillId="0" borderId="0" xfId="0" applyNumberFormat="1" applyAlignment="1">
      <alignment horizontal="centerContinuous" vertical="center"/>
    </xf>
    <xf numFmtId="0" fontId="76" fillId="0" borderId="0" xfId="0" applyFont="1" applyAlignment="1">
      <alignment horizontal="centerContinuous"/>
    </xf>
    <xf numFmtId="0" fontId="77" fillId="0" borderId="0" xfId="0" applyFont="1" applyAlignment="1">
      <alignment horizontal="centerContinuous" vertical="center"/>
    </xf>
    <xf numFmtId="0" fontId="36" fillId="0" borderId="0" xfId="0" applyFont="1" applyAlignment="1">
      <alignment horizontal="centerContinuous" vertical="center"/>
    </xf>
    <xf numFmtId="14" fontId="36" fillId="0" borderId="0" xfId="0" applyNumberFormat="1" applyFont="1" applyAlignment="1">
      <alignment horizontal="centerContinuous" vertical="center"/>
    </xf>
    <xf numFmtId="49" fontId="36" fillId="0" borderId="0" xfId="0" applyNumberFormat="1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2" fontId="36" fillId="0" borderId="0" xfId="0" applyNumberFormat="1" applyFont="1" applyAlignment="1">
      <alignment horizontal="centerContinuous" vertical="center"/>
    </xf>
    <xf numFmtId="0" fontId="61" fillId="0" borderId="0" xfId="0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14" fontId="42" fillId="0" borderId="0" xfId="0" applyNumberFormat="1" applyFont="1" applyAlignment="1">
      <alignment horizontal="centerContinuous" vertical="center"/>
    </xf>
    <xf numFmtId="14" fontId="0" fillId="0" borderId="0" xfId="0" applyNumberFormat="1" applyAlignment="1">
      <alignment horizontal="centerContinuous"/>
    </xf>
    <xf numFmtId="0" fontId="38" fillId="0" borderId="0" xfId="0" applyFont="1" applyAlignment="1">
      <alignment horizontal="centerContinuous"/>
    </xf>
    <xf numFmtId="49" fontId="0" fillId="0" borderId="0" xfId="0" applyNumberFormat="1" applyAlignment="1">
      <alignment horizontal="centerContinuous"/>
    </xf>
    <xf numFmtId="0" fontId="7" fillId="0" borderId="0" xfId="0" applyFont="1" applyAlignment="1">
      <alignment horizontal="centerContinuous"/>
    </xf>
    <xf numFmtId="169" fontId="0" fillId="0" borderId="0" xfId="0" applyNumberFormat="1" applyAlignment="1">
      <alignment horizontal="centerContinuous"/>
    </xf>
    <xf numFmtId="49" fontId="38" fillId="0" borderId="0" xfId="0" applyNumberFormat="1" applyFont="1" applyAlignment="1">
      <alignment horizontal="left"/>
    </xf>
    <xf numFmtId="2" fontId="38" fillId="0" borderId="0" xfId="0" applyNumberFormat="1" applyFont="1" applyAlignment="1">
      <alignment horizontal="right" vertical="center"/>
    </xf>
    <xf numFmtId="168" fontId="36" fillId="0" borderId="0" xfId="0" applyNumberFormat="1" applyFont="1" applyAlignment="1">
      <alignment horizontal="right" vertical="center"/>
    </xf>
    <xf numFmtId="2" fontId="3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 wrapText="1"/>
    </xf>
    <xf numFmtId="172" fontId="0" fillId="0" borderId="0" xfId="0" applyNumberFormat="1"/>
    <xf numFmtId="172" fontId="0" fillId="0" borderId="0" xfId="0" applyNumberFormat="1" applyAlignment="1">
      <alignment horizontal="centerContinuous"/>
    </xf>
    <xf numFmtId="172" fontId="36" fillId="0" borderId="0" xfId="0" applyNumberFormat="1" applyFont="1"/>
    <xf numFmtId="0" fontId="38" fillId="0" borderId="0" xfId="0" applyFont="1" applyAlignment="1">
      <alignment horizontal="left"/>
    </xf>
    <xf numFmtId="4" fontId="0" fillId="0" borderId="0" xfId="0" applyNumberFormat="1"/>
    <xf numFmtId="172" fontId="7" fillId="0" borderId="0" xfId="0" applyNumberFormat="1" applyFont="1" applyAlignment="1">
      <alignment horizontal="left"/>
    </xf>
    <xf numFmtId="0" fontId="80" fillId="0" borderId="0" xfId="0" applyFont="1" applyAlignment="1">
      <alignment horizontal="centerContinuous" vertical="top"/>
    </xf>
    <xf numFmtId="0" fontId="81" fillId="4" borderId="30" xfId="0" applyFont="1" applyFill="1" applyBorder="1" applyAlignment="1">
      <alignment horizontal="center" vertical="center"/>
    </xf>
    <xf numFmtId="49" fontId="81" fillId="4" borderId="30" xfId="0" applyNumberFormat="1" applyFont="1" applyFill="1" applyBorder="1" applyAlignment="1">
      <alignment horizontal="center" vertical="center"/>
    </xf>
    <xf numFmtId="14" fontId="81" fillId="4" borderId="30" xfId="0" applyNumberFormat="1" applyFont="1" applyFill="1" applyBorder="1" applyAlignment="1">
      <alignment horizontal="center" vertical="center"/>
    </xf>
    <xf numFmtId="0" fontId="82" fillId="4" borderId="31" xfId="0" applyFont="1" applyFill="1" applyBorder="1" applyAlignment="1">
      <alignment horizontal="center" vertical="center"/>
    </xf>
    <xf numFmtId="49" fontId="82" fillId="4" borderId="31" xfId="0" applyNumberFormat="1" applyFont="1" applyFill="1" applyBorder="1" applyAlignment="1">
      <alignment horizontal="center" vertical="center"/>
    </xf>
    <xf numFmtId="14" fontId="82" fillId="4" borderId="31" xfId="0" applyNumberFormat="1" applyFont="1" applyFill="1" applyBorder="1" applyAlignment="1">
      <alignment horizontal="center" vertical="center"/>
    </xf>
    <xf numFmtId="0" fontId="83" fillId="4" borderId="30" xfId="0" applyFont="1" applyFill="1" applyBorder="1" applyAlignment="1">
      <alignment horizontal="center" vertical="center"/>
    </xf>
    <xf numFmtId="49" fontId="83" fillId="4" borderId="30" xfId="0" applyNumberFormat="1" applyFont="1" applyFill="1" applyBorder="1" applyAlignment="1">
      <alignment horizontal="center" vertical="center"/>
    </xf>
    <xf numFmtId="14" fontId="83" fillId="4" borderId="30" xfId="0" applyNumberFormat="1" applyFont="1" applyFill="1" applyBorder="1" applyAlignment="1">
      <alignment horizontal="center" vertical="center"/>
    </xf>
    <xf numFmtId="49" fontId="83" fillId="4" borderId="30" xfId="0" applyNumberFormat="1" applyFont="1" applyFill="1" applyBorder="1" applyAlignment="1">
      <alignment horizontal="left" vertical="center"/>
    </xf>
    <xf numFmtId="169" fontId="83" fillId="4" borderId="30" xfId="0" applyNumberFormat="1" applyFont="1" applyFill="1" applyBorder="1" applyAlignment="1">
      <alignment horizontal="center" vertical="center"/>
    </xf>
    <xf numFmtId="49" fontId="82" fillId="4" borderId="31" xfId="0" applyNumberFormat="1" applyFont="1" applyFill="1" applyBorder="1" applyAlignment="1">
      <alignment horizontal="left" vertical="center"/>
    </xf>
    <xf numFmtId="169" fontId="82" fillId="4" borderId="31" xfId="0" applyNumberFormat="1" applyFont="1" applyFill="1" applyBorder="1" applyAlignment="1">
      <alignment horizontal="center" vertical="center"/>
    </xf>
    <xf numFmtId="49" fontId="84" fillId="4" borderId="31" xfId="0" applyNumberFormat="1" applyFont="1" applyFill="1" applyBorder="1" applyAlignment="1">
      <alignment horizontal="center" vertical="center"/>
    </xf>
    <xf numFmtId="0" fontId="85" fillId="4" borderId="31" xfId="0" applyFont="1" applyFill="1" applyBorder="1" applyAlignment="1">
      <alignment horizontal="center" vertical="center"/>
    </xf>
    <xf numFmtId="49" fontId="85" fillId="4" borderId="31" xfId="0" applyNumberFormat="1" applyFont="1" applyFill="1" applyBorder="1" applyAlignment="1">
      <alignment horizontal="center" vertical="center"/>
    </xf>
    <xf numFmtId="14" fontId="83" fillId="4" borderId="30" xfId="0" applyNumberFormat="1" applyFont="1" applyFill="1" applyBorder="1" applyAlignment="1">
      <alignment horizontal="left" vertical="center"/>
    </xf>
    <xf numFmtId="4" fontId="83" fillId="4" borderId="30" xfId="0" applyNumberFormat="1" applyFont="1" applyFill="1" applyBorder="1" applyAlignment="1">
      <alignment horizontal="center" vertical="center"/>
    </xf>
    <xf numFmtId="171" fontId="83" fillId="4" borderId="30" xfId="0" applyNumberFormat="1" applyFont="1" applyFill="1" applyBorder="1" applyAlignment="1">
      <alignment horizontal="center" vertical="center"/>
    </xf>
    <xf numFmtId="14" fontId="82" fillId="4" borderId="31" xfId="0" applyNumberFormat="1" applyFont="1" applyFill="1" applyBorder="1" applyAlignment="1">
      <alignment horizontal="left" vertical="center"/>
    </xf>
    <xf numFmtId="4" fontId="82" fillId="4" borderId="31" xfId="0" applyNumberFormat="1" applyFont="1" applyFill="1" applyBorder="1" applyAlignment="1">
      <alignment horizontal="center" vertical="center"/>
    </xf>
    <xf numFmtId="171" fontId="82" fillId="4" borderId="31" xfId="0" applyNumberFormat="1" applyFont="1" applyFill="1" applyBorder="1" applyAlignment="1">
      <alignment horizontal="center" vertical="center"/>
    </xf>
    <xf numFmtId="0" fontId="82" fillId="4" borderId="30" xfId="0" applyFont="1" applyFill="1" applyBorder="1" applyAlignment="1">
      <alignment horizontal="center" vertical="center"/>
    </xf>
    <xf numFmtId="14" fontId="85" fillId="4" borderId="31" xfId="0" applyNumberFormat="1" applyFont="1" applyFill="1" applyBorder="1" applyAlignment="1">
      <alignment horizontal="center" vertical="center"/>
    </xf>
    <xf numFmtId="4" fontId="85" fillId="4" borderId="31" xfId="0" applyNumberFormat="1" applyFont="1" applyFill="1" applyBorder="1" applyAlignment="1">
      <alignment horizontal="center" vertical="center"/>
    </xf>
    <xf numFmtId="0" fontId="86" fillId="0" borderId="0" xfId="0" applyFont="1" applyAlignment="1">
      <alignment horizontal="centerContinuous" vertical="center"/>
    </xf>
    <xf numFmtId="0" fontId="72" fillId="4" borderId="34" xfId="0" applyFont="1" applyFill="1" applyBorder="1" applyAlignment="1">
      <alignment horizontal="center"/>
    </xf>
    <xf numFmtId="0" fontId="72" fillId="4" borderId="34" xfId="0" applyFont="1" applyFill="1" applyBorder="1" applyAlignment="1">
      <alignment horizontal="center" textRotation="45"/>
    </xf>
    <xf numFmtId="170" fontId="72" fillId="4" borderId="34" xfId="0" applyNumberFormat="1" applyFont="1" applyFill="1" applyBorder="1" applyAlignment="1">
      <alignment horizontal="center"/>
    </xf>
    <xf numFmtId="0" fontId="81" fillId="4" borderId="40" xfId="0" applyFont="1" applyFill="1" applyBorder="1" applyAlignment="1">
      <alignment horizontal="center" vertical="center"/>
    </xf>
    <xf numFmtId="0" fontId="85" fillId="4" borderId="41" xfId="0" applyFont="1" applyFill="1" applyBorder="1" applyAlignment="1">
      <alignment horizontal="center" vertical="top"/>
    </xf>
    <xf numFmtId="0" fontId="85" fillId="4" borderId="42" xfId="0" applyFont="1" applyFill="1" applyBorder="1" applyAlignment="1">
      <alignment horizontal="center"/>
    </xf>
    <xf numFmtId="0" fontId="85" fillId="4" borderId="39" xfId="0" applyFont="1" applyFill="1" applyBorder="1" applyAlignment="1">
      <alignment horizontal="center"/>
    </xf>
    <xf numFmtId="0" fontId="85" fillId="4" borderId="43" xfId="0" applyFont="1" applyFill="1" applyBorder="1" applyAlignment="1">
      <alignment horizontal="center"/>
    </xf>
    <xf numFmtId="0" fontId="85" fillId="4" borderId="39" xfId="0" applyFont="1" applyFill="1" applyBorder="1" applyAlignment="1">
      <alignment horizontal="center" textRotation="45"/>
    </xf>
    <xf numFmtId="0" fontId="85" fillId="4" borderId="44" xfId="0" applyFont="1" applyFill="1" applyBorder="1" applyAlignment="1">
      <alignment horizontal="center" textRotation="45"/>
    </xf>
    <xf numFmtId="0" fontId="72" fillId="4" borderId="39" xfId="0" applyFont="1" applyFill="1" applyBorder="1" applyAlignment="1">
      <alignment horizontal="center" vertical="center"/>
    </xf>
    <xf numFmtId="0" fontId="87" fillId="0" borderId="0" xfId="0" applyFont="1" applyAlignment="1">
      <alignment horizontal="centerContinuous"/>
    </xf>
    <xf numFmtId="0" fontId="75" fillId="0" borderId="0" xfId="0" applyFont="1" applyAlignment="1">
      <alignment horizontal="centerContinuous"/>
    </xf>
    <xf numFmtId="0" fontId="85" fillId="4" borderId="43" xfId="0" applyFont="1" applyFill="1" applyBorder="1" applyAlignment="1">
      <alignment horizontal="center" textRotation="45"/>
    </xf>
    <xf numFmtId="14" fontId="85" fillId="4" borderId="39" xfId="0" applyNumberFormat="1" applyFont="1" applyFill="1" applyBorder="1" applyAlignment="1">
      <alignment horizontal="center"/>
    </xf>
    <xf numFmtId="14" fontId="85" fillId="4" borderId="43" xfId="0" applyNumberFormat="1" applyFont="1" applyFill="1" applyBorder="1" applyAlignment="1">
      <alignment horizontal="center"/>
    </xf>
    <xf numFmtId="0" fontId="88" fillId="4" borderId="39" xfId="0" applyFont="1" applyFill="1" applyBorder="1" applyAlignment="1">
      <alignment horizontal="center" textRotation="45"/>
    </xf>
    <xf numFmtId="0" fontId="89" fillId="4" borderId="39" xfId="0" applyFont="1" applyFill="1" applyBorder="1" applyAlignment="1">
      <alignment horizontal="center"/>
    </xf>
    <xf numFmtId="172" fontId="89" fillId="4" borderId="39" xfId="0" applyNumberFormat="1" applyFont="1" applyFill="1" applyBorder="1" applyAlignment="1">
      <alignment horizontal="center"/>
    </xf>
    <xf numFmtId="0" fontId="36" fillId="0" borderId="25" xfId="0" applyFont="1" applyBorder="1" applyAlignment="1">
      <alignment horizontal="center" vertical="center"/>
    </xf>
    <xf numFmtId="0" fontId="90" fillId="4" borderId="40" xfId="0" applyFont="1" applyFill="1" applyBorder="1" applyAlignment="1">
      <alignment horizontal="center"/>
    </xf>
    <xf numFmtId="0" fontId="91" fillId="4" borderId="41" xfId="0" applyFont="1" applyFill="1" applyBorder="1" applyAlignment="1">
      <alignment horizontal="center"/>
    </xf>
    <xf numFmtId="0" fontId="90" fillId="4" borderId="40" xfId="0" applyFont="1" applyFill="1" applyBorder="1" applyAlignment="1">
      <alignment horizontal="center" textRotation="45"/>
    </xf>
    <xf numFmtId="0" fontId="92" fillId="4" borderId="41" xfId="0" applyFont="1" applyFill="1" applyBorder="1" applyAlignment="1">
      <alignment horizontal="center" textRotation="45"/>
    </xf>
    <xf numFmtId="0" fontId="88" fillId="4" borderId="41" xfId="0" applyFont="1" applyFill="1" applyBorder="1" applyAlignment="1">
      <alignment horizontal="center" textRotation="45"/>
    </xf>
    <xf numFmtId="2" fontId="90" fillId="4" borderId="40" xfId="0" applyNumberFormat="1" applyFont="1" applyFill="1" applyBorder="1" applyAlignment="1">
      <alignment horizontal="center"/>
    </xf>
    <xf numFmtId="2" fontId="91" fillId="4" borderId="41" xfId="0" applyNumberFormat="1" applyFont="1" applyFill="1" applyBorder="1" applyAlignment="1">
      <alignment horizontal="center"/>
    </xf>
    <xf numFmtId="0" fontId="81" fillId="4" borderId="40" xfId="0" applyFont="1" applyFill="1" applyBorder="1" applyAlignment="1">
      <alignment horizontal="center"/>
    </xf>
    <xf numFmtId="0" fontId="82" fillId="4" borderId="41" xfId="0" applyFont="1" applyFill="1" applyBorder="1" applyAlignment="1">
      <alignment horizontal="center" vertical="top"/>
    </xf>
    <xf numFmtId="0" fontId="85" fillId="4" borderId="31" xfId="0" applyFont="1" applyFill="1" applyBorder="1" applyAlignment="1">
      <alignment horizontal="center" vertical="top"/>
    </xf>
    <xf numFmtId="0" fontId="83" fillId="4" borderId="30" xfId="0" applyFont="1" applyFill="1" applyBorder="1" applyAlignment="1">
      <alignment horizontal="center"/>
    </xf>
    <xf numFmtId="14" fontId="83" fillId="4" borderId="30" xfId="0" applyNumberFormat="1" applyFont="1" applyFill="1" applyBorder="1" applyAlignment="1">
      <alignment horizontal="center"/>
    </xf>
    <xf numFmtId="170" fontId="83" fillId="4" borderId="30" xfId="0" applyNumberFormat="1" applyFont="1" applyFill="1" applyBorder="1" applyAlignment="1">
      <alignment horizontal="center"/>
    </xf>
    <xf numFmtId="169" fontId="83" fillId="4" borderId="30" xfId="0" applyNumberFormat="1" applyFont="1" applyFill="1" applyBorder="1" applyAlignment="1">
      <alignment horizontal="center"/>
    </xf>
    <xf numFmtId="14" fontId="85" fillId="4" borderId="31" xfId="0" applyNumberFormat="1" applyFont="1" applyFill="1" applyBorder="1" applyAlignment="1">
      <alignment horizontal="center" vertical="top"/>
    </xf>
    <xf numFmtId="170" fontId="85" fillId="4" borderId="31" xfId="0" applyNumberFormat="1" applyFont="1" applyFill="1" applyBorder="1" applyAlignment="1">
      <alignment horizontal="center" vertical="top"/>
    </xf>
    <xf numFmtId="169" fontId="85" fillId="4" borderId="31" xfId="0" applyNumberFormat="1" applyFont="1" applyFill="1" applyBorder="1" applyAlignment="1">
      <alignment horizontal="center" vertical="top"/>
    </xf>
    <xf numFmtId="4" fontId="81" fillId="4" borderId="30" xfId="0" applyNumberFormat="1" applyFont="1" applyFill="1" applyBorder="1" applyAlignment="1">
      <alignment horizontal="center" vertical="center"/>
    </xf>
    <xf numFmtId="49" fontId="85" fillId="4" borderId="31" xfId="0" applyNumberFormat="1" applyFont="1" applyFill="1" applyBorder="1" applyAlignment="1">
      <alignment horizontal="center" vertical="top"/>
    </xf>
    <xf numFmtId="49" fontId="85" fillId="4" borderId="31" xfId="0" applyNumberFormat="1" applyFont="1" applyFill="1" applyBorder="1" applyAlignment="1">
      <alignment horizontal="center" textRotation="45"/>
    </xf>
    <xf numFmtId="0" fontId="85" fillId="4" borderId="31" xfId="0" applyFont="1" applyFill="1" applyBorder="1" applyAlignment="1">
      <alignment horizontal="center"/>
    </xf>
    <xf numFmtId="4" fontId="85" fillId="4" borderId="31" xfId="0" applyNumberFormat="1" applyFont="1" applyFill="1" applyBorder="1" applyAlignment="1">
      <alignment horizontal="center" vertical="top"/>
    </xf>
    <xf numFmtId="0" fontId="41" fillId="0" borderId="32" xfId="0" applyFont="1" applyBorder="1" applyAlignment="1">
      <alignment vertical="center"/>
    </xf>
    <xf numFmtId="0" fontId="78" fillId="6" borderId="35" xfId="0" applyFont="1" applyFill="1" applyBorder="1" applyAlignment="1">
      <alignment horizontal="center"/>
    </xf>
    <xf numFmtId="0" fontId="78" fillId="6" borderId="36" xfId="0" applyFont="1" applyFill="1" applyBorder="1" applyAlignment="1">
      <alignment horizontal="center"/>
    </xf>
    <xf numFmtId="0" fontId="79" fillId="6" borderId="37" xfId="0" applyFont="1" applyFill="1" applyBorder="1" applyAlignment="1">
      <alignment horizontal="center" vertical="top"/>
    </xf>
    <xf numFmtId="0" fontId="79" fillId="6" borderId="38" xfId="0" applyFont="1" applyFill="1" applyBorder="1" applyAlignment="1">
      <alignment horizontal="center" vertical="top"/>
    </xf>
    <xf numFmtId="14" fontId="40" fillId="0" borderId="0" xfId="0" applyNumberFormat="1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4" fontId="40" fillId="0" borderId="0" xfId="0" applyNumberFormat="1" applyFont="1" applyAlignment="1">
      <alignment horizontal="left" vertical="center"/>
    </xf>
    <xf numFmtId="171" fontId="40" fillId="0" borderId="0" xfId="0" applyNumberFormat="1" applyFont="1" applyAlignment="1">
      <alignment horizontal="left" vertical="center"/>
    </xf>
    <xf numFmtId="0" fontId="36" fillId="0" borderId="26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 wrapText="1"/>
    </xf>
    <xf numFmtId="49" fontId="7" fillId="0" borderId="33" xfId="0" applyNumberFormat="1" applyFont="1" applyBorder="1" applyAlignment="1">
      <alignment horizontal="center" vertical="center"/>
    </xf>
    <xf numFmtId="49" fontId="7" fillId="0" borderId="33" xfId="0" applyNumberFormat="1" applyFont="1" applyBorder="1" applyAlignment="1">
      <alignment horizontal="left"/>
    </xf>
    <xf numFmtId="49" fontId="7" fillId="0" borderId="33" xfId="0" applyNumberFormat="1" applyFont="1" applyBorder="1" applyAlignment="1">
      <alignment horizontal="left" vertical="center"/>
    </xf>
    <xf numFmtId="2" fontId="64" fillId="0" borderId="0" xfId="0" applyNumberFormat="1" applyFont="1" applyAlignment="1">
      <alignment vertical="center"/>
    </xf>
    <xf numFmtId="14" fontId="36" fillId="0" borderId="33" xfId="0" applyNumberFormat="1" applyFont="1" applyBorder="1" applyAlignment="1">
      <alignment horizontal="right"/>
    </xf>
    <xf numFmtId="49" fontId="38" fillId="0" borderId="25" xfId="0" applyNumberFormat="1" applyFont="1" applyBorder="1" applyAlignment="1">
      <alignment horizontal="center" vertical="center"/>
    </xf>
    <xf numFmtId="2" fontId="38" fillId="0" borderId="25" xfId="0" applyNumberFormat="1" applyFont="1" applyBorder="1" applyAlignment="1">
      <alignment horizontal="right" vertical="center"/>
    </xf>
    <xf numFmtId="168" fontId="36" fillId="0" borderId="25" xfId="0" applyNumberFormat="1" applyFont="1" applyBorder="1" applyAlignment="1">
      <alignment horizontal="right" vertical="center"/>
    </xf>
    <xf numFmtId="2" fontId="36" fillId="0" borderId="25" xfId="0" applyNumberFormat="1" applyFont="1" applyBorder="1" applyAlignment="1">
      <alignment horizontal="right" vertical="center"/>
    </xf>
    <xf numFmtId="14" fontId="36" fillId="0" borderId="25" xfId="0" applyNumberFormat="1" applyFont="1" applyBorder="1" applyAlignment="1">
      <alignment horizontal="right" vertical="center"/>
    </xf>
    <xf numFmtId="14" fontId="36" fillId="0" borderId="33" xfId="0" applyNumberFormat="1" applyFont="1" applyBorder="1" applyAlignment="1">
      <alignment horizontal="right" vertical="center"/>
    </xf>
    <xf numFmtId="0" fontId="85" fillId="0" borderId="0" xfId="0" applyFont="1" applyAlignment="1">
      <alignment horizontal="center" vertical="center"/>
    </xf>
    <xf numFmtId="49" fontId="85" fillId="0" borderId="0" xfId="0" applyNumberFormat="1" applyFont="1" applyAlignment="1">
      <alignment horizontal="center" vertical="center"/>
    </xf>
    <xf numFmtId="14" fontId="85" fillId="0" borderId="0" xfId="0" applyNumberFormat="1" applyFont="1" applyAlignment="1">
      <alignment horizontal="center" vertical="center"/>
    </xf>
    <xf numFmtId="4" fontId="85" fillId="0" borderId="0" xfId="0" applyNumberFormat="1" applyFont="1" applyAlignment="1">
      <alignment horizontal="center" vertical="center"/>
    </xf>
    <xf numFmtId="0" fontId="44" fillId="0" borderId="0" xfId="0" applyFont="1" applyAlignment="1">
      <alignment horizontal="centerContinuous" vertical="center"/>
    </xf>
    <xf numFmtId="0" fontId="36" fillId="0" borderId="0" xfId="0" applyFont="1" applyAlignment="1">
      <alignment horizontal="center"/>
    </xf>
    <xf numFmtId="0" fontId="42" fillId="0" borderId="0" xfId="0" applyFont="1" applyAlignment="1">
      <alignment horizontal="left" vertical="center"/>
    </xf>
    <xf numFmtId="0" fontId="42" fillId="0" borderId="33" xfId="0" applyFont="1" applyBorder="1" applyAlignment="1">
      <alignment horizontal="left" vertical="center"/>
    </xf>
    <xf numFmtId="0" fontId="42" fillId="0" borderId="25" xfId="0" applyFont="1" applyBorder="1" applyAlignment="1">
      <alignment horizontal="center" vertical="center"/>
    </xf>
    <xf numFmtId="0" fontId="91" fillId="5" borderId="33" xfId="0" applyFont="1" applyFill="1" applyBorder="1" applyAlignment="1">
      <alignment horizontal="center" vertical="center"/>
    </xf>
    <xf numFmtId="0" fontId="42" fillId="0" borderId="33" xfId="0" applyFont="1" applyBorder="1" applyAlignment="1">
      <alignment horizontal="left"/>
    </xf>
    <xf numFmtId="0" fontId="42" fillId="0" borderId="33" xfId="0" applyFont="1" applyBorder="1" applyAlignment="1">
      <alignment vertical="center"/>
    </xf>
    <xf numFmtId="0" fontId="53" fillId="0" borderId="0" xfId="0" applyFont="1" applyAlignment="1">
      <alignment horizontal="centerContinuous" vertical="center"/>
    </xf>
    <xf numFmtId="49" fontId="36" fillId="0" borderId="0" xfId="0" applyNumberFormat="1" applyFont="1" applyAlignment="1">
      <alignment horizontal="center"/>
    </xf>
    <xf numFmtId="0" fontId="58" fillId="0" borderId="0" xfId="0" applyFont="1" applyAlignment="1">
      <alignment horizontal="center" vertical="top"/>
    </xf>
    <xf numFmtId="0" fontId="63" fillId="0" borderId="0" xfId="0" applyFont="1" applyAlignment="1">
      <alignment horizontal="center" vertical="center"/>
    </xf>
    <xf numFmtId="49" fontId="58" fillId="0" borderId="0" xfId="0" applyNumberFormat="1" applyFont="1" applyAlignment="1">
      <alignment horizontal="center" vertical="top"/>
    </xf>
    <xf numFmtId="0" fontId="83" fillId="0" borderId="0" xfId="0" applyFont="1" applyAlignment="1">
      <alignment horizontal="center"/>
    </xf>
    <xf numFmtId="0" fontId="85" fillId="0" borderId="0" xfId="0" applyFont="1" applyAlignment="1">
      <alignment horizontal="center" vertical="top"/>
    </xf>
    <xf numFmtId="14" fontId="83" fillId="0" borderId="0" xfId="0" applyNumberFormat="1" applyFont="1" applyAlignment="1">
      <alignment horizontal="center"/>
    </xf>
    <xf numFmtId="14" fontId="85" fillId="0" borderId="0" xfId="0" applyNumberFormat="1" applyFont="1" applyAlignment="1">
      <alignment horizontal="center" vertical="top"/>
    </xf>
    <xf numFmtId="170" fontId="83" fillId="0" borderId="0" xfId="0" applyNumberFormat="1" applyFont="1" applyAlignment="1">
      <alignment horizontal="center"/>
    </xf>
    <xf numFmtId="170" fontId="85" fillId="0" borderId="0" xfId="0" applyNumberFormat="1" applyFont="1" applyAlignment="1">
      <alignment horizontal="center" vertical="top"/>
    </xf>
    <xf numFmtId="169" fontId="83" fillId="0" borderId="0" xfId="0" applyNumberFormat="1" applyFont="1" applyAlignment="1">
      <alignment horizontal="center"/>
    </xf>
    <xf numFmtId="169" fontId="85" fillId="0" borderId="0" xfId="0" applyNumberFormat="1" applyFont="1" applyAlignment="1">
      <alignment horizontal="center" vertical="top"/>
    </xf>
    <xf numFmtId="0" fontId="81" fillId="0" borderId="0" xfId="0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93" fillId="0" borderId="33" xfId="0" applyFont="1" applyBorder="1" applyAlignment="1">
      <alignment horizontal="left" vertical="center"/>
    </xf>
    <xf numFmtId="14" fontId="36" fillId="0" borderId="25" xfId="0" applyNumberFormat="1" applyFont="1" applyBorder="1" applyAlignment="1">
      <alignment horizontal="right"/>
    </xf>
    <xf numFmtId="49" fontId="36" fillId="0" borderId="0" xfId="0" applyNumberFormat="1" applyFont="1" applyAlignment="1">
      <alignment horizontal="left"/>
    </xf>
    <xf numFmtId="0" fontId="49" fillId="0" borderId="0" xfId="0" applyFont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0" xfId="0" applyFont="1" applyAlignment="1">
      <alignment horizontal="center" vertical="top"/>
    </xf>
    <xf numFmtId="14" fontId="11" fillId="2" borderId="0" xfId="0" applyNumberFormat="1" applyFont="1" applyFill="1" applyAlignment="1">
      <alignment horizontal="right" vertical="center"/>
    </xf>
    <xf numFmtId="165" fontId="11" fillId="2" borderId="0" xfId="3" applyNumberFormat="1" applyFont="1" applyFill="1" applyAlignment="1">
      <alignment horizontal="right"/>
    </xf>
    <xf numFmtId="0" fontId="10" fillId="0" borderId="17" xfId="0" applyFont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vertical="center"/>
    </xf>
    <xf numFmtId="0" fontId="23" fillId="0" borderId="12" xfId="0" applyFont="1" applyBorder="1" applyAlignment="1">
      <alignment horizontal="center" vertical="top"/>
    </xf>
    <xf numFmtId="0" fontId="23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1" fillId="0" borderId="16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8" fillId="0" borderId="15" xfId="0" applyFont="1" applyBorder="1" applyAlignment="1">
      <alignment horizontal="left" wrapText="1"/>
    </xf>
    <xf numFmtId="0" fontId="8" fillId="0" borderId="15" xfId="0" applyFont="1" applyBorder="1" applyAlignment="1">
      <alignment horizontal="left"/>
    </xf>
    <xf numFmtId="0" fontId="9" fillId="0" borderId="15" xfId="0" applyFont="1" applyBorder="1" applyAlignment="1">
      <alignment horizontal="left"/>
    </xf>
    <xf numFmtId="0" fontId="2" fillId="0" borderId="15" xfId="1" applyBorder="1" applyAlignment="1">
      <alignment horizontal="left"/>
    </xf>
    <xf numFmtId="0" fontId="8" fillId="0" borderId="24" xfId="0" applyFont="1" applyBorder="1" applyAlignment="1">
      <alignment horizontal="center"/>
    </xf>
    <xf numFmtId="0" fontId="15" fillId="0" borderId="7" xfId="0" applyFont="1" applyBorder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left" vertical="center"/>
    </xf>
    <xf numFmtId="0" fontId="24" fillId="2" borderId="0" xfId="0" applyFont="1" applyFill="1" applyAlignment="1">
      <alignment horizontal="left"/>
    </xf>
    <xf numFmtId="0" fontId="32" fillId="0" borderId="3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13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8" fillId="0" borderId="17" xfId="0" applyFont="1" applyBorder="1" applyAlignment="1" applyProtection="1">
      <alignment horizontal="center" wrapText="1"/>
      <protection locked="0"/>
    </xf>
    <xf numFmtId="43" fontId="25" fillId="0" borderId="14" xfId="3" applyFont="1" applyBorder="1" applyAlignment="1">
      <alignment horizontal="center" vertical="center"/>
    </xf>
    <xf numFmtId="43" fontId="25" fillId="0" borderId="23" xfId="3" applyFont="1" applyBorder="1" applyAlignment="1">
      <alignment horizontal="center" vertical="center"/>
    </xf>
    <xf numFmtId="165" fontId="25" fillId="0" borderId="14" xfId="0" applyNumberFormat="1" applyFont="1" applyBorder="1" applyAlignment="1">
      <alignment horizontal="center" vertical="center"/>
    </xf>
    <xf numFmtId="165" fontId="25" fillId="0" borderId="23" xfId="0" applyNumberFormat="1" applyFont="1" applyBorder="1" applyAlignment="1">
      <alignment horizontal="center" vertical="center"/>
    </xf>
    <xf numFmtId="0" fontId="8" fillId="0" borderId="21" xfId="0" applyFont="1" applyBorder="1" applyAlignment="1" applyProtection="1">
      <alignment horizontal="center" wrapText="1"/>
      <protection locked="0"/>
    </xf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26" fillId="0" borderId="4" xfId="0" applyFont="1" applyBorder="1" applyAlignment="1">
      <alignment horizontal="left" vertical="center" wrapText="1"/>
    </xf>
    <xf numFmtId="0" fontId="26" fillId="0" borderId="5" xfId="0" applyFont="1" applyBorder="1" applyAlignment="1">
      <alignment horizontal="left" vertical="center" wrapText="1"/>
    </xf>
    <xf numFmtId="0" fontId="8" fillId="0" borderId="17" xfId="0" applyFont="1" applyBorder="1" applyAlignment="1" applyProtection="1">
      <alignment horizontal="left" vertical="center" wrapText="1" indent="1"/>
      <protection locked="0"/>
    </xf>
    <xf numFmtId="0" fontId="8" fillId="0" borderId="17" xfId="0" applyFont="1" applyBorder="1" applyAlignment="1" applyProtection="1">
      <alignment vertical="center" wrapText="1"/>
      <protection locked="0"/>
    </xf>
    <xf numFmtId="0" fontId="31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0" fillId="0" borderId="17" xfId="0" applyFont="1" applyBorder="1" applyAlignment="1" applyProtection="1">
      <alignment vertical="center" wrapText="1"/>
      <protection locked="0"/>
    </xf>
  </cellXfs>
  <cellStyles count="6">
    <cellStyle name="Comma" xfId="3" builtinId="3"/>
    <cellStyle name="Comma 2 2" xfId="5" xr:uid="{00000000-0005-0000-0000-000001000000}"/>
    <cellStyle name="Hyperlink" xfId="1" builtinId="8"/>
    <cellStyle name="Normal" xfId="0" builtinId="0"/>
    <cellStyle name="Normal 3" xfId="4" xr:uid="{00000000-0005-0000-0000-000005000000}"/>
    <cellStyle name="Percent" xfId="2" builtinId="5"/>
  </cellStyles>
  <dxfs count="0"/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0066CC"/>
      <color rgb="FFEFF6FB"/>
      <color rgb="FFEAF3FA"/>
      <color rgb="FF000099"/>
      <color rgb="FFF3FAFF"/>
      <color rgb="FFFF6600"/>
      <color rgb="FFCBECFD"/>
      <color rgb="FF0033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5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microsoft.com/office/2023/09/relationships/Python" Target="pytho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7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jpeg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79375</xdr:colOff>
      <xdr:row>5</xdr:row>
      <xdr:rowOff>71438</xdr:rowOff>
    </xdr:from>
    <xdr:to>
      <xdr:col>2</xdr:col>
      <xdr:colOff>3305174</xdr:colOff>
      <xdr:row>6</xdr:row>
      <xdr:rowOff>191793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DDE6409-8364-4252-81F3-14B9E556AB19}"/>
            </a:ext>
          </a:extLst>
        </xdr:cNvPr>
        <xdr:cNvGrpSpPr/>
      </xdr:nvGrpSpPr>
      <xdr:grpSpPr>
        <a:xfrm>
          <a:off x="484188" y="1381126"/>
          <a:ext cx="3225799" cy="501355"/>
          <a:chOff x="19188906" y="645582"/>
          <a:chExt cx="1163973" cy="499371"/>
        </a:xfrm>
      </xdr:grpSpPr>
      <xdr:sp macro="[0]!goToInvAdjData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F349350F-86C2-F3A8-CFE2-98707CA0F93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ata" textlink="">
        <xdr:nvSpPr>
          <xdr:cNvPr id="5" name="Rectangle 4">
            <a:extLst>
              <a:ext uri="{FF2B5EF4-FFF2-40B4-BE49-F238E27FC236}">
                <a16:creationId xmlns:a16="http://schemas.microsoft.com/office/drawing/2014/main" id="{464B677F-0D56-29CF-9512-057F397726B9}"/>
              </a:ext>
            </a:extLst>
          </xdr:cNvPr>
          <xdr:cNvSpPr/>
        </xdr:nvSpPr>
        <xdr:spPr>
          <a:xfrm>
            <a:off x="19462726" y="717728"/>
            <a:ext cx="113407" cy="36901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6</xdr:row>
      <xdr:rowOff>266700</xdr:rowOff>
    </xdr:from>
    <xdr:to>
      <xdr:col>2</xdr:col>
      <xdr:colOff>3305174</xdr:colOff>
      <xdr:row>8</xdr:row>
      <xdr:rowOff>6055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A415161-925A-FCAE-CF84-3CAA35AD45F4}"/>
            </a:ext>
          </a:extLst>
        </xdr:cNvPr>
        <xdr:cNvGrpSpPr/>
      </xdr:nvGrpSpPr>
      <xdr:grpSpPr>
        <a:xfrm>
          <a:off x="484188" y="1957388"/>
          <a:ext cx="3225799" cy="501355"/>
          <a:chOff x="19188906" y="645582"/>
          <a:chExt cx="1163973" cy="499371"/>
        </a:xfrm>
      </xdr:grpSpPr>
      <xdr:sp macro="[0]!goToInvAdjDetailData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B44746D3-45A0-4C99-C844-8DF2EFD4445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សន្និធិ(ស្តុក)លំអិត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etailData" textlink="">
        <xdr:nvSpPr>
          <xdr:cNvPr id="8" name="Rectangle 7">
            <a:extLst>
              <a:ext uri="{FF2B5EF4-FFF2-40B4-BE49-F238E27FC236}">
                <a16:creationId xmlns:a16="http://schemas.microsoft.com/office/drawing/2014/main" id="{EF1074EF-84C5-216F-664F-06F6A72CF2BD}"/>
              </a:ext>
            </a:extLst>
          </xdr:cNvPr>
          <xdr:cNvSpPr/>
        </xdr:nvSpPr>
        <xdr:spPr>
          <a:xfrm>
            <a:off x="19438667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V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8</xdr:row>
      <xdr:rowOff>95250</xdr:rowOff>
    </xdr:from>
    <xdr:to>
      <xdr:col>2</xdr:col>
      <xdr:colOff>3305174</xdr:colOff>
      <xdr:row>9</xdr:row>
      <xdr:rowOff>215605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8534B52-1E1B-2915-F426-1DF5500E8756}"/>
            </a:ext>
          </a:extLst>
        </xdr:cNvPr>
        <xdr:cNvGrpSpPr/>
      </xdr:nvGrpSpPr>
      <xdr:grpSpPr>
        <a:xfrm>
          <a:off x="484188" y="2547938"/>
          <a:ext cx="3225799" cy="501355"/>
          <a:chOff x="19188906" y="645582"/>
          <a:chExt cx="1163973" cy="499371"/>
        </a:xfrm>
      </xdr:grpSpPr>
      <xdr:sp macro="[0]!goInventory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8484B6A4-1EC2-B86F-C550-FD7507504AE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" textlink="">
        <xdr:nvSpPr>
          <xdr:cNvPr id="11" name="Rectangle 10">
            <a:extLst>
              <a:ext uri="{FF2B5EF4-FFF2-40B4-BE49-F238E27FC236}">
                <a16:creationId xmlns:a16="http://schemas.microsoft.com/office/drawing/2014/main" id="{831A858B-9D9E-6320-144D-E16E41053B98}"/>
              </a:ext>
            </a:extLst>
          </xdr:cNvPr>
          <xdr:cNvSpPr/>
        </xdr:nvSpPr>
        <xdr:spPr>
          <a:xfrm>
            <a:off x="19328685" y="78414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9</xdr:row>
      <xdr:rowOff>314325</xdr:rowOff>
    </xdr:from>
    <xdr:to>
      <xdr:col>2</xdr:col>
      <xdr:colOff>3305174</xdr:colOff>
      <xdr:row>11</xdr:row>
      <xdr:rowOff>53680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20ACD636-5416-830B-F579-2043515A0EEC}"/>
            </a:ext>
          </a:extLst>
        </xdr:cNvPr>
        <xdr:cNvGrpSpPr/>
      </xdr:nvGrpSpPr>
      <xdr:grpSpPr>
        <a:xfrm>
          <a:off x="484188" y="3148013"/>
          <a:ext cx="3225799" cy="501355"/>
          <a:chOff x="19188906" y="645582"/>
          <a:chExt cx="1163973" cy="499371"/>
        </a:xfrm>
      </xdr:grpSpPr>
      <xdr:sp macro="[0]!goInventoryTotal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7E12C92B-3E2D-C417-DA5A-435EA715F26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2A9FD49-14F7-5E73-A0E8-97F4D1D1CDD0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11</xdr:row>
      <xdr:rowOff>152400</xdr:rowOff>
    </xdr:from>
    <xdr:to>
      <xdr:col>2</xdr:col>
      <xdr:colOff>3305174</xdr:colOff>
      <xdr:row>12</xdr:row>
      <xdr:rowOff>272755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68E4D15-FEAD-A315-7EAA-5A3A213A935D}"/>
            </a:ext>
          </a:extLst>
        </xdr:cNvPr>
        <xdr:cNvGrpSpPr/>
      </xdr:nvGrpSpPr>
      <xdr:grpSpPr>
        <a:xfrm>
          <a:off x="484188" y="3748088"/>
          <a:ext cx="3225799" cy="501355"/>
          <a:chOff x="19188906" y="645582"/>
          <a:chExt cx="1163973" cy="499371"/>
        </a:xfrm>
      </xdr:grpSpPr>
      <xdr:sp macro="[0]!goInventoryTotalDetai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FED3FE3-819A-49D1-B8E9-4DDBE0C918B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Detail" textlink="">
        <xdr:nvSpPr>
          <xdr:cNvPr id="17" name="Rectangle 16">
            <a:extLst>
              <a:ext uri="{FF2B5EF4-FFF2-40B4-BE49-F238E27FC236}">
                <a16:creationId xmlns:a16="http://schemas.microsoft.com/office/drawing/2014/main" id="{D9D90328-4962-1DE1-CE2A-F806C8913DB9}"/>
              </a:ext>
            </a:extLst>
          </xdr:cNvPr>
          <xdr:cNvSpPr/>
        </xdr:nvSpPr>
        <xdr:spPr>
          <a:xfrm>
            <a:off x="19211829" y="793627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12</xdr:row>
      <xdr:rowOff>371475</xdr:rowOff>
    </xdr:from>
    <xdr:to>
      <xdr:col>2</xdr:col>
      <xdr:colOff>3305174</xdr:colOff>
      <xdr:row>14</xdr:row>
      <xdr:rowOff>110830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DA25545D-B5BE-20C1-E1F7-701E41F5B134}"/>
            </a:ext>
          </a:extLst>
        </xdr:cNvPr>
        <xdr:cNvGrpSpPr/>
      </xdr:nvGrpSpPr>
      <xdr:grpSpPr>
        <a:xfrm>
          <a:off x="484188" y="4348163"/>
          <a:ext cx="3225799" cy="501355"/>
          <a:chOff x="19188906" y="645582"/>
          <a:chExt cx="1163973" cy="499371"/>
        </a:xfrm>
      </xdr:grpSpPr>
      <xdr:sp macro="[0]!goGroupTotal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1BB1F51D-B413-4563-9F13-1A120BD19B0D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AE9E33A-336B-53B1-8B8E-FFF5C730467D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14</xdr:row>
      <xdr:rowOff>203495</xdr:rowOff>
    </xdr:from>
    <xdr:to>
      <xdr:col>2</xdr:col>
      <xdr:colOff>3305174</xdr:colOff>
      <xdr:row>15</xdr:row>
      <xdr:rowOff>323850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CE698650-0F7E-45FC-1F28-D2D080EF4BFA}"/>
            </a:ext>
          </a:extLst>
        </xdr:cNvPr>
        <xdr:cNvGrpSpPr/>
      </xdr:nvGrpSpPr>
      <xdr:grpSpPr>
        <a:xfrm>
          <a:off x="484188" y="4942183"/>
          <a:ext cx="3225799" cy="501355"/>
          <a:chOff x="19188906" y="645582"/>
          <a:chExt cx="1163973" cy="499371"/>
        </a:xfrm>
      </xdr:grpSpPr>
      <xdr:sp macro="[0]!goGroupTotalDetail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8B37F417-4A08-F431-66D6-2883235DE79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Detail" textlink="">
        <xdr:nvSpPr>
          <xdr:cNvPr id="23" name="Rectangle 22">
            <a:extLst>
              <a:ext uri="{FF2B5EF4-FFF2-40B4-BE49-F238E27FC236}">
                <a16:creationId xmlns:a16="http://schemas.microsoft.com/office/drawing/2014/main" id="{7582449C-A91A-DDB8-75A6-F79620722527}"/>
              </a:ext>
            </a:extLst>
          </xdr:cNvPr>
          <xdr:cNvSpPr/>
        </xdr:nvSpPr>
        <xdr:spPr>
          <a:xfrm>
            <a:off x="19229014" y="737000"/>
            <a:ext cx="129680" cy="3423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16</xdr:row>
      <xdr:rowOff>51095</xdr:rowOff>
    </xdr:from>
    <xdr:to>
      <xdr:col>2</xdr:col>
      <xdr:colOff>3305174</xdr:colOff>
      <xdr:row>17</xdr:row>
      <xdr:rowOff>171450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850F1C-231B-A568-C183-B2707A44B7D6}"/>
            </a:ext>
          </a:extLst>
        </xdr:cNvPr>
        <xdr:cNvGrpSpPr/>
      </xdr:nvGrpSpPr>
      <xdr:grpSpPr>
        <a:xfrm>
          <a:off x="484188" y="5551783"/>
          <a:ext cx="3225799" cy="501355"/>
          <a:chOff x="19188906" y="645582"/>
          <a:chExt cx="1163973" cy="499371"/>
        </a:xfrm>
      </xdr:grpSpPr>
      <xdr:sp macro="[0]!goInventoryValuation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A6AEECAC-FA63-287E-86AF-4D8A52C6A5B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បញ្ជីរង្វាយតម្លៃសន្និ(ស្តុក)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Valuation" textlink="">
        <xdr:nvSpPr>
          <xdr:cNvPr id="26" name="Rectangle 25">
            <a:extLst>
              <a:ext uri="{FF2B5EF4-FFF2-40B4-BE49-F238E27FC236}">
                <a16:creationId xmlns:a16="http://schemas.microsoft.com/office/drawing/2014/main" id="{4FF13239-B017-598D-72B5-522290BD4F23}"/>
              </a:ext>
            </a:extLst>
          </xdr:cNvPr>
          <xdr:cNvSpPr/>
        </xdr:nvSpPr>
        <xdr:spPr>
          <a:xfrm>
            <a:off x="19338996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5</xdr:row>
      <xdr:rowOff>71438</xdr:rowOff>
    </xdr:from>
    <xdr:to>
      <xdr:col>3</xdr:col>
      <xdr:colOff>2952751</xdr:colOff>
      <xdr:row>6</xdr:row>
      <xdr:rowOff>191793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AE5010C3-8144-D9DF-6E49-1750B428160B}"/>
            </a:ext>
          </a:extLst>
        </xdr:cNvPr>
        <xdr:cNvGrpSpPr/>
      </xdr:nvGrpSpPr>
      <xdr:grpSpPr>
        <a:xfrm>
          <a:off x="3908427" y="1381126"/>
          <a:ext cx="2854324" cy="501355"/>
          <a:chOff x="19188906" y="645582"/>
          <a:chExt cx="1163973" cy="499371"/>
        </a:xfrm>
      </xdr:grpSpPr>
      <xdr:sp macro="[0]!goPurchaseBill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5E5AED64-64D9-D08C-0276-BE7421B53C7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" textlink="">
        <xdr:nvSpPr>
          <xdr:cNvPr id="29" name="Rectangle 28">
            <a:extLst>
              <a:ext uri="{FF2B5EF4-FFF2-40B4-BE49-F238E27FC236}">
                <a16:creationId xmlns:a16="http://schemas.microsoft.com/office/drawing/2014/main" id="{3862A342-0060-DD63-A4FB-2AF5D2CAA629}"/>
              </a:ext>
            </a:extLst>
          </xdr:cNvPr>
          <xdr:cNvSpPr/>
        </xdr:nvSpPr>
        <xdr:spPr>
          <a:xfrm>
            <a:off x="19451073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6</xdr:row>
      <xdr:rowOff>260645</xdr:rowOff>
    </xdr:from>
    <xdr:to>
      <xdr:col>3</xdr:col>
      <xdr:colOff>2952751</xdr:colOff>
      <xdr:row>8</xdr:row>
      <xdr:rowOff>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7EF80D1-4345-FCF6-00FF-E1CE2CF3AC4F}"/>
            </a:ext>
          </a:extLst>
        </xdr:cNvPr>
        <xdr:cNvGrpSpPr/>
      </xdr:nvGrpSpPr>
      <xdr:grpSpPr>
        <a:xfrm>
          <a:off x="3908427" y="1951333"/>
          <a:ext cx="2854324" cy="501355"/>
          <a:chOff x="19188906" y="645582"/>
          <a:chExt cx="1163973" cy="499371"/>
        </a:xfrm>
      </xdr:grpSpPr>
      <xdr:sp macro="[0]!goPurchaseBillDetail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24365E72-74B1-0DF7-0967-F3460B11280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Detail" textlink="">
        <xdr:nvSpPr>
          <xdr:cNvPr id="32" name="Rectangle 31">
            <a:extLst>
              <a:ext uri="{FF2B5EF4-FFF2-40B4-BE49-F238E27FC236}">
                <a16:creationId xmlns:a16="http://schemas.microsoft.com/office/drawing/2014/main" id="{2837C5F6-7665-16D0-42E6-1E4B4F18AAFC}"/>
              </a:ext>
            </a:extLst>
          </xdr:cNvPr>
          <xdr:cNvSpPr/>
        </xdr:nvSpPr>
        <xdr:spPr>
          <a:xfrm>
            <a:off x="19377273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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127002</xdr:colOff>
      <xdr:row>5</xdr:row>
      <xdr:rowOff>71438</xdr:rowOff>
    </xdr:from>
    <xdr:to>
      <xdr:col>4</xdr:col>
      <xdr:colOff>2505076</xdr:colOff>
      <xdr:row>15</xdr:row>
      <xdr:rowOff>323850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26150D-538E-34C6-11C3-99C177F65698}"/>
            </a:ext>
          </a:extLst>
        </xdr:cNvPr>
        <xdr:cNvGrpSpPr/>
      </xdr:nvGrpSpPr>
      <xdr:grpSpPr>
        <a:xfrm>
          <a:off x="6973096" y="1381126"/>
          <a:ext cx="2378074" cy="4062412"/>
          <a:chOff x="7185027" y="1385888"/>
          <a:chExt cx="2378074" cy="4062412"/>
        </a:xfrm>
      </xdr:grpSpPr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F302175A-53FC-0CEC-C934-85E5200F6300}"/>
              </a:ext>
            </a:extLst>
          </xdr:cNvPr>
          <xdr:cNvGrpSpPr/>
        </xdr:nvGrpSpPr>
        <xdr:grpSpPr>
          <a:xfrm>
            <a:off x="7185027" y="1385888"/>
            <a:ext cx="2378074" cy="501355"/>
            <a:chOff x="19188906" y="645582"/>
            <a:chExt cx="1163973" cy="499371"/>
          </a:xfrm>
        </xdr:grpSpPr>
        <xdr:sp macro="[0]!goReceivePayment" textlink="">
          <xdr:nvSpPr>
            <xdr:cNvPr id="37" name="Rectangle: Rounded Corners 36">
              <a:extLst>
                <a:ext uri="{FF2B5EF4-FFF2-40B4-BE49-F238E27FC236}">
                  <a16:creationId xmlns:a16="http://schemas.microsoft.com/office/drawing/2014/main" id="{CAE6F6B3-E4FA-52AC-5EDB-5096BCDB6C3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FD729466-CCF0-B172-DA7E-499969206A3D}"/>
                </a:ext>
              </a:extLst>
            </xdr:cNvPr>
            <xdr:cNvSpPr/>
          </xdr:nvSpPr>
          <xdr:spPr>
            <a:xfrm>
              <a:off x="19372169" y="765165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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1E5C809E-98D0-5B04-F97F-0AE3F1BA3DB3}"/>
              </a:ext>
            </a:extLst>
          </xdr:cNvPr>
          <xdr:cNvGrpSpPr/>
        </xdr:nvGrpSpPr>
        <xdr:grpSpPr>
          <a:xfrm>
            <a:off x="7185027" y="1962150"/>
            <a:ext cx="2378074" cy="501355"/>
            <a:chOff x="19188906" y="645582"/>
            <a:chExt cx="1163973" cy="499371"/>
          </a:xfrm>
        </xdr:grpSpPr>
        <xdr:sp macro="[0]!goReceivePaymentDetail" textlink="">
          <xdr:nvSpPr>
            <xdr:cNvPr id="40" name="Rectangle: Rounded Corners 39">
              <a:extLst>
                <a:ext uri="{FF2B5EF4-FFF2-40B4-BE49-F238E27FC236}">
                  <a16:creationId xmlns:a16="http://schemas.microsoft.com/office/drawing/2014/main" id="{55CD0D3E-188D-6F65-B16A-24E5DEE22B98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Detail" textlink="">
          <xdr:nvSpPr>
            <xdr:cNvPr id="41" name="Rectangle 40">
              <a:extLst>
                <a:ext uri="{FF2B5EF4-FFF2-40B4-BE49-F238E27FC236}">
                  <a16:creationId xmlns:a16="http://schemas.microsoft.com/office/drawing/2014/main" id="{C93E902D-D26D-FC2D-E667-23BC10639FC2}"/>
                </a:ext>
              </a:extLst>
            </xdr:cNvPr>
            <xdr:cNvSpPr/>
          </xdr:nvSpPr>
          <xdr:spPr>
            <a:xfrm>
              <a:off x="19274974" y="774652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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D9CC046D-C844-F81F-3134-A2D8C8E4EBF6}"/>
              </a:ext>
            </a:extLst>
          </xdr:cNvPr>
          <xdr:cNvGrpSpPr/>
        </xdr:nvGrpSpPr>
        <xdr:grpSpPr>
          <a:xfrm>
            <a:off x="7185027" y="2552700"/>
            <a:ext cx="2378074" cy="501355"/>
            <a:chOff x="19188906" y="645582"/>
            <a:chExt cx="1163973" cy="499371"/>
          </a:xfrm>
        </xdr:grpSpPr>
        <xdr:sp macro="[0]!goSalesInvoiceReceipt" textlink="">
          <xdr:nvSpPr>
            <xdr:cNvPr id="43" name="Rectangle: Rounded Corners 42">
              <a:extLst>
                <a:ext uri="{FF2B5EF4-FFF2-40B4-BE49-F238E27FC236}">
                  <a16:creationId xmlns:a16="http://schemas.microsoft.com/office/drawing/2014/main" id="{C6CA5371-A292-A2D3-817D-C8A4DD1D4E42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បញ្ជីទូទាត់វិក្កយបត្រ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SalesInvoiceReceipt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CEDE16D7-3AC2-C2C5-8B23-BFC99F7BA765}"/>
                </a:ext>
              </a:extLst>
            </xdr:cNvPr>
            <xdr:cNvSpPr/>
          </xdr:nvSpPr>
          <xdr:spPr>
            <a:xfrm>
              <a:off x="19271269" y="730968"/>
              <a:ext cx="221092" cy="37000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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45BA15E2-D556-F353-F8FA-F497771BFB82}"/>
              </a:ext>
            </a:extLst>
          </xdr:cNvPr>
          <xdr:cNvGrpSpPr/>
        </xdr:nvGrpSpPr>
        <xdr:grpSpPr>
          <a:xfrm>
            <a:off x="7185027" y="3152775"/>
            <a:ext cx="2378074" cy="501355"/>
            <a:chOff x="19188906" y="645582"/>
            <a:chExt cx="1163973" cy="499371"/>
          </a:xfrm>
        </xdr:grpSpPr>
        <xdr:sp macro="[0]!goQuotationData" textlink="">
          <xdr:nvSpPr>
            <xdr:cNvPr id="46" name="Rectangle: Rounded Corners 45">
              <a:extLst>
                <a:ext uri="{FF2B5EF4-FFF2-40B4-BE49-F238E27FC236}">
                  <a16:creationId xmlns:a16="http://schemas.microsoft.com/office/drawing/2014/main" id="{7E02770A-9D6E-5CFC-0647-4F15A2B114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ationData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CAB51B71-2DA6-212C-8373-5137C54BCA0E}"/>
                </a:ext>
              </a:extLst>
            </xdr:cNvPr>
            <xdr:cNvSpPr/>
          </xdr:nvSpPr>
          <xdr:spPr>
            <a:xfrm>
              <a:off x="19344084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D3DB1EB5-FA6C-213F-4971-E0EF29899AC9}"/>
              </a:ext>
            </a:extLst>
          </xdr:cNvPr>
          <xdr:cNvGrpSpPr/>
        </xdr:nvGrpSpPr>
        <xdr:grpSpPr>
          <a:xfrm>
            <a:off x="7185027" y="3752850"/>
            <a:ext cx="2378074" cy="501355"/>
            <a:chOff x="19188906" y="645582"/>
            <a:chExt cx="1163973" cy="499371"/>
          </a:xfrm>
        </xdr:grpSpPr>
        <xdr:sp macro="[0]!goQuoteDetailData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D1A7FA07-0670-9F4B-39F7-719BE45C001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eDetailData" textlink="">
          <xdr:nvSpPr>
            <xdr:cNvPr id="50" name="Rectangle 49">
              <a:extLst>
                <a:ext uri="{FF2B5EF4-FFF2-40B4-BE49-F238E27FC236}">
                  <a16:creationId xmlns:a16="http://schemas.microsoft.com/office/drawing/2014/main" id="{0102C6F3-F4E4-C5E3-6A2E-2951B5C80FEB}"/>
                </a:ext>
              </a:extLst>
            </xdr:cNvPr>
            <xdr:cNvSpPr/>
          </xdr:nvSpPr>
          <xdr:spPr>
            <a:xfrm>
              <a:off x="19262508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58527CB9-5FA3-4F2A-FF1F-1F989AFBA993}"/>
              </a:ext>
            </a:extLst>
          </xdr:cNvPr>
          <xdr:cNvGrpSpPr/>
        </xdr:nvGrpSpPr>
        <xdr:grpSpPr>
          <a:xfrm>
            <a:off x="7185027" y="4352925"/>
            <a:ext cx="2378074" cy="501355"/>
            <a:chOff x="19188906" y="645582"/>
            <a:chExt cx="1163973" cy="499371"/>
          </a:xfrm>
        </xdr:grpSpPr>
        <xdr:sp macro="[0]!goToSaleInvoiceData" textlink="">
          <xdr:nvSpPr>
            <xdr:cNvPr id="52" name="Rectangle: Rounded Corners 51">
              <a:extLst>
                <a:ext uri="{FF2B5EF4-FFF2-40B4-BE49-F238E27FC236}">
                  <a16:creationId xmlns:a16="http://schemas.microsoft.com/office/drawing/2014/main" id="{F0CBAAFC-6776-6B34-305D-E0D5B5477F3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ata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3736225F-FF5B-134E-98BD-281C3B8C7B65}"/>
                </a:ext>
              </a:extLst>
            </xdr:cNvPr>
            <xdr:cNvSpPr/>
          </xdr:nvSpPr>
          <xdr:spPr>
            <a:xfrm>
              <a:off x="19418786" y="78414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4" name="Group 53">
            <a:extLst>
              <a:ext uri="{FF2B5EF4-FFF2-40B4-BE49-F238E27FC236}">
                <a16:creationId xmlns:a16="http://schemas.microsoft.com/office/drawing/2014/main" id="{EB98666D-649A-612A-1E80-4E760B5B8EEA}"/>
              </a:ext>
            </a:extLst>
          </xdr:cNvPr>
          <xdr:cNvGrpSpPr/>
        </xdr:nvGrpSpPr>
        <xdr:grpSpPr>
          <a:xfrm>
            <a:off x="7185027" y="4946945"/>
            <a:ext cx="2378074" cy="501355"/>
            <a:chOff x="19188906" y="645582"/>
            <a:chExt cx="1163973" cy="499371"/>
          </a:xfrm>
        </xdr:grpSpPr>
        <xdr:sp macro="[0]!goToSaleInvoiceDetialData" textlink="">
          <xdr:nvSpPr>
            <xdr:cNvPr id="55" name="Rectangle: Rounded Corners 54">
              <a:extLst>
                <a:ext uri="{FF2B5EF4-FFF2-40B4-BE49-F238E27FC236}">
                  <a16:creationId xmlns:a16="http://schemas.microsoft.com/office/drawing/2014/main" id="{238F3EB4-2D3F-8BFB-7082-56476F7DBF09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etialData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6712DD2F-91E2-8DBA-0387-F7C4189F5385}"/>
                </a:ext>
              </a:extLst>
            </xdr:cNvPr>
            <xdr:cNvSpPr/>
          </xdr:nvSpPr>
          <xdr:spPr>
            <a:xfrm>
              <a:off x="19321826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L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5</xdr:row>
      <xdr:rowOff>71438</xdr:rowOff>
    </xdr:from>
    <xdr:to>
      <xdr:col>5</xdr:col>
      <xdr:colOff>2876550</xdr:colOff>
      <xdr:row>8</xdr:row>
      <xdr:rowOff>6055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E79A4553-17EB-8B55-C600-9FB7BDB85703}"/>
            </a:ext>
          </a:extLst>
        </xdr:cNvPr>
        <xdr:cNvGrpSpPr/>
      </xdr:nvGrpSpPr>
      <xdr:grpSpPr>
        <a:xfrm>
          <a:off x="9672638" y="1381126"/>
          <a:ext cx="2705100" cy="1077617"/>
          <a:chOff x="9629775" y="1385888"/>
          <a:chExt cx="2705100" cy="1077617"/>
        </a:xfrm>
      </xdr:grpSpPr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C3EDCF08-3412-E3DC-F3C9-D90B111A4E74}"/>
              </a:ext>
            </a:extLst>
          </xdr:cNvPr>
          <xdr:cNvGrpSpPr/>
        </xdr:nvGrpSpPr>
        <xdr:grpSpPr>
          <a:xfrm>
            <a:off x="9629775" y="1385888"/>
            <a:ext cx="2705100" cy="501355"/>
            <a:chOff x="19188906" y="645582"/>
            <a:chExt cx="1163973" cy="499371"/>
          </a:xfrm>
        </xdr:grpSpPr>
        <xdr:sp macro="[0]!goGeneralLedger" textlink="">
          <xdr:nvSpPr>
            <xdr:cNvPr id="58" name="Rectangle: Rounded Corners 57">
              <a:extLst>
                <a:ext uri="{FF2B5EF4-FFF2-40B4-BE49-F238E27FC236}">
                  <a16:creationId xmlns:a16="http://schemas.microsoft.com/office/drawing/2014/main" id="{1624057B-9265-9085-83C9-3BB052290B2F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" textlink="">
          <xdr:nvSpPr>
            <xdr:cNvPr id="59" name="Rectangle 58">
              <a:extLst>
                <a:ext uri="{FF2B5EF4-FFF2-40B4-BE49-F238E27FC236}">
                  <a16:creationId xmlns:a16="http://schemas.microsoft.com/office/drawing/2014/main" id="{245A896F-D6CC-2E0D-272E-8C64F3090928}"/>
                </a:ext>
              </a:extLst>
            </xdr:cNvPr>
            <xdr:cNvSpPr/>
          </xdr:nvSpPr>
          <xdr:spPr>
            <a:xfrm>
              <a:off x="19432437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>
                  <a:solidFill>
                    <a:srgbClr val="0066CC"/>
                  </a:solidFill>
                  <a:latin typeface="myicons" panose="02000509000000000000" pitchFamily="49" charset="0"/>
                </a:rPr>
                <a:t></a:t>
              </a:r>
              <a:endParaRPr lang="en-US" sz="18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FC948452-59EC-E2A6-E39F-C234F6A6B457}"/>
              </a:ext>
            </a:extLst>
          </xdr:cNvPr>
          <xdr:cNvGrpSpPr/>
        </xdr:nvGrpSpPr>
        <xdr:grpSpPr>
          <a:xfrm>
            <a:off x="9629775" y="1962150"/>
            <a:ext cx="2705100" cy="501355"/>
            <a:chOff x="19188906" y="645582"/>
            <a:chExt cx="1163973" cy="499371"/>
          </a:xfrm>
        </xdr:grpSpPr>
        <xdr:sp macro="[0]!goGeneralLedgerDetail" textlink="">
          <xdr:nvSpPr>
            <xdr:cNvPr id="61" name="Rectangle: Rounded Corners 60">
              <a:extLst>
                <a:ext uri="{FF2B5EF4-FFF2-40B4-BE49-F238E27FC236}">
                  <a16:creationId xmlns:a16="http://schemas.microsoft.com/office/drawing/2014/main" id="{859630FC-887C-1445-D8D6-85A485C754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Detail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244B51C6-84E9-DCB3-65CB-0BA305D8654B}"/>
                </a:ext>
              </a:extLst>
            </xdr:cNvPr>
            <xdr:cNvSpPr/>
          </xdr:nvSpPr>
          <xdr:spPr>
            <a:xfrm>
              <a:off x="19344598" y="793627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8</xdr:row>
      <xdr:rowOff>133351</xdr:rowOff>
    </xdr:from>
    <xdr:to>
      <xdr:col>5</xdr:col>
      <xdr:colOff>2933700</xdr:colOff>
      <xdr:row>14</xdr:row>
      <xdr:rowOff>247649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9211CEFE-F106-4D0C-BA6C-27C3890833F3}"/>
            </a:ext>
          </a:extLst>
        </xdr:cNvPr>
        <xdr:cNvGrpSpPr/>
      </xdr:nvGrpSpPr>
      <xdr:grpSpPr>
        <a:xfrm>
          <a:off x="9672638" y="2586039"/>
          <a:ext cx="2762250" cy="2400298"/>
          <a:chOff x="19188906" y="643593"/>
          <a:chExt cx="1163973" cy="501360"/>
        </a:xfrm>
      </xdr:grpSpPr>
      <xdr:sp macro="[0]!goInvSalePbWorkbook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7B69A96E-E93C-FB8A-D319-4E0DA6E6CD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ទម្រង់បញ្ចូលសន្និធិ ទិញ </a:t>
            </a:r>
          </a:p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លក់ និងរបាយការណ៍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SalePbWorkbook" textlink="">
        <xdr:nvSpPr>
          <xdr:cNvPr id="35" name="Rectangle 34">
            <a:extLst>
              <a:ext uri="{FF2B5EF4-FFF2-40B4-BE49-F238E27FC236}">
                <a16:creationId xmlns:a16="http://schemas.microsoft.com/office/drawing/2014/main" id="{42186F97-DF77-AF00-E0C6-0ACEEEACBCAD}"/>
              </a:ext>
            </a:extLst>
          </xdr:cNvPr>
          <xdr:cNvSpPr/>
        </xdr:nvSpPr>
        <xdr:spPr>
          <a:xfrm>
            <a:off x="19381103" y="760974"/>
            <a:ext cx="336495" cy="163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4800">
                <a:solidFill>
                  <a:srgbClr val="0066CC"/>
                </a:solidFill>
                <a:latin typeface="myicons" panose="02000509000000000000" pitchFamily="49" charset="0"/>
              </a:rPr>
              <a:t>$</a:t>
            </a:r>
            <a:endParaRPr lang="en-US" sz="4800">
              <a:solidFill>
                <a:srgbClr val="0066CC"/>
              </a:solidFill>
            </a:endParaRPr>
          </a:p>
        </xdr:txBody>
      </xdr:sp>
      <xdr:sp macro="[0]!goInvSalePbWorkbook" textlink="">
        <xdr:nvSpPr>
          <xdr:cNvPr id="67" name="Rectangle 66">
            <a:extLst>
              <a:ext uri="{FF2B5EF4-FFF2-40B4-BE49-F238E27FC236}">
                <a16:creationId xmlns:a16="http://schemas.microsoft.com/office/drawing/2014/main" id="{9FA9DB3C-8D13-6BDB-067A-5387D14FC498}"/>
              </a:ext>
            </a:extLst>
          </xdr:cNvPr>
          <xdr:cNvSpPr/>
        </xdr:nvSpPr>
        <xdr:spPr>
          <a:xfrm>
            <a:off x="19636558" y="643593"/>
            <a:ext cx="555773" cy="350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10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1924051</xdr:colOff>
      <xdr:row>2</xdr:row>
      <xdr:rowOff>63205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C5B6110D-EF28-4B87-9A4A-F3E042DAA347}"/>
            </a:ext>
          </a:extLst>
        </xdr:cNvPr>
        <xdr:cNvGrpSpPr/>
      </xdr:nvGrpSpPr>
      <xdr:grpSpPr>
        <a:xfrm>
          <a:off x="404813" y="130969"/>
          <a:ext cx="1924051" cy="503736"/>
          <a:chOff x="19188906" y="645582"/>
          <a:chExt cx="1163973" cy="499371"/>
        </a:xfrm>
      </xdr:grpSpPr>
      <xdr:sp macro="[0]!resetAllFilter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26EBA97C-3D01-D2B5-B95B-BB4F678E6D0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A0FCD5B5-7103-4351-6B82-CB2F8DAA6455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142875</xdr:colOff>
      <xdr:row>3</xdr:row>
      <xdr:rowOff>11906</xdr:rowOff>
    </xdr:from>
    <xdr:to>
      <xdr:col>10</xdr:col>
      <xdr:colOff>342900</xdr:colOff>
      <xdr:row>4</xdr:row>
      <xdr:rowOff>141522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25AFA76C-6C1D-40BC-BDB0-0540DCCD1A78}"/>
            </a:ext>
          </a:extLst>
        </xdr:cNvPr>
        <xdr:cNvGrpSpPr/>
      </xdr:nvGrpSpPr>
      <xdr:grpSpPr>
        <a:xfrm>
          <a:off x="12668250" y="702469"/>
          <a:ext cx="2628900" cy="498709"/>
          <a:chOff x="19188906" y="645582"/>
          <a:chExt cx="1163973" cy="499371"/>
        </a:xfrm>
      </xdr:grpSpPr>
      <xdr:sp macro="[0]!goFilesSetting" textlink="">
        <xdr:nvSpPr>
          <xdr:cNvPr id="69" name="Rectangle: Rounded Corners 68">
            <a:extLst>
              <a:ext uri="{FF2B5EF4-FFF2-40B4-BE49-F238E27FC236}">
                <a16:creationId xmlns:a16="http://schemas.microsoft.com/office/drawing/2014/main" id="{8708E97B-8C84-2614-8E4D-AC6A752C97A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EF5AB780-C488-2329-9E48-BBAC363F0A66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3176</xdr:colOff>
      <xdr:row>3</xdr:row>
      <xdr:rowOff>140758</xdr:rowOff>
    </xdr:from>
    <xdr:to>
      <xdr:col>3</xdr:col>
      <xdr:colOff>885896</xdr:colOff>
      <xdr:row>4</xdr:row>
      <xdr:rowOff>486833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951E72E-8149-418B-AE69-E2C57CA37B75}"/>
            </a:ext>
          </a:extLst>
        </xdr:cNvPr>
        <xdr:cNvGrpSpPr/>
      </xdr:nvGrpSpPr>
      <xdr:grpSpPr>
        <a:xfrm>
          <a:off x="491332" y="140758"/>
          <a:ext cx="1370877" cy="53657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A581A2D-D062-2F1D-C743-9C816D022EA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F014497A-CFAB-2BA0-A040-167CA3BF442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23811</xdr:colOff>
      <xdr:row>2</xdr:row>
      <xdr:rowOff>23813</xdr:rowOff>
    </xdr:from>
    <xdr:to>
      <xdr:col>3</xdr:col>
      <xdr:colOff>761999</xdr:colOff>
      <xdr:row>3</xdr:row>
      <xdr:rowOff>72730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AE40C28-0150-4FA1-80AE-FA4C2A7D53BC}"/>
            </a:ext>
          </a:extLst>
        </xdr:cNvPr>
        <xdr:cNvGrpSpPr/>
      </xdr:nvGrpSpPr>
      <xdr:grpSpPr>
        <a:xfrm>
          <a:off x="235478" y="214313"/>
          <a:ext cx="1288521" cy="49341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D67C185-A19C-D60F-5342-A8FAF700D5A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438F3EFC-0B1D-3704-0DDD-E9095ADA7BC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11907</xdr:colOff>
      <xdr:row>3</xdr:row>
      <xdr:rowOff>190500</xdr:rowOff>
    </xdr:from>
    <xdr:to>
      <xdr:col>3</xdr:col>
      <xdr:colOff>659942</xdr:colOff>
      <xdr:row>4</xdr:row>
      <xdr:rowOff>13199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CEA1674-030B-4858-9051-25D0031C3B91}"/>
            </a:ext>
          </a:extLst>
        </xdr:cNvPr>
        <xdr:cNvGrpSpPr/>
      </xdr:nvGrpSpPr>
      <xdr:grpSpPr>
        <a:xfrm>
          <a:off x="428626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689E962-E59A-F568-6000-6C50904928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C2A7F293-C487-59D5-476D-0A04E6A0351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4</xdr:row>
      <xdr:rowOff>116417</xdr:rowOff>
    </xdr:from>
    <xdr:to>
      <xdr:col>3</xdr:col>
      <xdr:colOff>757838</xdr:colOff>
      <xdr:row>4</xdr:row>
      <xdr:rowOff>617772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70F5744-9007-4168-86A1-3149BACCFF7C}"/>
            </a:ext>
          </a:extLst>
        </xdr:cNvPr>
        <xdr:cNvGrpSpPr/>
      </xdr:nvGrpSpPr>
      <xdr:grpSpPr>
        <a:xfrm>
          <a:off x="402167" y="11641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2BEAD8-17FE-8A16-9F1A-BA7E3CAC7DB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A0407EDB-295E-06C9-F46D-A37AEDCD788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38100</xdr:rowOff>
    </xdr:from>
    <xdr:to>
      <xdr:col>3</xdr:col>
      <xdr:colOff>550404</xdr:colOff>
      <xdr:row>5</xdr:row>
      <xdr:rowOff>110830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92A628-6AEA-45ED-8B5C-BDFCD2B5CF13}"/>
            </a:ext>
          </a:extLst>
        </xdr:cNvPr>
        <xdr:cNvGrpSpPr/>
      </xdr:nvGrpSpPr>
      <xdr:grpSpPr>
        <a:xfrm>
          <a:off x="390525" y="381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6DDF87-33D5-3A59-5DE6-9B03938E8F4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782314B5-4F8B-343E-6998-B443F72C843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3</xdr:row>
      <xdr:rowOff>114300</xdr:rowOff>
    </xdr:from>
    <xdr:to>
      <xdr:col>3</xdr:col>
      <xdr:colOff>550404</xdr:colOff>
      <xdr:row>5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80A0107-6B5E-4400-BCD5-BCE05CF7977A}"/>
            </a:ext>
          </a:extLst>
        </xdr:cNvPr>
        <xdr:cNvGrpSpPr/>
      </xdr:nvGrpSpPr>
      <xdr:grpSpPr>
        <a:xfrm>
          <a:off x="485775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8D615113-6535-496C-7987-093EEC76073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6A39BE3-0C7A-C928-6177-A2B28FC2988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148167</xdr:rowOff>
    </xdr:from>
    <xdr:to>
      <xdr:col>9</xdr:col>
      <xdr:colOff>144004</xdr:colOff>
      <xdr:row>4</xdr:row>
      <xdr:rowOff>649522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3D51F3-2B5E-46C1-BC98-43C01A1D9364}"/>
            </a:ext>
          </a:extLst>
        </xdr:cNvPr>
        <xdr:cNvGrpSpPr/>
      </xdr:nvGrpSpPr>
      <xdr:grpSpPr>
        <a:xfrm>
          <a:off x="1778000" y="14816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40C0FE2-0FB2-1131-DFCE-729C91074B5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1144855C-D05C-3BF2-E1A3-595A15317FF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166687</xdr:colOff>
      <xdr:row>4</xdr:row>
      <xdr:rowOff>226219</xdr:rowOff>
    </xdr:from>
    <xdr:to>
      <xdr:col>10</xdr:col>
      <xdr:colOff>28910</xdr:colOff>
      <xdr:row>4</xdr:row>
      <xdr:rowOff>727574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C0B9DE-3159-4A93-8D12-F55D70E72583}"/>
            </a:ext>
          </a:extLst>
        </xdr:cNvPr>
        <xdr:cNvGrpSpPr/>
      </xdr:nvGrpSpPr>
      <xdr:grpSpPr>
        <a:xfrm>
          <a:off x="1952625" y="226219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3BFABB9-A840-5CAB-89DB-933C83F2981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21CC21F3-1B38-0838-5DE7-4B789044652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238126</xdr:colOff>
      <xdr:row>2</xdr:row>
      <xdr:rowOff>464344</xdr:rowOff>
    </xdr:from>
    <xdr:to>
      <xdr:col>3</xdr:col>
      <xdr:colOff>797719</xdr:colOff>
      <xdr:row>4</xdr:row>
      <xdr:rowOff>84636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8E7CA9-51AF-4DC2-9B83-7D7B311B707C}"/>
            </a:ext>
          </a:extLst>
        </xdr:cNvPr>
        <xdr:cNvGrpSpPr/>
      </xdr:nvGrpSpPr>
      <xdr:grpSpPr>
        <a:xfrm>
          <a:off x="428626" y="464344"/>
          <a:ext cx="135731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8C6B4F8-56D6-CBE7-3893-D94E7E06A4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B2848401-A774-4BAF-5F42-FBA9B30B524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881063</xdr:colOff>
      <xdr:row>2</xdr:row>
      <xdr:rowOff>476250</xdr:rowOff>
    </xdr:from>
    <xdr:to>
      <xdr:col>16</xdr:col>
      <xdr:colOff>261937</xdr:colOff>
      <xdr:row>4</xdr:row>
      <xdr:rowOff>107360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FB0E4BC-9C78-8E98-3F39-A6E0451FB047}"/>
            </a:ext>
          </a:extLst>
        </xdr:cNvPr>
        <xdr:cNvGrpSpPr/>
      </xdr:nvGrpSpPr>
      <xdr:grpSpPr>
        <a:xfrm>
          <a:off x="1869282" y="476250"/>
          <a:ext cx="6988968" cy="512173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99092DFB-C157-EC77-4936-A361B851ED2E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4F92E93F-5DE7-6EBB-E094-40C016F28FF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6F4E7AD0-EE6D-2F34-5EAC-F86FA04C4314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957D1487-7277-AB31-4DBC-7006F9BB275D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6C28E845-E419-11FF-1F04-F4E90884629D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7D235C72-465A-696E-A6B7-9D4671F9DD74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C2B9EAA6-2081-7F1F-7477-4577FBCB01B9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8E8AD2B-60D1-B471-28A3-A4BA88CA60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30D43DD4-EBA1-4358-E899-E63573C12BD7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</xdr:colOff>
      <xdr:row>2</xdr:row>
      <xdr:rowOff>166688</xdr:rowOff>
    </xdr:from>
    <xdr:to>
      <xdr:col>3</xdr:col>
      <xdr:colOff>743285</xdr:colOff>
      <xdr:row>4</xdr:row>
      <xdr:rowOff>120355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369A530-957D-433E-8E93-EDA3185D25F9}"/>
            </a:ext>
          </a:extLst>
        </xdr:cNvPr>
        <xdr:cNvGrpSpPr/>
      </xdr:nvGrpSpPr>
      <xdr:grpSpPr>
        <a:xfrm>
          <a:off x="547687" y="166688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EDEAD0F6-FBC2-9771-728A-80F488818B5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52422E9B-AD6D-E95B-B81D-D1040EA82BC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845345</xdr:colOff>
      <xdr:row>2</xdr:row>
      <xdr:rowOff>154781</xdr:rowOff>
    </xdr:from>
    <xdr:to>
      <xdr:col>9</xdr:col>
      <xdr:colOff>559594</xdr:colOff>
      <xdr:row>4</xdr:row>
      <xdr:rowOff>119266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804BC3B-D086-4880-898E-C7735E3638C1}"/>
            </a:ext>
          </a:extLst>
        </xdr:cNvPr>
        <xdr:cNvGrpSpPr/>
      </xdr:nvGrpSpPr>
      <xdr:grpSpPr>
        <a:xfrm>
          <a:off x="1809751" y="154781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EE49857B-D270-29B9-B3A8-0A604620FD0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949C237F-10D6-1589-E549-0BC20F1D2676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BBC01727-B390-71D3-E292-D9D1806DF34A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A5202DA-3816-CE9F-DCC7-A89B6F19F0BF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BBAB5C4A-CBC1-6917-D67A-1A3D1BF851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075108A8-213D-4371-ECE3-0968606FDBDA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C1B44FB0-B54B-7983-EE13-7254ACF5CA4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98944BFE-3639-8434-0A42-D6A184C0B470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B04F2978-9F15-581C-925D-260C085B00A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2</xdr:row>
      <xdr:rowOff>178594</xdr:rowOff>
    </xdr:from>
    <xdr:to>
      <xdr:col>3</xdr:col>
      <xdr:colOff>671848</xdr:colOff>
      <xdr:row>3</xdr:row>
      <xdr:rowOff>418011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13BD86-BDD6-4548-B866-D0EB30D51328}"/>
            </a:ext>
          </a:extLst>
        </xdr:cNvPr>
        <xdr:cNvGrpSpPr/>
      </xdr:nvGrpSpPr>
      <xdr:grpSpPr>
        <a:xfrm>
          <a:off x="34528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62AFF3CC-91D0-B2C3-AEEB-B065879CE8F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EF43986-59DC-96A3-B677-55FFAB77395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12</xdr:col>
      <xdr:colOff>190500</xdr:colOff>
      <xdr:row>4</xdr:row>
      <xdr:rowOff>297657</xdr:rowOff>
    </xdr:from>
    <xdr:to>
      <xdr:col>20</xdr:col>
      <xdr:colOff>452437</xdr:colOff>
      <xdr:row>6</xdr:row>
      <xdr:rowOff>143080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81E5BF0-A913-410D-9467-4BE641905BAF}"/>
            </a:ext>
          </a:extLst>
        </xdr:cNvPr>
        <xdr:cNvGrpSpPr/>
      </xdr:nvGrpSpPr>
      <xdr:grpSpPr>
        <a:xfrm>
          <a:off x="13620750" y="1023938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B4F7F22B-2931-55B6-A430-36375428FA9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A9B022E6-6ACA-F550-93D3-4870E1442251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6F721312-2FBE-1D0E-5AAD-BB60D99732C7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E61BEE39-8F53-CEC1-4546-A40F18F7C649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7355A2A9-4472-6583-A2D6-E43764A871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408641CF-B905-298F-2D91-830116EB0089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53D484B-D9EA-C36E-7046-33FD6E0A5EA1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83220AF5-2C93-0DA1-8A4F-8BA3CAD33F0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4D6B7E94-125E-C6CC-EA03-F0A99D2ACE4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11905</xdr:colOff>
      <xdr:row>1</xdr:row>
      <xdr:rowOff>238124</xdr:rowOff>
    </xdr:from>
    <xdr:to>
      <xdr:col>3</xdr:col>
      <xdr:colOff>869155</xdr:colOff>
      <xdr:row>3</xdr:row>
      <xdr:rowOff>1292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31AD931-6009-498E-B35C-B9A86526D3D5}"/>
            </a:ext>
          </a:extLst>
        </xdr:cNvPr>
        <xdr:cNvGrpSpPr/>
      </xdr:nvGrpSpPr>
      <xdr:grpSpPr>
        <a:xfrm>
          <a:off x="321468" y="238124"/>
          <a:ext cx="1404937" cy="501356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B667E9-182A-37D9-7D70-E036A992A73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D5D55863-CED5-3247-EE46-5A9CB018BDF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13</xdr:col>
      <xdr:colOff>142874</xdr:colOff>
      <xdr:row>2</xdr:row>
      <xdr:rowOff>0</xdr:rowOff>
    </xdr:from>
    <xdr:to>
      <xdr:col>18</xdr:col>
      <xdr:colOff>1047748</xdr:colOff>
      <xdr:row>3</xdr:row>
      <xdr:rowOff>83548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F286CAC-678A-417B-842A-C521FDA140C6}"/>
            </a:ext>
          </a:extLst>
        </xdr:cNvPr>
        <xdr:cNvGrpSpPr/>
      </xdr:nvGrpSpPr>
      <xdr:grpSpPr>
        <a:xfrm>
          <a:off x="12477749" y="309563"/>
          <a:ext cx="6988968" cy="512173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642F8085-178C-0136-892C-DB73D7E1B1A7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1D5DEFF0-8CBA-994A-76D0-C068E287737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381AA5F-BA04-132F-CBCB-92DFB519B4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D3BB7DB1-FD5C-6A98-463A-00D3F26E56F6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1F05297C-4362-277D-E690-6273DF55B9F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1F515B3D-5D50-BFB8-9D56-FEBE1B266725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EE233B12-2103-2DD7-CFFD-928E2711DAAA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53862B9-DF1C-569C-D042-2C3C1A121F2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856A3022-98DE-E23E-42E9-8D182BDB7814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165363</xdr:colOff>
      <xdr:row>2</xdr:row>
      <xdr:rowOff>202404</xdr:rowOff>
    </xdr:from>
    <xdr:to>
      <xdr:col>5</xdr:col>
      <xdr:colOff>1666874</xdr:colOff>
      <xdr:row>3</xdr:row>
      <xdr:rowOff>392905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665551" y="202404"/>
          <a:ext cx="4882886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GROUP TOTAL</a:t>
          </a:r>
        </a:p>
      </xdr:txBody>
    </xdr:sp>
    <xdr:clientData/>
  </xdr:twoCellAnchor>
  <xdr:twoCellAnchor>
    <xdr:from>
      <xdr:col>2</xdr:col>
      <xdr:colOff>11907</xdr:colOff>
      <xdr:row>2</xdr:row>
      <xdr:rowOff>190500</xdr:rowOff>
    </xdr:from>
    <xdr:to>
      <xdr:col>3</xdr:col>
      <xdr:colOff>124161</xdr:colOff>
      <xdr:row>3</xdr:row>
      <xdr:rowOff>394199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FC22AF0-65E0-42CC-A980-8D2378BB05B7}"/>
            </a:ext>
          </a:extLst>
        </xdr:cNvPr>
        <xdr:cNvGrpSpPr/>
      </xdr:nvGrpSpPr>
      <xdr:grpSpPr>
        <a:xfrm>
          <a:off x="464345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CFFFAD9-CF19-67EA-5C4E-B6CACC8E8C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C5FB2AD-BDF0-5FC7-A1D2-ED899CE6A30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797719</xdr:colOff>
      <xdr:row>2</xdr:row>
      <xdr:rowOff>215630</xdr:rowOff>
    </xdr:from>
    <xdr:to>
      <xdr:col>5</xdr:col>
      <xdr:colOff>1143000</xdr:colOff>
      <xdr:row>3</xdr:row>
      <xdr:rowOff>407454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10469" y="215630"/>
          <a:ext cx="527711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INVENTROY</a:t>
          </a:r>
          <a:r>
            <a:rPr lang="en-US" sz="2000" baseline="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 </a:t>
          </a:r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GORUP TOTAL DETAIL</a:t>
          </a:r>
        </a:p>
      </xdr:txBody>
    </xdr:sp>
    <xdr:clientData/>
  </xdr:twoCellAnchor>
  <xdr:twoCellAnchor>
    <xdr:from>
      <xdr:col>2</xdr:col>
      <xdr:colOff>0</xdr:colOff>
      <xdr:row>2</xdr:row>
      <xdr:rowOff>169333</xdr:rowOff>
    </xdr:from>
    <xdr:to>
      <xdr:col>3</xdr:col>
      <xdr:colOff>207504</xdr:colOff>
      <xdr:row>3</xdr:row>
      <xdr:rowOff>374355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F5D560A-B8E2-46E7-9240-59BF05A95DB1}"/>
            </a:ext>
          </a:extLst>
        </xdr:cNvPr>
        <xdr:cNvGrpSpPr/>
      </xdr:nvGrpSpPr>
      <xdr:grpSpPr>
        <a:xfrm>
          <a:off x="412750" y="169333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492CE6F2-92B0-E033-F8CE-F203DF00EB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A31D8A69-7EFF-2157-27B9-7DDFE38AFF7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293686</xdr:colOff>
      <xdr:row>2</xdr:row>
      <xdr:rowOff>83343</xdr:rowOff>
    </xdr:from>
    <xdr:to>
      <xdr:col>5</xdr:col>
      <xdr:colOff>1328737</xdr:colOff>
      <xdr:row>4</xdr:row>
      <xdr:rowOff>214312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555624" y="83343"/>
          <a:ext cx="4785519" cy="7262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</a:t>
          </a:r>
        </a:p>
      </xdr:txBody>
    </xdr:sp>
    <xdr:clientData/>
  </xdr:twoCellAnchor>
  <xdr:twoCellAnchor>
    <xdr:from>
      <xdr:col>1</xdr:col>
      <xdr:colOff>154782</xdr:colOff>
      <xdr:row>2</xdr:row>
      <xdr:rowOff>178594</xdr:rowOff>
    </xdr:from>
    <xdr:to>
      <xdr:col>3</xdr:col>
      <xdr:colOff>517067</xdr:colOff>
      <xdr:row>4</xdr:row>
      <xdr:rowOff>84636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D73C7BD-FE94-4C7F-97FC-A836927C3DB6}"/>
            </a:ext>
          </a:extLst>
        </xdr:cNvPr>
        <xdr:cNvGrpSpPr/>
      </xdr:nvGrpSpPr>
      <xdr:grpSpPr>
        <a:xfrm>
          <a:off x="25003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EC78F5A-0E41-D777-6DD1-B725DDCDF56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10A61E7F-03B4-3A09-8453-095521FE966C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535780</xdr:colOff>
      <xdr:row>2</xdr:row>
      <xdr:rowOff>297654</xdr:rowOff>
    </xdr:from>
    <xdr:to>
      <xdr:col>6</xdr:col>
      <xdr:colOff>833437</xdr:colOff>
      <xdr:row>4</xdr:row>
      <xdr:rowOff>83342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988218" y="297654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2</xdr:row>
      <xdr:rowOff>273844</xdr:rowOff>
    </xdr:from>
    <xdr:to>
      <xdr:col>3</xdr:col>
      <xdr:colOff>112254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D255EF0-D29F-4FDC-A901-14E5005857A8}"/>
            </a:ext>
          </a:extLst>
        </xdr:cNvPr>
        <xdr:cNvGrpSpPr/>
      </xdr:nvGrpSpPr>
      <xdr:grpSpPr>
        <a:xfrm>
          <a:off x="465667" y="273844"/>
          <a:ext cx="1160004" cy="507969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C121205-75F3-DC32-6CE7-D701D40CA41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37CE023B-5F06-7C03-C10D-418815F4D8A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310886</xdr:colOff>
      <xdr:row>2</xdr:row>
      <xdr:rowOff>194464</xdr:rowOff>
    </xdr:from>
    <xdr:to>
      <xdr:col>5</xdr:col>
      <xdr:colOff>148167</xdr:colOff>
      <xdr:row>3</xdr:row>
      <xdr:rowOff>386288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602053" y="194464"/>
          <a:ext cx="353086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1</xdr:col>
      <xdr:colOff>232834</xdr:colOff>
      <xdr:row>2</xdr:row>
      <xdr:rowOff>158749</xdr:rowOff>
    </xdr:from>
    <xdr:to>
      <xdr:col>3</xdr:col>
      <xdr:colOff>271004</xdr:colOff>
      <xdr:row>3</xdr:row>
      <xdr:rowOff>363771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E0B704B7-3ADE-44AF-90CB-2CA4F4C055F3}"/>
            </a:ext>
          </a:extLst>
        </xdr:cNvPr>
        <xdr:cNvGrpSpPr/>
      </xdr:nvGrpSpPr>
      <xdr:grpSpPr>
        <a:xfrm>
          <a:off x="402167" y="158749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C8E49D7-AD5F-0291-FCA5-D929054B759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3F617FC8-C5BD-F959-1B48-2208D4D9EAC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476249</xdr:colOff>
      <xdr:row>3</xdr:row>
      <xdr:rowOff>35717</xdr:rowOff>
    </xdr:from>
    <xdr:to>
      <xdr:col>6</xdr:col>
      <xdr:colOff>773906</xdr:colOff>
      <xdr:row>4</xdr:row>
      <xdr:rowOff>119061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928687" y="333373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112254</xdr:colOff>
      <xdr:row>4</xdr:row>
      <xdr:rowOff>96542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A4CC516-A7D3-4B4B-8154-E30442139907}"/>
            </a:ext>
          </a:extLst>
        </xdr:cNvPr>
        <xdr:cNvGrpSpPr/>
      </xdr:nvGrpSpPr>
      <xdr:grpSpPr>
        <a:xfrm>
          <a:off x="452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839D27B-2EE8-1137-EC35-2BBAD25118E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64110411-6890-4E00-0E23-71EA5C2B16E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427302</xdr:colOff>
      <xdr:row>2</xdr:row>
      <xdr:rowOff>173298</xdr:rowOff>
    </xdr:from>
    <xdr:to>
      <xdr:col>8</xdr:col>
      <xdr:colOff>695855</xdr:colOff>
      <xdr:row>3</xdr:row>
      <xdr:rowOff>365122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1718469" y="173298"/>
          <a:ext cx="7115969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2</xdr:col>
      <xdr:colOff>0</xdr:colOff>
      <xdr:row>2</xdr:row>
      <xdr:rowOff>148166</xdr:rowOff>
    </xdr:from>
    <xdr:to>
      <xdr:col>3</xdr:col>
      <xdr:colOff>281587</xdr:colOff>
      <xdr:row>3</xdr:row>
      <xdr:rowOff>353188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DEFB001-FF8C-42AD-A45B-51898B4DCB28}"/>
            </a:ext>
          </a:extLst>
        </xdr:cNvPr>
        <xdr:cNvGrpSpPr/>
      </xdr:nvGrpSpPr>
      <xdr:grpSpPr>
        <a:xfrm>
          <a:off x="412750" y="14816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589616A3-7E02-8690-F101-2BC49E21E30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D47D1483-F5B4-25EF-5255-9D8FA2D5C85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469105</xdr:colOff>
      <xdr:row>0</xdr:row>
      <xdr:rowOff>45241</xdr:rowOff>
    </xdr:from>
    <xdr:to>
      <xdr:col>8</xdr:col>
      <xdr:colOff>261937</xdr:colOff>
      <xdr:row>3</xdr:row>
      <xdr:rowOff>107154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195386" y="45241"/>
          <a:ext cx="4269582" cy="7524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190500</xdr:colOff>
      <xdr:row>1</xdr:row>
      <xdr:rowOff>95250</xdr:rowOff>
    </xdr:from>
    <xdr:to>
      <xdr:col>3</xdr:col>
      <xdr:colOff>755192</xdr:colOff>
      <xdr:row>3</xdr:row>
      <xdr:rowOff>1292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A294942-83D0-4D92-A528-C61895B14BD0}"/>
            </a:ext>
          </a:extLst>
        </xdr:cNvPr>
        <xdr:cNvGrpSpPr/>
      </xdr:nvGrpSpPr>
      <xdr:grpSpPr>
        <a:xfrm>
          <a:off x="321469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AEE706A-A455-3268-1A77-2E3ECF7B6D77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1724624-5E0A-50AF-B177-0C3079CD6884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62441</xdr:colOff>
      <xdr:row>2</xdr:row>
      <xdr:rowOff>21167</xdr:rowOff>
    </xdr:from>
    <xdr:to>
      <xdr:col>11</xdr:col>
      <xdr:colOff>60325</xdr:colOff>
      <xdr:row>5</xdr:row>
      <xdr:rowOff>20109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766358" y="21167"/>
          <a:ext cx="6929967" cy="6974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338666</xdr:colOff>
      <xdr:row>2</xdr:row>
      <xdr:rowOff>84667</xdr:rowOff>
    </xdr:from>
    <xdr:to>
      <xdr:col>3</xdr:col>
      <xdr:colOff>588503</xdr:colOff>
      <xdr:row>3</xdr:row>
      <xdr:rowOff>289689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763F7BC-11B5-44BF-B32D-B6FF60D642C0}"/>
            </a:ext>
          </a:extLst>
        </xdr:cNvPr>
        <xdr:cNvGrpSpPr/>
      </xdr:nvGrpSpPr>
      <xdr:grpSpPr>
        <a:xfrm>
          <a:off x="507999" y="84667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81994068-81F0-13ED-DDF4-131285FDC76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C4783E8F-6EDC-E4F1-AA7B-A5DCAC474116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877358</xdr:colOff>
      <xdr:row>1</xdr:row>
      <xdr:rowOff>112184</xdr:rowOff>
    </xdr:from>
    <xdr:to>
      <xdr:col>10</xdr:col>
      <xdr:colOff>716492</xdr:colOff>
      <xdr:row>4</xdr:row>
      <xdr:rowOff>140759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724025" y="302684"/>
          <a:ext cx="6580717" cy="600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1</xdr:row>
      <xdr:rowOff>137584</xdr:rowOff>
    </xdr:from>
    <xdr:to>
      <xdr:col>3</xdr:col>
      <xdr:colOff>546170</xdr:colOff>
      <xdr:row>4</xdr:row>
      <xdr:rowOff>67439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00C45A7-BDBF-48C5-BAA3-5F58E0A6271F}"/>
            </a:ext>
          </a:extLst>
        </xdr:cNvPr>
        <xdr:cNvGrpSpPr/>
      </xdr:nvGrpSpPr>
      <xdr:grpSpPr>
        <a:xfrm>
          <a:off x="232833" y="32808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19629FF-EAC4-6D50-18BF-5A6C018A656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8E6E6A3A-9733-9728-9967-61723B26FDB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707231</xdr:colOff>
      <xdr:row>1</xdr:row>
      <xdr:rowOff>285750</xdr:rowOff>
    </xdr:from>
    <xdr:to>
      <xdr:col>6</xdr:col>
      <xdr:colOff>238126</xdr:colOff>
      <xdr:row>4</xdr:row>
      <xdr:rowOff>95248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433512" y="381000"/>
          <a:ext cx="3162302" cy="559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តារាងបញ្ជាទិញ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767098</xdr:colOff>
      <xdr:row>4</xdr:row>
      <xdr:rowOff>48917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F3659786-10CF-4787-83CE-7883438DE9B7}"/>
            </a:ext>
          </a:extLst>
        </xdr:cNvPr>
        <xdr:cNvGrpSpPr/>
      </xdr:nvGrpSpPr>
      <xdr:grpSpPr>
        <a:xfrm>
          <a:off x="333375" y="39290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E1FBB85-6A05-FB02-AA18-2C70CDB34A2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E3B097D5-0160-0165-2660-2D6FC5F06BD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26</xdr:col>
      <xdr:colOff>488156</xdr:colOff>
      <xdr:row>1</xdr:row>
      <xdr:rowOff>214313</xdr:rowOff>
    </xdr:from>
    <xdr:to>
      <xdr:col>35</xdr:col>
      <xdr:colOff>988218</xdr:colOff>
      <xdr:row>3</xdr:row>
      <xdr:rowOff>131173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65663E5-7A8B-4335-95A1-8B815D737CF1}"/>
            </a:ext>
          </a:extLst>
        </xdr:cNvPr>
        <xdr:cNvGrpSpPr/>
      </xdr:nvGrpSpPr>
      <xdr:grpSpPr>
        <a:xfrm>
          <a:off x="15001875" y="309563"/>
          <a:ext cx="6988968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200B5D92-78F8-6B7B-D79B-179CFFF1FE39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658BFA6E-9612-5032-16C7-8C851C6E7FC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9BCC0587-F346-3742-3CBF-53B3BF88A9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87C87515-B49C-D3E2-1C70-AB0111A18210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332A7C30-B7EC-6BCC-72F1-D7F0C6422F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BCD10608-2843-0D67-68F7-3CFD362D7436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28E3BEA9-8CC6-BC81-D4E8-28CCDDEA0153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387A0C23-D877-72B1-8BF1-185D276C8FF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62F5EA19-E025-0E8D-6D6E-00D6E97106D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116682</xdr:colOff>
      <xdr:row>2</xdr:row>
      <xdr:rowOff>261938</xdr:rowOff>
    </xdr:from>
    <xdr:to>
      <xdr:col>6</xdr:col>
      <xdr:colOff>35719</xdr:colOff>
      <xdr:row>4</xdr:row>
      <xdr:rowOff>59531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831057" y="261938"/>
          <a:ext cx="3824287" cy="6429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តារាងទិញលំអិត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517067</xdr:colOff>
      <xdr:row>3</xdr:row>
      <xdr:rowOff>501355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ABA139D-9874-47F1-8A54-574A75E1056E}"/>
            </a:ext>
          </a:extLst>
        </xdr:cNvPr>
        <xdr:cNvGrpSpPr/>
      </xdr:nvGrpSpPr>
      <xdr:grpSpPr>
        <a:xfrm>
          <a:off x="71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1D7518FA-A512-4352-F604-935CE09B00E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FC4DA135-79D6-C24F-1710-2D2C2B9AF1D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14</xdr:col>
      <xdr:colOff>59531</xdr:colOff>
      <xdr:row>3</xdr:row>
      <xdr:rowOff>95250</xdr:rowOff>
    </xdr:from>
    <xdr:to>
      <xdr:col>20</xdr:col>
      <xdr:colOff>1023936</xdr:colOff>
      <xdr:row>4</xdr:row>
      <xdr:rowOff>59735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18C97C26-5768-413D-A368-1A3CFADB9842}"/>
            </a:ext>
          </a:extLst>
        </xdr:cNvPr>
        <xdr:cNvGrpSpPr/>
      </xdr:nvGrpSpPr>
      <xdr:grpSpPr>
        <a:xfrm>
          <a:off x="14978062" y="392906"/>
          <a:ext cx="6988968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5B2F328A-21FC-ED8C-B550-342CC4858293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37A1892F-A478-6941-890B-7513FD34E1B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D3B1D871-BF5F-BA2A-1945-EA26BC65F9D6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9C8B08B-0FDD-BAA5-4DD3-D114F0A7A4C1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B5D34CB9-6139-A66B-5DC5-7FEC1269BA2E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78A6B4B1-191D-B60F-7580-96E619F26137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A3E6F4A6-235A-189B-6FCE-D11D9E05CC0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D22662EB-E38B-CACA-669F-854BFC71DDC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C7B7A605-03FD-8C2C-E0E2-1E76BE62DFE2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B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B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B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3B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3B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A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A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3B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#REF!">
      <xdr:nvSpPr>
        <xdr:cNvPr id="16" name="TextBox 15">
          <a:extLst>
            <a:ext uri="{FF2B5EF4-FFF2-40B4-BE49-F238E27FC236}">
              <a16:creationId xmlns:a16="http://schemas.microsoft.com/office/drawing/2014/main" id="{00000000-0008-0000-3B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#REF!">
      <xdr:nvSpPr>
        <xdr:cNvPr id="23" name="TextBox 22">
          <a:extLst>
            <a:ext uri="{FF2B5EF4-FFF2-40B4-BE49-F238E27FC236}">
              <a16:creationId xmlns:a16="http://schemas.microsoft.com/office/drawing/2014/main" id="{00000000-0008-0000-3B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3B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426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#REF!">
      <xdr:nvSpPr>
        <xdr:cNvPr id="27" name="TextBox 26">
          <a:extLst>
            <a:ext uri="{FF2B5EF4-FFF2-40B4-BE49-F238E27FC236}">
              <a16:creationId xmlns:a16="http://schemas.microsoft.com/office/drawing/2014/main" id="{00000000-0008-0000-3B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1A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1A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1A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1A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3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3B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3B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3B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3B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3B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426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C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C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3C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C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3C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3C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417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B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B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B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3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B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9525</xdr:rowOff>
        </xdr:from>
        <xdr:to>
          <xdr:col>7</xdr:col>
          <xdr:colOff>1276350</xdr:colOff>
          <xdr:row>6</xdr:row>
          <xdr:rowOff>323850</xdr:rowOff>
        </xdr:to>
        <xdr:pic>
          <xdr:nvPicPr>
            <xdr:cNvPr id="4541634" name="Picture 15">
              <a:extLst>
                <a:ext uri="{FF2B5EF4-FFF2-40B4-BE49-F238E27FC236}">
                  <a16:creationId xmlns:a16="http://schemas.microsoft.com/office/drawing/2014/main" id="{5FB65448-BB4D-F10C-DABD-8EEBD7073CC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4171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4829175" y="1685925"/>
              <a:ext cx="3619500" cy="3143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7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28.xml"/><Relationship Id="rId7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20</v>
      </c>
      <c r="B1" t="s">
        <v>21</v>
      </c>
      <c r="C1" t="s">
        <v>22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/>
  <dimension ref="C1:F5"/>
  <sheetViews>
    <sheetView showGridLines="0" tabSelected="1" zoomScale="80" zoomScaleNormal="80" zoomScaleSheetLayoutView="120" workbookViewId="0">
      <pane ySplit="5" topLeftCell="A6" activePane="bottomLeft" state="frozen"/>
      <selection activeCell="L28" sqref="L28"/>
      <selection pane="bottomLeft" activeCell="K13" sqref="K13"/>
    </sheetView>
  </sheetViews>
  <sheetFormatPr defaultRowHeight="30" customHeight="1"/>
  <cols>
    <col min="1" max="1" width="5" customWidth="1"/>
    <col min="2" max="2" width="1" customWidth="1"/>
    <col min="3" max="3" width="51.140625" customWidth="1"/>
    <col min="4" max="4" width="45.5703125" customWidth="1"/>
    <col min="5" max="5" width="39.85546875" customWidth="1"/>
    <col min="6" max="6" width="45.42578125" customWidth="1"/>
  </cols>
  <sheetData>
    <row r="1" spans="3:6" ht="10.5" customHeight="1">
      <c r="C1" s="148"/>
      <c r="D1" s="148"/>
      <c r="E1" s="148"/>
      <c r="F1" s="148"/>
    </row>
    <row r="2" spans="3:6" ht="34.5" customHeight="1">
      <c r="C2" s="289" t="s">
        <v>483</v>
      </c>
      <c r="D2" s="255"/>
      <c r="E2" s="255"/>
      <c r="F2" s="255"/>
    </row>
    <row r="3" spans="3:6" ht="9.75" customHeight="1" thickBot="1">
      <c r="C3" s="147"/>
      <c r="D3" s="147"/>
      <c r="E3" s="147"/>
      <c r="F3" s="147"/>
    </row>
    <row r="4" spans="3:6" s="149" customFormat="1" ht="29.25">
      <c r="C4" s="359" t="s">
        <v>126</v>
      </c>
      <c r="D4" s="360" t="s">
        <v>115</v>
      </c>
      <c r="E4" s="360" t="s">
        <v>116</v>
      </c>
      <c r="F4" s="360" t="s">
        <v>114</v>
      </c>
    </row>
    <row r="5" spans="3:6" ht="19.5" thickBot="1">
      <c r="C5" s="361" t="s">
        <v>111</v>
      </c>
      <c r="D5" s="362" t="s">
        <v>117</v>
      </c>
      <c r="E5" s="362" t="s">
        <v>112</v>
      </c>
      <c r="F5" s="362" t="s">
        <v>113</v>
      </c>
    </row>
  </sheetData>
  <pageMargins left="3.937007874015748E-2" right="3.937007874015748E-2" top="3.937007874015748E-2" bottom="3.937007874015748E-2" header="3.937007874015748E-2" footer="3.937007874015748E-2"/>
  <pageSetup paperSize="9" scale="7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9DA61-C5AA-4723-9C8B-FFFD6AE4029A}">
  <sheetPr codeName="Sheet2"/>
  <dimension ref="C1:O46"/>
  <sheetViews>
    <sheetView showGridLines="0" zoomScale="80" zoomScaleNormal="80" workbookViewId="0">
      <pane ySplit="11" topLeftCell="A12" activePane="bottomLeft" state="frozen"/>
      <selection pane="bottomLeft" activeCell="O38" sqref="O38"/>
    </sheetView>
  </sheetViews>
  <sheetFormatPr defaultRowHeight="24.95" customHeight="1"/>
  <cols>
    <col min="1" max="1" width="3.140625" style="141" customWidth="1"/>
    <col min="2" max="2" width="4.140625" style="141" customWidth="1"/>
    <col min="3" max="3" width="7.28515625" style="141" customWidth="1"/>
    <col min="4" max="4" width="27.140625" style="386" bestFit="1" customWidth="1"/>
    <col min="5" max="5" width="26.42578125" style="386" bestFit="1" customWidth="1"/>
    <col min="6" max="6" width="34.85546875" style="141" bestFit="1" customWidth="1"/>
    <col min="7" max="7" width="17.28515625" style="141" customWidth="1"/>
    <col min="8" max="8" width="17.5703125" style="141" customWidth="1"/>
    <col min="9" max="9" width="24.140625" style="386" bestFit="1" customWidth="1"/>
    <col min="10" max="10" width="16.85546875" style="141" customWidth="1"/>
    <col min="11" max="11" width="18.28515625" style="141" customWidth="1"/>
    <col min="12" max="12" width="32.42578125" style="386" customWidth="1"/>
    <col min="13" max="13" width="32" style="141" bestFit="1" customWidth="1"/>
    <col min="14" max="14" width="9.140625" style="141"/>
    <col min="15" max="15" width="76" style="141" bestFit="1" customWidth="1"/>
    <col min="16" max="16384" width="9.140625" style="141"/>
  </cols>
  <sheetData>
    <row r="1" spans="3:15" customFormat="1" ht="15" hidden="1">
      <c r="D1" s="132"/>
      <c r="E1" s="132"/>
      <c r="I1" s="132"/>
      <c r="L1" s="132"/>
    </row>
    <row r="2" spans="3:15" customFormat="1" ht="15" hidden="1">
      <c r="D2" s="132"/>
      <c r="E2" s="132"/>
      <c r="I2" s="132"/>
      <c r="L2" s="132"/>
    </row>
    <row r="3" spans="3:15" customFormat="1" ht="15" hidden="1">
      <c r="D3" s="132"/>
      <c r="E3" s="132"/>
      <c r="I3" s="132"/>
      <c r="L3" s="132"/>
    </row>
    <row r="4" spans="3:15" customFormat="1" ht="15">
      <c r="D4" s="132"/>
      <c r="E4" s="132"/>
      <c r="I4" s="132"/>
      <c r="L4" s="132"/>
    </row>
    <row r="5" spans="3:15" s="3" customFormat="1" ht="49.5">
      <c r="C5" s="392" t="s">
        <v>553</v>
      </c>
      <c r="D5" s="257"/>
      <c r="E5" s="257"/>
      <c r="F5" s="257"/>
      <c r="G5" s="257"/>
      <c r="H5" s="257"/>
      <c r="I5" s="257"/>
      <c r="J5" s="257"/>
      <c r="K5" s="257"/>
      <c r="L5" s="257"/>
      <c r="M5" s="257"/>
    </row>
    <row r="6" spans="3:15" customFormat="1" ht="6" customHeight="1">
      <c r="D6" s="132"/>
      <c r="E6" s="132"/>
      <c r="I6" s="132"/>
      <c r="L6" s="132"/>
    </row>
    <row r="7" spans="3:15" customFormat="1" ht="35.1" customHeight="1">
      <c r="C7" s="389" t="s">
        <v>1</v>
      </c>
      <c r="D7" s="389" t="s">
        <v>488</v>
      </c>
      <c r="E7" s="389" t="s">
        <v>489</v>
      </c>
      <c r="F7" s="389" t="s">
        <v>490</v>
      </c>
      <c r="G7" s="389" t="s">
        <v>491</v>
      </c>
      <c r="H7" s="389" t="s">
        <v>492</v>
      </c>
      <c r="I7" s="389" t="s">
        <v>493</v>
      </c>
      <c r="J7" s="389" t="s">
        <v>493</v>
      </c>
      <c r="K7" s="389" t="s">
        <v>494</v>
      </c>
      <c r="L7" s="389" t="s">
        <v>495</v>
      </c>
      <c r="M7" s="389" t="s">
        <v>496</v>
      </c>
      <c r="O7" s="386" t="s">
        <v>552</v>
      </c>
    </row>
    <row r="8" spans="3:15" ht="24.95" customHeight="1">
      <c r="C8" s="388">
        <v>1</v>
      </c>
      <c r="D8" s="387" t="s">
        <v>497</v>
      </c>
      <c r="E8" s="387" t="s">
        <v>547</v>
      </c>
      <c r="F8" s="387" t="s">
        <v>482</v>
      </c>
      <c r="G8" s="187" t="s">
        <v>498</v>
      </c>
      <c r="H8" s="387" t="s">
        <v>497</v>
      </c>
      <c r="I8" s="387"/>
      <c r="J8" s="387"/>
      <c r="K8" s="387"/>
      <c r="L8" s="387" t="str">
        <f>IF(F8="","",F8)&amp;IF(G8="","",G8&amp;"\")&amp;IF(H8="","",H8&amp;"\")&amp;IF(I8="","",I8&amp;"\")&amp;IF(J8="","",J8&amp;"\")&amp;IF(K8="","",K8&amp;"\")</f>
        <v>D:\1_Documents\1_Companies\ks_system\database\</v>
      </c>
      <c r="M8" s="407" t="str">
        <f t="shared" ref="M8:M46" si="0">IF(AND(E8="",J8=""),"",HYPERLINK(database_path,IF(J8="",E8,J8)))</f>
        <v>database file</v>
      </c>
      <c r="O8" s="386" t="s">
        <v>482</v>
      </c>
    </row>
    <row r="9" spans="3:15" ht="24.95" customHeight="1">
      <c r="C9" s="187">
        <v>2</v>
      </c>
      <c r="D9" s="387" t="s">
        <v>497</v>
      </c>
      <c r="E9" s="387" t="s">
        <v>548</v>
      </c>
      <c r="F9" s="387" t="s">
        <v>482</v>
      </c>
      <c r="G9" s="187" t="s">
        <v>498</v>
      </c>
      <c r="H9" s="387" t="s">
        <v>497</v>
      </c>
      <c r="I9" s="387" t="s">
        <v>546</v>
      </c>
      <c r="J9" s="387"/>
      <c r="K9" s="387"/>
      <c r="L9" s="387" t="str">
        <f t="shared" ref="L9:L46" si="1">IF(F9="","",F9)&amp;IF(G9="","",G9&amp;"\")&amp;IF(H9="","",H9&amp;"\")&amp;IF(I9="","",I9&amp;"\")&amp;IF(J9="","",J9&amp;"\")&amp;IF(K9="","",K9&amp;"\")</f>
        <v>D:\1_Documents\1_Companies\ks_system\database\database_backup\</v>
      </c>
      <c r="M9" s="407" t="str">
        <f t="shared" si="0"/>
        <v>database backup</v>
      </c>
    </row>
    <row r="10" spans="3:15" ht="24.95" customHeight="1">
      <c r="C10" s="187">
        <v>3</v>
      </c>
      <c r="D10" s="387" t="s">
        <v>499</v>
      </c>
      <c r="E10" s="387" t="s">
        <v>549</v>
      </c>
      <c r="F10" s="387" t="s">
        <v>482</v>
      </c>
      <c r="G10" s="187" t="s">
        <v>498</v>
      </c>
      <c r="H10" s="387"/>
      <c r="I10" s="387"/>
      <c r="J10" s="387"/>
      <c r="K10" s="387"/>
      <c r="L10" s="387" t="str">
        <f t="shared" si="1"/>
        <v>D:\1_Documents\1_Companies\ks_system\</v>
      </c>
      <c r="M10" s="407" t="str">
        <f t="shared" si="0"/>
        <v>system file</v>
      </c>
    </row>
    <row r="11" spans="3:15" ht="24.95" customHeight="1">
      <c r="C11" s="187">
        <v>4</v>
      </c>
      <c r="D11" s="387" t="s">
        <v>499</v>
      </c>
      <c r="E11" s="387" t="s">
        <v>550</v>
      </c>
      <c r="F11" s="387" t="s">
        <v>482</v>
      </c>
      <c r="G11" s="187" t="s">
        <v>498</v>
      </c>
      <c r="H11" s="387" t="s">
        <v>551</v>
      </c>
      <c r="I11" s="387"/>
      <c r="J11" s="387"/>
      <c r="K11" s="387"/>
      <c r="L11" s="387" t="str">
        <f t="shared" si="1"/>
        <v>D:\1_Documents\1_Companies\ks_system\system_backup\</v>
      </c>
      <c r="M11" s="407" t="str">
        <f t="shared" si="0"/>
        <v>system backup</v>
      </c>
    </row>
    <row r="12" spans="3:15" ht="24.95" customHeight="1">
      <c r="C12" s="187">
        <v>5</v>
      </c>
      <c r="D12" s="387" t="s">
        <v>500</v>
      </c>
      <c r="E12" s="387" t="s">
        <v>501</v>
      </c>
      <c r="F12" s="387" t="s">
        <v>482</v>
      </c>
      <c r="G12" s="187" t="s">
        <v>498</v>
      </c>
      <c r="H12" s="387" t="s">
        <v>502</v>
      </c>
      <c r="I12" s="387" t="s">
        <v>500</v>
      </c>
      <c r="J12" s="390" t="s">
        <v>501</v>
      </c>
      <c r="K12" s="390"/>
      <c r="L12" s="387" t="str">
        <f t="shared" si="1"/>
        <v>D:\1_Documents\1_Companies\ks_system\report\inventory\inventory_adjustment\</v>
      </c>
      <c r="M12" s="407" t="str">
        <f t="shared" si="0"/>
        <v>inventory_adjustment</v>
      </c>
    </row>
    <row r="13" spans="3:15" ht="24.95" customHeight="1">
      <c r="C13" s="187">
        <v>6</v>
      </c>
      <c r="D13" s="387" t="s">
        <v>111</v>
      </c>
      <c r="E13" s="387" t="s">
        <v>503</v>
      </c>
      <c r="F13" s="387" t="s">
        <v>482</v>
      </c>
      <c r="G13" s="187" t="s">
        <v>498</v>
      </c>
      <c r="H13" s="387" t="s">
        <v>502</v>
      </c>
      <c r="I13" s="387" t="s">
        <v>111</v>
      </c>
      <c r="J13" s="390" t="s">
        <v>503</v>
      </c>
      <c r="K13" s="390"/>
      <c r="L13" s="387" t="str">
        <f t="shared" si="1"/>
        <v>D:\1_Documents\1_Companies\ks_system\report\Inventory\product\</v>
      </c>
      <c r="M13" s="407" t="str">
        <f t="shared" si="0"/>
        <v>product</v>
      </c>
    </row>
    <row r="14" spans="3:15" ht="24.95" customHeight="1">
      <c r="C14" s="187">
        <v>7</v>
      </c>
      <c r="D14" s="387" t="s">
        <v>111</v>
      </c>
      <c r="E14" s="387" t="s">
        <v>504</v>
      </c>
      <c r="F14" s="387" t="s">
        <v>482</v>
      </c>
      <c r="G14" s="187" t="s">
        <v>498</v>
      </c>
      <c r="H14" s="387" t="s">
        <v>502</v>
      </c>
      <c r="I14" s="387" t="s">
        <v>111</v>
      </c>
      <c r="J14" s="390" t="s">
        <v>504</v>
      </c>
      <c r="K14" s="390"/>
      <c r="L14" s="387" t="str">
        <f t="shared" si="1"/>
        <v>D:\1_Documents\1_Companies\ks_system\report\Inventory\transfer_order\</v>
      </c>
      <c r="M14" s="407" t="str">
        <f t="shared" si="0"/>
        <v>transfer_order</v>
      </c>
    </row>
    <row r="15" spans="3:15" ht="24.95" customHeight="1">
      <c r="C15" s="187">
        <v>8</v>
      </c>
      <c r="D15" s="387" t="s">
        <v>505</v>
      </c>
      <c r="E15" s="387" t="s">
        <v>506</v>
      </c>
      <c r="F15" s="387" t="s">
        <v>482</v>
      </c>
      <c r="G15" s="187" t="s">
        <v>498</v>
      </c>
      <c r="H15" s="387" t="s">
        <v>502</v>
      </c>
      <c r="I15" s="387" t="s">
        <v>505</v>
      </c>
      <c r="J15" s="390" t="s">
        <v>506</v>
      </c>
      <c r="K15" s="390"/>
      <c r="L15" s="387" t="str">
        <f t="shared" si="1"/>
        <v>D:\1_Documents\1_Companies\ks_system\report\purchase\purchase_bill\</v>
      </c>
      <c r="M15" s="407" t="str">
        <f t="shared" si="0"/>
        <v>purchase_bill</v>
      </c>
    </row>
    <row r="16" spans="3:15" ht="24.95" customHeight="1">
      <c r="C16" s="187">
        <v>9</v>
      </c>
      <c r="D16" s="387" t="s">
        <v>505</v>
      </c>
      <c r="E16" s="387" t="s">
        <v>507</v>
      </c>
      <c r="F16" s="387" t="s">
        <v>482</v>
      </c>
      <c r="G16" s="187" t="s">
        <v>498</v>
      </c>
      <c r="H16" s="387" t="s">
        <v>502</v>
      </c>
      <c r="I16" s="387" t="s">
        <v>505</v>
      </c>
      <c r="J16" s="390" t="s">
        <v>507</v>
      </c>
      <c r="K16" s="390"/>
      <c r="L16" s="387" t="str">
        <f t="shared" si="1"/>
        <v>D:\1_Documents\1_Companies\ks_system\report\purchase\purchase_request\</v>
      </c>
      <c r="M16" s="407" t="str">
        <f t="shared" si="0"/>
        <v>purchase_request</v>
      </c>
    </row>
    <row r="17" spans="3:13" ht="24.95" customHeight="1">
      <c r="C17" s="187">
        <v>10</v>
      </c>
      <c r="D17" s="387" t="s">
        <v>505</v>
      </c>
      <c r="E17" s="387" t="s">
        <v>508</v>
      </c>
      <c r="F17" s="387" t="s">
        <v>482</v>
      </c>
      <c r="G17" s="187" t="s">
        <v>498</v>
      </c>
      <c r="H17" s="387" t="s">
        <v>502</v>
      </c>
      <c r="I17" s="387" t="s">
        <v>505</v>
      </c>
      <c r="J17" s="390" t="s">
        <v>508</v>
      </c>
      <c r="K17" s="390"/>
      <c r="L17" s="387" t="str">
        <f t="shared" si="1"/>
        <v>D:\1_Documents\1_Companies\ks_system\report\purchase\other_expense\</v>
      </c>
      <c r="M17" s="407" t="str">
        <f t="shared" si="0"/>
        <v>other_expense</v>
      </c>
    </row>
    <row r="18" spans="3:13" ht="24.95" customHeight="1">
      <c r="C18" s="187">
        <v>11</v>
      </c>
      <c r="D18" s="387" t="s">
        <v>505</v>
      </c>
      <c r="E18" s="387" t="s">
        <v>509</v>
      </c>
      <c r="F18" s="387" t="s">
        <v>482</v>
      </c>
      <c r="G18" s="187" t="s">
        <v>498</v>
      </c>
      <c r="H18" s="387" t="s">
        <v>502</v>
      </c>
      <c r="I18" s="387" t="s">
        <v>505</v>
      </c>
      <c r="J18" s="390" t="s">
        <v>509</v>
      </c>
      <c r="K18" s="390"/>
      <c r="L18" s="387" t="str">
        <f t="shared" si="1"/>
        <v>D:\1_Documents\1_Companies\ks_system\report\purchase\vendor\</v>
      </c>
      <c r="M18" s="407" t="str">
        <f t="shared" si="0"/>
        <v>vendor</v>
      </c>
    </row>
    <row r="19" spans="3:13" ht="24.95" customHeight="1">
      <c r="C19" s="187">
        <v>12</v>
      </c>
      <c r="D19" s="387" t="s">
        <v>510</v>
      </c>
      <c r="E19" s="387" t="s">
        <v>511</v>
      </c>
      <c r="F19" s="387" t="s">
        <v>482</v>
      </c>
      <c r="G19" s="187" t="s">
        <v>498</v>
      </c>
      <c r="H19" s="387" t="s">
        <v>502</v>
      </c>
      <c r="I19" s="387" t="s">
        <v>510</v>
      </c>
      <c r="J19" s="390" t="s">
        <v>511</v>
      </c>
      <c r="K19" s="390"/>
      <c r="L19" s="387" t="str">
        <f t="shared" si="1"/>
        <v>D:\1_Documents\1_Companies\ks_system\report\sales\customer\</v>
      </c>
      <c r="M19" s="407" t="str">
        <f t="shared" si="0"/>
        <v>customer</v>
      </c>
    </row>
    <row r="20" spans="3:13" ht="24.95" customHeight="1">
      <c r="C20" s="187">
        <v>13</v>
      </c>
      <c r="D20" s="387" t="s">
        <v>510</v>
      </c>
      <c r="E20" s="387" t="s">
        <v>512</v>
      </c>
      <c r="F20" s="387" t="s">
        <v>482</v>
      </c>
      <c r="G20" s="187" t="s">
        <v>498</v>
      </c>
      <c r="H20" s="387" t="s">
        <v>502</v>
      </c>
      <c r="I20" s="387" t="s">
        <v>510</v>
      </c>
      <c r="J20" s="390" t="s">
        <v>512</v>
      </c>
      <c r="K20" s="390"/>
      <c r="L20" s="387" t="str">
        <f t="shared" si="1"/>
        <v>D:\1_Documents\1_Companies\ks_system\report\sales\quotation\</v>
      </c>
      <c r="M20" s="407" t="str">
        <f t="shared" si="0"/>
        <v>quotation</v>
      </c>
    </row>
    <row r="21" spans="3:13" ht="24.95" customHeight="1">
      <c r="C21" s="187">
        <v>14</v>
      </c>
      <c r="D21" s="387" t="s">
        <v>510</v>
      </c>
      <c r="E21" s="387" t="s">
        <v>513</v>
      </c>
      <c r="F21" s="387" t="s">
        <v>482</v>
      </c>
      <c r="G21" s="187" t="s">
        <v>498</v>
      </c>
      <c r="H21" s="387" t="s">
        <v>502</v>
      </c>
      <c r="I21" s="387" t="s">
        <v>510</v>
      </c>
      <c r="J21" s="390" t="s">
        <v>513</v>
      </c>
      <c r="K21" s="390"/>
      <c r="L21" s="387" t="str">
        <f t="shared" si="1"/>
        <v>D:\1_Documents\1_Companies\ks_system\report\sales\sales_order\</v>
      </c>
      <c r="M21" s="407" t="str">
        <f t="shared" si="0"/>
        <v>sales_order</v>
      </c>
    </row>
    <row r="22" spans="3:13" ht="24.95" customHeight="1">
      <c r="C22" s="187">
        <v>15</v>
      </c>
      <c r="D22" s="387" t="s">
        <v>510</v>
      </c>
      <c r="E22" s="387" t="s">
        <v>514</v>
      </c>
      <c r="F22" s="387" t="s">
        <v>482</v>
      </c>
      <c r="G22" s="187" t="s">
        <v>498</v>
      </c>
      <c r="H22" s="387" t="s">
        <v>502</v>
      </c>
      <c r="I22" s="387" t="s">
        <v>510</v>
      </c>
      <c r="J22" s="390" t="s">
        <v>514</v>
      </c>
      <c r="K22" s="390"/>
      <c r="L22" s="387" t="str">
        <f t="shared" si="1"/>
        <v>D:\1_Documents\1_Companies\ks_system\report\sales\sales_invoice\</v>
      </c>
      <c r="M22" s="407" t="str">
        <f t="shared" si="0"/>
        <v>sales_invoice</v>
      </c>
    </row>
    <row r="23" spans="3:13" ht="24.95" customHeight="1">
      <c r="C23" s="187">
        <v>16</v>
      </c>
      <c r="D23" s="387" t="s">
        <v>510</v>
      </c>
      <c r="E23" s="387" t="s">
        <v>515</v>
      </c>
      <c r="F23" s="387" t="s">
        <v>482</v>
      </c>
      <c r="G23" s="187" t="s">
        <v>498</v>
      </c>
      <c r="H23" s="387" t="s">
        <v>502</v>
      </c>
      <c r="I23" s="387" t="s">
        <v>510</v>
      </c>
      <c r="J23" s="390" t="s">
        <v>515</v>
      </c>
      <c r="K23" s="390"/>
      <c r="L23" s="387" t="str">
        <f t="shared" si="1"/>
        <v>D:\1_Documents\1_Companies\ks_system\report\sales\pos\</v>
      </c>
      <c r="M23" s="407" t="str">
        <f t="shared" si="0"/>
        <v>pos</v>
      </c>
    </row>
    <row r="24" spans="3:13" ht="24.95" customHeight="1">
      <c r="C24" s="187">
        <v>17</v>
      </c>
      <c r="D24" s="387" t="s">
        <v>510</v>
      </c>
      <c r="E24" s="391" t="s">
        <v>516</v>
      </c>
      <c r="F24" s="387" t="s">
        <v>482</v>
      </c>
      <c r="G24" s="187" t="s">
        <v>498</v>
      </c>
      <c r="H24" s="387" t="s">
        <v>502</v>
      </c>
      <c r="I24" s="387" t="s">
        <v>510</v>
      </c>
      <c r="J24" s="390" t="s">
        <v>516</v>
      </c>
      <c r="K24" s="390"/>
      <c r="L24" s="387" t="str">
        <f t="shared" si="1"/>
        <v>D:\1_Documents\1_Companies\ks_system\report\sales\other_income\</v>
      </c>
      <c r="M24" s="407" t="str">
        <f t="shared" si="0"/>
        <v>other_income</v>
      </c>
    </row>
    <row r="25" spans="3:13" ht="24.95" customHeight="1">
      <c r="C25" s="187">
        <v>18</v>
      </c>
      <c r="D25" s="387" t="s">
        <v>517</v>
      </c>
      <c r="E25" s="387" t="s">
        <v>518</v>
      </c>
      <c r="F25" s="387" t="s">
        <v>482</v>
      </c>
      <c r="G25" s="187" t="s">
        <v>498</v>
      </c>
      <c r="H25" s="387" t="s">
        <v>502</v>
      </c>
      <c r="I25" s="387" t="s">
        <v>517</v>
      </c>
      <c r="J25" s="390" t="s">
        <v>518</v>
      </c>
      <c r="K25" s="390"/>
      <c r="L25" s="387" t="str">
        <f t="shared" si="1"/>
        <v>D:\1_Documents\1_Companies\ks_system\report\setting\employee_and_salary\</v>
      </c>
      <c r="M25" s="407" t="str">
        <f t="shared" si="0"/>
        <v>employee_and_salary</v>
      </c>
    </row>
    <row r="26" spans="3:13" ht="24.95" customHeight="1">
      <c r="C26" s="187">
        <v>19</v>
      </c>
      <c r="D26" s="387" t="s">
        <v>517</v>
      </c>
      <c r="E26" s="387" t="s">
        <v>519</v>
      </c>
      <c r="F26" s="387" t="s">
        <v>482</v>
      </c>
      <c r="G26" s="187" t="s">
        <v>498</v>
      </c>
      <c r="H26" s="387" t="s">
        <v>502</v>
      </c>
      <c r="I26" s="387" t="s">
        <v>517</v>
      </c>
      <c r="J26" s="390" t="s">
        <v>519</v>
      </c>
      <c r="K26" s="390"/>
      <c r="L26" s="387" t="str">
        <f t="shared" si="1"/>
        <v>D:\1_Documents\1_Companies\ks_system\report\setting\chart_account\</v>
      </c>
      <c r="M26" s="407" t="str">
        <f t="shared" si="0"/>
        <v>chart_account</v>
      </c>
    </row>
    <row r="27" spans="3:13" ht="24.95" customHeight="1">
      <c r="C27" s="187">
        <v>20</v>
      </c>
      <c r="D27" s="387" t="s">
        <v>520</v>
      </c>
      <c r="E27" s="387" t="s">
        <v>521</v>
      </c>
      <c r="F27" s="387" t="s">
        <v>482</v>
      </c>
      <c r="G27" s="187" t="s">
        <v>498</v>
      </c>
      <c r="H27" s="387" t="s">
        <v>502</v>
      </c>
      <c r="I27" s="387" t="s">
        <v>520</v>
      </c>
      <c r="J27" s="390" t="s">
        <v>521</v>
      </c>
      <c r="K27" s="390"/>
      <c r="L27" s="387" t="str">
        <f t="shared" si="1"/>
        <v>D:\1_Documents\1_Companies\ks_system\report\report_customer_balance\customer_balance\</v>
      </c>
      <c r="M27" s="407" t="str">
        <f t="shared" si="0"/>
        <v>customer_balance</v>
      </c>
    </row>
    <row r="28" spans="3:13" ht="24.95" customHeight="1">
      <c r="C28" s="187">
        <v>21</v>
      </c>
      <c r="D28" s="387" t="s">
        <v>520</v>
      </c>
      <c r="E28" s="387" t="s">
        <v>522</v>
      </c>
      <c r="F28" s="387" t="s">
        <v>482</v>
      </c>
      <c r="G28" s="187" t="s">
        <v>498</v>
      </c>
      <c r="H28" s="387" t="s">
        <v>502</v>
      </c>
      <c r="I28" s="387" t="s">
        <v>520</v>
      </c>
      <c r="J28" s="390" t="s">
        <v>522</v>
      </c>
      <c r="K28" s="390"/>
      <c r="L28" s="387" t="str">
        <f t="shared" si="1"/>
        <v>D:\1_Documents\1_Companies\ks_system\report\report_customer_balance\open_invoice\</v>
      </c>
      <c r="M28" s="407" t="str">
        <f t="shared" si="0"/>
        <v>open_invoice</v>
      </c>
    </row>
    <row r="29" spans="3:13" ht="24.95" customHeight="1">
      <c r="C29" s="187">
        <v>22</v>
      </c>
      <c r="D29" s="387" t="s">
        <v>520</v>
      </c>
      <c r="E29" s="387" t="s">
        <v>523</v>
      </c>
      <c r="F29" s="387" t="s">
        <v>482</v>
      </c>
      <c r="G29" s="187" t="s">
        <v>498</v>
      </c>
      <c r="H29" s="387" t="s">
        <v>502</v>
      </c>
      <c r="I29" s="387" t="s">
        <v>520</v>
      </c>
      <c r="J29" s="390" t="s">
        <v>523</v>
      </c>
      <c r="K29" s="390"/>
      <c r="L29" s="387" t="str">
        <f t="shared" si="1"/>
        <v>D:\1_Documents\1_Companies\ks_system\report\report_customer_balance\customer_statement\</v>
      </c>
      <c r="M29" s="407" t="str">
        <f t="shared" si="0"/>
        <v>customer_statement</v>
      </c>
    </row>
    <row r="30" spans="3:13" ht="24.95" customHeight="1">
      <c r="C30" s="187">
        <v>23</v>
      </c>
      <c r="D30" s="387" t="s">
        <v>524</v>
      </c>
      <c r="E30" s="387" t="s">
        <v>525</v>
      </c>
      <c r="F30" s="387" t="s">
        <v>482</v>
      </c>
      <c r="G30" s="187" t="s">
        <v>498</v>
      </c>
      <c r="H30" s="387" t="s">
        <v>502</v>
      </c>
      <c r="I30" s="387" t="s">
        <v>524</v>
      </c>
      <c r="J30" s="390" t="s">
        <v>525</v>
      </c>
      <c r="K30" s="390"/>
      <c r="L30" s="387" t="str">
        <f t="shared" si="1"/>
        <v>D:\1_Documents\1_Companies\ks_system\report\report_vendor_balance\vendor_balance\</v>
      </c>
      <c r="M30" s="407" t="str">
        <f t="shared" si="0"/>
        <v>vendor_balance</v>
      </c>
    </row>
    <row r="31" spans="3:13" ht="24.95" customHeight="1">
      <c r="C31" s="187">
        <v>24</v>
      </c>
      <c r="D31" s="387" t="s">
        <v>524</v>
      </c>
      <c r="E31" s="387" t="s">
        <v>526</v>
      </c>
      <c r="F31" s="387" t="s">
        <v>482</v>
      </c>
      <c r="G31" s="187" t="s">
        <v>498</v>
      </c>
      <c r="H31" s="387" t="s">
        <v>502</v>
      </c>
      <c r="I31" s="387" t="s">
        <v>524</v>
      </c>
      <c r="J31" s="390" t="s">
        <v>526</v>
      </c>
      <c r="K31" s="390"/>
      <c r="L31" s="387" t="str">
        <f t="shared" si="1"/>
        <v>D:\1_Documents\1_Companies\ks_system\report\report_vendor_balance\open_bill\</v>
      </c>
      <c r="M31" s="407" t="str">
        <f t="shared" si="0"/>
        <v>open_bill</v>
      </c>
    </row>
    <row r="32" spans="3:13" ht="24.95" customHeight="1">
      <c r="C32" s="187">
        <v>25</v>
      </c>
      <c r="D32" s="387" t="s">
        <v>524</v>
      </c>
      <c r="E32" s="387" t="s">
        <v>527</v>
      </c>
      <c r="F32" s="387" t="s">
        <v>482</v>
      </c>
      <c r="G32" s="187" t="s">
        <v>498</v>
      </c>
      <c r="H32" s="387" t="s">
        <v>502</v>
      </c>
      <c r="I32" s="387" t="s">
        <v>524</v>
      </c>
      <c r="J32" s="390" t="s">
        <v>527</v>
      </c>
      <c r="K32" s="390"/>
      <c r="L32" s="387" t="str">
        <f t="shared" si="1"/>
        <v>D:\1_Documents\1_Companies\ks_system\report\report_vendor_balance\vendor_statement\</v>
      </c>
      <c r="M32" s="407" t="str">
        <f t="shared" si="0"/>
        <v>vendor_statement</v>
      </c>
    </row>
    <row r="33" spans="3:13" ht="24.95" customHeight="1">
      <c r="C33" s="187">
        <v>26</v>
      </c>
      <c r="D33" s="387" t="s">
        <v>528</v>
      </c>
      <c r="E33" s="387" t="s">
        <v>529</v>
      </c>
      <c r="F33" s="387" t="s">
        <v>482</v>
      </c>
      <c r="G33" s="187" t="s">
        <v>498</v>
      </c>
      <c r="H33" s="387" t="s">
        <v>502</v>
      </c>
      <c r="I33" s="387" t="s">
        <v>528</v>
      </c>
      <c r="J33" s="390" t="s">
        <v>529</v>
      </c>
      <c r="K33" s="390"/>
      <c r="L33" s="387" t="str">
        <f t="shared" si="1"/>
        <v>D:\1_Documents\1_Companies\ks_system\report\report_purchase\purchase_by_invoice\</v>
      </c>
      <c r="M33" s="407" t="str">
        <f t="shared" si="0"/>
        <v>purchase_by_invoice</v>
      </c>
    </row>
    <row r="34" spans="3:13" ht="24.95" customHeight="1">
      <c r="C34" s="187">
        <v>27</v>
      </c>
      <c r="D34" s="387" t="s">
        <v>528</v>
      </c>
      <c r="E34" s="387" t="s">
        <v>530</v>
      </c>
      <c r="F34" s="387" t="s">
        <v>482</v>
      </c>
      <c r="G34" s="187" t="s">
        <v>498</v>
      </c>
      <c r="H34" s="387" t="s">
        <v>502</v>
      </c>
      <c r="I34" s="387" t="s">
        <v>528</v>
      </c>
      <c r="J34" s="390" t="s">
        <v>530</v>
      </c>
      <c r="K34" s="390"/>
      <c r="L34" s="387" t="str">
        <f t="shared" si="1"/>
        <v>D:\1_Documents\1_Companies\ks_system\report\report_purchase\purchase_by_item\</v>
      </c>
      <c r="M34" s="407" t="str">
        <f t="shared" si="0"/>
        <v>purchase_by_item</v>
      </c>
    </row>
    <row r="35" spans="3:13" ht="24.95" customHeight="1">
      <c r="C35" s="187">
        <v>28</v>
      </c>
      <c r="D35" s="387" t="s">
        <v>528</v>
      </c>
      <c r="E35" s="387" t="s">
        <v>531</v>
      </c>
      <c r="F35" s="387" t="s">
        <v>482</v>
      </c>
      <c r="G35" s="187" t="s">
        <v>498</v>
      </c>
      <c r="H35" s="387" t="s">
        <v>502</v>
      </c>
      <c r="I35" s="387" t="s">
        <v>528</v>
      </c>
      <c r="J35" s="390" t="s">
        <v>531</v>
      </c>
      <c r="K35" s="390"/>
      <c r="L35" s="387" t="str">
        <f t="shared" si="1"/>
        <v>D:\1_Documents\1_Companies\ks_system\report\report_purchase\pay_bills \</v>
      </c>
      <c r="M35" s="407" t="str">
        <f t="shared" si="0"/>
        <v xml:space="preserve">pay_bills </v>
      </c>
    </row>
    <row r="36" spans="3:13" ht="24.95" customHeight="1">
      <c r="C36" s="187">
        <v>29</v>
      </c>
      <c r="D36" s="387" t="s">
        <v>528</v>
      </c>
      <c r="E36" s="387" t="s">
        <v>532</v>
      </c>
      <c r="F36" s="387" t="s">
        <v>482</v>
      </c>
      <c r="G36" s="187" t="s">
        <v>498</v>
      </c>
      <c r="H36" s="387" t="s">
        <v>502</v>
      </c>
      <c r="I36" s="387" t="s">
        <v>528</v>
      </c>
      <c r="J36" s="390" t="s">
        <v>532</v>
      </c>
      <c r="K36" s="390"/>
      <c r="L36" s="387" t="str">
        <f t="shared" si="1"/>
        <v>D:\1_Documents\1_Companies\ks_system\report\report_purchase\cash_expenses\</v>
      </c>
      <c r="M36" s="407" t="str">
        <f t="shared" si="0"/>
        <v>cash_expenses</v>
      </c>
    </row>
    <row r="37" spans="3:13" ht="24.95" customHeight="1">
      <c r="C37" s="187">
        <v>30</v>
      </c>
      <c r="D37" s="387" t="s">
        <v>533</v>
      </c>
      <c r="E37" s="387" t="s">
        <v>534</v>
      </c>
      <c r="F37" s="387" t="s">
        <v>482</v>
      </c>
      <c r="G37" s="187" t="s">
        <v>498</v>
      </c>
      <c r="H37" s="387" t="s">
        <v>502</v>
      </c>
      <c r="I37" s="387" t="s">
        <v>533</v>
      </c>
      <c r="J37" s="390" t="s">
        <v>534</v>
      </c>
      <c r="K37" s="390"/>
      <c r="L37" s="387" t="str">
        <f t="shared" si="1"/>
        <v>D:\1_Documents\1_Companies\ks_system\report\report_sales\sales_by_item\</v>
      </c>
      <c r="M37" s="407" t="str">
        <f t="shared" si="0"/>
        <v>sales_by_item</v>
      </c>
    </row>
    <row r="38" spans="3:13" ht="24.95" customHeight="1">
      <c r="C38" s="187">
        <v>31</v>
      </c>
      <c r="D38" s="387" t="s">
        <v>533</v>
      </c>
      <c r="E38" s="387" t="s">
        <v>535</v>
      </c>
      <c r="F38" s="387" t="s">
        <v>482</v>
      </c>
      <c r="G38" s="187" t="s">
        <v>498</v>
      </c>
      <c r="H38" s="387" t="s">
        <v>502</v>
      </c>
      <c r="I38" s="387" t="s">
        <v>533</v>
      </c>
      <c r="J38" s="390" t="s">
        <v>535</v>
      </c>
      <c r="K38" s="390"/>
      <c r="L38" s="387" t="str">
        <f t="shared" si="1"/>
        <v>D:\1_Documents\1_Companies\ks_system\report\report_sales\sales_by_item_customer\</v>
      </c>
      <c r="M38" s="407" t="str">
        <f t="shared" si="0"/>
        <v>sales_by_item_customer</v>
      </c>
    </row>
    <row r="39" spans="3:13" ht="24.95" customHeight="1">
      <c r="C39" s="187">
        <v>32</v>
      </c>
      <c r="D39" s="387" t="s">
        <v>533</v>
      </c>
      <c r="E39" s="387" t="s">
        <v>536</v>
      </c>
      <c r="F39" s="387" t="s">
        <v>482</v>
      </c>
      <c r="G39" s="187" t="s">
        <v>498</v>
      </c>
      <c r="H39" s="387" t="s">
        <v>502</v>
      </c>
      <c r="I39" s="387" t="s">
        <v>533</v>
      </c>
      <c r="J39" s="390" t="s">
        <v>536</v>
      </c>
      <c r="K39" s="390"/>
      <c r="L39" s="387" t="str">
        <f t="shared" si="1"/>
        <v>D:\1_Documents\1_Companies\ks_system\report\report_sales\total_sale\</v>
      </c>
      <c r="M39" s="407" t="str">
        <f t="shared" si="0"/>
        <v>total_sale</v>
      </c>
    </row>
    <row r="40" spans="3:13" ht="24.95" customHeight="1">
      <c r="C40" s="187">
        <v>33</v>
      </c>
      <c r="D40" s="387" t="s">
        <v>537</v>
      </c>
      <c r="E40" s="387" t="s">
        <v>538</v>
      </c>
      <c r="F40" s="387" t="s">
        <v>482</v>
      </c>
      <c r="G40" s="187" t="s">
        <v>498</v>
      </c>
      <c r="H40" s="387" t="s">
        <v>502</v>
      </c>
      <c r="I40" s="387" t="s">
        <v>537</v>
      </c>
      <c r="J40" s="390" t="s">
        <v>538</v>
      </c>
      <c r="K40" s="390"/>
      <c r="L40" s="387" t="str">
        <f t="shared" si="1"/>
        <v>D:\1_Documents\1_Companies\ks_system\report\report_inventory\gloable_inventory\</v>
      </c>
      <c r="M40" s="407" t="str">
        <f t="shared" si="0"/>
        <v>gloable_inventory</v>
      </c>
    </row>
    <row r="41" spans="3:13" ht="24.95" customHeight="1">
      <c r="C41" s="187">
        <v>34</v>
      </c>
      <c r="D41" s="387" t="s">
        <v>537</v>
      </c>
      <c r="E41" s="387" t="s">
        <v>539</v>
      </c>
      <c r="F41" s="387" t="s">
        <v>482</v>
      </c>
      <c r="G41" s="187" t="s">
        <v>498</v>
      </c>
      <c r="H41" s="387" t="s">
        <v>502</v>
      </c>
      <c r="I41" s="387" t="s">
        <v>537</v>
      </c>
      <c r="J41" s="390" t="s">
        <v>539</v>
      </c>
      <c r="K41" s="390"/>
      <c r="L41" s="387" t="str">
        <f t="shared" si="1"/>
        <v>D:\1_Documents\1_Companies\ks_system\report\report_inventory\inventory_activity\</v>
      </c>
      <c r="M41" s="407" t="str">
        <f t="shared" si="0"/>
        <v>inventory_activity</v>
      </c>
    </row>
    <row r="42" spans="3:13" ht="24.95" customHeight="1">
      <c r="C42" s="187">
        <v>35</v>
      </c>
      <c r="D42" s="387" t="s">
        <v>537</v>
      </c>
      <c r="E42" s="387" t="s">
        <v>540</v>
      </c>
      <c r="F42" s="387" t="s">
        <v>482</v>
      </c>
      <c r="G42" s="187" t="s">
        <v>498</v>
      </c>
      <c r="H42" s="387" t="s">
        <v>502</v>
      </c>
      <c r="I42" s="387" t="s">
        <v>537</v>
      </c>
      <c r="J42" s="390" t="s">
        <v>540</v>
      </c>
      <c r="K42" s="390"/>
      <c r="L42" s="387" t="str">
        <f t="shared" si="1"/>
        <v>D:\1_Documents\1_Companies\ks_system\report\report_inventory\inventory_valuation\</v>
      </c>
      <c r="M42" s="407" t="str">
        <f t="shared" si="0"/>
        <v>inventory_valuation</v>
      </c>
    </row>
    <row r="43" spans="3:13" ht="24.95" customHeight="1">
      <c r="C43" s="187">
        <v>36</v>
      </c>
      <c r="D43" s="387" t="s">
        <v>541</v>
      </c>
      <c r="E43" s="387" t="s">
        <v>542</v>
      </c>
      <c r="F43" s="387" t="s">
        <v>482</v>
      </c>
      <c r="G43" s="187" t="s">
        <v>498</v>
      </c>
      <c r="H43" s="387" t="s">
        <v>502</v>
      </c>
      <c r="I43" s="387" t="s">
        <v>541</v>
      </c>
      <c r="J43" s="390" t="s">
        <v>542</v>
      </c>
      <c r="K43" s="390"/>
      <c r="L43" s="387" t="str">
        <f t="shared" si="1"/>
        <v>D:\1_Documents\1_Companies\ks_system\report\report_accounting\journal_entry\</v>
      </c>
      <c r="M43" s="407" t="str">
        <f t="shared" si="0"/>
        <v>journal_entry</v>
      </c>
    </row>
    <row r="44" spans="3:13" ht="24.95" customHeight="1">
      <c r="C44" s="187">
        <v>37</v>
      </c>
      <c r="D44" s="387" t="s">
        <v>541</v>
      </c>
      <c r="E44" s="387" t="s">
        <v>543</v>
      </c>
      <c r="F44" s="387" t="s">
        <v>482</v>
      </c>
      <c r="G44" s="187" t="s">
        <v>498</v>
      </c>
      <c r="H44" s="387" t="s">
        <v>502</v>
      </c>
      <c r="I44" s="387" t="s">
        <v>541</v>
      </c>
      <c r="J44" s="390" t="s">
        <v>543</v>
      </c>
      <c r="K44" s="390"/>
      <c r="L44" s="387" t="str">
        <f t="shared" si="1"/>
        <v>D:\1_Documents\1_Companies\ks_system\report\report_accounting\general_ledger\</v>
      </c>
      <c r="M44" s="407" t="str">
        <f t="shared" si="0"/>
        <v>general_ledger</v>
      </c>
    </row>
    <row r="45" spans="3:13" ht="24.95" customHeight="1">
      <c r="C45" s="187">
        <v>38</v>
      </c>
      <c r="D45" s="387" t="s">
        <v>541</v>
      </c>
      <c r="E45" s="387" t="s">
        <v>544</v>
      </c>
      <c r="F45" s="387" t="s">
        <v>482</v>
      </c>
      <c r="G45" s="187" t="s">
        <v>498</v>
      </c>
      <c r="H45" s="387" t="s">
        <v>502</v>
      </c>
      <c r="I45" s="387" t="s">
        <v>541</v>
      </c>
      <c r="J45" s="390" t="s">
        <v>544</v>
      </c>
      <c r="K45" s="390"/>
      <c r="L45" s="387" t="str">
        <f t="shared" si="1"/>
        <v>D:\1_Documents\1_Companies\ks_system\report\report_accounting\balance_sheet\</v>
      </c>
      <c r="M45" s="407" t="str">
        <f t="shared" si="0"/>
        <v>balance_sheet</v>
      </c>
    </row>
    <row r="46" spans="3:13" ht="24.95" customHeight="1">
      <c r="C46" s="187">
        <v>39</v>
      </c>
      <c r="D46" s="387" t="s">
        <v>541</v>
      </c>
      <c r="E46" s="387" t="s">
        <v>545</v>
      </c>
      <c r="F46" s="387" t="s">
        <v>482</v>
      </c>
      <c r="G46" s="187" t="s">
        <v>498</v>
      </c>
      <c r="H46" s="387" t="s">
        <v>502</v>
      </c>
      <c r="I46" s="387" t="s">
        <v>541</v>
      </c>
      <c r="J46" s="390" t="s">
        <v>545</v>
      </c>
      <c r="K46" s="390"/>
      <c r="L46" s="387" t="str">
        <f t="shared" si="1"/>
        <v>D:\1_Documents\1_Companies\ks_system\report\report_accounting\profit_loss\</v>
      </c>
      <c r="M46" s="407" t="str">
        <f t="shared" si="0"/>
        <v>profit_loss</v>
      </c>
    </row>
  </sheetData>
  <sheetProtection formatCells="0" formatColumns="0" formatRows="0" insertColumns="0" insertRows="0" deleteColumns="0" deleteRows="0"/>
  <dataValidations count="1">
    <dataValidation type="list" allowBlank="1" showInputMessage="1" showErrorMessage="1" sqref="F8:F46" xr:uid="{EF8C63D3-1217-47B4-BCCC-67F2408BD734}">
      <formula1>$O$7:$O$8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638C-3457-47BC-A65E-6B9408C89BB1}">
  <sheetPr codeName="Sheet57"/>
  <dimension ref="C1:AJ151"/>
  <sheetViews>
    <sheetView showGridLines="0" topLeftCell="A2" zoomScale="90" zoomScaleNormal="90" workbookViewId="0">
      <pane ySplit="6" topLeftCell="A8" activePane="bottomLeft" state="frozen"/>
      <selection activeCell="L28" sqref="L28"/>
      <selection pane="bottomLeft" activeCell="O24" sqref="O24"/>
    </sheetView>
  </sheetViews>
  <sheetFormatPr defaultRowHeight="15"/>
  <cols>
    <col min="1" max="1" width="1" style="126" customWidth="1"/>
    <col min="2" max="2" width="2.28515625" style="126" customWidth="1"/>
    <col min="3" max="3" width="8.28515625" style="126" customWidth="1"/>
    <col min="4" max="4" width="13.7109375" style="126" customWidth="1"/>
    <col min="5" max="5" width="16.5703125" style="126" customWidth="1"/>
    <col min="6" max="6" width="5.140625" style="126" bestFit="1" customWidth="1"/>
    <col min="7" max="14" width="5" style="126" bestFit="1" customWidth="1"/>
    <col min="15" max="15" width="15.85546875" style="126" bestFit="1" customWidth="1"/>
    <col min="16" max="16" width="17.85546875" style="126" customWidth="1"/>
    <col min="17" max="17" width="15" style="126" customWidth="1"/>
    <col min="18" max="18" width="11.85546875" style="126" customWidth="1"/>
    <col min="19" max="19" width="14.5703125" style="126" customWidth="1"/>
    <col min="20" max="20" width="13.28515625" style="126" customWidth="1"/>
    <col min="21" max="21" width="18.7109375" style="227" customWidth="1"/>
    <col min="22" max="22" width="14.85546875" style="227" bestFit="1" customWidth="1"/>
    <col min="23" max="23" width="20.5703125" style="227" customWidth="1"/>
    <col min="24" max="24" width="15.140625" style="227" customWidth="1"/>
    <col min="25" max="25" width="14.42578125" style="227" customWidth="1"/>
    <col min="26" max="26" width="18.85546875" style="227" customWidth="1"/>
    <col min="27" max="27" width="23.5703125" style="227" customWidth="1"/>
    <col min="28" max="28" width="15" style="227" customWidth="1"/>
    <col min="29" max="29" width="22" style="126" customWidth="1"/>
    <col min="30" max="30" width="5" style="126" bestFit="1" customWidth="1"/>
    <col min="31" max="35" width="5.140625" style="126" bestFit="1" customWidth="1"/>
    <col min="36" max="16384" width="9.140625" style="126"/>
  </cols>
  <sheetData>
    <row r="1" spans="3:36" s="13" customFormat="1" ht="29.25" hidden="1" customHeight="1"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7"/>
      <c r="V1" s="217"/>
      <c r="W1" s="217"/>
      <c r="X1" s="217"/>
      <c r="Y1" s="217"/>
      <c r="Z1" s="217"/>
      <c r="AA1" s="217"/>
      <c r="AB1" s="217"/>
      <c r="AC1" s="215"/>
      <c r="AD1" s="215"/>
      <c r="AE1" s="215"/>
      <c r="AF1" s="215"/>
      <c r="AG1" s="215"/>
      <c r="AH1" s="215"/>
      <c r="AI1" s="215"/>
    </row>
    <row r="2" spans="3:36" s="13" customFormat="1">
      <c r="U2" s="218"/>
      <c r="V2" s="218"/>
      <c r="W2" s="218"/>
      <c r="X2" s="218"/>
      <c r="Y2" s="218"/>
      <c r="Z2" s="218"/>
      <c r="AA2" s="218"/>
      <c r="AB2" s="218"/>
    </row>
    <row r="3" spans="3:36" s="13" customFormat="1" ht="35.25">
      <c r="C3" s="315" t="s">
        <v>463</v>
      </c>
      <c r="D3" s="257"/>
      <c r="E3" s="257"/>
      <c r="F3" s="257"/>
      <c r="G3" s="257"/>
      <c r="H3" s="257"/>
      <c r="I3" s="257"/>
      <c r="J3" s="257"/>
      <c r="K3" s="257"/>
      <c r="L3" s="257"/>
      <c r="M3" s="257"/>
      <c r="N3" s="257"/>
      <c r="O3" s="257"/>
      <c r="P3" s="257"/>
      <c r="Q3" s="257"/>
      <c r="R3" s="257"/>
      <c r="S3" s="257"/>
      <c r="T3" s="257"/>
      <c r="U3" s="262"/>
      <c r="V3" s="262"/>
      <c r="W3" s="262"/>
      <c r="X3" s="262"/>
      <c r="Y3" s="262"/>
      <c r="Z3" s="262"/>
      <c r="AA3" s="262"/>
      <c r="AB3" s="262"/>
      <c r="AC3" s="257"/>
      <c r="AD3" s="257"/>
      <c r="AE3" s="257"/>
      <c r="AF3" s="257"/>
      <c r="AG3" s="257"/>
      <c r="AH3" s="257"/>
      <c r="AI3" s="257"/>
    </row>
    <row r="4" spans="3:36" s="13" customFormat="1">
      <c r="U4" s="218"/>
      <c r="V4" s="218"/>
      <c r="W4" s="218"/>
      <c r="X4" s="218"/>
      <c r="Y4" s="218"/>
      <c r="Z4" s="218"/>
      <c r="AA4" s="218"/>
      <c r="AB4" s="218"/>
    </row>
    <row r="5" spans="3:36" s="13" customFormat="1" hidden="1">
      <c r="U5" s="218"/>
      <c r="V5" s="218"/>
      <c r="W5" s="218"/>
      <c r="X5" s="218"/>
      <c r="Y5" s="218"/>
      <c r="Z5" s="218"/>
      <c r="AA5" s="218"/>
      <c r="AB5" s="218"/>
    </row>
    <row r="6" spans="3:36" s="13" customFormat="1" hidden="1">
      <c r="U6" s="218"/>
      <c r="V6" s="218"/>
      <c r="W6" s="218"/>
      <c r="X6" s="218"/>
      <c r="Y6" s="218"/>
      <c r="Z6" s="218"/>
      <c r="AA6" s="218"/>
      <c r="AB6" s="218"/>
    </row>
    <row r="7" spans="3:36" s="13" customFormat="1" ht="103.5">
      <c r="C7" s="316" t="s">
        <v>296</v>
      </c>
      <c r="D7" s="316" t="s">
        <v>330</v>
      </c>
      <c r="E7" s="316" t="s">
        <v>331</v>
      </c>
      <c r="F7" s="317" t="s">
        <v>306</v>
      </c>
      <c r="G7" s="317" t="s">
        <v>299</v>
      </c>
      <c r="H7" s="317" t="s">
        <v>301</v>
      </c>
      <c r="I7" s="317" t="s">
        <v>303</v>
      </c>
      <c r="J7" s="317" t="s">
        <v>377</v>
      </c>
      <c r="K7" s="317" t="s">
        <v>304</v>
      </c>
      <c r="L7" s="317" t="s">
        <v>378</v>
      </c>
      <c r="M7" s="317" t="s">
        <v>337</v>
      </c>
      <c r="N7" s="317" t="s">
        <v>455</v>
      </c>
      <c r="O7" s="316" t="s">
        <v>159</v>
      </c>
      <c r="P7" s="316" t="s">
        <v>319</v>
      </c>
      <c r="Q7" s="316" t="s">
        <v>340</v>
      </c>
      <c r="R7" s="316" t="s">
        <v>341</v>
      </c>
      <c r="S7" s="316" t="s">
        <v>318</v>
      </c>
      <c r="T7" s="316" t="s">
        <v>332</v>
      </c>
      <c r="U7" s="318" t="s">
        <v>379</v>
      </c>
      <c r="V7" s="318" t="s">
        <v>380</v>
      </c>
      <c r="W7" s="318" t="s">
        <v>381</v>
      </c>
      <c r="X7" s="318" t="s">
        <v>382</v>
      </c>
      <c r="Y7" s="318" t="s">
        <v>383</v>
      </c>
      <c r="Z7" s="318" t="s">
        <v>384</v>
      </c>
      <c r="AA7" s="318" t="s">
        <v>385</v>
      </c>
      <c r="AB7" s="318" t="s">
        <v>386</v>
      </c>
      <c r="AC7" s="316" t="s">
        <v>322</v>
      </c>
      <c r="AD7" s="317" t="s">
        <v>387</v>
      </c>
      <c r="AE7" s="317" t="s">
        <v>388</v>
      </c>
      <c r="AF7" s="317" t="s">
        <v>389</v>
      </c>
      <c r="AG7" s="317" t="s">
        <v>390</v>
      </c>
      <c r="AH7" s="317" t="s">
        <v>391</v>
      </c>
      <c r="AI7" s="317" t="s">
        <v>328</v>
      </c>
      <c r="AJ7" s="2"/>
    </row>
    <row r="8" spans="3:36">
      <c r="C8" s="126">
        <v>1</v>
      </c>
      <c r="D8" s="126">
        <v>1</v>
      </c>
      <c r="E8" s="126">
        <v>1</v>
      </c>
      <c r="F8" s="126">
        <v>1</v>
      </c>
      <c r="O8" s="126" t="s">
        <v>555</v>
      </c>
      <c r="S8" s="168">
        <v>46218</v>
      </c>
      <c r="T8" s="126">
        <v>1</v>
      </c>
      <c r="U8" s="227">
        <v>10</v>
      </c>
      <c r="V8" s="227">
        <v>10</v>
      </c>
      <c r="W8" s="227">
        <v>27.34</v>
      </c>
      <c r="X8" s="227">
        <v>0</v>
      </c>
      <c r="Y8" s="227">
        <v>0</v>
      </c>
      <c r="Z8" s="227">
        <v>0</v>
      </c>
      <c r="AA8" s="227">
        <v>27.34</v>
      </c>
      <c r="AB8" s="227">
        <v>0</v>
      </c>
      <c r="AC8" s="260">
        <v>46220.387384259258</v>
      </c>
      <c r="AE8" s="126">
        <v>0</v>
      </c>
      <c r="AF8" s="126">
        <v>0</v>
      </c>
      <c r="AG8" s="126">
        <v>1</v>
      </c>
      <c r="AH8" s="126">
        <v>0</v>
      </c>
      <c r="AI8" s="126">
        <v>1</v>
      </c>
    </row>
    <row r="9" spans="3:36">
      <c r="C9" s="126">
        <v>2</v>
      </c>
      <c r="D9" s="126">
        <v>1</v>
      </c>
      <c r="E9" s="126">
        <v>1</v>
      </c>
      <c r="F9" s="126">
        <v>1</v>
      </c>
      <c r="O9" s="126" t="s">
        <v>555</v>
      </c>
      <c r="S9" s="168">
        <v>46218</v>
      </c>
      <c r="T9" s="126">
        <v>81</v>
      </c>
      <c r="U9" s="227">
        <v>120</v>
      </c>
      <c r="V9" s="227">
        <v>10</v>
      </c>
      <c r="W9" s="227">
        <v>74.400000000000006</v>
      </c>
      <c r="X9" s="227">
        <v>0</v>
      </c>
      <c r="Y9" s="227">
        <v>0</v>
      </c>
      <c r="Z9" s="227">
        <v>0</v>
      </c>
      <c r="AA9" s="227">
        <v>74.400000000000006</v>
      </c>
      <c r="AB9" s="227">
        <v>0</v>
      </c>
      <c r="AC9" s="260">
        <v>46220.387384259258</v>
      </c>
      <c r="AE9" s="126">
        <v>0</v>
      </c>
      <c r="AF9" s="126">
        <v>0</v>
      </c>
      <c r="AG9" s="126">
        <v>1</v>
      </c>
      <c r="AH9" s="126">
        <v>0</v>
      </c>
      <c r="AI9" s="126">
        <v>1</v>
      </c>
    </row>
    <row r="10" spans="3:36">
      <c r="C10" s="126">
        <v>3</v>
      </c>
      <c r="D10" s="126">
        <v>1</v>
      </c>
      <c r="E10" s="126">
        <v>1</v>
      </c>
      <c r="F10" s="126">
        <v>1</v>
      </c>
      <c r="O10" s="126" t="s">
        <v>555</v>
      </c>
      <c r="S10" s="168">
        <v>46218</v>
      </c>
      <c r="T10" s="126">
        <v>176</v>
      </c>
      <c r="U10" s="227">
        <v>10000</v>
      </c>
      <c r="V10" s="227">
        <v>10</v>
      </c>
      <c r="W10" s="227">
        <v>85</v>
      </c>
      <c r="X10" s="227">
        <v>0</v>
      </c>
      <c r="Y10" s="227">
        <v>0</v>
      </c>
      <c r="Z10" s="227">
        <v>0</v>
      </c>
      <c r="AA10" s="227">
        <v>85</v>
      </c>
      <c r="AB10" s="227">
        <v>0</v>
      </c>
      <c r="AC10" s="260">
        <v>46220.387384259258</v>
      </c>
      <c r="AE10" s="126">
        <v>0</v>
      </c>
      <c r="AF10" s="126">
        <v>0</v>
      </c>
      <c r="AG10" s="126">
        <v>1</v>
      </c>
      <c r="AH10" s="126">
        <v>0</v>
      </c>
      <c r="AI10" s="126">
        <v>1</v>
      </c>
    </row>
    <row r="11" spans="3:36">
      <c r="C11" s="126">
        <v>4</v>
      </c>
      <c r="D11" s="126">
        <v>1</v>
      </c>
      <c r="E11" s="126">
        <v>1</v>
      </c>
      <c r="I11" s="126">
        <v>1</v>
      </c>
      <c r="J11" s="126">
        <v>1</v>
      </c>
      <c r="O11" s="126" t="s">
        <v>559</v>
      </c>
      <c r="P11" s="126" t="s">
        <v>557</v>
      </c>
      <c r="R11" s="126">
        <v>1</v>
      </c>
      <c r="S11" s="168">
        <v>46218</v>
      </c>
      <c r="T11" s="126">
        <v>1</v>
      </c>
      <c r="U11" s="227">
        <v>5</v>
      </c>
      <c r="V11" s="227">
        <v>5</v>
      </c>
      <c r="W11" s="227">
        <v>27.34</v>
      </c>
      <c r="X11" s="227">
        <v>0</v>
      </c>
      <c r="Y11" s="227">
        <v>0</v>
      </c>
      <c r="Z11" s="227">
        <v>0</v>
      </c>
      <c r="AA11" s="227">
        <v>27.34</v>
      </c>
      <c r="AB11" s="227">
        <v>0</v>
      </c>
      <c r="AC11" s="260">
        <v>46220.389374999999</v>
      </c>
      <c r="AE11" s="126">
        <v>0</v>
      </c>
      <c r="AF11" s="126">
        <v>0</v>
      </c>
      <c r="AG11" s="126">
        <v>1</v>
      </c>
      <c r="AH11" s="126">
        <v>0</v>
      </c>
    </row>
    <row r="12" spans="3:36">
      <c r="C12" s="126">
        <v>5</v>
      </c>
      <c r="D12" s="126">
        <v>1</v>
      </c>
      <c r="E12" s="126">
        <v>1</v>
      </c>
      <c r="I12" s="126">
        <v>1</v>
      </c>
      <c r="J12" s="126">
        <v>2</v>
      </c>
      <c r="O12" s="126" t="s">
        <v>559</v>
      </c>
      <c r="P12" s="126" t="s">
        <v>557</v>
      </c>
      <c r="R12" s="126">
        <v>1</v>
      </c>
      <c r="S12" s="168">
        <v>46218</v>
      </c>
      <c r="T12" s="126">
        <v>81</v>
      </c>
      <c r="U12" s="227">
        <v>60</v>
      </c>
      <c r="V12" s="227">
        <v>5</v>
      </c>
      <c r="W12" s="227">
        <v>74.400000000000006</v>
      </c>
      <c r="X12" s="227">
        <v>0</v>
      </c>
      <c r="Y12" s="227">
        <v>0</v>
      </c>
      <c r="Z12" s="227">
        <v>0</v>
      </c>
      <c r="AA12" s="227">
        <v>74.400000000000006</v>
      </c>
      <c r="AB12" s="227">
        <v>0</v>
      </c>
      <c r="AC12" s="260">
        <v>46220.389374999999</v>
      </c>
      <c r="AE12" s="126">
        <v>0</v>
      </c>
      <c r="AF12" s="126">
        <v>0</v>
      </c>
      <c r="AG12" s="126">
        <v>1</v>
      </c>
      <c r="AH12" s="126">
        <v>0</v>
      </c>
    </row>
    <row r="13" spans="3:36">
      <c r="C13" s="126">
        <v>6</v>
      </c>
      <c r="D13" s="126">
        <v>1</v>
      </c>
      <c r="E13" s="126">
        <v>1</v>
      </c>
      <c r="I13" s="126">
        <v>1</v>
      </c>
      <c r="J13" s="126">
        <v>3</v>
      </c>
      <c r="O13" s="126" t="s">
        <v>559</v>
      </c>
      <c r="P13" s="126" t="s">
        <v>557</v>
      </c>
      <c r="R13" s="126">
        <v>1</v>
      </c>
      <c r="S13" s="168">
        <v>46218</v>
      </c>
      <c r="T13" s="126">
        <v>176</v>
      </c>
      <c r="U13" s="227">
        <v>5000</v>
      </c>
      <c r="V13" s="227">
        <v>5</v>
      </c>
      <c r="W13" s="227">
        <v>85</v>
      </c>
      <c r="X13" s="227">
        <v>0</v>
      </c>
      <c r="Y13" s="227">
        <v>0</v>
      </c>
      <c r="Z13" s="227">
        <v>0</v>
      </c>
      <c r="AA13" s="227">
        <v>85</v>
      </c>
      <c r="AB13" s="227">
        <v>0</v>
      </c>
      <c r="AC13" s="260">
        <v>46220.389374999999</v>
      </c>
      <c r="AE13" s="126">
        <v>0</v>
      </c>
      <c r="AF13" s="126">
        <v>0</v>
      </c>
      <c r="AG13" s="126">
        <v>1</v>
      </c>
      <c r="AH13" s="126">
        <v>0</v>
      </c>
    </row>
    <row r="14" spans="3:36">
      <c r="S14" s="168"/>
      <c r="AC14" s="260"/>
    </row>
    <row r="15" spans="3:36">
      <c r="S15" s="168"/>
      <c r="AC15" s="260"/>
    </row>
    <row r="16" spans="3:36">
      <c r="S16" s="168"/>
      <c r="AC16" s="260"/>
    </row>
    <row r="17" spans="19:29">
      <c r="S17" s="168"/>
      <c r="AC17" s="260"/>
    </row>
    <row r="18" spans="19:29">
      <c r="S18" s="168"/>
      <c r="AC18" s="260"/>
    </row>
    <row r="19" spans="19:29">
      <c r="S19" s="168"/>
      <c r="AC19" s="260"/>
    </row>
    <row r="20" spans="19:29">
      <c r="S20" s="168"/>
      <c r="AC20" s="260"/>
    </row>
    <row r="21" spans="19:29">
      <c r="S21" s="168"/>
      <c r="AC21" s="260"/>
    </row>
    <row r="22" spans="19:29">
      <c r="S22" s="168"/>
      <c r="AC22" s="260"/>
    </row>
    <row r="23" spans="19:29">
      <c r="S23" s="168"/>
      <c r="AC23" s="260"/>
    </row>
    <row r="24" spans="19:29">
      <c r="S24" s="168"/>
      <c r="AC24" s="260"/>
    </row>
    <row r="25" spans="19:29">
      <c r="S25" s="168"/>
      <c r="AC25" s="260"/>
    </row>
    <row r="26" spans="19:29">
      <c r="S26" s="168"/>
      <c r="AC26" s="260"/>
    </row>
    <row r="27" spans="19:29">
      <c r="S27" s="168"/>
      <c r="AC27" s="260"/>
    </row>
    <row r="28" spans="19:29">
      <c r="S28" s="168"/>
      <c r="AC28" s="260"/>
    </row>
    <row r="29" spans="19:29">
      <c r="S29" s="168"/>
      <c r="AC29" s="260"/>
    </row>
    <row r="30" spans="19:29">
      <c r="S30" s="168"/>
      <c r="AC30" s="260"/>
    </row>
    <row r="31" spans="19:29">
      <c r="S31" s="168"/>
      <c r="AC31" s="260"/>
    </row>
    <row r="32" spans="19:29">
      <c r="S32" s="168"/>
      <c r="AC32" s="260"/>
    </row>
    <row r="33" spans="19:29">
      <c r="S33" s="168"/>
      <c r="AC33" s="260"/>
    </row>
    <row r="34" spans="19:29">
      <c r="S34" s="168"/>
      <c r="AC34" s="260"/>
    </row>
    <row r="35" spans="19:29">
      <c r="S35" s="168"/>
      <c r="AC35" s="260"/>
    </row>
    <row r="36" spans="19:29">
      <c r="S36" s="168"/>
      <c r="AC36" s="260"/>
    </row>
    <row r="37" spans="19:29">
      <c r="S37" s="168"/>
      <c r="AC37" s="260"/>
    </row>
    <row r="38" spans="19:29">
      <c r="S38" s="168"/>
      <c r="AC38" s="260"/>
    </row>
    <row r="39" spans="19:29">
      <c r="S39" s="168"/>
      <c r="AC39" s="260"/>
    </row>
    <row r="40" spans="19:29">
      <c r="S40" s="168"/>
      <c r="AC40" s="260"/>
    </row>
    <row r="41" spans="19:29">
      <c r="S41" s="168"/>
      <c r="AC41" s="260"/>
    </row>
    <row r="42" spans="19:29">
      <c r="S42" s="168"/>
      <c r="AC42" s="260"/>
    </row>
    <row r="43" spans="19:29">
      <c r="S43" s="168"/>
      <c r="AC43" s="260"/>
    </row>
    <row r="44" spans="19:29">
      <c r="S44" s="168"/>
      <c r="AC44" s="260"/>
    </row>
    <row r="45" spans="19:29">
      <c r="S45" s="168"/>
      <c r="AC45" s="260"/>
    </row>
    <row r="46" spans="19:29">
      <c r="S46" s="168"/>
      <c r="AC46" s="260"/>
    </row>
    <row r="47" spans="19:29">
      <c r="S47" s="168"/>
      <c r="AC47" s="260"/>
    </row>
    <row r="48" spans="19:29">
      <c r="S48" s="168"/>
      <c r="AC48" s="260"/>
    </row>
    <row r="49" spans="19:29">
      <c r="S49" s="168"/>
      <c r="AC49" s="260"/>
    </row>
    <row r="50" spans="19:29">
      <c r="S50" s="168"/>
      <c r="AC50" s="260"/>
    </row>
    <row r="51" spans="19:29">
      <c r="S51" s="168"/>
      <c r="AC51" s="260"/>
    </row>
    <row r="52" spans="19:29">
      <c r="S52" s="168"/>
      <c r="AC52" s="260"/>
    </row>
    <row r="53" spans="19:29">
      <c r="S53" s="168"/>
      <c r="AC53" s="260"/>
    </row>
    <row r="54" spans="19:29">
      <c r="S54" s="168"/>
      <c r="AC54" s="260"/>
    </row>
    <row r="55" spans="19:29">
      <c r="S55" s="168"/>
      <c r="AC55" s="260"/>
    </row>
    <row r="56" spans="19:29">
      <c r="S56" s="168"/>
      <c r="AC56" s="260"/>
    </row>
    <row r="57" spans="19:29">
      <c r="S57" s="168"/>
      <c r="AC57" s="260"/>
    </row>
    <row r="58" spans="19:29">
      <c r="S58" s="168"/>
      <c r="AC58" s="260"/>
    </row>
    <row r="59" spans="19:29">
      <c r="S59" s="168"/>
      <c r="AC59" s="260"/>
    </row>
    <row r="60" spans="19:29">
      <c r="S60" s="168"/>
      <c r="AC60" s="260"/>
    </row>
    <row r="61" spans="19:29">
      <c r="S61" s="168"/>
      <c r="AC61" s="260"/>
    </row>
    <row r="62" spans="19:29">
      <c r="S62" s="168"/>
      <c r="AC62" s="260"/>
    </row>
    <row r="63" spans="19:29">
      <c r="S63" s="168"/>
      <c r="AC63" s="260"/>
    </row>
    <row r="64" spans="19:29">
      <c r="S64" s="168"/>
      <c r="AC64" s="260"/>
    </row>
    <row r="65" spans="19:29">
      <c r="S65" s="168"/>
      <c r="AC65" s="260"/>
    </row>
    <row r="66" spans="19:29">
      <c r="S66" s="168"/>
      <c r="AC66" s="260"/>
    </row>
    <row r="67" spans="19:29">
      <c r="S67" s="168"/>
      <c r="AC67" s="260"/>
    </row>
    <row r="68" spans="19:29">
      <c r="S68" s="168"/>
      <c r="AC68" s="260"/>
    </row>
    <row r="69" spans="19:29">
      <c r="S69" s="168"/>
      <c r="AC69" s="260"/>
    </row>
    <row r="70" spans="19:29">
      <c r="S70" s="168"/>
      <c r="AC70" s="260"/>
    </row>
    <row r="71" spans="19:29">
      <c r="S71" s="168"/>
      <c r="AC71" s="260"/>
    </row>
    <row r="72" spans="19:29">
      <c r="S72" s="168"/>
      <c r="AC72" s="260"/>
    </row>
    <row r="73" spans="19:29">
      <c r="S73" s="168"/>
      <c r="AC73" s="260"/>
    </row>
    <row r="74" spans="19:29">
      <c r="S74" s="168"/>
      <c r="AC74" s="260"/>
    </row>
    <row r="75" spans="19:29">
      <c r="S75" s="168"/>
      <c r="AC75" s="260"/>
    </row>
    <row r="76" spans="19:29">
      <c r="S76" s="168"/>
      <c r="AC76" s="260"/>
    </row>
    <row r="77" spans="19:29">
      <c r="S77" s="168"/>
      <c r="AC77" s="260"/>
    </row>
    <row r="78" spans="19:29">
      <c r="S78" s="168"/>
      <c r="AC78" s="260"/>
    </row>
    <row r="79" spans="19:29">
      <c r="S79" s="168"/>
      <c r="AC79" s="260"/>
    </row>
    <row r="80" spans="19:29">
      <c r="S80" s="168"/>
      <c r="AC80" s="260"/>
    </row>
    <row r="81" spans="19:29">
      <c r="S81" s="168"/>
      <c r="AC81" s="260"/>
    </row>
    <row r="82" spans="19:29">
      <c r="S82" s="168"/>
      <c r="AC82" s="260"/>
    </row>
    <row r="83" spans="19:29">
      <c r="S83" s="168"/>
      <c r="AC83" s="260"/>
    </row>
    <row r="84" spans="19:29">
      <c r="S84" s="168"/>
      <c r="AC84" s="260"/>
    </row>
    <row r="85" spans="19:29">
      <c r="S85" s="168"/>
      <c r="AC85" s="260"/>
    </row>
    <row r="86" spans="19:29">
      <c r="S86" s="168"/>
      <c r="AC86" s="260"/>
    </row>
    <row r="87" spans="19:29">
      <c r="S87" s="168"/>
      <c r="AC87" s="260"/>
    </row>
    <row r="88" spans="19:29">
      <c r="S88" s="168"/>
      <c r="AC88" s="260"/>
    </row>
    <row r="89" spans="19:29">
      <c r="S89" s="168"/>
      <c r="AC89" s="260"/>
    </row>
    <row r="90" spans="19:29">
      <c r="S90" s="168"/>
      <c r="AC90" s="260"/>
    </row>
    <row r="91" spans="19:29">
      <c r="S91" s="168"/>
      <c r="AC91" s="260"/>
    </row>
    <row r="92" spans="19:29">
      <c r="S92" s="168"/>
      <c r="AC92" s="260"/>
    </row>
    <row r="93" spans="19:29">
      <c r="S93" s="168"/>
      <c r="AC93" s="260"/>
    </row>
    <row r="94" spans="19:29">
      <c r="S94" s="168"/>
      <c r="AC94" s="260"/>
    </row>
    <row r="95" spans="19:29">
      <c r="S95" s="168"/>
      <c r="AC95" s="260"/>
    </row>
    <row r="96" spans="19:29">
      <c r="S96" s="168"/>
      <c r="AC96" s="260"/>
    </row>
    <row r="97" spans="19:29">
      <c r="S97" s="168"/>
      <c r="AC97" s="260"/>
    </row>
    <row r="98" spans="19:29">
      <c r="S98" s="168"/>
      <c r="AC98" s="260"/>
    </row>
    <row r="99" spans="19:29">
      <c r="S99" s="168"/>
      <c r="AC99" s="260"/>
    </row>
    <row r="100" spans="19:29">
      <c r="S100" s="168"/>
      <c r="AC100" s="260"/>
    </row>
    <row r="101" spans="19:29">
      <c r="S101" s="168"/>
      <c r="AC101" s="260"/>
    </row>
    <row r="102" spans="19:29">
      <c r="S102" s="168"/>
      <c r="AC102" s="260"/>
    </row>
    <row r="103" spans="19:29">
      <c r="S103" s="168"/>
      <c r="AC103" s="260"/>
    </row>
    <row r="104" spans="19:29">
      <c r="S104" s="168"/>
      <c r="AC104" s="260"/>
    </row>
    <row r="105" spans="19:29">
      <c r="S105" s="168"/>
      <c r="AC105" s="260"/>
    </row>
    <row r="106" spans="19:29">
      <c r="S106" s="168"/>
      <c r="AC106" s="260"/>
    </row>
    <row r="107" spans="19:29">
      <c r="S107" s="168"/>
      <c r="AC107" s="260"/>
    </row>
    <row r="108" spans="19:29">
      <c r="S108" s="168"/>
      <c r="AC108" s="260"/>
    </row>
    <row r="109" spans="19:29">
      <c r="S109" s="168"/>
      <c r="AC109" s="260"/>
    </row>
    <row r="110" spans="19:29">
      <c r="S110" s="168"/>
      <c r="AC110" s="260"/>
    </row>
    <row r="111" spans="19:29">
      <c r="S111" s="168"/>
      <c r="AC111" s="260"/>
    </row>
    <row r="112" spans="19:29">
      <c r="S112" s="168"/>
      <c r="AC112" s="260"/>
    </row>
    <row r="113" spans="19:29">
      <c r="S113" s="168"/>
      <c r="AC113" s="260"/>
    </row>
    <row r="114" spans="19:29">
      <c r="S114" s="168"/>
      <c r="AC114" s="260"/>
    </row>
    <row r="115" spans="19:29">
      <c r="S115" s="168"/>
      <c r="AC115" s="260"/>
    </row>
    <row r="116" spans="19:29">
      <c r="S116" s="168"/>
      <c r="AC116" s="260"/>
    </row>
    <row r="117" spans="19:29">
      <c r="S117" s="168"/>
      <c r="AC117" s="260"/>
    </row>
    <row r="118" spans="19:29">
      <c r="S118" s="168"/>
      <c r="AC118" s="260"/>
    </row>
    <row r="119" spans="19:29">
      <c r="S119" s="168"/>
      <c r="AC119" s="260"/>
    </row>
    <row r="120" spans="19:29">
      <c r="S120" s="168"/>
      <c r="AC120" s="260"/>
    </row>
    <row r="121" spans="19:29">
      <c r="S121" s="168"/>
      <c r="AC121" s="260"/>
    </row>
    <row r="122" spans="19:29">
      <c r="S122" s="168"/>
      <c r="AC122" s="260"/>
    </row>
    <row r="123" spans="19:29">
      <c r="S123" s="168"/>
      <c r="AC123" s="260"/>
    </row>
    <row r="124" spans="19:29">
      <c r="S124" s="168"/>
      <c r="AC124" s="260"/>
    </row>
    <row r="125" spans="19:29">
      <c r="S125" s="168"/>
      <c r="AC125" s="260"/>
    </row>
    <row r="126" spans="19:29">
      <c r="S126" s="168"/>
      <c r="AC126" s="260"/>
    </row>
    <row r="127" spans="19:29">
      <c r="S127" s="168"/>
      <c r="AC127" s="260"/>
    </row>
    <row r="128" spans="19:29">
      <c r="S128" s="168"/>
      <c r="AC128" s="260"/>
    </row>
    <row r="129" spans="19:29">
      <c r="S129" s="168"/>
      <c r="AC129" s="260"/>
    </row>
    <row r="130" spans="19:29">
      <c r="S130" s="168"/>
      <c r="AC130" s="260"/>
    </row>
    <row r="131" spans="19:29">
      <c r="S131" s="168"/>
      <c r="AC131" s="260"/>
    </row>
    <row r="132" spans="19:29">
      <c r="S132" s="168"/>
      <c r="AC132" s="260"/>
    </row>
    <row r="133" spans="19:29">
      <c r="S133" s="168"/>
      <c r="AC133" s="260"/>
    </row>
    <row r="134" spans="19:29">
      <c r="S134" s="168"/>
      <c r="AC134" s="260"/>
    </row>
    <row r="135" spans="19:29">
      <c r="S135" s="168"/>
      <c r="AC135" s="260"/>
    </row>
    <row r="136" spans="19:29">
      <c r="S136" s="168"/>
      <c r="AC136" s="260"/>
    </row>
    <row r="137" spans="19:29">
      <c r="S137" s="168"/>
      <c r="AC137" s="260"/>
    </row>
    <row r="138" spans="19:29">
      <c r="S138" s="168"/>
      <c r="AC138" s="260"/>
    </row>
    <row r="139" spans="19:29">
      <c r="S139" s="168"/>
      <c r="AC139" s="260"/>
    </row>
    <row r="140" spans="19:29">
      <c r="S140" s="168"/>
      <c r="AC140" s="260"/>
    </row>
    <row r="141" spans="19:29">
      <c r="S141" s="168"/>
      <c r="AC141" s="260"/>
    </row>
    <row r="142" spans="19:29">
      <c r="S142" s="168"/>
      <c r="AC142" s="260"/>
    </row>
    <row r="143" spans="19:29">
      <c r="S143" s="168"/>
      <c r="AC143" s="260"/>
    </row>
    <row r="144" spans="19:29">
      <c r="S144" s="168"/>
      <c r="AC144" s="260"/>
    </row>
    <row r="145" spans="19:29">
      <c r="S145" s="168"/>
      <c r="AC145" s="260"/>
    </row>
    <row r="146" spans="19:29">
      <c r="S146" s="168"/>
      <c r="AC146" s="260"/>
    </row>
    <row r="147" spans="19:29">
      <c r="S147" s="168"/>
      <c r="AC147" s="260"/>
    </row>
    <row r="148" spans="19:29">
      <c r="S148" s="168"/>
      <c r="AC148" s="260"/>
    </row>
    <row r="149" spans="19:29">
      <c r="S149" s="168"/>
      <c r="AC149" s="260"/>
    </row>
    <row r="150" spans="19:29">
      <c r="S150" s="168"/>
      <c r="AC150" s="260"/>
    </row>
    <row r="151" spans="19:29">
      <c r="S151" s="168"/>
      <c r="AC151" s="260"/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66544-2A87-47C3-896D-E71FC9BB12C7}">
  <sheetPr codeName="Sheet61"/>
  <dimension ref="C1:U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I19" sqref="I19"/>
    </sheetView>
  </sheetViews>
  <sheetFormatPr defaultRowHeight="20.100000000000001" customHeight="1"/>
  <cols>
    <col min="1" max="1" width="3" style="141" customWidth="1"/>
    <col min="2" max="2" width="3.28515625" style="141" customWidth="1"/>
    <col min="3" max="3" width="7.7109375" style="141" customWidth="1"/>
    <col min="4" max="4" width="17.7109375" style="141" customWidth="1"/>
    <col min="5" max="5" width="13.7109375" style="141" customWidth="1"/>
    <col min="6" max="6" width="17.5703125" style="141" bestFit="1" customWidth="1"/>
    <col min="7" max="7" width="17.85546875" style="141" customWidth="1"/>
    <col min="8" max="8" width="15.28515625" style="141" bestFit="1" customWidth="1"/>
    <col min="9" max="9" width="20.28515625" style="141" customWidth="1"/>
    <col min="10" max="10" width="12.42578125" style="141" customWidth="1"/>
    <col min="11" max="11" width="18.5703125" style="141" customWidth="1"/>
    <col min="12" max="12" width="21.42578125" style="141" customWidth="1"/>
    <col min="13" max="13" width="26.85546875" style="141" customWidth="1"/>
    <col min="14" max="14" width="14.85546875" style="141" customWidth="1"/>
    <col min="15" max="15" width="19.7109375" style="141" customWidth="1"/>
    <col min="16" max="16" width="19.28515625" style="141" customWidth="1"/>
    <col min="17" max="17" width="13.5703125" style="141" bestFit="1" customWidth="1"/>
    <col min="18" max="18" width="20.28515625" style="141" customWidth="1"/>
    <col min="19" max="19" width="14.28515625" style="141" customWidth="1"/>
    <col min="20" max="20" width="18.85546875" style="141" customWidth="1"/>
    <col min="21" max="21" width="12.7109375" style="141" customWidth="1"/>
    <col min="22" max="16384" width="9.140625" style="141"/>
  </cols>
  <sheetData>
    <row r="1" spans="3:21" customFormat="1" ht="15" hidden="1"/>
    <row r="2" spans="3:21" customFormat="1" ht="15" hidden="1"/>
    <row r="3" spans="3:21" customFormat="1" ht="15" hidden="1"/>
    <row r="4" spans="3:21" customFormat="1" ht="53.25" customHeight="1">
      <c r="C4" s="315" t="s">
        <v>454</v>
      </c>
      <c r="D4" s="238"/>
      <c r="E4" s="238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8"/>
      <c r="U4" s="238"/>
    </row>
    <row r="5" spans="3:21" customFormat="1" ht="15"/>
    <row r="6" spans="3:21" customFormat="1" ht="25.5">
      <c r="C6" s="319" t="s">
        <v>10</v>
      </c>
      <c r="D6" s="319" t="s">
        <v>432</v>
      </c>
      <c r="E6" s="319" t="s">
        <v>107</v>
      </c>
      <c r="F6" s="319" t="s">
        <v>438</v>
      </c>
      <c r="G6" s="319" t="s">
        <v>225</v>
      </c>
      <c r="H6" s="319" t="s">
        <v>220</v>
      </c>
      <c r="I6" s="319" t="s">
        <v>298</v>
      </c>
      <c r="J6" s="319" t="s">
        <v>94</v>
      </c>
      <c r="K6" s="319" t="s">
        <v>442</v>
      </c>
      <c r="L6" s="319" t="s">
        <v>439</v>
      </c>
      <c r="M6" s="319" t="s">
        <v>440</v>
      </c>
      <c r="N6" s="319" t="s">
        <v>451</v>
      </c>
      <c r="O6" s="319" t="s">
        <v>445</v>
      </c>
      <c r="P6" s="319" t="s">
        <v>450</v>
      </c>
      <c r="Q6" s="319" t="s">
        <v>447</v>
      </c>
      <c r="R6" s="319" t="s">
        <v>401</v>
      </c>
      <c r="S6" s="319" t="s">
        <v>209</v>
      </c>
      <c r="T6" s="319" t="s">
        <v>453</v>
      </c>
      <c r="U6" s="319" t="s">
        <v>109</v>
      </c>
    </row>
    <row r="7" spans="3:21" customFormat="1" ht="20.25" customHeight="1">
      <c r="C7" s="320" t="s">
        <v>139</v>
      </c>
      <c r="D7" s="320" t="s">
        <v>433</v>
      </c>
      <c r="E7" s="320" t="s">
        <v>124</v>
      </c>
      <c r="F7" s="320" t="s">
        <v>434</v>
      </c>
      <c r="G7" s="320" t="s">
        <v>3</v>
      </c>
      <c r="H7" s="320" t="s">
        <v>219</v>
      </c>
      <c r="I7" s="320" t="s">
        <v>297</v>
      </c>
      <c r="J7" s="320" t="s">
        <v>435</v>
      </c>
      <c r="K7" s="320" t="s">
        <v>441</v>
      </c>
      <c r="L7" s="320" t="s">
        <v>443</v>
      </c>
      <c r="M7" s="320" t="s">
        <v>444</v>
      </c>
      <c r="N7" s="320" t="s">
        <v>452</v>
      </c>
      <c r="O7" s="320" t="s">
        <v>446</v>
      </c>
      <c r="P7" s="320" t="s">
        <v>449</v>
      </c>
      <c r="Q7" s="320" t="s">
        <v>448</v>
      </c>
      <c r="R7" s="320" t="s">
        <v>436</v>
      </c>
      <c r="S7" s="320" t="s">
        <v>203</v>
      </c>
      <c r="T7" s="320" t="s">
        <v>191</v>
      </c>
      <c r="U7" s="320" t="s">
        <v>437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AC54D-4675-4879-A935-D52F3319FF45}">
  <sheetPr codeName="Sheet53"/>
  <dimension ref="C1:Y7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L28" sqref="L28"/>
    </sheetView>
  </sheetViews>
  <sheetFormatPr defaultRowHeight="15"/>
  <cols>
    <col min="1" max="1" width="1.7109375" customWidth="1"/>
    <col min="2" max="2" width="3.28515625" customWidth="1"/>
    <col min="3" max="3" width="7" customWidth="1"/>
    <col min="4" max="4" width="19.85546875" customWidth="1"/>
    <col min="5" max="5" width="14.28515625" customWidth="1"/>
    <col min="6" max="8" width="5" bestFit="1" customWidth="1"/>
    <col min="9" max="9" width="19" customWidth="1"/>
    <col min="10" max="10" width="14.42578125" customWidth="1"/>
    <col min="11" max="11" width="17.85546875" customWidth="1"/>
    <col min="12" max="12" width="15.42578125" customWidth="1"/>
    <col min="13" max="13" width="20.140625" customWidth="1"/>
    <col min="14" max="14" width="17.7109375" customWidth="1"/>
    <col min="15" max="15" width="13.140625" bestFit="1" customWidth="1"/>
    <col min="16" max="16" width="19.140625" bestFit="1" customWidth="1"/>
    <col min="17" max="17" width="7.85546875" bestFit="1" customWidth="1"/>
    <col min="18" max="18" width="13.85546875" bestFit="1" customWidth="1"/>
    <col min="19" max="19" width="10.7109375" customWidth="1"/>
    <col min="20" max="20" width="17.28515625" customWidth="1"/>
    <col min="22" max="22" width="9.42578125" bestFit="1" customWidth="1"/>
    <col min="23" max="23" width="7.7109375" bestFit="1" customWidth="1"/>
    <col min="24" max="24" width="10.85546875" bestFit="1" customWidth="1"/>
    <col min="25" max="25" width="7.28515625" bestFit="1" customWidth="1"/>
  </cols>
  <sheetData>
    <row r="1" spans="3:25" hidden="1"/>
    <row r="2" spans="3:25" hidden="1"/>
    <row r="3" spans="3:25" hidden="1"/>
    <row r="4" spans="3:25" hidden="1"/>
    <row r="5" spans="3:25" ht="49.5" customHeight="1">
      <c r="C5" s="263" t="s">
        <v>464</v>
      </c>
      <c r="D5" s="258"/>
      <c r="E5" s="258"/>
      <c r="F5" s="258"/>
      <c r="G5" s="258"/>
      <c r="H5" s="258"/>
      <c r="I5" s="258"/>
      <c r="J5" s="258"/>
      <c r="K5" s="258"/>
      <c r="L5" s="258"/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58"/>
      <c r="Y5" s="258"/>
    </row>
    <row r="7" spans="3:25" s="13" customFormat="1" ht="79.5">
      <c r="C7" s="322" t="s">
        <v>296</v>
      </c>
      <c r="D7" s="322" t="s">
        <v>299</v>
      </c>
      <c r="E7" s="323" t="s">
        <v>331</v>
      </c>
      <c r="F7" s="324" t="s">
        <v>346</v>
      </c>
      <c r="G7" s="325" t="s">
        <v>347</v>
      </c>
      <c r="H7" s="324" t="s">
        <v>329</v>
      </c>
      <c r="I7" s="321" t="s">
        <v>348</v>
      </c>
      <c r="J7" s="322" t="s">
        <v>349</v>
      </c>
      <c r="K7" s="322" t="s">
        <v>350</v>
      </c>
      <c r="L7" s="322" t="s">
        <v>351</v>
      </c>
      <c r="M7" s="322" t="s">
        <v>352</v>
      </c>
      <c r="N7" s="322" t="s">
        <v>353</v>
      </c>
      <c r="O7" s="322" t="s">
        <v>354</v>
      </c>
      <c r="P7" s="322" t="s">
        <v>355</v>
      </c>
      <c r="Q7" s="322" t="s">
        <v>356</v>
      </c>
      <c r="R7" s="322" t="s">
        <v>357</v>
      </c>
      <c r="S7" s="322" t="s">
        <v>358</v>
      </c>
      <c r="T7" s="322" t="s">
        <v>359</v>
      </c>
      <c r="U7" s="322" t="s">
        <v>360</v>
      </c>
      <c r="V7" s="322" t="s">
        <v>361</v>
      </c>
      <c r="W7" s="322" t="s">
        <v>322</v>
      </c>
      <c r="X7" s="322" t="s">
        <v>323</v>
      </c>
      <c r="Y7" s="322" t="s">
        <v>362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F944-CF7A-4778-93B9-E69F104016E3}">
  <sheetPr codeName="Sheet54"/>
  <dimension ref="C1:N7"/>
  <sheetViews>
    <sheetView showGridLines="0" workbookViewId="0">
      <pane ySplit="7" topLeftCell="A8" activePane="bottomLeft" state="frozen"/>
      <selection activeCell="L28" sqref="L28"/>
      <selection pane="bottomLeft" activeCell="L28" sqref="L28"/>
    </sheetView>
  </sheetViews>
  <sheetFormatPr defaultRowHeight="15"/>
  <cols>
    <col min="1" max="1" width="3" customWidth="1"/>
    <col min="2" max="2" width="2.85546875" customWidth="1"/>
    <col min="4" max="4" width="16.85546875" customWidth="1"/>
    <col min="5" max="5" width="13.85546875" customWidth="1"/>
    <col min="6" max="6" width="15.5703125" customWidth="1"/>
    <col min="7" max="7" width="15.7109375" customWidth="1"/>
    <col min="8" max="8" width="15" customWidth="1"/>
    <col min="9" max="9" width="18.140625" customWidth="1"/>
    <col min="10" max="10" width="14.85546875" customWidth="1"/>
    <col min="11" max="11" width="12.7109375" customWidth="1"/>
    <col min="12" max="12" width="14.7109375" customWidth="1"/>
    <col min="13" max="13" width="10.85546875" bestFit="1" customWidth="1"/>
    <col min="14" max="14" width="12.28515625" customWidth="1"/>
  </cols>
  <sheetData>
    <row r="1" spans="3:14" hidden="1"/>
    <row r="2" spans="3:14" hidden="1"/>
    <row r="3" spans="3:14" hidden="1"/>
    <row r="4" spans="3:14" hidden="1"/>
    <row r="5" spans="3:14" ht="33.75">
      <c r="C5" s="327" t="s">
        <v>465</v>
      </c>
      <c r="D5" s="258"/>
      <c r="E5" s="258"/>
      <c r="F5" s="258"/>
      <c r="G5" s="258"/>
      <c r="H5" s="258"/>
      <c r="I5" s="258"/>
      <c r="J5" s="258"/>
      <c r="K5" s="258"/>
      <c r="L5" s="258"/>
      <c r="M5" s="258"/>
      <c r="N5" s="258"/>
    </row>
    <row r="7" spans="3:14" s="13" customFormat="1" ht="33" customHeight="1">
      <c r="C7" s="326" t="s">
        <v>296</v>
      </c>
      <c r="D7" s="326" t="s">
        <v>318</v>
      </c>
      <c r="E7" s="326" t="s">
        <v>330</v>
      </c>
      <c r="F7" s="326" t="s">
        <v>331</v>
      </c>
      <c r="G7" s="326" t="s">
        <v>363</v>
      </c>
      <c r="H7" s="326" t="s">
        <v>340</v>
      </c>
      <c r="I7" s="326" t="s">
        <v>364</v>
      </c>
      <c r="J7" s="326" t="s">
        <v>319</v>
      </c>
      <c r="K7" s="326" t="s">
        <v>321</v>
      </c>
      <c r="L7" s="326" t="s">
        <v>322</v>
      </c>
      <c r="M7" s="326" t="s">
        <v>323</v>
      </c>
      <c r="N7" s="326" t="s">
        <v>328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BBF94-046A-4591-9B89-C98AA0E43A48}">
  <sheetPr codeName="Sheet55"/>
  <dimension ref="C1:P22"/>
  <sheetViews>
    <sheetView showGridLines="0" workbookViewId="0">
      <pane ySplit="7" topLeftCell="A8" activePane="bottomLeft" state="frozen"/>
      <selection activeCell="L28" sqref="L28"/>
      <selection pane="bottomLeft" activeCell="D39" sqref="D39"/>
    </sheetView>
  </sheetViews>
  <sheetFormatPr defaultRowHeight="15"/>
  <cols>
    <col min="1" max="1" width="3.5703125" customWidth="1"/>
    <col min="2" max="2" width="4" customWidth="1"/>
    <col min="3" max="3" width="8.85546875" customWidth="1"/>
    <col min="4" max="4" width="22.5703125" customWidth="1"/>
    <col min="5" max="5" width="20.140625" customWidth="1"/>
    <col min="6" max="6" width="25.5703125" customWidth="1"/>
    <col min="7" max="7" width="25.85546875" customWidth="1"/>
    <col min="8" max="8" width="12.28515625" bestFit="1" customWidth="1"/>
    <col min="9" max="9" width="9.5703125" customWidth="1"/>
    <col min="10" max="10" width="15" customWidth="1"/>
    <col min="11" max="11" width="10.85546875" customWidth="1"/>
    <col min="12" max="12" width="16.5703125" bestFit="1" customWidth="1"/>
    <col min="13" max="13" width="14.5703125" bestFit="1" customWidth="1"/>
    <col min="14" max="14" width="11.85546875" customWidth="1"/>
    <col min="15" max="15" width="12" customWidth="1"/>
    <col min="16" max="16" width="9.7109375" customWidth="1"/>
  </cols>
  <sheetData>
    <row r="1" spans="3:16" hidden="1"/>
    <row r="2" spans="3:16" hidden="1"/>
    <row r="3" spans="3:16" hidden="1"/>
    <row r="5" spans="3:16" ht="30.75">
      <c r="C5" s="328" t="s">
        <v>466</v>
      </c>
      <c r="D5" s="258"/>
      <c r="E5" s="258"/>
      <c r="F5" s="258"/>
      <c r="G5" s="258"/>
      <c r="H5" s="258"/>
      <c r="I5" s="258"/>
      <c r="J5" s="258"/>
      <c r="K5" s="258"/>
      <c r="L5" s="258"/>
      <c r="M5" s="258"/>
      <c r="N5" s="258"/>
      <c r="O5" s="258"/>
      <c r="P5" s="258"/>
    </row>
    <row r="6" spans="3:16" ht="12" customHeight="1"/>
    <row r="7" spans="3:16" ht="24.75" customHeight="1">
      <c r="C7" s="326" t="s">
        <v>296</v>
      </c>
      <c r="D7" s="326" t="s">
        <v>307</v>
      </c>
      <c r="E7" s="326" t="s">
        <v>299</v>
      </c>
      <c r="F7" s="326" t="s">
        <v>300</v>
      </c>
      <c r="G7" s="326" t="s">
        <v>365</v>
      </c>
      <c r="H7" s="326" t="s">
        <v>366</v>
      </c>
      <c r="I7" s="326" t="s">
        <v>367</v>
      </c>
      <c r="J7" s="326" t="s">
        <v>368</v>
      </c>
      <c r="K7" s="326" t="s">
        <v>369</v>
      </c>
      <c r="L7" s="326" t="s">
        <v>352</v>
      </c>
      <c r="M7" s="326" t="s">
        <v>353</v>
      </c>
      <c r="N7" s="326" t="s">
        <v>356</v>
      </c>
      <c r="O7" s="326" t="s">
        <v>361</v>
      </c>
      <c r="P7" s="326" t="s">
        <v>362</v>
      </c>
    </row>
    <row r="9" spans="3:16">
      <c r="C9" s="13"/>
    </row>
    <row r="10" spans="3:16">
      <c r="C10" s="13"/>
    </row>
    <row r="11" spans="3:16">
      <c r="C11" s="13"/>
    </row>
    <row r="12" spans="3:16">
      <c r="C12" s="13"/>
    </row>
    <row r="13" spans="3:16">
      <c r="C13" s="13"/>
    </row>
    <row r="14" spans="3:16">
      <c r="C14" s="13"/>
    </row>
    <row r="15" spans="3:16">
      <c r="C15" s="13"/>
    </row>
    <row r="16" spans="3:16">
      <c r="C16" s="13"/>
    </row>
    <row r="17" spans="3:3">
      <c r="C17" s="13"/>
    </row>
    <row r="18" spans="3:3">
      <c r="C18" s="13"/>
    </row>
    <row r="19" spans="3:3">
      <c r="C19" s="13"/>
    </row>
    <row r="20" spans="3:3">
      <c r="C20" s="13"/>
    </row>
    <row r="21" spans="3:3">
      <c r="C21" s="13"/>
    </row>
    <row r="22" spans="3:3">
      <c r="C22" s="13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AC710-ED58-437B-8973-D9484739DF0B}">
  <sheetPr codeName="Sheet51"/>
  <dimension ref="C1:AN37"/>
  <sheetViews>
    <sheetView zoomScale="90" zoomScaleNormal="90" workbookViewId="0">
      <pane ySplit="7" topLeftCell="A8" activePane="bottomLeft" state="frozen"/>
      <selection activeCell="L28" sqref="L28"/>
      <selection pane="bottomLeft" activeCell="X20" sqref="X20"/>
    </sheetView>
  </sheetViews>
  <sheetFormatPr defaultRowHeight="20.100000000000001" customHeight="1"/>
  <cols>
    <col min="1" max="1" width="2.28515625" style="126" customWidth="1"/>
    <col min="2" max="2" width="4.140625" style="126" customWidth="1"/>
    <col min="3" max="23" width="5" style="126" bestFit="1" customWidth="1"/>
    <col min="24" max="24" width="23.7109375" style="126" customWidth="1"/>
    <col min="25" max="25" width="14.5703125" style="168" customWidth="1"/>
    <col min="26" max="26" width="18.42578125" style="126" customWidth="1"/>
    <col min="27" max="27" width="13.7109375" style="126" bestFit="1" customWidth="1"/>
    <col min="28" max="28" width="13.28515625" style="126" customWidth="1"/>
    <col min="29" max="29" width="23" style="126" customWidth="1"/>
    <col min="30" max="39" width="5" style="126" bestFit="1" customWidth="1"/>
    <col min="40" max="40" width="9.5703125" style="126" customWidth="1"/>
    <col min="41" max="16384" width="9.140625" style="126"/>
  </cols>
  <sheetData>
    <row r="1" spans="3:40" s="13" customFormat="1" ht="15" hidden="1">
      <c r="Y1" s="167"/>
    </row>
    <row r="2" spans="3:40" s="13" customFormat="1" ht="15" hidden="1">
      <c r="Y2" s="167"/>
    </row>
    <row r="3" spans="3:40" s="13" customFormat="1" ht="15" hidden="1">
      <c r="Y3" s="167"/>
    </row>
    <row r="4" spans="3:40" s="13" customFormat="1" ht="15" hidden="1">
      <c r="Y4" s="167"/>
    </row>
    <row r="5" spans="3:40" s="13" customFormat="1" ht="55.5" customHeight="1">
      <c r="C5" s="238" t="s">
        <v>462</v>
      </c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61"/>
      <c r="Z5" s="257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257"/>
      <c r="AN5" s="257"/>
    </row>
    <row r="6" spans="3:40" s="13" customFormat="1" ht="15">
      <c r="Y6" s="167"/>
      <c r="AC6" s="210"/>
    </row>
    <row r="7" spans="3:40" ht="108">
      <c r="C7" s="324" t="s">
        <v>296</v>
      </c>
      <c r="D7" s="324" t="s">
        <v>306</v>
      </c>
      <c r="E7" s="324" t="s">
        <v>299</v>
      </c>
      <c r="F7" s="324" t="s">
        <v>300</v>
      </c>
      <c r="G7" s="324" t="s">
        <v>307</v>
      </c>
      <c r="H7" s="324" t="s">
        <v>309</v>
      </c>
      <c r="I7" s="324" t="s">
        <v>301</v>
      </c>
      <c r="J7" s="324" t="s">
        <v>302</v>
      </c>
      <c r="K7" s="324" t="s">
        <v>303</v>
      </c>
      <c r="L7" s="324" t="s">
        <v>315</v>
      </c>
      <c r="M7" s="324" t="s">
        <v>344</v>
      </c>
      <c r="N7" s="324" t="s">
        <v>308</v>
      </c>
      <c r="O7" s="324" t="s">
        <v>310</v>
      </c>
      <c r="P7" s="324" t="s">
        <v>304</v>
      </c>
      <c r="Q7" s="324" t="s">
        <v>305</v>
      </c>
      <c r="R7" s="324" t="s">
        <v>311</v>
      </c>
      <c r="S7" s="324" t="s">
        <v>312</v>
      </c>
      <c r="T7" s="324" t="s">
        <v>313</v>
      </c>
      <c r="U7" s="324" t="s">
        <v>345</v>
      </c>
      <c r="V7" s="324" t="s">
        <v>314</v>
      </c>
      <c r="W7" s="329" t="s">
        <v>316</v>
      </c>
      <c r="X7" s="322" t="s">
        <v>317</v>
      </c>
      <c r="Y7" s="330" t="s">
        <v>318</v>
      </c>
      <c r="Z7" s="330" t="s">
        <v>319</v>
      </c>
      <c r="AA7" s="330" t="s">
        <v>320</v>
      </c>
      <c r="AB7" s="330" t="s">
        <v>321</v>
      </c>
      <c r="AC7" s="331" t="s">
        <v>322</v>
      </c>
      <c r="AD7" s="324" t="s">
        <v>323</v>
      </c>
      <c r="AE7" s="324" t="s">
        <v>393</v>
      </c>
      <c r="AF7" s="324" t="s">
        <v>394</v>
      </c>
      <c r="AG7" s="324" t="s">
        <v>324</v>
      </c>
      <c r="AH7" s="324" t="s">
        <v>325</v>
      </c>
      <c r="AI7" s="324" t="s">
        <v>326</v>
      </c>
      <c r="AJ7" s="324" t="s">
        <v>327</v>
      </c>
      <c r="AK7" s="324" t="s">
        <v>328</v>
      </c>
      <c r="AL7" s="324" t="s">
        <v>370</v>
      </c>
      <c r="AM7" s="324" t="s">
        <v>371</v>
      </c>
      <c r="AN7" s="324" t="s">
        <v>372</v>
      </c>
    </row>
    <row r="8" spans="3:40" ht="20.100000000000001" customHeight="1">
      <c r="C8" s="126">
        <v>1</v>
      </c>
      <c r="D8" s="126">
        <v>1</v>
      </c>
      <c r="Y8" s="168">
        <v>46218</v>
      </c>
      <c r="Z8" s="126" t="s">
        <v>554</v>
      </c>
      <c r="AA8" s="126">
        <v>0</v>
      </c>
      <c r="AC8" s="260">
        <v>46220.387384259258</v>
      </c>
      <c r="AD8" s="126">
        <v>1</v>
      </c>
      <c r="AE8" s="126">
        <v>1</v>
      </c>
      <c r="AF8" s="126">
        <v>0</v>
      </c>
      <c r="AG8" s="126">
        <v>1</v>
      </c>
      <c r="AH8" s="126">
        <v>0</v>
      </c>
      <c r="AI8" s="126">
        <v>0</v>
      </c>
      <c r="AJ8" s="126">
        <v>0</v>
      </c>
      <c r="AK8" s="126">
        <v>1</v>
      </c>
      <c r="AL8" s="126">
        <v>3</v>
      </c>
      <c r="AM8" s="126">
        <v>7</v>
      </c>
      <c r="AN8" s="126">
        <v>2026</v>
      </c>
    </row>
    <row r="9" spans="3:40" ht="20.100000000000001" customHeight="1">
      <c r="C9" s="126">
        <v>2</v>
      </c>
      <c r="K9" s="126">
        <v>1</v>
      </c>
      <c r="Y9" s="168">
        <v>46218</v>
      </c>
      <c r="Z9" s="126" t="s">
        <v>557</v>
      </c>
      <c r="AA9" s="126">
        <v>0</v>
      </c>
      <c r="AC9" s="260">
        <v>46220.389374999999</v>
      </c>
      <c r="AD9" s="126">
        <v>1</v>
      </c>
      <c r="AG9" s="126">
        <v>1</v>
      </c>
      <c r="AH9" s="126">
        <v>0</v>
      </c>
      <c r="AI9" s="126">
        <v>0</v>
      </c>
      <c r="AJ9" s="126">
        <v>0</v>
      </c>
      <c r="AK9" s="126">
        <v>1</v>
      </c>
      <c r="AL9" s="126">
        <v>3</v>
      </c>
      <c r="AM9" s="126">
        <v>7</v>
      </c>
      <c r="AN9" s="126">
        <v>2026</v>
      </c>
    </row>
    <row r="10" spans="3:40" ht="20.100000000000001" customHeight="1">
      <c r="AC10" s="260"/>
    </row>
    <row r="11" spans="3:40" ht="20.100000000000001" customHeight="1">
      <c r="AC11" s="260"/>
    </row>
    <row r="12" spans="3:40" ht="20.100000000000001" customHeight="1">
      <c r="AC12" s="260"/>
    </row>
    <row r="13" spans="3:40" ht="20.100000000000001" customHeight="1">
      <c r="AC13" s="260"/>
    </row>
    <row r="14" spans="3:40" ht="20.100000000000001" customHeight="1">
      <c r="AC14" s="260"/>
    </row>
    <row r="15" spans="3:40" ht="20.100000000000001" customHeight="1">
      <c r="AC15" s="260"/>
    </row>
    <row r="16" spans="3:40" ht="20.100000000000001" customHeight="1">
      <c r="AC16" s="260"/>
    </row>
    <row r="17" spans="29:29" ht="20.100000000000001" customHeight="1">
      <c r="AC17" s="260"/>
    </row>
    <row r="18" spans="29:29" ht="20.100000000000001" customHeight="1">
      <c r="AC18" s="260"/>
    </row>
    <row r="19" spans="29:29" ht="20.100000000000001" customHeight="1">
      <c r="AC19" s="260"/>
    </row>
    <row r="20" spans="29:29" ht="20.100000000000001" customHeight="1">
      <c r="AC20" s="260"/>
    </row>
    <row r="21" spans="29:29" ht="20.100000000000001" customHeight="1">
      <c r="AC21" s="260"/>
    </row>
    <row r="22" spans="29:29" ht="20.100000000000001" customHeight="1">
      <c r="AC22" s="260"/>
    </row>
    <row r="23" spans="29:29" ht="20.100000000000001" customHeight="1">
      <c r="AC23" s="260"/>
    </row>
    <row r="24" spans="29:29" ht="20.100000000000001" customHeight="1">
      <c r="AC24" s="260"/>
    </row>
    <row r="25" spans="29:29" ht="20.100000000000001" customHeight="1">
      <c r="AC25" s="260"/>
    </row>
    <row r="26" spans="29:29" ht="20.100000000000001" customHeight="1">
      <c r="AC26" s="260"/>
    </row>
    <row r="27" spans="29:29" ht="20.100000000000001" customHeight="1">
      <c r="AC27" s="260"/>
    </row>
    <row r="28" spans="29:29" ht="20.100000000000001" customHeight="1">
      <c r="AC28" s="260"/>
    </row>
    <row r="29" spans="29:29" ht="20.100000000000001" customHeight="1">
      <c r="AC29" s="260"/>
    </row>
    <row r="30" spans="29:29" ht="20.100000000000001" customHeight="1">
      <c r="AC30" s="260"/>
    </row>
    <row r="31" spans="29:29" ht="20.100000000000001" customHeight="1">
      <c r="AC31" s="260"/>
    </row>
    <row r="32" spans="29:29" ht="20.100000000000001" customHeight="1">
      <c r="AC32" s="260"/>
    </row>
    <row r="33" spans="29:29" ht="20.100000000000001" customHeight="1">
      <c r="AC33" s="260"/>
    </row>
    <row r="34" spans="29:29" ht="20.100000000000001" customHeight="1">
      <c r="AC34" s="260"/>
    </row>
    <row r="35" spans="29:29" ht="20.100000000000001" customHeight="1">
      <c r="AC35" s="260"/>
    </row>
    <row r="36" spans="29:29" ht="20.100000000000001" customHeight="1">
      <c r="AC36" s="260"/>
    </row>
    <row r="37" spans="29:29" ht="20.100000000000001" customHeight="1">
      <c r="AC37" s="260"/>
    </row>
  </sheetData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1C6A1-691D-46FE-8DB7-0BBAC288D7F2}">
  <sheetPr codeName="Sheet52"/>
  <dimension ref="B1:AF111"/>
  <sheetViews>
    <sheetView topLeftCell="A5" zoomScale="80" zoomScaleNormal="80" workbookViewId="0">
      <pane ySplit="3" topLeftCell="A8" activePane="bottomLeft" state="frozen"/>
      <selection activeCell="L28" sqref="L28"/>
      <selection pane="bottomLeft" activeCell="T22" sqref="T22"/>
    </sheetView>
  </sheetViews>
  <sheetFormatPr defaultRowHeight="23.25"/>
  <cols>
    <col min="1" max="1" width="2.42578125" customWidth="1"/>
    <col min="2" max="2" width="4.140625" style="121" customWidth="1"/>
    <col min="3" max="3" width="5.42578125" style="126" customWidth="1"/>
    <col min="4" max="4" width="4.7109375" style="126" customWidth="1"/>
    <col min="5" max="5" width="5.5703125" style="126" bestFit="1" customWidth="1"/>
    <col min="6" max="9" width="4.7109375" style="126" customWidth="1"/>
    <col min="10" max="10" width="5.5703125" style="126" bestFit="1" customWidth="1"/>
    <col min="11" max="12" width="4.7109375" style="130" customWidth="1"/>
    <col min="13" max="16" width="4.7109375" style="126" customWidth="1"/>
    <col min="17" max="17" width="4.42578125" style="130" bestFit="1" customWidth="1"/>
    <col min="18" max="18" width="17.85546875" style="126" customWidth="1"/>
    <col min="19" max="19" width="18.85546875" style="285" customWidth="1"/>
    <col min="20" max="20" width="18.140625" style="285" customWidth="1"/>
    <col min="21" max="21" width="80" style="68" customWidth="1"/>
    <col min="22" max="29" width="5.5703125" style="126" bestFit="1" customWidth="1"/>
    <col min="30" max="30" width="7.42578125" style="126" customWidth="1"/>
  </cols>
  <sheetData>
    <row r="1" spans="2:30" ht="15" hidden="1">
      <c r="C1" s="13"/>
      <c r="D1" s="13"/>
      <c r="E1" s="13"/>
      <c r="F1" s="13"/>
      <c r="G1" s="13"/>
      <c r="H1" s="13"/>
      <c r="I1" s="13"/>
      <c r="J1" s="13"/>
      <c r="K1"/>
      <c r="L1"/>
      <c r="M1" s="13"/>
      <c r="N1" s="13"/>
      <c r="O1" s="13"/>
      <c r="P1" s="13"/>
      <c r="Q1"/>
      <c r="R1" s="13"/>
      <c r="S1" s="283"/>
      <c r="T1" s="283"/>
      <c r="U1"/>
      <c r="V1" s="2"/>
      <c r="W1" s="2"/>
      <c r="X1" s="2"/>
      <c r="Y1" s="2"/>
      <c r="Z1" s="2"/>
      <c r="AA1" s="2"/>
      <c r="AB1" s="2"/>
      <c r="AC1" s="2"/>
      <c r="AD1" s="2"/>
    </row>
    <row r="2" spans="2:30" ht="15" hidden="1">
      <c r="C2" s="13"/>
      <c r="D2" s="13"/>
      <c r="E2" s="13"/>
      <c r="F2" s="13"/>
      <c r="G2" s="13"/>
      <c r="H2" s="13"/>
      <c r="I2" s="13"/>
      <c r="J2" s="13"/>
      <c r="K2"/>
      <c r="L2"/>
      <c r="M2" s="13"/>
      <c r="N2" s="13"/>
      <c r="O2" s="13"/>
      <c r="P2" s="13"/>
      <c r="Q2"/>
      <c r="R2" s="13"/>
      <c r="S2" s="283"/>
      <c r="T2" s="283"/>
      <c r="U2"/>
      <c r="V2" s="2"/>
      <c r="W2" s="2"/>
      <c r="X2" s="2"/>
      <c r="Y2" s="2"/>
      <c r="Z2" s="2"/>
      <c r="AA2" s="2"/>
      <c r="AB2" s="2"/>
      <c r="AC2" s="2"/>
      <c r="AD2" s="2"/>
    </row>
    <row r="3" spans="2:30" ht="15" hidden="1">
      <c r="C3" s="13"/>
      <c r="D3" s="13"/>
      <c r="E3" s="13"/>
      <c r="F3" s="13"/>
      <c r="G3" s="13"/>
      <c r="H3" s="13"/>
      <c r="I3" s="13"/>
      <c r="J3" s="13"/>
      <c r="K3"/>
      <c r="L3"/>
      <c r="M3" s="13"/>
      <c r="N3" s="13"/>
      <c r="O3" s="13"/>
      <c r="P3" s="13"/>
      <c r="Q3"/>
      <c r="R3" s="13"/>
      <c r="S3" s="283"/>
      <c r="T3" s="283"/>
      <c r="U3"/>
      <c r="V3" s="2"/>
      <c r="W3" s="2"/>
      <c r="X3" s="2"/>
      <c r="Y3" s="2"/>
      <c r="Z3" s="2"/>
      <c r="AA3" s="2"/>
      <c r="AB3" s="2"/>
      <c r="AC3" s="2"/>
      <c r="AD3" s="2"/>
    </row>
    <row r="4" spans="2:30" ht="15" hidden="1">
      <c r="C4" s="13"/>
      <c r="D4" s="13"/>
      <c r="E4" s="13"/>
      <c r="F4" s="13"/>
      <c r="G4" s="13"/>
      <c r="H4" s="13"/>
      <c r="I4" s="13"/>
      <c r="J4" s="13"/>
      <c r="K4"/>
      <c r="L4"/>
      <c r="M4" s="13"/>
      <c r="N4" s="13"/>
      <c r="O4" s="13"/>
      <c r="P4" s="13"/>
      <c r="Q4"/>
      <c r="R4" s="13"/>
      <c r="S4" s="283"/>
      <c r="T4" s="283"/>
      <c r="U4"/>
      <c r="V4" s="2"/>
      <c r="W4" s="2"/>
      <c r="X4" s="2"/>
      <c r="Y4" s="2"/>
      <c r="Z4" s="2"/>
      <c r="AA4" s="2"/>
      <c r="AB4" s="2"/>
      <c r="AC4" s="2"/>
      <c r="AD4" s="2"/>
    </row>
    <row r="5" spans="2:30" ht="61.5" customHeight="1">
      <c r="C5" s="256" t="s">
        <v>461</v>
      </c>
      <c r="D5" s="257"/>
      <c r="E5" s="257"/>
      <c r="F5" s="257"/>
      <c r="G5" s="257"/>
      <c r="H5" s="257"/>
      <c r="I5" s="257"/>
      <c r="J5" s="257"/>
      <c r="K5" s="258"/>
      <c r="L5" s="258"/>
      <c r="M5" s="257"/>
      <c r="N5" s="257"/>
      <c r="O5" s="257"/>
      <c r="P5" s="257"/>
      <c r="Q5" s="258"/>
      <c r="R5" s="257"/>
      <c r="S5" s="284"/>
      <c r="T5" s="284"/>
      <c r="U5" s="258"/>
      <c r="V5" s="258"/>
      <c r="W5" s="258"/>
      <c r="X5" s="258"/>
      <c r="Y5" s="258"/>
      <c r="Z5" s="258"/>
      <c r="AA5" s="258"/>
      <c r="AB5" s="258"/>
      <c r="AC5" s="258"/>
      <c r="AD5" s="258"/>
    </row>
    <row r="6" spans="2:30" ht="7.5" customHeight="1">
      <c r="C6" s="13"/>
      <c r="D6" s="13"/>
      <c r="E6" s="13"/>
      <c r="F6" s="13"/>
      <c r="G6" s="13"/>
      <c r="H6" s="13"/>
      <c r="I6" s="13"/>
      <c r="J6" s="13"/>
      <c r="K6"/>
      <c r="L6"/>
      <c r="M6" s="13"/>
      <c r="N6" s="13"/>
      <c r="O6" s="13"/>
      <c r="P6" s="13"/>
      <c r="Q6"/>
      <c r="R6" s="13"/>
      <c r="S6" s="283"/>
      <c r="T6" s="283"/>
      <c r="U6"/>
      <c r="V6" s="2"/>
      <c r="W6" s="2"/>
      <c r="X6" s="2"/>
      <c r="Y6" s="2"/>
      <c r="Z6" s="2"/>
      <c r="AA6" s="2"/>
      <c r="AB6" s="2"/>
      <c r="AC6" s="2"/>
      <c r="AD6" s="2"/>
    </row>
    <row r="7" spans="2:30" s="13" customFormat="1" ht="114" customHeight="1">
      <c r="B7" s="121" t="s">
        <v>111</v>
      </c>
      <c r="C7" s="332" t="s">
        <v>296</v>
      </c>
      <c r="D7" s="332" t="s">
        <v>474</v>
      </c>
      <c r="E7" s="332" t="s">
        <v>329</v>
      </c>
      <c r="F7" s="332" t="s">
        <v>330</v>
      </c>
      <c r="G7" s="332" t="s">
        <v>331</v>
      </c>
      <c r="H7" s="332" t="s">
        <v>475</v>
      </c>
      <c r="I7" s="332" t="s">
        <v>476</v>
      </c>
      <c r="J7" s="332" t="s">
        <v>332</v>
      </c>
      <c r="K7" s="332" t="s">
        <v>333</v>
      </c>
      <c r="L7" s="332" t="s">
        <v>334</v>
      </c>
      <c r="M7" s="332" t="s">
        <v>335</v>
      </c>
      <c r="N7" s="332" t="s">
        <v>336</v>
      </c>
      <c r="O7" s="332" t="s">
        <v>456</v>
      </c>
      <c r="P7" s="332" t="s">
        <v>338</v>
      </c>
      <c r="Q7" s="332" t="s">
        <v>339</v>
      </c>
      <c r="R7" s="333" t="s">
        <v>159</v>
      </c>
      <c r="S7" s="334" t="s">
        <v>477</v>
      </c>
      <c r="T7" s="334" t="s">
        <v>478</v>
      </c>
      <c r="U7" s="334" t="s">
        <v>479</v>
      </c>
      <c r="V7" s="332" t="s">
        <v>340</v>
      </c>
      <c r="W7" s="332" t="s">
        <v>341</v>
      </c>
      <c r="X7" s="332" t="s">
        <v>342</v>
      </c>
      <c r="Y7" s="332" t="s">
        <v>343</v>
      </c>
      <c r="Z7" s="332" t="s">
        <v>480</v>
      </c>
      <c r="AA7" s="332" t="s">
        <v>328</v>
      </c>
      <c r="AB7" s="332" t="s">
        <v>481</v>
      </c>
      <c r="AC7" s="332" t="s">
        <v>371</v>
      </c>
      <c r="AD7" s="332" t="s">
        <v>372</v>
      </c>
    </row>
    <row r="8" spans="2:30">
      <c r="C8" s="126">
        <v>1</v>
      </c>
      <c r="D8" s="126">
        <v>1</v>
      </c>
      <c r="E8" s="126">
        <v>3</v>
      </c>
      <c r="F8" s="126">
        <v>1</v>
      </c>
      <c r="G8" s="126">
        <v>1</v>
      </c>
      <c r="H8" s="126">
        <v>1</v>
      </c>
      <c r="I8" s="126">
        <v>1</v>
      </c>
      <c r="J8" s="126">
        <v>1</v>
      </c>
      <c r="M8" s="126">
        <v>1</v>
      </c>
      <c r="N8" s="126">
        <v>1</v>
      </c>
      <c r="R8" s="126" t="s">
        <v>555</v>
      </c>
      <c r="S8" s="285">
        <v>273.39999999999998</v>
      </c>
      <c r="T8" s="285">
        <v>0</v>
      </c>
      <c r="U8" s="68" t="s">
        <v>562</v>
      </c>
      <c r="Z8" s="126">
        <v>1</v>
      </c>
      <c r="AA8" s="126">
        <v>1</v>
      </c>
      <c r="AB8" s="126">
        <v>3</v>
      </c>
      <c r="AC8" s="126">
        <v>7</v>
      </c>
      <c r="AD8" s="126">
        <v>2026</v>
      </c>
    </row>
    <row r="9" spans="2:30">
      <c r="C9" s="126">
        <v>2</v>
      </c>
      <c r="D9" s="126">
        <v>1</v>
      </c>
      <c r="E9" s="126">
        <v>9</v>
      </c>
      <c r="F9" s="126">
        <v>1</v>
      </c>
      <c r="G9" s="126">
        <v>1</v>
      </c>
      <c r="H9" s="126">
        <v>1</v>
      </c>
      <c r="I9" s="126">
        <v>1</v>
      </c>
      <c r="J9" s="126">
        <v>1</v>
      </c>
      <c r="M9" s="126">
        <v>1</v>
      </c>
      <c r="N9" s="126">
        <v>0</v>
      </c>
      <c r="R9" s="126" t="s">
        <v>555</v>
      </c>
      <c r="S9" s="285">
        <v>0</v>
      </c>
      <c r="T9" s="285">
        <v>273.39999999999998</v>
      </c>
      <c r="U9" s="68" t="s">
        <v>562</v>
      </c>
      <c r="Z9" s="126">
        <v>1</v>
      </c>
      <c r="AA9" s="126">
        <v>1</v>
      </c>
      <c r="AB9" s="126">
        <v>3</v>
      </c>
      <c r="AC9" s="126">
        <v>7</v>
      </c>
      <c r="AD9" s="126">
        <v>2026</v>
      </c>
    </row>
    <row r="10" spans="2:30">
      <c r="C10" s="126">
        <v>3</v>
      </c>
      <c r="D10" s="126">
        <v>1</v>
      </c>
      <c r="E10" s="126">
        <v>3</v>
      </c>
      <c r="F10" s="126">
        <v>1</v>
      </c>
      <c r="G10" s="126">
        <v>1</v>
      </c>
      <c r="H10" s="126">
        <v>1</v>
      </c>
      <c r="I10" s="126">
        <v>1</v>
      </c>
      <c r="J10" s="126">
        <v>81</v>
      </c>
      <c r="M10" s="126">
        <v>2</v>
      </c>
      <c r="N10" s="126">
        <v>1</v>
      </c>
      <c r="R10" s="126" t="s">
        <v>555</v>
      </c>
      <c r="S10" s="285">
        <v>744</v>
      </c>
      <c r="T10" s="285">
        <v>0</v>
      </c>
      <c r="U10" s="68" t="s">
        <v>573</v>
      </c>
      <c r="Z10" s="126">
        <v>1</v>
      </c>
      <c r="AA10" s="126">
        <v>1</v>
      </c>
      <c r="AB10" s="126">
        <v>3</v>
      </c>
      <c r="AC10" s="126">
        <v>7</v>
      </c>
      <c r="AD10" s="126">
        <v>2026</v>
      </c>
    </row>
    <row r="11" spans="2:30">
      <c r="C11" s="126">
        <v>4</v>
      </c>
      <c r="D11" s="126">
        <v>1</v>
      </c>
      <c r="E11" s="126">
        <v>9</v>
      </c>
      <c r="F11" s="126">
        <v>1</v>
      </c>
      <c r="G11" s="126">
        <v>1</v>
      </c>
      <c r="H11" s="126">
        <v>1</v>
      </c>
      <c r="I11" s="126">
        <v>1</v>
      </c>
      <c r="J11" s="126">
        <v>81</v>
      </c>
      <c r="M11" s="126">
        <v>2</v>
      </c>
      <c r="N11" s="126">
        <v>0</v>
      </c>
      <c r="R11" s="126" t="s">
        <v>555</v>
      </c>
      <c r="S11" s="285">
        <v>0</v>
      </c>
      <c r="T11" s="285">
        <v>744</v>
      </c>
      <c r="U11" s="68" t="s">
        <v>573</v>
      </c>
      <c r="Z11" s="126">
        <v>1</v>
      </c>
      <c r="AA11" s="126">
        <v>1</v>
      </c>
      <c r="AB11" s="126">
        <v>3</v>
      </c>
      <c r="AC11" s="126">
        <v>7</v>
      </c>
      <c r="AD11" s="126">
        <v>2026</v>
      </c>
    </row>
    <row r="12" spans="2:30">
      <c r="C12" s="126">
        <v>5</v>
      </c>
      <c r="D12" s="126">
        <v>1</v>
      </c>
      <c r="E12" s="126">
        <v>3</v>
      </c>
      <c r="F12" s="126">
        <v>1</v>
      </c>
      <c r="G12" s="126">
        <v>1</v>
      </c>
      <c r="H12" s="126">
        <v>1</v>
      </c>
      <c r="I12" s="126">
        <v>1</v>
      </c>
      <c r="J12" s="126">
        <v>176</v>
      </c>
      <c r="M12" s="126">
        <v>3</v>
      </c>
      <c r="N12" s="126">
        <v>1</v>
      </c>
      <c r="R12" s="126" t="s">
        <v>555</v>
      </c>
      <c r="S12" s="285">
        <v>850</v>
      </c>
      <c r="T12" s="285">
        <v>0</v>
      </c>
      <c r="U12" s="68" t="s">
        <v>577</v>
      </c>
      <c r="Z12" s="126">
        <v>1</v>
      </c>
      <c r="AA12" s="126">
        <v>1</v>
      </c>
      <c r="AB12" s="126">
        <v>3</v>
      </c>
      <c r="AC12" s="126">
        <v>7</v>
      </c>
      <c r="AD12" s="126">
        <v>2026</v>
      </c>
    </row>
    <row r="13" spans="2:30">
      <c r="C13" s="126">
        <v>6</v>
      </c>
      <c r="D13" s="126">
        <v>1</v>
      </c>
      <c r="E13" s="126">
        <v>9</v>
      </c>
      <c r="F13" s="126">
        <v>1</v>
      </c>
      <c r="G13" s="126">
        <v>1</v>
      </c>
      <c r="H13" s="126">
        <v>1</v>
      </c>
      <c r="I13" s="126">
        <v>1</v>
      </c>
      <c r="J13" s="126">
        <v>176</v>
      </c>
      <c r="M13" s="126">
        <v>3</v>
      </c>
      <c r="N13" s="126">
        <v>0</v>
      </c>
      <c r="R13" s="126" t="s">
        <v>555</v>
      </c>
      <c r="S13" s="285">
        <v>0</v>
      </c>
      <c r="T13" s="285">
        <v>850</v>
      </c>
      <c r="U13" s="68" t="s">
        <v>577</v>
      </c>
      <c r="Z13" s="126">
        <v>1</v>
      </c>
      <c r="AA13" s="126">
        <v>1</v>
      </c>
      <c r="AB13" s="126">
        <v>3</v>
      </c>
      <c r="AC13" s="126">
        <v>7</v>
      </c>
      <c r="AD13" s="126">
        <v>2026</v>
      </c>
    </row>
    <row r="14" spans="2:30">
      <c r="C14" s="126">
        <v>7</v>
      </c>
      <c r="D14" s="126">
        <v>2</v>
      </c>
      <c r="E14" s="126">
        <v>6</v>
      </c>
      <c r="F14" s="126">
        <v>1</v>
      </c>
      <c r="G14" s="126">
        <v>1</v>
      </c>
      <c r="H14" s="126">
        <v>1</v>
      </c>
      <c r="I14" s="126">
        <v>1</v>
      </c>
      <c r="R14" s="126" t="s">
        <v>559</v>
      </c>
      <c r="S14" s="285">
        <v>0</v>
      </c>
      <c r="T14" s="285">
        <v>933.7</v>
      </c>
      <c r="U14" s="68" t="s">
        <v>568</v>
      </c>
      <c r="V14" s="126">
        <v>1</v>
      </c>
      <c r="Z14" s="126">
        <v>1</v>
      </c>
      <c r="AA14" s="126">
        <v>1</v>
      </c>
      <c r="AB14" s="126">
        <v>3</v>
      </c>
      <c r="AC14" s="126">
        <v>7</v>
      </c>
      <c r="AD14" s="126">
        <v>2026</v>
      </c>
    </row>
    <row r="15" spans="2:30">
      <c r="C15" s="126">
        <v>8</v>
      </c>
      <c r="D15" s="126">
        <v>2</v>
      </c>
      <c r="E15" s="126">
        <v>3</v>
      </c>
      <c r="F15" s="126">
        <v>1</v>
      </c>
      <c r="G15" s="126">
        <v>1</v>
      </c>
      <c r="H15" s="126">
        <v>1</v>
      </c>
      <c r="I15" s="126">
        <v>1</v>
      </c>
      <c r="J15" s="126">
        <v>1</v>
      </c>
      <c r="M15" s="126">
        <v>4</v>
      </c>
      <c r="N15" s="126">
        <v>0</v>
      </c>
      <c r="O15" s="126">
        <v>1</v>
      </c>
      <c r="R15" s="126" t="s">
        <v>559</v>
      </c>
      <c r="S15" s="285">
        <v>136.69999999999999</v>
      </c>
      <c r="T15" s="285">
        <v>0</v>
      </c>
      <c r="U15" s="68" t="s">
        <v>569</v>
      </c>
      <c r="V15" s="126">
        <v>1</v>
      </c>
      <c r="Z15" s="126">
        <v>1</v>
      </c>
      <c r="AA15" s="126">
        <v>1</v>
      </c>
      <c r="AB15" s="126">
        <v>3</v>
      </c>
      <c r="AC15" s="126">
        <v>7</v>
      </c>
      <c r="AD15" s="126">
        <v>2026</v>
      </c>
    </row>
    <row r="16" spans="2:30">
      <c r="C16" s="126">
        <v>9</v>
      </c>
      <c r="D16" s="126">
        <v>2</v>
      </c>
      <c r="E16" s="126">
        <v>3</v>
      </c>
      <c r="F16" s="126">
        <v>1</v>
      </c>
      <c r="G16" s="126">
        <v>1</v>
      </c>
      <c r="H16" s="126">
        <v>1</v>
      </c>
      <c r="I16" s="126">
        <v>1</v>
      </c>
      <c r="J16" s="126">
        <v>81</v>
      </c>
      <c r="M16" s="126">
        <v>5</v>
      </c>
      <c r="N16" s="126">
        <v>0</v>
      </c>
      <c r="O16" s="126">
        <v>2</v>
      </c>
      <c r="R16" s="126" t="s">
        <v>559</v>
      </c>
      <c r="S16" s="285">
        <v>372</v>
      </c>
      <c r="T16" s="285">
        <v>0</v>
      </c>
      <c r="U16" s="68" t="s">
        <v>579</v>
      </c>
      <c r="V16" s="126">
        <v>1</v>
      </c>
      <c r="Z16" s="126">
        <v>1</v>
      </c>
      <c r="AA16" s="126">
        <v>1</v>
      </c>
      <c r="AB16" s="126">
        <v>3</v>
      </c>
      <c r="AC16" s="126">
        <v>7</v>
      </c>
      <c r="AD16" s="126">
        <v>2026</v>
      </c>
    </row>
    <row r="17" spans="3:32">
      <c r="C17" s="126">
        <v>10</v>
      </c>
      <c r="D17" s="126">
        <v>2</v>
      </c>
      <c r="E17" s="126">
        <v>3</v>
      </c>
      <c r="F17" s="126">
        <v>1</v>
      </c>
      <c r="G17" s="126">
        <v>1</v>
      </c>
      <c r="H17" s="126">
        <v>1</v>
      </c>
      <c r="I17" s="126">
        <v>1</v>
      </c>
      <c r="J17" s="126">
        <v>176</v>
      </c>
      <c r="M17" s="126">
        <v>6</v>
      </c>
      <c r="N17" s="126">
        <v>0</v>
      </c>
      <c r="O17" s="126">
        <v>3</v>
      </c>
      <c r="R17" s="126" t="s">
        <v>559</v>
      </c>
      <c r="S17" s="285">
        <v>425</v>
      </c>
      <c r="T17" s="285">
        <v>0</v>
      </c>
      <c r="U17" s="68" t="s">
        <v>581</v>
      </c>
      <c r="V17" s="126">
        <v>1</v>
      </c>
      <c r="Z17" s="126">
        <v>1</v>
      </c>
      <c r="AA17" s="126">
        <v>1</v>
      </c>
      <c r="AB17" s="126">
        <v>3</v>
      </c>
      <c r="AC17" s="126">
        <v>7</v>
      </c>
      <c r="AD17" s="126">
        <v>2026</v>
      </c>
    </row>
    <row r="21" spans="3:32">
      <c r="AF21" s="287"/>
    </row>
    <row r="111" spans="21:21">
      <c r="U111" s="288"/>
    </row>
  </sheetData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7B1F-0AB9-477F-BB4A-B002E4B636F6}">
  <sheetPr codeName="Sheet8"/>
  <dimension ref="C1:AP894"/>
  <sheetViews>
    <sheetView showGridLines="0" topLeftCell="A3" zoomScale="80" zoomScaleNormal="80" zoomScaleSheetLayoutView="96" workbookViewId="0">
      <pane ySplit="5" topLeftCell="A8" activePane="bottomLeft" state="frozen"/>
      <selection activeCell="L28" sqref="L28"/>
      <selection pane="bottomLeft" activeCell="AN13" sqref="AN13"/>
    </sheetView>
  </sheetViews>
  <sheetFormatPr defaultColWidth="16.140625" defaultRowHeight="24" customHeight="1"/>
  <cols>
    <col min="1" max="1" width="2.85546875" customWidth="1"/>
    <col min="2" max="2" width="4.140625" customWidth="1"/>
    <col min="3" max="3" width="7.85546875" style="186" customWidth="1"/>
    <col min="4" max="4" width="19.42578125" style="186" customWidth="1"/>
    <col min="5" max="5" width="18.28515625" style="187" customWidth="1"/>
    <col min="6" max="6" width="14" style="188" customWidth="1"/>
    <col min="7" max="7" width="19.140625" style="186" customWidth="1"/>
    <col min="8" max="16" width="4.85546875" style="186" bestFit="1" customWidth="1"/>
    <col min="17" max="17" width="27" style="186" customWidth="1"/>
    <col min="18" max="18" width="34.5703125" style="369" bestFit="1" customWidth="1"/>
    <col min="19" max="19" width="33.140625" style="370" bestFit="1" customWidth="1"/>
    <col min="20" max="20" width="9.85546875" style="193" customWidth="1"/>
    <col min="21" max="24" width="5.5703125" style="223" bestFit="1" customWidth="1"/>
    <col min="25" max="25" width="33" style="222" customWidth="1"/>
    <col min="26" max="26" width="16.5703125" style="222" customWidth="1"/>
    <col min="27" max="27" width="14.7109375" style="209" bestFit="1" customWidth="1"/>
    <col min="28" max="28" width="19.42578125" style="209" customWidth="1"/>
    <col min="29" max="29" width="15" style="220" bestFit="1" customWidth="1"/>
    <col min="30" max="30" width="9.85546875" style="208" bestFit="1" customWidth="1"/>
    <col min="31" max="31" width="15.5703125" style="189" customWidth="1"/>
    <col min="32" max="32" width="18.7109375" style="189" customWidth="1"/>
    <col min="33" max="33" width="12.85546875" style="190" customWidth="1"/>
    <col min="34" max="34" width="9" style="186" customWidth="1"/>
    <col min="35" max="35" width="11.140625" style="186" customWidth="1"/>
    <col min="36" max="36" width="16.140625" style="141"/>
    <col min="37" max="37" width="13.7109375" bestFit="1" customWidth="1"/>
  </cols>
  <sheetData>
    <row r="1" spans="3:42" ht="24" hidden="1" customHeight="1">
      <c r="C1" s="126"/>
      <c r="D1" s="126"/>
      <c r="E1" s="141"/>
      <c r="F1" s="168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45"/>
      <c r="S1" s="278"/>
      <c r="T1" s="145"/>
      <c r="U1" s="131"/>
      <c r="V1" s="131"/>
      <c r="W1" s="131"/>
      <c r="X1" s="131"/>
      <c r="Y1" s="279"/>
      <c r="Z1" s="279"/>
      <c r="AA1" s="280"/>
      <c r="AB1" s="280"/>
      <c r="AC1" s="281"/>
      <c r="AD1" s="282"/>
      <c r="AE1" s="203"/>
      <c r="AF1" s="203"/>
      <c r="AG1" s="143"/>
      <c r="AH1" s="126"/>
      <c r="AI1" s="126"/>
    </row>
    <row r="2" spans="3:42" ht="24" hidden="1" customHeight="1">
      <c r="C2" s="126"/>
      <c r="D2" s="126"/>
      <c r="E2" s="141"/>
      <c r="F2" s="168"/>
      <c r="G2" s="260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45"/>
      <c r="S2" s="278"/>
      <c r="T2" s="145"/>
      <c r="U2" s="131"/>
      <c r="V2" s="131"/>
      <c r="W2" s="131"/>
      <c r="X2" s="131"/>
      <c r="Y2" s="279"/>
      <c r="Z2" s="279"/>
      <c r="AA2" s="280"/>
      <c r="AB2" s="280"/>
      <c r="AC2" s="281"/>
      <c r="AD2" s="282"/>
      <c r="AE2" s="203"/>
      <c r="AF2" s="203"/>
      <c r="AG2" s="143"/>
      <c r="AH2" s="126"/>
      <c r="AI2" s="126"/>
    </row>
    <row r="3" spans="3:42" ht="45" thickBot="1">
      <c r="C3" s="256" t="s">
        <v>469</v>
      </c>
      <c r="D3" s="256"/>
      <c r="E3" s="247"/>
      <c r="F3" s="250"/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3"/>
      <c r="U3" s="243"/>
      <c r="V3" s="243"/>
      <c r="W3" s="243"/>
      <c r="X3" s="243"/>
      <c r="Y3" s="244"/>
      <c r="Z3" s="244"/>
      <c r="AA3" s="243"/>
      <c r="AB3" s="243"/>
      <c r="AC3" s="244"/>
      <c r="AD3" s="245"/>
      <c r="AE3" s="194"/>
      <c r="AF3" s="194"/>
      <c r="AG3"/>
      <c r="AH3"/>
      <c r="AI3" s="13"/>
      <c r="AJ3" s="201" t="s">
        <v>6</v>
      </c>
      <c r="AK3" s="144">
        <f>IF(AJ3&lt;&gt;"",MID(AJ3,1,2)*1,"")</f>
        <v>3</v>
      </c>
      <c r="AL3" s="166" t="s">
        <v>282</v>
      </c>
      <c r="AM3" s="358" t="s">
        <v>218</v>
      </c>
      <c r="AN3" s="358"/>
    </row>
    <row r="4" spans="3:42" ht="24" customHeight="1">
      <c r="C4" s="240"/>
      <c r="D4" s="240"/>
      <c r="E4" s="241"/>
      <c r="F4" s="25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1"/>
      <c r="S4" s="241"/>
      <c r="T4" s="241"/>
      <c r="U4" s="241"/>
      <c r="V4" s="241"/>
      <c r="W4" s="241"/>
      <c r="X4" s="241"/>
      <c r="Y4" s="242"/>
      <c r="Z4" s="242"/>
      <c r="AA4" s="241"/>
      <c r="AB4" s="226">
        <v>1</v>
      </c>
      <c r="AC4" s="246">
        <v>3</v>
      </c>
      <c r="AD4" s="226">
        <v>2</v>
      </c>
      <c r="AE4" s="203"/>
      <c r="AF4" s="203"/>
      <c r="AG4"/>
      <c r="AH4"/>
      <c r="AI4" s="13"/>
      <c r="AJ4" s="181" t="str">
        <f>"ប្រចាំឆ្នាំ "&amp;MID(AJ3,4,30)</f>
        <v>ប្រចាំឆ្នាំ មីនា</v>
      </c>
      <c r="AK4" s="133" t="str">
        <f>IF(AJ3="","","01/"&amp;MID(AJ3,1,2)&amp;"/"&amp;AL3)</f>
        <v>01/03/2026</v>
      </c>
      <c r="AL4" s="178">
        <f>IF(AJ3="","",EOMONTH(AK4,0))</f>
        <v>46112</v>
      </c>
      <c r="AM4" s="179" t="s">
        <v>218</v>
      </c>
      <c r="AN4" s="180"/>
      <c r="AO4" s="81"/>
    </row>
    <row r="5" spans="3:42" ht="23.25" customHeight="1">
      <c r="C5" s="207"/>
      <c r="D5" s="207"/>
      <c r="E5" s="192"/>
      <c r="F5" s="252"/>
      <c r="G5" s="214"/>
      <c r="H5" s="192"/>
      <c r="I5" s="192"/>
      <c r="J5" s="192"/>
      <c r="K5" s="192"/>
      <c r="L5" s="192"/>
      <c r="M5" s="192"/>
      <c r="N5" s="192"/>
      <c r="O5" s="192"/>
      <c r="P5" s="192"/>
      <c r="Q5" s="192"/>
      <c r="R5" s="372"/>
      <c r="S5" s="372"/>
      <c r="T5" s="372"/>
      <c r="U5" s="214"/>
      <c r="V5" s="214"/>
      <c r="W5" s="214"/>
      <c r="X5" s="214"/>
      <c r="Y5" s="221"/>
      <c r="Z5" s="221"/>
      <c r="AA5" s="221"/>
      <c r="AB5" s="165" t="s">
        <v>127</v>
      </c>
      <c r="AC5" s="219" t="s">
        <v>129</v>
      </c>
      <c r="AD5" s="175" t="s">
        <v>128</v>
      </c>
      <c r="AE5" s="203"/>
      <c r="AF5" s="203"/>
      <c r="AG5"/>
      <c r="AH5"/>
      <c r="AI5" s="13"/>
      <c r="AJ5" s="191" t="str">
        <f>IF(AJ3="","",IF(MID($AM$3,1,1)="1","ចាប់ពីថ្ងៃទី ( 01/01/2024","ប្រចាំខែ "&amp;MID($AJ$3,4,40)&amp;"( 01/"&amp;MID($AJ$3,1,2)&amp;"/"&amp;$AL$3)&amp;" - "&amp;DAY($AL$4)&amp;"/"&amp;MID(TEXT(MONTH($AL$4),"00"),1,2)&amp;"/"&amp;YEAR($AL$4)&amp;" )")</f>
        <v>ចាប់ពីថ្ងៃទី ( 01/01/2024 - 31/03/2026 )</v>
      </c>
      <c r="AK5" s="134"/>
      <c r="AL5" s="134"/>
      <c r="AM5" s="177" t="s">
        <v>217</v>
      </c>
      <c r="AN5" s="81"/>
      <c r="AO5" s="81"/>
      <c r="AP5" s="176"/>
    </row>
    <row r="6" spans="3:42" ht="16.5" customHeight="1">
      <c r="C6" s="336"/>
      <c r="D6" s="336"/>
      <c r="E6" s="336"/>
      <c r="F6" s="336"/>
      <c r="G6" s="336"/>
      <c r="H6" s="338"/>
      <c r="I6" s="338"/>
      <c r="J6" s="338"/>
      <c r="K6" s="338"/>
      <c r="L6" s="338"/>
      <c r="M6" s="338"/>
      <c r="N6" s="338"/>
      <c r="O6" s="338"/>
      <c r="P6" s="338"/>
      <c r="Q6" s="336"/>
      <c r="R6" s="336"/>
      <c r="S6" s="336"/>
      <c r="T6" s="336"/>
      <c r="U6" s="336"/>
      <c r="V6" s="336"/>
      <c r="W6" s="336"/>
      <c r="X6" s="336"/>
      <c r="Y6" s="341"/>
      <c r="Z6" s="341"/>
      <c r="AA6" s="341"/>
      <c r="AB6" s="341"/>
      <c r="AC6" s="341"/>
      <c r="AD6" s="341"/>
      <c r="AE6" s="341"/>
      <c r="AF6" s="341"/>
      <c r="AG6" s="341"/>
      <c r="AH6" s="341"/>
      <c r="AI6" s="341"/>
      <c r="AJ6"/>
      <c r="AK6" s="134" t="s">
        <v>564</v>
      </c>
      <c r="AL6" s="151"/>
      <c r="AN6" s="176"/>
      <c r="AO6" s="176"/>
      <c r="AP6" s="176"/>
    </row>
    <row r="7" spans="3:42" s="146" customFormat="1" ht="91.5">
      <c r="C7" s="337" t="s">
        <v>139</v>
      </c>
      <c r="D7" s="337" t="s">
        <v>484</v>
      </c>
      <c r="E7" s="337" t="s">
        <v>29</v>
      </c>
      <c r="F7" s="337" t="s">
        <v>40</v>
      </c>
      <c r="G7" s="337" t="s">
        <v>286</v>
      </c>
      <c r="H7" s="339" t="s">
        <v>102</v>
      </c>
      <c r="I7" s="339" t="s">
        <v>292</v>
      </c>
      <c r="J7" s="339" t="s">
        <v>110</v>
      </c>
      <c r="K7" s="339" t="s">
        <v>103</v>
      </c>
      <c r="L7" s="339" t="s">
        <v>106</v>
      </c>
      <c r="M7" s="339" t="s">
        <v>104</v>
      </c>
      <c r="N7" s="339" t="s">
        <v>100</v>
      </c>
      <c r="O7" s="339" t="s">
        <v>396</v>
      </c>
      <c r="P7" s="339" t="s">
        <v>219</v>
      </c>
      <c r="Q7" s="337" t="s">
        <v>398</v>
      </c>
      <c r="R7" s="337" t="s">
        <v>105</v>
      </c>
      <c r="S7" s="337" t="s">
        <v>97</v>
      </c>
      <c r="T7" s="340" t="s">
        <v>3</v>
      </c>
      <c r="U7" s="340" t="s">
        <v>376</v>
      </c>
      <c r="V7" s="340" t="s">
        <v>232</v>
      </c>
      <c r="W7" s="340" t="s">
        <v>284</v>
      </c>
      <c r="X7" s="340" t="s">
        <v>234</v>
      </c>
      <c r="Y7" s="342" t="s">
        <v>30</v>
      </c>
      <c r="Z7" s="342" t="s">
        <v>285</v>
      </c>
      <c r="AA7" s="342" t="s">
        <v>31</v>
      </c>
      <c r="AB7" s="342" t="s">
        <v>206</v>
      </c>
      <c r="AC7" s="342" t="s">
        <v>32</v>
      </c>
      <c r="AD7" s="342" t="s">
        <v>98</v>
      </c>
      <c r="AE7" s="342" t="s">
        <v>28</v>
      </c>
      <c r="AF7" s="342" t="s">
        <v>291</v>
      </c>
      <c r="AG7" s="342" t="s">
        <v>26</v>
      </c>
      <c r="AH7" s="342" t="s">
        <v>2</v>
      </c>
      <c r="AI7" s="342" t="s">
        <v>121</v>
      </c>
      <c r="AJ7" s="410"/>
      <c r="AK7" s="410" t="s">
        <v>563</v>
      </c>
      <c r="AN7" s="162"/>
      <c r="AO7" s="162"/>
      <c r="AP7" s="162"/>
    </row>
    <row r="8" spans="3:42" ht="24" customHeight="1">
      <c r="C8" s="335"/>
      <c r="D8" s="335"/>
      <c r="F8" s="373"/>
      <c r="G8" s="188"/>
      <c r="H8" s="335"/>
      <c r="Q8" s="335"/>
      <c r="T8" s="374"/>
      <c r="Y8" s="375"/>
      <c r="AA8" s="376"/>
      <c r="AB8" s="376"/>
      <c r="AC8" s="377"/>
      <c r="AE8" s="187"/>
    </row>
    <row r="9" spans="3:42" ht="24" customHeight="1">
      <c r="D9" s="335"/>
      <c r="F9" s="373"/>
      <c r="G9" s="188"/>
      <c r="T9" s="374"/>
      <c r="AE9" s="187"/>
    </row>
    <row r="10" spans="3:42" ht="24" customHeight="1">
      <c r="D10" s="335"/>
      <c r="F10" s="373"/>
      <c r="G10" s="188"/>
      <c r="T10" s="374"/>
      <c r="AE10" s="187"/>
    </row>
    <row r="11" spans="3:42" ht="24" customHeight="1">
      <c r="C11" s="211"/>
      <c r="F11" s="408"/>
      <c r="G11" s="188"/>
      <c r="T11" s="374"/>
    </row>
    <row r="12" spans="3:42" ht="24" customHeight="1">
      <c r="C12" s="211"/>
      <c r="D12" s="335"/>
      <c r="F12" s="378"/>
      <c r="G12" s="188"/>
    </row>
    <row r="13" spans="3:42" ht="24" customHeight="1">
      <c r="C13" s="211"/>
      <c r="D13" s="335"/>
      <c r="F13" s="379"/>
      <c r="G13" s="188"/>
    </row>
    <row r="14" spans="3:42" ht="24" customHeight="1">
      <c r="C14" s="211"/>
      <c r="D14" s="335"/>
      <c r="F14" s="379"/>
      <c r="G14" s="188"/>
    </row>
    <row r="15" spans="3:42" ht="24" customHeight="1">
      <c r="C15" s="211"/>
      <c r="D15" s="335"/>
      <c r="F15" s="379"/>
      <c r="G15" s="188"/>
      <c r="AK15" s="151"/>
    </row>
    <row r="16" spans="3:42" ht="24" customHeight="1">
      <c r="C16" s="211"/>
      <c r="D16" s="335"/>
      <c r="G16" s="188"/>
      <c r="AK16" s="151"/>
    </row>
    <row r="17" spans="3:37" ht="24" customHeight="1">
      <c r="C17" s="211"/>
      <c r="D17" s="335"/>
      <c r="G17" s="188"/>
      <c r="AK17" s="151"/>
    </row>
    <row r="18" spans="3:37" ht="24" customHeight="1">
      <c r="C18" s="211"/>
      <c r="D18" s="335"/>
      <c r="G18" s="188"/>
      <c r="AK18" s="151"/>
    </row>
    <row r="19" spans="3:37" ht="24" customHeight="1">
      <c r="C19" s="211"/>
      <c r="D19" s="335"/>
      <c r="G19" s="188"/>
      <c r="AK19" s="151"/>
    </row>
    <row r="20" spans="3:37" ht="24" customHeight="1">
      <c r="C20" s="211"/>
      <c r="D20" s="335"/>
      <c r="G20" s="188"/>
      <c r="AK20" s="151"/>
    </row>
    <row r="21" spans="3:37" ht="24" customHeight="1">
      <c r="C21" s="211"/>
      <c r="D21" s="335"/>
      <c r="G21" s="188"/>
      <c r="AK21" s="151"/>
    </row>
    <row r="22" spans="3:37" ht="24" customHeight="1">
      <c r="C22" s="211"/>
      <c r="D22" s="335"/>
      <c r="G22" s="188"/>
      <c r="AK22" s="151"/>
    </row>
    <row r="23" spans="3:37" ht="24" customHeight="1">
      <c r="C23" s="211"/>
      <c r="D23" s="335"/>
      <c r="G23" s="188"/>
      <c r="AK23" s="151"/>
    </row>
    <row r="24" spans="3:37" ht="24" customHeight="1">
      <c r="C24" s="211"/>
      <c r="D24" s="335"/>
      <c r="G24" s="188"/>
      <c r="AK24" s="151"/>
    </row>
    <row r="25" spans="3:37" ht="24" customHeight="1">
      <c r="C25" s="211"/>
      <c r="D25" s="335"/>
      <c r="G25" s="188"/>
      <c r="AK25" s="151"/>
    </row>
    <row r="26" spans="3:37" ht="24" customHeight="1">
      <c r="C26" s="212"/>
      <c r="D26" s="367"/>
      <c r="G26" s="188"/>
      <c r="AK26" s="151"/>
    </row>
    <row r="27" spans="3:37" ht="24" customHeight="1">
      <c r="C27" s="212"/>
      <c r="D27" s="367"/>
      <c r="G27" s="188"/>
      <c r="AK27" s="151"/>
    </row>
    <row r="28" spans="3:37" ht="24" customHeight="1">
      <c r="C28" s="212"/>
      <c r="D28" s="367"/>
      <c r="G28" s="188"/>
      <c r="AK28" s="151"/>
    </row>
    <row r="29" spans="3:37" ht="24" customHeight="1">
      <c r="C29" s="212"/>
      <c r="D29" s="367"/>
      <c r="G29" s="188"/>
      <c r="AK29" s="151"/>
    </row>
    <row r="30" spans="3:37" ht="24" customHeight="1">
      <c r="C30" s="212"/>
      <c r="D30" s="367"/>
      <c r="G30" s="188"/>
      <c r="AK30" s="151"/>
    </row>
    <row r="31" spans="3:37" ht="24" customHeight="1">
      <c r="C31" s="212"/>
      <c r="D31" s="367"/>
      <c r="G31" s="188"/>
      <c r="AK31" s="151"/>
    </row>
    <row r="32" spans="3:37" ht="24" customHeight="1">
      <c r="C32" s="212"/>
      <c r="D32" s="367"/>
      <c r="G32" s="188"/>
      <c r="AK32" s="151"/>
    </row>
    <row r="33" spans="3:37" ht="24" customHeight="1">
      <c r="C33" s="213"/>
      <c r="D33" s="368"/>
      <c r="G33" s="188"/>
      <c r="AK33" s="151"/>
    </row>
    <row r="34" spans="3:37" ht="24" customHeight="1">
      <c r="C34" s="211"/>
      <c r="D34" s="335"/>
      <c r="G34" s="188"/>
      <c r="AK34" s="151"/>
    </row>
    <row r="35" spans="3:37" ht="24" customHeight="1">
      <c r="C35" s="211"/>
      <c r="D35" s="335"/>
      <c r="G35" s="188"/>
      <c r="AK35" s="151"/>
    </row>
    <row r="36" spans="3:37" ht="24" customHeight="1">
      <c r="C36" s="211"/>
      <c r="D36" s="335"/>
      <c r="G36" s="188"/>
      <c r="AK36" s="151"/>
    </row>
    <row r="37" spans="3:37" ht="24" customHeight="1">
      <c r="C37" s="211"/>
      <c r="D37" s="335"/>
      <c r="G37" s="188"/>
      <c r="AK37" s="151"/>
    </row>
    <row r="38" spans="3:37" ht="24" customHeight="1">
      <c r="C38" s="211"/>
      <c r="D38" s="335"/>
      <c r="G38" s="188"/>
      <c r="AK38" s="151"/>
    </row>
    <row r="39" spans="3:37" ht="24" customHeight="1">
      <c r="G39" s="188"/>
      <c r="AK39" s="151"/>
    </row>
    <row r="40" spans="3:37" ht="24" customHeight="1">
      <c r="G40" s="188"/>
      <c r="AK40" s="151"/>
    </row>
    <row r="41" spans="3:37" ht="24" customHeight="1">
      <c r="G41" s="188"/>
      <c r="AK41" s="151"/>
    </row>
    <row r="42" spans="3:37" ht="24" customHeight="1">
      <c r="G42" s="188"/>
      <c r="AK42" s="151"/>
    </row>
    <row r="43" spans="3:37" ht="24" customHeight="1">
      <c r="G43" s="188"/>
      <c r="AK43" s="151"/>
    </row>
    <row r="44" spans="3:37" ht="24" customHeight="1">
      <c r="G44" s="188"/>
      <c r="AK44" s="151"/>
    </row>
    <row r="45" spans="3:37" ht="24" customHeight="1">
      <c r="G45" s="188"/>
      <c r="AK45" s="151"/>
    </row>
    <row r="46" spans="3:37" ht="24" customHeight="1">
      <c r="G46" s="188"/>
      <c r="AK46" s="151"/>
    </row>
    <row r="47" spans="3:37" ht="24" customHeight="1">
      <c r="G47" s="188"/>
      <c r="AK47" s="151"/>
    </row>
    <row r="48" spans="3:37" ht="24" customHeight="1">
      <c r="G48" s="188"/>
      <c r="AK48" s="151"/>
    </row>
    <row r="49" spans="7:37" ht="24" customHeight="1">
      <c r="G49" s="188"/>
      <c r="AK49" s="151"/>
    </row>
    <row r="50" spans="7:37" ht="24" customHeight="1">
      <c r="G50" s="188"/>
      <c r="AK50" s="151"/>
    </row>
    <row r="51" spans="7:37" ht="24" customHeight="1">
      <c r="G51" s="188"/>
      <c r="AK51" s="151"/>
    </row>
    <row r="52" spans="7:37" ht="24" customHeight="1">
      <c r="G52" s="188"/>
      <c r="AK52" s="151"/>
    </row>
    <row r="53" spans="7:37" ht="24" customHeight="1">
      <c r="G53" s="188"/>
      <c r="AK53" s="151"/>
    </row>
    <row r="54" spans="7:37" ht="24" customHeight="1">
      <c r="G54" s="188"/>
      <c r="AK54" s="151"/>
    </row>
    <row r="55" spans="7:37" ht="24" customHeight="1">
      <c r="G55" s="188"/>
      <c r="AK55" s="151"/>
    </row>
    <row r="56" spans="7:37" ht="24" customHeight="1">
      <c r="G56" s="188"/>
      <c r="AK56" s="151"/>
    </row>
    <row r="57" spans="7:37" ht="24" customHeight="1">
      <c r="G57" s="188"/>
      <c r="AK57" s="151"/>
    </row>
    <row r="58" spans="7:37" ht="24" customHeight="1">
      <c r="G58" s="188"/>
      <c r="AK58" s="151"/>
    </row>
    <row r="59" spans="7:37" ht="24" customHeight="1">
      <c r="G59" s="188"/>
      <c r="AK59" s="151"/>
    </row>
    <row r="60" spans="7:37" ht="24" customHeight="1">
      <c r="G60" s="188"/>
      <c r="AK60" s="151"/>
    </row>
    <row r="61" spans="7:37" ht="24" customHeight="1">
      <c r="G61" s="188"/>
      <c r="AK61" s="151"/>
    </row>
    <row r="62" spans="7:37" ht="24" customHeight="1">
      <c r="G62" s="188"/>
      <c r="AK62" s="151"/>
    </row>
    <row r="63" spans="7:37" ht="24" customHeight="1">
      <c r="G63" s="188"/>
      <c r="AK63" s="151"/>
    </row>
    <row r="64" spans="7:37" ht="24" customHeight="1">
      <c r="G64" s="188"/>
      <c r="AK64" s="151"/>
    </row>
    <row r="65" spans="7:37" ht="24" customHeight="1">
      <c r="G65" s="188"/>
      <c r="AK65" s="151"/>
    </row>
    <row r="66" spans="7:37" ht="24" customHeight="1">
      <c r="G66" s="188"/>
      <c r="AK66" s="151"/>
    </row>
    <row r="67" spans="7:37" ht="24" customHeight="1">
      <c r="G67" s="188"/>
      <c r="AK67" s="151"/>
    </row>
    <row r="68" spans="7:37" ht="24" customHeight="1">
      <c r="G68" s="188"/>
      <c r="AK68" s="151"/>
    </row>
    <row r="69" spans="7:37" ht="24" customHeight="1">
      <c r="G69" s="188"/>
      <c r="AK69" s="151"/>
    </row>
    <row r="70" spans="7:37" ht="24" customHeight="1">
      <c r="G70" s="188"/>
      <c r="AK70" s="151"/>
    </row>
    <row r="71" spans="7:37" ht="24" customHeight="1">
      <c r="G71" s="188"/>
      <c r="AK71" s="151"/>
    </row>
    <row r="72" spans="7:37" ht="24" customHeight="1">
      <c r="G72" s="188"/>
      <c r="AK72" s="151"/>
    </row>
    <row r="73" spans="7:37" ht="24" customHeight="1">
      <c r="G73" s="188"/>
      <c r="AK73" s="151"/>
    </row>
    <row r="74" spans="7:37" ht="24" customHeight="1">
      <c r="G74" s="188"/>
      <c r="AK74" s="151"/>
    </row>
    <row r="75" spans="7:37" ht="24" customHeight="1">
      <c r="G75" s="188"/>
      <c r="AK75" s="151"/>
    </row>
    <row r="76" spans="7:37" ht="24" customHeight="1">
      <c r="G76" s="188"/>
      <c r="AK76" s="151"/>
    </row>
    <row r="77" spans="7:37" ht="24" customHeight="1">
      <c r="G77" s="188"/>
      <c r="AK77" s="151"/>
    </row>
    <row r="78" spans="7:37" ht="24" customHeight="1">
      <c r="G78" s="188"/>
      <c r="AK78" s="151"/>
    </row>
    <row r="79" spans="7:37" ht="24" customHeight="1">
      <c r="G79" s="188"/>
      <c r="AK79" s="151"/>
    </row>
    <row r="80" spans="7:37" ht="24" customHeight="1">
      <c r="G80" s="188"/>
      <c r="AK80" s="151"/>
    </row>
    <row r="81" spans="7:37" ht="24" customHeight="1">
      <c r="G81" s="188"/>
      <c r="AK81" s="151"/>
    </row>
    <row r="82" spans="7:37" ht="24" customHeight="1">
      <c r="G82" s="188"/>
      <c r="AK82" s="151"/>
    </row>
    <row r="83" spans="7:37" ht="24" customHeight="1">
      <c r="G83" s="188"/>
      <c r="AK83" s="151"/>
    </row>
    <row r="84" spans="7:37" ht="24" customHeight="1">
      <c r="G84" s="188"/>
      <c r="AK84" s="151"/>
    </row>
    <row r="85" spans="7:37" ht="24" customHeight="1">
      <c r="G85" s="188"/>
      <c r="AK85" s="151"/>
    </row>
    <row r="86" spans="7:37" ht="24" customHeight="1">
      <c r="G86" s="188"/>
      <c r="AK86" s="151"/>
    </row>
    <row r="87" spans="7:37" ht="24" customHeight="1">
      <c r="G87" s="188"/>
      <c r="AK87" s="151"/>
    </row>
    <row r="88" spans="7:37" ht="24" customHeight="1">
      <c r="G88" s="188"/>
      <c r="AK88" s="151"/>
    </row>
    <row r="89" spans="7:37" ht="24" customHeight="1">
      <c r="G89" s="188"/>
      <c r="AK89" s="151"/>
    </row>
    <row r="90" spans="7:37" ht="24" customHeight="1">
      <c r="G90" s="188"/>
      <c r="AK90" s="151"/>
    </row>
    <row r="91" spans="7:37" ht="24" customHeight="1">
      <c r="G91" s="188"/>
      <c r="AK91" s="151"/>
    </row>
    <row r="92" spans="7:37" ht="24" customHeight="1">
      <c r="G92" s="188"/>
      <c r="AK92" s="151"/>
    </row>
    <row r="93" spans="7:37" ht="24" customHeight="1">
      <c r="G93" s="188"/>
      <c r="AK93" s="151"/>
    </row>
    <row r="94" spans="7:37" ht="24" customHeight="1">
      <c r="G94" s="188"/>
      <c r="AK94" s="151"/>
    </row>
    <row r="95" spans="7:37" ht="24" customHeight="1">
      <c r="G95" s="188"/>
      <c r="AK95" s="151"/>
    </row>
    <row r="96" spans="7:37" ht="24" customHeight="1">
      <c r="G96" s="188"/>
      <c r="AK96" s="151"/>
    </row>
    <row r="97" spans="7:37" ht="24" customHeight="1">
      <c r="G97" s="188"/>
      <c r="AK97" s="151"/>
    </row>
    <row r="98" spans="7:37" ht="24" customHeight="1">
      <c r="G98" s="188"/>
      <c r="AK98" s="151"/>
    </row>
    <row r="99" spans="7:37" ht="24" customHeight="1">
      <c r="G99" s="188"/>
      <c r="AK99" s="151"/>
    </row>
    <row r="100" spans="7:37" ht="24" customHeight="1">
      <c r="G100" s="188"/>
      <c r="AK100" s="151"/>
    </row>
    <row r="101" spans="7:37" ht="24" customHeight="1">
      <c r="G101" s="188"/>
      <c r="AK101" s="151"/>
    </row>
    <row r="102" spans="7:37" ht="24" customHeight="1">
      <c r="G102" s="188"/>
      <c r="AK102" s="151"/>
    </row>
    <row r="103" spans="7:37" ht="24" customHeight="1">
      <c r="G103" s="188"/>
      <c r="AK103" s="151"/>
    </row>
    <row r="104" spans="7:37" ht="24" customHeight="1">
      <c r="G104" s="188"/>
      <c r="AK104" s="151"/>
    </row>
    <row r="105" spans="7:37" ht="24" customHeight="1">
      <c r="G105" s="188"/>
      <c r="AK105" s="151"/>
    </row>
    <row r="106" spans="7:37" ht="24" customHeight="1">
      <c r="G106" s="188"/>
      <c r="AK106" s="151"/>
    </row>
    <row r="107" spans="7:37" ht="24" customHeight="1">
      <c r="G107" s="188"/>
      <c r="AK107" s="151"/>
    </row>
    <row r="108" spans="7:37" ht="24" customHeight="1">
      <c r="G108" s="188"/>
      <c r="AK108" s="151"/>
    </row>
    <row r="109" spans="7:37" ht="24" customHeight="1">
      <c r="G109" s="188"/>
      <c r="AK109" s="151"/>
    </row>
    <row r="110" spans="7:37" ht="24" customHeight="1">
      <c r="G110" s="188"/>
      <c r="AK110" s="151"/>
    </row>
    <row r="111" spans="7:37" ht="24" customHeight="1">
      <c r="G111" s="188"/>
      <c r="AK111" s="151"/>
    </row>
    <row r="112" spans="7:37" ht="24" customHeight="1">
      <c r="G112" s="188"/>
      <c r="AK112" s="151"/>
    </row>
    <row r="113" spans="7:37" ht="24" customHeight="1">
      <c r="G113" s="188"/>
      <c r="AK113" s="151"/>
    </row>
    <row r="114" spans="7:37" ht="24" customHeight="1">
      <c r="G114" s="188"/>
      <c r="AK114" s="151"/>
    </row>
    <row r="115" spans="7:37" ht="24" customHeight="1">
      <c r="G115" s="188"/>
      <c r="AK115" s="151"/>
    </row>
    <row r="116" spans="7:37" ht="24" customHeight="1">
      <c r="G116" s="188"/>
      <c r="AK116" s="151"/>
    </row>
    <row r="117" spans="7:37" ht="24" customHeight="1">
      <c r="G117" s="188"/>
      <c r="AK117" s="151"/>
    </row>
    <row r="118" spans="7:37" ht="24" customHeight="1">
      <c r="G118" s="188"/>
      <c r="AK118" s="151"/>
    </row>
    <row r="119" spans="7:37" ht="24" customHeight="1">
      <c r="G119" s="188"/>
      <c r="AK119" s="151"/>
    </row>
    <row r="120" spans="7:37" ht="24" customHeight="1">
      <c r="G120" s="188"/>
      <c r="AK120" s="151"/>
    </row>
    <row r="121" spans="7:37" ht="24" customHeight="1">
      <c r="G121" s="188"/>
      <c r="AK121" s="151"/>
    </row>
    <row r="122" spans="7:37" ht="24" customHeight="1">
      <c r="G122" s="188"/>
      <c r="AK122" s="151"/>
    </row>
    <row r="123" spans="7:37" ht="24" customHeight="1">
      <c r="G123" s="188"/>
      <c r="AK123" s="151"/>
    </row>
    <row r="124" spans="7:37" ht="24" customHeight="1">
      <c r="G124" s="188"/>
      <c r="AK124" s="151"/>
    </row>
    <row r="125" spans="7:37" ht="24" customHeight="1">
      <c r="G125" s="188"/>
      <c r="AK125" s="151"/>
    </row>
    <row r="126" spans="7:37" ht="24" customHeight="1">
      <c r="G126" s="188"/>
      <c r="AK126" s="151"/>
    </row>
    <row r="127" spans="7:37" ht="24" customHeight="1">
      <c r="G127" s="188"/>
      <c r="AK127" s="151"/>
    </row>
    <row r="128" spans="7:37" ht="24" customHeight="1">
      <c r="G128" s="188"/>
      <c r="AK128" s="151"/>
    </row>
    <row r="129" spans="7:37" ht="24" customHeight="1">
      <c r="G129" s="188"/>
      <c r="AK129" s="151"/>
    </row>
    <row r="130" spans="7:37" ht="24" customHeight="1">
      <c r="G130" s="188"/>
      <c r="AK130" s="151"/>
    </row>
    <row r="131" spans="7:37" ht="24" customHeight="1">
      <c r="G131" s="188"/>
      <c r="AK131" s="151"/>
    </row>
    <row r="132" spans="7:37" ht="24" customHeight="1">
      <c r="G132" s="188"/>
      <c r="AK132" s="151"/>
    </row>
    <row r="133" spans="7:37" ht="24" customHeight="1">
      <c r="G133" s="188"/>
      <c r="AK133" s="151"/>
    </row>
    <row r="134" spans="7:37" ht="24" customHeight="1">
      <c r="G134" s="188"/>
      <c r="AK134" s="151"/>
    </row>
    <row r="135" spans="7:37" ht="24" customHeight="1">
      <c r="G135" s="188"/>
      <c r="AK135" s="151"/>
    </row>
    <row r="136" spans="7:37" ht="24" customHeight="1">
      <c r="G136" s="188"/>
      <c r="AK136" s="151"/>
    </row>
    <row r="137" spans="7:37" ht="24" customHeight="1">
      <c r="G137" s="188"/>
      <c r="AK137" s="151"/>
    </row>
    <row r="138" spans="7:37" ht="24" customHeight="1">
      <c r="G138" s="188"/>
      <c r="AK138" s="151"/>
    </row>
    <row r="139" spans="7:37" ht="24" customHeight="1">
      <c r="G139" s="188"/>
      <c r="AK139" s="151"/>
    </row>
    <row r="140" spans="7:37" ht="24" customHeight="1">
      <c r="G140" s="188"/>
      <c r="AK140" s="151"/>
    </row>
    <row r="141" spans="7:37" ht="24" customHeight="1">
      <c r="G141" s="188"/>
      <c r="AK141" s="151"/>
    </row>
    <row r="142" spans="7:37" ht="24" customHeight="1">
      <c r="G142" s="188"/>
      <c r="AK142" s="151"/>
    </row>
    <row r="143" spans="7:37" ht="24" customHeight="1">
      <c r="G143" s="188"/>
      <c r="AK143" s="151"/>
    </row>
    <row r="144" spans="7:37" ht="24" customHeight="1">
      <c r="G144" s="188"/>
      <c r="AK144" s="151"/>
    </row>
    <row r="145" spans="7:37" ht="24" customHeight="1">
      <c r="G145" s="188"/>
      <c r="AK145" s="151"/>
    </row>
    <row r="146" spans="7:37" ht="24" customHeight="1">
      <c r="G146" s="188"/>
      <c r="AK146" s="151"/>
    </row>
    <row r="147" spans="7:37" ht="24" customHeight="1">
      <c r="G147" s="188"/>
      <c r="AK147" s="151"/>
    </row>
    <row r="148" spans="7:37" ht="24" customHeight="1">
      <c r="G148" s="188"/>
      <c r="AK148" s="151"/>
    </row>
    <row r="149" spans="7:37" ht="24" customHeight="1">
      <c r="G149" s="188"/>
      <c r="AK149" s="151"/>
    </row>
    <row r="150" spans="7:37" ht="24" customHeight="1">
      <c r="G150" s="188"/>
      <c r="AK150" s="151"/>
    </row>
    <row r="151" spans="7:37" ht="24" customHeight="1">
      <c r="G151" s="188"/>
      <c r="AK151" s="151"/>
    </row>
    <row r="152" spans="7:37" ht="24" customHeight="1">
      <c r="G152" s="188"/>
      <c r="AK152" s="151"/>
    </row>
    <row r="153" spans="7:37" ht="24" customHeight="1">
      <c r="G153" s="188"/>
      <c r="AK153" s="151"/>
    </row>
    <row r="154" spans="7:37" ht="24" customHeight="1">
      <c r="G154" s="188"/>
      <c r="AK154" s="151"/>
    </row>
    <row r="155" spans="7:37" ht="24" customHeight="1">
      <c r="G155" s="188"/>
      <c r="AK155" s="151"/>
    </row>
    <row r="156" spans="7:37" ht="24" customHeight="1">
      <c r="G156" s="188"/>
      <c r="AK156" s="151"/>
    </row>
    <row r="157" spans="7:37" ht="24" customHeight="1">
      <c r="G157" s="188"/>
      <c r="AK157" s="151"/>
    </row>
    <row r="158" spans="7:37" ht="24" customHeight="1">
      <c r="G158" s="188"/>
      <c r="AK158" s="151"/>
    </row>
    <row r="159" spans="7:37" ht="24" customHeight="1">
      <c r="G159" s="188"/>
      <c r="AK159" s="151"/>
    </row>
    <row r="160" spans="7:37" ht="24" customHeight="1">
      <c r="G160" s="188"/>
      <c r="AK160" s="151"/>
    </row>
    <row r="161" spans="7:37" ht="24" customHeight="1">
      <c r="G161" s="188"/>
      <c r="AK161" s="151"/>
    </row>
    <row r="162" spans="7:37" ht="24" customHeight="1">
      <c r="G162" s="188"/>
      <c r="AK162" s="151"/>
    </row>
    <row r="163" spans="7:37" ht="24" customHeight="1">
      <c r="G163" s="188"/>
      <c r="AK163" s="151"/>
    </row>
    <row r="164" spans="7:37" ht="24" customHeight="1">
      <c r="G164" s="188"/>
      <c r="AK164" s="151"/>
    </row>
    <row r="165" spans="7:37" ht="24" customHeight="1">
      <c r="G165" s="188"/>
      <c r="AK165" s="151"/>
    </row>
    <row r="166" spans="7:37" ht="24" customHeight="1">
      <c r="G166" s="188"/>
      <c r="AK166" s="151"/>
    </row>
    <row r="167" spans="7:37" ht="24" customHeight="1">
      <c r="G167" s="188"/>
      <c r="AK167" s="151"/>
    </row>
    <row r="168" spans="7:37" ht="24" customHeight="1">
      <c r="G168" s="188"/>
      <c r="AK168" s="151"/>
    </row>
    <row r="169" spans="7:37" ht="24" customHeight="1">
      <c r="G169" s="188"/>
      <c r="AK169" s="151"/>
    </row>
    <row r="170" spans="7:37" ht="24" customHeight="1">
      <c r="G170" s="188"/>
      <c r="AK170" s="151"/>
    </row>
    <row r="171" spans="7:37" ht="24" customHeight="1">
      <c r="G171" s="188"/>
      <c r="AK171" s="151"/>
    </row>
    <row r="172" spans="7:37" ht="24" customHeight="1">
      <c r="G172" s="188"/>
      <c r="AK172" s="151"/>
    </row>
    <row r="173" spans="7:37" ht="24" customHeight="1">
      <c r="G173" s="188"/>
      <c r="AK173" s="151"/>
    </row>
    <row r="174" spans="7:37" ht="24" customHeight="1">
      <c r="G174" s="188"/>
      <c r="AK174" s="151"/>
    </row>
    <row r="175" spans="7:37" ht="24" customHeight="1">
      <c r="G175" s="188"/>
      <c r="AK175" s="151"/>
    </row>
    <row r="176" spans="7:37" ht="24" customHeight="1">
      <c r="G176" s="188"/>
      <c r="AK176" s="151"/>
    </row>
    <row r="177" spans="7:37" ht="24" customHeight="1">
      <c r="G177" s="188"/>
      <c r="AK177" s="151"/>
    </row>
    <row r="178" spans="7:37" ht="24" customHeight="1">
      <c r="G178" s="188"/>
      <c r="AK178" s="151"/>
    </row>
    <row r="179" spans="7:37" ht="24" customHeight="1">
      <c r="G179" s="188"/>
      <c r="AK179" s="151"/>
    </row>
    <row r="180" spans="7:37" ht="24" customHeight="1">
      <c r="G180" s="188"/>
      <c r="AK180" s="151"/>
    </row>
    <row r="181" spans="7:37" ht="24" customHeight="1">
      <c r="G181" s="188"/>
      <c r="AK181" s="151"/>
    </row>
    <row r="182" spans="7:37" ht="24" customHeight="1">
      <c r="G182" s="188"/>
      <c r="AK182" s="151"/>
    </row>
    <row r="183" spans="7:37" ht="24" customHeight="1">
      <c r="G183" s="188"/>
      <c r="AK183" s="151"/>
    </row>
    <row r="184" spans="7:37" ht="24" customHeight="1">
      <c r="G184" s="188"/>
      <c r="AK184" s="151"/>
    </row>
    <row r="185" spans="7:37" ht="24" customHeight="1">
      <c r="G185" s="188"/>
      <c r="AK185" s="151"/>
    </row>
    <row r="186" spans="7:37" ht="24" customHeight="1">
      <c r="G186" s="188"/>
      <c r="AK186" s="151"/>
    </row>
    <row r="187" spans="7:37" ht="24" customHeight="1">
      <c r="G187" s="188"/>
      <c r="AK187" s="151"/>
    </row>
    <row r="188" spans="7:37" ht="24" customHeight="1">
      <c r="G188" s="188"/>
      <c r="AK188" s="151"/>
    </row>
    <row r="189" spans="7:37" ht="24" customHeight="1">
      <c r="G189" s="188"/>
      <c r="AK189" s="151"/>
    </row>
    <row r="190" spans="7:37" ht="24" customHeight="1">
      <c r="G190" s="188"/>
      <c r="AK190" s="151"/>
    </row>
    <row r="191" spans="7:37" ht="24" customHeight="1">
      <c r="G191" s="188"/>
      <c r="AK191" s="151"/>
    </row>
    <row r="192" spans="7:37" ht="24" customHeight="1">
      <c r="G192" s="188"/>
      <c r="AK192" s="151"/>
    </row>
    <row r="193" spans="7:37" ht="24" customHeight="1">
      <c r="G193" s="188"/>
      <c r="AK193" s="151"/>
    </row>
    <row r="194" spans="7:37" ht="24" customHeight="1">
      <c r="G194" s="188"/>
      <c r="AK194" s="151"/>
    </row>
    <row r="195" spans="7:37" ht="24" customHeight="1">
      <c r="G195" s="188"/>
      <c r="AK195" s="151"/>
    </row>
    <row r="196" spans="7:37" ht="24" customHeight="1">
      <c r="G196" s="188"/>
      <c r="AK196" s="151"/>
    </row>
    <row r="197" spans="7:37" ht="24" customHeight="1">
      <c r="G197" s="188"/>
      <c r="AK197" s="151"/>
    </row>
    <row r="198" spans="7:37" ht="24" customHeight="1">
      <c r="G198" s="188"/>
      <c r="AK198" s="151"/>
    </row>
    <row r="199" spans="7:37" ht="24" customHeight="1">
      <c r="G199" s="188"/>
      <c r="AK199" s="151"/>
    </row>
    <row r="200" spans="7:37" ht="24" customHeight="1">
      <c r="G200" s="188"/>
      <c r="AK200" s="151"/>
    </row>
    <row r="201" spans="7:37" ht="24" customHeight="1">
      <c r="G201" s="188"/>
      <c r="AK201" s="151"/>
    </row>
    <row r="202" spans="7:37" ht="24" customHeight="1">
      <c r="G202" s="188"/>
      <c r="AK202" s="151"/>
    </row>
    <row r="203" spans="7:37" ht="24" customHeight="1">
      <c r="G203" s="188"/>
      <c r="AK203" s="151"/>
    </row>
    <row r="204" spans="7:37" ht="24" customHeight="1">
      <c r="G204" s="188"/>
      <c r="AK204" s="151"/>
    </row>
    <row r="205" spans="7:37" ht="24" customHeight="1">
      <c r="G205" s="188"/>
      <c r="AK205" s="151"/>
    </row>
    <row r="206" spans="7:37" ht="24" customHeight="1">
      <c r="G206" s="188"/>
      <c r="AK206" s="151"/>
    </row>
    <row r="207" spans="7:37" ht="24" customHeight="1">
      <c r="G207" s="188"/>
      <c r="AK207" s="151"/>
    </row>
    <row r="208" spans="7:37" ht="24" customHeight="1">
      <c r="G208" s="188"/>
      <c r="AK208" s="151"/>
    </row>
    <row r="209" spans="7:37" ht="24" customHeight="1">
      <c r="G209" s="188"/>
      <c r="AK209" s="151"/>
    </row>
    <row r="210" spans="7:37" ht="24" customHeight="1">
      <c r="G210" s="188"/>
      <c r="AK210" s="151"/>
    </row>
    <row r="211" spans="7:37" ht="24" customHeight="1">
      <c r="G211" s="188"/>
      <c r="AK211" s="151"/>
    </row>
    <row r="212" spans="7:37" ht="24" customHeight="1">
      <c r="G212" s="188"/>
      <c r="AK212" s="151"/>
    </row>
    <row r="213" spans="7:37" ht="24" customHeight="1">
      <c r="G213" s="188"/>
      <c r="AK213" s="151"/>
    </row>
    <row r="214" spans="7:37" ht="24" customHeight="1">
      <c r="G214" s="188"/>
      <c r="AK214" s="151"/>
    </row>
    <row r="215" spans="7:37" ht="24" customHeight="1">
      <c r="G215" s="188"/>
      <c r="AK215" s="151"/>
    </row>
    <row r="216" spans="7:37" ht="24" customHeight="1">
      <c r="G216" s="188"/>
      <c r="AK216" s="151"/>
    </row>
    <row r="217" spans="7:37" ht="24" customHeight="1">
      <c r="G217" s="188"/>
      <c r="AK217" s="151"/>
    </row>
    <row r="218" spans="7:37" ht="24" customHeight="1">
      <c r="G218" s="188"/>
      <c r="AK218" s="151"/>
    </row>
    <row r="219" spans="7:37" ht="24" customHeight="1">
      <c r="G219" s="188"/>
      <c r="AK219" s="151"/>
    </row>
    <row r="220" spans="7:37" ht="24" customHeight="1">
      <c r="G220" s="188"/>
      <c r="AK220" s="151"/>
    </row>
    <row r="221" spans="7:37" ht="24" customHeight="1">
      <c r="G221" s="188"/>
      <c r="AK221" s="151"/>
    </row>
    <row r="222" spans="7:37" ht="24" customHeight="1">
      <c r="G222" s="188"/>
      <c r="AK222" s="151"/>
    </row>
    <row r="223" spans="7:37" ht="24" customHeight="1">
      <c r="G223" s="188"/>
      <c r="AK223" s="151"/>
    </row>
    <row r="224" spans="7:37" ht="18" customHeight="1">
      <c r="G224" s="188"/>
      <c r="AK224" s="151"/>
    </row>
    <row r="225" spans="7:37" ht="24" customHeight="1">
      <c r="G225" s="188"/>
      <c r="H225" s="206"/>
      <c r="I225" s="206"/>
      <c r="J225" s="206"/>
      <c r="K225" s="206"/>
      <c r="L225" s="206"/>
      <c r="M225" s="206"/>
      <c r="AK225" s="151"/>
    </row>
    <row r="226" spans="7:37" ht="24" customHeight="1">
      <c r="G226" s="188"/>
      <c r="AK226" s="151"/>
    </row>
    <row r="227" spans="7:37" ht="24" customHeight="1">
      <c r="G227" s="188"/>
      <c r="AK227" s="151"/>
    </row>
    <row r="228" spans="7:37" ht="24" customHeight="1">
      <c r="G228" s="188"/>
      <c r="AK228" s="151"/>
    </row>
    <row r="229" spans="7:37" ht="24" customHeight="1">
      <c r="G229" s="188"/>
      <c r="AK229" s="151"/>
    </row>
    <row r="230" spans="7:37" ht="24" customHeight="1">
      <c r="G230" s="188"/>
      <c r="AK230" s="151"/>
    </row>
    <row r="231" spans="7:37" ht="24" customHeight="1">
      <c r="G231" s="188"/>
      <c r="AK231" s="151"/>
    </row>
    <row r="232" spans="7:37" ht="24" customHeight="1">
      <c r="G232" s="188"/>
      <c r="AK232" s="151"/>
    </row>
    <row r="233" spans="7:37" ht="24" customHeight="1">
      <c r="G233" s="188"/>
      <c r="AK233" s="151"/>
    </row>
    <row r="234" spans="7:37" ht="24" customHeight="1">
      <c r="G234" s="188"/>
      <c r="AK234" s="151"/>
    </row>
    <row r="235" spans="7:37" ht="24" customHeight="1">
      <c r="G235" s="188"/>
      <c r="AK235" s="151"/>
    </row>
    <row r="236" spans="7:37" ht="24" customHeight="1">
      <c r="G236" s="188"/>
      <c r="AK236" s="151"/>
    </row>
    <row r="237" spans="7:37" ht="24" customHeight="1">
      <c r="G237" s="188"/>
      <c r="AK237" s="151"/>
    </row>
    <row r="238" spans="7:37" ht="24" customHeight="1">
      <c r="G238" s="188"/>
      <c r="AK238" s="151"/>
    </row>
    <row r="239" spans="7:37" ht="24" customHeight="1">
      <c r="G239" s="188"/>
      <c r="AK239" s="151"/>
    </row>
    <row r="240" spans="7:37" ht="24" customHeight="1">
      <c r="G240" s="188"/>
      <c r="AK240" s="151"/>
    </row>
    <row r="241" spans="7:37" ht="24" customHeight="1">
      <c r="G241" s="188"/>
      <c r="AK241" s="151"/>
    </row>
    <row r="242" spans="7:37" ht="24" customHeight="1">
      <c r="G242" s="188"/>
      <c r="AK242" s="151"/>
    </row>
    <row r="243" spans="7:37" ht="24" customHeight="1">
      <c r="G243" s="188"/>
      <c r="AK243" s="151"/>
    </row>
    <row r="244" spans="7:37" ht="24" customHeight="1">
      <c r="G244" s="188"/>
      <c r="AK244" s="151"/>
    </row>
    <row r="245" spans="7:37" ht="24" customHeight="1">
      <c r="G245" s="188"/>
      <c r="AK245" s="151"/>
    </row>
    <row r="246" spans="7:37" ht="24" customHeight="1">
      <c r="G246" s="188"/>
      <c r="AK246" s="151"/>
    </row>
    <row r="247" spans="7:37" ht="24" customHeight="1">
      <c r="G247" s="188"/>
      <c r="AK247" s="151"/>
    </row>
    <row r="248" spans="7:37" ht="24" customHeight="1">
      <c r="G248" s="188"/>
      <c r="AK248" s="151"/>
    </row>
    <row r="249" spans="7:37" ht="24" customHeight="1">
      <c r="G249" s="188"/>
      <c r="AK249" s="151"/>
    </row>
    <row r="250" spans="7:37" ht="24" customHeight="1">
      <c r="G250" s="188"/>
      <c r="AK250" s="151"/>
    </row>
    <row r="251" spans="7:37" ht="24" customHeight="1">
      <c r="G251" s="188"/>
      <c r="AK251" s="151"/>
    </row>
    <row r="252" spans="7:37" ht="24" customHeight="1">
      <c r="G252" s="188"/>
      <c r="AK252" s="151"/>
    </row>
    <row r="253" spans="7:37" ht="24" customHeight="1">
      <c r="G253" s="188"/>
      <c r="AK253" s="151"/>
    </row>
    <row r="254" spans="7:37" ht="24" customHeight="1">
      <c r="G254" s="188"/>
      <c r="AK254" s="151"/>
    </row>
    <row r="255" spans="7:37" ht="24" customHeight="1">
      <c r="G255" s="188"/>
      <c r="AK255" s="151"/>
    </row>
    <row r="256" spans="7:37" ht="24" customHeight="1">
      <c r="G256" s="188"/>
      <c r="AK256" s="151"/>
    </row>
    <row r="257" spans="7:37" ht="24" customHeight="1">
      <c r="G257" s="188"/>
      <c r="AK257" s="151"/>
    </row>
    <row r="258" spans="7:37" ht="24" customHeight="1">
      <c r="G258" s="188"/>
      <c r="AK258" s="151"/>
    </row>
    <row r="259" spans="7:37" ht="24" customHeight="1">
      <c r="G259" s="188"/>
      <c r="AK259" s="151"/>
    </row>
    <row r="260" spans="7:37" ht="24" customHeight="1">
      <c r="G260" s="188"/>
      <c r="AK260" s="151"/>
    </row>
    <row r="261" spans="7:37" ht="24" customHeight="1">
      <c r="G261" s="188"/>
      <c r="AK261" s="151"/>
    </row>
    <row r="262" spans="7:37" ht="24" customHeight="1">
      <c r="G262" s="188"/>
      <c r="AK262" s="151"/>
    </row>
    <row r="263" spans="7:37" ht="24" customHeight="1">
      <c r="G263" s="188"/>
      <c r="AK263" s="151"/>
    </row>
    <row r="264" spans="7:37" ht="24" customHeight="1">
      <c r="G264" s="188"/>
      <c r="AK264" s="151"/>
    </row>
    <row r="265" spans="7:37" ht="24" customHeight="1">
      <c r="G265" s="188"/>
      <c r="AK265" s="151"/>
    </row>
    <row r="266" spans="7:37" ht="24" customHeight="1">
      <c r="G266" s="188"/>
      <c r="AK266" s="151"/>
    </row>
    <row r="267" spans="7:37" ht="24" customHeight="1">
      <c r="G267" s="188"/>
      <c r="AK267" s="151"/>
    </row>
    <row r="268" spans="7:37" ht="24" customHeight="1">
      <c r="G268" s="188"/>
      <c r="AK268" s="151"/>
    </row>
    <row r="269" spans="7:37" ht="24" customHeight="1">
      <c r="G269" s="188"/>
      <c r="AK269" s="151"/>
    </row>
    <row r="270" spans="7:37" ht="24" customHeight="1">
      <c r="G270" s="188"/>
      <c r="AK270" s="151"/>
    </row>
    <row r="271" spans="7:37" ht="24" customHeight="1">
      <c r="G271" s="188"/>
      <c r="AK271" s="151"/>
    </row>
    <row r="272" spans="7:37" ht="24" customHeight="1">
      <c r="G272" s="188"/>
      <c r="AK272" s="151"/>
    </row>
    <row r="273" spans="7:37" ht="24" customHeight="1">
      <c r="G273" s="188"/>
      <c r="AK273" s="151"/>
    </row>
    <row r="274" spans="7:37" ht="24" customHeight="1">
      <c r="G274" s="188"/>
      <c r="AK274" s="151"/>
    </row>
    <row r="275" spans="7:37" ht="24" customHeight="1">
      <c r="G275" s="188"/>
      <c r="AK275" s="151"/>
    </row>
    <row r="276" spans="7:37" ht="24" customHeight="1">
      <c r="G276" s="188"/>
      <c r="AK276" s="151"/>
    </row>
    <row r="277" spans="7:37" ht="24" customHeight="1">
      <c r="G277" s="188"/>
      <c r="AK277" s="151"/>
    </row>
    <row r="278" spans="7:37" ht="24" customHeight="1">
      <c r="G278" s="188"/>
      <c r="AK278" s="151"/>
    </row>
    <row r="279" spans="7:37" ht="24" customHeight="1">
      <c r="G279" s="188"/>
      <c r="AK279" s="151"/>
    </row>
    <row r="280" spans="7:37" ht="24" customHeight="1">
      <c r="G280" s="188"/>
      <c r="AK280" s="151"/>
    </row>
    <row r="281" spans="7:37" ht="24" customHeight="1">
      <c r="G281" s="188"/>
      <c r="AK281" s="151"/>
    </row>
    <row r="282" spans="7:37" ht="24" customHeight="1">
      <c r="G282" s="188"/>
      <c r="AK282" s="151"/>
    </row>
    <row r="283" spans="7:37" ht="24" customHeight="1">
      <c r="G283" s="188"/>
      <c r="AK283" s="151"/>
    </row>
    <row r="284" spans="7:37" ht="24" customHeight="1">
      <c r="G284" s="188"/>
      <c r="AK284" s="151"/>
    </row>
    <row r="285" spans="7:37" ht="24" customHeight="1">
      <c r="G285" s="188"/>
      <c r="AK285" s="151"/>
    </row>
    <row r="286" spans="7:37" ht="24" customHeight="1">
      <c r="G286" s="188"/>
      <c r="AK286" s="151"/>
    </row>
    <row r="287" spans="7:37" ht="24" customHeight="1">
      <c r="G287" s="188"/>
      <c r="AK287" s="151"/>
    </row>
    <row r="288" spans="7:37" ht="24" customHeight="1">
      <c r="G288" s="188"/>
      <c r="AK288" s="151"/>
    </row>
    <row r="289" spans="7:37" ht="24" customHeight="1">
      <c r="G289" s="188"/>
      <c r="AK289" s="151"/>
    </row>
    <row r="290" spans="7:37" ht="24" customHeight="1">
      <c r="G290" s="188"/>
      <c r="AK290" s="151"/>
    </row>
    <row r="291" spans="7:37" ht="24" customHeight="1">
      <c r="G291" s="188"/>
      <c r="AK291" s="151"/>
    </row>
    <row r="292" spans="7:37" ht="24" customHeight="1">
      <c r="G292" s="188"/>
      <c r="AK292" s="151"/>
    </row>
    <row r="293" spans="7:37" ht="24" customHeight="1">
      <c r="G293" s="188"/>
      <c r="AK293" s="151"/>
    </row>
    <row r="294" spans="7:37" ht="24" customHeight="1">
      <c r="G294" s="188"/>
      <c r="AK294" s="151"/>
    </row>
    <row r="295" spans="7:37" ht="24" customHeight="1">
      <c r="G295" s="188"/>
      <c r="AK295" s="151"/>
    </row>
    <row r="296" spans="7:37" ht="24" customHeight="1">
      <c r="G296" s="188"/>
      <c r="AK296" s="151"/>
    </row>
    <row r="297" spans="7:37" ht="24" customHeight="1">
      <c r="G297" s="188"/>
      <c r="AK297" s="151"/>
    </row>
    <row r="298" spans="7:37" ht="24" customHeight="1">
      <c r="G298" s="188"/>
      <c r="AK298" s="151"/>
    </row>
    <row r="299" spans="7:37" ht="24" customHeight="1">
      <c r="G299" s="188"/>
      <c r="AK299" s="151"/>
    </row>
    <row r="300" spans="7:37" ht="24" customHeight="1">
      <c r="G300" s="188"/>
      <c r="AK300" s="151"/>
    </row>
    <row r="301" spans="7:37" ht="24" customHeight="1">
      <c r="G301" s="188"/>
      <c r="AK301" s="151"/>
    </row>
    <row r="302" spans="7:37" ht="24" customHeight="1">
      <c r="G302" s="188"/>
      <c r="AK302" s="151"/>
    </row>
    <row r="303" spans="7:37" ht="24" customHeight="1">
      <c r="G303" s="188"/>
      <c r="AK303" s="151"/>
    </row>
    <row r="304" spans="7:37" ht="24" customHeight="1">
      <c r="G304" s="188"/>
      <c r="AK304" s="151"/>
    </row>
    <row r="305" spans="7:37" ht="24" customHeight="1">
      <c r="G305" s="188"/>
      <c r="AK305" s="151"/>
    </row>
    <row r="306" spans="7:37" ht="24" customHeight="1">
      <c r="G306" s="188"/>
      <c r="AK306" s="151"/>
    </row>
    <row r="307" spans="7:37" ht="24" customHeight="1">
      <c r="G307" s="188"/>
      <c r="AK307" s="151"/>
    </row>
    <row r="308" spans="7:37" ht="24" customHeight="1">
      <c r="G308" s="188"/>
      <c r="AK308" s="151"/>
    </row>
    <row r="309" spans="7:37" ht="24" customHeight="1">
      <c r="G309" s="188"/>
      <c r="AK309" s="151"/>
    </row>
    <row r="310" spans="7:37" ht="24" customHeight="1">
      <c r="G310" s="188"/>
      <c r="AK310" s="151"/>
    </row>
    <row r="311" spans="7:37" ht="24" customHeight="1">
      <c r="G311" s="188"/>
      <c r="AK311" s="151"/>
    </row>
    <row r="312" spans="7:37" ht="24" customHeight="1">
      <c r="G312" s="188"/>
      <c r="AK312" s="151"/>
    </row>
    <row r="313" spans="7:37" ht="24" customHeight="1">
      <c r="G313" s="188"/>
      <c r="AK313" s="151"/>
    </row>
    <row r="314" spans="7:37" ht="24" customHeight="1">
      <c r="G314" s="188"/>
      <c r="AK314" s="151"/>
    </row>
    <row r="315" spans="7:37" ht="24" customHeight="1">
      <c r="G315" s="188"/>
      <c r="AK315" s="151"/>
    </row>
    <row r="316" spans="7:37" ht="24" customHeight="1">
      <c r="G316" s="188"/>
      <c r="AK316" s="151"/>
    </row>
    <row r="317" spans="7:37" ht="24" customHeight="1">
      <c r="G317" s="188"/>
      <c r="AK317" s="151"/>
    </row>
    <row r="318" spans="7:37" ht="24" customHeight="1">
      <c r="G318" s="188"/>
      <c r="H318" s="206"/>
      <c r="I318" s="206"/>
      <c r="J318" s="206"/>
      <c r="K318" s="206"/>
      <c r="L318" s="206"/>
      <c r="M318" s="206"/>
      <c r="AK318" s="151"/>
    </row>
    <row r="319" spans="7:37" ht="24" customHeight="1">
      <c r="G319" s="188"/>
      <c r="AK319" s="151"/>
    </row>
    <row r="320" spans="7:37" ht="24" customHeight="1">
      <c r="G320" s="188"/>
      <c r="AK320" s="151"/>
    </row>
    <row r="321" spans="7:37" ht="24" customHeight="1">
      <c r="G321" s="188"/>
      <c r="AK321" s="151"/>
    </row>
    <row r="322" spans="7:37" ht="24" customHeight="1">
      <c r="G322" s="188"/>
      <c r="AK322" s="151"/>
    </row>
    <row r="323" spans="7:37" ht="24" customHeight="1">
      <c r="G323" s="188"/>
      <c r="AK323" s="151"/>
    </row>
    <row r="324" spans="7:37" ht="24" customHeight="1">
      <c r="G324" s="188"/>
      <c r="AK324" s="151"/>
    </row>
    <row r="325" spans="7:37" ht="24" customHeight="1">
      <c r="G325" s="188"/>
      <c r="AK325" s="151"/>
    </row>
    <row r="326" spans="7:37" ht="24" customHeight="1">
      <c r="G326" s="188"/>
      <c r="AK326" s="151"/>
    </row>
    <row r="327" spans="7:37" ht="24" customHeight="1">
      <c r="G327" s="188"/>
    </row>
    <row r="328" spans="7:37" ht="24" customHeight="1">
      <c r="G328" s="188"/>
      <c r="AK328" s="151"/>
    </row>
    <row r="329" spans="7:37" ht="24" customHeight="1">
      <c r="G329" s="188"/>
      <c r="AK329" s="151"/>
    </row>
    <row r="330" spans="7:37" ht="24" customHeight="1">
      <c r="G330" s="188"/>
      <c r="AK330" s="151"/>
    </row>
    <row r="331" spans="7:37" ht="24" customHeight="1">
      <c r="G331" s="188"/>
      <c r="AK331" s="151"/>
    </row>
    <row r="332" spans="7:37" ht="24" customHeight="1">
      <c r="G332" s="188"/>
      <c r="AK332" s="151"/>
    </row>
    <row r="333" spans="7:37" ht="24" customHeight="1">
      <c r="G333" s="188"/>
      <c r="AK333" s="151"/>
    </row>
    <row r="334" spans="7:37" ht="24" customHeight="1">
      <c r="G334" s="188"/>
      <c r="AK334" s="151"/>
    </row>
    <row r="335" spans="7:37" ht="24" customHeight="1">
      <c r="G335" s="188"/>
      <c r="AK335" s="151"/>
    </row>
    <row r="336" spans="7:37" ht="24" customHeight="1">
      <c r="G336" s="188"/>
      <c r="AK336" s="151"/>
    </row>
    <row r="337" spans="7:37" ht="24" customHeight="1">
      <c r="G337" s="188"/>
      <c r="AK337" s="151"/>
    </row>
    <row r="338" spans="7:37" ht="24" customHeight="1">
      <c r="G338" s="188"/>
      <c r="AK338" s="151"/>
    </row>
    <row r="339" spans="7:37" ht="24" customHeight="1">
      <c r="G339" s="188"/>
      <c r="AK339" s="151"/>
    </row>
    <row r="340" spans="7:37" ht="24" customHeight="1">
      <c r="G340" s="188"/>
      <c r="AK340" s="151"/>
    </row>
    <row r="341" spans="7:37" ht="24" customHeight="1">
      <c r="G341" s="188"/>
      <c r="AK341" s="151"/>
    </row>
    <row r="342" spans="7:37" ht="24" customHeight="1">
      <c r="G342" s="188"/>
    </row>
    <row r="343" spans="7:37" ht="24" customHeight="1">
      <c r="G343" s="188"/>
    </row>
    <row r="344" spans="7:37" ht="24" customHeight="1">
      <c r="G344" s="188"/>
    </row>
    <row r="345" spans="7:37" ht="24" customHeight="1">
      <c r="G345" s="188"/>
    </row>
    <row r="346" spans="7:37" ht="24" customHeight="1">
      <c r="G346" s="188"/>
    </row>
    <row r="347" spans="7:37" ht="24" customHeight="1">
      <c r="G347" s="188"/>
    </row>
    <row r="348" spans="7:37" ht="24" customHeight="1">
      <c r="G348" s="188"/>
    </row>
    <row r="349" spans="7:37" ht="24" customHeight="1">
      <c r="G349" s="188"/>
    </row>
    <row r="350" spans="7:37" ht="24" customHeight="1">
      <c r="G350" s="188"/>
    </row>
    <row r="351" spans="7:37" ht="24" customHeight="1">
      <c r="G351" s="188"/>
    </row>
    <row r="352" spans="7:37" ht="24" customHeight="1">
      <c r="G352" s="188"/>
    </row>
    <row r="353" spans="7:7" ht="24" customHeight="1">
      <c r="G353" s="188"/>
    </row>
    <row r="354" spans="7:7" ht="24" customHeight="1">
      <c r="G354" s="188"/>
    </row>
    <row r="355" spans="7:7" ht="24" customHeight="1">
      <c r="G355" s="188"/>
    </row>
    <row r="356" spans="7:7" ht="24" customHeight="1">
      <c r="G356" s="188"/>
    </row>
    <row r="357" spans="7:7" ht="24" customHeight="1">
      <c r="G357" s="188"/>
    </row>
    <row r="358" spans="7:7" ht="24" customHeight="1">
      <c r="G358" s="188"/>
    </row>
    <row r="359" spans="7:7" ht="24" customHeight="1">
      <c r="G359" s="188"/>
    </row>
    <row r="360" spans="7:7" ht="24" customHeight="1">
      <c r="G360" s="188"/>
    </row>
    <row r="361" spans="7:7" ht="24" customHeight="1">
      <c r="G361" s="188"/>
    </row>
    <row r="362" spans="7:7" ht="24" customHeight="1">
      <c r="G362" s="188"/>
    </row>
    <row r="363" spans="7:7" ht="24" customHeight="1">
      <c r="G363" s="188"/>
    </row>
    <row r="364" spans="7:7" ht="24" customHeight="1">
      <c r="G364" s="188"/>
    </row>
    <row r="365" spans="7:7" ht="24" customHeight="1">
      <c r="G365" s="188"/>
    </row>
    <row r="366" spans="7:7" ht="24" customHeight="1">
      <c r="G366" s="188"/>
    </row>
    <row r="367" spans="7:7" ht="24" customHeight="1">
      <c r="G367" s="188"/>
    </row>
    <row r="368" spans="7:7" ht="24" customHeight="1">
      <c r="G368" s="188"/>
    </row>
    <row r="369" spans="7:7" ht="24" customHeight="1">
      <c r="G369" s="188"/>
    </row>
    <row r="370" spans="7:7" ht="24" customHeight="1">
      <c r="G370" s="188"/>
    </row>
    <row r="371" spans="7:7" ht="24" customHeight="1">
      <c r="G371" s="188"/>
    </row>
    <row r="372" spans="7:7" ht="24" customHeight="1">
      <c r="G372" s="188"/>
    </row>
    <row r="373" spans="7:7" ht="24" customHeight="1">
      <c r="G373" s="188"/>
    </row>
    <row r="374" spans="7:7" ht="24" customHeight="1">
      <c r="G374" s="188"/>
    </row>
    <row r="375" spans="7:7" ht="24" customHeight="1">
      <c r="G375" s="188"/>
    </row>
    <row r="376" spans="7:7" ht="24" customHeight="1">
      <c r="G376" s="188"/>
    </row>
    <row r="377" spans="7:7" ht="24" customHeight="1">
      <c r="G377" s="188"/>
    </row>
    <row r="378" spans="7:7" ht="24" customHeight="1">
      <c r="G378" s="188"/>
    </row>
    <row r="379" spans="7:7" ht="24" customHeight="1">
      <c r="G379" s="188"/>
    </row>
    <row r="380" spans="7:7" ht="24" customHeight="1">
      <c r="G380" s="188"/>
    </row>
    <row r="381" spans="7:7" ht="24" customHeight="1">
      <c r="G381" s="188"/>
    </row>
    <row r="382" spans="7:7" ht="24" customHeight="1">
      <c r="G382" s="188"/>
    </row>
    <row r="383" spans="7:7" ht="24" customHeight="1">
      <c r="G383" s="188"/>
    </row>
    <row r="384" spans="7:7" ht="24" customHeight="1">
      <c r="G384" s="188"/>
    </row>
    <row r="385" spans="7:7" ht="24" customHeight="1">
      <c r="G385" s="188"/>
    </row>
    <row r="386" spans="7:7" ht="24" customHeight="1">
      <c r="G386" s="188"/>
    </row>
    <row r="387" spans="7:7" ht="24" customHeight="1">
      <c r="G387" s="188"/>
    </row>
    <row r="388" spans="7:7" ht="24" customHeight="1">
      <c r="G388" s="188"/>
    </row>
    <row r="389" spans="7:7" ht="24" customHeight="1">
      <c r="G389" s="188"/>
    </row>
    <row r="390" spans="7:7" ht="24" customHeight="1">
      <c r="G390" s="188"/>
    </row>
    <row r="391" spans="7:7" ht="24" customHeight="1">
      <c r="G391" s="188"/>
    </row>
    <row r="392" spans="7:7" ht="24" customHeight="1">
      <c r="G392" s="188"/>
    </row>
    <row r="393" spans="7:7" ht="24" customHeight="1">
      <c r="G393" s="188"/>
    </row>
    <row r="394" spans="7:7" ht="24" customHeight="1">
      <c r="G394" s="188"/>
    </row>
    <row r="395" spans="7:7" ht="24" customHeight="1">
      <c r="G395" s="188"/>
    </row>
    <row r="396" spans="7:7" ht="24" customHeight="1">
      <c r="G396" s="188"/>
    </row>
    <row r="397" spans="7:7" ht="24" customHeight="1">
      <c r="G397" s="188"/>
    </row>
    <row r="398" spans="7:7" ht="24" customHeight="1">
      <c r="G398" s="188"/>
    </row>
    <row r="399" spans="7:7" ht="24" customHeight="1">
      <c r="G399" s="188"/>
    </row>
    <row r="400" spans="7:7" ht="24" customHeight="1">
      <c r="G400" s="188"/>
    </row>
    <row r="401" spans="7:7" ht="24" customHeight="1">
      <c r="G401" s="188"/>
    </row>
    <row r="402" spans="7:7" ht="24" customHeight="1">
      <c r="G402" s="188"/>
    </row>
    <row r="403" spans="7:7" ht="24" customHeight="1">
      <c r="G403" s="188"/>
    </row>
    <row r="404" spans="7:7" ht="24" customHeight="1">
      <c r="G404" s="188"/>
    </row>
    <row r="405" spans="7:7" ht="24" customHeight="1">
      <c r="G405" s="188"/>
    </row>
    <row r="406" spans="7:7" ht="24" customHeight="1">
      <c r="G406" s="188"/>
    </row>
    <row r="407" spans="7:7" ht="24" customHeight="1">
      <c r="G407" s="188"/>
    </row>
    <row r="408" spans="7:7" ht="24" customHeight="1">
      <c r="G408" s="188"/>
    </row>
    <row r="409" spans="7:7" ht="24" customHeight="1">
      <c r="G409" s="188"/>
    </row>
    <row r="410" spans="7:7" ht="24" customHeight="1">
      <c r="G410" s="188"/>
    </row>
    <row r="411" spans="7:7" ht="24" customHeight="1">
      <c r="G411" s="188"/>
    </row>
    <row r="412" spans="7:7" ht="24" customHeight="1">
      <c r="G412" s="188"/>
    </row>
    <row r="413" spans="7:7" ht="24" customHeight="1">
      <c r="G413" s="188"/>
    </row>
    <row r="414" spans="7:7" ht="24" customHeight="1">
      <c r="G414" s="188"/>
    </row>
    <row r="415" spans="7:7" ht="24" customHeight="1">
      <c r="G415" s="188"/>
    </row>
    <row r="416" spans="7:7" ht="24" customHeight="1">
      <c r="G416" s="188"/>
    </row>
    <row r="417" spans="7:7" ht="24" customHeight="1">
      <c r="G417" s="188"/>
    </row>
    <row r="418" spans="7:7" ht="24" customHeight="1">
      <c r="G418" s="188"/>
    </row>
    <row r="419" spans="7:7" ht="24" customHeight="1">
      <c r="G419" s="188"/>
    </row>
    <row r="420" spans="7:7" ht="24" customHeight="1">
      <c r="G420" s="188"/>
    </row>
    <row r="421" spans="7:7" ht="24" customHeight="1">
      <c r="G421" s="188"/>
    </row>
    <row r="422" spans="7:7" ht="24" customHeight="1">
      <c r="G422" s="188"/>
    </row>
    <row r="423" spans="7:7" ht="24" customHeight="1">
      <c r="G423" s="188"/>
    </row>
    <row r="424" spans="7:7" ht="24" customHeight="1">
      <c r="G424" s="188"/>
    </row>
    <row r="425" spans="7:7" ht="24" customHeight="1">
      <c r="G425" s="188"/>
    </row>
    <row r="426" spans="7:7" ht="24" customHeight="1">
      <c r="G426" s="188"/>
    </row>
    <row r="427" spans="7:7" ht="24" customHeight="1">
      <c r="G427" s="188"/>
    </row>
    <row r="428" spans="7:7" ht="24" customHeight="1">
      <c r="G428" s="188"/>
    </row>
    <row r="429" spans="7:7" ht="24" customHeight="1">
      <c r="G429" s="188"/>
    </row>
    <row r="430" spans="7:7" ht="24" customHeight="1">
      <c r="G430" s="188"/>
    </row>
    <row r="431" spans="7:7" ht="24" customHeight="1">
      <c r="G431" s="188"/>
    </row>
    <row r="432" spans="7:7" ht="24" customHeight="1">
      <c r="G432" s="188"/>
    </row>
    <row r="433" spans="7:7" ht="24" customHeight="1">
      <c r="G433" s="188"/>
    </row>
    <row r="434" spans="7:7" ht="24" customHeight="1">
      <c r="G434" s="188"/>
    </row>
    <row r="435" spans="7:7" ht="24" customHeight="1">
      <c r="G435" s="188"/>
    </row>
    <row r="436" spans="7:7" ht="24" customHeight="1">
      <c r="G436" s="188"/>
    </row>
    <row r="437" spans="7:7" ht="24" customHeight="1">
      <c r="G437" s="188"/>
    </row>
    <row r="438" spans="7:7" ht="24" customHeight="1">
      <c r="G438" s="188"/>
    </row>
    <row r="439" spans="7:7" ht="24" customHeight="1">
      <c r="G439" s="188"/>
    </row>
    <row r="440" spans="7:7" ht="24" customHeight="1">
      <c r="G440" s="188"/>
    </row>
    <row r="441" spans="7:7" ht="24" customHeight="1">
      <c r="G441" s="188"/>
    </row>
    <row r="442" spans="7:7" ht="24" customHeight="1">
      <c r="G442" s="188"/>
    </row>
    <row r="443" spans="7:7" ht="24" customHeight="1">
      <c r="G443" s="188"/>
    </row>
    <row r="444" spans="7:7" ht="24" customHeight="1">
      <c r="G444" s="188"/>
    </row>
    <row r="445" spans="7:7" ht="24" customHeight="1">
      <c r="G445" s="188"/>
    </row>
    <row r="446" spans="7:7" ht="24" customHeight="1">
      <c r="G446" s="188"/>
    </row>
    <row r="447" spans="7:7" ht="24" customHeight="1">
      <c r="G447" s="188"/>
    </row>
    <row r="448" spans="7:7" ht="24" customHeight="1">
      <c r="G448" s="188"/>
    </row>
    <row r="449" spans="7:7" ht="24" customHeight="1">
      <c r="G449" s="188"/>
    </row>
    <row r="450" spans="7:7" ht="24" customHeight="1">
      <c r="G450" s="188"/>
    </row>
    <row r="451" spans="7:7" ht="24" customHeight="1">
      <c r="G451" s="188"/>
    </row>
    <row r="452" spans="7:7" ht="24" customHeight="1">
      <c r="G452" s="188"/>
    </row>
    <row r="453" spans="7:7" ht="24" customHeight="1">
      <c r="G453" s="188"/>
    </row>
    <row r="454" spans="7:7" ht="24" customHeight="1">
      <c r="G454" s="188"/>
    </row>
    <row r="455" spans="7:7" ht="24" customHeight="1">
      <c r="G455" s="188"/>
    </row>
    <row r="456" spans="7:7" ht="24" customHeight="1">
      <c r="G456" s="188"/>
    </row>
    <row r="457" spans="7:7" ht="24" customHeight="1">
      <c r="G457" s="188"/>
    </row>
    <row r="458" spans="7:7" ht="24" customHeight="1">
      <c r="G458" s="188"/>
    </row>
    <row r="459" spans="7:7" ht="24" customHeight="1">
      <c r="G459" s="188"/>
    </row>
    <row r="460" spans="7:7" ht="24" customHeight="1">
      <c r="G460" s="188"/>
    </row>
    <row r="461" spans="7:7" ht="24" customHeight="1">
      <c r="G461" s="188"/>
    </row>
    <row r="462" spans="7:7" ht="24" customHeight="1">
      <c r="G462" s="188"/>
    </row>
    <row r="463" spans="7:7" ht="24" customHeight="1">
      <c r="G463" s="188"/>
    </row>
    <row r="464" spans="7:7" ht="24" customHeight="1">
      <c r="G464" s="188"/>
    </row>
    <row r="465" spans="7:7" ht="24" customHeight="1">
      <c r="G465" s="188"/>
    </row>
    <row r="466" spans="7:7" ht="24" customHeight="1">
      <c r="G466" s="188"/>
    </row>
    <row r="467" spans="7:7" ht="24" customHeight="1">
      <c r="G467" s="188"/>
    </row>
    <row r="468" spans="7:7" ht="24" customHeight="1">
      <c r="G468" s="188"/>
    </row>
    <row r="469" spans="7:7" ht="24" customHeight="1">
      <c r="G469" s="188"/>
    </row>
    <row r="470" spans="7:7" ht="24" customHeight="1">
      <c r="G470" s="188"/>
    </row>
    <row r="471" spans="7:7" ht="24" customHeight="1">
      <c r="G471" s="188"/>
    </row>
    <row r="472" spans="7:7" ht="24" customHeight="1">
      <c r="G472" s="188"/>
    </row>
    <row r="473" spans="7:7" ht="24" customHeight="1">
      <c r="G473" s="188"/>
    </row>
    <row r="474" spans="7:7" ht="24" customHeight="1">
      <c r="G474" s="188"/>
    </row>
    <row r="475" spans="7:7" ht="24" customHeight="1">
      <c r="G475" s="188"/>
    </row>
    <row r="476" spans="7:7" ht="24" customHeight="1">
      <c r="G476" s="188"/>
    </row>
    <row r="477" spans="7:7" ht="24" customHeight="1">
      <c r="G477" s="188"/>
    </row>
    <row r="478" spans="7:7" ht="24" customHeight="1">
      <c r="G478" s="188"/>
    </row>
    <row r="479" spans="7:7" ht="24" customHeight="1">
      <c r="G479" s="188"/>
    </row>
    <row r="480" spans="7:7" ht="24" customHeight="1">
      <c r="G480" s="188"/>
    </row>
    <row r="481" spans="7:7" ht="24" customHeight="1">
      <c r="G481" s="188"/>
    </row>
    <row r="482" spans="7:7" ht="24" customHeight="1">
      <c r="G482" s="188"/>
    </row>
    <row r="483" spans="7:7" ht="24" customHeight="1">
      <c r="G483" s="188"/>
    </row>
    <row r="484" spans="7:7" ht="24" customHeight="1">
      <c r="G484" s="188"/>
    </row>
    <row r="485" spans="7:7" ht="24" customHeight="1">
      <c r="G485" s="188"/>
    </row>
    <row r="486" spans="7:7" ht="24" customHeight="1">
      <c r="G486" s="188"/>
    </row>
    <row r="487" spans="7:7" ht="24" customHeight="1">
      <c r="G487" s="188"/>
    </row>
    <row r="488" spans="7:7" ht="24" customHeight="1">
      <c r="G488" s="188"/>
    </row>
    <row r="489" spans="7:7" ht="24" customHeight="1">
      <c r="G489" s="188"/>
    </row>
    <row r="490" spans="7:7" ht="24" customHeight="1">
      <c r="G490" s="188"/>
    </row>
    <row r="491" spans="7:7" ht="24" customHeight="1">
      <c r="G491" s="188"/>
    </row>
    <row r="492" spans="7:7" ht="23.25">
      <c r="G492" s="188"/>
    </row>
    <row r="493" spans="7:7" ht="23.25">
      <c r="G493" s="188"/>
    </row>
    <row r="494" spans="7:7" ht="23.25">
      <c r="G494" s="188"/>
    </row>
    <row r="495" spans="7:7" ht="24" customHeight="1">
      <c r="G495" s="188"/>
    </row>
    <row r="496" spans="7:7" ht="24" customHeight="1">
      <c r="G496" s="188"/>
    </row>
    <row r="497" spans="7:7" ht="24" customHeight="1">
      <c r="G497" s="188"/>
    </row>
    <row r="498" spans="7:7" ht="24" customHeight="1">
      <c r="G498" s="188"/>
    </row>
    <row r="499" spans="7:7" ht="24" customHeight="1">
      <c r="G499" s="188"/>
    </row>
    <row r="500" spans="7:7" ht="24" customHeight="1">
      <c r="G500" s="188"/>
    </row>
    <row r="501" spans="7:7" ht="24" customHeight="1">
      <c r="G501" s="188"/>
    </row>
    <row r="502" spans="7:7" ht="24" customHeight="1">
      <c r="G502" s="188"/>
    </row>
    <row r="503" spans="7:7" ht="24" customHeight="1">
      <c r="G503" s="188"/>
    </row>
    <row r="504" spans="7:7" ht="24" customHeight="1">
      <c r="G504" s="188"/>
    </row>
    <row r="505" spans="7:7" ht="24" customHeight="1">
      <c r="G505" s="188"/>
    </row>
    <row r="506" spans="7:7" ht="24" customHeight="1">
      <c r="G506" s="188"/>
    </row>
    <row r="507" spans="7:7" ht="24" customHeight="1">
      <c r="G507" s="188"/>
    </row>
    <row r="508" spans="7:7" ht="24" customHeight="1">
      <c r="G508" s="188"/>
    </row>
    <row r="509" spans="7:7" ht="24" customHeight="1">
      <c r="G509" s="188"/>
    </row>
    <row r="510" spans="7:7" ht="24" customHeight="1">
      <c r="G510" s="188"/>
    </row>
    <row r="511" spans="7:7" ht="24" customHeight="1">
      <c r="G511" s="188"/>
    </row>
    <row r="512" spans="7:7" ht="24" customHeight="1">
      <c r="G512" s="188"/>
    </row>
    <row r="513" spans="7:7" ht="24" customHeight="1">
      <c r="G513" s="188"/>
    </row>
    <row r="514" spans="7:7" ht="24" customHeight="1">
      <c r="G514" s="188"/>
    </row>
    <row r="515" spans="7:7" ht="24" customHeight="1">
      <c r="G515" s="188"/>
    </row>
    <row r="516" spans="7:7" ht="24" customHeight="1">
      <c r="G516" s="188"/>
    </row>
    <row r="517" spans="7:7" ht="24" customHeight="1">
      <c r="G517" s="188"/>
    </row>
    <row r="518" spans="7:7" ht="24" customHeight="1">
      <c r="G518" s="188"/>
    </row>
    <row r="519" spans="7:7" ht="24" customHeight="1">
      <c r="G519" s="188"/>
    </row>
    <row r="520" spans="7:7" ht="24" customHeight="1">
      <c r="G520" s="188"/>
    </row>
    <row r="521" spans="7:7" ht="24" customHeight="1">
      <c r="G521" s="188"/>
    </row>
    <row r="522" spans="7:7" ht="24" customHeight="1">
      <c r="G522" s="188"/>
    </row>
    <row r="523" spans="7:7" ht="24" customHeight="1">
      <c r="G523" s="188"/>
    </row>
    <row r="524" spans="7:7" ht="24" customHeight="1">
      <c r="G524" s="188"/>
    </row>
    <row r="525" spans="7:7" ht="24" customHeight="1">
      <c r="G525" s="188"/>
    </row>
    <row r="526" spans="7:7" ht="24" customHeight="1">
      <c r="G526" s="188"/>
    </row>
    <row r="527" spans="7:7" ht="24" customHeight="1">
      <c r="G527" s="188"/>
    </row>
    <row r="528" spans="7:7" ht="24" customHeight="1">
      <c r="G528" s="188"/>
    </row>
    <row r="529" spans="7:7" ht="24" customHeight="1">
      <c r="G529" s="188"/>
    </row>
    <row r="530" spans="7:7" ht="24" customHeight="1">
      <c r="G530" s="188"/>
    </row>
    <row r="531" spans="7:7" ht="24" customHeight="1">
      <c r="G531" s="188"/>
    </row>
    <row r="532" spans="7:7" ht="24" customHeight="1">
      <c r="G532" s="188"/>
    </row>
    <row r="533" spans="7:7" ht="24" customHeight="1">
      <c r="G533" s="188"/>
    </row>
    <row r="534" spans="7:7" ht="24" customHeight="1">
      <c r="G534" s="188"/>
    </row>
    <row r="535" spans="7:7" ht="24" customHeight="1">
      <c r="G535" s="188"/>
    </row>
    <row r="536" spans="7:7" ht="24" customHeight="1">
      <c r="G536" s="188"/>
    </row>
    <row r="537" spans="7:7" ht="24" customHeight="1">
      <c r="G537" s="188"/>
    </row>
    <row r="538" spans="7:7" ht="24" customHeight="1">
      <c r="G538" s="188"/>
    </row>
    <row r="539" spans="7:7" ht="24" customHeight="1">
      <c r="G539" s="188"/>
    </row>
    <row r="540" spans="7:7" ht="24" customHeight="1">
      <c r="G540" s="188"/>
    </row>
    <row r="541" spans="7:7" ht="24" customHeight="1">
      <c r="G541" s="188"/>
    </row>
    <row r="542" spans="7:7" ht="24" customHeight="1">
      <c r="G542" s="188"/>
    </row>
    <row r="543" spans="7:7" ht="24" customHeight="1">
      <c r="G543" s="188"/>
    </row>
    <row r="544" spans="7:7" ht="24" customHeight="1">
      <c r="G544" s="188"/>
    </row>
    <row r="545" spans="7:7" ht="24" customHeight="1">
      <c r="G545" s="188"/>
    </row>
    <row r="546" spans="7:7" ht="24" customHeight="1">
      <c r="G546" s="188"/>
    </row>
    <row r="547" spans="7:7" ht="24" customHeight="1">
      <c r="G547" s="188"/>
    </row>
    <row r="548" spans="7:7" ht="24" customHeight="1">
      <c r="G548" s="188"/>
    </row>
    <row r="549" spans="7:7" ht="24" customHeight="1">
      <c r="G549" s="188"/>
    </row>
    <row r="550" spans="7:7" ht="24" customHeight="1">
      <c r="G550" s="188"/>
    </row>
    <row r="551" spans="7:7" ht="24" customHeight="1">
      <c r="G551" s="188"/>
    </row>
    <row r="552" spans="7:7" ht="24" customHeight="1">
      <c r="G552" s="188"/>
    </row>
    <row r="553" spans="7:7" ht="24" customHeight="1">
      <c r="G553" s="188"/>
    </row>
    <row r="554" spans="7:7" ht="24" customHeight="1">
      <c r="G554" s="188"/>
    </row>
    <row r="555" spans="7:7" ht="24" customHeight="1">
      <c r="G555" s="188"/>
    </row>
    <row r="556" spans="7:7" ht="24" customHeight="1">
      <c r="G556" s="188"/>
    </row>
    <row r="557" spans="7:7" ht="24" customHeight="1">
      <c r="G557" s="188"/>
    </row>
    <row r="558" spans="7:7" ht="24" customHeight="1">
      <c r="G558" s="188"/>
    </row>
    <row r="559" spans="7:7" ht="24" customHeight="1">
      <c r="G559" s="188"/>
    </row>
    <row r="560" spans="7:7" ht="24" customHeight="1">
      <c r="G560" s="188"/>
    </row>
    <row r="561" spans="7:7" ht="24" customHeight="1">
      <c r="G561" s="188"/>
    </row>
    <row r="562" spans="7:7" ht="24" customHeight="1">
      <c r="G562" s="188"/>
    </row>
    <row r="563" spans="7:7" ht="24" customHeight="1">
      <c r="G563" s="188"/>
    </row>
    <row r="564" spans="7:7" ht="24" customHeight="1">
      <c r="G564" s="188"/>
    </row>
    <row r="565" spans="7:7" ht="24" customHeight="1">
      <c r="G565" s="188"/>
    </row>
    <row r="566" spans="7:7" ht="24" customHeight="1">
      <c r="G566" s="188"/>
    </row>
    <row r="567" spans="7:7" ht="24" customHeight="1">
      <c r="G567" s="188"/>
    </row>
    <row r="568" spans="7:7" ht="24" customHeight="1">
      <c r="G568" s="188"/>
    </row>
    <row r="569" spans="7:7" ht="24" customHeight="1">
      <c r="G569" s="188"/>
    </row>
    <row r="570" spans="7:7" ht="24" customHeight="1">
      <c r="G570" s="188"/>
    </row>
    <row r="571" spans="7:7" ht="24" customHeight="1">
      <c r="G571" s="188"/>
    </row>
    <row r="572" spans="7:7" ht="24" customHeight="1">
      <c r="G572" s="188"/>
    </row>
    <row r="573" spans="7:7" ht="24" customHeight="1">
      <c r="G573" s="188"/>
    </row>
    <row r="574" spans="7:7" ht="24" customHeight="1">
      <c r="G574" s="188"/>
    </row>
    <row r="575" spans="7:7" ht="24" customHeight="1">
      <c r="G575" s="188"/>
    </row>
    <row r="576" spans="7:7" ht="24" customHeight="1">
      <c r="G576" s="188"/>
    </row>
    <row r="577" spans="7:7" ht="24" customHeight="1">
      <c r="G577" s="188"/>
    </row>
    <row r="578" spans="7:7" ht="24" customHeight="1">
      <c r="G578" s="188"/>
    </row>
    <row r="579" spans="7:7" ht="24" customHeight="1">
      <c r="G579" s="188"/>
    </row>
    <row r="580" spans="7:7" ht="24" customHeight="1">
      <c r="G580" s="188"/>
    </row>
    <row r="581" spans="7:7" ht="24" customHeight="1">
      <c r="G581" s="188"/>
    </row>
    <row r="582" spans="7:7" ht="24" customHeight="1">
      <c r="G582" s="188"/>
    </row>
    <row r="583" spans="7:7" ht="24" customHeight="1">
      <c r="G583" s="188"/>
    </row>
    <row r="584" spans="7:7" ht="24" customHeight="1">
      <c r="G584" s="188"/>
    </row>
    <row r="585" spans="7:7" ht="24" customHeight="1">
      <c r="G585" s="188"/>
    </row>
    <row r="586" spans="7:7" ht="24" customHeight="1">
      <c r="G586" s="188"/>
    </row>
    <row r="587" spans="7:7" ht="24" customHeight="1">
      <c r="G587" s="188"/>
    </row>
    <row r="588" spans="7:7" ht="24" customHeight="1">
      <c r="G588" s="188"/>
    </row>
    <row r="589" spans="7:7" ht="24" customHeight="1">
      <c r="G589" s="188"/>
    </row>
    <row r="590" spans="7:7" ht="24" customHeight="1">
      <c r="G590" s="188"/>
    </row>
    <row r="591" spans="7:7" ht="24" customHeight="1">
      <c r="G591" s="188"/>
    </row>
    <row r="592" spans="7:7" ht="24" customHeight="1">
      <c r="G592" s="188"/>
    </row>
    <row r="593" spans="7:7" ht="24" customHeight="1">
      <c r="G593" s="188"/>
    </row>
    <row r="594" spans="7:7" ht="24" customHeight="1">
      <c r="G594" s="188"/>
    </row>
    <row r="595" spans="7:7" ht="24" customHeight="1">
      <c r="G595" s="188"/>
    </row>
    <row r="596" spans="7:7" ht="24" customHeight="1">
      <c r="G596" s="188"/>
    </row>
    <row r="597" spans="7:7" ht="24" customHeight="1">
      <c r="G597" s="188"/>
    </row>
    <row r="598" spans="7:7" ht="24" customHeight="1">
      <c r="G598" s="188"/>
    </row>
    <row r="599" spans="7:7" ht="24" customHeight="1">
      <c r="G599" s="188"/>
    </row>
    <row r="600" spans="7:7" ht="24" customHeight="1">
      <c r="G600" s="188"/>
    </row>
    <row r="601" spans="7:7" ht="24" customHeight="1">
      <c r="G601" s="188"/>
    </row>
    <row r="602" spans="7:7" ht="24" customHeight="1">
      <c r="G602" s="188"/>
    </row>
    <row r="603" spans="7:7" ht="24" customHeight="1">
      <c r="G603" s="188"/>
    </row>
    <row r="604" spans="7:7" ht="24" customHeight="1">
      <c r="G604" s="188"/>
    </row>
    <row r="605" spans="7:7" ht="24" customHeight="1">
      <c r="G605" s="188"/>
    </row>
    <row r="606" spans="7:7" ht="24" customHeight="1">
      <c r="G606" s="188"/>
    </row>
    <row r="607" spans="7:7" ht="24" customHeight="1">
      <c r="G607" s="188"/>
    </row>
    <row r="608" spans="7:7" ht="24" customHeight="1">
      <c r="G608" s="188"/>
    </row>
    <row r="609" spans="7:7" ht="24" customHeight="1">
      <c r="G609" s="188"/>
    </row>
    <row r="610" spans="7:7" ht="24" customHeight="1">
      <c r="G610" s="188"/>
    </row>
    <row r="611" spans="7:7" ht="24" customHeight="1">
      <c r="G611" s="188"/>
    </row>
    <row r="612" spans="7:7" ht="24" customHeight="1">
      <c r="G612" s="188"/>
    </row>
    <row r="613" spans="7:7" ht="24" customHeight="1">
      <c r="G613" s="188"/>
    </row>
    <row r="614" spans="7:7" ht="24" customHeight="1">
      <c r="G614" s="188"/>
    </row>
    <row r="615" spans="7:7" ht="24" customHeight="1">
      <c r="G615" s="188"/>
    </row>
    <row r="616" spans="7:7" ht="24" customHeight="1">
      <c r="G616" s="188"/>
    </row>
    <row r="617" spans="7:7" ht="24" customHeight="1">
      <c r="G617" s="188"/>
    </row>
    <row r="618" spans="7:7" ht="24" customHeight="1">
      <c r="G618" s="188"/>
    </row>
    <row r="619" spans="7:7" ht="24" customHeight="1">
      <c r="G619" s="188"/>
    </row>
    <row r="620" spans="7:7" ht="24" customHeight="1">
      <c r="G620" s="188"/>
    </row>
    <row r="621" spans="7:7" ht="24" customHeight="1">
      <c r="G621" s="188"/>
    </row>
    <row r="622" spans="7:7" ht="24" customHeight="1">
      <c r="G622" s="188"/>
    </row>
    <row r="623" spans="7:7" ht="24" customHeight="1">
      <c r="G623" s="188"/>
    </row>
    <row r="624" spans="7:7" ht="24" customHeight="1">
      <c r="G624" s="188"/>
    </row>
    <row r="625" spans="7:7" ht="24" customHeight="1">
      <c r="G625" s="188"/>
    </row>
    <row r="626" spans="7:7" ht="24" customHeight="1">
      <c r="G626" s="188"/>
    </row>
    <row r="627" spans="7:7" ht="24" customHeight="1">
      <c r="G627" s="188"/>
    </row>
    <row r="628" spans="7:7" ht="24" customHeight="1">
      <c r="G628" s="188"/>
    </row>
    <row r="629" spans="7:7" ht="24" customHeight="1">
      <c r="G629" s="188"/>
    </row>
    <row r="630" spans="7:7" ht="24" customHeight="1">
      <c r="G630" s="188"/>
    </row>
    <row r="631" spans="7:7" ht="24" customHeight="1">
      <c r="G631" s="188"/>
    </row>
    <row r="632" spans="7:7" ht="24" customHeight="1">
      <c r="G632" s="188"/>
    </row>
    <row r="633" spans="7:7" ht="24" customHeight="1">
      <c r="G633" s="188"/>
    </row>
    <row r="634" spans="7:7" ht="24" customHeight="1">
      <c r="G634" s="188"/>
    </row>
    <row r="635" spans="7:7" ht="24" customHeight="1">
      <c r="G635" s="188"/>
    </row>
    <row r="636" spans="7:7" ht="24" customHeight="1">
      <c r="G636" s="188"/>
    </row>
    <row r="637" spans="7:7" ht="24" customHeight="1">
      <c r="G637" s="188"/>
    </row>
    <row r="638" spans="7:7" ht="24" customHeight="1">
      <c r="G638" s="188"/>
    </row>
    <row r="639" spans="7:7" ht="24" customHeight="1">
      <c r="G639" s="188"/>
    </row>
    <row r="640" spans="7:7" ht="24" customHeight="1">
      <c r="G640" s="188"/>
    </row>
    <row r="641" spans="7:7" ht="24" customHeight="1">
      <c r="G641" s="188"/>
    </row>
    <row r="642" spans="7:7" ht="24" customHeight="1">
      <c r="G642" s="188"/>
    </row>
    <row r="643" spans="7:7" ht="24" customHeight="1">
      <c r="G643" s="188"/>
    </row>
    <row r="644" spans="7:7" ht="24" customHeight="1">
      <c r="G644" s="188"/>
    </row>
    <row r="645" spans="7:7" ht="24" customHeight="1">
      <c r="G645" s="188"/>
    </row>
    <row r="646" spans="7:7" ht="24" customHeight="1">
      <c r="G646" s="188"/>
    </row>
    <row r="647" spans="7:7" ht="24" customHeight="1">
      <c r="G647" s="188"/>
    </row>
    <row r="648" spans="7:7" ht="24" customHeight="1">
      <c r="G648" s="188"/>
    </row>
    <row r="649" spans="7:7" ht="24" customHeight="1">
      <c r="G649" s="188"/>
    </row>
    <row r="650" spans="7:7" ht="24" customHeight="1">
      <c r="G650" s="188"/>
    </row>
    <row r="651" spans="7:7" ht="24" customHeight="1">
      <c r="G651" s="188"/>
    </row>
    <row r="652" spans="7:7" ht="24" customHeight="1">
      <c r="G652" s="188"/>
    </row>
    <row r="653" spans="7:7" ht="24" customHeight="1">
      <c r="G653" s="188"/>
    </row>
    <row r="654" spans="7:7" ht="24" customHeight="1">
      <c r="G654" s="188"/>
    </row>
    <row r="655" spans="7:7" ht="24" customHeight="1">
      <c r="G655" s="188"/>
    </row>
    <row r="656" spans="7:7" ht="24" customHeight="1">
      <c r="G656" s="188"/>
    </row>
    <row r="657" spans="3:36" s="3" customFormat="1" ht="23.25">
      <c r="C657" s="186"/>
      <c r="D657" s="186"/>
      <c r="E657" s="187"/>
      <c r="F657" s="188"/>
      <c r="G657" s="188"/>
      <c r="H657" s="186"/>
      <c r="I657" s="186"/>
      <c r="J657" s="186"/>
      <c r="K657" s="186"/>
      <c r="L657" s="186"/>
      <c r="M657" s="186"/>
      <c r="N657" s="186"/>
      <c r="O657" s="186"/>
      <c r="P657" s="186"/>
      <c r="Q657" s="186"/>
      <c r="R657" s="369"/>
      <c r="S657" s="371"/>
      <c r="T657" s="193"/>
      <c r="U657" s="223"/>
      <c r="V657" s="223"/>
      <c r="W657" s="223"/>
      <c r="X657" s="223"/>
      <c r="Y657" s="222"/>
      <c r="Z657" s="222"/>
      <c r="AA657" s="209"/>
      <c r="AB657" s="209"/>
      <c r="AC657" s="220"/>
      <c r="AD657" s="208"/>
      <c r="AE657" s="189"/>
      <c r="AF657" s="189"/>
      <c r="AG657" s="190"/>
      <c r="AH657" s="186"/>
      <c r="AI657" s="186"/>
      <c r="AJ657" s="141"/>
    </row>
    <row r="658" spans="3:36" ht="24" customHeight="1">
      <c r="G658" s="188"/>
    </row>
    <row r="659" spans="3:36" ht="24" customHeight="1">
      <c r="G659" s="188"/>
    </row>
    <row r="660" spans="3:36" ht="24" customHeight="1">
      <c r="G660" s="188"/>
    </row>
    <row r="661" spans="3:36" ht="24" customHeight="1">
      <c r="G661" s="188"/>
    </row>
    <row r="662" spans="3:36" ht="24" customHeight="1">
      <c r="G662" s="188"/>
    </row>
    <row r="663" spans="3:36" ht="24" customHeight="1">
      <c r="G663" s="188"/>
    </row>
    <row r="664" spans="3:36" ht="24" customHeight="1">
      <c r="G664" s="188"/>
    </row>
    <row r="665" spans="3:36" ht="24" customHeight="1">
      <c r="G665" s="188"/>
    </row>
    <row r="666" spans="3:36" ht="24" customHeight="1">
      <c r="G666" s="188"/>
    </row>
    <row r="667" spans="3:36" ht="24" customHeight="1">
      <c r="G667" s="188"/>
    </row>
    <row r="668" spans="3:36" ht="24" customHeight="1">
      <c r="G668" s="188"/>
    </row>
    <row r="669" spans="3:36" ht="24" customHeight="1">
      <c r="G669" s="188"/>
    </row>
    <row r="670" spans="3:36" ht="24" customHeight="1">
      <c r="G670" s="188"/>
    </row>
    <row r="671" spans="3:36" ht="24" customHeight="1">
      <c r="G671" s="188"/>
    </row>
    <row r="672" spans="3:36" ht="24" customHeight="1">
      <c r="G672" s="188"/>
    </row>
    <row r="673" spans="7:7" ht="24" customHeight="1">
      <c r="G673" s="188"/>
    </row>
    <row r="674" spans="7:7" ht="24" customHeight="1">
      <c r="G674" s="188"/>
    </row>
    <row r="675" spans="7:7" ht="24" customHeight="1">
      <c r="G675" s="188"/>
    </row>
    <row r="676" spans="7:7" ht="24" customHeight="1">
      <c r="G676" s="188"/>
    </row>
    <row r="677" spans="7:7" ht="24" customHeight="1">
      <c r="G677" s="188"/>
    </row>
    <row r="678" spans="7:7" ht="24" customHeight="1">
      <c r="G678" s="188"/>
    </row>
    <row r="679" spans="7:7" ht="24" customHeight="1">
      <c r="G679" s="188"/>
    </row>
    <row r="680" spans="7:7" ht="24" customHeight="1">
      <c r="G680" s="188"/>
    </row>
    <row r="681" spans="7:7" ht="24" customHeight="1">
      <c r="G681" s="188"/>
    </row>
    <row r="682" spans="7:7" ht="24" customHeight="1">
      <c r="G682" s="188"/>
    </row>
    <row r="683" spans="7:7" ht="24" customHeight="1">
      <c r="G683" s="188"/>
    </row>
    <row r="684" spans="7:7" ht="24" customHeight="1">
      <c r="G684" s="188"/>
    </row>
    <row r="685" spans="7:7" ht="24" customHeight="1">
      <c r="G685" s="188"/>
    </row>
    <row r="686" spans="7:7" ht="24" customHeight="1">
      <c r="G686" s="188"/>
    </row>
    <row r="687" spans="7:7" ht="24" customHeight="1">
      <c r="G687" s="188"/>
    </row>
    <row r="688" spans="7:7" ht="24" customHeight="1">
      <c r="G688" s="188"/>
    </row>
    <row r="689" spans="7:7" ht="24" customHeight="1">
      <c r="G689" s="188"/>
    </row>
    <row r="690" spans="7:7" ht="24" customHeight="1">
      <c r="G690" s="188"/>
    </row>
    <row r="691" spans="7:7" ht="24" customHeight="1">
      <c r="G691" s="188"/>
    </row>
    <row r="692" spans="7:7" ht="24" customHeight="1">
      <c r="G692" s="188"/>
    </row>
    <row r="693" spans="7:7" ht="24" customHeight="1">
      <c r="G693" s="188"/>
    </row>
    <row r="694" spans="7:7" ht="24" customHeight="1">
      <c r="G694" s="188"/>
    </row>
    <row r="695" spans="7:7" ht="24" customHeight="1">
      <c r="G695" s="188"/>
    </row>
    <row r="696" spans="7:7" ht="24" customHeight="1">
      <c r="G696" s="188"/>
    </row>
    <row r="697" spans="7:7" ht="24" customHeight="1">
      <c r="G697" s="188"/>
    </row>
    <row r="698" spans="7:7" ht="24" customHeight="1">
      <c r="G698" s="188"/>
    </row>
    <row r="699" spans="7:7" ht="24" customHeight="1">
      <c r="G699" s="188"/>
    </row>
    <row r="700" spans="7:7" ht="24" customHeight="1">
      <c r="G700" s="188"/>
    </row>
    <row r="701" spans="7:7" ht="24" customHeight="1">
      <c r="G701" s="188"/>
    </row>
    <row r="702" spans="7:7" ht="24" customHeight="1">
      <c r="G702" s="188"/>
    </row>
    <row r="703" spans="7:7" ht="24" customHeight="1">
      <c r="G703" s="188"/>
    </row>
    <row r="704" spans="7:7" ht="24" customHeight="1">
      <c r="G704" s="188"/>
    </row>
    <row r="705" spans="7:7" ht="24" customHeight="1">
      <c r="G705" s="188"/>
    </row>
    <row r="706" spans="7:7" ht="24" customHeight="1">
      <c r="G706" s="188"/>
    </row>
    <row r="707" spans="7:7" ht="24" customHeight="1">
      <c r="G707" s="188"/>
    </row>
    <row r="708" spans="7:7" ht="24" customHeight="1">
      <c r="G708" s="188"/>
    </row>
    <row r="709" spans="7:7" ht="24" customHeight="1">
      <c r="G709" s="188"/>
    </row>
    <row r="710" spans="7:7" ht="24" customHeight="1">
      <c r="G710" s="188"/>
    </row>
    <row r="711" spans="7:7" ht="24" customHeight="1">
      <c r="G711" s="188"/>
    </row>
    <row r="712" spans="7:7" ht="24" customHeight="1">
      <c r="G712" s="188"/>
    </row>
    <row r="713" spans="7:7" ht="24" customHeight="1">
      <c r="G713" s="188"/>
    </row>
    <row r="714" spans="7:7" ht="24" customHeight="1">
      <c r="G714" s="188"/>
    </row>
    <row r="715" spans="7:7" ht="24" customHeight="1">
      <c r="G715" s="188"/>
    </row>
    <row r="716" spans="7:7" ht="24" customHeight="1">
      <c r="G716" s="188"/>
    </row>
    <row r="717" spans="7:7" ht="24" customHeight="1">
      <c r="G717" s="188"/>
    </row>
    <row r="718" spans="7:7" ht="24" customHeight="1">
      <c r="G718" s="188"/>
    </row>
    <row r="719" spans="7:7" ht="24" customHeight="1">
      <c r="G719" s="188"/>
    </row>
    <row r="720" spans="7:7" ht="24" customHeight="1">
      <c r="G720" s="188"/>
    </row>
    <row r="721" spans="7:7" ht="24" customHeight="1">
      <c r="G721" s="188"/>
    </row>
    <row r="722" spans="7:7" ht="24" customHeight="1">
      <c r="G722" s="188"/>
    </row>
    <row r="723" spans="7:7" ht="24" customHeight="1">
      <c r="G723" s="188"/>
    </row>
    <row r="724" spans="7:7" ht="24" customHeight="1">
      <c r="G724" s="188"/>
    </row>
    <row r="725" spans="7:7" ht="24" customHeight="1">
      <c r="G725" s="188"/>
    </row>
    <row r="726" spans="7:7" ht="24" customHeight="1">
      <c r="G726" s="188"/>
    </row>
    <row r="727" spans="7:7" ht="24" customHeight="1">
      <c r="G727" s="188"/>
    </row>
    <row r="728" spans="7:7" ht="24" customHeight="1">
      <c r="G728" s="188"/>
    </row>
    <row r="729" spans="7:7" ht="24" customHeight="1">
      <c r="G729" s="188"/>
    </row>
    <row r="730" spans="7:7" ht="24" customHeight="1">
      <c r="G730" s="188"/>
    </row>
    <row r="731" spans="7:7" ht="24" customHeight="1">
      <c r="G731" s="188"/>
    </row>
    <row r="732" spans="7:7" ht="24" customHeight="1">
      <c r="G732" s="188"/>
    </row>
    <row r="733" spans="7:7" ht="24" customHeight="1">
      <c r="G733" s="188"/>
    </row>
    <row r="734" spans="7:7" ht="24" customHeight="1">
      <c r="G734" s="188"/>
    </row>
    <row r="735" spans="7:7" ht="24" customHeight="1">
      <c r="G735" s="188"/>
    </row>
    <row r="736" spans="7:7" ht="24" customHeight="1">
      <c r="G736" s="188"/>
    </row>
    <row r="737" spans="7:7" ht="24" customHeight="1">
      <c r="G737" s="188"/>
    </row>
    <row r="738" spans="7:7" ht="24" customHeight="1">
      <c r="G738" s="188"/>
    </row>
    <row r="739" spans="7:7" ht="24" customHeight="1">
      <c r="G739" s="188"/>
    </row>
    <row r="740" spans="7:7" ht="24" customHeight="1">
      <c r="G740" s="188"/>
    </row>
    <row r="741" spans="7:7" ht="24" customHeight="1">
      <c r="G741" s="188"/>
    </row>
    <row r="742" spans="7:7" ht="24" customHeight="1">
      <c r="G742" s="188"/>
    </row>
    <row r="743" spans="7:7" ht="24" customHeight="1">
      <c r="G743" s="188"/>
    </row>
    <row r="744" spans="7:7" ht="24" customHeight="1">
      <c r="G744" s="188"/>
    </row>
    <row r="745" spans="7:7" ht="24" customHeight="1">
      <c r="G745" s="188"/>
    </row>
    <row r="746" spans="7:7" ht="24" customHeight="1">
      <c r="G746" s="188"/>
    </row>
    <row r="747" spans="7:7" ht="24" customHeight="1">
      <c r="G747" s="188"/>
    </row>
    <row r="748" spans="7:7" ht="24" customHeight="1">
      <c r="G748" s="188"/>
    </row>
    <row r="749" spans="7:7" ht="24" customHeight="1">
      <c r="G749" s="188"/>
    </row>
    <row r="750" spans="7:7" ht="24" customHeight="1">
      <c r="G750" s="188"/>
    </row>
    <row r="751" spans="7:7" ht="24" customHeight="1">
      <c r="G751" s="188"/>
    </row>
    <row r="752" spans="7:7" ht="24" customHeight="1">
      <c r="G752" s="188"/>
    </row>
    <row r="753" spans="7:19" ht="24" customHeight="1">
      <c r="G753" s="188"/>
    </row>
    <row r="754" spans="7:19" ht="24" customHeight="1">
      <c r="G754" s="188"/>
    </row>
    <row r="755" spans="7:19" ht="24" customHeight="1">
      <c r="G755" s="188"/>
    </row>
    <row r="756" spans="7:19" ht="24" customHeight="1">
      <c r="G756" s="188"/>
    </row>
    <row r="757" spans="7:19" ht="24" customHeight="1">
      <c r="G757" s="188"/>
    </row>
    <row r="758" spans="7:19" ht="24" customHeight="1">
      <c r="G758" s="188"/>
    </row>
    <row r="759" spans="7:19" ht="24" customHeight="1">
      <c r="G759" s="188"/>
    </row>
    <row r="760" spans="7:19" ht="24" customHeight="1">
      <c r="G760" s="188"/>
    </row>
    <row r="761" spans="7:19" ht="24" customHeight="1">
      <c r="G761" s="188"/>
    </row>
    <row r="762" spans="7:19" ht="24" customHeight="1">
      <c r="G762" s="188"/>
    </row>
    <row r="763" spans="7:19" ht="24" customHeight="1">
      <c r="G763" s="188"/>
    </row>
    <row r="764" spans="7:19" ht="23.25">
      <c r="G764" s="188"/>
      <c r="S764" s="371"/>
    </row>
    <row r="765" spans="7:19" ht="24" customHeight="1">
      <c r="G765" s="188"/>
    </row>
    <row r="766" spans="7:19" ht="23.25">
      <c r="G766" s="188"/>
    </row>
    <row r="767" spans="7:19" ht="24" customHeight="1">
      <c r="G767" s="188"/>
    </row>
    <row r="768" spans="7:19" ht="24" customHeight="1">
      <c r="G768" s="188"/>
    </row>
    <row r="769" spans="7:7" ht="24" customHeight="1">
      <c r="G769" s="188"/>
    </row>
    <row r="770" spans="7:7" ht="24" customHeight="1">
      <c r="G770" s="188"/>
    </row>
    <row r="771" spans="7:7" ht="24" customHeight="1">
      <c r="G771" s="188"/>
    </row>
    <row r="772" spans="7:7" ht="24" customHeight="1">
      <c r="G772" s="188"/>
    </row>
    <row r="773" spans="7:7" ht="24" customHeight="1">
      <c r="G773" s="188"/>
    </row>
    <row r="774" spans="7:7" ht="24" customHeight="1">
      <c r="G774" s="188"/>
    </row>
    <row r="775" spans="7:7" ht="24" customHeight="1">
      <c r="G775" s="188"/>
    </row>
    <row r="776" spans="7:7" ht="24" customHeight="1">
      <c r="G776" s="188"/>
    </row>
    <row r="777" spans="7:7" ht="24" customHeight="1">
      <c r="G777" s="188"/>
    </row>
    <row r="778" spans="7:7" ht="24" customHeight="1">
      <c r="G778" s="188"/>
    </row>
    <row r="779" spans="7:7" ht="24" customHeight="1">
      <c r="G779" s="188"/>
    </row>
    <row r="780" spans="7:7" ht="24" customHeight="1">
      <c r="G780" s="188"/>
    </row>
    <row r="781" spans="7:7" ht="24" customHeight="1">
      <c r="G781" s="188"/>
    </row>
    <row r="782" spans="7:7" ht="24" customHeight="1">
      <c r="G782" s="188"/>
    </row>
    <row r="783" spans="7:7" ht="24" customHeight="1">
      <c r="G783" s="188"/>
    </row>
    <row r="784" spans="7:7" ht="24" customHeight="1">
      <c r="G784" s="188"/>
    </row>
    <row r="785" spans="7:7" ht="24" customHeight="1">
      <c r="G785" s="188"/>
    </row>
    <row r="786" spans="7:7" ht="24" customHeight="1">
      <c r="G786" s="188"/>
    </row>
    <row r="787" spans="7:7" ht="24" customHeight="1">
      <c r="G787" s="188"/>
    </row>
    <row r="788" spans="7:7" ht="24" customHeight="1">
      <c r="G788" s="188"/>
    </row>
    <row r="789" spans="7:7" ht="24" customHeight="1">
      <c r="G789" s="188"/>
    </row>
    <row r="790" spans="7:7" ht="24" customHeight="1">
      <c r="G790" s="188"/>
    </row>
    <row r="791" spans="7:7" ht="24" customHeight="1">
      <c r="G791" s="188"/>
    </row>
    <row r="792" spans="7:7" ht="24" customHeight="1">
      <c r="G792" s="188"/>
    </row>
    <row r="793" spans="7:7" ht="24" customHeight="1">
      <c r="G793" s="188"/>
    </row>
    <row r="794" spans="7:7" ht="24" customHeight="1">
      <c r="G794" s="188"/>
    </row>
    <row r="795" spans="7:7" ht="24" customHeight="1">
      <c r="G795" s="188"/>
    </row>
    <row r="796" spans="7:7" ht="24" customHeight="1">
      <c r="G796" s="188"/>
    </row>
    <row r="797" spans="7:7" ht="24" customHeight="1">
      <c r="G797" s="188"/>
    </row>
    <row r="798" spans="7:7" ht="24" customHeight="1">
      <c r="G798" s="188"/>
    </row>
    <row r="799" spans="7:7" ht="24" customHeight="1">
      <c r="G799" s="188"/>
    </row>
    <row r="800" spans="7:7" ht="24" customHeight="1">
      <c r="G800" s="188"/>
    </row>
    <row r="801" spans="7:7" ht="24" customHeight="1">
      <c r="G801" s="188"/>
    </row>
    <row r="802" spans="7:7" ht="24" customHeight="1">
      <c r="G802" s="188"/>
    </row>
    <row r="803" spans="7:7" ht="24" customHeight="1">
      <c r="G803" s="188"/>
    </row>
    <row r="804" spans="7:7" ht="24" customHeight="1">
      <c r="G804" s="188"/>
    </row>
    <row r="805" spans="7:7" ht="24" customHeight="1">
      <c r="G805" s="188"/>
    </row>
    <row r="806" spans="7:7" ht="24" customHeight="1">
      <c r="G806" s="188"/>
    </row>
    <row r="807" spans="7:7" ht="24" customHeight="1">
      <c r="G807" s="188"/>
    </row>
    <row r="808" spans="7:7" ht="24" customHeight="1">
      <c r="G808" s="188"/>
    </row>
    <row r="809" spans="7:7" ht="24" customHeight="1">
      <c r="G809" s="188"/>
    </row>
    <row r="810" spans="7:7" ht="24" customHeight="1">
      <c r="G810" s="188"/>
    </row>
    <row r="811" spans="7:7" ht="24" customHeight="1">
      <c r="G811" s="188"/>
    </row>
    <row r="812" spans="7:7" ht="24" customHeight="1">
      <c r="G812" s="188"/>
    </row>
    <row r="813" spans="7:7" ht="24" customHeight="1">
      <c r="G813" s="188"/>
    </row>
    <row r="814" spans="7:7" ht="24" customHeight="1">
      <c r="G814" s="188"/>
    </row>
    <row r="815" spans="7:7" ht="24" customHeight="1">
      <c r="G815" s="188"/>
    </row>
    <row r="816" spans="7:7" ht="24" customHeight="1">
      <c r="G816" s="188"/>
    </row>
    <row r="817" spans="7:19" ht="24" customHeight="1">
      <c r="G817" s="188"/>
    </row>
    <row r="818" spans="7:19" ht="24" customHeight="1">
      <c r="G818" s="188"/>
    </row>
    <row r="819" spans="7:19" ht="24" customHeight="1">
      <c r="G819" s="188"/>
    </row>
    <row r="820" spans="7:19" ht="24" customHeight="1">
      <c r="G820" s="188"/>
    </row>
    <row r="821" spans="7:19" ht="24" customHeight="1">
      <c r="G821" s="188"/>
    </row>
    <row r="822" spans="7:19" ht="24" customHeight="1">
      <c r="G822" s="188"/>
    </row>
    <row r="823" spans="7:19" ht="24" customHeight="1">
      <c r="G823" s="188"/>
    </row>
    <row r="824" spans="7:19" ht="24" customHeight="1">
      <c r="G824" s="188"/>
    </row>
    <row r="825" spans="7:19" ht="24" customHeight="1">
      <c r="G825" s="188"/>
    </row>
    <row r="826" spans="7:19" ht="24" customHeight="1">
      <c r="G826" s="188"/>
    </row>
    <row r="827" spans="7:19" ht="24" customHeight="1">
      <c r="G827" s="188"/>
    </row>
    <row r="828" spans="7:19" ht="24" customHeight="1">
      <c r="G828" s="188"/>
    </row>
    <row r="829" spans="7:19" ht="24" customHeight="1">
      <c r="G829" s="188"/>
    </row>
    <row r="830" spans="7:19" ht="23.25">
      <c r="G830" s="188"/>
      <c r="S830" s="371"/>
    </row>
    <row r="831" spans="7:19" ht="24" customHeight="1">
      <c r="G831" s="188"/>
    </row>
    <row r="832" spans="7:19" ht="24" customHeight="1">
      <c r="G832" s="188"/>
    </row>
    <row r="833" spans="7:7" ht="24" customHeight="1">
      <c r="G833" s="188"/>
    </row>
    <row r="834" spans="7:7" ht="24" customHeight="1">
      <c r="G834" s="188"/>
    </row>
    <row r="835" spans="7:7" ht="24" customHeight="1">
      <c r="G835" s="188"/>
    </row>
    <row r="836" spans="7:7" ht="24" customHeight="1">
      <c r="G836" s="188"/>
    </row>
    <row r="837" spans="7:7" ht="24" customHeight="1">
      <c r="G837" s="188"/>
    </row>
    <row r="838" spans="7:7" ht="24" customHeight="1">
      <c r="G838" s="188"/>
    </row>
    <row r="839" spans="7:7" ht="24" customHeight="1">
      <c r="G839" s="188"/>
    </row>
    <row r="840" spans="7:7" ht="24" customHeight="1">
      <c r="G840" s="188"/>
    </row>
    <row r="841" spans="7:7" ht="24" customHeight="1">
      <c r="G841" s="188"/>
    </row>
    <row r="842" spans="7:7" ht="24" customHeight="1">
      <c r="G842" s="188"/>
    </row>
    <row r="843" spans="7:7" ht="24" customHeight="1">
      <c r="G843" s="188"/>
    </row>
    <row r="844" spans="7:7" ht="24" customHeight="1">
      <c r="G844" s="188"/>
    </row>
    <row r="845" spans="7:7" ht="24" customHeight="1">
      <c r="G845" s="188"/>
    </row>
    <row r="846" spans="7:7" ht="24" customHeight="1">
      <c r="G846" s="188"/>
    </row>
    <row r="847" spans="7:7" ht="24" customHeight="1">
      <c r="G847" s="188"/>
    </row>
    <row r="848" spans="7:7" ht="24" customHeight="1">
      <c r="G848" s="188"/>
    </row>
    <row r="849" spans="7:7" ht="24" customHeight="1">
      <c r="G849" s="188"/>
    </row>
    <row r="850" spans="7:7" ht="24" customHeight="1">
      <c r="G850" s="188"/>
    </row>
    <row r="851" spans="7:7" ht="24" customHeight="1">
      <c r="G851" s="188"/>
    </row>
    <row r="852" spans="7:7" ht="24" customHeight="1">
      <c r="G852" s="188"/>
    </row>
    <row r="853" spans="7:7" ht="24" customHeight="1">
      <c r="G853" s="188"/>
    </row>
    <row r="854" spans="7:7" ht="24" customHeight="1">
      <c r="G854" s="188"/>
    </row>
    <row r="855" spans="7:7" ht="24" customHeight="1">
      <c r="G855" s="188"/>
    </row>
    <row r="856" spans="7:7" ht="24" customHeight="1">
      <c r="G856" s="188"/>
    </row>
    <row r="857" spans="7:7" ht="24" customHeight="1">
      <c r="G857" s="188"/>
    </row>
    <row r="858" spans="7:7" ht="24" customHeight="1">
      <c r="G858" s="188"/>
    </row>
    <row r="859" spans="7:7" ht="24" customHeight="1">
      <c r="G859" s="188"/>
    </row>
    <row r="860" spans="7:7" ht="24" customHeight="1">
      <c r="G860" s="188"/>
    </row>
    <row r="861" spans="7:7" ht="24" customHeight="1">
      <c r="G861" s="188"/>
    </row>
    <row r="862" spans="7:7" ht="24" customHeight="1">
      <c r="G862" s="188"/>
    </row>
    <row r="863" spans="7:7" ht="24" customHeight="1">
      <c r="G863" s="188"/>
    </row>
    <row r="864" spans="7:7" ht="24" customHeight="1">
      <c r="G864" s="188"/>
    </row>
    <row r="865" spans="7:7" ht="24" customHeight="1">
      <c r="G865" s="188"/>
    </row>
    <row r="866" spans="7:7" ht="24" customHeight="1">
      <c r="G866" s="188"/>
    </row>
    <row r="867" spans="7:7" ht="24" customHeight="1">
      <c r="G867" s="188"/>
    </row>
    <row r="868" spans="7:7" ht="24" customHeight="1">
      <c r="G868" s="188"/>
    </row>
    <row r="869" spans="7:7" ht="24" customHeight="1">
      <c r="G869" s="188"/>
    </row>
    <row r="870" spans="7:7" ht="24" customHeight="1">
      <c r="G870" s="188"/>
    </row>
    <row r="871" spans="7:7" ht="24" customHeight="1">
      <c r="G871" s="188"/>
    </row>
    <row r="872" spans="7:7" ht="24" customHeight="1">
      <c r="G872" s="188"/>
    </row>
    <row r="873" spans="7:7" ht="24" customHeight="1">
      <c r="G873" s="188"/>
    </row>
    <row r="874" spans="7:7" ht="24" customHeight="1">
      <c r="G874" s="188"/>
    </row>
    <row r="875" spans="7:7" ht="24" customHeight="1">
      <c r="G875" s="188"/>
    </row>
    <row r="876" spans="7:7" ht="24" customHeight="1">
      <c r="G876" s="188"/>
    </row>
    <row r="877" spans="7:7" ht="24" customHeight="1">
      <c r="G877" s="188"/>
    </row>
    <row r="878" spans="7:7" ht="24" customHeight="1">
      <c r="G878" s="188"/>
    </row>
    <row r="879" spans="7:7" ht="24" customHeight="1">
      <c r="G879" s="188"/>
    </row>
    <row r="880" spans="7:7" ht="24" customHeight="1">
      <c r="G880" s="188"/>
    </row>
    <row r="881" spans="7:7" ht="24" customHeight="1">
      <c r="G881" s="188"/>
    </row>
    <row r="882" spans="7:7" ht="24" customHeight="1">
      <c r="G882" s="188"/>
    </row>
    <row r="883" spans="7:7" ht="24" customHeight="1">
      <c r="G883" s="188"/>
    </row>
    <row r="884" spans="7:7" ht="24" customHeight="1">
      <c r="G884" s="188"/>
    </row>
    <row r="885" spans="7:7" ht="24" customHeight="1">
      <c r="G885" s="188"/>
    </row>
    <row r="886" spans="7:7" ht="24" customHeight="1">
      <c r="G886" s="188"/>
    </row>
    <row r="887" spans="7:7" ht="24" customHeight="1">
      <c r="G887" s="188"/>
    </row>
    <row r="888" spans="7:7" ht="24" customHeight="1">
      <c r="G888" s="188"/>
    </row>
    <row r="889" spans="7:7" ht="24" customHeight="1">
      <c r="G889" s="188"/>
    </row>
    <row r="890" spans="7:7" ht="24" customHeight="1">
      <c r="G890" s="188"/>
    </row>
    <row r="891" spans="7:7" ht="24" customHeight="1">
      <c r="G891" s="188"/>
    </row>
    <row r="892" spans="7:7" ht="24" customHeight="1">
      <c r="G892" s="188"/>
    </row>
    <row r="893" spans="7:7" ht="24" customHeight="1">
      <c r="G893" s="188"/>
    </row>
    <row r="894" spans="7:7" ht="24" customHeight="1">
      <c r="G894" s="188"/>
    </row>
  </sheetData>
  <phoneticPr fontId="34" type="noConversion"/>
  <conditionalFormatting sqref="AJ5">
    <cfRule type="iconSet" priority="12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AJ3" xr:uid="{58665B4C-0632-4170-865D-7EE11D05AC11}">
      <formula1>month_kh_option</formula1>
    </dataValidation>
    <dataValidation type="list" allowBlank="1" showInputMessage="1" showErrorMessage="1" sqref="AM3" xr:uid="{A9436F26-6601-4A34-B2A2-4B28370C7C29}">
      <formula1>$AM$4:$AM$5</formula1>
    </dataValidation>
  </dataValidations>
  <printOptions horizontalCentered="1"/>
  <pageMargins left="7.874015748031496E-2" right="7.874015748031496E-2" top="7.874015748031496E-2" bottom="0.39370078740157483" header="7.874015748031496E-2" footer="7.874015748031496E-2"/>
  <pageSetup paperSize="9" scale="94" orientation="landscape" r:id="rId1"/>
  <headerFooter>
    <oddFooter>&amp;CPage &amp;P of &amp;N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867ACB28-2743-42F8-8D42-6813BBF168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AB4</xm:sqref>
        </x14:conditionalFormatting>
        <x14:conditionalFormatting xmlns:xm="http://schemas.microsoft.com/office/excel/2006/main">
          <x14:cfRule type="iconSet" priority="4" id="{1A9C6CB2-E47E-490F-9186-D0EE1130A8F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AC4:AD4</xm:sqref>
        </x14:conditionalFormatting>
        <x14:conditionalFormatting xmlns:xm="http://schemas.microsoft.com/office/excel/2006/main">
          <x14:cfRule type="iconSet" priority="14" id="{23F9B0DE-ECBB-494F-966C-409B6A76911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AD8:AD1048576</xm:sqref>
        </x14:conditionalFormatting>
        <x14:conditionalFormatting xmlns:xm="http://schemas.microsoft.com/office/excel/2006/main">
          <x14:cfRule type="iconSet" priority="15" id="{3631F129-E38B-4C9D-A950-DE0E3CD9A0E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AE11:AE1048576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0"/>
  <dimension ref="C1:AF1181"/>
  <sheetViews>
    <sheetView showGridLines="0" topLeftCell="A3" zoomScale="80" zoomScaleNormal="80" workbookViewId="0">
      <pane ySplit="5" topLeftCell="A8" activePane="bottomLeft" state="frozen"/>
      <selection activeCell="L28" sqref="L28"/>
      <selection pane="bottomLeft" activeCell="I25" sqref="I25"/>
    </sheetView>
  </sheetViews>
  <sheetFormatPr defaultRowHeight="21.95" customHeight="1"/>
  <cols>
    <col min="1" max="1" width="4.42578125" style="130" customWidth="1"/>
    <col min="2" max="2" width="3.42578125" style="130" customWidth="1"/>
    <col min="3" max="3" width="6.5703125" style="126" customWidth="1"/>
    <col min="4" max="4" width="16" style="126" customWidth="1"/>
    <col min="5" max="6" width="21.85546875" style="126" customWidth="1"/>
    <col min="7" max="7" width="14" style="126" customWidth="1"/>
    <col min="8" max="8" width="16.7109375" style="168" customWidth="1"/>
    <col min="9" max="9" width="18.7109375" style="126" customWidth="1"/>
    <col min="10" max="10" width="21.28515625" style="143" customWidth="1"/>
    <col min="11" max="11" width="46.42578125" style="164" bestFit="1" customWidth="1"/>
    <col min="12" max="12" width="9.5703125" style="126" customWidth="1"/>
    <col min="13" max="13" width="16.7109375" style="126" customWidth="1"/>
    <col min="14" max="14" width="18.28515625" style="164" customWidth="1"/>
    <col min="15" max="15" width="14" style="126" customWidth="1"/>
    <col min="16" max="16" width="21.28515625" style="126" customWidth="1"/>
    <col min="17" max="17" width="14" style="126" customWidth="1"/>
    <col min="18" max="18" width="17" style="126" bestFit="1" customWidth="1"/>
    <col min="19" max="20" width="17.7109375" style="225" customWidth="1"/>
    <col min="21" max="21" width="22.5703125" style="225" customWidth="1"/>
    <col min="22" max="24" width="22.5703125" style="126" customWidth="1"/>
    <col min="25" max="25" width="9" style="126" customWidth="1"/>
    <col min="26" max="26" width="10.7109375" style="126" bestFit="1" customWidth="1"/>
    <col min="27" max="27" width="14.42578125" style="126" customWidth="1"/>
    <col min="28" max="28" width="14" style="126" customWidth="1"/>
    <col min="29" max="29" width="17.140625" style="385" customWidth="1"/>
    <col min="30" max="30" width="27.7109375" style="130" customWidth="1"/>
    <col min="31" max="31" width="14.28515625" style="130" customWidth="1"/>
    <col min="32" max="32" width="13.140625" style="130" customWidth="1"/>
    <col min="33" max="16384" width="9.140625" style="130"/>
  </cols>
  <sheetData>
    <row r="1" spans="3:32" ht="21.95" hidden="1" customHeight="1"/>
    <row r="2" spans="3:32" ht="21.95" hidden="1" customHeight="1"/>
    <row r="4" spans="3:32" ht="21.95" customHeight="1">
      <c r="C4" s="264"/>
      <c r="D4" s="265"/>
      <c r="E4" s="384"/>
      <c r="F4" s="265"/>
      <c r="G4" s="265"/>
      <c r="H4" s="266"/>
      <c r="I4" s="265"/>
      <c r="J4" s="267"/>
      <c r="K4" s="268"/>
      <c r="L4" s="265"/>
      <c r="M4" s="265"/>
      <c r="N4" s="268"/>
      <c r="O4" s="265"/>
      <c r="P4" s="265"/>
      <c r="Q4" s="265"/>
      <c r="R4" s="265"/>
      <c r="S4" s="269"/>
      <c r="T4" s="269"/>
      <c r="U4" s="269"/>
      <c r="V4" s="265"/>
      <c r="W4" s="265"/>
      <c r="X4" s="265"/>
      <c r="Y4" s="265"/>
      <c r="Z4" s="265"/>
      <c r="AA4" s="265"/>
      <c r="AB4" s="265"/>
    </row>
    <row r="5" spans="3:32" ht="21.95" customHeight="1">
      <c r="E5" s="139"/>
    </row>
    <row r="6" spans="3:32" customFormat="1" ht="29.25" customHeight="1">
      <c r="C6" s="343" t="s">
        <v>10</v>
      </c>
      <c r="D6" s="343" t="s">
        <v>123</v>
      </c>
      <c r="E6" s="343" t="s">
        <v>290</v>
      </c>
      <c r="F6" s="343" t="s">
        <v>123</v>
      </c>
      <c r="G6" s="343" t="s">
        <v>123</v>
      </c>
      <c r="H6" s="343" t="s">
        <v>24</v>
      </c>
      <c r="I6" s="343" t="s">
        <v>101</v>
      </c>
      <c r="J6" s="343" t="s">
        <v>37</v>
      </c>
      <c r="K6" s="343" t="s">
        <v>38</v>
      </c>
      <c r="L6" s="343" t="s">
        <v>16</v>
      </c>
      <c r="M6" s="343" t="s">
        <v>281</v>
      </c>
      <c r="N6" s="343" t="s">
        <v>13</v>
      </c>
      <c r="O6" s="343" t="s">
        <v>198</v>
      </c>
      <c r="P6" s="343" t="s">
        <v>265</v>
      </c>
      <c r="Q6" s="343" t="s">
        <v>276</v>
      </c>
      <c r="R6" s="343" t="s">
        <v>267</v>
      </c>
      <c r="S6" s="343" t="s">
        <v>14</v>
      </c>
      <c r="T6" s="343" t="s">
        <v>39</v>
      </c>
      <c r="U6" s="343" t="s">
        <v>33</v>
      </c>
      <c r="V6" s="343" t="s">
        <v>214</v>
      </c>
      <c r="W6" s="343" t="s">
        <v>211</v>
      </c>
      <c r="X6" s="343" t="s">
        <v>15</v>
      </c>
      <c r="Y6" s="343" t="s">
        <v>23</v>
      </c>
      <c r="Z6" s="343" t="s">
        <v>95</v>
      </c>
      <c r="AA6" s="343" t="s">
        <v>120</v>
      </c>
      <c r="AB6" s="343" t="s">
        <v>109</v>
      </c>
      <c r="AC6" s="2"/>
      <c r="AE6" s="150"/>
      <c r="AF6" s="150"/>
    </row>
    <row r="7" spans="3:32" customFormat="1" ht="15">
      <c r="C7" s="344" t="s">
        <v>139</v>
      </c>
      <c r="D7" s="344" t="s">
        <v>200</v>
      </c>
      <c r="E7" s="344" t="s">
        <v>289</v>
      </c>
      <c r="F7" s="344" t="s">
        <v>485</v>
      </c>
      <c r="G7" s="344" t="s">
        <v>29</v>
      </c>
      <c r="H7" s="344" t="s">
        <v>40</v>
      </c>
      <c r="I7" s="344" t="s">
        <v>100</v>
      </c>
      <c r="J7" s="344" t="s">
        <v>35</v>
      </c>
      <c r="K7" s="344" t="s">
        <v>36</v>
      </c>
      <c r="L7" s="344" t="s">
        <v>18</v>
      </c>
      <c r="M7" s="344" t="s">
        <v>196</v>
      </c>
      <c r="N7" s="344" t="s">
        <v>199</v>
      </c>
      <c r="O7" s="344" t="s">
        <v>197</v>
      </c>
      <c r="P7" s="344" t="s">
        <v>288</v>
      </c>
      <c r="Q7" s="344" t="s">
        <v>287</v>
      </c>
      <c r="R7" s="344" t="s">
        <v>278</v>
      </c>
      <c r="S7" s="344" t="s">
        <v>19</v>
      </c>
      <c r="T7" s="344" t="s">
        <v>8</v>
      </c>
      <c r="U7" s="344" t="s">
        <v>201</v>
      </c>
      <c r="V7" s="344" t="s">
        <v>423</v>
      </c>
      <c r="W7" s="344" t="s">
        <v>202</v>
      </c>
      <c r="X7" s="344" t="s">
        <v>472</v>
      </c>
      <c r="Y7" s="344" t="s">
        <v>26</v>
      </c>
      <c r="Z7" s="344" t="s">
        <v>2</v>
      </c>
      <c r="AA7" s="344" t="s">
        <v>121</v>
      </c>
      <c r="AB7" s="344" t="s">
        <v>98</v>
      </c>
      <c r="AC7" s="2"/>
    </row>
    <row r="8" spans="3:32" ht="21.95" customHeight="1">
      <c r="G8" s="174"/>
      <c r="W8" s="253"/>
      <c r="X8" s="253"/>
      <c r="AB8" s="393"/>
      <c r="AD8" s="394"/>
    </row>
    <row r="9" spans="3:32" ht="21.95" customHeight="1">
      <c r="G9" s="174"/>
      <c r="W9" s="253"/>
      <c r="X9" s="253"/>
      <c r="AB9" s="393"/>
      <c r="AD9" s="394"/>
    </row>
    <row r="10" spans="3:32" ht="21.95" customHeight="1">
      <c r="G10" s="168"/>
      <c r="W10" s="253"/>
      <c r="X10" s="253"/>
      <c r="AB10" s="393"/>
      <c r="AD10" s="394"/>
    </row>
    <row r="11" spans="3:32" ht="21.95" customHeight="1">
      <c r="G11" s="168"/>
      <c r="W11" s="253"/>
      <c r="X11" s="253"/>
      <c r="AB11" s="393"/>
      <c r="AD11" s="394"/>
    </row>
    <row r="12" spans="3:32" ht="21.95" customHeight="1">
      <c r="W12" s="253"/>
      <c r="X12" s="253"/>
      <c r="AB12" s="393"/>
      <c r="AD12" s="394"/>
    </row>
    <row r="13" spans="3:32" ht="21.95" customHeight="1">
      <c r="W13" s="253"/>
      <c r="X13" s="253"/>
      <c r="AB13" s="393"/>
      <c r="AD13" s="394"/>
    </row>
    <row r="14" spans="3:32" ht="21.95" customHeight="1">
      <c r="W14" s="253"/>
      <c r="X14" s="253"/>
      <c r="AB14" s="393"/>
      <c r="AD14" s="394"/>
    </row>
    <row r="15" spans="3:32" ht="21.95" customHeight="1">
      <c r="C15" s="394"/>
      <c r="W15" s="253"/>
      <c r="X15" s="253"/>
      <c r="AB15" s="393"/>
      <c r="AD15" s="394"/>
    </row>
    <row r="16" spans="3:32" ht="21.95" customHeight="1">
      <c r="C16" s="394"/>
      <c r="W16" s="253"/>
      <c r="X16" s="253"/>
      <c r="AB16" s="385"/>
      <c r="AD16" s="394"/>
    </row>
    <row r="17" spans="3:30" ht="21.95" customHeight="1">
      <c r="C17" s="394"/>
      <c r="W17" s="253"/>
      <c r="X17" s="253"/>
      <c r="AB17" s="385"/>
      <c r="AD17" s="394"/>
    </row>
    <row r="18" spans="3:30" ht="21.95" customHeight="1">
      <c r="C18" s="394"/>
      <c r="AB18" s="385"/>
      <c r="AD18" s="395"/>
    </row>
    <row r="19" spans="3:30" ht="21.95" customHeight="1">
      <c r="C19" s="394"/>
      <c r="AB19" s="385"/>
      <c r="AC19" s="130"/>
      <c r="AD19" s="394"/>
    </row>
    <row r="20" spans="3:30" ht="21.95" customHeight="1">
      <c r="C20" s="396"/>
      <c r="AB20" s="385"/>
      <c r="AD20" s="394"/>
    </row>
    <row r="21" spans="3:30" ht="21.95" customHeight="1">
      <c r="C21" s="394"/>
      <c r="AB21" s="385"/>
      <c r="AD21" s="394"/>
    </row>
    <row r="22" spans="3:30" ht="21.95" customHeight="1">
      <c r="C22" s="394"/>
      <c r="AB22" s="385"/>
      <c r="AD22" s="394"/>
    </row>
    <row r="23" spans="3:30" ht="21.95" customHeight="1">
      <c r="C23" s="394"/>
      <c r="AB23" s="385"/>
      <c r="AD23" s="394"/>
    </row>
    <row r="24" spans="3:30" ht="21.95" customHeight="1">
      <c r="C24" s="394"/>
      <c r="AB24" s="385"/>
      <c r="AD24" s="394"/>
    </row>
    <row r="25" spans="3:30" ht="21.95" customHeight="1">
      <c r="C25" s="395"/>
      <c r="AB25" s="385"/>
      <c r="AD25" s="394"/>
    </row>
    <row r="26" spans="3:30" ht="21.95" customHeight="1">
      <c r="C26" s="394"/>
      <c r="AB26" s="385"/>
      <c r="AD26" s="394"/>
    </row>
    <row r="27" spans="3:30" ht="21.95" customHeight="1">
      <c r="C27" s="394"/>
      <c r="AB27" s="385"/>
      <c r="AD27" s="394"/>
    </row>
    <row r="28" spans="3:30" ht="21.95" customHeight="1">
      <c r="C28" s="394"/>
      <c r="AB28" s="385"/>
      <c r="AD28" s="394"/>
    </row>
    <row r="29" spans="3:30" ht="21.95" customHeight="1">
      <c r="C29" s="394"/>
      <c r="AB29" s="385"/>
    </row>
    <row r="30" spans="3:30" ht="21.95" customHeight="1">
      <c r="C30" s="394"/>
      <c r="AB30" s="385"/>
    </row>
    <row r="31" spans="3:30" ht="21.95" customHeight="1">
      <c r="C31" s="394"/>
      <c r="AB31" s="385"/>
    </row>
    <row r="32" spans="3:30" ht="21.95" customHeight="1">
      <c r="C32" s="394"/>
      <c r="AB32" s="385"/>
    </row>
    <row r="33" spans="3:28" ht="21.95" customHeight="1">
      <c r="C33" s="394"/>
      <c r="AB33" s="385"/>
    </row>
    <row r="34" spans="3:28" ht="21.95" customHeight="1">
      <c r="C34" s="394"/>
      <c r="W34" s="168"/>
      <c r="AB34" s="385"/>
    </row>
    <row r="35" spans="3:28" ht="21.95" customHeight="1">
      <c r="C35" s="394"/>
      <c r="W35" s="168"/>
      <c r="AB35" s="385"/>
    </row>
    <row r="36" spans="3:28" ht="21.95" customHeight="1">
      <c r="W36" s="168"/>
      <c r="AB36" s="385"/>
    </row>
    <row r="37" spans="3:28" ht="21.95" customHeight="1">
      <c r="W37" s="168"/>
      <c r="AB37" s="385"/>
    </row>
    <row r="38" spans="3:28" ht="21.95" customHeight="1">
      <c r="W38" s="168"/>
      <c r="AB38" s="385"/>
    </row>
    <row r="39" spans="3:28" ht="21.95" customHeight="1">
      <c r="W39" s="168"/>
      <c r="AB39" s="385"/>
    </row>
    <row r="40" spans="3:28" ht="21.95" customHeight="1">
      <c r="W40" s="168"/>
      <c r="AB40" s="385"/>
    </row>
    <row r="41" spans="3:28" ht="21.95" customHeight="1">
      <c r="W41" s="168"/>
      <c r="AB41" s="385"/>
    </row>
    <row r="42" spans="3:28" ht="21.95" customHeight="1">
      <c r="W42" s="168"/>
      <c r="AB42" s="385"/>
    </row>
    <row r="43" spans="3:28" ht="21.95" customHeight="1">
      <c r="W43" s="168"/>
      <c r="AB43" s="385"/>
    </row>
    <row r="44" spans="3:28" ht="21.95" customHeight="1">
      <c r="AB44" s="385"/>
    </row>
    <row r="45" spans="3:28" ht="21.95" customHeight="1">
      <c r="AB45" s="385"/>
    </row>
    <row r="46" spans="3:28" ht="21.95" customHeight="1">
      <c r="AB46" s="385"/>
    </row>
    <row r="47" spans="3:28" ht="21.95" customHeight="1">
      <c r="AB47" s="385"/>
    </row>
    <row r="48" spans="3:28" ht="21.95" customHeight="1">
      <c r="AB48" s="385"/>
    </row>
    <row r="49" spans="28:28" ht="21.95" customHeight="1">
      <c r="AB49" s="385"/>
    </row>
    <row r="50" spans="28:28" ht="21.95" customHeight="1">
      <c r="AB50" s="385"/>
    </row>
    <row r="51" spans="28:28" ht="21.95" customHeight="1">
      <c r="AB51" s="385"/>
    </row>
    <row r="52" spans="28:28" ht="21.95" customHeight="1">
      <c r="AB52" s="385"/>
    </row>
    <row r="53" spans="28:28" ht="21.95" customHeight="1">
      <c r="AB53" s="385"/>
    </row>
    <row r="54" spans="28:28" ht="21.95" customHeight="1">
      <c r="AB54" s="385"/>
    </row>
    <row r="55" spans="28:28" ht="21.95" customHeight="1">
      <c r="AB55" s="385"/>
    </row>
    <row r="56" spans="28:28" ht="21.95" customHeight="1">
      <c r="AB56" s="385"/>
    </row>
    <row r="57" spans="28:28" ht="21.95" customHeight="1">
      <c r="AB57" s="385"/>
    </row>
    <row r="58" spans="28:28" ht="21.95" customHeight="1">
      <c r="AB58" s="385"/>
    </row>
    <row r="59" spans="28:28" ht="21.95" customHeight="1">
      <c r="AB59" s="385"/>
    </row>
    <row r="60" spans="28:28" ht="21.95" customHeight="1">
      <c r="AB60" s="385"/>
    </row>
    <row r="61" spans="28:28" ht="21.95" customHeight="1">
      <c r="AB61" s="385"/>
    </row>
    <row r="62" spans="28:28" ht="21.95" customHeight="1">
      <c r="AB62" s="385"/>
    </row>
    <row r="63" spans="28:28" ht="21.95" customHeight="1">
      <c r="AB63" s="385"/>
    </row>
    <row r="64" spans="28:28" ht="21.95" customHeight="1">
      <c r="AB64" s="385"/>
    </row>
    <row r="65" spans="28:28" ht="21.95" customHeight="1">
      <c r="AB65" s="385"/>
    </row>
    <row r="66" spans="28:28" ht="21.95" customHeight="1">
      <c r="AB66" s="385"/>
    </row>
    <row r="67" spans="28:28" ht="21.95" customHeight="1">
      <c r="AB67" s="385"/>
    </row>
    <row r="68" spans="28:28" ht="21.95" customHeight="1">
      <c r="AB68" s="385"/>
    </row>
    <row r="69" spans="28:28" ht="21.95" customHeight="1">
      <c r="AB69" s="385"/>
    </row>
    <row r="70" spans="28:28" ht="21.95" customHeight="1">
      <c r="AB70" s="385"/>
    </row>
    <row r="71" spans="28:28" ht="21.95" customHeight="1">
      <c r="AB71" s="385"/>
    </row>
    <row r="72" spans="28:28" ht="21.95" customHeight="1">
      <c r="AB72" s="385"/>
    </row>
    <row r="73" spans="28:28" ht="21.95" customHeight="1">
      <c r="AB73" s="385"/>
    </row>
    <row r="74" spans="28:28" ht="21.95" customHeight="1">
      <c r="AB74" s="385"/>
    </row>
    <row r="75" spans="28:28" ht="21.95" customHeight="1">
      <c r="AB75" s="385"/>
    </row>
    <row r="76" spans="28:28" ht="21.95" customHeight="1">
      <c r="AB76" s="385"/>
    </row>
    <row r="77" spans="28:28" ht="21.95" customHeight="1">
      <c r="AB77" s="385"/>
    </row>
    <row r="580" ht="21.75" customHeight="1"/>
    <row r="792" ht="24.75" customHeight="1"/>
    <row r="1181" ht="17.25" customHeight="1"/>
  </sheetData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AFE4-361D-4564-BE50-CDD005F5EA11}">
  <sheetPr codeName="Sheet17"/>
  <dimension ref="C1:L258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J20" sqref="J20"/>
    </sheetView>
  </sheetViews>
  <sheetFormatPr defaultRowHeight="25.5"/>
  <cols>
    <col min="1" max="1" width="2" style="13" customWidth="1"/>
    <col min="2" max="2" width="3.42578125" style="13" customWidth="1"/>
    <col min="3" max="3" width="7.140625" style="157" customWidth="1"/>
    <col min="4" max="4" width="17.7109375" style="161" customWidth="1"/>
    <col min="5" max="5" width="25.85546875" style="161" customWidth="1"/>
    <col min="6" max="6" width="20.42578125" style="161" customWidth="1"/>
    <col min="7" max="7" width="23" style="158" customWidth="1"/>
    <col min="8" max="8" width="17.5703125" style="159" customWidth="1"/>
    <col min="9" max="9" width="19" style="158" customWidth="1"/>
    <col min="10" max="10" width="20.42578125" style="157" customWidth="1"/>
    <col min="11" max="11" width="28" style="160" customWidth="1"/>
    <col min="12" max="12" width="17.140625" style="157" customWidth="1"/>
    <col min="13" max="13" width="37.140625" style="13" customWidth="1"/>
    <col min="14" max="16384" width="9.140625" style="13"/>
  </cols>
  <sheetData>
    <row r="1" spans="3:12" ht="20.25" hidden="1" customHeight="1">
      <c r="C1" s="13"/>
      <c r="D1" s="154"/>
      <c r="E1" s="154"/>
      <c r="F1" s="154"/>
      <c r="G1" s="142"/>
      <c r="H1" s="174"/>
      <c r="I1" s="142"/>
      <c r="J1" s="13"/>
      <c r="K1" s="156"/>
      <c r="L1" s="13"/>
    </row>
    <row r="2" spans="3:12" ht="20.25" hidden="1" customHeight="1">
      <c r="C2" s="13"/>
      <c r="D2" s="154"/>
      <c r="E2" s="154"/>
      <c r="F2" s="154"/>
      <c r="G2" s="142"/>
      <c r="H2" s="174"/>
      <c r="I2" s="142"/>
      <c r="J2" s="13"/>
      <c r="K2" s="156"/>
      <c r="L2" s="13"/>
    </row>
    <row r="3" spans="3:12" ht="20.25" customHeight="1">
      <c r="C3" s="13"/>
      <c r="D3" s="154"/>
      <c r="E3" s="154"/>
      <c r="F3" s="154"/>
      <c r="G3" s="142"/>
      <c r="H3" s="174"/>
      <c r="I3" s="142"/>
      <c r="J3" s="13"/>
      <c r="K3" s="156"/>
      <c r="L3" s="13"/>
    </row>
    <row r="4" spans="3:12" ht="36.75" customHeight="1">
      <c r="C4" s="256" t="s">
        <v>467</v>
      </c>
      <c r="D4" s="270"/>
      <c r="E4" s="270"/>
      <c r="F4" s="270"/>
      <c r="G4" s="271"/>
      <c r="H4" s="272"/>
      <c r="I4" s="271"/>
      <c r="J4" s="271"/>
      <c r="K4" s="271"/>
      <c r="L4" s="271"/>
    </row>
    <row r="5" spans="3:12" ht="26.25" customHeight="1">
      <c r="C5" s="13"/>
      <c r="D5" s="13"/>
      <c r="E5" s="13"/>
      <c r="F5" s="13"/>
      <c r="G5" s="13"/>
      <c r="H5" s="13"/>
      <c r="I5" s="13"/>
      <c r="J5" s="13"/>
      <c r="K5" s="13"/>
      <c r="L5" s="13"/>
    </row>
    <row r="6" spans="3:12" ht="26.25" customHeight="1">
      <c r="C6" s="290" t="s">
        <v>10</v>
      </c>
      <c r="D6" s="290" t="s">
        <v>107</v>
      </c>
      <c r="E6" s="290" t="s">
        <v>142</v>
      </c>
      <c r="F6" s="290" t="s">
        <v>193</v>
      </c>
      <c r="G6" s="290" t="s">
        <v>143</v>
      </c>
      <c r="H6" s="290" t="s">
        <v>150</v>
      </c>
      <c r="I6" s="290" t="s">
        <v>144</v>
      </c>
      <c r="J6" s="290" t="s">
        <v>149</v>
      </c>
      <c r="K6" s="290" t="s">
        <v>15</v>
      </c>
      <c r="L6" s="290" t="s">
        <v>109</v>
      </c>
    </row>
    <row r="7" spans="3:12" ht="19.5" customHeight="1">
      <c r="C7" s="345" t="s">
        <v>139</v>
      </c>
      <c r="D7" s="345" t="s">
        <v>102</v>
      </c>
      <c r="E7" s="345" t="s">
        <v>140</v>
      </c>
      <c r="F7" s="345" t="s">
        <v>194</v>
      </c>
      <c r="G7" s="345" t="s">
        <v>141</v>
      </c>
      <c r="H7" s="345" t="s">
        <v>151</v>
      </c>
      <c r="I7" s="345" t="s">
        <v>392</v>
      </c>
      <c r="J7" s="345" t="s">
        <v>148</v>
      </c>
      <c r="K7" s="345" t="s">
        <v>28</v>
      </c>
      <c r="L7" s="345" t="s">
        <v>98</v>
      </c>
    </row>
    <row r="8" spans="3:12">
      <c r="C8" s="157">
        <v>1</v>
      </c>
      <c r="D8" s="161">
        <v>1</v>
      </c>
      <c r="E8" s="161">
        <v>1</v>
      </c>
      <c r="F8" s="161">
        <v>1</v>
      </c>
      <c r="G8" s="158">
        <v>9</v>
      </c>
      <c r="H8" s="159">
        <v>46218</v>
      </c>
      <c r="I8" s="158" t="s">
        <v>554</v>
      </c>
      <c r="K8" s="160" t="s">
        <v>565</v>
      </c>
      <c r="L8" s="157">
        <v>2</v>
      </c>
    </row>
    <row r="105" ht="24" customHeight="1"/>
    <row r="258" spans="3:12" s="200" customFormat="1">
      <c r="C258" s="195"/>
      <c r="D258" s="196"/>
      <c r="E258" s="196"/>
      <c r="F258" s="196"/>
      <c r="G258" s="197"/>
      <c r="H258" s="198"/>
      <c r="I258" s="197"/>
      <c r="J258" s="195"/>
      <c r="K258" s="199"/>
      <c r="L258" s="195"/>
    </row>
  </sheetData>
  <phoneticPr fontId="34" type="noConversion"/>
  <printOptions horizontalCentered="1"/>
  <pageMargins left="7.874015748031496E-2" right="7.874015748031496E-2" top="7.874015748031496E-2" bottom="0.39370078740157483" header="7.874015748031496E-2" footer="7.874015748031496E-2"/>
  <pageSetup paperSize="9" scale="69" orientation="portrait" r:id="rId1"/>
  <headerFooter>
    <oddFooter>&amp;CPage &amp;P of &amp;N</oddFooter>
  </headerFooter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C1:AI376"/>
  <sheetViews>
    <sheetView showGridLines="0" zoomScale="80" zoomScaleNormal="80" zoomScaleSheetLayoutView="82" workbookViewId="0">
      <pane ySplit="7" topLeftCell="A8" activePane="bottomLeft" state="frozen"/>
      <selection activeCell="L28" sqref="L28"/>
      <selection pane="bottomLeft" activeCell="M25" sqref="M25"/>
    </sheetView>
  </sheetViews>
  <sheetFormatPr defaultRowHeight="21.95" customHeight="1"/>
  <cols>
    <col min="1" max="1" width="1.7109375" style="126" customWidth="1"/>
    <col min="2" max="2" width="2.85546875" style="126" customWidth="1"/>
    <col min="3" max="3" width="8.140625" style="126" customWidth="1"/>
    <col min="4" max="4" width="14.5703125" style="126" customWidth="1"/>
    <col min="5" max="5" width="17.28515625" style="126" bestFit="1" customWidth="1"/>
    <col min="6" max="6" width="16.7109375" style="168" customWidth="1"/>
    <col min="7" max="7" width="10.7109375" style="131" bestFit="1" customWidth="1"/>
    <col min="8" max="8" width="15.28515625" style="131" customWidth="1"/>
    <col min="9" max="9" width="15.140625" style="131" customWidth="1"/>
    <col min="10" max="10" width="15" style="126" customWidth="1"/>
    <col min="11" max="11" width="16.28515625" style="126" customWidth="1"/>
    <col min="12" max="12" width="19.85546875" style="143" customWidth="1"/>
    <col min="13" max="13" width="31" style="164" customWidth="1"/>
    <col min="14" max="14" width="17.28515625" style="126" customWidth="1"/>
    <col min="15" max="15" width="18.28515625" style="126" customWidth="1"/>
    <col min="16" max="16" width="18.85546875" style="126" bestFit="1" customWidth="1"/>
    <col min="17" max="17" width="18.42578125" style="164" bestFit="1" customWidth="1"/>
    <col min="18" max="18" width="18.42578125" style="153" customWidth="1"/>
    <col min="19" max="19" width="15.7109375" style="153" customWidth="1"/>
    <col min="20" max="20" width="19.7109375" style="227" customWidth="1"/>
    <col min="21" max="21" width="23.28515625" style="227" customWidth="1"/>
    <col min="22" max="22" width="22.42578125" style="172" bestFit="1" customWidth="1"/>
    <col min="23" max="23" width="15.5703125" style="131" customWidth="1"/>
    <col min="24" max="24" width="54.140625" style="127" bestFit="1" customWidth="1"/>
    <col min="25" max="25" width="9.28515625" style="126" customWidth="1"/>
    <col min="26" max="26" width="11.28515625" style="126" customWidth="1"/>
    <col min="27" max="27" width="8.85546875" style="126" customWidth="1"/>
    <col min="28" max="28" width="9.28515625" style="126" bestFit="1" customWidth="1"/>
    <col min="31" max="31" width="15.7109375" style="126" bestFit="1" customWidth="1"/>
    <col min="32" max="32" width="11.7109375" style="126" bestFit="1" customWidth="1"/>
    <col min="33" max="34" width="9.140625" style="126"/>
    <col min="35" max="35" width="20.28515625" style="126" bestFit="1" customWidth="1"/>
    <col min="36" max="16384" width="9.140625" style="126"/>
  </cols>
  <sheetData>
    <row r="1" spans="3:35" ht="21.95" hidden="1" customHeight="1">
      <c r="Q1" s="153"/>
    </row>
    <row r="2" spans="3:35" customFormat="1" ht="24.95" customHeight="1">
      <c r="F2" s="150"/>
      <c r="G2" s="129"/>
      <c r="H2" s="129"/>
      <c r="I2" s="129"/>
      <c r="L2" s="137"/>
      <c r="M2" s="138"/>
      <c r="Q2" s="68"/>
      <c r="R2" s="68"/>
      <c r="S2" s="68"/>
      <c r="T2" s="224"/>
      <c r="U2" s="224"/>
      <c r="V2" s="171"/>
      <c r="W2" s="129"/>
      <c r="X2" s="286"/>
      <c r="AE2" s="150"/>
      <c r="AF2" s="150"/>
    </row>
    <row r="3" spans="3:35" customFormat="1" ht="33.75">
      <c r="C3" s="328" t="s">
        <v>468</v>
      </c>
      <c r="D3" s="258"/>
      <c r="E3" s="258"/>
      <c r="F3" s="273"/>
      <c r="G3" s="274"/>
      <c r="H3" s="274"/>
      <c r="I3" s="274"/>
      <c r="J3" s="258"/>
      <c r="K3" s="258"/>
      <c r="L3" s="275"/>
      <c r="M3" s="276"/>
      <c r="N3" s="258"/>
      <c r="O3" s="258"/>
      <c r="P3" s="2"/>
      <c r="Q3" s="276"/>
      <c r="R3" s="276"/>
      <c r="S3" s="276"/>
      <c r="T3" s="259"/>
      <c r="U3" s="259">
        <f>P8*T8</f>
        <v>273.39999999999998</v>
      </c>
      <c r="V3" s="277"/>
      <c r="W3" s="274"/>
      <c r="X3" s="286"/>
      <c r="Y3" s="258"/>
      <c r="Z3" s="258"/>
      <c r="AA3" s="258"/>
      <c r="AB3" s="258"/>
    </row>
    <row r="4" spans="3:35" customFormat="1" ht="11.25" customHeight="1">
      <c r="F4" s="150"/>
      <c r="G4" s="129"/>
      <c r="H4" s="129"/>
      <c r="I4" s="129"/>
      <c r="L4" s="137"/>
      <c r="M4" s="138"/>
      <c r="Q4" s="68"/>
      <c r="R4" s="68"/>
      <c r="S4" s="68"/>
      <c r="T4" s="224"/>
      <c r="U4" s="224"/>
      <c r="V4" s="171"/>
      <c r="W4" s="129"/>
      <c r="X4" s="286"/>
    </row>
    <row r="5" spans="3:35" s="13" customFormat="1" ht="9" customHeight="1"/>
    <row r="6" spans="3:35" customFormat="1" ht="28.5" customHeight="1">
      <c r="C6" s="346" t="s">
        <v>10</v>
      </c>
      <c r="D6" s="346" t="s">
        <v>34</v>
      </c>
      <c r="E6" s="346" t="s">
        <v>125</v>
      </c>
      <c r="F6" s="347" t="s">
        <v>24</v>
      </c>
      <c r="G6" s="346" t="s">
        <v>41</v>
      </c>
      <c r="H6" s="346" t="s">
        <v>214</v>
      </c>
      <c r="I6" s="346" t="s">
        <v>211</v>
      </c>
      <c r="J6" s="346" t="s">
        <v>193</v>
      </c>
      <c r="K6" s="346" t="s">
        <v>131</v>
      </c>
      <c r="L6" s="346" t="s">
        <v>37</v>
      </c>
      <c r="M6" s="346" t="s">
        <v>38</v>
      </c>
      <c r="N6" s="346" t="s">
        <v>133</v>
      </c>
      <c r="O6" s="346" t="s">
        <v>122</v>
      </c>
      <c r="P6" s="346" t="s">
        <v>134</v>
      </c>
      <c r="Q6" s="346" t="s">
        <v>13</v>
      </c>
      <c r="R6" s="346" t="s">
        <v>264</v>
      </c>
      <c r="S6" s="346" t="s">
        <v>457</v>
      </c>
      <c r="T6" s="348" t="s">
        <v>138</v>
      </c>
      <c r="U6" s="348" t="s">
        <v>137</v>
      </c>
      <c r="V6" s="349" t="s">
        <v>24</v>
      </c>
      <c r="W6" s="346" t="s">
        <v>192</v>
      </c>
      <c r="X6" s="346" t="s">
        <v>473</v>
      </c>
      <c r="Y6" s="346" t="s">
        <v>109</v>
      </c>
      <c r="Z6" s="346" t="s">
        <v>23</v>
      </c>
      <c r="AA6" s="346" t="s">
        <v>95</v>
      </c>
      <c r="AB6" s="346" t="s">
        <v>120</v>
      </c>
    </row>
    <row r="7" spans="3:35" customFormat="1" ht="21.75" customHeight="1">
      <c r="C7" s="345" t="s">
        <v>139</v>
      </c>
      <c r="D7" s="345" t="s">
        <v>132</v>
      </c>
      <c r="E7" s="345" t="s">
        <v>96</v>
      </c>
      <c r="F7" s="350" t="s">
        <v>216</v>
      </c>
      <c r="G7" s="345" t="s">
        <v>11</v>
      </c>
      <c r="H7" s="345" t="s">
        <v>210</v>
      </c>
      <c r="I7" s="345" t="s">
        <v>424</v>
      </c>
      <c r="J7" s="345" t="s">
        <v>195</v>
      </c>
      <c r="K7" s="345" t="s">
        <v>130</v>
      </c>
      <c r="L7" s="345" t="s">
        <v>35</v>
      </c>
      <c r="M7" s="345" t="s">
        <v>190</v>
      </c>
      <c r="N7" s="345" t="s">
        <v>145</v>
      </c>
      <c r="O7" s="345" t="s">
        <v>146</v>
      </c>
      <c r="P7" s="345" t="s">
        <v>147</v>
      </c>
      <c r="Q7" s="345" t="s">
        <v>4</v>
      </c>
      <c r="R7" s="345" t="s">
        <v>197</v>
      </c>
      <c r="S7" s="345" t="s">
        <v>421</v>
      </c>
      <c r="T7" s="351" t="s">
        <v>135</v>
      </c>
      <c r="U7" s="351" t="s">
        <v>136</v>
      </c>
      <c r="V7" s="352" t="s">
        <v>215</v>
      </c>
      <c r="W7" s="345" t="s">
        <v>191</v>
      </c>
      <c r="X7" s="345" t="s">
        <v>472</v>
      </c>
      <c r="Y7" s="345" t="s">
        <v>98</v>
      </c>
      <c r="Z7" s="345" t="s">
        <v>26</v>
      </c>
      <c r="AA7" s="345" t="s">
        <v>2</v>
      </c>
      <c r="AB7" s="345" t="s">
        <v>121</v>
      </c>
    </row>
    <row r="8" spans="3:35" ht="21.95" customHeight="1">
      <c r="C8" s="126">
        <v>1</v>
      </c>
      <c r="D8" s="126">
        <v>1</v>
      </c>
      <c r="F8" s="168">
        <v>46218</v>
      </c>
      <c r="G8" s="131">
        <v>1</v>
      </c>
      <c r="J8" s="126">
        <v>1</v>
      </c>
      <c r="K8" s="126">
        <v>1</v>
      </c>
      <c r="L8" s="143" t="s">
        <v>486</v>
      </c>
      <c r="M8" s="164" t="s">
        <v>487</v>
      </c>
      <c r="N8" s="126">
        <v>0</v>
      </c>
      <c r="O8" s="126">
        <v>10</v>
      </c>
      <c r="P8" s="126">
        <v>10</v>
      </c>
      <c r="Q8" s="164" t="s">
        <v>566</v>
      </c>
      <c r="R8" s="153">
        <v>1</v>
      </c>
      <c r="T8" s="227">
        <v>27.34</v>
      </c>
      <c r="U8" s="227">
        <v>273.39999999999998</v>
      </c>
      <c r="V8" s="172">
        <v>46220.387384259258</v>
      </c>
      <c r="W8" s="131" t="s">
        <v>567</v>
      </c>
      <c r="Y8" s="126">
        <v>1</v>
      </c>
      <c r="Z8" s="126">
        <v>3</v>
      </c>
      <c r="AA8" s="126">
        <v>7</v>
      </c>
      <c r="AB8" s="126">
        <v>2026</v>
      </c>
      <c r="AE8" s="143"/>
    </row>
    <row r="9" spans="3:35" ht="21.95" customHeight="1">
      <c r="C9" s="126">
        <v>2</v>
      </c>
      <c r="D9" s="126">
        <v>1</v>
      </c>
      <c r="F9" s="168">
        <v>46218</v>
      </c>
      <c r="G9" s="131">
        <v>1</v>
      </c>
      <c r="J9" s="126">
        <v>1</v>
      </c>
      <c r="K9" s="126">
        <v>81</v>
      </c>
      <c r="L9" s="143" t="s">
        <v>570</v>
      </c>
      <c r="M9" s="164" t="s">
        <v>571</v>
      </c>
      <c r="N9" s="126">
        <v>0</v>
      </c>
      <c r="O9" s="126">
        <v>10</v>
      </c>
      <c r="P9" s="126">
        <v>120</v>
      </c>
      <c r="Q9" s="164" t="s">
        <v>572</v>
      </c>
      <c r="R9" s="153">
        <v>1</v>
      </c>
      <c r="T9" s="227">
        <v>74.400000000000006</v>
      </c>
      <c r="U9" s="227">
        <v>744</v>
      </c>
      <c r="V9" s="172">
        <v>46220.387384259258</v>
      </c>
      <c r="W9" s="131" t="s">
        <v>567</v>
      </c>
      <c r="Y9" s="126">
        <v>1</v>
      </c>
      <c r="Z9" s="126">
        <v>3</v>
      </c>
      <c r="AA9" s="126">
        <v>7</v>
      </c>
      <c r="AB9" s="126">
        <v>2026</v>
      </c>
      <c r="AE9" s="13"/>
      <c r="AF9" s="397"/>
      <c r="AG9" s="398"/>
      <c r="AI9" s="128"/>
    </row>
    <row r="10" spans="3:35" ht="21.95" customHeight="1">
      <c r="C10" s="126">
        <v>3</v>
      </c>
      <c r="D10" s="126">
        <v>1</v>
      </c>
      <c r="F10" s="168">
        <v>46218</v>
      </c>
      <c r="G10" s="131">
        <v>1</v>
      </c>
      <c r="J10" s="126">
        <v>1</v>
      </c>
      <c r="K10" s="126">
        <v>176</v>
      </c>
      <c r="L10" s="143" t="s">
        <v>574</v>
      </c>
      <c r="M10" s="164" t="s">
        <v>575</v>
      </c>
      <c r="N10" s="126">
        <v>0</v>
      </c>
      <c r="O10" s="126">
        <v>10</v>
      </c>
      <c r="P10" s="126">
        <v>10000</v>
      </c>
      <c r="Q10" s="164" t="s">
        <v>576</v>
      </c>
      <c r="R10" s="153">
        <v>1</v>
      </c>
      <c r="T10" s="227">
        <v>85</v>
      </c>
      <c r="U10" s="227">
        <v>850</v>
      </c>
      <c r="V10" s="172">
        <v>46220.387384259258</v>
      </c>
      <c r="W10" s="131" t="s">
        <v>567</v>
      </c>
      <c r="Y10" s="126">
        <v>1</v>
      </c>
      <c r="Z10" s="126">
        <v>3</v>
      </c>
      <c r="AA10" s="126">
        <v>7</v>
      </c>
      <c r="AB10" s="126">
        <v>2026</v>
      </c>
      <c r="AE10" s="13"/>
      <c r="AF10" s="397"/>
      <c r="AG10" s="398"/>
      <c r="AI10" s="128"/>
    </row>
    <row r="11" spans="3:35" ht="21.95" customHeight="1">
      <c r="AE11" s="13"/>
      <c r="AF11" s="397"/>
      <c r="AG11" s="398"/>
      <c r="AI11" s="128"/>
    </row>
    <row r="12" spans="3:35" ht="21.95" customHeight="1">
      <c r="AE12" s="13"/>
      <c r="AF12" s="399"/>
      <c r="AG12" s="400"/>
      <c r="AI12" s="128"/>
    </row>
    <row r="13" spans="3:35" ht="21.95" customHeight="1">
      <c r="AE13" s="13"/>
      <c r="AF13" s="397"/>
      <c r="AG13" s="398"/>
      <c r="AI13" s="128"/>
    </row>
    <row r="14" spans="3:35" ht="21.95" customHeight="1">
      <c r="AE14" s="13"/>
      <c r="AF14" s="397"/>
      <c r="AG14" s="398"/>
      <c r="AI14" s="128"/>
    </row>
    <row r="15" spans="3:35" ht="21.95" customHeight="1">
      <c r="AE15" s="13"/>
      <c r="AF15" s="397"/>
      <c r="AG15" s="398"/>
      <c r="AI15" s="128"/>
    </row>
    <row r="16" spans="3:35" ht="21.95" customHeight="1">
      <c r="AE16" s="13"/>
      <c r="AF16" s="397"/>
      <c r="AG16" s="398"/>
      <c r="AI16" s="128"/>
    </row>
    <row r="17" spans="31:35" ht="21.95" customHeight="1">
      <c r="AE17" s="13"/>
      <c r="AF17" s="397"/>
      <c r="AG17" s="398"/>
      <c r="AI17" s="128"/>
    </row>
    <row r="18" spans="31:35" ht="21.95" customHeight="1">
      <c r="AE18" s="13"/>
      <c r="AF18" s="397"/>
      <c r="AG18" s="398"/>
      <c r="AI18" s="128"/>
    </row>
    <row r="19" spans="31:35" ht="21.95" customHeight="1">
      <c r="AE19" s="13"/>
      <c r="AF19" s="397"/>
      <c r="AG19" s="398"/>
      <c r="AI19" s="128"/>
    </row>
    <row r="20" spans="31:35" ht="21.95" customHeight="1">
      <c r="AE20" s="13"/>
      <c r="AF20" s="397"/>
      <c r="AG20" s="398"/>
      <c r="AI20" s="128"/>
    </row>
    <row r="21" spans="31:35" ht="21.95" customHeight="1">
      <c r="AE21" s="13"/>
      <c r="AF21" s="397"/>
      <c r="AG21" s="398"/>
      <c r="AI21" s="128"/>
    </row>
    <row r="22" spans="31:35" ht="21.95" customHeight="1">
      <c r="AE22" s="13"/>
      <c r="AF22" s="397"/>
      <c r="AG22" s="398"/>
      <c r="AI22" s="128"/>
    </row>
    <row r="23" spans="31:35" ht="21.95" customHeight="1">
      <c r="AE23" s="13"/>
      <c r="AF23" s="397"/>
      <c r="AG23" s="398"/>
      <c r="AI23" s="128"/>
    </row>
    <row r="24" spans="31:35" ht="21.95" customHeight="1">
      <c r="AE24" s="13"/>
      <c r="AF24" s="397"/>
      <c r="AG24" s="398"/>
      <c r="AI24" s="128"/>
    </row>
    <row r="25" spans="31:35" ht="21.95" customHeight="1">
      <c r="AE25" s="13"/>
      <c r="AF25" s="397"/>
      <c r="AG25" s="398"/>
      <c r="AI25" s="128"/>
    </row>
    <row r="26" spans="31:35" ht="21.95" customHeight="1">
      <c r="AE26" s="13"/>
      <c r="AF26" s="401"/>
      <c r="AG26" s="402"/>
      <c r="AI26" s="128"/>
    </row>
    <row r="27" spans="31:35" ht="21.95" customHeight="1">
      <c r="AE27" s="13"/>
      <c r="AF27" s="401"/>
      <c r="AG27" s="402"/>
      <c r="AI27" s="128"/>
    </row>
    <row r="28" spans="31:35" ht="21.95" customHeight="1">
      <c r="AE28" s="13"/>
      <c r="AF28" s="403"/>
      <c r="AG28" s="404"/>
      <c r="AI28" s="128"/>
    </row>
    <row r="29" spans="31:35" ht="21.95" customHeight="1">
      <c r="AE29" s="13"/>
      <c r="AF29" s="397"/>
      <c r="AG29" s="398"/>
      <c r="AI29" s="128"/>
    </row>
    <row r="30" spans="31:35" ht="21.95" customHeight="1">
      <c r="AE30" s="13"/>
      <c r="AF30" s="397"/>
      <c r="AG30" s="398"/>
      <c r="AI30" s="128"/>
    </row>
    <row r="31" spans="31:35" ht="21.95" customHeight="1">
      <c r="AE31" s="13"/>
      <c r="AF31" s="397"/>
      <c r="AG31" s="398"/>
      <c r="AI31" s="128"/>
    </row>
    <row r="32" spans="31:35" ht="21.95" customHeight="1">
      <c r="AE32" s="13"/>
      <c r="AF32" s="397"/>
      <c r="AG32" s="398"/>
      <c r="AI32" s="128"/>
    </row>
    <row r="33" spans="31:35" ht="21.95" customHeight="1">
      <c r="AE33" s="13"/>
      <c r="AF33" s="397"/>
      <c r="AG33" s="398"/>
      <c r="AI33" s="128"/>
    </row>
    <row r="34" spans="31:35" ht="21.95" customHeight="1">
      <c r="AE34" s="13"/>
      <c r="AF34" s="397"/>
      <c r="AG34" s="398"/>
      <c r="AI34" s="128"/>
    </row>
    <row r="376" spans="7:21" ht="21" customHeight="1">
      <c r="G376" s="185"/>
      <c r="H376" s="185"/>
      <c r="I376" s="185"/>
      <c r="J376" s="184"/>
      <c r="K376" s="184"/>
      <c r="N376" s="184"/>
      <c r="O376" s="184"/>
      <c r="T376" s="228"/>
      <c r="U376" s="228"/>
    </row>
  </sheetData>
  <phoneticPr fontId="34" type="noConversion"/>
  <printOptions horizontalCentered="1"/>
  <pageMargins left="7.874015748031496E-2" right="7.874015748031496E-2" top="3.937007874015748E-2" bottom="0.39370078740157483" header="7.874015748031496E-2" footer="7.874015748031496E-2"/>
  <pageSetup paperSize="9" scale="76" orientation="landscape" r:id="rId1"/>
  <headerFooter>
    <oddFooter>&amp;CPage 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155B-909D-4572-8E68-781C3A9B4F49}">
  <sheetPr codeName="Sheet21"/>
  <dimension ref="C1:S10"/>
  <sheetViews>
    <sheetView showGridLines="0" topLeftCell="A3" zoomScale="80" zoomScaleNormal="80" workbookViewId="0">
      <pane ySplit="5" topLeftCell="A8" activePane="bottomLeft" state="frozen"/>
      <selection activeCell="L28" sqref="L28"/>
      <selection pane="bottomLeft" activeCell="I18" sqref="I18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3" customWidth="1"/>
    <col min="5" max="5" width="31.140625" style="169" customWidth="1"/>
    <col min="6" max="6" width="26.28515625" style="153" customWidth="1"/>
    <col min="7" max="7" width="22.28515625" style="153" customWidth="1"/>
    <col min="8" max="8" width="19" style="164" customWidth="1"/>
    <col min="9" max="9" width="18" style="248" customWidth="1"/>
    <col min="10" max="10" width="15.7109375" style="126" customWidth="1"/>
    <col min="11" max="11" width="14.5703125" style="126" customWidth="1"/>
    <col min="12" max="12" width="13" style="126" customWidth="1"/>
    <col min="13" max="13" width="12.5703125" style="126" customWidth="1"/>
    <col min="14" max="14" width="14.5703125" style="126" customWidth="1"/>
    <col min="15" max="15" width="19.28515625" style="126" hidden="1" customWidth="1"/>
    <col min="16" max="16" width="19.5703125" style="126" hidden="1" customWidth="1"/>
    <col min="17" max="17" width="16.28515625" style="126" hidden="1" customWidth="1"/>
    <col min="18" max="18" width="13.7109375" style="126" hidden="1" customWidth="1"/>
    <col min="19" max="19" width="12.5703125" style="126" hidden="1" customWidth="1"/>
    <col min="20" max="16384" width="12.5703125" style="126"/>
  </cols>
  <sheetData>
    <row r="1" spans="3:19" s="13" customFormat="1" ht="23.25" hidden="1">
      <c r="C1" s="126"/>
      <c r="D1" s="142"/>
      <c r="E1" s="169"/>
      <c r="F1" s="153"/>
      <c r="G1" s="153"/>
      <c r="H1" s="164"/>
      <c r="I1" s="248"/>
    </row>
    <row r="2" spans="3:19" s="13" customFormat="1" ht="23.25" hidden="1">
      <c r="C2" s="126"/>
      <c r="D2" s="142"/>
      <c r="E2" s="169"/>
      <c r="F2" s="153"/>
      <c r="G2" s="153"/>
      <c r="H2" s="164"/>
      <c r="I2" s="248"/>
    </row>
    <row r="3" spans="3:19" s="13" customFormat="1" ht="23.25">
      <c r="C3" s="126"/>
      <c r="D3" s="142"/>
      <c r="E3" s="169"/>
      <c r="F3" s="153"/>
      <c r="G3" s="153"/>
      <c r="H3" s="164"/>
      <c r="I3" s="248"/>
    </row>
    <row r="4" spans="3:19" s="13" customFormat="1" ht="32.25" customHeight="1">
      <c r="C4" s="126"/>
      <c r="D4" s="142"/>
      <c r="E4" s="173"/>
      <c r="F4" s="205"/>
      <c r="G4" s="205"/>
      <c r="H4" s="204"/>
      <c r="I4" s="249"/>
    </row>
    <row r="5" spans="3:19" s="13" customFormat="1" ht="8.25" customHeight="1">
      <c r="C5" s="126"/>
      <c r="D5" s="142"/>
      <c r="E5" s="169"/>
      <c r="F5" s="153"/>
      <c r="G5" s="153"/>
      <c r="H5" s="164"/>
      <c r="I5" s="248"/>
    </row>
    <row r="6" spans="3:19" s="13" customFormat="1" ht="25.5">
      <c r="C6" s="290" t="s">
        <v>173</v>
      </c>
      <c r="D6" s="291" t="s">
        <v>213</v>
      </c>
      <c r="E6" s="291" t="s">
        <v>12</v>
      </c>
      <c r="F6" s="290" t="s">
        <v>293</v>
      </c>
      <c r="G6" s="290" t="s">
        <v>186</v>
      </c>
      <c r="H6" s="290" t="s">
        <v>214</v>
      </c>
      <c r="I6" s="292" t="s">
        <v>211</v>
      </c>
      <c r="J6" s="290" t="s">
        <v>174</v>
      </c>
      <c r="K6" s="290" t="s">
        <v>175</v>
      </c>
      <c r="L6" s="290" t="s">
        <v>119</v>
      </c>
      <c r="M6" s="290" t="s">
        <v>176</v>
      </c>
      <c r="N6" s="290" t="s">
        <v>177</v>
      </c>
      <c r="O6" s="155" t="s">
        <v>178</v>
      </c>
      <c r="P6" s="155" t="s">
        <v>179</v>
      </c>
      <c r="Q6" s="155" t="s">
        <v>180</v>
      </c>
      <c r="R6" s="155" t="s">
        <v>181</v>
      </c>
      <c r="S6" s="155" t="s">
        <v>182</v>
      </c>
    </row>
    <row r="7" spans="3:19" ht="20.25" customHeight="1">
      <c r="C7" s="293" t="s">
        <v>162</v>
      </c>
      <c r="D7" s="294" t="s">
        <v>207</v>
      </c>
      <c r="E7" s="294" t="s">
        <v>17</v>
      </c>
      <c r="F7" s="293" t="s">
        <v>294</v>
      </c>
      <c r="G7" s="293" t="s">
        <v>163</v>
      </c>
      <c r="H7" s="293" t="s">
        <v>210</v>
      </c>
      <c r="I7" s="295" t="s">
        <v>202</v>
      </c>
      <c r="J7" s="293" t="s">
        <v>164</v>
      </c>
      <c r="K7" s="293" t="s">
        <v>165</v>
      </c>
      <c r="L7" s="293" t="s">
        <v>172</v>
      </c>
      <c r="M7" s="293" t="s">
        <v>166</v>
      </c>
      <c r="N7" s="293" t="s">
        <v>167</v>
      </c>
      <c r="O7" s="152" t="s">
        <v>168</v>
      </c>
      <c r="P7" s="152" t="s">
        <v>169</v>
      </c>
      <c r="Q7" s="152" t="s">
        <v>170</v>
      </c>
      <c r="R7" s="152" t="s">
        <v>171</v>
      </c>
      <c r="S7" s="152" t="s">
        <v>183</v>
      </c>
    </row>
    <row r="8" spans="3:19" ht="23.1" customHeight="1">
      <c r="C8" s="126">
        <v>1</v>
      </c>
      <c r="D8" s="143" t="s">
        <v>486</v>
      </c>
      <c r="E8" s="169" t="s">
        <v>487</v>
      </c>
      <c r="F8" s="153">
        <v>1</v>
      </c>
      <c r="G8" s="153">
        <v>1</v>
      </c>
      <c r="J8" s="126">
        <v>15</v>
      </c>
      <c r="K8" s="126">
        <v>10</v>
      </c>
      <c r="L8" s="126">
        <v>0</v>
      </c>
      <c r="M8" s="126">
        <v>0</v>
      </c>
      <c r="N8" s="126">
        <v>5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</row>
    <row r="9" spans="3:19" ht="23.1" customHeight="1">
      <c r="C9" s="126">
        <v>81</v>
      </c>
      <c r="D9" s="143" t="s">
        <v>570</v>
      </c>
      <c r="E9" s="169" t="s">
        <v>571</v>
      </c>
      <c r="F9" s="153">
        <v>1</v>
      </c>
      <c r="G9" s="153">
        <v>1</v>
      </c>
      <c r="J9" s="126">
        <v>180</v>
      </c>
      <c r="K9" s="126">
        <v>120</v>
      </c>
      <c r="L9" s="126">
        <v>0</v>
      </c>
      <c r="M9" s="126">
        <v>0</v>
      </c>
      <c r="N9" s="126">
        <v>60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</row>
    <row r="10" spans="3:19" ht="23.1" customHeight="1">
      <c r="C10" s="126">
        <v>176</v>
      </c>
      <c r="D10" s="143" t="s">
        <v>574</v>
      </c>
      <c r="E10" s="169" t="s">
        <v>575</v>
      </c>
      <c r="F10" s="153">
        <v>1</v>
      </c>
      <c r="G10" s="153">
        <v>1</v>
      </c>
      <c r="J10" s="126">
        <v>15000</v>
      </c>
      <c r="K10" s="126">
        <v>10000</v>
      </c>
      <c r="L10" s="126">
        <v>0</v>
      </c>
      <c r="M10" s="126">
        <v>0</v>
      </c>
      <c r="N10" s="126">
        <v>5000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D125C-FC1F-401E-9F7B-AF077D98F1B3}">
  <sheetPr codeName="Sheet48"/>
  <dimension ref="C1:W379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L25" sqref="L25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4.28515625" style="126" customWidth="1"/>
    <col min="4" max="4" width="23.42578125" style="143" customWidth="1"/>
    <col min="5" max="5" width="36.140625" style="164" customWidth="1"/>
    <col min="6" max="6" width="18.7109375" style="131" customWidth="1"/>
    <col min="7" max="7" width="19.42578125" style="131" customWidth="1"/>
    <col min="8" max="8" width="19.140625" style="167" customWidth="1"/>
    <col min="9" max="9" width="14.5703125" style="126" customWidth="1"/>
    <col min="10" max="10" width="13" style="126" customWidth="1"/>
    <col min="11" max="11" width="12.5703125" style="126" customWidth="1"/>
    <col min="12" max="12" width="14.5703125" style="126" customWidth="1"/>
    <col min="13" max="13" width="19.28515625" style="126" hidden="1" customWidth="1"/>
    <col min="14" max="14" width="19.5703125" style="126" hidden="1" customWidth="1"/>
    <col min="15" max="15" width="16.28515625" style="126" hidden="1" customWidth="1"/>
    <col min="16" max="16" width="13.7109375" style="126" hidden="1" customWidth="1"/>
    <col min="17" max="17" width="12.5703125" style="126" hidden="1" customWidth="1"/>
    <col min="18" max="18" width="27.7109375" style="183" customWidth="1"/>
    <col min="19" max="16384" width="12.5703125" style="130"/>
  </cols>
  <sheetData>
    <row r="1" spans="3:23" customFormat="1" ht="23.25" hidden="1">
      <c r="C1" s="13"/>
      <c r="D1" s="142"/>
      <c r="E1" s="127"/>
      <c r="F1" s="131"/>
      <c r="G1" s="131"/>
      <c r="H1" s="167"/>
      <c r="I1" s="13"/>
      <c r="J1" s="13"/>
      <c r="K1" s="13"/>
      <c r="L1" s="13"/>
      <c r="M1" s="13"/>
      <c r="N1" s="13"/>
      <c r="O1" s="13"/>
      <c r="P1" s="13"/>
      <c r="Q1" s="13"/>
      <c r="R1" s="132"/>
    </row>
    <row r="2" spans="3:23" customFormat="1" ht="23.25" hidden="1">
      <c r="C2" s="13"/>
      <c r="D2" s="142"/>
      <c r="E2" s="127"/>
      <c r="F2" s="131"/>
      <c r="G2" s="131"/>
      <c r="H2" s="167"/>
      <c r="I2" s="13"/>
      <c r="J2" s="13"/>
      <c r="K2" s="13"/>
      <c r="L2" s="13"/>
      <c r="M2" s="13"/>
      <c r="N2" s="13"/>
      <c r="O2" s="13"/>
      <c r="P2" s="13"/>
      <c r="Q2" s="13"/>
      <c r="R2" s="132"/>
    </row>
    <row r="3" spans="3:23" customFormat="1" ht="23.25">
      <c r="C3" s="13"/>
      <c r="D3" s="143"/>
      <c r="E3" s="127"/>
      <c r="F3" s="131"/>
      <c r="G3" s="131"/>
      <c r="H3" s="167"/>
      <c r="I3" s="13"/>
      <c r="J3" s="13"/>
      <c r="K3" s="13"/>
      <c r="L3" s="13"/>
      <c r="M3" s="13"/>
      <c r="N3" s="13"/>
      <c r="O3" s="13"/>
      <c r="P3" s="13"/>
      <c r="Q3" s="13"/>
      <c r="R3" s="132"/>
    </row>
    <row r="4" spans="3:23" customFormat="1" ht="32.25" customHeight="1">
      <c r="C4" s="13"/>
      <c r="D4" s="142"/>
      <c r="E4" s="127"/>
      <c r="F4" s="131"/>
      <c r="G4" s="131"/>
      <c r="H4" s="167"/>
      <c r="I4" s="13"/>
      <c r="J4" s="13"/>
      <c r="K4" s="13"/>
      <c r="L4" s="13"/>
      <c r="M4" s="13"/>
      <c r="N4" s="13"/>
      <c r="O4" s="13"/>
      <c r="P4" s="13"/>
      <c r="Q4" s="13"/>
      <c r="R4" s="132"/>
      <c r="T4" s="126"/>
      <c r="U4" s="126"/>
      <c r="V4" s="163"/>
      <c r="W4" s="127"/>
    </row>
    <row r="5" spans="3:23" customFormat="1" ht="8.25" customHeight="1">
      <c r="C5" s="13"/>
      <c r="D5" s="142"/>
      <c r="E5" s="127"/>
      <c r="F5" s="131"/>
      <c r="G5" s="131"/>
      <c r="H5" s="167"/>
      <c r="I5" s="13"/>
      <c r="J5" s="13"/>
      <c r="K5" s="13"/>
      <c r="L5" s="13"/>
      <c r="M5" s="13"/>
      <c r="N5" s="13"/>
      <c r="O5" s="13"/>
      <c r="P5" s="13"/>
      <c r="Q5" s="13"/>
      <c r="R5" s="132"/>
    </row>
    <row r="6" spans="3:23" customFormat="1" ht="25.5">
      <c r="C6" s="290" t="s">
        <v>173</v>
      </c>
      <c r="D6" s="291" t="s">
        <v>213</v>
      </c>
      <c r="E6" s="290" t="s">
        <v>12</v>
      </c>
      <c r="F6" s="290" t="s">
        <v>224</v>
      </c>
      <c r="G6" s="290" t="s">
        <v>295</v>
      </c>
      <c r="H6" s="290" t="s">
        <v>24</v>
      </c>
      <c r="I6" s="290" t="s">
        <v>118</v>
      </c>
      <c r="J6" s="290" t="s">
        <v>119</v>
      </c>
      <c r="K6" s="290" t="s">
        <v>176</v>
      </c>
      <c r="L6" s="290" t="s">
        <v>177</v>
      </c>
      <c r="M6" s="155" t="s">
        <v>178</v>
      </c>
      <c r="N6" s="155" t="s">
        <v>179</v>
      </c>
      <c r="O6" s="155" t="s">
        <v>180</v>
      </c>
      <c r="P6" s="155" t="s">
        <v>181</v>
      </c>
      <c r="Q6" s="155" t="s">
        <v>182</v>
      </c>
      <c r="R6" s="132"/>
    </row>
    <row r="7" spans="3:23" s="126" customFormat="1" ht="20.25" customHeight="1">
      <c r="C7" s="293" t="s">
        <v>162</v>
      </c>
      <c r="D7" s="294" t="s">
        <v>207</v>
      </c>
      <c r="E7" s="293" t="s">
        <v>17</v>
      </c>
      <c r="F7" s="293" t="s">
        <v>292</v>
      </c>
      <c r="G7" s="293" t="s">
        <v>163</v>
      </c>
      <c r="H7" s="293" t="s">
        <v>21</v>
      </c>
      <c r="I7" s="293" t="s">
        <v>165</v>
      </c>
      <c r="J7" s="293" t="s">
        <v>172</v>
      </c>
      <c r="K7" s="293" t="s">
        <v>166</v>
      </c>
      <c r="L7" s="293" t="s">
        <v>167</v>
      </c>
      <c r="M7" s="152" t="s">
        <v>168</v>
      </c>
      <c r="N7" s="152" t="s">
        <v>169</v>
      </c>
      <c r="O7" s="152" t="s">
        <v>170</v>
      </c>
      <c r="P7" s="152" t="s">
        <v>171</v>
      </c>
      <c r="Q7" s="152" t="s">
        <v>183</v>
      </c>
      <c r="R7" s="128"/>
    </row>
    <row r="8" spans="3:23" ht="23.1" customHeight="1">
      <c r="C8" s="126">
        <v>1</v>
      </c>
      <c r="D8" s="143" t="s">
        <v>486</v>
      </c>
      <c r="E8" s="164" t="s">
        <v>487</v>
      </c>
      <c r="F8" s="131">
        <v>1</v>
      </c>
      <c r="G8" s="131">
        <v>1</v>
      </c>
      <c r="H8" s="167">
        <v>46218</v>
      </c>
      <c r="I8" s="126">
        <v>10</v>
      </c>
      <c r="J8" s="126">
        <v>0</v>
      </c>
      <c r="K8" s="126">
        <v>0</v>
      </c>
      <c r="L8" s="126">
        <v>5</v>
      </c>
      <c r="M8" s="126">
        <v>0</v>
      </c>
      <c r="N8" s="126">
        <v>0</v>
      </c>
      <c r="O8" s="126">
        <v>0</v>
      </c>
      <c r="P8" s="126">
        <v>0</v>
      </c>
      <c r="Q8" s="126">
        <v>0</v>
      </c>
      <c r="R8" s="128"/>
      <c r="S8" s="126"/>
      <c r="T8" s="126"/>
    </row>
    <row r="9" spans="3:23" ht="23.1" customHeight="1">
      <c r="C9" s="126">
        <v>81</v>
      </c>
      <c r="D9" s="143" t="s">
        <v>570</v>
      </c>
      <c r="E9" s="164" t="s">
        <v>571</v>
      </c>
      <c r="F9" s="131">
        <v>1</v>
      </c>
      <c r="G9" s="131">
        <v>1</v>
      </c>
      <c r="H9" s="167">
        <v>46218</v>
      </c>
      <c r="I9" s="126">
        <v>120</v>
      </c>
      <c r="J9" s="126">
        <v>0</v>
      </c>
      <c r="K9" s="126">
        <v>0</v>
      </c>
      <c r="L9" s="126">
        <v>60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8"/>
      <c r="S9" s="126"/>
      <c r="T9" s="126"/>
    </row>
    <row r="10" spans="3:23" ht="23.1" customHeight="1">
      <c r="C10" s="126">
        <v>176</v>
      </c>
      <c r="D10" s="143" t="s">
        <v>574</v>
      </c>
      <c r="E10" s="164" t="s">
        <v>575</v>
      </c>
      <c r="F10" s="131">
        <v>1</v>
      </c>
      <c r="G10" s="131">
        <v>1</v>
      </c>
      <c r="H10" s="167">
        <v>46218</v>
      </c>
      <c r="I10" s="126">
        <v>10000</v>
      </c>
      <c r="J10" s="126">
        <v>0</v>
      </c>
      <c r="K10" s="126">
        <v>0</v>
      </c>
      <c r="L10" s="126">
        <v>5000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8"/>
      <c r="S10" s="126"/>
      <c r="T10" s="126"/>
    </row>
    <row r="11" spans="3:23" ht="23.1" customHeight="1">
      <c r="R11" s="128"/>
      <c r="S11" s="126"/>
      <c r="T11" s="126"/>
    </row>
    <row r="12" spans="3:23" ht="23.1" customHeight="1">
      <c r="R12" s="128"/>
      <c r="S12" s="126"/>
      <c r="T12" s="126"/>
    </row>
    <row r="13" spans="3:23" ht="23.1" customHeight="1">
      <c r="R13" s="128"/>
      <c r="S13" s="126"/>
      <c r="T13" s="126"/>
    </row>
    <row r="14" spans="3:23" ht="23.1" customHeight="1">
      <c r="R14" s="128"/>
      <c r="S14" s="126"/>
      <c r="T14" s="126"/>
    </row>
    <row r="15" spans="3:23" ht="23.1" customHeight="1">
      <c r="R15" s="128"/>
      <c r="S15" s="126"/>
      <c r="T15" s="126"/>
    </row>
    <row r="17" spans="18:18" ht="23.1" customHeight="1">
      <c r="R17" s="409"/>
    </row>
    <row r="18" spans="18:18" ht="23.1" customHeight="1">
      <c r="R18" s="409"/>
    </row>
    <row r="19" spans="18:18" ht="23.1" customHeight="1">
      <c r="R19" s="409"/>
    </row>
    <row r="20" spans="18:18" ht="23.1" customHeight="1">
      <c r="R20" s="409"/>
    </row>
    <row r="21" spans="18:18" ht="23.1" customHeight="1">
      <c r="R21" s="409"/>
    </row>
    <row r="23" spans="18:18" ht="23.1" customHeight="1">
      <c r="R23" s="409"/>
    </row>
    <row r="24" spans="18:18" ht="23.1" customHeight="1">
      <c r="R24" s="409"/>
    </row>
    <row r="26" spans="18:18" ht="23.1" customHeight="1">
      <c r="R26" s="409"/>
    </row>
    <row r="347" spans="18:18" ht="23.1" customHeight="1">
      <c r="R347" s="126"/>
    </row>
    <row r="349" spans="18:18" ht="23.1" customHeight="1">
      <c r="R349" s="126"/>
    </row>
    <row r="350" spans="18:18" ht="23.1" customHeight="1">
      <c r="R350" s="126"/>
    </row>
    <row r="352" spans="18:18" ht="23.1" customHeight="1">
      <c r="R352" s="126"/>
    </row>
    <row r="354" spans="18:18" ht="23.1" customHeight="1">
      <c r="R354" s="126"/>
    </row>
    <row r="357" spans="18:18" ht="23.1" customHeight="1">
      <c r="R357" s="126"/>
    </row>
    <row r="360" spans="18:18" ht="23.1" customHeight="1">
      <c r="R360" s="126"/>
    </row>
    <row r="361" spans="18:18" ht="23.1" customHeight="1">
      <c r="R361" s="126"/>
    </row>
    <row r="363" spans="18:18" ht="23.1" customHeight="1">
      <c r="R363" s="126"/>
    </row>
    <row r="365" spans="18:18" ht="23.1" customHeight="1">
      <c r="R365" s="126"/>
    </row>
    <row r="368" spans="18:18" ht="23.1" customHeight="1">
      <c r="R368" s="126"/>
    </row>
    <row r="370" spans="18:18" ht="23.1" customHeight="1">
      <c r="R370" s="126"/>
    </row>
    <row r="372" spans="18:18" ht="23.1" customHeight="1">
      <c r="R372" s="126"/>
    </row>
    <row r="373" spans="18:18" ht="23.1" customHeight="1">
      <c r="R373" s="126"/>
    </row>
    <row r="375" spans="18:18" ht="23.1" customHeight="1">
      <c r="R375" s="126"/>
    </row>
    <row r="376" spans="18:18" ht="23.1" customHeight="1">
      <c r="R376" s="126"/>
    </row>
    <row r="379" spans="18:18" ht="23.1" customHeight="1">
      <c r="R379" s="126"/>
    </row>
  </sheetData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E7F01-1A65-41C9-973F-35C1A88204D8}">
  <sheetPr codeName="Sheet16"/>
  <dimension ref="B1:AF1800"/>
  <sheetViews>
    <sheetView showGridLines="0" topLeftCell="A3" zoomScale="80" zoomScaleNormal="80" workbookViewId="0">
      <pane ySplit="5" topLeftCell="A8" activePane="bottomLeft" state="frozen"/>
      <selection activeCell="L28" sqref="L28"/>
      <selection pane="bottomLeft" activeCell="F13" sqref="F13"/>
    </sheetView>
  </sheetViews>
  <sheetFormatPr defaultColWidth="15.42578125" defaultRowHeight="23.1" customHeight="1"/>
  <cols>
    <col min="1" max="1" width="1.42578125" style="130" customWidth="1"/>
    <col min="2" max="2" width="2.42578125" style="140" customWidth="1"/>
    <col min="3" max="3" width="9.42578125" style="126" customWidth="1"/>
    <col min="4" max="4" width="22.85546875" style="126" customWidth="1"/>
    <col min="5" max="5" width="24" style="143" customWidth="1"/>
    <col min="6" max="6" width="29.42578125" style="169" bestFit="1" customWidth="1"/>
    <col min="7" max="7" width="15.42578125" style="168" customWidth="1"/>
    <col min="8" max="8" width="14.85546875" style="131" customWidth="1"/>
    <col min="9" max="9" width="18.7109375" style="131" customWidth="1"/>
    <col min="10" max="10" width="14.28515625" style="143" customWidth="1"/>
    <col min="11" max="20" width="5.28515625" style="143" bestFit="1" customWidth="1"/>
    <col min="21" max="21" width="15.42578125" style="126" customWidth="1"/>
    <col min="22" max="22" width="18" style="239" customWidth="1"/>
    <col min="23" max="23" width="19.5703125" style="239" customWidth="1"/>
    <col min="24" max="25" width="18.85546875" style="126" customWidth="1"/>
    <col min="26" max="26" width="18.85546875" style="168" customWidth="1"/>
    <col min="27" max="27" width="24.140625" style="202" customWidth="1"/>
    <col min="28" max="28" width="8.28515625" style="131" customWidth="1"/>
    <col min="29" max="29" width="11.42578125" style="126" customWidth="1"/>
    <col min="30" max="30" width="10.7109375" style="126" customWidth="1"/>
    <col min="31" max="16384" width="15.42578125" style="130"/>
  </cols>
  <sheetData>
    <row r="1" spans="2:32" customFormat="1" ht="23.25" hidden="1">
      <c r="B1" s="135"/>
      <c r="C1" s="13"/>
      <c r="D1" s="13"/>
      <c r="E1" s="142"/>
      <c r="F1" s="169"/>
      <c r="G1" s="167"/>
      <c r="H1" s="131"/>
      <c r="I1" s="131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3"/>
      <c r="V1" s="229"/>
      <c r="W1" s="229"/>
      <c r="X1" s="13"/>
      <c r="Y1" s="13"/>
      <c r="Z1" s="167"/>
      <c r="AA1" s="202"/>
      <c r="AB1" s="131"/>
      <c r="AC1" s="13"/>
      <c r="AD1" s="13"/>
    </row>
    <row r="2" spans="2:32" customFormat="1" ht="23.25" hidden="1">
      <c r="B2" s="135"/>
      <c r="C2" s="13"/>
      <c r="D2" s="13"/>
      <c r="E2" s="142"/>
      <c r="F2" s="169"/>
      <c r="G2" s="167"/>
      <c r="H2" s="131"/>
      <c r="I2" s="131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3"/>
      <c r="V2" s="229"/>
      <c r="W2" s="229"/>
      <c r="X2" s="13"/>
      <c r="Y2" s="13"/>
      <c r="Z2" s="167"/>
      <c r="AA2" s="202"/>
      <c r="AB2" s="131"/>
      <c r="AC2" s="13"/>
      <c r="AD2" s="13"/>
    </row>
    <row r="3" spans="2:32" customFormat="1" ht="23.25">
      <c r="B3" s="135"/>
      <c r="C3" s="13"/>
      <c r="D3" s="13"/>
      <c r="E3" s="142"/>
      <c r="F3" s="169"/>
      <c r="G3" s="167"/>
      <c r="H3" s="131"/>
      <c r="I3" s="131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3"/>
      <c r="V3" s="229"/>
      <c r="W3" s="229"/>
      <c r="X3" s="13"/>
      <c r="Y3" s="13"/>
      <c r="Z3" s="167"/>
      <c r="AA3" s="202"/>
      <c r="AB3" s="131"/>
      <c r="AC3" s="13"/>
      <c r="AD3" s="13"/>
    </row>
    <row r="4" spans="2:32" customFormat="1" ht="23.25">
      <c r="B4" s="135"/>
      <c r="C4" s="13"/>
      <c r="D4" s="13"/>
      <c r="E4" s="142"/>
      <c r="F4" s="169"/>
      <c r="G4" s="167"/>
      <c r="H4" s="131"/>
      <c r="I4" s="131"/>
      <c r="J4" s="142"/>
      <c r="K4" s="142"/>
      <c r="L4" s="142"/>
      <c r="M4" s="142"/>
      <c r="N4" s="142"/>
      <c r="O4" s="142"/>
      <c r="P4" s="142"/>
      <c r="Q4" s="142"/>
      <c r="R4" s="143"/>
      <c r="S4" s="143"/>
      <c r="T4" s="142"/>
      <c r="U4" s="13"/>
      <c r="V4" s="229"/>
      <c r="W4" s="229"/>
      <c r="X4" s="13"/>
      <c r="Y4" s="13"/>
      <c r="Z4" s="167"/>
      <c r="AA4" s="202"/>
      <c r="AB4" s="131"/>
      <c r="AC4" s="13"/>
      <c r="AD4" s="13"/>
    </row>
    <row r="5" spans="2:32" customFormat="1" ht="23.25">
      <c r="B5" s="135"/>
      <c r="C5" s="13"/>
      <c r="D5" s="13"/>
      <c r="E5" s="142"/>
      <c r="F5" s="169"/>
      <c r="G5" s="167"/>
      <c r="H5" s="131"/>
      <c r="I5" s="131"/>
      <c r="J5" s="142"/>
      <c r="K5" s="142"/>
      <c r="L5" s="142"/>
      <c r="M5" s="142"/>
      <c r="N5" s="142"/>
      <c r="O5" s="142"/>
      <c r="P5" s="13"/>
      <c r="Q5" s="142"/>
      <c r="R5" s="142"/>
      <c r="S5" s="142"/>
      <c r="T5" s="142"/>
      <c r="U5" s="13"/>
      <c r="V5" s="229"/>
      <c r="W5" s="229"/>
      <c r="X5" s="13"/>
      <c r="Y5" s="13"/>
      <c r="Z5" s="167"/>
      <c r="AA5" s="202"/>
      <c r="AB5" s="131"/>
      <c r="AC5" s="13"/>
      <c r="AD5" s="13"/>
    </row>
    <row r="6" spans="2:32" customFormat="1" ht="27.75" customHeight="1">
      <c r="B6" s="135"/>
      <c r="C6" s="290" t="s">
        <v>184</v>
      </c>
      <c r="D6" s="290" t="s">
        <v>208</v>
      </c>
      <c r="E6" s="291" t="s">
        <v>189</v>
      </c>
      <c r="F6" s="291" t="s">
        <v>12</v>
      </c>
      <c r="G6" s="292" t="s">
        <v>24</v>
      </c>
      <c r="H6" s="290" t="s">
        <v>186</v>
      </c>
      <c r="I6" s="290" t="s">
        <v>142</v>
      </c>
      <c r="J6" s="292" t="s">
        <v>185</v>
      </c>
      <c r="K6" s="291"/>
      <c r="L6" s="291"/>
      <c r="M6" s="291"/>
      <c r="N6" s="291"/>
      <c r="O6" s="291"/>
      <c r="P6" s="291"/>
      <c r="Q6" s="291"/>
      <c r="R6" s="291"/>
      <c r="S6" s="291"/>
      <c r="T6" s="291"/>
      <c r="U6" s="290"/>
      <c r="V6" s="353" t="s">
        <v>188</v>
      </c>
      <c r="W6" s="353" t="s">
        <v>187</v>
      </c>
      <c r="X6" s="290" t="s">
        <v>109</v>
      </c>
      <c r="Y6" s="290" t="s">
        <v>458</v>
      </c>
      <c r="Z6" s="292" t="s">
        <v>211</v>
      </c>
      <c r="AA6" s="290" t="s">
        <v>209</v>
      </c>
      <c r="AB6" s="290" t="s">
        <v>23</v>
      </c>
      <c r="AC6" s="290" t="s">
        <v>95</v>
      </c>
      <c r="AD6" s="290" t="s">
        <v>120</v>
      </c>
    </row>
    <row r="7" spans="2:32" s="13" customFormat="1" ht="84">
      <c r="B7" s="135"/>
      <c r="C7" s="345" t="s">
        <v>139</v>
      </c>
      <c r="D7" s="345" t="s">
        <v>162</v>
      </c>
      <c r="E7" s="354" t="s">
        <v>207</v>
      </c>
      <c r="F7" s="354" t="s">
        <v>17</v>
      </c>
      <c r="G7" s="350" t="s">
        <v>21</v>
      </c>
      <c r="H7" s="345" t="s">
        <v>163</v>
      </c>
      <c r="I7" s="345" t="s">
        <v>140</v>
      </c>
      <c r="J7" s="350" t="s">
        <v>159</v>
      </c>
      <c r="K7" s="355" t="s">
        <v>160</v>
      </c>
      <c r="L7" s="355" t="s">
        <v>161</v>
      </c>
      <c r="M7" s="355" t="s">
        <v>152</v>
      </c>
      <c r="N7" s="355" t="s">
        <v>153</v>
      </c>
      <c r="O7" s="355" t="s">
        <v>154</v>
      </c>
      <c r="P7" s="355" t="s">
        <v>155</v>
      </c>
      <c r="Q7" s="355" t="s">
        <v>156</v>
      </c>
      <c r="R7" s="355" t="s">
        <v>157</v>
      </c>
      <c r="S7" s="355" t="s">
        <v>426</v>
      </c>
      <c r="T7" s="355" t="s">
        <v>158</v>
      </c>
      <c r="U7" s="356" t="s">
        <v>18</v>
      </c>
      <c r="V7" s="357" t="s">
        <v>19</v>
      </c>
      <c r="W7" s="357" t="s">
        <v>8</v>
      </c>
      <c r="X7" s="345" t="s">
        <v>98</v>
      </c>
      <c r="Y7" s="345" t="s">
        <v>210</v>
      </c>
      <c r="Z7" s="350" t="s">
        <v>202</v>
      </c>
      <c r="AA7" s="345" t="s">
        <v>203</v>
      </c>
      <c r="AB7" s="345" t="s">
        <v>26</v>
      </c>
      <c r="AC7" s="345" t="s">
        <v>2</v>
      </c>
      <c r="AD7" s="345" t="s">
        <v>121</v>
      </c>
    </row>
    <row r="8" spans="2:32" ht="23.1" customHeight="1">
      <c r="C8" s="126">
        <v>1</v>
      </c>
      <c r="D8" s="126">
        <v>1</v>
      </c>
      <c r="E8" s="143" t="s">
        <v>486</v>
      </c>
      <c r="F8" s="169" t="s">
        <v>487</v>
      </c>
      <c r="G8" s="168">
        <v>46218</v>
      </c>
      <c r="H8" s="131">
        <v>1</v>
      </c>
      <c r="I8" s="131">
        <v>1</v>
      </c>
      <c r="J8" s="143" t="s">
        <v>556</v>
      </c>
      <c r="M8" s="143">
        <v>1</v>
      </c>
      <c r="U8" s="126">
        <v>10</v>
      </c>
      <c r="V8" s="239">
        <v>27.34</v>
      </c>
      <c r="W8" s="239">
        <v>0</v>
      </c>
      <c r="X8" s="126">
        <v>1</v>
      </c>
      <c r="AA8" s="202">
        <v>46220.387384259258</v>
      </c>
      <c r="AB8" s="131">
        <v>3</v>
      </c>
      <c r="AC8" s="126">
        <v>7</v>
      </c>
      <c r="AD8" s="126">
        <v>2026</v>
      </c>
      <c r="AF8" s="216"/>
    </row>
    <row r="9" spans="2:32" ht="23.1" customHeight="1">
      <c r="C9" s="126">
        <v>2</v>
      </c>
      <c r="D9" s="126">
        <v>81</v>
      </c>
      <c r="E9" s="143" t="s">
        <v>570</v>
      </c>
      <c r="F9" s="169" t="s">
        <v>571</v>
      </c>
      <c r="G9" s="168">
        <v>46218</v>
      </c>
      <c r="H9" s="131">
        <v>1</v>
      </c>
      <c r="I9" s="131">
        <v>1</v>
      </c>
      <c r="J9" s="143" t="s">
        <v>556</v>
      </c>
      <c r="M9" s="143">
        <v>1</v>
      </c>
      <c r="U9" s="126">
        <v>120</v>
      </c>
      <c r="V9" s="239">
        <v>74.400000000000006</v>
      </c>
      <c r="W9" s="239">
        <v>0</v>
      </c>
      <c r="X9" s="126">
        <v>1</v>
      </c>
      <c r="AA9" s="202">
        <v>46220.387384259258</v>
      </c>
      <c r="AB9" s="131">
        <v>3</v>
      </c>
      <c r="AC9" s="126">
        <v>7</v>
      </c>
      <c r="AD9" s="126">
        <v>2026</v>
      </c>
      <c r="AF9" s="216"/>
    </row>
    <row r="10" spans="2:32" ht="23.25" customHeight="1">
      <c r="C10" s="126">
        <v>3</v>
      </c>
      <c r="D10" s="126">
        <v>176</v>
      </c>
      <c r="E10" s="143" t="s">
        <v>574</v>
      </c>
      <c r="F10" s="169" t="s">
        <v>575</v>
      </c>
      <c r="G10" s="168">
        <v>46218</v>
      </c>
      <c r="H10" s="131">
        <v>1</v>
      </c>
      <c r="I10" s="131">
        <v>1</v>
      </c>
      <c r="J10" s="143" t="s">
        <v>556</v>
      </c>
      <c r="M10" s="143">
        <v>1</v>
      </c>
      <c r="U10" s="126">
        <v>10000</v>
      </c>
      <c r="V10" s="239">
        <v>85</v>
      </c>
      <c r="W10" s="239">
        <v>0</v>
      </c>
      <c r="X10" s="126">
        <v>1</v>
      </c>
      <c r="AA10" s="202">
        <v>46220.387384259258</v>
      </c>
      <c r="AB10" s="131">
        <v>3</v>
      </c>
      <c r="AC10" s="126">
        <v>7</v>
      </c>
      <c r="AD10" s="126">
        <v>2026</v>
      </c>
    </row>
    <row r="11" spans="2:32" ht="23.1" customHeight="1">
      <c r="C11" s="126">
        <v>4</v>
      </c>
      <c r="D11" s="126">
        <v>1</v>
      </c>
      <c r="E11" s="143" t="s">
        <v>486</v>
      </c>
      <c r="F11" s="169" t="s">
        <v>487</v>
      </c>
      <c r="G11" s="168">
        <v>46218</v>
      </c>
      <c r="H11" s="131">
        <v>1</v>
      </c>
      <c r="I11" s="131">
        <v>1</v>
      </c>
      <c r="J11" s="143" t="s">
        <v>561</v>
      </c>
      <c r="L11" s="143">
        <v>1</v>
      </c>
      <c r="Q11" s="143">
        <v>1</v>
      </c>
      <c r="U11" s="126">
        <v>5</v>
      </c>
      <c r="V11" s="239">
        <v>27.34</v>
      </c>
      <c r="W11" s="239">
        <v>0</v>
      </c>
      <c r="X11" s="126">
        <v>1</v>
      </c>
      <c r="AA11" s="202">
        <v>46220.389374999999</v>
      </c>
      <c r="AB11" s="131">
        <v>3</v>
      </c>
      <c r="AC11" s="126">
        <v>7</v>
      </c>
      <c r="AD11" s="126">
        <v>2026</v>
      </c>
    </row>
    <row r="12" spans="2:32" ht="23.1" customHeight="1">
      <c r="C12" s="126">
        <v>5</v>
      </c>
      <c r="D12" s="126">
        <v>81</v>
      </c>
      <c r="E12" s="143" t="s">
        <v>570</v>
      </c>
      <c r="F12" s="169" t="s">
        <v>571</v>
      </c>
      <c r="G12" s="168">
        <v>46218</v>
      </c>
      <c r="H12" s="131">
        <v>1</v>
      </c>
      <c r="I12" s="131">
        <v>1</v>
      </c>
      <c r="J12" s="143" t="s">
        <v>561</v>
      </c>
      <c r="L12" s="143">
        <v>1</v>
      </c>
      <c r="Q12" s="143">
        <v>1</v>
      </c>
      <c r="U12" s="126">
        <v>60</v>
      </c>
      <c r="V12" s="239">
        <v>74.400000000000006</v>
      </c>
      <c r="W12" s="239">
        <v>0</v>
      </c>
      <c r="X12" s="126">
        <v>1</v>
      </c>
      <c r="AA12" s="202">
        <v>46220.389374999999</v>
      </c>
      <c r="AB12" s="131">
        <v>3</v>
      </c>
      <c r="AC12" s="126">
        <v>7</v>
      </c>
      <c r="AD12" s="126">
        <v>2026</v>
      </c>
    </row>
    <row r="13" spans="2:32" ht="23.1" customHeight="1">
      <c r="C13" s="126">
        <v>6</v>
      </c>
      <c r="D13" s="126">
        <v>176</v>
      </c>
      <c r="E13" s="143" t="s">
        <v>574</v>
      </c>
      <c r="F13" s="169" t="s">
        <v>575</v>
      </c>
      <c r="G13" s="168">
        <v>46218</v>
      </c>
      <c r="H13" s="131">
        <v>1</v>
      </c>
      <c r="I13" s="131">
        <v>1</v>
      </c>
      <c r="J13" s="143" t="s">
        <v>561</v>
      </c>
      <c r="L13" s="143">
        <v>1</v>
      </c>
      <c r="Q13" s="143">
        <v>1</v>
      </c>
      <c r="U13" s="126">
        <v>5000</v>
      </c>
      <c r="V13" s="239">
        <v>85</v>
      </c>
      <c r="W13" s="239">
        <v>0</v>
      </c>
      <c r="X13" s="126">
        <v>1</v>
      </c>
      <c r="AA13" s="202">
        <v>46220.389374999999</v>
      </c>
      <c r="AB13" s="131">
        <v>3</v>
      </c>
      <c r="AC13" s="126">
        <v>7</v>
      </c>
      <c r="AD13" s="126">
        <v>2026</v>
      </c>
    </row>
    <row r="24" spans="26:26" ht="23.1" customHeight="1">
      <c r="Z24" s="253"/>
    </row>
    <row r="340" spans="11:11" ht="23.1" customHeight="1">
      <c r="K340" s="130"/>
    </row>
    <row r="341" spans="11:11" ht="23.1" customHeight="1">
      <c r="K341" s="130"/>
    </row>
    <row r="342" spans="11:11" ht="23.1" customHeight="1">
      <c r="K342" s="130"/>
    </row>
    <row r="343" spans="11:11" ht="23.1" customHeight="1">
      <c r="K343" s="130"/>
    </row>
    <row r="344" spans="11:11" ht="23.1" customHeight="1">
      <c r="K344" s="130"/>
    </row>
    <row r="1122" spans="21:26" ht="23.1" customHeight="1">
      <c r="U1122" s="139"/>
      <c r="X1122" s="139"/>
      <c r="Y1122" s="139"/>
      <c r="Z1122" s="254"/>
    </row>
    <row r="1186" spans="6:6" ht="23.1" customHeight="1">
      <c r="F1186" s="127"/>
    </row>
    <row r="1746" spans="11:21" ht="23.1" customHeight="1">
      <c r="K1746" s="190"/>
      <c r="U1746" s="143"/>
    </row>
    <row r="1747" spans="11:21" ht="23.1" customHeight="1">
      <c r="K1747" s="190"/>
      <c r="U1747" s="143"/>
    </row>
    <row r="1748" spans="11:21" ht="23.1" customHeight="1">
      <c r="U1748" s="143"/>
    </row>
    <row r="1749" spans="11:21" ht="23.1" customHeight="1">
      <c r="U1749" s="143"/>
    </row>
    <row r="1750" spans="11:21" ht="23.1" customHeight="1">
      <c r="U1750" s="143"/>
    </row>
    <row r="1751" spans="11:21" ht="23.1" customHeight="1">
      <c r="U1751" s="143"/>
    </row>
    <row r="1800" spans="21:21" ht="23.1" customHeight="1">
      <c r="U1800" s="139"/>
    </row>
  </sheetData>
  <pageMargins left="0.2" right="0.2" top="0.2" bottom="0.2" header="0.2" footer="0.2"/>
  <pageSetup paperSize="9" scale="70" orientation="portrait" r:id="rId1"/>
  <colBreaks count="1" manualBreakCount="1">
    <brk id="27" max="1048575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5C2E1-0692-4C8C-813A-73380BFFC7DE}">
  <sheetPr codeName="Sheet19"/>
  <dimension ref="C1:AC10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J21" sqref="J21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3" customWidth="1"/>
    <col min="5" max="5" width="26.28515625" style="169" customWidth="1"/>
    <col min="6" max="6" width="13.28515625" style="164" customWidth="1"/>
    <col min="7" max="7" width="13" style="248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hidden="1" customWidth="1"/>
    <col min="13" max="13" width="18.28515625" style="126" hidden="1" customWidth="1"/>
    <col min="14" max="14" width="14.5703125" style="126" customWidth="1"/>
    <col min="15" max="15" width="19.28515625" style="126" hidden="1" customWidth="1"/>
    <col min="16" max="17" width="19.5703125" style="126" hidden="1" customWidth="1"/>
    <col min="18" max="18" width="16.28515625" style="126" hidden="1" customWidth="1"/>
    <col min="19" max="19" width="13.7109375" style="126" hidden="1" customWidth="1"/>
    <col min="20" max="20" width="12.5703125" style="126" hidden="1" customWidth="1"/>
    <col min="21" max="16384" width="12.5703125" style="126"/>
  </cols>
  <sheetData>
    <row r="1" spans="3:29" s="13" customFormat="1" ht="23.25" hidden="1">
      <c r="C1" s="126"/>
      <c r="D1" s="142"/>
      <c r="E1" s="169"/>
      <c r="F1" s="164"/>
      <c r="G1" s="248"/>
    </row>
    <row r="2" spans="3:29" s="13" customFormat="1" ht="23.25" hidden="1">
      <c r="C2" s="126"/>
      <c r="D2" s="142"/>
      <c r="E2" s="169"/>
      <c r="F2" s="164"/>
      <c r="G2" s="248"/>
    </row>
    <row r="3" spans="3:29" s="13" customFormat="1" ht="23.25">
      <c r="C3" s="126"/>
      <c r="D3" s="142"/>
      <c r="E3" s="169"/>
      <c r="F3" s="164"/>
      <c r="G3" s="248"/>
    </row>
    <row r="4" spans="3:29" s="13" customFormat="1" ht="32.25" customHeight="1">
      <c r="C4" s="126"/>
      <c r="D4" s="142"/>
      <c r="E4" s="173"/>
      <c r="F4" s="204"/>
      <c r="G4" s="249"/>
    </row>
    <row r="5" spans="3:29" s="13" customFormat="1" ht="26.25" customHeight="1">
      <c r="C5" s="126"/>
      <c r="D5" s="142"/>
      <c r="E5" s="169"/>
      <c r="F5" s="164"/>
      <c r="G5" s="248"/>
    </row>
    <row r="6" spans="3:29" s="13" customFormat="1" ht="25.5">
      <c r="C6" s="290" t="s">
        <v>173</v>
      </c>
      <c r="D6" s="291" t="s">
        <v>213</v>
      </c>
      <c r="E6" s="291" t="s">
        <v>12</v>
      </c>
      <c r="F6" s="290" t="s">
        <v>214</v>
      </c>
      <c r="G6" s="292" t="s">
        <v>211</v>
      </c>
      <c r="H6" s="290" t="s">
        <v>174</v>
      </c>
      <c r="I6" s="290" t="s">
        <v>175</v>
      </c>
      <c r="J6" s="290" t="s">
        <v>119</v>
      </c>
      <c r="K6" s="290" t="s">
        <v>119</v>
      </c>
      <c r="L6" s="290" t="s">
        <v>176</v>
      </c>
      <c r="M6" s="290" t="s">
        <v>176</v>
      </c>
      <c r="N6" s="290" t="s">
        <v>177</v>
      </c>
      <c r="O6" s="155" t="s">
        <v>178</v>
      </c>
      <c r="P6" s="155" t="s">
        <v>179</v>
      </c>
      <c r="Q6" s="155" t="s">
        <v>179</v>
      </c>
      <c r="R6" s="155" t="s">
        <v>180</v>
      </c>
      <c r="S6" s="155" t="s">
        <v>181</v>
      </c>
      <c r="T6" s="155" t="s">
        <v>182</v>
      </c>
      <c r="W6" s="405"/>
      <c r="X6" s="405"/>
      <c r="Y6" s="405"/>
      <c r="Z6" s="405"/>
      <c r="AA6" s="405"/>
      <c r="AB6" s="405"/>
      <c r="AC6" s="405"/>
    </row>
    <row r="7" spans="3:29" ht="20.25" customHeight="1">
      <c r="C7" s="293" t="s">
        <v>162</v>
      </c>
      <c r="D7" s="294" t="s">
        <v>207</v>
      </c>
      <c r="E7" s="294" t="s">
        <v>17</v>
      </c>
      <c r="F7" s="293" t="s">
        <v>210</v>
      </c>
      <c r="G7" s="295" t="s">
        <v>202</v>
      </c>
      <c r="H7" s="293" t="s">
        <v>164</v>
      </c>
      <c r="I7" s="293" t="s">
        <v>165</v>
      </c>
      <c r="J7" s="293" t="s">
        <v>172</v>
      </c>
      <c r="K7" s="293" t="s">
        <v>373</v>
      </c>
      <c r="L7" s="293" t="s">
        <v>166</v>
      </c>
      <c r="M7" s="293" t="s">
        <v>374</v>
      </c>
      <c r="N7" s="293" t="s">
        <v>167</v>
      </c>
      <c r="O7" s="152" t="s">
        <v>168</v>
      </c>
      <c r="P7" s="152" t="s">
        <v>169</v>
      </c>
      <c r="Q7" s="152" t="s">
        <v>375</v>
      </c>
      <c r="R7" s="152" t="s">
        <v>170</v>
      </c>
      <c r="S7" s="152" t="s">
        <v>171</v>
      </c>
      <c r="T7" s="152" t="s">
        <v>183</v>
      </c>
      <c r="W7" s="406"/>
      <c r="X7" s="406"/>
      <c r="Y7" s="406"/>
      <c r="Z7" s="406"/>
      <c r="AA7" s="406"/>
      <c r="AB7" s="406"/>
      <c r="AC7" s="406"/>
    </row>
    <row r="8" spans="3:29" ht="23.1" customHeight="1">
      <c r="C8" s="126">
        <v>1</v>
      </c>
      <c r="D8" s="143" t="s">
        <v>486</v>
      </c>
      <c r="E8" s="169" t="s">
        <v>487</v>
      </c>
      <c r="H8" s="126">
        <v>15</v>
      </c>
      <c r="I8" s="126">
        <v>10</v>
      </c>
      <c r="J8" s="126">
        <v>0</v>
      </c>
      <c r="N8" s="126">
        <v>5</v>
      </c>
    </row>
    <row r="9" spans="3:29" ht="23.1" customHeight="1">
      <c r="C9" s="126">
        <v>81</v>
      </c>
      <c r="D9" s="143" t="s">
        <v>570</v>
      </c>
      <c r="E9" s="169" t="s">
        <v>571</v>
      </c>
      <c r="H9" s="126">
        <v>180</v>
      </c>
      <c r="I9" s="126">
        <v>120</v>
      </c>
      <c r="J9" s="126">
        <v>0</v>
      </c>
      <c r="N9" s="126">
        <v>60</v>
      </c>
    </row>
    <row r="10" spans="3:29" ht="23.1" customHeight="1">
      <c r="C10" s="126">
        <v>176</v>
      </c>
      <c r="D10" s="143" t="s">
        <v>574</v>
      </c>
      <c r="E10" s="169" t="s">
        <v>575</v>
      </c>
      <c r="H10" s="126">
        <v>15000</v>
      </c>
      <c r="I10" s="126">
        <v>10000</v>
      </c>
      <c r="J10" s="126">
        <v>0</v>
      </c>
      <c r="N10" s="126">
        <v>5000</v>
      </c>
    </row>
  </sheetData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8AD8A-256B-4396-9F66-1BA99FE5AFBF}">
  <sheetPr codeName="Sheet30"/>
  <dimension ref="C1:Z10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H16" sqref="H16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3" customWidth="1"/>
    <col min="5" max="5" width="36.140625" style="164" customWidth="1"/>
    <col min="6" max="6" width="15.85546875" style="127" bestFit="1" customWidth="1"/>
    <col min="7" max="7" width="16.5703125" style="126" bestFit="1" customWidth="1"/>
    <col min="8" max="8" width="17.7109375" style="168" customWidth="1"/>
    <col min="9" max="9" width="12" style="168" bestFit="1" customWidth="1"/>
    <col min="10" max="10" width="14.5703125" style="126" customWidth="1"/>
    <col min="11" max="11" width="13" style="126" customWidth="1"/>
    <col min="12" max="12" width="12.5703125" style="126" hidden="1" customWidth="1"/>
    <col min="13" max="13" width="14.5703125" style="126" customWidth="1"/>
    <col min="14" max="14" width="19.28515625" style="126" hidden="1" customWidth="1"/>
    <col min="15" max="15" width="19.5703125" style="126" hidden="1" customWidth="1"/>
    <col min="16" max="16" width="16.28515625" style="126" hidden="1" customWidth="1"/>
    <col min="17" max="17" width="13.7109375" style="126" hidden="1" customWidth="1"/>
    <col min="18" max="18" width="12.5703125" style="126" hidden="1" customWidth="1"/>
    <col min="19" max="19" width="27.7109375" style="183" customWidth="1"/>
    <col min="20" max="16384" width="12.5703125" style="130"/>
  </cols>
  <sheetData>
    <row r="1" spans="3:26" customFormat="1" ht="23.25" hidden="1">
      <c r="C1" s="13"/>
      <c r="D1" s="13"/>
      <c r="E1" s="127"/>
      <c r="F1" s="127"/>
      <c r="G1" s="13"/>
      <c r="H1" s="13"/>
      <c r="I1" s="3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3"/>
      <c r="E2" s="127"/>
      <c r="F2" s="127"/>
      <c r="G2" s="13"/>
      <c r="H2" s="13"/>
      <c r="I2" s="3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26"/>
      <c r="E3" s="127"/>
      <c r="F3" s="127"/>
      <c r="G3" s="13"/>
      <c r="H3" s="13"/>
      <c r="I3" s="3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3"/>
      <c r="E4" s="127"/>
      <c r="F4" s="127"/>
      <c r="G4" s="13"/>
      <c r="H4" s="13"/>
      <c r="I4" s="3"/>
      <c r="J4" s="13"/>
      <c r="K4" s="13"/>
      <c r="L4" s="13"/>
      <c r="M4" s="13"/>
      <c r="N4" s="13"/>
      <c r="O4" s="13"/>
      <c r="P4" s="13"/>
      <c r="Q4" s="13"/>
      <c r="R4" s="13"/>
      <c r="S4" s="132"/>
      <c r="U4" s="126"/>
      <c r="V4" s="126"/>
      <c r="W4" s="163"/>
      <c r="X4" s="127"/>
    </row>
    <row r="5" spans="3:26" customFormat="1" ht="8.25" customHeight="1">
      <c r="C5" s="13"/>
      <c r="D5" s="13"/>
      <c r="E5" s="127"/>
      <c r="F5" s="127"/>
      <c r="G5" s="13"/>
      <c r="H5" s="13"/>
      <c r="I5" s="3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90" t="s">
        <v>173</v>
      </c>
      <c r="D6" s="290" t="s">
        <v>213</v>
      </c>
      <c r="E6" s="290" t="s">
        <v>12</v>
      </c>
      <c r="F6" s="290" t="s">
        <v>186</v>
      </c>
      <c r="G6" s="290" t="s">
        <v>212</v>
      </c>
      <c r="H6" s="290" t="s">
        <v>211</v>
      </c>
      <c r="I6" s="290" t="s">
        <v>24</v>
      </c>
      <c r="J6" s="290" t="s">
        <v>118</v>
      </c>
      <c r="K6" s="290" t="s">
        <v>119</v>
      </c>
      <c r="L6" s="290" t="s">
        <v>176</v>
      </c>
      <c r="M6" s="290" t="s">
        <v>177</v>
      </c>
      <c r="N6" s="155" t="s">
        <v>178</v>
      </c>
      <c r="O6" s="155" t="s">
        <v>179</v>
      </c>
      <c r="P6" s="155" t="s">
        <v>180</v>
      </c>
      <c r="Q6" s="155" t="s">
        <v>181</v>
      </c>
      <c r="R6" s="155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93" t="s">
        <v>162</v>
      </c>
      <c r="D7" s="293" t="s">
        <v>207</v>
      </c>
      <c r="E7" s="293" t="s">
        <v>17</v>
      </c>
      <c r="F7" s="293" t="s">
        <v>110</v>
      </c>
      <c r="G7" s="293" t="s">
        <v>210</v>
      </c>
      <c r="H7" s="293" t="s">
        <v>202</v>
      </c>
      <c r="I7" s="293" t="s">
        <v>21</v>
      </c>
      <c r="J7" s="293" t="s">
        <v>165</v>
      </c>
      <c r="K7" s="293" t="s">
        <v>172</v>
      </c>
      <c r="L7" s="293" t="s">
        <v>166</v>
      </c>
      <c r="M7" s="293" t="s">
        <v>167</v>
      </c>
      <c r="N7" s="152" t="s">
        <v>168</v>
      </c>
      <c r="O7" s="152" t="s">
        <v>169</v>
      </c>
      <c r="P7" s="152" t="s">
        <v>170</v>
      </c>
      <c r="Q7" s="152" t="s">
        <v>171</v>
      </c>
      <c r="R7" s="152" t="s">
        <v>183</v>
      </c>
      <c r="S7" s="128"/>
    </row>
    <row r="8" spans="3:26" ht="23.1" customHeight="1">
      <c r="C8" s="126">
        <v>1</v>
      </c>
      <c r="D8" s="143" t="s">
        <v>486</v>
      </c>
      <c r="E8" s="164" t="s">
        <v>487</v>
      </c>
      <c r="F8" s="127">
        <v>1</v>
      </c>
      <c r="I8" s="168">
        <v>46218</v>
      </c>
      <c r="J8" s="126">
        <v>10</v>
      </c>
      <c r="K8" s="126">
        <v>0</v>
      </c>
      <c r="M8" s="126">
        <v>5</v>
      </c>
    </row>
    <row r="9" spans="3:26" ht="23.1" customHeight="1">
      <c r="C9" s="126">
        <v>81</v>
      </c>
      <c r="D9" s="143" t="s">
        <v>570</v>
      </c>
      <c r="E9" s="164" t="s">
        <v>571</v>
      </c>
      <c r="F9" s="127">
        <v>1</v>
      </c>
      <c r="I9" s="168">
        <v>46218</v>
      </c>
      <c r="J9" s="126">
        <v>120</v>
      </c>
      <c r="K9" s="126">
        <v>0</v>
      </c>
      <c r="M9" s="126">
        <v>60</v>
      </c>
    </row>
    <row r="10" spans="3:26" ht="23.1" customHeight="1">
      <c r="C10" s="126">
        <v>176</v>
      </c>
      <c r="D10" s="143" t="s">
        <v>574</v>
      </c>
      <c r="E10" s="164" t="s">
        <v>575</v>
      </c>
      <c r="F10" s="127">
        <v>1</v>
      </c>
      <c r="I10" s="168">
        <v>46218</v>
      </c>
      <c r="J10" s="126">
        <v>10000</v>
      </c>
      <c r="K10" s="126">
        <v>0</v>
      </c>
      <c r="M10" s="126">
        <v>5000</v>
      </c>
    </row>
  </sheetData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F7AA-DC24-4670-8951-ADB0B3162D98}">
  <sheetPr codeName="Sheet47"/>
  <dimension ref="C1:AD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G17" sqref="G17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3" customWidth="1"/>
    <col min="5" max="5" width="26.28515625" style="169" customWidth="1"/>
    <col min="6" max="6" width="13.28515625" style="164" customWidth="1"/>
    <col min="7" max="7" width="13" style="248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customWidth="1"/>
    <col min="13" max="13" width="18.28515625" style="126" customWidth="1"/>
    <col min="14" max="14" width="14.5703125" style="126" customWidth="1"/>
    <col min="15" max="15" width="19.28515625" style="126" customWidth="1"/>
    <col min="16" max="17" width="19.5703125" style="126" customWidth="1"/>
    <col min="18" max="18" width="16.28515625" style="126" customWidth="1"/>
    <col min="19" max="19" width="13.7109375" style="126" customWidth="1"/>
    <col min="20" max="20" width="12.5703125" style="126" customWidth="1"/>
    <col min="21" max="16384" width="12.5703125" style="126"/>
  </cols>
  <sheetData>
    <row r="1" spans="3:30" s="13" customFormat="1" ht="23.25" hidden="1">
      <c r="C1" s="126"/>
      <c r="D1" s="142"/>
      <c r="E1" s="169"/>
      <c r="F1" s="164"/>
      <c r="G1" s="248"/>
    </row>
    <row r="2" spans="3:30" s="13" customFormat="1" ht="23.25" hidden="1">
      <c r="C2" s="126"/>
      <c r="D2" s="142"/>
      <c r="E2" s="169"/>
      <c r="F2" s="164"/>
      <c r="G2" s="248"/>
    </row>
    <row r="3" spans="3:30" s="13" customFormat="1" ht="23.25">
      <c r="C3" s="126"/>
      <c r="D3" s="142"/>
      <c r="E3" s="169"/>
      <c r="F3" s="164"/>
      <c r="G3" s="248"/>
    </row>
    <row r="4" spans="3:30" s="13" customFormat="1" ht="32.25" customHeight="1">
      <c r="C4" s="126"/>
      <c r="D4" s="142"/>
      <c r="E4" s="173"/>
      <c r="F4" s="204"/>
      <c r="G4" s="249"/>
    </row>
    <row r="5" spans="3:30" s="13" customFormat="1" ht="26.25" customHeight="1">
      <c r="C5" s="126"/>
      <c r="D5" s="142"/>
      <c r="E5" s="169"/>
      <c r="F5" s="164"/>
      <c r="G5" s="248"/>
    </row>
    <row r="6" spans="3:30" s="13" customFormat="1" ht="25.5">
      <c r="C6" s="290" t="s">
        <v>173</v>
      </c>
      <c r="D6" s="291" t="s">
        <v>213</v>
      </c>
      <c r="E6" s="291" t="s">
        <v>12</v>
      </c>
      <c r="F6" s="290" t="s">
        <v>214</v>
      </c>
      <c r="G6" s="292" t="s">
        <v>211</v>
      </c>
      <c r="H6" s="290" t="s">
        <v>174</v>
      </c>
      <c r="I6" s="290" t="s">
        <v>175</v>
      </c>
      <c r="J6" s="290" t="s">
        <v>119</v>
      </c>
      <c r="K6" s="290" t="s">
        <v>119</v>
      </c>
      <c r="L6" s="290" t="s">
        <v>176</v>
      </c>
      <c r="M6" s="290" t="s">
        <v>176</v>
      </c>
      <c r="N6" s="290" t="s">
        <v>177</v>
      </c>
      <c r="O6" s="290" t="s">
        <v>178</v>
      </c>
      <c r="P6" s="290" t="s">
        <v>179</v>
      </c>
      <c r="Q6" s="290" t="s">
        <v>179</v>
      </c>
      <c r="R6" s="290" t="s">
        <v>180</v>
      </c>
      <c r="S6" s="290" t="s">
        <v>181</v>
      </c>
      <c r="T6" s="290" t="s">
        <v>182</v>
      </c>
      <c r="X6" s="13" t="s">
        <v>174</v>
      </c>
      <c r="Y6" s="13" t="s">
        <v>175</v>
      </c>
      <c r="Z6" s="13" t="s">
        <v>119</v>
      </c>
      <c r="AA6" s="13" t="s">
        <v>119</v>
      </c>
      <c r="AB6" s="13" t="s">
        <v>176</v>
      </c>
      <c r="AC6" s="13" t="s">
        <v>176</v>
      </c>
      <c r="AD6" s="13" t="s">
        <v>177</v>
      </c>
    </row>
    <row r="7" spans="3:30" ht="20.25" customHeight="1">
      <c r="C7" s="293" t="s">
        <v>162</v>
      </c>
      <c r="D7" s="294" t="s">
        <v>207</v>
      </c>
      <c r="E7" s="294" t="s">
        <v>17</v>
      </c>
      <c r="F7" s="293" t="s">
        <v>210</v>
      </c>
      <c r="G7" s="295" t="s">
        <v>202</v>
      </c>
      <c r="H7" s="293" t="s">
        <v>164</v>
      </c>
      <c r="I7" s="293" t="s">
        <v>165</v>
      </c>
      <c r="J7" s="293" t="s">
        <v>172</v>
      </c>
      <c r="K7" s="293" t="s">
        <v>373</v>
      </c>
      <c r="L7" s="293" t="s">
        <v>166</v>
      </c>
      <c r="M7" s="293" t="s">
        <v>374</v>
      </c>
      <c r="N7" s="293" t="s">
        <v>167</v>
      </c>
      <c r="O7" s="293" t="s">
        <v>168</v>
      </c>
      <c r="P7" s="293" t="s">
        <v>169</v>
      </c>
      <c r="Q7" s="293" t="s">
        <v>375</v>
      </c>
      <c r="R7" s="293" t="s">
        <v>170</v>
      </c>
      <c r="S7" s="293" t="s">
        <v>171</v>
      </c>
      <c r="T7" s="293" t="s">
        <v>183</v>
      </c>
      <c r="X7" s="126" t="s">
        <v>164</v>
      </c>
      <c r="Y7" s="126" t="s">
        <v>165</v>
      </c>
      <c r="Z7" s="126" t="s">
        <v>172</v>
      </c>
      <c r="AA7" s="126" t="s">
        <v>373</v>
      </c>
      <c r="AB7" s="126" t="s">
        <v>166</v>
      </c>
      <c r="AC7" s="126" t="s">
        <v>374</v>
      </c>
      <c r="AD7" s="126" t="s">
        <v>167</v>
      </c>
    </row>
  </sheetData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8E9E4-ADDC-4DCD-A7AB-AD85B149ACBB}">
  <sheetPr codeName="Sheet63"/>
  <dimension ref="C1:Z10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I18" sqref="I18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3" customWidth="1"/>
    <col min="5" max="5" width="36.140625" style="164" customWidth="1"/>
    <col min="6" max="6" width="15.85546875" style="127" bestFit="1" customWidth="1"/>
    <col min="7" max="7" width="13.5703125" style="126" customWidth="1"/>
    <col min="8" max="8" width="17.7109375" style="168" customWidth="1"/>
    <col min="9" max="9" width="12" style="168" bestFit="1" customWidth="1"/>
    <col min="10" max="10" width="14.5703125" style="126" customWidth="1"/>
    <col min="11" max="11" width="13" style="126" customWidth="1"/>
    <col min="12" max="12" width="12.5703125" style="126" customWidth="1"/>
    <col min="13" max="13" width="14.5703125" style="126" customWidth="1"/>
    <col min="14" max="14" width="19.28515625" style="126" customWidth="1"/>
    <col min="15" max="15" width="19.5703125" style="126" customWidth="1"/>
    <col min="16" max="16" width="16.28515625" style="126" customWidth="1"/>
    <col min="17" max="17" width="13.7109375" style="126" customWidth="1"/>
    <col min="18" max="18" width="12.5703125" style="126" customWidth="1"/>
    <col min="19" max="19" width="27.7109375" style="183" customWidth="1"/>
    <col min="20" max="16384" width="12.5703125" style="130"/>
  </cols>
  <sheetData>
    <row r="1" spans="3:26" customFormat="1" ht="23.25" hidden="1">
      <c r="C1" s="13"/>
      <c r="D1" s="142"/>
      <c r="E1" s="127"/>
      <c r="F1" s="127"/>
      <c r="G1" s="13"/>
      <c r="H1" s="167"/>
      <c r="I1" s="167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42"/>
      <c r="E2" s="127"/>
      <c r="F2" s="127"/>
      <c r="G2" s="13"/>
      <c r="H2" s="167"/>
      <c r="I2" s="167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43"/>
      <c r="E3" s="127"/>
      <c r="F3" s="127"/>
      <c r="G3" s="13"/>
      <c r="H3" s="167"/>
      <c r="I3" s="167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42"/>
      <c r="E4" s="127"/>
      <c r="F4" s="127"/>
      <c r="G4" s="13"/>
      <c r="H4" s="167"/>
      <c r="I4" s="167"/>
      <c r="J4" s="13"/>
      <c r="K4" s="13"/>
      <c r="L4" s="13"/>
      <c r="M4" s="13"/>
      <c r="N4" s="13"/>
      <c r="O4" s="13"/>
      <c r="P4" s="13"/>
      <c r="Q4" s="13"/>
      <c r="R4" s="13"/>
      <c r="S4" s="132"/>
      <c r="U4" s="143"/>
      <c r="V4" s="143"/>
      <c r="W4" s="136"/>
      <c r="X4" s="127"/>
    </row>
    <row r="5" spans="3:26" customFormat="1" ht="8.25" customHeight="1">
      <c r="C5" s="13"/>
      <c r="D5" s="142"/>
      <c r="E5" s="127"/>
      <c r="F5" s="127"/>
      <c r="G5" s="13"/>
      <c r="H5" s="167"/>
      <c r="I5" s="167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90" t="s">
        <v>173</v>
      </c>
      <c r="D6" s="291" t="s">
        <v>213</v>
      </c>
      <c r="E6" s="290" t="s">
        <v>12</v>
      </c>
      <c r="F6" s="290" t="s">
        <v>186</v>
      </c>
      <c r="G6" s="290" t="s">
        <v>212</v>
      </c>
      <c r="H6" s="292" t="s">
        <v>211</v>
      </c>
      <c r="I6" s="292" t="s">
        <v>24</v>
      </c>
      <c r="J6" s="290" t="s">
        <v>118</v>
      </c>
      <c r="K6" s="290" t="s">
        <v>119</v>
      </c>
      <c r="L6" s="290" t="s">
        <v>176</v>
      </c>
      <c r="M6" s="290" t="s">
        <v>177</v>
      </c>
      <c r="N6" s="290" t="s">
        <v>178</v>
      </c>
      <c r="O6" s="290" t="s">
        <v>179</v>
      </c>
      <c r="P6" s="290" t="s">
        <v>180</v>
      </c>
      <c r="Q6" s="290" t="s">
        <v>181</v>
      </c>
      <c r="R6" s="290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93" t="s">
        <v>162</v>
      </c>
      <c r="D7" s="294" t="s">
        <v>207</v>
      </c>
      <c r="E7" s="293" t="s">
        <v>17</v>
      </c>
      <c r="F7" s="293" t="s">
        <v>110</v>
      </c>
      <c r="G7" s="293" t="s">
        <v>210</v>
      </c>
      <c r="H7" s="295" t="s">
        <v>202</v>
      </c>
      <c r="I7" s="295" t="s">
        <v>21</v>
      </c>
      <c r="J7" s="293" t="s">
        <v>165</v>
      </c>
      <c r="K7" s="293" t="s">
        <v>172</v>
      </c>
      <c r="L7" s="293" t="s">
        <v>166</v>
      </c>
      <c r="M7" s="293" t="s">
        <v>167</v>
      </c>
      <c r="N7" s="293" t="s">
        <v>168</v>
      </c>
      <c r="O7" s="293" t="s">
        <v>169</v>
      </c>
      <c r="P7" s="293" t="s">
        <v>170</v>
      </c>
      <c r="Q7" s="293" t="s">
        <v>171</v>
      </c>
      <c r="R7" s="293" t="s">
        <v>183</v>
      </c>
      <c r="S7" s="128"/>
    </row>
    <row r="8" spans="3:26" ht="23.1" customHeight="1">
      <c r="T8" s="126"/>
      <c r="U8" s="126"/>
      <c r="V8" s="126"/>
      <c r="W8" s="126"/>
      <c r="X8" s="126"/>
      <c r="Y8" s="126"/>
      <c r="Z8" s="126"/>
    </row>
    <row r="9" spans="3:26" ht="23.1" customHeight="1">
      <c r="T9" s="126"/>
      <c r="U9" s="126"/>
      <c r="V9" s="126"/>
      <c r="W9" s="126"/>
      <c r="X9" s="126"/>
      <c r="Y9" s="126"/>
      <c r="Z9" s="126"/>
    </row>
    <row r="10" spans="3:26" ht="23.1" customHeight="1">
      <c r="T10" s="126"/>
      <c r="U10" s="126"/>
      <c r="V10" s="126"/>
      <c r="W10" s="126"/>
      <c r="X10" s="126"/>
      <c r="Y10" s="126"/>
      <c r="Z10" s="126"/>
    </row>
  </sheetData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1A10-1538-4636-9A75-6EFAA86CF066}">
  <sheetPr codeName="Sheet28"/>
  <dimension ref="C1:AH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J15" sqref="J15"/>
    </sheetView>
  </sheetViews>
  <sheetFormatPr defaultRowHeight="23.25"/>
  <cols>
    <col min="1" max="1" width="2" style="130" customWidth="1"/>
    <col min="2" max="2" width="3" style="130" customWidth="1"/>
    <col min="3" max="3" width="5.85546875" style="126" customWidth="1"/>
    <col min="4" max="4" width="14" style="143" customWidth="1"/>
    <col min="5" max="5" width="15.28515625" style="168" customWidth="1"/>
    <col min="6" max="6" width="13.85546875" style="126" customWidth="1"/>
    <col min="7" max="7" width="11.85546875" style="126" customWidth="1"/>
    <col min="8" max="8" width="12.140625" style="126" customWidth="1"/>
    <col min="9" max="9" width="29.42578125" style="182" bestFit="1" customWidth="1"/>
    <col min="10" max="10" width="20.28515625" style="182" customWidth="1"/>
    <col min="11" max="11" width="11.42578125" style="126" customWidth="1"/>
    <col min="12" max="12" width="12.85546875" style="126" customWidth="1"/>
    <col min="13" max="13" width="11.7109375" style="126" customWidth="1"/>
    <col min="14" max="14" width="13.5703125" style="126" customWidth="1"/>
    <col min="15" max="15" width="12" style="126" customWidth="1"/>
    <col min="16" max="17" width="11.5703125" style="126" customWidth="1"/>
    <col min="18" max="18" width="10" style="126" bestFit="1" customWidth="1"/>
    <col min="19" max="19" width="11.5703125" style="126" customWidth="1"/>
    <col min="20" max="20" width="14.42578125" style="126" customWidth="1"/>
    <col min="21" max="21" width="13.140625" style="126" customWidth="1"/>
    <col min="22" max="22" width="13.42578125" style="126" customWidth="1"/>
    <col min="23" max="23" width="50" style="145" bestFit="1" customWidth="1"/>
    <col min="24" max="24" width="16" style="143" customWidth="1"/>
    <col min="25" max="25" width="22.42578125" style="172" customWidth="1"/>
    <col min="26" max="26" width="14.85546875" style="145" customWidth="1"/>
    <col min="27" max="27" width="10.5703125" style="168" customWidth="1"/>
    <col min="28" max="28" width="13.5703125" style="143" customWidth="1"/>
    <col min="29" max="29" width="8.42578125" style="126" customWidth="1"/>
    <col min="30" max="30" width="12.140625" style="126" customWidth="1"/>
    <col min="31" max="31" width="9.28515625" style="126" customWidth="1"/>
    <col min="32" max="32" width="7.7109375" style="126" customWidth="1"/>
    <col min="33" max="33" width="7" style="126" customWidth="1"/>
    <col min="34" max="34" width="6.28515625" style="126" customWidth="1"/>
    <col min="35" max="16384" width="9.140625" style="130"/>
  </cols>
  <sheetData>
    <row r="1" spans="3:34" customFormat="1" ht="7.5" customHeight="1">
      <c r="C1" s="13"/>
      <c r="D1" s="142"/>
      <c r="E1" s="167"/>
      <c r="F1" s="13"/>
      <c r="G1" s="13"/>
      <c r="H1" s="13"/>
      <c r="I1" s="182"/>
      <c r="J1" s="182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45"/>
      <c r="X1" s="142"/>
      <c r="Y1" s="170"/>
      <c r="Z1" s="145"/>
      <c r="AA1" s="167"/>
      <c r="AB1" s="142"/>
      <c r="AC1" s="13"/>
      <c r="AD1" s="13"/>
      <c r="AE1" s="13"/>
      <c r="AF1" s="13"/>
      <c r="AG1" s="13"/>
      <c r="AH1" s="13"/>
    </row>
    <row r="2" spans="3:34" customFormat="1">
      <c r="C2" s="13"/>
      <c r="D2" s="142"/>
      <c r="E2" s="167"/>
      <c r="F2" s="13"/>
      <c r="G2" s="13"/>
      <c r="H2" s="13"/>
      <c r="I2" s="182"/>
      <c r="J2" s="182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45"/>
      <c r="X2" s="142"/>
      <c r="Y2" s="170"/>
      <c r="Z2" s="145"/>
      <c r="AA2" s="167"/>
      <c r="AB2" s="142"/>
      <c r="AC2" s="13"/>
      <c r="AD2" s="13"/>
      <c r="AE2" s="13"/>
      <c r="AF2" s="13"/>
      <c r="AG2" s="13"/>
      <c r="AH2" s="13"/>
    </row>
    <row r="3" spans="3:34" customFormat="1">
      <c r="C3" s="13"/>
      <c r="D3" s="142"/>
      <c r="E3" s="167"/>
      <c r="F3" s="13"/>
      <c r="G3" s="13"/>
      <c r="H3" s="13"/>
      <c r="I3" s="182"/>
      <c r="J3" s="182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45"/>
      <c r="X3" s="142"/>
      <c r="Y3" s="170"/>
      <c r="Z3" s="145"/>
      <c r="AA3" s="167"/>
      <c r="AB3" s="142"/>
      <c r="AC3" s="13"/>
      <c r="AD3" s="13"/>
      <c r="AE3" s="13"/>
      <c r="AF3" s="13"/>
      <c r="AG3" s="13"/>
      <c r="AH3" s="13"/>
    </row>
    <row r="4" spans="3:34" customFormat="1" ht="12" customHeight="1">
      <c r="C4" s="13"/>
      <c r="D4" s="142"/>
      <c r="E4" s="167"/>
      <c r="F4" s="13"/>
      <c r="G4" s="13"/>
      <c r="H4" s="13"/>
      <c r="I4" s="182"/>
      <c r="J4" s="182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45"/>
      <c r="X4" s="142"/>
      <c r="Y4" s="170"/>
      <c r="Z4" s="145"/>
      <c r="AA4" s="167"/>
      <c r="AB4" s="142"/>
      <c r="AC4" s="13"/>
      <c r="AD4" s="13"/>
      <c r="AE4" s="13"/>
      <c r="AF4" s="13"/>
      <c r="AG4" s="13"/>
      <c r="AH4" s="13"/>
    </row>
    <row r="5" spans="3:34" customFormat="1" hidden="1">
      <c r="C5" s="13"/>
      <c r="D5" s="142"/>
      <c r="E5" s="167"/>
      <c r="F5" s="13"/>
      <c r="G5" s="13"/>
      <c r="H5" s="13"/>
      <c r="I5" s="182"/>
      <c r="J5" s="182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45"/>
      <c r="X5" s="142"/>
      <c r="Y5" s="170"/>
      <c r="Z5" s="145"/>
      <c r="AA5" s="167"/>
      <c r="AB5" s="142"/>
      <c r="AC5" s="13"/>
      <c r="AD5" s="13"/>
      <c r="AE5" s="13"/>
      <c r="AF5" s="13"/>
      <c r="AG5" s="13"/>
      <c r="AH5" s="13"/>
    </row>
    <row r="6" spans="3:34" s="13" customFormat="1">
      <c r="C6" s="296" t="s">
        <v>10</v>
      </c>
      <c r="D6" s="297" t="s">
        <v>243</v>
      </c>
      <c r="E6" s="298" t="s">
        <v>244</v>
      </c>
      <c r="F6" s="296" t="s">
        <v>222</v>
      </c>
      <c r="G6" s="296" t="s">
        <v>107</v>
      </c>
      <c r="H6" s="296" t="s">
        <v>241</v>
      </c>
      <c r="I6" s="297" t="s">
        <v>242</v>
      </c>
      <c r="J6" s="299" t="s">
        <v>273</v>
      </c>
      <c r="K6" s="296" t="s">
        <v>0</v>
      </c>
      <c r="L6" s="296" t="s">
        <v>223</v>
      </c>
      <c r="M6" s="296" t="s">
        <v>246</v>
      </c>
      <c r="N6" s="296" t="s">
        <v>247</v>
      </c>
      <c r="O6" s="296" t="s">
        <v>248</v>
      </c>
      <c r="P6" s="296" t="s">
        <v>9</v>
      </c>
      <c r="Q6" s="296" t="s">
        <v>276</v>
      </c>
      <c r="R6" s="296" t="s">
        <v>108</v>
      </c>
      <c r="S6" s="296" t="s">
        <v>245</v>
      </c>
      <c r="T6" s="296" t="s">
        <v>274</v>
      </c>
      <c r="U6" s="296" t="s">
        <v>249</v>
      </c>
      <c r="V6" s="296" t="s">
        <v>275</v>
      </c>
      <c r="W6" s="296" t="s">
        <v>250</v>
      </c>
      <c r="X6" s="297" t="s">
        <v>251</v>
      </c>
      <c r="Y6" s="300" t="s">
        <v>209</v>
      </c>
      <c r="Z6" s="297" t="s">
        <v>226</v>
      </c>
      <c r="AA6" s="298" t="s">
        <v>253</v>
      </c>
      <c r="AB6" s="297" t="s">
        <v>252</v>
      </c>
      <c r="AC6" s="296" t="s">
        <v>254</v>
      </c>
      <c r="AD6" s="296" t="s">
        <v>255</v>
      </c>
      <c r="AE6" s="296" t="s">
        <v>109</v>
      </c>
      <c r="AF6" s="296" t="s">
        <v>23</v>
      </c>
      <c r="AG6" s="296" t="s">
        <v>95</v>
      </c>
      <c r="AH6" s="296" t="s">
        <v>120</v>
      </c>
    </row>
    <row r="7" spans="3:34" s="126" customFormat="1" ht="21">
      <c r="C7" s="293" t="s">
        <v>1</v>
      </c>
      <c r="D7" s="294" t="s">
        <v>227</v>
      </c>
      <c r="E7" s="295" t="s">
        <v>228</v>
      </c>
      <c r="F7" s="293" t="s">
        <v>221</v>
      </c>
      <c r="G7" s="293" t="s">
        <v>124</v>
      </c>
      <c r="H7" s="293" t="s">
        <v>160</v>
      </c>
      <c r="I7" s="294" t="s">
        <v>97</v>
      </c>
      <c r="J7" s="301" t="s">
        <v>272</v>
      </c>
      <c r="K7" s="293" t="s">
        <v>229</v>
      </c>
      <c r="L7" s="293" t="s">
        <v>230</v>
      </c>
      <c r="M7" s="293" t="s">
        <v>232</v>
      </c>
      <c r="N7" s="293" t="s">
        <v>233</v>
      </c>
      <c r="O7" s="293" t="s">
        <v>234</v>
      </c>
      <c r="P7" s="293" t="s">
        <v>278</v>
      </c>
      <c r="Q7" s="293" t="s">
        <v>277</v>
      </c>
      <c r="R7" s="293" t="s">
        <v>205</v>
      </c>
      <c r="S7" s="293" t="s">
        <v>231</v>
      </c>
      <c r="T7" s="293" t="s">
        <v>271</v>
      </c>
      <c r="U7" s="293" t="s">
        <v>206</v>
      </c>
      <c r="V7" s="293" t="s">
        <v>30</v>
      </c>
      <c r="W7" s="293" t="s">
        <v>236</v>
      </c>
      <c r="X7" s="294" t="s">
        <v>240</v>
      </c>
      <c r="Y7" s="302" t="s">
        <v>203</v>
      </c>
      <c r="Z7" s="303" t="s">
        <v>191</v>
      </c>
      <c r="AA7" s="295" t="s">
        <v>204</v>
      </c>
      <c r="AB7" s="294" t="s">
        <v>237</v>
      </c>
      <c r="AC7" s="293" t="s">
        <v>238</v>
      </c>
      <c r="AD7" s="293" t="s">
        <v>239</v>
      </c>
      <c r="AE7" s="293" t="s">
        <v>98</v>
      </c>
      <c r="AF7" s="293" t="s">
        <v>26</v>
      </c>
      <c r="AG7" s="293" t="s">
        <v>2</v>
      </c>
      <c r="AH7" s="293" t="s">
        <v>121</v>
      </c>
    </row>
  </sheetData>
  <pageMargins left="0.7" right="0.7" top="0.75" bottom="0.75" header="0.3" footer="0.3"/>
  <drawing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AD83-9173-4308-8609-76A3A1A8CDC3}">
  <sheetPr codeName="Sheet40"/>
  <dimension ref="C1:Z42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L28" sqref="L28"/>
    </sheetView>
  </sheetViews>
  <sheetFormatPr defaultRowHeight="23.25"/>
  <cols>
    <col min="1" max="1" width="2.5703125" style="126" customWidth="1"/>
    <col min="2" max="2" width="5.140625" style="126" customWidth="1"/>
    <col min="3" max="3" width="8.5703125" style="126" customWidth="1"/>
    <col min="4" max="4" width="9.42578125" style="126" bestFit="1" customWidth="1"/>
    <col min="5" max="5" width="12.7109375" style="143" bestFit="1" customWidth="1"/>
    <col min="6" max="6" width="13" style="126" bestFit="1" customWidth="1"/>
    <col min="7" max="7" width="13" style="143" bestFit="1" customWidth="1"/>
    <col min="8" max="9" width="17.7109375" style="143" bestFit="1" customWidth="1"/>
    <col min="10" max="10" width="24.140625" style="182" bestFit="1" customWidth="1"/>
    <col min="11" max="11" width="5.5703125" style="126" bestFit="1" customWidth="1"/>
    <col min="12" max="12" width="9.140625" style="126" bestFit="1" customWidth="1"/>
    <col min="13" max="13" width="10" style="145" bestFit="1" customWidth="1"/>
    <col min="14" max="14" width="12" style="143" bestFit="1" customWidth="1"/>
    <col min="15" max="15" width="12.140625" style="126" bestFit="1" customWidth="1"/>
    <col min="16" max="16" width="13.42578125" style="143" hidden="1" customWidth="1"/>
    <col min="17" max="17" width="18.42578125" style="126" bestFit="1" customWidth="1"/>
    <col min="18" max="18" width="17.85546875" style="126" hidden="1" customWidth="1"/>
    <col min="19" max="19" width="10.140625" style="126" bestFit="1" customWidth="1"/>
    <col min="20" max="20" width="10.5703125" style="126" bestFit="1" customWidth="1"/>
    <col min="21" max="21" width="17.7109375" style="126" bestFit="1" customWidth="1"/>
    <col min="22" max="22" width="11.5703125" style="126" bestFit="1" customWidth="1"/>
    <col min="23" max="23" width="9.28515625" style="126" bestFit="1" customWidth="1"/>
    <col min="24" max="24" width="7.7109375" style="126" bestFit="1" customWidth="1"/>
    <col min="25" max="25" width="7.42578125" style="126" bestFit="1" customWidth="1"/>
    <col min="26" max="26" width="6.28515625" style="126" bestFit="1" customWidth="1"/>
    <col min="27" max="16384" width="9.140625" style="126"/>
  </cols>
  <sheetData>
    <row r="1" spans="3:26" s="13" customFormat="1" hidden="1">
      <c r="E1" s="142"/>
      <c r="G1" s="142"/>
      <c r="H1" s="142"/>
      <c r="I1" s="142"/>
      <c r="J1" s="182"/>
      <c r="M1" s="145"/>
      <c r="N1" s="142"/>
      <c r="P1" s="142"/>
    </row>
    <row r="2" spans="3:26" s="13" customFormat="1" hidden="1">
      <c r="E2" s="142"/>
      <c r="G2" s="142"/>
      <c r="H2" s="142"/>
      <c r="I2" s="142"/>
      <c r="J2" s="182"/>
      <c r="M2" s="145"/>
      <c r="N2" s="142"/>
      <c r="P2" s="142"/>
    </row>
    <row r="3" spans="3:26" s="13" customFormat="1">
      <c r="E3" s="142"/>
      <c r="G3" s="142"/>
      <c r="H3" s="142"/>
      <c r="I3" s="142"/>
      <c r="J3" s="182"/>
      <c r="M3" s="145"/>
      <c r="N3" s="142"/>
      <c r="P3" s="142"/>
    </row>
    <row r="4" spans="3:26" s="13" customFormat="1">
      <c r="E4" s="142"/>
      <c r="G4" s="142"/>
      <c r="H4" s="142"/>
      <c r="I4" s="142"/>
      <c r="J4" s="182"/>
      <c r="M4" s="145"/>
      <c r="N4" s="142"/>
      <c r="P4" s="142"/>
    </row>
    <row r="5" spans="3:26" s="13" customFormat="1" ht="8.25" customHeight="1">
      <c r="E5" s="142"/>
      <c r="G5" s="142"/>
      <c r="H5" s="142"/>
      <c r="I5" s="142"/>
      <c r="J5" s="182"/>
      <c r="M5" s="145"/>
      <c r="N5" s="142"/>
      <c r="P5" s="142"/>
    </row>
    <row r="6" spans="3:26" s="13" customFormat="1">
      <c r="C6" s="296" t="s">
        <v>10</v>
      </c>
      <c r="D6" s="296" t="s">
        <v>243</v>
      </c>
      <c r="E6" s="297" t="s">
        <v>270</v>
      </c>
      <c r="F6" s="296" t="s">
        <v>244</v>
      </c>
      <c r="G6" s="297" t="s">
        <v>101</v>
      </c>
      <c r="H6" s="297" t="s">
        <v>173</v>
      </c>
      <c r="I6" s="297" t="s">
        <v>260</v>
      </c>
      <c r="J6" s="297" t="s">
        <v>261</v>
      </c>
      <c r="K6" s="297" t="s">
        <v>16</v>
      </c>
      <c r="L6" s="297" t="s">
        <v>16</v>
      </c>
      <c r="M6" s="297" t="s">
        <v>262</v>
      </c>
      <c r="N6" s="297" t="s">
        <v>263</v>
      </c>
      <c r="O6" s="296" t="s">
        <v>264</v>
      </c>
      <c r="P6" s="297" t="s">
        <v>265</v>
      </c>
      <c r="Q6" s="296" t="s">
        <v>267</v>
      </c>
      <c r="R6" s="296" t="s">
        <v>266</v>
      </c>
      <c r="S6" s="296" t="s">
        <v>14</v>
      </c>
      <c r="T6" s="296" t="s">
        <v>187</v>
      </c>
      <c r="U6" s="296" t="s">
        <v>280</v>
      </c>
      <c r="V6" s="296" t="s">
        <v>268</v>
      </c>
      <c r="W6" s="296" t="s">
        <v>109</v>
      </c>
      <c r="X6" s="296" t="s">
        <v>23</v>
      </c>
      <c r="Y6" s="296" t="s">
        <v>95</v>
      </c>
      <c r="Z6" s="296" t="s">
        <v>120</v>
      </c>
    </row>
    <row r="7" spans="3:26" s="13" customFormat="1" ht="15">
      <c r="C7" s="304" t="s">
        <v>139</v>
      </c>
      <c r="D7" s="304" t="s">
        <v>256</v>
      </c>
      <c r="E7" s="305" t="s">
        <v>269</v>
      </c>
      <c r="F7" s="304" t="s">
        <v>228</v>
      </c>
      <c r="G7" s="305" t="s">
        <v>160</v>
      </c>
      <c r="H7" s="305" t="s">
        <v>162</v>
      </c>
      <c r="I7" s="305" t="s">
        <v>207</v>
      </c>
      <c r="J7" s="305" t="s">
        <v>17</v>
      </c>
      <c r="K7" s="305" t="s">
        <v>18</v>
      </c>
      <c r="L7" s="305" t="s">
        <v>196</v>
      </c>
      <c r="M7" s="305" t="s">
        <v>4</v>
      </c>
      <c r="N7" s="305" t="s">
        <v>257</v>
      </c>
      <c r="O7" s="304" t="s">
        <v>197</v>
      </c>
      <c r="P7" s="305" t="s">
        <v>258</v>
      </c>
      <c r="Q7" s="304" t="s">
        <v>259</v>
      </c>
      <c r="R7" s="304" t="s">
        <v>235</v>
      </c>
      <c r="S7" s="304" t="s">
        <v>19</v>
      </c>
      <c r="T7" s="304" t="s">
        <v>8</v>
      </c>
      <c r="U7" s="304" t="s">
        <v>279</v>
      </c>
      <c r="V7" s="304" t="s">
        <v>201</v>
      </c>
      <c r="W7" s="304" t="s">
        <v>98</v>
      </c>
      <c r="X7" s="304" t="s">
        <v>26</v>
      </c>
      <c r="Y7" s="304" t="s">
        <v>2</v>
      </c>
      <c r="Z7" s="304" t="s">
        <v>121</v>
      </c>
    </row>
    <row r="8" spans="3:26">
      <c r="F8" s="168"/>
    </row>
    <row r="9" spans="3:26">
      <c r="F9" s="168"/>
    </row>
    <row r="10" spans="3:26">
      <c r="F10" s="168"/>
    </row>
    <row r="11" spans="3:26">
      <c r="F11" s="168"/>
    </row>
    <row r="12" spans="3:26">
      <c r="F12" s="168"/>
    </row>
    <row r="13" spans="3:26">
      <c r="F13" s="168"/>
    </row>
    <row r="14" spans="3:26">
      <c r="F14" s="168"/>
    </row>
    <row r="15" spans="3:26">
      <c r="F15" s="168"/>
    </row>
    <row r="16" spans="3:26">
      <c r="F16" s="168"/>
    </row>
    <row r="17" spans="6:6">
      <c r="F17" s="168"/>
    </row>
    <row r="18" spans="6:6">
      <c r="F18" s="168"/>
    </row>
    <row r="19" spans="6:6">
      <c r="F19" s="168"/>
    </row>
    <row r="20" spans="6:6">
      <c r="F20" s="168"/>
    </row>
    <row r="21" spans="6:6">
      <c r="F21" s="168"/>
    </row>
    <row r="22" spans="6:6">
      <c r="F22" s="168"/>
    </row>
    <row r="23" spans="6:6">
      <c r="F23" s="168"/>
    </row>
    <row r="24" spans="6:6">
      <c r="F24" s="168"/>
    </row>
    <row r="25" spans="6:6">
      <c r="F25" s="168"/>
    </row>
    <row r="26" spans="6:6">
      <c r="F26" s="168"/>
    </row>
    <row r="27" spans="6:6">
      <c r="F27" s="168"/>
    </row>
    <row r="28" spans="6:6">
      <c r="F28" s="168"/>
    </row>
    <row r="29" spans="6:6">
      <c r="F29" s="168"/>
    </row>
    <row r="30" spans="6:6">
      <c r="F30" s="168"/>
    </row>
    <row r="31" spans="6:6">
      <c r="F31" s="168"/>
    </row>
    <row r="32" spans="6:6">
      <c r="F32" s="168"/>
    </row>
    <row r="33" spans="6:6">
      <c r="F33" s="168"/>
    </row>
    <row r="34" spans="6:6">
      <c r="F34" s="168"/>
    </row>
    <row r="35" spans="6:6">
      <c r="F35" s="168"/>
    </row>
    <row r="36" spans="6:6">
      <c r="F36" s="168"/>
    </row>
    <row r="37" spans="6:6">
      <c r="F37" s="168"/>
    </row>
    <row r="38" spans="6:6">
      <c r="F38" s="168"/>
    </row>
    <row r="39" spans="6:6">
      <c r="F39" s="168"/>
    </row>
    <row r="40" spans="6:6">
      <c r="F40" s="168"/>
    </row>
    <row r="41" spans="6:6">
      <c r="F41" s="168"/>
    </row>
    <row r="42" spans="6:6">
      <c r="F42" s="168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DE107-C122-48EA-B81B-08FDB53DBD7F}">
  <sheetPr codeName="Sheet41"/>
  <dimension ref="C6:S7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L28" sqref="L28"/>
    </sheetView>
  </sheetViews>
  <sheetFormatPr defaultRowHeight="15"/>
  <cols>
    <col min="1" max="1" width="2.5703125" customWidth="1"/>
    <col min="2" max="2" width="1" customWidth="1"/>
    <col min="4" max="5" width="13.5703125" customWidth="1"/>
    <col min="6" max="6" width="17.42578125" customWidth="1"/>
    <col min="7" max="7" width="17.85546875" customWidth="1"/>
    <col min="8" max="8" width="16" customWidth="1"/>
    <col min="9" max="9" width="10.42578125" customWidth="1"/>
    <col min="10" max="10" width="11.85546875" customWidth="1"/>
    <col min="11" max="11" width="17.42578125" customWidth="1"/>
    <col min="12" max="12" width="13.28515625" customWidth="1"/>
    <col min="13" max="13" width="15.140625" customWidth="1"/>
    <col min="14" max="14" width="20.140625" customWidth="1"/>
    <col min="15" max="15" width="16.7109375" customWidth="1"/>
    <col min="16" max="16" width="16.5703125" customWidth="1"/>
    <col min="17" max="17" width="12.28515625" customWidth="1"/>
    <col min="18" max="18" width="16.28515625" customWidth="1"/>
    <col min="19" max="19" width="15.28515625" customWidth="1"/>
  </cols>
  <sheetData>
    <row r="6" spans="3:19" ht="23.25">
      <c r="C6" s="296" t="s">
        <v>10</v>
      </c>
      <c r="D6" s="296" t="s">
        <v>243</v>
      </c>
      <c r="E6" s="296" t="s">
        <v>270</v>
      </c>
      <c r="F6" s="296" t="s">
        <v>173</v>
      </c>
      <c r="G6" s="296" t="s">
        <v>260</v>
      </c>
      <c r="H6" s="296" t="s">
        <v>261</v>
      </c>
      <c r="I6" s="296" t="s">
        <v>16</v>
      </c>
      <c r="J6" s="296" t="s">
        <v>262</v>
      </c>
      <c r="K6" s="296" t="s">
        <v>263</v>
      </c>
      <c r="L6" s="296" t="s">
        <v>264</v>
      </c>
      <c r="M6" s="296" t="s">
        <v>265</v>
      </c>
      <c r="N6" s="296" t="s">
        <v>267</v>
      </c>
      <c r="O6" s="296" t="s">
        <v>266</v>
      </c>
      <c r="P6" s="296" t="s">
        <v>14</v>
      </c>
      <c r="Q6" s="296" t="s">
        <v>187</v>
      </c>
      <c r="R6" s="296" t="s">
        <v>268</v>
      </c>
      <c r="S6" s="296" t="s">
        <v>109</v>
      </c>
    </row>
    <row r="7" spans="3:19">
      <c r="C7" s="304" t="s">
        <v>139</v>
      </c>
      <c r="D7" s="304" t="s">
        <v>256</v>
      </c>
      <c r="E7" s="304" t="s">
        <v>269</v>
      </c>
      <c r="F7" s="304" t="s">
        <v>162</v>
      </c>
      <c r="G7" s="304" t="s">
        <v>207</v>
      </c>
      <c r="H7" s="304" t="s">
        <v>17</v>
      </c>
      <c r="I7" s="304" t="s">
        <v>18</v>
      </c>
      <c r="J7" s="304" t="s">
        <v>4</v>
      </c>
      <c r="K7" s="304" t="s">
        <v>257</v>
      </c>
      <c r="L7" s="304" t="s">
        <v>197</v>
      </c>
      <c r="M7" s="304" t="s">
        <v>258</v>
      </c>
      <c r="N7" s="304" t="s">
        <v>259</v>
      </c>
      <c r="O7" s="304" t="s">
        <v>235</v>
      </c>
      <c r="P7" s="304" t="s">
        <v>19</v>
      </c>
      <c r="Q7" s="304" t="s">
        <v>8</v>
      </c>
      <c r="R7" s="304" t="s">
        <v>201</v>
      </c>
      <c r="S7" s="304" t="s">
        <v>98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09CE-CCE5-4F6F-A012-C6D796703B74}">
  <sheetPr codeName="Sheet31"/>
  <dimension ref="C1:AT4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T16" sqref="T16"/>
    </sheetView>
  </sheetViews>
  <sheetFormatPr defaultRowHeight="23.25"/>
  <cols>
    <col min="1" max="1" width="2" style="68" customWidth="1"/>
    <col min="2" max="2" width="3" style="68" customWidth="1"/>
    <col min="3" max="3" width="5.85546875" style="235" customWidth="1"/>
    <col min="4" max="4" width="18.140625" style="68" customWidth="1"/>
    <col min="5" max="5" width="20.85546875" style="233" customWidth="1"/>
    <col min="6" max="6" width="15.28515625" style="232" customWidth="1"/>
    <col min="7" max="8" width="15.28515625" style="68" customWidth="1"/>
    <col min="9" max="9" width="27.28515625" style="167" customWidth="1"/>
    <col min="10" max="10" width="26.28515625" style="68" hidden="1" customWidth="1"/>
    <col min="11" max="11" width="13.85546875" style="235" hidden="1" customWidth="1"/>
    <col min="12" max="12" width="11.85546875" style="235" hidden="1" customWidth="1"/>
    <col min="13" max="13" width="17.140625" style="235" hidden="1" customWidth="1"/>
    <col min="14" max="14" width="11.85546875" style="235" hidden="1" customWidth="1"/>
    <col min="15" max="15" width="19.85546875" style="235" hidden="1" customWidth="1"/>
    <col min="16" max="16" width="14.140625" style="235" hidden="1" customWidth="1"/>
    <col min="17" max="17" width="29.42578125" style="68" bestFit="1" customWidth="1"/>
    <col min="18" max="18" width="20.28515625" style="235" customWidth="1"/>
    <col min="19" max="19" width="16.140625" style="235" hidden="1" customWidth="1"/>
    <col min="20" max="20" width="14.42578125" style="235" bestFit="1" customWidth="1"/>
    <col min="21" max="21" width="20.140625" style="235" hidden="1" customWidth="1"/>
    <col min="22" max="22" width="16.5703125" style="235" hidden="1" customWidth="1"/>
    <col min="23" max="23" width="17.28515625" style="235" hidden="1" customWidth="1"/>
    <col min="24" max="24" width="12" style="235" hidden="1" customWidth="1"/>
    <col min="25" max="25" width="14.85546875" style="230" customWidth="1"/>
    <col min="26" max="26" width="15.140625" style="230" customWidth="1"/>
    <col min="27" max="27" width="13.5703125" style="230" customWidth="1"/>
    <col min="28" max="28" width="11.5703125" style="230" customWidth="1"/>
    <col min="29" max="29" width="17.42578125" style="230" customWidth="1"/>
    <col min="30" max="30" width="19.7109375" style="230" customWidth="1"/>
    <col min="31" max="31" width="19" style="230" customWidth="1"/>
    <col min="32" max="32" width="19" style="68" hidden="1" customWidth="1"/>
    <col min="33" max="33" width="15.42578125" style="68" hidden="1" customWidth="1"/>
    <col min="34" max="34" width="20.7109375" style="68" hidden="1" customWidth="1"/>
    <col min="35" max="35" width="16" style="68" customWidth="1"/>
    <col min="36" max="36" width="22.42578125" style="68" customWidth="1"/>
    <col min="37" max="37" width="19.140625" style="68" hidden="1" customWidth="1"/>
    <col min="38" max="38" width="22.28515625" style="68" hidden="1" customWidth="1"/>
    <col min="39" max="39" width="9.28515625" style="68" customWidth="1"/>
    <col min="40" max="40" width="14.28515625" style="68" customWidth="1"/>
    <col min="41" max="41" width="10.42578125" style="68" customWidth="1"/>
    <col min="42" max="43" width="9.7109375" style="68" customWidth="1"/>
    <col min="44" max="44" width="9.140625" style="68"/>
    <col min="45" max="45" width="9.140625" style="138"/>
    <col min="46" max="46" width="26" style="138" bestFit="1" customWidth="1"/>
    <col min="47" max="47" width="29.140625" style="68" customWidth="1"/>
    <col min="48" max="16384" width="9.140625" style="68"/>
  </cols>
  <sheetData>
    <row r="1" spans="3:46" customFormat="1" ht="7.5" customHeight="1">
      <c r="C1" s="13"/>
      <c r="D1" s="13"/>
      <c r="E1" s="167"/>
      <c r="F1" s="234"/>
      <c r="G1" s="13"/>
      <c r="H1" s="13"/>
      <c r="I1" s="167"/>
      <c r="K1" s="13"/>
      <c r="L1" s="13"/>
      <c r="M1" s="13"/>
      <c r="N1" s="13"/>
      <c r="O1" s="13"/>
      <c r="P1" s="13"/>
      <c r="Q1" s="127"/>
      <c r="R1" s="131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1"/>
      <c r="AH1" s="13"/>
      <c r="AI1" s="13"/>
      <c r="AJ1" s="13"/>
      <c r="AK1" s="13"/>
      <c r="AL1" s="13"/>
      <c r="AM1" s="13"/>
      <c r="AN1" s="13"/>
      <c r="AO1" s="13"/>
      <c r="AP1" s="13"/>
      <c r="AS1" s="132"/>
      <c r="AT1" s="132"/>
    </row>
    <row r="2" spans="3:46" customFormat="1">
      <c r="C2" s="13"/>
      <c r="D2" s="13"/>
      <c r="E2" s="167"/>
      <c r="F2" s="234"/>
      <c r="G2" s="13"/>
      <c r="H2" s="13"/>
      <c r="I2" s="167"/>
      <c r="K2" s="13"/>
      <c r="L2" s="13"/>
      <c r="M2" s="13"/>
      <c r="N2" s="13"/>
      <c r="O2" s="13"/>
      <c r="P2" s="13"/>
      <c r="Q2" s="127"/>
      <c r="R2" s="131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1"/>
      <c r="AH2" s="13"/>
      <c r="AI2" s="13"/>
      <c r="AJ2" s="13"/>
      <c r="AK2" s="13"/>
      <c r="AL2" s="13"/>
      <c r="AM2" s="13"/>
      <c r="AN2" s="13"/>
      <c r="AO2" s="13"/>
      <c r="AP2" s="13"/>
      <c r="AS2" s="132"/>
      <c r="AT2" s="132"/>
    </row>
    <row r="3" spans="3:46" customFormat="1">
      <c r="C3" s="13"/>
      <c r="D3" s="13"/>
      <c r="E3" s="167"/>
      <c r="F3" s="234"/>
      <c r="G3" s="13"/>
      <c r="H3" s="13"/>
      <c r="I3" s="167"/>
      <c r="K3" s="13"/>
      <c r="L3" s="13"/>
      <c r="M3" s="13"/>
      <c r="N3" s="13"/>
      <c r="O3" s="13"/>
      <c r="P3" s="13"/>
      <c r="Q3" s="127"/>
      <c r="R3" s="131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1"/>
      <c r="AH3" s="13"/>
      <c r="AI3" s="13"/>
      <c r="AJ3" s="13"/>
      <c r="AK3" s="13"/>
      <c r="AL3" s="13"/>
      <c r="AM3" s="13"/>
      <c r="AN3" s="13"/>
      <c r="AO3" s="13"/>
      <c r="AP3" s="13"/>
      <c r="AS3" s="132"/>
      <c r="AT3" s="132"/>
    </row>
    <row r="4" spans="3:46" customFormat="1" ht="12" customHeight="1">
      <c r="C4" s="13"/>
      <c r="D4" s="13"/>
      <c r="E4" s="167"/>
      <c r="F4" s="234"/>
      <c r="G4" s="13"/>
      <c r="H4" s="13"/>
      <c r="I4" s="167"/>
      <c r="K4" s="13"/>
      <c r="L4" s="13"/>
      <c r="M4" s="13"/>
      <c r="N4" s="13"/>
      <c r="O4" s="13"/>
      <c r="P4" s="13"/>
      <c r="Q4" s="127"/>
      <c r="R4" s="131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1"/>
      <c r="AH4" s="13"/>
      <c r="AI4" s="13"/>
      <c r="AJ4" s="13"/>
      <c r="AK4" s="13"/>
      <c r="AL4" s="13"/>
      <c r="AM4" s="13"/>
      <c r="AN4" s="13"/>
      <c r="AO4" s="13"/>
      <c r="AP4" s="13"/>
      <c r="AS4" s="132"/>
      <c r="AT4" s="132"/>
    </row>
    <row r="5" spans="3:46" customFormat="1" ht="12.7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S5" s="132"/>
      <c r="AT5" s="132"/>
    </row>
    <row r="6" spans="3:46" s="13" customFormat="1">
      <c r="C6" s="296" t="s">
        <v>10</v>
      </c>
      <c r="D6" s="296" t="s">
        <v>94</v>
      </c>
      <c r="E6" s="298" t="s">
        <v>24</v>
      </c>
      <c r="F6" s="306" t="s">
        <v>401</v>
      </c>
      <c r="G6" s="296" t="s">
        <v>408</v>
      </c>
      <c r="H6" s="296" t="s">
        <v>409</v>
      </c>
      <c r="I6" s="298" t="s">
        <v>410</v>
      </c>
      <c r="J6" s="298" t="s">
        <v>429</v>
      </c>
      <c r="K6" s="296" t="s">
        <v>222</v>
      </c>
      <c r="L6" s="296" t="s">
        <v>107</v>
      </c>
      <c r="M6" s="296" t="s">
        <v>142</v>
      </c>
      <c r="N6" s="296" t="s">
        <v>186</v>
      </c>
      <c r="O6" s="296" t="s">
        <v>397</v>
      </c>
      <c r="P6" s="296" t="s">
        <v>402</v>
      </c>
      <c r="Q6" s="296" t="s">
        <v>99</v>
      </c>
      <c r="R6" s="296" t="s">
        <v>298</v>
      </c>
      <c r="S6" s="296" t="s">
        <v>0</v>
      </c>
      <c r="T6" s="296" t="s">
        <v>404</v>
      </c>
      <c r="U6" s="296" t="s">
        <v>415</v>
      </c>
      <c r="V6" s="296" t="s">
        <v>246</v>
      </c>
      <c r="W6" s="296" t="s">
        <v>247</v>
      </c>
      <c r="X6" s="296" t="s">
        <v>248</v>
      </c>
      <c r="Y6" s="307" t="s">
        <v>9</v>
      </c>
      <c r="Z6" s="307" t="s">
        <v>276</v>
      </c>
      <c r="AA6" s="307" t="s">
        <v>108</v>
      </c>
      <c r="AB6" s="307" t="s">
        <v>245</v>
      </c>
      <c r="AC6" s="307" t="s">
        <v>274</v>
      </c>
      <c r="AD6" s="307" t="s">
        <v>249</v>
      </c>
      <c r="AE6" s="307" t="s">
        <v>418</v>
      </c>
      <c r="AF6" s="296" t="s">
        <v>431</v>
      </c>
      <c r="AG6" s="296" t="s">
        <v>250</v>
      </c>
      <c r="AH6" s="296" t="s">
        <v>251</v>
      </c>
      <c r="AI6" s="296" t="s">
        <v>25</v>
      </c>
      <c r="AJ6" s="308" t="s">
        <v>209</v>
      </c>
      <c r="AK6" s="296" t="s">
        <v>470</v>
      </c>
      <c r="AL6" s="296" t="s">
        <v>471</v>
      </c>
      <c r="AM6" s="296" t="s">
        <v>109</v>
      </c>
      <c r="AN6" s="296" t="s">
        <v>23</v>
      </c>
      <c r="AO6" s="296" t="s">
        <v>95</v>
      </c>
      <c r="AP6" s="296" t="s">
        <v>120</v>
      </c>
      <c r="AS6" s="121"/>
      <c r="AT6" s="121"/>
    </row>
    <row r="7" spans="3:46" s="126" customFormat="1" ht="15">
      <c r="C7" s="293" t="s">
        <v>1</v>
      </c>
      <c r="D7" s="293" t="s">
        <v>405</v>
      </c>
      <c r="E7" s="295" t="s">
        <v>406</v>
      </c>
      <c r="F7" s="309" t="s">
        <v>400</v>
      </c>
      <c r="G7" s="293" t="s">
        <v>411</v>
      </c>
      <c r="H7" s="293" t="s">
        <v>412</v>
      </c>
      <c r="I7" s="295" t="s">
        <v>413</v>
      </c>
      <c r="J7" s="295" t="s">
        <v>428</v>
      </c>
      <c r="K7" s="293" t="s">
        <v>221</v>
      </c>
      <c r="L7" s="293" t="s">
        <v>124</v>
      </c>
      <c r="M7" s="293" t="s">
        <v>140</v>
      </c>
      <c r="N7" s="293" t="s">
        <v>163</v>
      </c>
      <c r="O7" s="293" t="s">
        <v>396</v>
      </c>
      <c r="P7" s="293" t="s">
        <v>161</v>
      </c>
      <c r="Q7" s="293" t="s">
        <v>403</v>
      </c>
      <c r="R7" s="293" t="s">
        <v>407</v>
      </c>
      <c r="S7" s="293" t="s">
        <v>229</v>
      </c>
      <c r="T7" s="293" t="s">
        <v>3</v>
      </c>
      <c r="U7" s="293" t="s">
        <v>414</v>
      </c>
      <c r="V7" s="293" t="s">
        <v>232</v>
      </c>
      <c r="W7" s="293" t="s">
        <v>233</v>
      </c>
      <c r="X7" s="293" t="s">
        <v>234</v>
      </c>
      <c r="Y7" s="310" t="s">
        <v>278</v>
      </c>
      <c r="Z7" s="310" t="s">
        <v>277</v>
      </c>
      <c r="AA7" s="310" t="s">
        <v>205</v>
      </c>
      <c r="AB7" s="310" t="s">
        <v>231</v>
      </c>
      <c r="AC7" s="310" t="s">
        <v>271</v>
      </c>
      <c r="AD7" s="310" t="s">
        <v>206</v>
      </c>
      <c r="AE7" s="310" t="s">
        <v>283</v>
      </c>
      <c r="AF7" s="293" t="s">
        <v>430</v>
      </c>
      <c r="AG7" s="293" t="s">
        <v>236</v>
      </c>
      <c r="AH7" s="293" t="s">
        <v>240</v>
      </c>
      <c r="AI7" s="293" t="s">
        <v>28</v>
      </c>
      <c r="AJ7" s="311" t="s">
        <v>203</v>
      </c>
      <c r="AK7" s="293" t="s">
        <v>416</v>
      </c>
      <c r="AL7" s="293" t="s">
        <v>417</v>
      </c>
      <c r="AM7" s="293" t="s">
        <v>98</v>
      </c>
      <c r="AN7" s="293" t="s">
        <v>26</v>
      </c>
      <c r="AO7" s="293" t="s">
        <v>2</v>
      </c>
      <c r="AP7" s="293" t="s">
        <v>121</v>
      </c>
      <c r="AS7" s="128"/>
      <c r="AT7" s="128"/>
    </row>
    <row r="8" spans="3:46">
      <c r="C8" s="235">
        <v>1</v>
      </c>
      <c r="D8" s="68" t="s">
        <v>557</v>
      </c>
      <c r="E8" s="233">
        <v>46218</v>
      </c>
      <c r="F8" s="232">
        <v>46218</v>
      </c>
      <c r="K8" s="235">
        <v>1</v>
      </c>
      <c r="L8" s="235">
        <v>1</v>
      </c>
      <c r="M8" s="235">
        <v>1</v>
      </c>
      <c r="N8" s="235">
        <v>1</v>
      </c>
      <c r="O8" s="235">
        <v>1</v>
      </c>
      <c r="P8" s="235">
        <v>1</v>
      </c>
      <c r="Q8" s="68" t="s">
        <v>558</v>
      </c>
      <c r="R8" s="235">
        <v>6</v>
      </c>
      <c r="S8" s="235">
        <v>1</v>
      </c>
      <c r="T8" s="235">
        <v>4024</v>
      </c>
      <c r="V8" s="235">
        <v>0</v>
      </c>
      <c r="AA8" s="230">
        <v>933.7</v>
      </c>
      <c r="AB8" s="230">
        <v>0</v>
      </c>
      <c r="AC8" s="230">
        <v>0</v>
      </c>
      <c r="AD8" s="230">
        <v>0</v>
      </c>
      <c r="AE8" s="230">
        <v>933.7</v>
      </c>
      <c r="AJ8" s="231">
        <v>46220.389374999999</v>
      </c>
      <c r="AK8" s="68">
        <v>0</v>
      </c>
      <c r="AL8" s="68">
        <v>0</v>
      </c>
      <c r="AM8" s="68">
        <v>1</v>
      </c>
      <c r="AN8" s="68">
        <v>3</v>
      </c>
      <c r="AO8" s="68">
        <v>7</v>
      </c>
      <c r="AP8" s="68">
        <v>2026</v>
      </c>
      <c r="AS8" s="121"/>
      <c r="AT8" s="364"/>
    </row>
    <row r="9" spans="3:46">
      <c r="AJ9" s="231"/>
      <c r="AS9" s="121"/>
      <c r="AT9" s="364"/>
    </row>
    <row r="10" spans="3:46">
      <c r="AJ10" s="231"/>
      <c r="AS10" s="121"/>
      <c r="AT10" s="363"/>
    </row>
    <row r="11" spans="3:46">
      <c r="AJ11" s="231"/>
      <c r="AS11" s="121"/>
      <c r="AT11" s="363"/>
    </row>
    <row r="12" spans="3:46">
      <c r="AJ12" s="231"/>
      <c r="AS12" s="121"/>
      <c r="AT12" s="364"/>
    </row>
    <row r="13" spans="3:46">
      <c r="AJ13" s="231"/>
      <c r="AS13" s="121"/>
      <c r="AT13" s="364"/>
    </row>
    <row r="14" spans="3:46">
      <c r="AJ14" s="231"/>
      <c r="AS14" s="121"/>
      <c r="AT14" s="363"/>
    </row>
    <row r="15" spans="3:46">
      <c r="AJ15" s="231"/>
      <c r="AS15" s="121"/>
      <c r="AT15" s="363"/>
    </row>
    <row r="16" spans="3:46">
      <c r="AJ16" s="231"/>
      <c r="AS16" s="121"/>
      <c r="AT16" s="364"/>
    </row>
    <row r="17" spans="36:46">
      <c r="AJ17" s="231"/>
      <c r="AS17" s="121"/>
      <c r="AT17" s="364"/>
    </row>
    <row r="18" spans="36:46">
      <c r="AJ18" s="231"/>
      <c r="AS18" s="121"/>
      <c r="AT18" s="364"/>
    </row>
    <row r="19" spans="36:46">
      <c r="AJ19" s="231"/>
      <c r="AS19" s="121"/>
      <c r="AT19" s="364"/>
    </row>
    <row r="20" spans="36:46">
      <c r="AJ20" s="231"/>
      <c r="AS20" s="121"/>
      <c r="AT20" s="364"/>
    </row>
    <row r="21" spans="36:46">
      <c r="AJ21" s="231"/>
      <c r="AS21" s="121"/>
      <c r="AT21" s="364"/>
    </row>
    <row r="22" spans="36:46">
      <c r="AJ22" s="231"/>
      <c r="AS22" s="121"/>
      <c r="AT22" s="364"/>
    </row>
    <row r="23" spans="36:46">
      <c r="AJ23" s="231"/>
      <c r="AS23" s="121"/>
      <c r="AT23" s="364"/>
    </row>
    <row r="24" spans="36:46">
      <c r="AJ24" s="231"/>
      <c r="AS24" s="121"/>
      <c r="AT24" s="364"/>
    </row>
    <row r="25" spans="36:46">
      <c r="AJ25" s="231"/>
      <c r="AS25" s="121"/>
      <c r="AT25" s="364"/>
    </row>
    <row r="26" spans="36:46">
      <c r="AJ26" s="231"/>
      <c r="AS26" s="121"/>
      <c r="AT26" s="364"/>
    </row>
    <row r="27" spans="36:46">
      <c r="AJ27" s="231"/>
      <c r="AS27" s="121"/>
      <c r="AT27" s="364"/>
    </row>
    <row r="28" spans="36:46">
      <c r="AJ28" s="231"/>
      <c r="AS28" s="121"/>
      <c r="AT28" s="364"/>
    </row>
    <row r="29" spans="36:46">
      <c r="AJ29" s="231"/>
      <c r="AS29" s="121"/>
      <c r="AT29" s="364"/>
    </row>
    <row r="30" spans="36:46">
      <c r="AS30" s="121"/>
      <c r="AT30" s="365"/>
    </row>
    <row r="31" spans="36:46">
      <c r="AS31" s="121"/>
      <c r="AT31" s="365"/>
    </row>
    <row r="32" spans="36:46">
      <c r="AS32" s="121"/>
      <c r="AT32" s="365"/>
    </row>
    <row r="33" spans="45:46">
      <c r="AS33" s="121"/>
      <c r="AT33" s="365"/>
    </row>
    <row r="34" spans="45:46">
      <c r="AS34" s="121"/>
      <c r="AT34" s="365"/>
    </row>
    <row r="35" spans="45:46">
      <c r="AS35" s="121"/>
      <c r="AT35" s="365"/>
    </row>
    <row r="36" spans="45:46">
      <c r="AS36" s="121"/>
      <c r="AT36" s="365"/>
    </row>
    <row r="37" spans="45:46">
      <c r="AS37" s="121"/>
      <c r="AT37" s="364"/>
    </row>
    <row r="38" spans="45:46">
      <c r="AS38" s="121"/>
      <c r="AT38" s="364"/>
    </row>
    <row r="39" spans="45:46">
      <c r="AS39" s="121"/>
      <c r="AT39" s="364"/>
    </row>
    <row r="40" spans="45:46">
      <c r="AS40" s="121"/>
      <c r="AT40" s="364"/>
    </row>
    <row r="41" spans="45:46">
      <c r="AS41" s="121"/>
      <c r="AT41" s="366"/>
    </row>
    <row r="42" spans="45:46">
      <c r="AS42" s="121"/>
      <c r="AT42" s="364"/>
    </row>
    <row r="43" spans="45:46">
      <c r="AS43" s="121"/>
      <c r="AT43" s="364"/>
    </row>
    <row r="44" spans="45:46">
      <c r="AS44" s="121"/>
      <c r="AT44" s="364"/>
    </row>
    <row r="45" spans="45:46">
      <c r="AS45" s="121"/>
      <c r="AT45" s="364"/>
    </row>
    <row r="46" spans="45:46">
      <c r="AS46" s="121"/>
      <c r="AT46" s="364"/>
    </row>
    <row r="47" spans="45:46">
      <c r="AS47" s="121"/>
      <c r="AT47" s="364"/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9AFA-BA8F-4C07-A12D-58813D9627DE}">
  <sheetPr codeName="Sheet42"/>
  <dimension ref="A1:AH36"/>
  <sheetViews>
    <sheetView showGridLines="0" topLeftCell="B1" zoomScale="80" zoomScaleNormal="80" workbookViewId="0">
      <pane ySplit="7" topLeftCell="A8" activePane="bottomLeft" state="frozen"/>
      <selection activeCell="D13" sqref="D13"/>
      <selection pane="bottomLeft" activeCell="J20" sqref="J20"/>
    </sheetView>
  </sheetViews>
  <sheetFormatPr defaultRowHeight="23.25"/>
  <cols>
    <col min="1" max="1" width="2.5703125" style="68" hidden="1" customWidth="1"/>
    <col min="2" max="2" width="1" style="68" customWidth="1"/>
    <col min="3" max="3" width="9.7109375" style="235" customWidth="1"/>
    <col min="4" max="4" width="15.5703125" style="235" customWidth="1"/>
    <col min="5" max="5" width="24.85546875" style="68" bestFit="1" customWidth="1"/>
    <col min="6" max="6" width="18.28515625" style="235" customWidth="1"/>
    <col min="7" max="7" width="21.28515625" style="236" customWidth="1"/>
    <col min="8" max="8" width="13" style="235" bestFit="1" customWidth="1"/>
    <col min="9" max="9" width="17.7109375" style="235" bestFit="1" customWidth="1"/>
    <col min="10" max="10" width="34.85546875" style="235" bestFit="1" customWidth="1"/>
    <col min="11" max="11" width="28.42578125" style="68" bestFit="1" customWidth="1"/>
    <col min="12" max="12" width="9.7109375" style="153" customWidth="1"/>
    <col min="13" max="13" width="11.28515625" style="153" customWidth="1"/>
    <col min="14" max="14" width="18.42578125" style="68" bestFit="1" customWidth="1"/>
    <col min="15" max="15" width="15.42578125" style="235" customWidth="1"/>
    <col min="16" max="16" width="12.140625" style="235" bestFit="1" customWidth="1"/>
    <col min="17" max="17" width="13.42578125" style="68" customWidth="1"/>
    <col min="18" max="18" width="18.42578125" style="230" bestFit="1" customWidth="1"/>
    <col min="19" max="19" width="17.85546875" style="230" customWidth="1"/>
    <col min="20" max="20" width="13.140625" style="237" bestFit="1" customWidth="1"/>
    <col min="21" max="21" width="15.85546875" style="237" customWidth="1"/>
    <col min="22" max="22" width="10.5703125" style="237" bestFit="1" customWidth="1"/>
    <col min="23" max="23" width="17.7109375" style="237" bestFit="1" customWidth="1"/>
    <col min="24" max="24" width="15.42578125" style="237" customWidth="1"/>
    <col min="25" max="26" width="15.42578125" style="68" customWidth="1"/>
    <col min="27" max="27" width="43.140625" style="68" bestFit="1" customWidth="1"/>
    <col min="28" max="28" width="13.5703125" style="235" customWidth="1"/>
    <col min="29" max="29" width="12.5703125" style="235" customWidth="1"/>
    <col min="30" max="30" width="12.85546875" style="235" customWidth="1"/>
    <col min="31" max="31" width="10.7109375" style="235" customWidth="1"/>
    <col min="32" max="35" width="9.140625" style="68"/>
    <col min="36" max="36" width="19" style="68" customWidth="1"/>
    <col min="37" max="16384" width="9.140625" style="68"/>
  </cols>
  <sheetData>
    <row r="1" spans="3:34" s="13" customFormat="1" hidden="1">
      <c r="F1" s="142"/>
      <c r="G1" s="167"/>
      <c r="H1" s="142"/>
      <c r="I1" s="142"/>
      <c r="J1" s="142"/>
      <c r="K1" s="182"/>
      <c r="N1" s="145"/>
      <c r="O1" s="142"/>
      <c r="Q1" s="142"/>
      <c r="R1" s="229"/>
      <c r="S1" s="229"/>
      <c r="T1" s="229"/>
      <c r="U1" s="229"/>
      <c r="V1" s="229"/>
      <c r="W1" s="229"/>
      <c r="X1" s="229"/>
    </row>
    <row r="2" spans="3:34" s="13" customFormat="1" hidden="1">
      <c r="F2" s="142"/>
      <c r="G2" s="167"/>
      <c r="H2" s="142"/>
      <c r="I2" s="142"/>
      <c r="J2" s="142"/>
      <c r="K2" s="182"/>
      <c r="N2" s="145"/>
      <c r="O2" s="142"/>
      <c r="Q2" s="142"/>
      <c r="R2" s="229"/>
      <c r="S2" s="229"/>
      <c r="T2" s="229"/>
      <c r="U2" s="229"/>
      <c r="V2" s="229"/>
      <c r="W2" s="229"/>
      <c r="X2" s="229"/>
    </row>
    <row r="3" spans="3:34" s="13" customFormat="1">
      <c r="F3" s="142"/>
      <c r="G3" s="167"/>
      <c r="H3" s="142"/>
      <c r="I3" s="142"/>
      <c r="J3" s="142"/>
      <c r="K3" s="182"/>
      <c r="N3" s="145"/>
      <c r="O3" s="142"/>
      <c r="Q3" s="142"/>
      <c r="R3" s="229"/>
      <c r="S3" s="229"/>
      <c r="T3" s="229"/>
      <c r="U3" s="229"/>
      <c r="V3" s="229"/>
      <c r="W3" s="229"/>
      <c r="X3" s="229"/>
    </row>
    <row r="4" spans="3:34" s="13" customFormat="1" ht="42.75" customHeight="1">
      <c r="F4" s="142"/>
      <c r="G4" s="167"/>
      <c r="H4" s="142"/>
      <c r="I4" s="142"/>
      <c r="J4" s="142"/>
      <c r="K4" s="182"/>
      <c r="N4" s="145"/>
      <c r="O4" s="142"/>
      <c r="Q4" s="142"/>
      <c r="R4" s="229"/>
      <c r="S4" s="229"/>
      <c r="T4" s="229"/>
      <c r="U4" s="229"/>
      <c r="V4" s="229"/>
      <c r="W4" s="229"/>
      <c r="X4" s="229"/>
    </row>
    <row r="5" spans="3:34" s="13" customFormat="1" ht="22.5" customHeight="1"/>
    <row r="6" spans="3:34" s="13" customFormat="1">
      <c r="C6" s="296" t="s">
        <v>10</v>
      </c>
      <c r="D6" s="296" t="s">
        <v>432</v>
      </c>
      <c r="E6" s="312" t="s">
        <v>427</v>
      </c>
      <c r="F6" s="297" t="s">
        <v>270</v>
      </c>
      <c r="G6" s="298" t="s">
        <v>244</v>
      </c>
      <c r="H6" s="297" t="s">
        <v>402</v>
      </c>
      <c r="I6" s="297" t="s">
        <v>173</v>
      </c>
      <c r="J6" s="297" t="s">
        <v>260</v>
      </c>
      <c r="K6" s="297" t="s">
        <v>261</v>
      </c>
      <c r="L6" s="297" t="s">
        <v>16</v>
      </c>
      <c r="M6" s="297" t="s">
        <v>16</v>
      </c>
      <c r="N6" s="297" t="s">
        <v>262</v>
      </c>
      <c r="O6" s="297" t="s">
        <v>263</v>
      </c>
      <c r="P6" s="296" t="s">
        <v>264</v>
      </c>
      <c r="Q6" s="297" t="s">
        <v>265</v>
      </c>
      <c r="R6" s="307" t="s">
        <v>267</v>
      </c>
      <c r="S6" s="307" t="s">
        <v>266</v>
      </c>
      <c r="T6" s="307" t="s">
        <v>14</v>
      </c>
      <c r="U6" s="307" t="s">
        <v>14</v>
      </c>
      <c r="V6" s="307" t="s">
        <v>187</v>
      </c>
      <c r="W6" s="307" t="s">
        <v>280</v>
      </c>
      <c r="X6" s="307" t="s">
        <v>268</v>
      </c>
      <c r="Y6" s="296" t="s">
        <v>214</v>
      </c>
      <c r="Z6" s="296" t="s">
        <v>425</v>
      </c>
      <c r="AA6" s="296" t="s">
        <v>25</v>
      </c>
      <c r="AB6" s="296" t="s">
        <v>109</v>
      </c>
      <c r="AC6" s="296" t="s">
        <v>23</v>
      </c>
      <c r="AD6" s="296" t="s">
        <v>95</v>
      </c>
      <c r="AE6" s="296" t="s">
        <v>120</v>
      </c>
    </row>
    <row r="7" spans="3:34" s="13" customFormat="1" ht="15">
      <c r="C7" s="304" t="s">
        <v>139</v>
      </c>
      <c r="D7" s="304" t="s">
        <v>419</v>
      </c>
      <c r="E7" s="304" t="s">
        <v>426</v>
      </c>
      <c r="F7" s="305" t="s">
        <v>405</v>
      </c>
      <c r="G7" s="313" t="s">
        <v>420</v>
      </c>
      <c r="H7" s="305" t="s">
        <v>161</v>
      </c>
      <c r="I7" s="305" t="s">
        <v>162</v>
      </c>
      <c r="J7" s="305" t="s">
        <v>207</v>
      </c>
      <c r="K7" s="305" t="s">
        <v>17</v>
      </c>
      <c r="L7" s="305" t="s">
        <v>18</v>
      </c>
      <c r="M7" s="305" t="s">
        <v>196</v>
      </c>
      <c r="N7" s="305" t="s">
        <v>4</v>
      </c>
      <c r="O7" s="305" t="s">
        <v>199</v>
      </c>
      <c r="P7" s="304" t="s">
        <v>197</v>
      </c>
      <c r="Q7" s="305" t="s">
        <v>258</v>
      </c>
      <c r="R7" s="314" t="s">
        <v>259</v>
      </c>
      <c r="S7" s="314" t="s">
        <v>235</v>
      </c>
      <c r="T7" s="314" t="s">
        <v>395</v>
      </c>
      <c r="U7" s="314" t="s">
        <v>421</v>
      </c>
      <c r="V7" s="314" t="s">
        <v>19</v>
      </c>
      <c r="W7" s="314" t="s">
        <v>422</v>
      </c>
      <c r="X7" s="314" t="s">
        <v>399</v>
      </c>
      <c r="Y7" s="304" t="s">
        <v>423</v>
      </c>
      <c r="Z7" s="304" t="s">
        <v>424</v>
      </c>
      <c r="AA7" s="304" t="s">
        <v>472</v>
      </c>
      <c r="AB7" s="304" t="s">
        <v>98</v>
      </c>
      <c r="AC7" s="304" t="s">
        <v>26</v>
      </c>
      <c r="AD7" s="304" t="s">
        <v>2</v>
      </c>
      <c r="AE7" s="304" t="s">
        <v>121</v>
      </c>
    </row>
    <row r="8" spans="3:34">
      <c r="C8" s="235">
        <v>1</v>
      </c>
      <c r="D8" s="235">
        <v>1</v>
      </c>
      <c r="F8" s="235" t="s">
        <v>557</v>
      </c>
      <c r="G8" s="236">
        <v>46218</v>
      </c>
      <c r="H8" s="235">
        <v>1</v>
      </c>
      <c r="I8" s="235">
        <v>1</v>
      </c>
      <c r="J8" s="235" t="s">
        <v>486</v>
      </c>
      <c r="K8" s="68" t="s">
        <v>487</v>
      </c>
      <c r="L8" s="153">
        <v>5</v>
      </c>
      <c r="M8" s="153">
        <v>0</v>
      </c>
      <c r="N8" s="68" t="s">
        <v>560</v>
      </c>
      <c r="O8" s="235">
        <v>2</v>
      </c>
      <c r="P8" s="235">
        <v>1</v>
      </c>
      <c r="T8" s="237">
        <v>27.34</v>
      </c>
      <c r="U8" s="237">
        <v>27.34</v>
      </c>
      <c r="V8" s="237">
        <v>27.34</v>
      </c>
      <c r="W8" s="237">
        <v>0</v>
      </c>
      <c r="X8" s="237">
        <v>136.69999999999999</v>
      </c>
      <c r="AB8" s="235">
        <v>1</v>
      </c>
      <c r="AC8" s="235">
        <v>3</v>
      </c>
      <c r="AD8" s="235">
        <v>7</v>
      </c>
      <c r="AE8" s="235">
        <v>2026</v>
      </c>
      <c r="AG8" s="13"/>
      <c r="AH8" s="380"/>
    </row>
    <row r="9" spans="3:34">
      <c r="C9" s="235">
        <v>2</v>
      </c>
      <c r="D9" s="235">
        <v>1</v>
      </c>
      <c r="F9" s="235" t="s">
        <v>557</v>
      </c>
      <c r="G9" s="236">
        <v>46218</v>
      </c>
      <c r="H9" s="235">
        <v>1</v>
      </c>
      <c r="I9" s="235">
        <v>81</v>
      </c>
      <c r="J9" s="235" t="s">
        <v>570</v>
      </c>
      <c r="K9" s="68" t="s">
        <v>571</v>
      </c>
      <c r="L9" s="153">
        <v>5</v>
      </c>
      <c r="M9" s="153">
        <v>0</v>
      </c>
      <c r="N9" s="68" t="s">
        <v>578</v>
      </c>
      <c r="O9" s="235">
        <v>26</v>
      </c>
      <c r="P9" s="235">
        <v>1</v>
      </c>
      <c r="T9" s="237">
        <v>74.400000000000006</v>
      </c>
      <c r="U9" s="237">
        <v>74.400000000000006</v>
      </c>
      <c r="V9" s="237">
        <v>74.400000000000006</v>
      </c>
      <c r="W9" s="237">
        <v>0</v>
      </c>
      <c r="X9" s="237">
        <v>372</v>
      </c>
      <c r="AB9" s="235">
        <v>1</v>
      </c>
      <c r="AC9" s="235">
        <v>3</v>
      </c>
      <c r="AD9" s="235">
        <v>7</v>
      </c>
      <c r="AE9" s="235">
        <v>2026</v>
      </c>
      <c r="AG9" s="13"/>
      <c r="AH9" s="380"/>
    </row>
    <row r="10" spans="3:34">
      <c r="C10" s="235">
        <v>3</v>
      </c>
      <c r="D10" s="235">
        <v>1</v>
      </c>
      <c r="F10" s="235" t="s">
        <v>557</v>
      </c>
      <c r="G10" s="236">
        <v>46218</v>
      </c>
      <c r="H10" s="235">
        <v>1</v>
      </c>
      <c r="I10" s="235">
        <v>176</v>
      </c>
      <c r="J10" s="235" t="s">
        <v>574</v>
      </c>
      <c r="K10" s="68" t="s">
        <v>575</v>
      </c>
      <c r="L10" s="153">
        <v>5</v>
      </c>
      <c r="M10" s="153">
        <v>0</v>
      </c>
      <c r="N10" s="68" t="s">
        <v>580</v>
      </c>
      <c r="O10" s="235">
        <v>51</v>
      </c>
      <c r="P10" s="235">
        <v>1</v>
      </c>
      <c r="T10" s="237">
        <v>85</v>
      </c>
      <c r="U10" s="237">
        <v>85</v>
      </c>
      <c r="V10" s="237">
        <v>85</v>
      </c>
      <c r="W10" s="237">
        <v>0</v>
      </c>
      <c r="X10" s="237">
        <v>425</v>
      </c>
      <c r="AB10" s="235">
        <v>1</v>
      </c>
      <c r="AC10" s="235">
        <v>3</v>
      </c>
      <c r="AD10" s="235">
        <v>7</v>
      </c>
      <c r="AE10" s="235">
        <v>2026</v>
      </c>
      <c r="AG10" s="13"/>
      <c r="AH10" s="380"/>
    </row>
    <row r="11" spans="3:34">
      <c r="AG11" s="13"/>
      <c r="AH11" s="381"/>
    </row>
    <row r="12" spans="3:34">
      <c r="AG12" s="13"/>
      <c r="AH12" s="382"/>
    </row>
    <row r="13" spans="3:34">
      <c r="AG13" s="13"/>
      <c r="AH13" s="381"/>
    </row>
    <row r="14" spans="3:34">
      <c r="AG14" s="13"/>
      <c r="AH14" s="381"/>
    </row>
    <row r="15" spans="3:34">
      <c r="AG15" s="13"/>
      <c r="AH15" s="381"/>
    </row>
    <row r="16" spans="3:34">
      <c r="AG16" s="13"/>
      <c r="AH16" s="381"/>
    </row>
    <row r="17" spans="33:34">
      <c r="AG17" s="13"/>
      <c r="AH17" s="381"/>
    </row>
    <row r="18" spans="33:34">
      <c r="AG18" s="13"/>
      <c r="AH18" s="381"/>
    </row>
    <row r="19" spans="33:34">
      <c r="AG19" s="13"/>
      <c r="AH19" s="381"/>
    </row>
    <row r="20" spans="33:34">
      <c r="AG20" s="13"/>
      <c r="AH20" s="381"/>
    </row>
    <row r="21" spans="33:34">
      <c r="AG21" s="13"/>
      <c r="AH21" s="380"/>
    </row>
    <row r="22" spans="33:34">
      <c r="AG22" s="13"/>
      <c r="AH22" s="381"/>
    </row>
    <row r="23" spans="33:34">
      <c r="AG23" s="13"/>
      <c r="AH23" s="383"/>
    </row>
    <row r="24" spans="33:34">
      <c r="AG24" s="13"/>
      <c r="AH24" s="383"/>
    </row>
    <row r="25" spans="33:34">
      <c r="AG25" s="13"/>
      <c r="AH25" s="383"/>
    </row>
    <row r="26" spans="33:34">
      <c r="AG26" s="13"/>
      <c r="AH26" s="383"/>
    </row>
    <row r="27" spans="33:34">
      <c r="AG27" s="13"/>
      <c r="AH27" s="383"/>
    </row>
    <row r="28" spans="33:34">
      <c r="AG28" s="13"/>
      <c r="AH28" s="383"/>
    </row>
    <row r="29" spans="33:34">
      <c r="AG29" s="13"/>
      <c r="AH29" s="383"/>
    </row>
    <row r="30" spans="33:34">
      <c r="AG30" s="13"/>
      <c r="AH30" s="380"/>
    </row>
    <row r="31" spans="33:34">
      <c r="AG31" s="13"/>
      <c r="AH31" s="380"/>
    </row>
    <row r="32" spans="33:34">
      <c r="AG32" s="13"/>
      <c r="AH32" s="380"/>
    </row>
    <row r="33" spans="33:34">
      <c r="AG33" s="13"/>
      <c r="AH33" s="380"/>
    </row>
    <row r="34" spans="33:34">
      <c r="AG34" s="13"/>
      <c r="AH34" s="380"/>
    </row>
    <row r="35" spans="33:34">
      <c r="AG35" s="13"/>
      <c r="AH35" s="380"/>
    </row>
    <row r="36" spans="33:34">
      <c r="AG36" s="13"/>
      <c r="AH36" s="380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42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43</v>
      </c>
      <c r="L3" s="14">
        <v>0</v>
      </c>
      <c r="M3" s="14">
        <v>0</v>
      </c>
      <c r="N3" s="14">
        <v>9</v>
      </c>
      <c r="O3" s="13" t="s">
        <v>44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45</v>
      </c>
      <c r="P4" s="411"/>
      <c r="Q4" s="411"/>
      <c r="R4" s="411"/>
      <c r="S4" s="411"/>
      <c r="T4" s="411"/>
      <c r="U4" s="411"/>
      <c r="V4" s="411"/>
      <c r="W4" s="411"/>
      <c r="X4" s="411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415" t="str">
        <f ca="1">""&amp;I9&amp;""</f>
        <v>STCI21-0001</v>
      </c>
      <c r="I6" s="415"/>
      <c r="AB6" s="37" t="str">
        <f>MID(K13,8,8)</f>
        <v/>
      </c>
      <c r="AD6" s="47"/>
    </row>
    <row r="7" spans="1:30" ht="13.5" customHeight="1">
      <c r="A7" s="12"/>
      <c r="E7" s="45"/>
      <c r="H7" s="415"/>
      <c r="I7" s="415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419"/>
      <c r="C9" s="419"/>
      <c r="E9" s="53"/>
      <c r="F9" s="54"/>
      <c r="H9" s="104" t="s">
        <v>46</v>
      </c>
      <c r="I9" s="420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47</v>
      </c>
      <c r="I10" s="421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422" t="s">
        <v>48</v>
      </c>
      <c r="C11" s="422"/>
      <c r="E11" s="53"/>
      <c r="F11" s="54"/>
      <c r="H11" s="105" t="s">
        <v>49</v>
      </c>
      <c r="I11" s="80">
        <f>N11</f>
        <v>44308</v>
      </c>
      <c r="K11" s="3" t="s">
        <v>50</v>
      </c>
      <c r="L11" s="82"/>
      <c r="M11" s="82"/>
      <c r="N11" s="416">
        <v>44308</v>
      </c>
      <c r="O11" s="416"/>
      <c r="P11" s="416"/>
      <c r="Q11" s="416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412"/>
      <c r="C12" s="413"/>
      <c r="D12" s="414"/>
      <c r="E12" s="53"/>
      <c r="F12" s="54"/>
      <c r="H12" s="125" t="s">
        <v>50</v>
      </c>
      <c r="I12" s="57"/>
      <c r="K12" t="s">
        <v>51</v>
      </c>
      <c r="N12" s="417">
        <v>4048</v>
      </c>
      <c r="O12" s="417"/>
      <c r="P12" s="417"/>
      <c r="Q12" s="417"/>
      <c r="S12" s="84" t="s">
        <v>52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53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54</v>
      </c>
    </row>
    <row r="15" spans="1:30" ht="26.25" thickBot="1">
      <c r="A15" s="58"/>
      <c r="B15" s="106" t="s">
        <v>55</v>
      </c>
      <c r="C15" s="61"/>
      <c r="D15" s="423"/>
      <c r="E15" s="423"/>
      <c r="F15" s="423"/>
      <c r="G15" s="423"/>
      <c r="H15" s="423"/>
      <c r="I15" s="21"/>
      <c r="J15" s="58"/>
      <c r="K15" s="13"/>
      <c r="L15" s="430" t="e">
        <f>IF(Customer_TIN_Area="","",Customer_TIN_Area)</f>
        <v>#NAME?</v>
      </c>
      <c r="M15" s="431"/>
      <c r="N15" s="431"/>
      <c r="O15" s="431"/>
      <c r="P15" s="431"/>
      <c r="Q15" s="431"/>
      <c r="R15" s="431"/>
      <c r="S15" s="431"/>
      <c r="T15" s="431"/>
      <c r="U15" s="431"/>
      <c r="V15" s="431"/>
      <c r="W15" s="431"/>
      <c r="X15" s="432"/>
    </row>
    <row r="16" spans="1:30">
      <c r="A16" s="58"/>
      <c r="B16" s="18" t="s">
        <v>56</v>
      </c>
      <c r="C16" s="61"/>
      <c r="D16" s="424"/>
      <c r="E16" s="424"/>
      <c r="F16" s="424"/>
      <c r="G16" s="424"/>
      <c r="H16" s="424"/>
      <c r="I16" s="21"/>
      <c r="J16" s="62" t="s">
        <v>57</v>
      </c>
      <c r="K16" s="63" t="s">
        <v>58</v>
      </c>
      <c r="L16" s="37" t="s">
        <v>59</v>
      </c>
      <c r="M16" s="37" t="s">
        <v>59</v>
      </c>
      <c r="N16" s="37" t="s">
        <v>59</v>
      </c>
      <c r="O16" s="37"/>
      <c r="P16" s="37" t="s">
        <v>59</v>
      </c>
      <c r="Q16" s="37" t="s">
        <v>59</v>
      </c>
      <c r="R16" s="37" t="s">
        <v>59</v>
      </c>
      <c r="S16" s="37" t="s">
        <v>59</v>
      </c>
      <c r="T16" s="37" t="s">
        <v>59</v>
      </c>
      <c r="U16" s="37" t="s">
        <v>59</v>
      </c>
      <c r="V16" s="37" t="s">
        <v>59</v>
      </c>
      <c r="W16" s="37" t="s">
        <v>59</v>
      </c>
      <c r="X16" s="37" t="s">
        <v>59</v>
      </c>
    </row>
    <row r="17" spans="1:29">
      <c r="A17" s="58"/>
      <c r="B17" s="107" t="s">
        <v>60</v>
      </c>
      <c r="C17" s="61"/>
      <c r="D17" s="425"/>
      <c r="E17" s="426"/>
      <c r="F17" s="426"/>
      <c r="G17" s="426"/>
      <c r="H17" s="426"/>
      <c r="I17" s="21"/>
      <c r="J17" s="58"/>
      <c r="L17" s="37"/>
      <c r="M17" s="37"/>
      <c r="O17" s="38" t="s">
        <v>61</v>
      </c>
      <c r="P17" s="433"/>
      <c r="Q17" s="433"/>
      <c r="R17" s="433"/>
      <c r="S17" s="433"/>
      <c r="T17" s="433"/>
      <c r="U17" s="433"/>
      <c r="V17" s="433"/>
      <c r="W17" s="433"/>
      <c r="X17" s="433"/>
    </row>
    <row r="18" spans="1:29">
      <c r="A18" s="58"/>
      <c r="B18" s="18" t="s">
        <v>62</v>
      </c>
      <c r="C18" s="61"/>
      <c r="D18" s="427"/>
      <c r="E18" s="427"/>
      <c r="F18" s="427"/>
      <c r="G18" s="427"/>
      <c r="H18" s="427"/>
      <c r="I18" s="21"/>
      <c r="J18" s="58"/>
      <c r="K18" s="58"/>
    </row>
    <row r="19" spans="1:29">
      <c r="A19" s="5"/>
      <c r="B19" s="107" t="s">
        <v>63</v>
      </c>
      <c r="D19" s="44"/>
      <c r="E19" s="108" t="s">
        <v>64</v>
      </c>
      <c r="F19" s="428"/>
      <c r="G19" s="426"/>
      <c r="H19" s="426"/>
      <c r="I19" s="21"/>
      <c r="J19" s="5"/>
      <c r="K19" s="5"/>
    </row>
    <row r="20" spans="1:29">
      <c r="A20" s="5"/>
      <c r="B20" s="25" t="s">
        <v>65</v>
      </c>
      <c r="D20" s="26"/>
      <c r="E20" s="35" t="s">
        <v>66</v>
      </c>
      <c r="F20" s="428"/>
      <c r="G20" s="426"/>
      <c r="H20" s="426"/>
      <c r="I20" s="16"/>
      <c r="J20" s="5"/>
      <c r="K20" s="5"/>
    </row>
    <row r="21" spans="1:29" ht="32.85" customHeight="1" thickBot="1">
      <c r="A21" s="5"/>
      <c r="B21" s="449" t="s">
        <v>67</v>
      </c>
      <c r="C21" s="450"/>
      <c r="D21" s="429" t="e">
        <f>L15</f>
        <v>#NAME?</v>
      </c>
      <c r="E21" s="429"/>
      <c r="F21" s="429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10</v>
      </c>
      <c r="C23" s="110" t="s">
        <v>68</v>
      </c>
      <c r="D23" s="111"/>
      <c r="E23" s="112" t="s">
        <v>69</v>
      </c>
      <c r="F23" s="109" t="s">
        <v>70</v>
      </c>
      <c r="G23" s="109" t="s">
        <v>39</v>
      </c>
      <c r="H23" s="113" t="s">
        <v>71</v>
      </c>
      <c r="I23" s="109" t="s">
        <v>71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20</v>
      </c>
      <c r="C24" s="27" t="s">
        <v>27</v>
      </c>
      <c r="D24" s="94"/>
      <c r="E24" s="28" t="s">
        <v>5</v>
      </c>
      <c r="F24" s="29" t="s">
        <v>18</v>
      </c>
      <c r="G24" s="30" t="s">
        <v>72</v>
      </c>
      <c r="H24" s="31" t="s">
        <v>73</v>
      </c>
      <c r="I24" s="31" t="s">
        <v>74</v>
      </c>
    </row>
    <row r="25" spans="1:29" s="34" customFormat="1">
      <c r="B25" s="95">
        <f>IF(C25="","",1)</f>
        <v>1</v>
      </c>
      <c r="C25" s="418" t="s">
        <v>75</v>
      </c>
      <c r="D25" s="418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451" t="s">
        <v>76</v>
      </c>
      <c r="D26" s="451"/>
      <c r="E26" s="85" t="s">
        <v>77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452"/>
      <c r="D27" s="452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452"/>
      <c r="D28" s="452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452"/>
      <c r="D29" s="452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441"/>
      <c r="D30" s="441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441"/>
      <c r="D31" s="441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441"/>
      <c r="D32" s="441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441"/>
      <c r="D33" s="441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441"/>
      <c r="D34" s="441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441"/>
      <c r="D35" s="441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446"/>
      <c r="D36" s="446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447" t="s">
        <v>78</v>
      </c>
      <c r="C37" s="448"/>
      <c r="D37" s="71" t="str">
        <f>SpellNumber(H37)</f>
        <v>Fifty Two US Dollars and Eighty  Cents</v>
      </c>
      <c r="E37" s="22"/>
      <c r="F37" s="19"/>
      <c r="G37" s="114" t="s">
        <v>79</v>
      </c>
      <c r="H37" s="442">
        <f>SUM(H25:H36)</f>
        <v>52.8</v>
      </c>
      <c r="I37" s="444">
        <f>SUM(I25:I36)</f>
        <v>213734.39999999999</v>
      </c>
    </row>
    <row r="38" spans="2:29" ht="24" thickBot="1">
      <c r="B38" s="117" t="s">
        <v>80</v>
      </c>
      <c r="C38" s="9"/>
      <c r="D38" s="43">
        <f>N12</f>
        <v>4048</v>
      </c>
      <c r="E38" s="72"/>
      <c r="F38"/>
      <c r="G38" s="115" t="s">
        <v>81</v>
      </c>
      <c r="H38" s="443"/>
      <c r="I38" s="445"/>
    </row>
    <row r="39" spans="2:29" ht="24" thickBot="1">
      <c r="B39" s="79" t="s">
        <v>82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434" t="s">
        <v>83</v>
      </c>
      <c r="C44" s="435"/>
      <c r="D44" s="435"/>
      <c r="E44" s="435"/>
      <c r="F44" s="435"/>
      <c r="G44" s="435"/>
      <c r="H44" s="435"/>
      <c r="I44" s="436"/>
    </row>
    <row r="45" spans="2:29" ht="24" thickBot="1">
      <c r="B45" s="437" t="s">
        <v>84</v>
      </c>
      <c r="C45" s="438"/>
      <c r="D45" s="438"/>
      <c r="E45" s="438"/>
      <c r="F45" s="438"/>
      <c r="G45" s="438"/>
      <c r="H45" s="438"/>
      <c r="I45" s="439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440"/>
      <c r="C48" s="440"/>
      <c r="D48" s="440"/>
      <c r="E48" s="440"/>
      <c r="F48" s="6"/>
      <c r="G48" s="440"/>
      <c r="H48" s="440"/>
      <c r="I48" s="440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C26:D26"/>
    <mergeCell ref="C27:D27"/>
    <mergeCell ref="C28:D28"/>
    <mergeCell ref="C29:D29"/>
    <mergeCell ref="C30:D30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P4:X4"/>
    <mergeCell ref="B12:D12"/>
    <mergeCell ref="H6:I7"/>
    <mergeCell ref="N11:Q11"/>
    <mergeCell ref="N12:Q12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453" t="s">
        <v>460</v>
      </c>
      <c r="C2" s="453"/>
      <c r="D2" s="453"/>
      <c r="E2" s="453"/>
      <c r="F2" s="453"/>
      <c r="G2" s="453"/>
      <c r="H2" s="453"/>
      <c r="I2" s="453"/>
      <c r="AB2" s="37" t="str">
        <f ca="1">MID(K12,8,8)</f>
        <v/>
      </c>
      <c r="AD2" s="47"/>
    </row>
    <row r="3" spans="1:30" ht="29.25" thickBot="1">
      <c r="A3" s="36"/>
      <c r="B3" s="454" t="e">
        <f>company_name_en</f>
        <v>#NAME?</v>
      </c>
      <c r="C3" s="454"/>
      <c r="D3" s="454"/>
      <c r="E3" s="454"/>
      <c r="F3" s="454"/>
      <c r="G3" s="454"/>
      <c r="H3" s="454"/>
      <c r="I3" s="454"/>
      <c r="AD3" s="47"/>
    </row>
    <row r="4" spans="1:30" ht="15.75" thickBot="1">
      <c r="A4" s="36"/>
      <c r="B4" s="455" t="s">
        <v>459</v>
      </c>
      <c r="C4" s="455"/>
      <c r="D4" s="455"/>
      <c r="E4" s="455"/>
      <c r="F4" s="455"/>
      <c r="G4" s="455"/>
      <c r="H4" s="455"/>
      <c r="I4" s="455"/>
      <c r="J4" s="46" t="s">
        <v>85</v>
      </c>
      <c r="K4" s="14" t="s">
        <v>43</v>
      </c>
      <c r="L4" s="14">
        <v>0</v>
      </c>
      <c r="M4" s="14">
        <v>0</v>
      </c>
      <c r="N4" s="14">
        <v>9</v>
      </c>
      <c r="O4" s="13" t="s">
        <v>44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455" t="e">
        <f>Address_ENG</f>
        <v>#NAME?</v>
      </c>
      <c r="C5" s="455"/>
      <c r="D5" s="455"/>
      <c r="E5" s="455"/>
      <c r="F5" s="455"/>
      <c r="G5" s="455"/>
      <c r="H5" s="455"/>
      <c r="I5" s="455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455" t="e">
        <f>c_phone_email</f>
        <v>#NAME?</v>
      </c>
      <c r="C6" s="455"/>
      <c r="D6" s="455"/>
      <c r="E6" s="455"/>
      <c r="F6" s="455"/>
      <c r="G6" s="455"/>
      <c r="H6" s="455"/>
      <c r="I6" s="455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456" t="s">
        <v>86</v>
      </c>
      <c r="C7" s="456"/>
      <c r="D7" s="456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415" t="str">
        <f ca="1">""&amp;I12&amp;""</f>
        <v>STCI00-0003</v>
      </c>
      <c r="I9" s="415"/>
      <c r="AB9" s="37" t="str">
        <f>MID(K16,8,8)</f>
        <v/>
      </c>
      <c r="AD9" s="47"/>
    </row>
    <row r="10" spans="1:30" ht="21.6" customHeight="1">
      <c r="A10" s="12"/>
      <c r="E10" s="45"/>
      <c r="H10" s="415"/>
      <c r="I10" s="415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419"/>
      <c r="C12" s="419"/>
      <c r="E12" s="53"/>
      <c r="F12" s="54"/>
      <c r="H12" s="104" t="s">
        <v>46</v>
      </c>
      <c r="I12" s="420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29</v>
      </c>
      <c r="I13" s="421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422" t="s">
        <v>48</v>
      </c>
      <c r="C14" s="422"/>
      <c r="E14" s="53"/>
      <c r="F14" s="54"/>
      <c r="H14" s="105" t="s">
        <v>49</v>
      </c>
      <c r="I14" s="80">
        <f>N14</f>
        <v>0</v>
      </c>
      <c r="K14" s="3" t="s">
        <v>50</v>
      </c>
      <c r="L14" s="82"/>
      <c r="M14" s="82"/>
      <c r="N14" s="416"/>
      <c r="O14" s="416"/>
      <c r="P14" s="416"/>
      <c r="Q14" s="416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412"/>
      <c r="C15" s="413"/>
      <c r="D15" s="414"/>
      <c r="E15" s="53"/>
      <c r="F15" s="54"/>
      <c r="H15" s="56" t="s">
        <v>21</v>
      </c>
      <c r="I15" s="57"/>
      <c r="K15" t="s">
        <v>51</v>
      </c>
      <c r="N15" s="417"/>
      <c r="O15" s="417"/>
      <c r="P15" s="417"/>
      <c r="Q15" s="417"/>
      <c r="S15" s="84" t="s">
        <v>52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87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54</v>
      </c>
    </row>
    <row r="18" spans="1:29" ht="26.25" thickBot="1">
      <c r="A18" s="58"/>
      <c r="B18" s="106" t="s">
        <v>55</v>
      </c>
      <c r="C18" s="61"/>
      <c r="D18" s="423"/>
      <c r="E18" s="423"/>
      <c r="F18" s="423"/>
      <c r="G18" s="423"/>
      <c r="H18" s="423"/>
      <c r="I18" s="21"/>
      <c r="J18" s="58"/>
      <c r="K18" s="13"/>
      <c r="L18" s="430" t="str">
        <f>IF(Customer_TIN_Area="","",Customer_TIN_Area)</f>
        <v/>
      </c>
      <c r="M18" s="431"/>
      <c r="N18" s="431"/>
      <c r="O18" s="431"/>
      <c r="P18" s="431"/>
      <c r="Q18" s="431"/>
      <c r="R18" s="431"/>
      <c r="S18" s="431"/>
      <c r="T18" s="431"/>
      <c r="U18" s="431"/>
      <c r="V18" s="431"/>
      <c r="W18" s="431"/>
      <c r="X18" s="432"/>
    </row>
    <row r="19" spans="1:29">
      <c r="A19" s="58"/>
      <c r="B19" s="18" t="s">
        <v>88</v>
      </c>
      <c r="C19" s="61"/>
      <c r="D19" s="424"/>
      <c r="E19" s="424"/>
      <c r="F19" s="424"/>
      <c r="G19" s="424"/>
      <c r="H19" s="424"/>
      <c r="I19" s="21"/>
      <c r="J19" s="62" t="s">
        <v>57</v>
      </c>
      <c r="K19" s="63" t="s">
        <v>58</v>
      </c>
      <c r="L19" s="37" t="s">
        <v>59</v>
      </c>
      <c r="M19" s="37" t="s">
        <v>59</v>
      </c>
      <c r="N19" s="37" t="s">
        <v>59</v>
      </c>
      <c r="O19" s="37"/>
      <c r="P19" s="37" t="s">
        <v>59</v>
      </c>
      <c r="Q19" s="37" t="s">
        <v>59</v>
      </c>
      <c r="R19" s="37" t="s">
        <v>59</v>
      </c>
      <c r="S19" s="37" t="s">
        <v>59</v>
      </c>
      <c r="T19" s="37" t="s">
        <v>59</v>
      </c>
      <c r="U19" s="37" t="s">
        <v>59</v>
      </c>
      <c r="V19" s="37" t="s">
        <v>59</v>
      </c>
      <c r="W19" s="37" t="s">
        <v>59</v>
      </c>
      <c r="X19" s="37" t="s">
        <v>59</v>
      </c>
    </row>
    <row r="20" spans="1:29">
      <c r="A20" s="58"/>
      <c r="B20" s="107" t="s">
        <v>60</v>
      </c>
      <c r="C20" s="61"/>
      <c r="D20" s="425"/>
      <c r="E20" s="426"/>
      <c r="F20" s="426"/>
      <c r="G20" s="426"/>
      <c r="H20" s="426"/>
      <c r="I20" s="21"/>
      <c r="J20" s="58"/>
      <c r="L20" s="37"/>
      <c r="M20" s="37"/>
      <c r="O20" s="38" t="s">
        <v>61</v>
      </c>
      <c r="P20" s="433"/>
      <c r="Q20" s="433"/>
      <c r="R20" s="433"/>
      <c r="S20" s="433"/>
      <c r="T20" s="433"/>
      <c r="U20" s="433"/>
      <c r="V20" s="433"/>
      <c r="W20" s="433"/>
      <c r="X20" s="433"/>
    </row>
    <row r="21" spans="1:29">
      <c r="A21" s="58"/>
      <c r="B21" s="18" t="s">
        <v>7</v>
      </c>
      <c r="C21" s="61"/>
      <c r="D21" s="427"/>
      <c r="E21" s="427"/>
      <c r="F21" s="427"/>
      <c r="G21" s="427"/>
      <c r="H21" s="427"/>
      <c r="I21" s="21"/>
      <c r="J21" s="58"/>
      <c r="K21" s="58"/>
    </row>
    <row r="22" spans="1:29">
      <c r="A22" s="5"/>
      <c r="B22" s="107" t="s">
        <v>63</v>
      </c>
      <c r="D22" s="44"/>
      <c r="E22" s="108" t="s">
        <v>64</v>
      </c>
      <c r="F22" s="428"/>
      <c r="G22" s="426"/>
      <c r="H22" s="426"/>
      <c r="I22" s="21"/>
      <c r="J22" s="5"/>
      <c r="K22" s="5"/>
    </row>
    <row r="23" spans="1:29">
      <c r="A23" s="5"/>
      <c r="B23" s="25" t="s">
        <v>89</v>
      </c>
      <c r="D23" s="26"/>
      <c r="E23" s="35" t="s">
        <v>66</v>
      </c>
      <c r="F23" s="428"/>
      <c r="G23" s="426"/>
      <c r="H23" s="426"/>
      <c r="I23" s="16"/>
      <c r="J23" s="5"/>
      <c r="K23" s="5"/>
    </row>
    <row r="24" spans="1:29" ht="32.85" customHeight="1" thickBot="1">
      <c r="A24" s="5"/>
      <c r="B24" s="449" t="s">
        <v>90</v>
      </c>
      <c r="C24" s="450"/>
      <c r="D24" s="429" t="str">
        <f>L18</f>
        <v/>
      </c>
      <c r="E24" s="429"/>
      <c r="F24" s="429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10</v>
      </c>
      <c r="C26" s="110" t="s">
        <v>68</v>
      </c>
      <c r="D26" s="111"/>
      <c r="E26" s="112" t="s">
        <v>69</v>
      </c>
      <c r="F26" s="109" t="s">
        <v>70</v>
      </c>
      <c r="G26" s="109" t="s">
        <v>39</v>
      </c>
      <c r="H26" s="113" t="s">
        <v>71</v>
      </c>
      <c r="I26" s="109" t="s">
        <v>71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20</v>
      </c>
      <c r="C27" s="27" t="s">
        <v>27</v>
      </c>
      <c r="D27" s="94"/>
      <c r="E27" s="28" t="s">
        <v>5</v>
      </c>
      <c r="F27" s="29" t="s">
        <v>18</v>
      </c>
      <c r="G27" s="30" t="s">
        <v>72</v>
      </c>
      <c r="H27" s="31" t="s">
        <v>73</v>
      </c>
      <c r="I27" s="31" t="s">
        <v>74</v>
      </c>
    </row>
    <row r="28" spans="1:29" s="34" customFormat="1">
      <c r="B28" s="120" t="str">
        <f>IF(C28="","",1)</f>
        <v/>
      </c>
      <c r="C28" s="418"/>
      <c r="D28" s="418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451"/>
      <c r="D29" s="451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463"/>
      <c r="D30" s="463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451"/>
      <c r="D31" s="451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452"/>
      <c r="D32" s="452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441"/>
      <c r="D33" s="441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441"/>
      <c r="D34" s="441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441"/>
      <c r="D35" s="441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441"/>
      <c r="D36" s="441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441"/>
      <c r="D37" s="441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441"/>
      <c r="D38" s="441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446"/>
      <c r="D39" s="446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447" t="s">
        <v>78</v>
      </c>
      <c r="C40" s="448"/>
      <c r="D40" s="71" t="str">
        <f>SpellNumber(H40)</f>
        <v>Zero US Dollars and Zero Cents</v>
      </c>
      <c r="E40" s="22"/>
      <c r="F40" s="19"/>
      <c r="G40" s="114" t="s">
        <v>79</v>
      </c>
      <c r="H40" s="442">
        <f>SUM(H28:H39)</f>
        <v>0</v>
      </c>
      <c r="I40" s="444">
        <f>SUM(I28:I39)</f>
        <v>0</v>
      </c>
    </row>
    <row r="41" spans="2:29" ht="24" thickBot="1">
      <c r="B41" s="117" t="s">
        <v>80</v>
      </c>
      <c r="C41" s="9"/>
      <c r="D41" s="43">
        <f>N15</f>
        <v>0</v>
      </c>
      <c r="E41" s="72"/>
      <c r="F41"/>
      <c r="G41" s="115" t="s">
        <v>91</v>
      </c>
      <c r="H41" s="443"/>
      <c r="I41" s="445"/>
    </row>
    <row r="42" spans="2:29" ht="24" thickBot="1">
      <c r="B42" s="79" t="s">
        <v>82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457" t="s">
        <v>92</v>
      </c>
      <c r="C47" s="458"/>
      <c r="D47" s="458"/>
      <c r="E47" s="458"/>
      <c r="F47" s="458"/>
      <c r="G47" s="458"/>
      <c r="H47" s="458"/>
      <c r="I47" s="459"/>
    </row>
    <row r="48" spans="2:29" ht="24" thickBot="1">
      <c r="B48" s="460" t="s">
        <v>93</v>
      </c>
      <c r="C48" s="461"/>
      <c r="D48" s="461"/>
      <c r="E48" s="461"/>
      <c r="F48" s="461"/>
      <c r="G48" s="461"/>
      <c r="H48" s="461"/>
      <c r="I48" s="462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440"/>
      <c r="C51" s="440"/>
      <c r="D51" s="440"/>
      <c r="E51" s="440"/>
      <c r="F51" s="6"/>
      <c r="G51" s="440"/>
      <c r="H51" s="440"/>
      <c r="I51" s="440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H9:I10"/>
    <mergeCell ref="B12:C12"/>
    <mergeCell ref="I12:I13"/>
    <mergeCell ref="B14:C14"/>
    <mergeCell ref="N14:Q14"/>
    <mergeCell ref="C28:D28"/>
    <mergeCell ref="B15:D15"/>
    <mergeCell ref="N15:Q15"/>
    <mergeCell ref="D18:H18"/>
    <mergeCell ref="L18:X18"/>
    <mergeCell ref="D19:H19"/>
    <mergeCell ref="D20:H20"/>
    <mergeCell ref="P20:X20"/>
    <mergeCell ref="B51:E51"/>
    <mergeCell ref="G51:I51"/>
    <mergeCell ref="C35:D35"/>
    <mergeCell ref="C36:D36"/>
    <mergeCell ref="C37:D37"/>
    <mergeCell ref="C38:D38"/>
    <mergeCell ref="C39:D39"/>
    <mergeCell ref="B40:C40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2:I2"/>
    <mergeCell ref="B3:I3"/>
    <mergeCell ref="B4:I4"/>
    <mergeCell ref="B5:I5"/>
    <mergeCell ref="B6:I6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267CAF88-E639-45A1-8BA9-EC131FA570FE}">
  <ds:schemaRefs/>
</ds:datastoreItem>
</file>

<file path=customXml/itemProps2.xml><?xml version="1.0" encoding="utf-8"?>
<ds:datastoreItem xmlns:ds="http://schemas.openxmlformats.org/officeDocument/2006/customXml" ds:itemID="{0720D362-99FC-4441-9DB2-A831ADAF562C}">
  <ds:schemaRefs/>
</ds:datastoreItem>
</file>

<file path=customXml/itemProps3.xml><?xml version="1.0" encoding="utf-8"?>
<ds:datastoreItem xmlns:ds="http://schemas.openxmlformats.org/officeDocument/2006/customXml" ds:itemID="{ADC146D0-807C-44AA-9A06-51FA38B5E60F}">
  <ds:schemaRefs/>
</ds:datastoreItem>
</file>

<file path=customXml/itemProps4.xml><?xml version="1.0" encoding="utf-8"?>
<ds:datastoreItem xmlns:ds="http://schemas.openxmlformats.org/officeDocument/2006/customXml" ds:itemID="{ABDB64DC-B77C-4A37-A752-35B6708AB56D}">
  <ds:schemaRefs/>
</ds:datastoreItem>
</file>

<file path=customXml/itemProps5.xml><?xml version="1.0" encoding="utf-8"?>
<ds:datastoreItem xmlns:ds="http://schemas.openxmlformats.org/officeDocument/2006/customXml" ds:itemID="{68794EC4-9672-462A-A0E1-370C073B0A2D}">
  <ds:schemaRefs/>
</ds:datastoreItem>
</file>

<file path=customXml/itemProps6.xml><?xml version="1.0" encoding="utf-8"?>
<ds:datastoreItem xmlns:ds="http://schemas.openxmlformats.org/officeDocument/2006/customXml" ds:itemID="{B356839B-70F8-494A-9CF4-FDC049176615}">
  <ds:schemaRefs/>
</ds:datastoreItem>
</file>

<file path=customXml/itemProps7.xml><?xml version="1.0" encoding="utf-8"?>
<ds:datastoreItem xmlns:ds="http://schemas.openxmlformats.org/officeDocument/2006/customXml" ds:itemID="{9F1C1C28-804A-470D-AF23-AD4F525D009C}">
  <ds:schemaRefs/>
</ds:datastoreItem>
</file>

<file path=customXml/itemProps8.xml><?xml version="1.0" encoding="utf-8"?>
<ds:datastoreItem xmlns:ds="http://schemas.openxmlformats.org/officeDocument/2006/customXml" ds:itemID="{E27BC1BA-2931-412A-BFCF-F6C2AD0824D0}">
  <ds:schemaRefs/>
</ds:datastoreItem>
</file>

<file path=customXml/itemProps9.xml><?xml version="1.0" encoding="utf-8"?>
<ds:datastoreItem xmlns:ds="http://schemas.openxmlformats.org/officeDocument/2006/customXml" ds:itemID="{947775C8-8CE1-4CBD-8AA9-A1130A8DEA62}">
  <ds:schemaRefs/>
</ds:datastoreItem>
</file>

<file path=customXml/itemProps10.xml><?xml version="1.0" encoding="utf-8"?>
<ds:datastoreItem xmlns:ds="http://schemas.openxmlformats.org/officeDocument/2006/customXml" ds:itemID="{17649CE1-4875-4997-835F-0FAC38650A09}">
  <ds:schemaRefs/>
</ds:datastoreItem>
</file>

<file path=customXml/itemProps11.xml><?xml version="1.0" encoding="utf-8"?>
<ds:datastoreItem xmlns:ds="http://schemas.openxmlformats.org/officeDocument/2006/customXml" ds:itemID="{19A478B7-3E01-47D0-B259-A00B708B2C5A}">
  <ds:schemaRefs/>
</ds:datastoreItem>
</file>

<file path=customXml/itemProps12.xml><?xml version="1.0" encoding="utf-8"?>
<ds:datastoreItem xmlns:ds="http://schemas.openxmlformats.org/officeDocument/2006/customXml" ds:itemID="{D935AE82-1B4A-455F-9B26-99DAC6F8924F}">
  <ds:schemaRefs/>
</ds:datastoreItem>
</file>

<file path=customXml/itemProps13.xml><?xml version="1.0" encoding="utf-8"?>
<ds:datastoreItem xmlns:ds="http://schemas.openxmlformats.org/officeDocument/2006/customXml" ds:itemID="{B83D4DC2-D1A8-498E-AA5D-F730A26DD6B3}">
  <ds:schemaRefs/>
</ds:datastoreItem>
</file>

<file path=customXml/itemProps14.xml><?xml version="1.0" encoding="utf-8"?>
<ds:datastoreItem xmlns:ds="http://schemas.openxmlformats.org/officeDocument/2006/customXml" ds:itemID="{63AAF10D-7B32-4C1D-A7E1-FA34FE2DB930}">
  <ds:schemaRefs/>
</ds:datastoreItem>
</file>

<file path=customXml/itemProps15.xml><?xml version="1.0" encoding="utf-8"?>
<ds:datastoreItem xmlns:ds="http://schemas.openxmlformats.org/officeDocument/2006/customXml" ds:itemID="{FDB041EB-1959-4AD0-95DE-CB9C39E33A8B}">
  <ds:schemaRefs/>
</ds:datastoreItem>
</file>

<file path=customXml/itemProps16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83BF0940-419E-4063-A803-9DD17FFE76FF}">
  <ds:schemaRefs/>
</ds:datastoreItem>
</file>

<file path=customXml/itemProps18.xml><?xml version="1.0" encoding="utf-8"?>
<ds:datastoreItem xmlns:ds="http://schemas.openxmlformats.org/officeDocument/2006/customXml" ds:itemID="{E9512B52-1531-46F8-86D4-273E91CDD99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29</vt:i4>
      </vt:variant>
    </vt:vector>
  </HeadingPairs>
  <TitlesOfParts>
    <vt:vector size="57" baseType="lpstr">
      <vt:lpstr>List of Invoice</vt:lpstr>
      <vt:lpstr>Home</vt:lpstr>
      <vt:lpstr>FilesSetting</vt:lpstr>
      <vt:lpstr>InventoryValuation</vt:lpstr>
      <vt:lpstr>PaidToVendor</vt:lpstr>
      <vt:lpstr>SalesInvoiceReceipt</vt:lpstr>
      <vt:lpstr>ReceivePayment</vt:lpstr>
      <vt:lpstr>ReceivePaymentDetail</vt:lpstr>
      <vt:lpstr>GeneralLedger</vt:lpstr>
      <vt:lpstr>GeneralLedgerDetail</vt:lpstr>
      <vt:lpstr>SaleInvoiceData</vt:lpstr>
      <vt:lpstr>SalesByItemData</vt:lpstr>
      <vt:lpstr>InvAdjData</vt:lpstr>
      <vt:lpstr>InvAdjDetailData</vt:lpstr>
      <vt:lpstr>1_group_totals</vt:lpstr>
      <vt:lpstr>1_group_total_details</vt:lpstr>
      <vt:lpstr>inventories</vt:lpstr>
      <vt:lpstr>1_inventory_totals</vt:lpstr>
      <vt:lpstr>1_inventory_total_details</vt:lpstr>
      <vt:lpstr>2_inventory_totals</vt:lpstr>
      <vt:lpstr>2_inventory_total_details</vt:lpstr>
      <vt:lpstr>QuoteData</vt:lpstr>
      <vt:lpstr>QuoteDetailData</vt:lpstr>
      <vt:lpstr>QuoteServiceData</vt:lpstr>
      <vt:lpstr>PurchaseBill</vt:lpstr>
      <vt:lpstr>PurchaseBillDetail</vt:lpstr>
      <vt:lpstr>(1 )</vt:lpstr>
      <vt:lpstr>( 3)</vt:lpstr>
      <vt:lpstr>'( 3)'!Customer_Detail</vt:lpstr>
      <vt:lpstr>'( 3)'!Customer_TIN_Area</vt:lpstr>
      <vt:lpstr>data_input_path</vt:lpstr>
      <vt:lpstr>database_path</vt:lpstr>
      <vt:lpstr>'( 3)'!Date</vt:lpstr>
      <vt:lpstr>'( 3)'!Description_Area</vt:lpstr>
      <vt:lpstr>'( 3)'!Exchange_Rate</vt:lpstr>
      <vt:lpstr>inv_adj_data_list</vt:lpstr>
      <vt:lpstr>inv_adj_ref_list</vt:lpstr>
      <vt:lpstr>invoice_code_option</vt:lpstr>
      <vt:lpstr>invoice_detail_list</vt:lpstr>
      <vt:lpstr>invoice_list</vt:lpstr>
      <vt:lpstr>invoice_list2</vt:lpstr>
      <vt:lpstr>'( 3)'!Print_Area</vt:lpstr>
      <vt:lpstr>'(1 )'!Print_Area</vt:lpstr>
      <vt:lpstr>Home!Print_Area</vt:lpstr>
      <vt:lpstr>InvAdjData!Print_Area</vt:lpstr>
      <vt:lpstr>InvAdjDetailData!Print_Area</vt:lpstr>
      <vt:lpstr>inventories!Print_Area</vt:lpstr>
      <vt:lpstr>SaleInvoiceData!Print_Area</vt:lpstr>
      <vt:lpstr>InvAdjData!Print_Titles</vt:lpstr>
      <vt:lpstr>InvAdjDetailData!Print_Titles</vt:lpstr>
      <vt:lpstr>SaleInvoiceData!Print_Titles</vt:lpstr>
      <vt:lpstr>quote_list</vt:lpstr>
      <vt:lpstr>'( 3)'!Reference_Area</vt:lpstr>
      <vt:lpstr>sale_invoice_data_list</vt:lpstr>
      <vt:lpstr>sales_by_item_data_list</vt:lpstr>
      <vt:lpstr>'( 3)'!VATRATE</vt:lpstr>
      <vt:lpstr>'(1 )'!VATRATE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2026-06-19T03:54:29Z</cp:lastPrinted>
  <dcterms:created xsi:type="dcterms:W3CDTF">2019-10-05T07:51:15Z</dcterms:created>
  <dcterms:modified xsi:type="dcterms:W3CDTF">2026-07-18T10:07:15Z</dcterms:modified>
  <cp:category/>
  <cp:contentStatus/>
</cp:coreProperties>
</file>